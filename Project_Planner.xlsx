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5.xml" ContentType="application/vnd.openxmlformats-officedocument.spreadsheetml.comments+xml"/>
  <Override PartName="/xl/comments15.xml" ContentType="application/vnd.openxmlformats-officedocument.spreadsheetml.comments+xml"/>
  <Override PartName="/xl/comments4.xml" ContentType="application/vnd.openxmlformats-officedocument.spreadsheetml.comments+xml"/>
  <Override PartName="/xl/comments14.xml" ContentType="application/vnd.openxmlformats-officedocument.spreadsheetml.comments+xml"/>
  <Override PartName="/xl/comments12.xml" ContentType="application/vnd.openxmlformats-officedocument.spreadsheetml.comments+xml"/>
  <Override PartName="/xl/workbook.xml" ContentType="application/vnd.openxmlformats-officedocument.spreadsheetml.sheet.main+xml"/>
  <Override PartName="/xl/comments7.xml" ContentType="application/vnd.openxmlformats-officedocument.spreadsheetml.comments+xml"/>
  <Override PartName="/xl/comments17.xml" ContentType="application/vnd.openxmlformats-officedocument.spreadsheetml.comments+xml"/>
  <Override PartName="/xl/comments8.xml" ContentType="application/vnd.openxmlformats-officedocument.spreadsheetml.comments+xml"/>
  <Override PartName="/xl/theme/theme1.xml" ContentType="application/vnd.openxmlformats-officedocument.theme+xml"/>
  <Override PartName="/xl/comments3.xml" ContentType="application/vnd.openxmlformats-officedocument.spreadsheetml.comments+xml"/>
  <Override PartName="/xl/sharedStrings.xml" ContentType="application/vnd.openxmlformats-officedocument.spreadsheetml.sharedStrings+xml"/>
  <Override PartName="/xl/drawings/vmlDrawing8.vml" ContentType="application/vnd.openxmlformats-officedocument.vmlDrawing"/>
  <Override PartName="/xl/drawings/drawing5.xml" ContentType="application/vnd.openxmlformats-officedocument.drawing+xml"/>
  <Override PartName="/xl/drawings/vmlDrawing4.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_rels/drawing1.xml.rels" ContentType="application/vnd.openxmlformats-package.relationships+xml"/>
  <Override PartName="/xl/drawings/_rels/drawing2.xml.rels" ContentType="application/vnd.openxmlformats-package.relationships+xml"/>
  <Override PartName="/xl/drawings/_rels/drawing3.xml.rels" ContentType="application/vnd.openxmlformats-package.relationships+xml"/>
  <Override PartName="/xl/drawings/_rels/drawing4.xml.rels" ContentType="application/vnd.openxmlformats-package.relationships+xml"/>
  <Override PartName="/xl/drawings/_rels/drawing5.xml.rels" ContentType="application/vnd.openxmlformats-package.relationships+xml"/>
  <Override PartName="/xl/drawings/vmlDrawing2.vml" ContentType="application/vnd.openxmlformats-officedocument.vmlDrawing"/>
  <Override PartName="/xl/drawings/drawing3.xml" ContentType="application/vnd.openxmlformats-officedocument.drawing+xml"/>
  <Override PartName="/xl/drawings/vmlDrawing5.vml" ContentType="application/vnd.openxmlformats-officedocument.vmlDrawing"/>
  <Override PartName="/xl/drawings/vmlDrawing3.vml" ContentType="application/vnd.openxmlformats-officedocument.vmlDrawing"/>
  <Override PartName="/xl/drawings/drawing4.xml" ContentType="application/vnd.openxmlformats-officedocument.drawing+xml"/>
  <Override PartName="/xl/drawings/vmlDrawing6.vml" ContentType="application/vnd.openxmlformats-officedocument.vmlDrawing"/>
  <Override PartName="/xl/drawings/vmlDrawing7.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11.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omments6.xml" ContentType="application/vnd.openxmlformats-officedocument.spreadsheetml.comments+xml"/>
  <Override PartName="/xl/styles.xml" ContentType="application/vnd.openxmlformats-officedocument.spreadsheetml.styles+xml"/>
  <Override PartName="/xl/tables/table34.xml" ContentType="application/vnd.openxmlformats-officedocument.spreadsheetml.table+xml"/>
  <Override PartName="/xl/tables/table5.xml" ContentType="application/vnd.openxmlformats-officedocument.spreadsheetml.table+xml"/>
  <Override PartName="/xl/tables/table39.xml" ContentType="application/vnd.openxmlformats-officedocument.spreadsheetml.table+xml"/>
  <Override PartName="/xl/tables/table30.xml" ContentType="application/vnd.openxmlformats-officedocument.spreadsheetml.table+xml"/>
  <Override PartName="/xl/tables/table28.xml" ContentType="application/vnd.openxmlformats-officedocument.spreadsheetml.table+xml"/>
  <Override PartName="/xl/tables/table33.xml" ContentType="application/vnd.openxmlformats-officedocument.spreadsheetml.table+xml"/>
  <Override PartName="/xl/tables/table32.xml" ContentType="application/vnd.openxmlformats-officedocument.spreadsheetml.table+xml"/>
  <Override PartName="/xl/tables/table36.xml" ContentType="application/vnd.openxmlformats-officedocument.spreadsheetml.table+xml"/>
  <Override PartName="/xl/tables/table2.xml" ContentType="application/vnd.openxmlformats-officedocument.spreadsheetml.table+xml"/>
  <Override PartName="/xl/tables/table1.xml" ContentType="application/vnd.openxmlformats-officedocument.spreadsheetml.table+xml"/>
  <Override PartName="/xl/tables/table35.xml" ContentType="application/vnd.openxmlformats-officedocument.spreadsheetml.table+xml"/>
  <Override PartName="/xl/tables/table31.xml" ContentType="application/vnd.openxmlformats-officedocument.spreadsheetml.table+xml"/>
  <Override PartName="/xl/tables/table11.xml" ContentType="application/vnd.openxmlformats-officedocument.spreadsheetml.table+xml"/>
  <Override PartName="/xl/tables/table9.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20.xml" ContentType="application/vnd.openxmlformats-officedocument.spreadsheetml.table+xml"/>
  <Override PartName="/xl/tables/table19.xml" ContentType="application/vnd.openxmlformats-officedocument.spreadsheetml.table+xml"/>
  <Override PartName="/xl/tables/table21.xml" ContentType="application/vnd.openxmlformats-officedocument.spreadsheetml.table+xml"/>
  <Override PartName="/xl/tables/table41.xml" ContentType="application/vnd.openxmlformats-officedocument.spreadsheetml.table+xml"/>
  <Override PartName="/xl/tables/table4.xml" ContentType="application/vnd.openxmlformats-officedocument.spreadsheetml.table+xml"/>
  <Override PartName="/xl/tables/table38.xml" ContentType="application/vnd.openxmlformats-officedocument.spreadsheetml.table+xml"/>
  <Override PartName="/xl/tables/table40.xml" ContentType="application/vnd.openxmlformats-officedocument.spreadsheetml.table+xml"/>
  <Override PartName="/xl/tables/table26.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tables/table37.xml" ContentType="application/vnd.openxmlformats-officedocument.spreadsheetml.table+xml"/>
  <Override PartName="/xl/tables/table6.xml" ContentType="application/vnd.openxmlformats-officedocument.spreadsheetml.table+xml"/>
  <Override PartName="/xl/tables/table25.xml" ContentType="application/vnd.openxmlformats-officedocument.spreadsheetml.table+xml"/>
  <Override PartName="/xl/tables/table22.xml" ContentType="application/vnd.openxmlformats-officedocument.spreadsheetml.table+xml"/>
  <Override PartName="/xl/tables/table10.xml" ContentType="application/vnd.openxmlformats-officedocument.spreadsheetml.table+xml"/>
  <Override PartName="/xl/tables/table8.xml" ContentType="application/vnd.openxmlformats-officedocument.spreadsheetml.table+xml"/>
  <Override PartName="/xl/tables/table27.xml" ContentType="application/vnd.openxmlformats-officedocument.spreadsheetml.table+xml"/>
  <Override PartName="/xl/tables/table29.xml" ContentType="application/vnd.openxmlformats-officedocument.spreadsheetml.table+xml"/>
  <Override PartName="/xl/worksheets/_rels/sheet14.xml.rels" ContentType="application/vnd.openxmlformats-package.relationships+xml"/>
  <Override PartName="/xl/worksheets/_rels/sheet8.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5.xml.rels" ContentType="application/vnd.openxmlformats-package.relationships+xml"/>
  <Override PartName="/xl/worksheets/_rels/sheet9.xml.rels" ContentType="application/vnd.openxmlformats-package.relationships+xml"/>
  <Override PartName="/xl/worksheets/_rels/sheet15.xml.rels" ContentType="application/vnd.openxmlformats-package.relationships+xml"/>
  <Override PartName="/xl/worksheets/_rels/sheet19.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comments9.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11"/>
  </bookViews>
  <sheets>
    <sheet name="Instructions" sheetId="1" state="visible" r:id="rId3"/>
    <sheet name="Dashboard" sheetId="2" state="visible" r:id="rId4"/>
    <sheet name="Status Report" sheetId="3" state="visible" r:id="rId5"/>
    <sheet name="Schedule Report" sheetId="4" state="visible" r:id="rId6"/>
    <sheet name="Resource Report" sheetId="5" state="visible" r:id="rId7"/>
    <sheet name="Agile Report" sheetId="6" state="visible" r:id="rId8"/>
    <sheet name="RAID" sheetId="7" state="visible" r:id="rId9"/>
    <sheet name="Decisions" sheetId="8" state="visible" r:id="rId10"/>
    <sheet name="Changes" sheetId="9" state="visible" r:id="rId11"/>
    <sheet name="History" sheetId="10" state="visible" r:id="rId12"/>
    <sheet name="Settings" sheetId="11" state="visible" r:id="rId13"/>
    <sheet name="Tasks" sheetId="12" state="visible" r:id="rId14"/>
    <sheet name="Gantt" sheetId="13" state="visible" r:id="rId15"/>
    <sheet name="Resources" sheetId="14" state="visible" r:id="rId16"/>
    <sheet name="Sprints" sheetId="15" state="visible" r:id="rId17"/>
    <sheet name="Holidays" sheetId="16" state="visible" r:id="rId18"/>
    <sheet name="MSP_Tasks" sheetId="17" state="visible" r:id="rId19"/>
    <sheet name="MSP_Resources" sheetId="18" state="visible" r:id="rId20"/>
    <sheet name="Lists" sheetId="19" state="visible" r:id="rId21"/>
  </sheets>
  <definedNames>
    <definedName function="false" hidden="false" name="agl_CurCommitted" vbProcedure="false">'Agile Report'!$D$15</definedName>
    <definedName function="false" hidden="false" name="agl_CurDone" vbProcedure="false">'Agile Report'!$D$16</definedName>
    <definedName function="false" hidden="false" name="agl_Current" vbProcedure="false">'Agile Report'!$D$14</definedName>
    <definedName function="false" hidden="false" name="agl_Done" vbProcedure="false">'Agile Report'!$D$6</definedName>
    <definedName function="false" hidden="false" name="agl_FinishDate" vbProcedure="false">'Agile Report'!$D$12</definedName>
    <definedName function="false" hidden="false" name="agl_FinishSprint" vbProcedure="false">'Agile Report'!$D$11</definedName>
    <definedName function="false" hidden="false" name="agl_LastClosed" vbProcedure="false">'Agile Report'!$D$10</definedName>
    <definedName function="false" hidden="false" name="agl_Remaining" vbProcedure="false">'Agile Report'!$D$7</definedName>
    <definedName function="false" hidden="false" name="agl_ScheduleFinish" vbProcedure="false">'Agile Report'!$D$13</definedName>
    <definedName function="false" hidden="false" name="agl_SprintsLeft" vbProcedure="false">'Agile Report'!$D$9</definedName>
    <definedName function="false" hidden="false" name="agl_Total" vbProcedure="false">'Agile Report'!$D$5</definedName>
    <definedName function="false" hidden="false" name="agl_Unestimated" vbProcedure="false">'Agile Report'!$D$17</definedName>
    <definedName function="false" hidden="false" name="agl_Velocity" vbProcedure="false">'Agile Report'!$D$8</definedName>
    <definedName function="false" hidden="false" name="chg_Cost" vbProcedure="false">ChangeLog[Cost Impact]</definedName>
    <definedName function="false" hidden="false" name="chg_Days" vbProcedure="false">ChangeLog[Schedule Impact]</definedName>
    <definedName function="false" hidden="false" name="chg_Status" vbProcedure="false">ChangeLog[Status]</definedName>
    <definedName function="false" hidden="false" name="CriticalSlackDays" vbProcedure="false">Settings!$C$34</definedName>
    <definedName function="false" hidden="false" name="CurrentSprint" vbProcedure="false">Settings!$C$30</definedName>
    <definedName function="false" hidden="false" name="CurrentSprintEnd" vbProcedure="false">Settings!$C$32</definedName>
    <definedName function="false" hidden="false" name="CurrentSprintStart" vbProcedure="false">Settings!$C$31</definedName>
    <definedName function="false" hidden="false" name="dec_Status" vbProcedure="false">DecisionLog[Status]</definedName>
    <definedName function="false" hidden="false" name="DefaultUnits" vbProcedure="false">Settings!$C$14</definedName>
    <definedName function="false" hidden="false" name="evm_AC" vbProcedure="false">'Status Report'!$D$21</definedName>
    <definedName function="false" hidden="false" name="evm_BAC" vbProcedure="false">'Status Report'!$D$18</definedName>
    <definedName function="false" hidden="false" name="evm_CPI" vbProcedure="false">'Status Report'!$D$25</definedName>
    <definedName function="false" hidden="false" name="evm_CV" vbProcedure="false">'Status Report'!$D$23</definedName>
    <definedName function="false" hidden="false" name="evm_EAC" vbProcedure="false">'Status Report'!$D$26</definedName>
    <definedName function="false" hidden="false" name="evm_ETC" vbProcedure="false">'Status Report'!$D$27</definedName>
    <definedName function="false" hidden="false" name="evm_EV" vbProcedure="false">'Status Report'!$D$20</definedName>
    <definedName function="false" hidden="false" name="evm_PctEarned" vbProcedure="false">'Status Report'!$D$30</definedName>
    <definedName function="false" hidden="false" name="evm_PctPlanned" vbProcedure="false">'Status Report'!$D$31</definedName>
    <definedName function="false" hidden="false" name="evm_PV" vbProcedure="false">'Status Report'!$D$19</definedName>
    <definedName function="false" hidden="false" name="evm_SPI" vbProcedure="false">'Status Report'!$D$24</definedName>
    <definedName function="false" hidden="false" name="evm_SV" vbProcedure="false">'Status Report'!$D$22</definedName>
    <definedName function="false" hidden="false" name="evm_TCPI" vbProcedure="false">'Status Report'!$D$29</definedName>
    <definedName function="false" hidden="false" name="evm_VAC" vbProcedure="false">'Status Report'!$D$28</definedName>
    <definedName function="false" hidden="false" name="FinishVarianceDays" vbProcedure="false">Settings!$C$37</definedName>
    <definedName function="false" hidden="false" name="GanttPeriod" vbProcedure="false">Settings!$C$24</definedName>
    <definedName function="false" hidden="false" name="GanttStart" vbProcedure="false">Settings!$C$23</definedName>
    <definedName function="false" hidden="false" name="gantt_Origin" vbProcedure="false">Gantt!$V$5</definedName>
    <definedName function="false" hidden="false" name="Holidays" vbProcedure="false">HolidayTable[Date]</definedName>
    <definedName function="false" hidden="false" name="HoursPerDay" vbProcedure="false">Settings!$C$13</definedName>
    <definedName function="false" hidden="false" name="load_Grid" vbProcedure="false">Sprints!$D$36:$AC$60</definedName>
    <definedName function="false" hidden="false" name="load_Origin" vbProcedure="false">Sprints!$B$34</definedName>
    <definedName function="false" hidden="false" name="LookaheadDays" vbProcedure="false">Settings!$C$38</definedName>
    <definedName function="false" hidden="false" name="LookaheadEnd" vbProcedure="false">Settings!$C$39</definedName>
    <definedName function="false" hidden="false" name="L_ChangeStatus" vbProcedure="false">ListChangeStatus[Change Status]</definedName>
    <definedName function="false" hidden="false" name="L_DecisionStatus" vbProcedure="false">ListDecisionStatus[Decision Status]</definedName>
    <definedName function="false" hidden="false" name="L_DepType" vbProcedure="false">ListDepType[Link Type]</definedName>
    <definedName function="false" hidden="false" name="L_Mode" vbProcedure="false">ListMode[Task Mode]</definedName>
    <definedName function="false" hidden="false" name="L_Period" vbProcedure="false">ListPeriod[Gantt Days per Column]</definedName>
    <definedName function="false" hidden="false" name="L_RAG" vbProcedure="false">ListRAG[RAG]</definedName>
    <definedName function="false" hidden="false" name="L_RAIDStatus" vbProcedure="false">ListRAIDStatus[RAID Status]</definedName>
    <definedName function="false" hidden="false" name="L_RAIDType" vbProcedure="false">ListRAIDType[RAID Type]</definedName>
    <definedName function="false" hidden="false" name="L_ResType" vbProcedure="false">ListResType[Resource Type]</definedName>
    <definedName function="false" hidden="false" name="L_YesNo" vbProcedure="false">ListYesNo[Yes / No]</definedName>
    <definedName function="false" hidden="false" name="NextFreeUID" vbProcedure="false">Settings!$C$47</definedName>
    <definedName function="false" hidden="false" name="PlannedFinish" vbProcedure="false">Settings!$C$36</definedName>
    <definedName function="false" hidden="false" name="ProjectFinish" vbProcedure="false">Settings!$C$35</definedName>
    <definedName function="false" hidden="false" name="ProjectManager" vbProcedure="false">Settings!$C$6</definedName>
    <definedName function="false" hidden="false" name="ProjectName" vbProcedure="false">Settings!$C$5</definedName>
    <definedName function="false" hidden="false" name="ProjectRAG" vbProcedure="false">OverallStatus[RAG]</definedName>
    <definedName function="false" hidden="false" name="ProjectStart" vbProcedure="false">Settings!$C$8</definedName>
    <definedName function="false" hidden="false" name="ProjectStartDate" vbProcedure="false">Settings!$C$7</definedName>
    <definedName function="false" hidden="false" name="RAGAmberIndex" vbProcedure="false">Settings!$C$42</definedName>
    <definedName function="false" hidden="false" name="RAGAmberSlipDays" vbProcedure="false">Settings!$C$40</definedName>
    <definedName function="false" hidden="false" name="RAGRedIndex" vbProcedure="false">Settings!$C$43</definedName>
    <definedName function="false" hidden="false" name="RAGRedSlipDays" vbProcedure="false">Settings!$C$41</definedName>
    <definedName function="false" hidden="false" name="RAIDHighScore" vbProcedure="false">Settings!$C$44</definedName>
    <definedName function="false" hidden="false" name="RAIDMediumScore" vbProcedure="false">Settings!$C$45</definedName>
    <definedName function="false" hidden="false" name="raid_Due" vbProcedure="false">RAIDLog[Due]</definedName>
    <definedName function="false" hidden="false" name="raid_Label" vbProcedure="false">RAIDLog[_Label]</definedName>
    <definedName function="false" hidden="false" name="raid_Overdue" vbProcedure="false">RAIDLog[Overdue]</definedName>
    <definedName function="false" hidden="false" name="raid_Owner" vbProcedure="false">RAIDLog[Owner]</definedName>
    <definedName function="false" hidden="false" name="raid_Rating" vbProcedure="false">RAIDLog[Rating]</definedName>
    <definedName function="false" hidden="false" name="raid_Ref" vbProcedure="false">RAIDLog[Ref]</definedName>
    <definedName function="false" hidden="false" name="raid_Response" vbProcedure="false">RAIDLog[Response]</definedName>
    <definedName function="false" hidden="false" name="raid_Score" vbProcedure="false">RAIDLog[Score]</definedName>
    <definedName function="false" hidden="false" name="raid_Status" vbProcedure="false">RAIDLog[Status]</definedName>
    <definedName function="false" hidden="false" name="raid_Task" vbProcedure="false">RAIDLog[Task]</definedName>
    <definedName function="false" hidden="false" name="raid_Title" vbProcedure="false">RAIDLog[Title]</definedName>
    <definedName function="false" hidden="false" name="raid_TopKey" vbProcedure="false">RAIDLog[_TopKey]</definedName>
    <definedName function="false" hidden="false" name="raid_Type" vbProcedure="false">RAIDLog[Type]</definedName>
    <definedName function="false" hidden="false" name="RescheduleAfterStatus" vbProcedure="false">Settings!$C$12</definedName>
    <definedName function="false" hidden="false" name="ResourceWeekStart" vbProcedure="false">Settings!$C$46</definedName>
    <definedName function="false" hidden="false" name="res_Email" vbProcedure="false">ResourceTable[Email]</definedName>
    <definedName function="false" hidden="false" name="res_Group" vbProcedure="false">ResourceTable[Group]</definedName>
    <definedName function="false" hidden="false" name="res_Initials" vbProcedure="false">ResourceTable[Initials]</definedName>
    <definedName function="false" hidden="false" name="res_MaxUnits" vbProcedure="false">ResourceTable[Max Units]</definedName>
    <definedName function="false" hidden="false" name="res_Name" vbProcedure="false">ResourceTable[Resource Name]</definedName>
    <definedName function="false" hidden="false" name="res_Rate" vbProcedure="false">ResourceTable[Std Rate]</definedName>
    <definedName function="false" hidden="false" name="res_Type" vbProcedure="false">ResourceTable[Type]</definedName>
    <definedName function="false" hidden="false" name="rw_Cum" vbProcedure="false">'Resource Report'!$D$96:$AD$120</definedName>
    <definedName function="false" hidden="false" name="rw_CumOrigin" vbProcedure="false">'Resource Report'!$B$95</definedName>
    <definedName function="false" hidden="false" name="rw_Load" vbProcedure="false">'Resource Report'!$D$36:$AC$60</definedName>
    <definedName function="false" hidden="false" name="rw_LoadOrigin" vbProcedure="false">'Resource Report'!$B$34</definedName>
    <definedName function="false" hidden="false" name="rw_Util" vbProcedure="false">'Resource Report'!$D$68:$AC$92</definedName>
    <definedName function="false" hidden="false" name="rw_UtilOrigin" vbProcedure="false">'Resource Report'!$B$66</definedName>
    <definedName function="false" hidden="false" name="rw_WeekDays" vbProcedure="false">'Resource Report'!$D$35:$AC$35</definedName>
    <definedName function="false" hidden="false" name="Sprint1Start" vbProcedure="false">Settings!$C$25</definedName>
    <definedName function="false" hidden="false" name="SprintCount" vbProcedure="false">Settings!$C$27</definedName>
    <definedName function="false" hidden="false" name="SprintLastEnd" vbProcedure="false">Settings!$C$29</definedName>
    <definedName function="false" hidden="false" name="SprintLength" vbProcedure="false">Settings!$C$26</definedName>
    <definedName function="false" hidden="false" name="SprintPrefix" vbProcedure="false">Settings!$C$28</definedName>
    <definedName function="false" hidden="false" name="spr_Capacity" vbProcedure="false">SprintTable[Capacity]</definedName>
    <definedName function="false" hidden="false" name="spr_Committed" vbProcedure="false">SprintTable[Committed Points]</definedName>
    <definedName function="false" hidden="false" name="spr_Done" vbProcedure="false">SprintTable[Done Points]</definedName>
    <definedName function="false" hidden="false" name="spr_End" vbProcedure="false">SprintTable[End]</definedName>
    <definedName function="false" hidden="false" name="spr_Name" vbProcedure="false">SprintTable[Sprint]</definedName>
    <definedName function="false" hidden="false" name="spr_Remaining" vbProcedure="false">SprintTable[Remaining Points]</definedName>
    <definedName function="false" hidden="false" name="spr_Start" vbProcedure="false">SprintTable[Start]</definedName>
    <definedName function="false" hidden="false" name="spr_Status" vbProcedure="false">SprintTable[Status]</definedName>
    <definedName function="false" hidden="false" name="spr_Velocity" vbProcedure="false">SprintTable[Velocity]</definedName>
    <definedName function="false" hidden="false" name="spr_Work" vbProcedure="false">SprintTable[Planned Work]</definedName>
    <definedName function="false" hidden="false" name="spr_WorkDays" vbProcedure="false">SprintTable[Working Days]</definedName>
    <definedName function="false" hidden="false" name="StatusDate" vbProcedure="false">Settings!$C$10</definedName>
    <definedName function="false" hidden="false" name="StatusDateInput" vbProcedure="false">Settings!$C$9</definedName>
    <definedName function="false" hidden="false" name="StatusWorkday" vbProcedure="false">Settings!$C$11</definedName>
    <definedName function="false" hidden="false" name="TotalPoints" vbProcedure="false">Settings!$C$33</definedName>
    <definedName function="false" hidden="false" name="tsk_AC" vbProcedure="false">Tasks[AC]</definedName>
    <definedName function="false" hidden="false" name="tsk_ActCostInput" vbProcedure="false">Tasks[Actual Cost]</definedName>
    <definedName function="false" hidden="false" name="tsk_ActFinish" vbProcedure="false">Tasks[Actual Finish]</definedName>
    <definedName function="false" hidden="false" name="tsk_ActStart" vbProcedure="false">Tasks[Actual Start]</definedName>
    <definedName function="false" hidden="false" name="tsk_BaseCost" vbProcedure="false">Tasks[Baseline Cost]</definedName>
    <definedName function="false" hidden="false" name="tsk_BaseDuration" vbProcedure="false">Tasks[Baseline Duration]</definedName>
    <definedName function="false" hidden="false" name="tsk_BaseFinish" vbProcedure="false">Tasks[Baseline Finish]</definedName>
    <definedName function="false" hidden="false" name="tsk_BaseStart" vbProcedure="false">Tasks[Baseline Start]</definedName>
    <definedName function="false" hidden="false" name="tsk_BaseWork" vbProcedure="false">Tasks[Baseline Work]</definedName>
    <definedName function="false" hidden="false" name="tsk_Budget" vbProcedure="false">Tasks[Budget]</definedName>
    <definedName function="false" hidden="false" name="tsk_CalcFinish" vbProcedure="false">Tasks[_CalcFinish]</definedName>
    <definedName function="false" hidden="false" name="tsk_CalcStart" vbProcedure="false">Tasks[_CalcStart]</definedName>
    <definedName function="false" hidden="false" name="tsk_Constraint" vbProcedure="false">Tasks[Start No Earlier Than]</definedName>
    <definedName function="false" hidden="false" name="tsk_Cost" vbProcedure="false">Tasks[Cost]</definedName>
    <definedName function="false" hidden="false" name="tsk_CostVariance" vbProcedure="false">Tasks[Cost Var]</definedName>
    <definedName function="false" hidden="false" name="tsk_Critical" vbProcedure="false">Tasks[Critical]</definedName>
    <definedName function="false" hidden="false" name="tsk_CriticalKey" vbProcedure="false">Tasks[_CriticalKey]</definedName>
    <definedName function="false" hidden="false" name="tsk_CurrentSprintKey" vbProcedure="false">Tasks[_CurrentSprintKey]</definedName>
    <definedName function="false" hidden="false" name="tsk_Deadline" vbProcedure="false">Tasks[Deadline]</definedName>
    <definedName function="false" hidden="false" name="tsk_DeadlineCheck" vbProcedure="false">Tasks[Deadline Check]</definedName>
    <definedName function="false" hidden="false" name="tsk_DoneDate" vbProcedure="false">Tasks[_DoneDate]</definedName>
    <definedName function="false" hidden="false" name="tsk_DueSoonKey" vbProcedure="false">Tasks[_DueSoonKey]</definedName>
    <definedName function="false" hidden="false" name="tsk_Duration" vbProcedure="false">Tasks[Duration]</definedName>
    <definedName function="false" hidden="false" name="tsk_DurationVariance" vbProcedure="false">Tasks[Duration Var]</definedName>
    <definedName function="false" hidden="false" name="tsk_EV" vbProcedure="false">Tasks[EV]</definedName>
    <definedName function="false" hidden="false" name="tsk_FcFinish" vbProcedure="false">Tasks[Forecast Finish]</definedName>
    <definedName function="false" hidden="false" name="tsk_FcStart" vbProcedure="false">Tasks[Forecast Start]</definedName>
    <definedName function="false" hidden="false" name="tsk_FinishWD" vbProcedure="false">Tasks[_FinishWorkday]</definedName>
    <definedName function="false" hidden="false" name="tsk_FreeSlack" vbProcedure="false">Tasks[Free Slack]</definedName>
    <definedName function="false" hidden="false" name="tsk_ID" vbProcedure="false">Tasks[ID]</definedName>
    <definedName function="false" hidden="false" name="tsk_IsLeaf" vbProcedure="false">Tasks[_IsLeaf]</definedName>
    <definedName function="false" hidden="false" name="tsk_IsSummary" vbProcedure="false">Tasks[_IsSummary]</definedName>
    <definedName function="false" hidden="false" name="tsk_LateFinish" vbProcedure="false">Tasks[Late Finish]</definedName>
    <definedName function="false" hidden="false" name="tsk_LateKey" vbProcedure="false">Tasks[_LateKey]</definedName>
    <definedName function="false" hidden="false" name="tsk_LateStart" vbProcedure="false">Tasks[Late Start]</definedName>
    <definedName function="false" hidden="false" name="tsk_LeafAC" vbProcedure="false">Tasks[_LeafAC]</definedName>
    <definedName function="false" hidden="false" name="tsk_LeafBudget" vbProcedure="false">Tasks[_LeafBudget]</definedName>
    <definedName function="false" hidden="false" name="tsk_LeafEV" vbProcedure="false">Tasks[_LeafEV]</definedName>
    <definedName function="false" hidden="false" name="tsk_LeafPoints" vbProcedure="false">Tasks[_LeafPoints]</definedName>
    <definedName function="false" hidden="false" name="tsk_LeafPV" vbProcedure="false">Tasks[_LeafPV]</definedName>
    <definedName function="false" hidden="false" name="tsk_LeafWork" vbProcedure="false">Tasks[_LeafWork]</definedName>
    <definedName function="false" hidden="false" name="tsk_LeafWorkDone" vbProcedure="false">Tasks[_LeafWorkDone]</definedName>
    <definedName function="false" hidden="false" name="tsk_Level" vbProcedure="false">Tasks[_Level]</definedName>
    <definedName function="false" hidden="false" name="tsk_LinkCheck" vbProcedure="false">Tasks[Link Check]</definedName>
    <definedName function="false" hidden="false" name="tsk_MilestoneKey" vbProcedure="false">Tasks[_MilestoneKey]</definedName>
    <definedName function="false" hidden="false" name="tsk_MilestoneOrder" vbProcedure="false">Tasks[_MilestoneOrder]</definedName>
    <definedName function="false" hidden="false" name="tsk_Mode" vbProcedure="false">Tasks[Mode]</definedName>
    <definedName function="false" hidden="false" name="tsk_Name" vbProcedure="false">Tasks[Task Name]</definedName>
    <definedName function="false" hidden="false" name="tsk_Notes" vbProcedure="false">Tasks[Notes]</definedName>
    <definedName function="false" hidden="false" name="tsk_PctInput" vbProcedure="false">Tasks[% Complete]</definedName>
    <definedName function="false" hidden="false" name="tsk_Phase" vbProcedure="false">Tasks[_Phase]</definedName>
    <definedName function="false" hidden="false" name="tsk_PhaseKey" vbProcedure="false">Tasks[_PhaseKey]</definedName>
    <definedName function="false" hidden="false" name="tsk_PlanFinish" vbProcedure="false">Tasks[Planned Finish]</definedName>
    <definedName function="false" hidden="false" name="tsk_PlannedPct" vbProcedure="false">Tasks[_PlannedPct]</definedName>
    <definedName function="false" hidden="false" name="tsk_PlannedSprint" vbProcedure="false">Tasks[Planned Sprint]</definedName>
    <definedName function="false" hidden="false" name="tsk_PlanStart" vbProcedure="false">Tasks[Planned Start]</definedName>
    <definedName function="false" hidden="false" name="tsk_Predecessors" vbProcedure="false">Tasks[Predecessors]</definedName>
    <definedName function="false" hidden="false" name="tsk_Progress" vbProcedure="false">Tasks[Progress]</definedName>
    <definedName function="false" hidden="false" name="tsk_PV" vbProcedure="false">Tasks[PV]</definedName>
    <definedName function="false" hidden="false" name="tsk_Resource" vbProcedure="false">Tasks[Resource]</definedName>
    <definedName function="false" hidden="false" name="tsk_SourceDuration" vbProcedure="false">Tasks[BL Source Duration]</definedName>
    <definedName function="false" hidden="false" name="tsk_Sprint" vbProcedure="false">Tasks[Sprint]</definedName>
    <definedName function="false" hidden="false" name="tsk_StartSoonKey" vbProcedure="false">Tasks[_StartSoonKey]</definedName>
    <definedName function="false" hidden="false" name="tsk_StartVariance" vbProcedure="false">Tasks[Start Var]</definedName>
    <definedName function="false" hidden="false" name="tsk_StartWD" vbProcedure="false">Tasks[_StartWorkday]</definedName>
    <definedName function="false" hidden="false" name="tsk_Status" vbProcedure="false">Tasks[Status]</definedName>
    <definedName function="false" hidden="false" name="tsk_StoryPoints" vbProcedure="false">Tasks[Story Points]</definedName>
    <definedName function="false" hidden="false" name="tsk_TotalSlack" vbProcedure="false">Tasks[Total Slack]</definedName>
    <definedName function="false" hidden="false" name="tsk_UID" vbProcedure="false">Tasks[UID]</definedName>
    <definedName function="false" hidden="false" name="tsk_UIDPredecessors" vbProcedure="false">Tasks[_UIDPredecessors]</definedName>
    <definedName function="false" hidden="false" name="tsk_Units" vbProcedure="false">Tasks[Units]</definedName>
    <definedName function="false" hidden="false" name="tsk_Variance" vbProcedure="false">Tasks[Finish Var]</definedName>
    <definedName function="false" hidden="false" name="tsk_WBS" vbProcedure="false">Tasks[WBS]</definedName>
    <definedName function="false" hidden="false" name="tsk_Work" vbProcedure="false">Tasks[Work]</definedName>
    <definedName function="false" hidden="false" name="tsk_WorkBeforeStart" vbProcedure="false">Tasks[_WorkBeforeStart]</definedName>
    <definedName function="false" hidden="false" name="tsk_WorkPerWD" vbProcedure="false">Tasks[_WorkPerWorkday]</definedName>
    <definedName function="false" hidden="false" name="tsk_WorkVariance" vbProcedure="false">Tasks[Work Var]</definedName>
    <definedName function="false" hidden="false" name="tsk_WtDone" vbProcedure="false">Tasks[_WeightDone]</definedName>
    <definedName function="false" hidden="false" name="tsk_WtDur" vbProcedure="false">Tasks[_WeightDur]</definedName>
    <definedName function="false" hidden="false" name="util_Origin" vbProcedure="false">Sprints!$B$64</definedName>
    <definedName function="false" hidden="false" name="WorkFri" vbProcedure="false">Settings!$C$19</definedName>
    <definedName function="false" hidden="false" name="WorkMon" vbProcedure="false">Settings!$C$15</definedName>
    <definedName function="false" hidden="false" name="WorkSat" vbProcedure="false">Settings!$C$20</definedName>
    <definedName function="false" hidden="false" name="WorkSun" vbProcedure="false">Settings!$C$21</definedName>
    <definedName function="false" hidden="false" name="WorkThu" vbProcedure="false">Settings!$C$18</definedName>
    <definedName function="false" hidden="false" name="WorkTue" vbProcedure="false">Settings!$C$16</definedName>
    <definedName function="false" hidden="false" name="WorkWed" vbProcedure="false">Settings!$C$17</definedName>
    <definedName function="false" hidden="false" name="WorkWeek" vbProcedure="false">Settings!$C$22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34"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E4"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E7"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F4"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F7"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4"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7"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4"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7"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5"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B18"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20</xdr:rowOff>
              </xdr:from>
              <xdr:to>
                <xdr:col>3</xdr:col>
                <xdr:colOff>142</xdr:colOff>
                <xdr:row>4</xdr:row>
                <xdr:rowOff>13</xdr:rowOff>
              </xdr:to>
            </anchor>
          </commentPr>
        </mc:Choice>
        <mc:Fallback/>
      </mc:AlternateContent>
    </comment>
    <comment ref="B36"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1</xdr:row>
                <xdr:rowOff>6</xdr:rowOff>
              </xdr:from>
              <xdr:to>
                <xdr:col>3</xdr:col>
                <xdr:colOff>142</xdr:colOff>
                <xdr:row>4</xdr:row>
                <xdr:rowOff>25</xdr:rowOff>
              </xdr:to>
            </anchor>
          </commentPr>
        </mc:Choice>
        <mc:Fallback/>
      </mc:AlternateContent>
    </comment>
    <comment ref="B54"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1</xdr:row>
                <xdr:rowOff>17</xdr:rowOff>
              </xdr:from>
              <xdr:to>
                <xdr:col>3</xdr:col>
                <xdr:colOff>142</xdr:colOff>
                <xdr:row>5</xdr:row>
                <xdr:rowOff>5</xdr:rowOff>
              </xdr:to>
            </anchor>
          </commentPr>
        </mc:Choice>
        <mc:Fallback/>
      </mc:AlternateContent>
    </comment>
    <comment ref="B72"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2</xdr:row>
                <xdr:rowOff>9</xdr:rowOff>
              </xdr:from>
              <xdr:to>
                <xdr:col>3</xdr:col>
                <xdr:colOff>142</xdr:colOff>
                <xdr:row>5</xdr:row>
                <xdr:rowOff>16</xdr:rowOff>
              </xdr:to>
            </anchor>
          </commentPr>
        </mc:Choice>
        <mc:Fallback/>
      </mc:AlternateContent>
    </comment>
    <comment ref="B9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3</xdr:row>
                <xdr:rowOff>1</xdr:rowOff>
              </xdr:from>
              <xdr:to>
                <xdr:col>3</xdr:col>
                <xdr:colOff>142</xdr:colOff>
                <xdr:row>6</xdr:row>
                <xdr:rowOff>8</xdr:rowOff>
              </xdr:to>
            </anchor>
          </commentPr>
        </mc:Choice>
        <mc:Fallback/>
      </mc:AlternateContent>
    </comment>
    <comment ref="M5" authorId="0">
      <text>
        <r>
          <rPr>
            <sz val="10"/>
            <rFont val="Arial"/>
            <family val="2"/>
          </rPr>
          <t xml:space="preserve">Earned value / planned value. Below 1 = behind.</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N5" authorId="0">
      <text>
        <r>
          <rPr>
            <sz val="10"/>
            <rFont val="Arial"/>
            <family val="2"/>
          </rPr>
          <t xml:space="preserve">Earned value / actual cost. Below 1 = over cost.</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O5" authorId="0">
      <text>
        <r>
          <rPr>
            <sz val="10"/>
            <rFont val="Arial"/>
            <family val="2"/>
          </rPr>
          <t xml:space="preserve">Unfinished critical tasks in the phase.</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P5" authorId="0">
      <text>
        <r>
          <rPr>
            <sz val="10"/>
            <rFont val="Arial"/>
            <family val="2"/>
          </rPr>
          <t xml:space="preserve">Worst of finish slip, SPI and CPI against the Settings thresholds.</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E5" authorId="0">
      <text>
        <r>
          <rPr>
            <sz val="10"/>
            <rFont val="Arial"/>
            <family val="2"/>
          </rPr>
          <t xml:space="preserve">Assigned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Work x Progress.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J5" authorId="0">
      <text>
        <r>
          <rPr>
            <sz val="10"/>
            <rFont val="Arial"/>
            <family val="2"/>
          </rPr>
          <t xml:space="preserve">Unfinished tasks forecast to finish after plan, or not started on time (Schedule Report).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4</xdr:rowOff>
              </xdr:to>
            </anchor>
          </commentPr>
        </mc:Choice>
        <mc:Fallback/>
      </mc:AlternateContent>
    </comment>
    <comment ref="L5" authorId="0">
      <text>
        <r>
          <rPr>
            <sz val="10"/>
            <rFont val="Arial"/>
            <family val="2"/>
          </rPr>
          <t xml:space="preserve">Most hours in any week shown in the grid below.</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M5" authorId="0">
      <text>
        <r>
          <rPr>
            <sz val="10"/>
            <rFont val="Arial"/>
            <family val="2"/>
          </rPr>
          <t xml:space="preserve">Highest weekly utilisation in the grid.</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N5" authorId="0">
      <text>
        <r>
          <rPr>
            <sz val="10"/>
            <rFont val="Arial"/>
            <family val="2"/>
          </rPr>
          <t xml:space="preserve">Weeks in the grid above 100% of capacity.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2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8</xdr:rowOff>
              </xdr:from>
              <xdr:to>
                <xdr:col>3</xdr:col>
                <xdr:colOff>-125</xdr:colOff>
                <xdr:row>4</xdr:row>
                <xdr:rowOff>1</xdr:rowOff>
              </xdr:to>
            </anchor>
          </commentPr>
        </mc:Choice>
        <mc:Fallback/>
      </mc:AlternateContent>
    </comment>
    <comment ref="D43" authorId="0">
      <text>
        <r>
          <rPr>
            <sz val="10"/>
            <rFont val="Arial"/>
            <family val="2"/>
          </rPr>
          <t xml:space="preserve">Committed points not yet done at the end of the day (blank after the status date).</t>
        </r>
      </text>
      <mc:AlternateContent>
        <mc:Choice Requires="v2">
          <commentPr autoFill="true" autoScale="false" colHidden="false" locked="false" rowHidden="false" textHAlign="justify" textVAlign="top">
            <anchor moveWithCells="false" sizeWithCells="false">
              <xdr:from>
                <xdr:col>2</xdr:col>
                <xdr:colOff>57</xdr:colOff>
                <xdr:row>0</xdr:row>
                <xdr:rowOff>20</xdr:rowOff>
              </xdr:from>
              <xdr:to>
                <xdr:col>3</xdr:col>
                <xdr:colOff>-125</xdr:colOff>
                <xdr:row>4</xdr:row>
                <xdr:rowOff>13</xdr:rowOff>
              </xdr:to>
            </anchor>
          </commentPr>
        </mc:Choice>
        <mc:Fallback/>
      </mc:AlternateContent>
    </comment>
    <comment ref="E43" authorId="0">
      <text>
        <r>
          <rPr>
            <sz val="10"/>
            <rFont val="Arial"/>
            <family val="2"/>
          </rPr>
          <t xml:space="preserve">Straight line over the sprint's working days.</t>
        </r>
      </text>
      <mc:AlternateContent>
        <mc:Choice Requires="v2">
          <commentPr autoFill="true" autoScale="false" colHidden="false" locked="false" rowHidden="false" textHAlign="justify" textVAlign="top">
            <anchor moveWithCells="false" sizeWithCells="false">
              <xdr:from>
                <xdr:col>2</xdr:col>
                <xdr:colOff>57</xdr:colOff>
                <xdr:row>0</xdr:row>
                <xdr:rowOff>20</xdr:rowOff>
              </xdr:from>
              <xdr:to>
                <xdr:col>3</xdr:col>
                <xdr:colOff>-125</xdr:colOff>
                <xdr:row>4</xdr:row>
                <xdr:rowOff>13</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4" authorId="0">
      <text>
        <r>
          <rPr>
            <sz val="10"/>
            <rFont val="Arial"/>
            <family val="2"/>
          </rPr>
          <t xml:space="preserve">Permanent number, quoted in reports and other logs (e.g. RAID 3).</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G4" authorId="0">
      <text>
        <r>
          <rPr>
            <sz val="10"/>
            <rFont val="Arial"/>
            <family val="2"/>
          </rPr>
          <t xml:space="preserve">Date the next action or the mitigation is due.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I4" authorId="0">
      <text>
        <r>
          <rPr>
            <sz val="10"/>
            <rFont val="Arial"/>
            <family val="2"/>
          </rPr>
          <t xml:space="preserve">1 (rare) to 5 (almost certain). Ignored for issues.</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J4" authorId="0">
      <text>
        <r>
          <rPr>
            <sz val="10"/>
            <rFont val="Arial"/>
            <family val="2"/>
          </rPr>
          <t xml:space="preserve">1 (minor) to 5 (severe).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K4" authorId="0">
      <text>
        <r>
          <rPr>
            <sz val="10"/>
            <rFont val="Arial"/>
            <family val="2"/>
          </rPr>
          <t xml:space="preserve">Probability x Impact; an issue counts as probability 5.</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M4" authorId="0">
      <text>
        <r>
          <rPr>
            <sz val="10"/>
            <rFont val="Arial"/>
            <family val="2"/>
          </rPr>
          <t xml:space="preserve">Not closed and the due date is before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N4" authorId="0">
      <text>
        <r>
          <rPr>
            <sz val="10"/>
            <rFont val="Arial"/>
            <family val="2"/>
          </rPr>
          <t xml:space="preserve">UID of the task this item affects (optional).</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P4" authorId="0">
      <text>
        <r>
          <rPr>
            <sz val="10"/>
            <rFont val="Arial"/>
            <family val="2"/>
          </rPr>
          <t xml:space="preserve">The linked task's forecast finish.</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Q4" authorId="0">
      <text>
        <r>
          <rPr>
            <sz val="10"/>
            <rFont val="Arial"/>
            <family val="2"/>
          </rPr>
          <t xml:space="preserve">Mitigation, contingency or action.</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R4" authorId="0">
      <text>
        <r>
          <rPr>
            <sz val="10"/>
            <rFont val="Arial"/>
            <family val="2"/>
          </rPr>
          <t xml:space="preserve">Latest progress note.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S4" authorId="0">
      <text>
        <r>
          <rPr>
            <sz val="10"/>
            <rFont val="Arial"/>
            <family val="2"/>
          </rPr>
          <t xml:space="preserve">Type, Ref and Title in one cell, for the Status Report.</t>
        </r>
      </text>
      <mc:AlternateContent>
        <mc:Choice Requires="v2">
          <commentPr autoFill="true" autoScale="false" colHidden="tru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T4" authorId="0">
      <text>
        <r>
          <rPr>
            <sz val="10"/>
            <rFont val="Arial"/>
            <family val="2"/>
          </rPr>
          <t xml:space="preserve">Open items ranked by score (the Status Report's top list).</t>
        </r>
      </text>
      <mc:AlternateContent>
        <mc:Choice Requires="v2">
          <commentPr autoFill="true" autoScale="false" colHidden="tru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4" authorId="0">
      <text>
        <r>
          <rPr>
            <sz val="10"/>
            <rFont val="Arial"/>
            <family val="2"/>
          </rPr>
          <t xml:space="preserve">Days a proposed decision has waited, to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G4" authorId="0">
      <text>
        <r>
          <rPr>
            <sz val="10"/>
            <rFont val="Arial"/>
            <family val="2"/>
          </rPr>
          <t xml:space="preserve">Working days (negative = saves time).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L4" authorId="0">
      <text>
        <r>
          <rPr>
            <sz val="10"/>
            <rFont val="Arial"/>
            <family val="2"/>
          </rPr>
          <t xml:space="preserve">Days an undecided request has waited, to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1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Position in the list; renumbers when rows move (like MS Project).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5" authorId="0">
      <text>
        <r>
          <rPr>
            <sz val="10"/>
            <rFont val="Arial"/>
            <family val="2"/>
          </rPr>
          <t xml:space="preserve">Permanent number that predecessors refer to. Each task needs a different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C5" authorId="0">
      <text>
        <r>
          <rPr>
            <sz val="10"/>
            <rFont val="Arial"/>
            <family val="2"/>
          </rPr>
          <t xml:space="preserve">Outline number, generated from Level.</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D5" authorId="0">
      <text>
        <r>
          <rPr>
            <sz val="10"/>
            <rFont val="Arial"/>
            <family val="2"/>
          </rPr>
          <t xml:space="preserve">Outline level: 1 = phase, 2 = task, 3 = sub-task ... (at most 1 more than the row above).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F5" authorId="0">
      <text>
        <r>
          <rPr>
            <sz val="10"/>
            <rFont val="Arial"/>
            <family val="2"/>
          </rPr>
          <t xml:space="preserve">Auto = scheduled from predecessors. Manual = pinned to Start No Earlier Than.</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G5" authorId="0">
      <text>
        <r>
          <rPr>
            <sz val="10"/>
            <rFont val="Arial"/>
            <family val="2"/>
          </rPr>
          <t xml:space="preserve">Working days. 0 = milestone.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H5" authorId="0">
      <text>
        <r>
          <rPr>
            <sz val="10"/>
            <rFont val="Arial"/>
            <family val="2"/>
          </rPr>
          <t xml:space="preserve">UID of the predecessor.</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I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J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K5" authorId="0">
      <text>
        <r>
          <rPr>
            <sz val="10"/>
            <rFont val="Arial"/>
            <family val="2"/>
          </rPr>
          <t xml:space="preserve">UID of a second predecessor.</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L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M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N5" authorId="0">
      <text>
        <r>
          <rPr>
            <sz val="10"/>
            <rFont val="Arial"/>
            <family val="2"/>
          </rPr>
          <t xml:space="preserve">Auto tasks start no earlier than this. Manual tasks start exactly on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O5" authorId="0">
      <text>
        <r>
          <rPr>
            <sz val="10"/>
            <rFont val="Arial"/>
            <family val="2"/>
          </rPr>
          <t xml:space="preserve">Optional deadline; Deadline Check flags a forecast finish after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P5" authorId="0">
      <text>
        <r>
          <rPr>
            <sz val="10"/>
            <rFont val="Arial"/>
            <family val="2"/>
          </rPr>
          <t xml:space="preserve">Baseline Start if a baseline is set, otherwise calculated from durations and links.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Q5" authorId="0">
      <text>
        <r>
          <rPr>
            <sz val="10"/>
            <rFont val="Arial"/>
            <family val="2"/>
          </rPr>
          <t xml:space="preserve">Baseline Finish if a baseline is set, otherwise calculated.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T5" authorId="0">
      <text>
        <r>
          <rPr>
            <sz val="10"/>
            <rFont val="Arial"/>
            <family val="2"/>
          </rPr>
          <t xml:space="preserve">Current schedule: actuals where entered, otherwise recalculated from predecessors.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U5" authorId="0">
      <text>
        <r>
          <rPr>
            <sz val="10"/>
            <rFont val="Arial"/>
            <family val="2"/>
          </rPr>
          <t xml:space="preserve">Current schedule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V5" authorId="0">
      <text>
        <r>
          <rPr>
            <sz val="10"/>
            <rFont val="Arial"/>
            <family val="2"/>
          </rPr>
          <t xml:space="preserve">Forecast Start minus Planned Start, in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W5" authorId="0">
      <text>
        <r>
          <rPr>
            <sz val="10"/>
            <rFont val="Arial"/>
            <family val="2"/>
          </rPr>
          <t xml:space="preserve">Forecast Finish minus Planned Finish, in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X5" authorId="0">
      <text>
        <r>
          <rPr>
            <sz val="10"/>
            <rFont val="Arial"/>
            <family val="2"/>
          </rPr>
          <t xml:space="preserve">Latest start that doesn't delay the project finish or a deadline (critical path backward pass).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Y5" authorId="0">
      <text>
        <r>
          <rPr>
            <sz val="10"/>
            <rFont val="Arial"/>
            <family val="2"/>
          </rPr>
          <t xml:space="preserve">Latest finish that doesn't delay the project finish or a deadline.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Z5" authorId="0">
      <text>
        <r>
          <rPr>
            <sz val="10"/>
            <rFont val="Arial"/>
            <family val="2"/>
          </rPr>
          <t xml:space="preserve">Total slack: working days this task can slip before it delays the project or a deadline.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A5" authorId="0">
      <text>
        <r>
          <rPr>
            <sz val="10"/>
            <rFont val="Arial"/>
            <family val="2"/>
          </rPr>
          <t xml:space="preserve">Free slack: working days it can slip before it delays any successor.</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B5" authorId="0">
      <text>
        <r>
          <rPr>
            <sz val="10"/>
            <rFont val="Arial"/>
            <family val="2"/>
          </rPr>
          <t xml:space="preserve">Yes when Total Slack &lt;= CriticalSlackDays (Settings) and the task isn't complete.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D5" authorId="0">
      <text>
        <r>
          <rPr>
            <sz val="10"/>
            <rFont val="Arial"/>
            <family val="2"/>
          </rPr>
          <t xml:space="preserve">Explains predecessor links that are ignored.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E5" authorId="0">
      <text>
        <r>
          <rPr>
            <sz val="10"/>
            <rFont val="Arial"/>
            <family val="2"/>
          </rPr>
          <t xml:space="preserve">Enter 0-100%. An Actual Finish counts as 100%.</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F5" authorId="0">
      <text>
        <r>
          <rPr>
            <sz val="10"/>
            <rFont val="Arial"/>
            <family val="2"/>
          </rPr>
          <t xml:space="preserve">% Complete, rolled up to summaries (duration-weighted).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I5" authorId="0">
      <text>
        <r>
          <rPr>
            <sz val="10"/>
            <rFont val="Arial"/>
            <family val="2"/>
          </rPr>
          <t xml:space="preserve">Share of the resource's time (blank = DefaultUnits).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J5" authorId="0">
      <text>
        <r>
          <rPr>
            <sz val="10"/>
            <rFont val="Arial"/>
            <family val="2"/>
          </rPr>
          <t xml:space="preserve">Hours = Duration x HoursPerDay x Units.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L5" authorId="0">
      <text>
        <r>
          <rPr>
            <sz val="10"/>
            <rFont val="Arial"/>
            <family val="2"/>
          </rPr>
          <t xml:space="preserve">Cost to date of a detail task. Blank = Cost x Progress (as MS Project calculates it). Summaries roll up in the AC column.</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19</xdr:rowOff>
              </xdr:to>
            </anchor>
          </commentPr>
        </mc:Choice>
        <mc:Fallback/>
      </mc:AlternateContent>
    </comment>
    <comment ref="AM5" authorId="0">
      <text>
        <r>
          <rPr>
            <sz val="10"/>
            <rFont val="Arial"/>
            <family val="2"/>
          </rPr>
          <t xml:space="preserve">Optional: the sprint this task is planned in (dropdown). Blank = the sprint containing its forecast start.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AN5" authorId="0">
      <text>
        <r>
          <rPr>
            <sz val="10"/>
            <rFont val="Arial"/>
            <family val="2"/>
          </rPr>
          <t xml:space="preserve">Planned Sprint if entered, otherwise the sprint containing the forecast start.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O5" authorId="0">
      <text>
        <r>
          <rPr>
            <sz val="10"/>
            <rFont val="Arial"/>
            <family val="2"/>
          </rPr>
          <t xml:space="preserve">Story points (optional estimate for agile reporting). Detail tasks only.</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P5" authorId="0">
      <text>
        <r>
          <rPr>
            <sz val="10"/>
            <rFont val="Arial"/>
            <family val="2"/>
          </rPr>
          <t xml:space="preserve">Predecessors in MS Project notation, by ID.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R5" authorId="0">
      <text>
        <r>
          <rPr>
            <sz val="10"/>
            <rFont val="Arial"/>
            <family val="2"/>
          </rPr>
          <t xml:space="preserve">Copy the 5 BL Source columns, then Paste Special &gt; Values onto the 5 Baseline columns.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AW5" authorId="0">
      <text>
        <r>
          <rPr>
            <sz val="10"/>
            <rFont val="Arial"/>
            <family val="2"/>
          </rPr>
          <t xml:space="preserve">Frozen plan. Filled by pasting values from the BL Source columns.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B5" authorId="0">
      <text>
        <r>
          <rPr>
            <sz val="10"/>
            <rFont val="Arial"/>
            <family val="2"/>
          </rPr>
          <t xml:space="preserve">Duration minus Baseline Duration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C5" authorId="0">
      <text>
        <r>
          <rPr>
            <sz val="10"/>
            <rFont val="Arial"/>
            <family val="2"/>
          </rPr>
          <t xml:space="preserve">Work minus Baseline Work (hours).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D5" authorId="0">
      <text>
        <r>
          <rPr>
            <sz val="10"/>
            <rFont val="Arial"/>
            <family val="2"/>
          </rPr>
          <t xml:space="preserve">Cost minus Baseline Cost.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E5" authorId="0">
      <text>
        <r>
          <rPr>
            <sz val="10"/>
            <rFont val="Arial"/>
            <family val="2"/>
          </rPr>
          <t xml:space="preserve">Budget at completion: Baseline Cost once a baseline is set, otherwise Cost.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F5" authorId="0">
      <text>
        <r>
          <rPr>
            <sz val="10"/>
            <rFont val="Arial"/>
            <family val="2"/>
          </rPr>
          <t xml:space="preserve">Planned value: the budget of the work planned before the status date.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G5" authorId="0">
      <text>
        <r>
          <rPr>
            <sz val="10"/>
            <rFont val="Arial"/>
            <family val="2"/>
          </rPr>
          <t xml:space="preserve">Earned value: Budget x Progress.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H5" authorId="0">
      <text>
        <r>
          <rPr>
            <sz val="10"/>
            <rFont val="Arial"/>
            <family val="2"/>
          </rPr>
          <t xml:space="preserve">Actual cost to date: Actual Cost, or Cost x Progress when it is blank.</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List>
</comments>
</file>

<file path=xl/comments1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E5" authorId="0">
      <text>
        <r>
          <rPr>
            <sz val="10"/>
            <rFont val="Arial"/>
            <family val="2"/>
          </rPr>
          <t xml:space="preserve">Work, Material or Cost (MS Project resource types).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Availability: 100% = full time.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G5" authorId="0">
      <text>
        <r>
          <rPr>
            <sz val="10"/>
            <rFont val="Arial"/>
            <family val="2"/>
          </rPr>
          <t xml:space="preserve">Standard rate per hour.</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I5" authorId="0">
      <text>
        <r>
          <rPr>
            <sz val="10"/>
            <rFont val="Arial"/>
            <family val="2"/>
          </rPr>
          <t xml:space="preserve">Detail tasks assigned to this resource.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J5" authorId="0">
      <text>
        <r>
          <rPr>
            <sz val="10"/>
            <rFont val="Arial"/>
            <family val="2"/>
          </rPr>
          <t xml:space="preserve">Assigned work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K5" authorId="0">
      <text>
        <r>
          <rPr>
            <sz val="10"/>
            <rFont val="Arial"/>
            <family val="2"/>
          </rPr>
          <t xml:space="preserve">Assigned cost.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L5" authorId="0">
      <text>
        <r>
          <rPr>
            <sz val="10"/>
            <rFont val="Arial"/>
            <family val="2"/>
          </rPr>
          <t xml:space="preserve">Cost to date: Actual Cost entered on Tasks, or Cost x Progress where blank.</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List>
</comments>
</file>

<file path=xl/comments1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5" authorId="0">
      <text>
        <r>
          <rPr>
            <sz val="10"/>
            <rFont val="Arial"/>
            <family val="2"/>
          </rPr>
          <t xml:space="preserve">Hours of task work falling in the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I5" authorId="0">
      <text>
        <r>
          <rPr>
            <sz val="10"/>
            <rFont val="Arial"/>
            <family val="2"/>
          </rPr>
          <t xml:space="preserve">Sum of Work resources' Max Units x HoursPerDay x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L5" authorId="0">
      <text>
        <r>
          <rPr>
            <sz val="10"/>
            <rFont val="Arial"/>
            <family val="2"/>
          </rPr>
          <t xml:space="preserve">Optional: story points the team can take on in the sprint. Committed Points turn red above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4</xdr:rowOff>
              </xdr:to>
            </anchor>
          </commentPr>
        </mc:Choice>
        <mc:Fallback/>
      </mc:AlternateContent>
    </comment>
    <comment ref="M5" authorId="0">
      <text>
        <r>
          <rPr>
            <sz val="10"/>
            <rFont val="Arial"/>
            <family val="2"/>
          </rPr>
          <t xml:space="preserve">Story points of the tasks in this sprint (Tasks &gt;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N5" authorId="0">
      <text>
        <r>
          <rPr>
            <sz val="10"/>
            <rFont val="Arial"/>
            <family val="2"/>
          </rPr>
          <t xml:space="preserve">Story points of tasks finished during the sprint (by Actual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O5" authorId="0">
      <text>
        <r>
          <rPr>
            <sz val="10"/>
            <rFont val="Arial"/>
            <family val="2"/>
          </rPr>
          <t xml:space="preserve">Average Done Points of this and the two previous sprints (closed sprints only).</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P5" authorId="0">
      <text>
        <r>
          <rPr>
            <sz val="10"/>
            <rFont val="Arial"/>
            <family val="2"/>
          </rPr>
          <t xml:space="preserve">Release burndown: story points not yet done at the sprint end (or the status date).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Q5" authorId="0">
      <text>
        <r>
          <rPr>
            <sz val="10"/>
            <rFont val="Arial"/>
            <family val="2"/>
          </rPr>
          <t xml:space="preserve">Points still open at the sprint end if tasks finish on their forecast dates.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R5" authorId="0">
      <text>
        <r>
          <rPr>
            <sz val="10"/>
            <rFont val="Arial"/>
            <family val="2"/>
          </rPr>
          <t xml:space="preserve">Straight line from the total scope to zero at the last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List>
</comments>
</file>

<file path=xl/comments1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X1" authorId="0">
      <text>
        <r>
          <rPr>
            <sz val="10"/>
            <rFont val="Arial"/>
            <family val="2"/>
          </rPr>
          <t xml:space="preserve">Sprint, in MS Project's custom field Text1 (rename it Sprint in MS Project).</t>
        </r>
      </text>
      <mc:AlternateContent>
        <mc:Choice Requires="v2">
          <commentPr autoFill="true" autoScale="false" colHidden="false" locked="false" rowHidden="false" textHAlign="justify" textVAlign="top">
            <anchor moveWithCells="false" sizeWithCells="false">
              <xdr:from>
                <xdr:col>1</xdr:col>
                <xdr:colOff>42</xdr:colOff>
                <xdr:row>0</xdr:row>
                <xdr:rowOff>2</xdr:rowOff>
              </xdr:from>
              <xdr:to>
                <xdr:col>2</xdr:col>
                <xdr:colOff>127</xdr:colOff>
                <xdr:row>1</xdr:row>
                <xdr:rowOff>19</xdr:rowOff>
              </xdr:to>
            </anchor>
          </commentPr>
        </mc:Choice>
        <mc:Fallback/>
      </mc:AlternateContent>
    </comment>
    <comment ref="Y1" authorId="0">
      <text>
        <r>
          <rPr>
            <sz val="10"/>
            <rFont val="Arial"/>
            <family val="2"/>
          </rPr>
          <t xml:space="preserve">Story points, in MS Project's custom field Number1.</t>
        </r>
      </text>
      <mc:AlternateContent>
        <mc:Choice Requires="v2">
          <commentPr autoFill="true" autoScale="false" colHidden="false" locked="false" rowHidden="false" textHAlign="justify" textVAlign="top">
            <anchor moveWithCells="false" sizeWithCells="false">
              <xdr:from>
                <xdr:col>1</xdr:col>
                <xdr:colOff>42</xdr:colOff>
                <xdr:row>0</xdr:row>
                <xdr:rowOff>2</xdr:rowOff>
              </xdr:from>
              <xdr:to>
                <xdr:col>2</xdr:col>
                <xdr:colOff>127</xdr:colOff>
                <xdr:row>1</xdr:row>
                <xdr:rowOff>19</xdr:rowOff>
              </xdr:to>
            </anchor>
          </commentPr>
        </mc:Choice>
        <mc:Fallback/>
      </mc:AlternateContent>
    </comment>
  </commentList>
</comments>
</file>

<file path=xl/sharedStrings.xml><?xml version="1.0" encoding="utf-8"?>
<sst xmlns="http://schemas.openxmlformats.org/spreadsheetml/2006/main" count="1072" uniqueCount="743">
  <si>
    <t xml:space="preserve">Project Planner - MS Project-compatible Excel template</t>
  </si>
  <si>
    <t xml:space="preserve">REQUIREMENTS</t>
  </si>
  <si>
    <t xml:space="preserve">Excel version</t>
  </si>
  <si>
    <t xml:space="preserve">Excel 2019 or Microsoft 365 (Windows or Mac), or Excel for the web. No macros needed.</t>
  </si>
  <si>
    <t xml:space="preserve">HOW IT WORKS</t>
  </si>
  <si>
    <t xml:space="preserve">1. Settings</t>
  </si>
  <si>
    <t xml:space="preserve">Set project start and status date (both typed dates; Ctrl+; enters today), working week (Mon-Sun Yes/No), hours/day, Gantt scale and sprint calendar. Add holidays on 'Holidays'. Update the status date whenever you report progress.</t>
  </si>
  <si>
    <t xml:space="preserve">2. Resources</t>
  </si>
  <si>
    <t xml:space="preserve">List people/roles with Max Units and hourly rate. They appear in the Resource dropdown on Tasks and in sprint capacity.</t>
  </si>
  <si>
    <t xml:space="preserve">3. Tasks</t>
  </si>
  <si>
    <t xml:space="preserve">One row per task. Enter Level (1 = phase/summary, 2 = task, 3 = sub-task...), Task Name, Duration in working days (0 = milestone), and up to two predecessors by UID with link type (FS, SS, FF, SF) and lag in days (negative = lead). A row becomes a SUMMARY automatically when the rows beneath it have a higher level; its dates, work, cost and progress roll up. Optional Deadline: Deadline Check shows 'Late by Nd'. Hover over a column header for what it means.</t>
  </si>
  <si>
    <t xml:space="preserve">4. Set the baseline</t>
  </si>
  <si>
    <t xml:space="preserve">When the plan is agreed: on Tasks, select the 5 'BL Source' columns (all task rows), Copy, then select the first 'Baseline Start' cell and Paste Special &gt; Values. Planned Start/Finish now stay frozen (like MS Project's Baseline) and the variance columns compare against it. To re-baseline, repeat; to clear it, delete the 5 Baseline columns' contents.</t>
  </si>
  <si>
    <t xml:space="preserve">5. Track progress</t>
  </si>
  <si>
    <t xml:space="preserve">Enter Actual Start, Actual Finish and % Complete. Forecast Start/Finish then use actuals and push every dependent task. Start / Finish / Duration / Work / Cost Var and Status flag slippage. Optionally enter Actual Cost (cost to date) on detail tasks; blank = Cost x Progress.</t>
  </si>
  <si>
    <t xml:space="preserve">Critical path</t>
  </si>
  <si>
    <t xml:space="preserve">Late Start / Late Finish come from a backward pass from the forecast project finish (and any deadline). Total Slack = how far a task can slip before it delays the project or a deadline; Free Slack = before it delays a successor. Critical = slack &lt;= Settings &gt; CriticalSlackDays on an unfinished task. A missed deadline gives negative slack to the task and the chain feeding it.</t>
  </si>
  <si>
    <t xml:space="preserve">6. Gantt</t>
  </si>
  <si>
    <t xml:space="preserve">Read-only view: dark outline = planned dates, green = done, blue = remaining on track, red = remaining on the critical path, orange = remaining but late vs plan, dark grey = summary, purple = milestone, red cell = deadline, red border = status date. Change GanttStart / GanttPeriod (1 = days, 7 = weeks) on Settings to scroll or zoom.</t>
  </si>
  <si>
    <t xml:space="preserve">7. Sprints</t>
  </si>
  <si>
    <t xml:space="preserve">Sprint calendar from Settings. Each task is tagged with the sprint its forecast start falls in. Work hours are prorated across sprints per resource, compared against capacity (Max Units x Hours/day x working days); over-allocations turn red. Optional agile columns: Story Points and Planned Sprint on Tasks (Planned Sprint wins over the automatic sprint), Points Capacity on Sprints; the table then shows committed and done points, velocity and the release burndown.</t>
  </si>
  <si>
    <t xml:space="preserve">8. Dashboard</t>
  </si>
  <si>
    <t xml:space="preserve">KPIs (including overall RAG, SPI, CPI, missed deadlines, link problems), status counts, upcoming milestones and sprint load vs capacity.</t>
  </si>
  <si>
    <t xml:space="preserve">9. Status Report</t>
  </si>
  <si>
    <t xml:space="preserve">For steering meetings: overall RAG and RAG by area (schedule, SPI, CPI, deadlines, critical path, plan quality), calculated from the thresholds on Settings (RAG...). Type a PM RAG to override one and say why in Comment. Earned value (BAC, PV, EV, AC, SPI, CPI, EAC, VAC, TCPI) and a commentary box for the period.</t>
  </si>
  <si>
    <t xml:space="preserve">10. Schedule Report</t>
  </si>
  <si>
    <t xml:space="preserve">Phase summary with RAG, all milestones, late tasks, tasks starting and due in the look-ahead window (Settings &gt; LookaheadDays) and open critical tasks. Lists update with every edit; drag a list's bottom corner down to show more rows.</t>
  </si>
  <si>
    <t xml:space="preserve">11. Resource Report</t>
  </si>
  <si>
    <t xml:space="preserve">Per resource: work, done, remaining, cost, actual cost, late and critical tasks, peak week and weeks over capacity. Weekly hours and utilisation grids by week from Settings &gt; ResourceWeekStart (red = over capacity), and a team hours vs capacity chart.</t>
  </si>
  <si>
    <t xml:space="preserve">12. Agile Report</t>
  </si>
  <si>
    <t xml:space="preserve">Story points: scope, done, remaining, velocity (last 3 closed sprints) and the sprint it forecasts finishing in; the current sprint's backlog and daily burndown; release burndown and committed vs done charts.</t>
  </si>
  <si>
    <t xml:space="preserve">13. RAID</t>
  </si>
  <si>
    <t xml:space="preserve">Risks, assumptions, issues and dependencies: owner, due date, probability and impact (1-5). Score = probability x impact (issues count as probability 5); Rating from Settings &gt; RAIDHighScore / RAIDMediumScore; Overdue when not closed past its due date. Link a task by UID. The Status Report lists the top open items and rates RAID amber when any open item is High.</t>
  </si>
  <si>
    <t xml:space="preserve">14. Decisions and Changes</t>
  </si>
  <si>
    <t xml:space="preserve">Decision log (what, options and reasons, who, status) and change request log (schedule and cost impact, status, who decided). The Status Report totals approved and pending changes. Approving a change doesn't edit the plan: update the tasks, and re-baseline if the sponsor agrees.</t>
  </si>
  <si>
    <t xml:space="preserve">15. History</t>
  </si>
  <si>
    <t xml:space="preserve">On each reporting date, copy the SnapshotNow row on History and Paste Special &gt; Values onto the first empty row of StatusHistory. Trend charts: forecast vs planned finish, earned value S-curve, SPI / CPI and a story-point burn-up that shows scope changes.</t>
  </si>
  <si>
    <t xml:space="preserve">Earned value</t>
  </si>
  <si>
    <t xml:space="preserve">Set a baseline first: without one, Budget = current Cost and PV follows the current plan, so SPI and CPI only show progress against the latest plan. PV = budget of work planned before the status date; EV = Budget x Progress; AC = Actual Cost. SPI = EV/PV, CPI = EV/AC, EAC = AC + (BAC - EV)/CPI.</t>
  </si>
  <si>
    <t xml:space="preserve">CELL COLOURS</t>
  </si>
  <si>
    <t xml:space="preserve">Blue text</t>
  </si>
  <si>
    <t xml:space="preserve">Input - type here.</t>
  </si>
  <si>
    <t xml:space="preserve">Black text on grey</t>
  </si>
  <si>
    <t xml:space="preserve">Formula - do not overwrite. Summary rows grey-out inputs that are ignored.</t>
  </si>
  <si>
    <t xml:space="preserve">Dark blue header</t>
  </si>
  <si>
    <t xml:space="preserve">Input column.  Dark grey header = calculated.  Light grey header = helper column (hidden, grouped).</t>
  </si>
  <si>
    <t xml:space="preserve">RULES (same as MS Project)</t>
  </si>
  <si>
    <t xml:space="preserve">ID and UID</t>
  </si>
  <si>
    <t xml:space="preserve">ID = position of the task (renumbers when rows move, like MS Project). UID = permanent number that predecessors refer to, so links survive inserting, deleting and moving rows. A duplicate or missing UID turns red.</t>
  </si>
  <si>
    <t xml:space="preserve">Inserting tasks</t>
  </si>
  <si>
    <t xml:space="preserve">Tasks is an Excel Table: right-click a row &gt; Insert &gt; Table Rows Above (or type in the row under the table). Every formula fills in automatically. Set the new task's UID to Settings &gt; NextFreeUID (also shown at the top of Tasks).</t>
  </si>
  <si>
    <t xml:space="preserve">Outline levels</t>
  </si>
  <si>
    <t xml:space="preserve">Each row's Level may be at most 1 higher than the row above. A '?' in WBS (red) means a level jump.</t>
  </si>
  <si>
    <t xml:space="preserve">Predecessors</t>
  </si>
  <si>
    <t xml:space="preserve">Enter the predecessor's UID. A predecessor must be a detail task listed ABOVE its successor (order tasks roughly by date). Links that break this, or point to an empty row or a missing UID, are ignored and explained in the Link Check column (red). Summary rows ignore Duration / Predecessors / Actuals - they roll up. The rule keeps the schedule and the critical path consistent and rules out circular references.</t>
  </si>
  <si>
    <t xml:space="preserve">Mode</t>
  </si>
  <si>
    <t xml:space="preserve">Auto = scheduled from predecessors, project start and 'Start No Earlier Than'. Manual = pinned to the date in 'Start No Earlier Than'.</t>
  </si>
  <si>
    <t xml:space="preserve">Rescheduling</t>
  </si>
  <si>
    <t xml:space="preserve">Settings &gt; RescheduleAfterStatus = Yes moves incomplete work to after the status date (like MS Project 'Update Project'), so late tasks push successors.</t>
  </si>
  <si>
    <t xml:space="preserve">Capacity</t>
  </si>
  <si>
    <t xml:space="preserve">Tables grow when you add rows: Tasks starts with 200 rows, Resources 50, Sprints 26, Holidays 100. The Gantt and MSP_Tasks sheets show the first 200 tasks (the Gantt says so when there are more); the Gantt timeline has 150 columns; the per-resource grids on Sprints and Resource Report show the first 25 resources and the Resource Report 26 weeks. To change these sizes, rebuild with scripts/build_planner.py --tasks / --resources / --grid-resources / --sprints / --gantt-columns / --weeks (see README).</t>
  </si>
  <si>
    <t xml:space="preserve">Speed</t>
  </si>
  <si>
    <t xml:space="preserve">An edit recalculates in well under a second for typical plans (about 0.05 s for 200 tasks). Each change to the build is timed in CI; see docs/ARCHITECTURE.md in the repository. Keep the status date typed (not =TODAY()), which would recalculate everything after every edit.</t>
  </si>
  <si>
    <t xml:space="preserve">MOVING TO MICROSOFT PROJECT</t>
  </si>
  <si>
    <t xml:space="preserve">Best: MS Project XML</t>
  </si>
  <si>
    <t xml:space="preserve">Save this workbook, then convert it with the browser page docs/export.html in the repository (nothing to install; works on a phone; the file stays on your device) or python scripts/export_mspdi.py. In MS Project: File &gt; Open &gt; the .xml &gt; 'Open as a new project'. It carries the calendar and holidays, links by UID with lags, constraints, deadlines, actuals, the baseline, resources, assignments, Sprint (Text1) and Story Points (Number1), so MS Project schedules the plan the same way.</t>
  </si>
  <si>
    <t xml:space="preserve">Or: Import Wizard</t>
  </si>
  <si>
    <t xml:space="preserve">The MSP_Tasks / MSP_Resources sheets below. Carries less (no calendar or holidays).</t>
  </si>
  <si>
    <t xml:space="preserve">One-time setting</t>
  </si>
  <si>
    <t xml:space="preserve">MS Project &gt; File &gt; Options &gt; Trust Center &gt; Trust Center Settings &gt; Legacy Formats &gt; 'Allow loading files with legacy or non-default file formats'.</t>
  </si>
  <si>
    <t xml:space="preserve">Import</t>
  </si>
  <si>
    <t xml:space="preserve">In MS Project: File &gt; Open &gt; choose this .xlsx &gt; Import Wizard &gt; New map &gt; 'As a new project' &gt; tick Tasks (and Resources) &gt; Tasks source worksheet = MSP_Tasks, Resources = MSP_Resources. Column headers already use MS Project field names, so the wizard maps them automatically. Map 'Predecessors' (by ID) for a new project; 'Unique ID' and 'Unique ID Predecessors' are for merging into an existing one.</t>
  </si>
  <si>
    <t xml:space="preserve">Tip: Start/Finish</t>
  </si>
  <si>
    <t xml:space="preserve">For auto-scheduled tasks map Duration + Predecessors (+ Constraint Type/Date) and set Start/Finish to '(not mapped)' - importing Start/Finish makes MS Project add fixed 'Start No Earlier Than' constraints. Map Baseline Start/Finish to keep the plan, and Actual Start/Finish/% Complete for progress.</t>
  </si>
  <si>
    <t xml:space="preserve">Rows</t>
  </si>
  <si>
    <t xml:space="preserve">Blank MSP_Tasks rows import as blank tasks - delete them in MS Project, or filter the table to non-blank names and copy those rows to a new sheet before importing.</t>
  </si>
  <si>
    <t xml:space="preserve">From MS Project to Excel</t>
  </si>
  <si>
    <t xml:space="preserve">MS Project &gt; File &gt; Save As &gt; Excel Workbook, then paste Name / Outline Level / Duration / Predecessors etc. into the Tasks input columns (split '3FS+2d' into UID, Type, Lag).</t>
  </si>
  <si>
    <t xml:space="preserve">NAMES AND TABLES (Formulas &gt; Name Manager)</t>
  </si>
  <si>
    <t xml:space="preserve">Tables</t>
  </si>
  <si>
    <t xml:space="preserve">Tasks, ResourceTable, SprintTable, HolidayTable, GanttView, MSPTasks, MSPResources, KPIs, StatusSummary, NextMilestones, OverallStatus, StatusRAG, EarnedValue, StatusNotes, PhaseSummary, MilestoneReport, LateTasks, StartingSoon, DueSoon, CriticalTasks, ResourceSummary, AgileKPIs, SprintBacklog, SprintBurndown, RAIDLog, DecisionLog, ChangeLog, TopRAID, ChangeControl, SnapshotNow, StatusHistory and the List* dropdown tables. Inside a table, formulas read [@Column] (this row).</t>
  </si>
  <si>
    <t xml:space="preserve">Settings</t>
  </si>
  <si>
    <t xml:space="preserve">ProjectStart, StatusDate, StatusWorkday, WorkWeek, Holidays, HoursPerDay, DefaultUnits, RescheduleAfterStatus, GanttStart, GanttPeriod, Sprint1Start, SprintLength, SprintCount, SprintPrefix, SprintLastEnd, CriticalSlackDays, ProjectFinish, PlannedFinish, FinishVarianceDays, LookaheadDays, RAGAmberSlipDays, RAGRedSlipDays, RAGAmberIndex, RAGRedIndex, ResourceWeekStart, CurrentSprint, TotalPoints, RAIDHighScore, RAIDMediumScore, NextFreeUID. Report values: ProjectRAG, evm_BAC, evm_PV, evm_EV, evm_AC, evm_SPI, evm_CPI, evm_EAC ...</t>
  </si>
  <si>
    <t xml:space="preserve">Task columns</t>
  </si>
  <si>
    <t xml:space="preserve">tsk_ID, tsk_UID, tsk_WBS, tsk_Name, tsk_Duration, tsk_PlanStart, tsk_FcFinish, tsk_Status, tsk_Resource, tsk_Work, tsk_Cost ... each is Tasks[Column], so it grows with the table. Other sheets read Tasks only through these names.</t>
  </si>
  <si>
    <t xml:space="preserve">Resources / Sprints</t>
  </si>
  <si>
    <t xml:space="preserve">res_Name, res_MaxUnits, res_Rate, ...  spr_Name, spr_Start, spr_End, spr_WorkDays, spr_Capacity, spr_Work</t>
  </si>
  <si>
    <t xml:space="preserve">Key formulas</t>
  </si>
  <si>
    <t xml:space="preserve">Calculated start = WORKDAY.INTL(MAX(ProjectStart, [@Start No Earlier Than], predecessor drivers) - 1, 1, WorkWeek, Holidays).  Predecessor driver (FS) = WORKDAY.INTL(OFFSET(Tasks[[#Headers],[_LeafCalcFinish]], [@_Pred1Pos], 0), 1 + Lag, WorkWeek, Holidays).  Planned Start = Baseline Start if set, else calculated.  Summary start = MIN(INDEX(Tasks[_LeafCalcStart], [@_Row]+1):INDEX(Tasks[_LeafCalcStart], [@_Row]+[@_Descendants])), where _Descendants = COUNTIF(Tasks[WBS], [@WBS] &amp; ".*").</t>
  </si>
  <si>
    <t xml:space="preserve">Key indicator</t>
  </si>
  <si>
    <t xml:space="preserve">Value</t>
  </si>
  <si>
    <t xml:space="preserve">Status</t>
  </si>
  <si>
    <t xml:space="preserve">Count</t>
  </si>
  <si>
    <t xml:space="preserve">Planned start</t>
  </si>
  <si>
    <t xml:space="preserve">Complete</t>
  </si>
  <si>
    <t xml:space="preserve">Planned finish</t>
  </si>
  <si>
    <t xml:space="preserve">In Progress</t>
  </si>
  <si>
    <t xml:space="preserve">Forecast finish</t>
  </si>
  <si>
    <t xml:space="preserve">Behind</t>
  </si>
  <si>
    <t xml:space="preserve">Finish variance (work days)</t>
  </si>
  <si>
    <t xml:space="preserve">Late Start</t>
  </si>
  <si>
    <t xml:space="preserve">Overall progress (duration-weighted)</t>
  </si>
  <si>
    <t xml:space="preserve">Not Started</t>
  </si>
  <si>
    <t xml:space="preserve">Planned progress by status date</t>
  </si>
  <si>
    <t xml:space="preserve">Detail tasks</t>
  </si>
  <si>
    <t xml:space="preserve">Milestones</t>
  </si>
  <si>
    <t xml:space="preserve">Total work (hrs)</t>
  </si>
  <si>
    <t xml:space="preserve">Total cost</t>
  </si>
  <si>
    <t xml:space="preserve">Current sprint</t>
  </si>
  <si>
    <t xml:space="preserve">Baseline</t>
  </si>
  <si>
    <t xml:space="preserve">Open critical tasks</t>
  </si>
  <si>
    <t xml:space="preserve">Missed deadlines</t>
  </si>
  <si>
    <t xml:space="preserve">Link problems (see Tasks &gt; Link Check)</t>
  </si>
  <si>
    <t xml:space="preserve">Overall status (see Status Report)</t>
  </si>
  <si>
    <t xml:space="preserve">Schedule performance (SPI)</t>
  </si>
  <si>
    <t xml:space="preserve">Cost performance (CPI)</t>
  </si>
  <si>
    <t xml:space="preserve">Forecast cost at completion (EAC)</t>
  </si>
  <si>
    <t xml:space="preserve">Story points done / total</t>
  </si>
  <si>
    <t xml:space="preserve">Open risks / issues (see RAID)</t>
  </si>
  <si>
    <t xml:space="preserve">Change requests awaiting decision</t>
  </si>
  <si>
    <t xml:space="preserve">Next milestones (forecast)</t>
  </si>
  <si>
    <t xml:space="preserve">Forecast date</t>
  </si>
  <si>
    <t xml:space="preserve">Area</t>
  </si>
  <si>
    <t xml:space="preserve">Measure</t>
  </si>
  <si>
    <t xml:space="preserve">Calculated</t>
  </si>
  <si>
    <t xml:space="preserve">PM RAG</t>
  </si>
  <si>
    <t xml:space="preserve">RAG</t>
  </si>
  <si>
    <t xml:space="preserve">Comment</t>
  </si>
  <si>
    <t xml:space="preserve">Overall</t>
  </si>
  <si>
    <t xml:space="preserve">Worst of the areas below</t>
  </si>
  <si>
    <t xml:space="preserve">Schedule</t>
  </si>
  <si>
    <t xml:space="preserve">Forecast finish vs plan (working days)</t>
  </si>
  <si>
    <t xml:space="preserve">Schedule performance</t>
  </si>
  <si>
    <t xml:space="preserve">SPI = earned value / planned value</t>
  </si>
  <si>
    <t xml:space="preserve">Cost performance</t>
  </si>
  <si>
    <t xml:space="preserve">CPI = earned value / actual cost</t>
  </si>
  <si>
    <t xml:space="preserve">Deadlines</t>
  </si>
  <si>
    <t xml:space="preserve">Tasks forecast to miss their deadline</t>
  </si>
  <si>
    <t xml:space="preserve">Critical tasks forecast to finish late</t>
  </si>
  <si>
    <t xml:space="preserve">RAID</t>
  </si>
  <si>
    <t xml:space="preserve">Open high-rated risks, issues, dependencies, assumptions</t>
  </si>
  <si>
    <t xml:space="preserve">Plan quality</t>
  </si>
  <si>
    <t xml:space="preserve">Ignored links and outline errors (see Tasks)</t>
  </si>
  <si>
    <t xml:space="preserve">EARNED VALUE at the status date</t>
  </si>
  <si>
    <t xml:space="preserve">Meaning</t>
  </si>
  <si>
    <t xml:space="preserve">Budget at completion (BAC)</t>
  </si>
  <si>
    <t xml:space="preserve">Baseline Cost once a baseline is set, otherwise Cost.</t>
  </si>
  <si>
    <t xml:space="preserve">Planned value (PV)</t>
  </si>
  <si>
    <t xml:space="preserve">Budget of the work planned before the status date.</t>
  </si>
  <si>
    <t xml:space="preserve">Earned value (EV)</t>
  </si>
  <si>
    <t xml:space="preserve">Budget of the work done (Budget x Progress).</t>
  </si>
  <si>
    <t xml:space="preserve">Actual cost (AC)</t>
  </si>
  <si>
    <t xml:space="preserve">Actual Cost on Tasks; Cost x Progress where blank.</t>
  </si>
  <si>
    <t xml:space="preserve">Schedule variance (SV)</t>
  </si>
  <si>
    <t xml:space="preserve">EV - PV. Negative = behind plan.</t>
  </si>
  <si>
    <t xml:space="preserve">Cost variance (CV)</t>
  </si>
  <si>
    <t xml:space="preserve">EV - AC. Negative = over cost.</t>
  </si>
  <si>
    <t xml:space="preserve">Schedule performance index (SPI)</t>
  </si>
  <si>
    <t xml:space="preserve">EV / PV. Below 1 = behind.</t>
  </si>
  <si>
    <t xml:space="preserve">Cost performance index (CPI)</t>
  </si>
  <si>
    <t xml:space="preserve">EV / AC. Below 1 = over cost.</t>
  </si>
  <si>
    <t xml:space="preserve">Estimate at completion (EAC)</t>
  </si>
  <si>
    <t xml:space="preserve">AC + (BAC - EV) / CPI: forecast cost at the current CPI.</t>
  </si>
  <si>
    <t xml:space="preserve">Estimate to complete (ETC)</t>
  </si>
  <si>
    <t xml:space="preserve">EAC - AC: forecast cost of the remaining work.</t>
  </si>
  <si>
    <t xml:space="preserve">Variance at completion (VAC)</t>
  </si>
  <si>
    <t xml:space="preserve">BAC - EAC. Negative = forecast overrun.</t>
  </si>
  <si>
    <t xml:space="preserve">To-complete performance index (TCPI)</t>
  </si>
  <si>
    <t xml:space="preserve">CPI the remaining work needs to finish on budget.</t>
  </si>
  <si>
    <t xml:space="preserve">% complete (earned)</t>
  </si>
  <si>
    <t xml:space="preserve">EV / BAC.</t>
  </si>
  <si>
    <t xml:space="preserve">% complete (planned)</t>
  </si>
  <si>
    <t xml:space="preserve">PV / BAC.</t>
  </si>
  <si>
    <t xml:space="preserve">_Task</t>
  </si>
  <si>
    <t xml:space="preserve">Item</t>
  </si>
  <si>
    <t xml:space="preserve">Response</t>
  </si>
  <si>
    <t xml:space="preserve">Owner</t>
  </si>
  <si>
    <t xml:space="preserve">Due</t>
  </si>
  <si>
    <t xml:space="preserve">Score</t>
  </si>
  <si>
    <t xml:space="preserve">Rating</t>
  </si>
  <si>
    <t xml:space="preserve">Task</t>
  </si>
  <si>
    <t xml:space="preserve">CHANGE CONTROL AND DECISIONS</t>
  </si>
  <si>
    <t xml:space="preserve">Source</t>
  </si>
  <si>
    <t xml:space="preserve">Changes</t>
  </si>
  <si>
    <t xml:space="preserve">Change requests approved or implemented</t>
  </si>
  <si>
    <t xml:space="preserve">Approved schedule impact (working days)</t>
  </si>
  <si>
    <t xml:space="preserve">Approved cost impact</t>
  </si>
  <si>
    <t xml:space="preserve">Cost impact awaiting decision</t>
  </si>
  <si>
    <t xml:space="preserve">Decisions awaiting approval</t>
  </si>
  <si>
    <t xml:space="preserve">Decisions</t>
  </si>
  <si>
    <t xml:space="preserve">Overdue RAID actions</t>
  </si>
  <si>
    <t xml:space="preserve">COMMENTARY for this period (type in the Notes column)</t>
  </si>
  <si>
    <t xml:space="preserve">Section</t>
  </si>
  <si>
    <t xml:space="preserve">Notes</t>
  </si>
  <si>
    <t xml:space="preserve">Summary</t>
  </si>
  <si>
    <t xml:space="preserve">Achievements this period</t>
  </si>
  <si>
    <t xml:space="preserve">Planned for next period</t>
  </si>
  <si>
    <t xml:space="preserve">Issues and escalations</t>
  </si>
  <si>
    <t xml:space="preserve">Decisions needed</t>
  </si>
  <si>
    <t xml:space="preserve">Risks to watch</t>
  </si>
  <si>
    <t xml:space="preserve">WBS</t>
  </si>
  <si>
    <t xml:space="preserve">Phase</t>
  </si>
  <si>
    <t xml:space="preserve">Planned Finish</t>
  </si>
  <si>
    <t xml:space="preserve">Forecast Finish</t>
  </si>
  <si>
    <t xml:space="preserve">Finish Var</t>
  </si>
  <si>
    <t xml:space="preserve">Progress</t>
  </si>
  <si>
    <t xml:space="preserve">Budget</t>
  </si>
  <si>
    <t xml:space="preserve">PV</t>
  </si>
  <si>
    <t xml:space="preserve">EV</t>
  </si>
  <si>
    <t xml:space="preserve">AC</t>
  </si>
  <si>
    <t xml:space="preserve">SPI</t>
  </si>
  <si>
    <t xml:space="preserve">CPI</t>
  </si>
  <si>
    <t xml:space="preserve">Open Critical</t>
  </si>
  <si>
    <t xml:space="preserve">Milestone</t>
  </si>
  <si>
    <t xml:space="preserve">Planned</t>
  </si>
  <si>
    <t xml:space="preserve">Forecast</t>
  </si>
  <si>
    <t xml:space="preserve">Deadline</t>
  </si>
  <si>
    <t xml:space="preserve">Deadline Check</t>
  </si>
  <si>
    <t xml:space="preserve">Resource</t>
  </si>
  <si>
    <t xml:space="preserve">Critical</t>
  </si>
  <si>
    <t xml:space="preserve">Forecast Start</t>
  </si>
  <si>
    <t xml:space="preserve">Duration</t>
  </si>
  <si>
    <t xml:space="preserve">Total Slack</t>
  </si>
  <si>
    <t xml:space="preserve">RESOURCES</t>
  </si>
  <si>
    <t xml:space="preserve">Max Units</t>
  </si>
  <si>
    <t xml:space="preserve">Tasks</t>
  </si>
  <si>
    <t xml:space="preserve">Work</t>
  </si>
  <si>
    <t xml:space="preserve">Work Done</t>
  </si>
  <si>
    <t xml:space="preserve">Remaining</t>
  </si>
  <si>
    <t xml:space="preserve">Cost</t>
  </si>
  <si>
    <t xml:space="preserve">Actual Cost</t>
  </si>
  <si>
    <t xml:space="preserve">Late Tasks</t>
  </si>
  <si>
    <t xml:space="preserve">Peak Week (h)</t>
  </si>
  <si>
    <t xml:space="preserve">Peak Use</t>
  </si>
  <si>
    <t xml:space="preserve">Weeks Over</t>
  </si>
  <si>
    <t xml:space="preserve">Weekly hours by resource</t>
  </si>
  <si>
    <t xml:space="preserve">Working days</t>
  </si>
  <si>
    <t xml:space="preserve">Team hours</t>
  </si>
  <si>
    <t xml:space="preserve">Team capacity</t>
  </si>
  <si>
    <t xml:space="preserve">Weekly utilisation by resource (hours / capacity)</t>
  </si>
  <si>
    <t xml:space="preserve">Cumulative hours at each week boundary (helper for the weekly grids)</t>
  </si>
  <si>
    <t xml:space="preserve">RELEASE</t>
  </si>
  <si>
    <t xml:space="preserve">Total story points (scope)</t>
  </si>
  <si>
    <t xml:space="preserve">Done by the status date</t>
  </si>
  <si>
    <t xml:space="preserve">Velocity (average of the last 3 closed sprints)</t>
  </si>
  <si>
    <t xml:space="preserve">Sprints needed at that velocity</t>
  </si>
  <si>
    <t xml:space="preserve">Sprints closed</t>
  </si>
  <si>
    <t xml:space="preserve">Forecast to finish in</t>
  </si>
  <si>
    <t xml:space="preserve">Forecast finish (velocity)</t>
  </si>
  <si>
    <t xml:space="preserve">Forecast finish (schedule)</t>
  </si>
  <si>
    <t xml:space="preserve">Current sprint: committed points</t>
  </si>
  <si>
    <t xml:space="preserve">Current sprint: done so far</t>
  </si>
  <si>
    <t xml:space="preserve">Tasks without story points (not milestones)</t>
  </si>
  <si>
    <t xml:space="preserve">Story Points</t>
  </si>
  <si>
    <t xml:space="preserve">CURRENT SPRINT BURNDOWN (story points of the tasks in the sprint)</t>
  </si>
  <si>
    <t xml:space="preserve">Day</t>
  </si>
  <si>
    <t xml:space="preserve">Ideal</t>
  </si>
  <si>
    <t xml:space="preserve">_ChartDay</t>
  </si>
  <si>
    <t xml:space="preserve">_ChartRemaining</t>
  </si>
  <si>
    <t xml:space="preserve">_ChartIdeal</t>
  </si>
  <si>
    <t xml:space="preserve">RAID Log: Risks, Assumptions, Issues, Dependencies</t>
  </si>
  <si>
    <t xml:space="preserve">Type in the blue columns. Score = Probability x Impact (1-5 each; an issue counts as probability 5). Rating thresholds: Settings &gt; RAIDHighScore / RAIDMediumScore. Link a task by its UID.</t>
  </si>
  <si>
    <t xml:space="preserve">Ref</t>
  </si>
  <si>
    <t xml:space="preserve">Type</t>
  </si>
  <si>
    <t xml:space="preserve">Title</t>
  </si>
  <si>
    <t xml:space="preserve">Raised</t>
  </si>
  <si>
    <t xml:space="preserve">Probability</t>
  </si>
  <si>
    <t xml:space="preserve">Impact</t>
  </si>
  <si>
    <t xml:space="preserve">Overdue</t>
  </si>
  <si>
    <t xml:space="preserve">Task UID</t>
  </si>
  <si>
    <t xml:space="preserve">Task Finish</t>
  </si>
  <si>
    <t xml:space="preserve">Update</t>
  </si>
  <si>
    <t xml:space="preserve">_Label</t>
  </si>
  <si>
    <t xml:space="preserve">_TopKey</t>
  </si>
  <si>
    <t xml:space="preserve">Risk</t>
  </si>
  <si>
    <t xml:space="preserve">Payment provider certification takes longer than planned</t>
  </si>
  <si>
    <t xml:space="preserve">Jordan Lee</t>
  </si>
  <si>
    <t xml:space="preserve">Open</t>
  </si>
  <si>
    <t xml:space="preserve">Start the certification paperwork now; book the provider's test slot.</t>
  </si>
  <si>
    <t xml:space="preserve">Paperwork submitted 20-Oct.</t>
  </si>
  <si>
    <t xml:space="preserve">UX designer on leave for two weeks in November</t>
  </si>
  <si>
    <t xml:space="preserve">Casey Kim</t>
  </si>
  <si>
    <t xml:space="preserve">Agree cover with the design agency.</t>
  </si>
  <si>
    <t xml:space="preserve">Issue</t>
  </si>
  <si>
    <t xml:space="preserve">Core API endpoints running 6 days behind plan</t>
  </si>
  <si>
    <t xml:space="preserve">Priya Sharma</t>
  </si>
  <si>
    <t xml:space="preserve">Add a second developer for two weeks (change request CR 2).</t>
  </si>
  <si>
    <t xml:space="preserve">Escalated to sponsor.</t>
  </si>
  <si>
    <t xml:space="preserve">Assumption</t>
  </si>
  <si>
    <t xml:space="preserve">Client UAT team available from 7 December</t>
  </si>
  <si>
    <t xml:space="preserve">Morgan Patel</t>
  </si>
  <si>
    <t xml:space="preserve">Confirm names and dates at the November steering committee.</t>
  </si>
  <si>
    <t xml:space="preserve">Dependency</t>
  </si>
  <si>
    <t xml:space="preserve">Test environment delivered by IT operations by 9 November</t>
  </si>
  <si>
    <t xml:space="preserve">Alex Chen</t>
  </si>
  <si>
    <t xml:space="preserve">Weekly check-in with IT operations.</t>
  </si>
  <si>
    <t xml:space="preserve">Hardware ordered.</t>
  </si>
  <si>
    <t xml:space="preserve">Scope creep on the reporting screens</t>
  </si>
  <si>
    <t xml:space="preserve">Closed</t>
  </si>
  <si>
    <t xml:space="preserve">Reporting screens moved to phase 2 (decision D 2).</t>
  </si>
  <si>
    <t xml:space="preserve">Closed 09-Oct.</t>
  </si>
  <si>
    <t xml:space="preserve">Decision Log</t>
  </si>
  <si>
    <t xml:space="preserve">One row per decision. Link the task (UID) and RAID item it relates to.</t>
  </si>
  <si>
    <t xml:space="preserve">Date</t>
  </si>
  <si>
    <t xml:space="preserve">Decision</t>
  </si>
  <si>
    <t xml:space="preserve">Options and Reasons</t>
  </si>
  <si>
    <t xml:space="preserve">Decided By</t>
  </si>
  <si>
    <t xml:space="preserve">Waiting (days)</t>
  </si>
  <si>
    <t xml:space="preserve">RAID Ref</t>
  </si>
  <si>
    <t xml:space="preserve">Use the existing identity provider for customer log-in</t>
  </si>
  <si>
    <t xml:space="preserve">Options: build our own, buy a new service, reuse. Reuse is cheapest and already security-approved.</t>
  </si>
  <si>
    <t xml:space="preserve">Steering committee</t>
  </si>
  <si>
    <t xml:space="preserve">Approved</t>
  </si>
  <si>
    <t xml:space="preserve">Move the reporting screens to phase 2</t>
  </si>
  <si>
    <t xml:space="preserve">Keeps the Build deadline (06-Nov). Reporting is not needed for go-live.</t>
  </si>
  <si>
    <t xml:space="preserve">Sponsor</t>
  </si>
  <si>
    <t xml:space="preserve">Add a second developer to the core API for two weeks</t>
  </si>
  <si>
    <t xml:space="preserve">Recovers about 4 of the 6 days' slip. Cost in change request CR 2.</t>
  </si>
  <si>
    <t xml:space="preserve">Proposed</t>
  </si>
  <si>
    <t xml:space="preserve">Change Request Log</t>
  </si>
  <si>
    <t xml:space="preserve">Schedule impact in working days (negative = saves time) and cost impact as estimated when raised. Approving a request doesn't change the plan: update the tasks, and re-baseline if agreed.</t>
  </si>
  <si>
    <t xml:space="preserve">Requested By</t>
  </si>
  <si>
    <t xml:space="preserve">Reason</t>
  </si>
  <si>
    <t xml:space="preserve">Schedule Impact</t>
  </si>
  <si>
    <t xml:space="preserve">Cost Impact</t>
  </si>
  <si>
    <t xml:space="preserve">Decided</t>
  </si>
  <si>
    <t xml:space="preserve">Marketing</t>
  </si>
  <si>
    <t xml:space="preserve">Add a newsletter sign-up to the portal</t>
  </si>
  <si>
    <t xml:space="preserve">Supports the launch campaign.</t>
  </si>
  <si>
    <t xml:space="preserve">Second developer on the core API for two weeks</t>
  </si>
  <si>
    <t xml:space="preserve">Recovers most of the API slip (RAID 3).</t>
  </si>
  <si>
    <t xml:space="preserve">Under Review</t>
  </si>
  <si>
    <t xml:space="preserve">Sales</t>
  </si>
  <si>
    <t xml:space="preserve">Live chat on every page</t>
  </si>
  <si>
    <t xml:space="preserve">Nice to have; not needed for go-live.</t>
  </si>
  <si>
    <t xml:space="preserve">Rejected</t>
  </si>
  <si>
    <t xml:space="preserve">Status History</t>
  </si>
  <si>
    <t xml:space="preserve">On each reporting date: select the SnapshotNow row below, Copy, then click the first empty row of StatusHistory and Paste Special &gt; Values. The trend charts update from StatusHistory.</t>
  </si>
  <si>
    <t xml:space="preserve">Status Date</t>
  </si>
  <si>
    <t xml:space="preserve">% Earned</t>
  </si>
  <si>
    <t xml:space="preserve">% Planned</t>
  </si>
  <si>
    <t xml:space="preserve">BAC</t>
  </si>
  <si>
    <t xml:space="preserve">EAC</t>
  </si>
  <si>
    <t xml:space="preserve">Points Done</t>
  </si>
  <si>
    <t xml:space="preserve">Total Points</t>
  </si>
  <si>
    <t xml:space="preserve">Open Risks</t>
  </si>
  <si>
    <t xml:space="preserve">Open Issues</t>
  </si>
  <si>
    <t xml:space="preserve">Pending Changes</t>
  </si>
  <si>
    <t xml:space="preserve">StatusHistory: one row per reporting date (values pasted from SnapshotNow)</t>
  </si>
  <si>
    <t xml:space="preserve">Green</t>
  </si>
  <si>
    <t xml:space="preserve">Amber</t>
  </si>
  <si>
    <t xml:space="preserve">Project Settings</t>
  </si>
  <si>
    <t xml:space="preserve">Blue = edit me. Grey = calculated. Column D shows the defined name every formula uses for that setting.</t>
  </si>
  <si>
    <t xml:space="preserve">Setting</t>
  </si>
  <si>
    <t xml:space="preserve">Named range</t>
  </si>
  <si>
    <t xml:space="preserve">Project name</t>
  </si>
  <si>
    <t xml:space="preserve">Customer Portal Implementation</t>
  </si>
  <si>
    <t xml:space="preserve">ProjectName</t>
  </si>
  <si>
    <t xml:space="preserve">Shown on every sheet title.</t>
  </si>
  <si>
    <t xml:space="preserve">Project manager</t>
  </si>
  <si>
    <t xml:space="preserve">ProjectManager</t>
  </si>
  <si>
    <t xml:space="preserve">Project start date</t>
  </si>
  <si>
    <t xml:space="preserve">ProjectStartDate</t>
  </si>
  <si>
    <t xml:space="preserve">Required. Tasks without predecessors start here (moved to the next working day if needed).</t>
  </si>
  <si>
    <t xml:space="preserve">Project start (in use)</t>
  </si>
  <si>
    <t xml:space="preserve">ProjectStart</t>
  </si>
  <si>
    <t xml:space="preserve">Copy of the date above (dates show as 1900 until it is entered).</t>
  </si>
  <si>
    <t xml:space="preserve">Status date</t>
  </si>
  <si>
    <t xml:space="preserve">StatusDateInput</t>
  </si>
  <si>
    <t xml:space="preserve">The date progress is reported as of. Type it, or press Ctrl+; for today. It is a typed date rather than TODAY() on purpose: TODAY() would make Excel recalculate the whole schedule after every edit.</t>
  </si>
  <si>
    <t xml:space="preserve">Status date (in use)</t>
  </si>
  <si>
    <t xml:space="preserve">StatusDate</t>
  </si>
  <si>
    <t xml:space="preserve">The project start until a status date is entered. Drives Status, the red status-date line on the Gantt and rescheduling of late work.</t>
  </si>
  <si>
    <t xml:space="preserve">First working day on/after status date</t>
  </si>
  <si>
    <t xml:space="preserve">StatusWorkday</t>
  </si>
  <si>
    <t xml:space="preserve">Reschedule incomplete work after status date?</t>
  </si>
  <si>
    <t xml:space="preserve">Yes</t>
  </si>
  <si>
    <t xml:space="preserve">RescheduleAfterStatus</t>
  </si>
  <si>
    <t xml:space="preserve">Yes = like MS Project 'move incomplete parts after status date': unstarted tasks can't start before the status date and in-progress tasks finish their remaining duration after it, pushing all successors.</t>
  </si>
  <si>
    <t xml:space="preserve">Working hours per day</t>
  </si>
  <si>
    <t xml:space="preserve">HoursPerDay</t>
  </si>
  <si>
    <t xml:space="preserve">Work (hrs) = Duration x Hours/day x Units.</t>
  </si>
  <si>
    <t xml:space="preserve">Default assignment units</t>
  </si>
  <si>
    <t xml:space="preserve">DefaultUnits</t>
  </si>
  <si>
    <t xml:space="preserve">Used when a task has a resource but Units is blank. 100% = full time.</t>
  </si>
  <si>
    <t xml:space="preserve">Monday is a working day</t>
  </si>
  <si>
    <t xml:space="preserve">WorkMon</t>
  </si>
  <si>
    <t xml:space="preserve">Working-week calendar (Yes/No). Feeds every WORKDAY / NETWORKDAYS formula.</t>
  </si>
  <si>
    <t xml:space="preserve">Tuesday is a working day</t>
  </si>
  <si>
    <t xml:space="preserve">WorkTue</t>
  </si>
  <si>
    <t xml:space="preserve">Wednesday is a working day</t>
  </si>
  <si>
    <t xml:space="preserve">WorkWed</t>
  </si>
  <si>
    <t xml:space="preserve">Thursday is a working day</t>
  </si>
  <si>
    <t xml:space="preserve">WorkThu</t>
  </si>
  <si>
    <t xml:space="preserve">Friday is a working day</t>
  </si>
  <si>
    <t xml:space="preserve">WorkFri</t>
  </si>
  <si>
    <t xml:space="preserve">Saturday is a working day</t>
  </si>
  <si>
    <t xml:space="preserve">No</t>
  </si>
  <si>
    <t xml:space="preserve">WorkSat</t>
  </si>
  <si>
    <t xml:space="preserve">Sunday is a working day</t>
  </si>
  <si>
    <t xml:space="preserve">WorkSun</t>
  </si>
  <si>
    <t xml:space="preserve">Weekend mask (calculated)</t>
  </si>
  <si>
    <t xml:space="preserve">WorkWeek</t>
  </si>
  <si>
    <t xml:space="preserve">7-character Mon..Sun string used by WORKDAY.INTL (1 = non-working).</t>
  </si>
  <si>
    <t xml:space="preserve">Gantt timeline start</t>
  </si>
  <si>
    <t xml:space="preserve">GanttStart</t>
  </si>
  <si>
    <t xml:space="preserve">Defaults to the Monday of the project start week. Overwrite with any date to scroll the timeline.</t>
  </si>
  <si>
    <t xml:space="preserve">Gantt days per column</t>
  </si>
  <si>
    <t xml:space="preserve">GanttPeriod</t>
  </si>
  <si>
    <t xml:space="preserve">1 = daily timeline, 7 = weekly timeline.</t>
  </si>
  <si>
    <t xml:space="preserve">Sprint 1 start date</t>
  </si>
  <si>
    <t xml:space="preserve">Sprint1Start</t>
  </si>
  <si>
    <t xml:space="preserve">Defaults to the project start. Overwrite to align with your sprint calendar.</t>
  </si>
  <si>
    <t xml:space="preserve">Sprint length (calendar days)</t>
  </si>
  <si>
    <t xml:space="preserve">SprintLength</t>
  </si>
  <si>
    <t xml:space="preserve">14 = two-week sprints.</t>
  </si>
  <si>
    <t xml:space="preserve">Number of sprints</t>
  </si>
  <si>
    <t xml:space="preserve">SprintCount</t>
  </si>
  <si>
    <t xml:space="preserve">Up to the number of rows in the Sprints table (26; add rows to the table for more). Tasks outside the sprint range are labelled 'Backlog'.</t>
  </si>
  <si>
    <t xml:space="preserve">Sprint name prefix</t>
  </si>
  <si>
    <t xml:space="preserve">Sprint </t>
  </si>
  <si>
    <t xml:space="preserve">SprintPrefix</t>
  </si>
  <si>
    <t xml:space="preserve">Sprint names = prefix &amp; number.</t>
  </si>
  <si>
    <t xml:space="preserve">Last sprint end (calculated)</t>
  </si>
  <si>
    <t xml:space="preserve">SprintLastEnd</t>
  </si>
  <si>
    <t xml:space="preserve">Sprint containing the status date (calculated)</t>
  </si>
  <si>
    <t xml:space="preserve">CurrentSprint</t>
  </si>
  <si>
    <t xml:space="preserve">Blank outside the sprint calendar. Agile Report shows its backlog and daily burndown.</t>
  </si>
  <si>
    <t xml:space="preserve">Current sprint start (calculated)</t>
  </si>
  <si>
    <t xml:space="preserve">CurrentSprintStart</t>
  </si>
  <si>
    <t xml:space="preserve">Current sprint end (calculated)</t>
  </si>
  <si>
    <t xml:space="preserve">CurrentSprintEnd</t>
  </si>
  <si>
    <t xml:space="preserve">Total story points (calculated)</t>
  </si>
  <si>
    <t xml:space="preserve">TotalPoints</t>
  </si>
  <si>
    <t xml:space="preserve">Story points on all detail tasks: the release scope for burndown and burn-up.</t>
  </si>
  <si>
    <t xml:space="preserve">Critical when total slack is at most (days)</t>
  </si>
  <si>
    <t xml:space="preserve">CriticalSlackDays</t>
  </si>
  <si>
    <t xml:space="preserve">0 = only tasks with no slack (or negative slack from a missed deadline) are critical, like MS Project.</t>
  </si>
  <si>
    <t xml:space="preserve">Forecast project finish (calculated)</t>
  </si>
  <si>
    <t xml:space="preserve">ProjectFinish</t>
  </si>
  <si>
    <t xml:space="preserve">The critical path's backward pass starts here.</t>
  </si>
  <si>
    <t xml:space="preserve">Planned project finish (calculated)</t>
  </si>
  <si>
    <t xml:space="preserve">PlannedFinish</t>
  </si>
  <si>
    <t xml:space="preserve">Baseline finish once a baseline is set.</t>
  </si>
  <si>
    <t xml:space="preserve">Project finish variance (calculated, working days)</t>
  </si>
  <si>
    <t xml:space="preserve">FinishVarianceDays</t>
  </si>
  <si>
    <t xml:space="preserve">Forecast finish minus planned finish. Positive = late.</t>
  </si>
  <si>
    <t xml:space="preserve">Look-ahead window (working days)</t>
  </si>
  <si>
    <t xml:space="preserve">LookaheadDays</t>
  </si>
  <si>
    <t xml:space="preserve">Schedule Report lists tasks starting or due within this many working days of the status date.</t>
  </si>
  <si>
    <t xml:space="preserve">Look-ahead window ends (calculated)</t>
  </si>
  <si>
    <t xml:space="preserve">LookaheadEnd</t>
  </si>
  <si>
    <t xml:space="preserve">RAG: amber when the finish slips by (working days)</t>
  </si>
  <si>
    <t xml:space="preserve">RAGAmberSlipDays</t>
  </si>
  <si>
    <t xml:space="preserve">Status Report thresholds. A finish slip of at least this many working days is amber.</t>
  </si>
  <si>
    <t xml:space="preserve">RAG: red when the finish slips by (working days)</t>
  </si>
  <si>
    <t xml:space="preserve">RAGRedSlipDays</t>
  </si>
  <si>
    <t xml:space="preserve">RAG: amber when SPI or CPI is below</t>
  </si>
  <si>
    <t xml:space="preserve">RAGAmberIndex</t>
  </si>
  <si>
    <t xml:space="preserve">SPI = earned value / planned value; CPI = earned value / actual cost. 1.00 = on plan.</t>
  </si>
  <si>
    <t xml:space="preserve">RAG: red when SPI or CPI is below</t>
  </si>
  <si>
    <t xml:space="preserve">RAGRedIndex</t>
  </si>
  <si>
    <t xml:space="preserve">RAID: high rating from score</t>
  </si>
  <si>
    <t xml:space="preserve">RAIDHighScore</t>
  </si>
  <si>
    <t xml:space="preserve">Score = probability x impact (1-25). At or above this a risk or issue is rated High.</t>
  </si>
  <si>
    <t xml:space="preserve">RAID: medium rating from score</t>
  </si>
  <si>
    <t xml:space="preserve">RAIDMediumScore</t>
  </si>
  <si>
    <t xml:space="preserve">Resource Report first week</t>
  </si>
  <si>
    <t xml:space="preserve">ResourceWeekStart</t>
  </si>
  <si>
    <t xml:space="preserve">Defaults to the Monday two weeks before the status date. Overwrite with any Monday to scroll the weekly grids.</t>
  </si>
  <si>
    <t xml:space="preserve">Next free task UID (calculated)</t>
  </si>
  <si>
    <t xml:space="preserve">NextFreeUID</t>
  </si>
  <si>
    <t xml:space="preserve">Give a newly inserted task row this UID (see Instructions &gt; Inserting tasks).</t>
  </si>
  <si>
    <t xml:space="preserve">Type in BLUE columns only. Level = outline level (1 = phase, 2 = task, 3 = sub-task). Predecessors refer to the UID column. Planned = Baseline once set, otherwise calculated from Duration + Predecessors. Forecast also uses Actuals, so slips ripple to every successor. Insert rows inside the table: formulas fill in automatically.</t>
  </si>
  <si>
    <t xml:space="preserve">IDENTITY</t>
  </si>
  <si>
    <t xml:space="preserve">SCHEDULING INPUTS</t>
  </si>
  <si>
    <t xml:space="preserve">PLAN / ACTUAL / FORECAST</t>
  </si>
  <si>
    <t xml:space="preserve">VARIANCE</t>
  </si>
  <si>
    <t xml:space="preserve">CRITICAL PATH</t>
  </si>
  <si>
    <t xml:space="preserve">CHECKS</t>
  </si>
  <si>
    <t xml:space="preserve">PROGRESS</t>
  </si>
  <si>
    <t xml:space="preserve">RESOURCES &amp; SPRINT</t>
  </si>
  <si>
    <t xml:space="preserve">SET BASELINE: copy these 5 columns, then Paste Special &gt; Values onto the 5 Baseline columns</t>
  </si>
  <si>
    <t xml:space="preserve">VARIANCE vs BASELINE</t>
  </si>
  <si>
    <t xml:space="preserve">EARNED VALUE (at status date)</t>
  </si>
  <si>
    <t xml:space="preserve">HELPER COLUMNS (hidden - click + above to show)</t>
  </si>
  <si>
    <t xml:space="preserve">ID</t>
  </si>
  <si>
    <t xml:space="preserve">UID</t>
  </si>
  <si>
    <t xml:space="preserve">Level</t>
  </si>
  <si>
    <t xml:space="preserve">Task Name</t>
  </si>
  <si>
    <t xml:space="preserve">Pred1 UID</t>
  </si>
  <si>
    <t xml:space="preserve">Pred1 Type</t>
  </si>
  <si>
    <t xml:space="preserve">Pred1 Lag</t>
  </si>
  <si>
    <t xml:space="preserve">Pred2 UID</t>
  </si>
  <si>
    <t xml:space="preserve">Pred2 Type</t>
  </si>
  <si>
    <t xml:space="preserve">Pred2 Lag</t>
  </si>
  <si>
    <t xml:space="preserve">Start No Earlier Than</t>
  </si>
  <si>
    <t xml:space="preserve">Planned Start</t>
  </si>
  <si>
    <t xml:space="preserve">Actual Start</t>
  </si>
  <si>
    <t xml:space="preserve">Actual Finish</t>
  </si>
  <si>
    <t xml:space="preserve">Start Var</t>
  </si>
  <si>
    <t xml:space="preserve">Late Finish</t>
  </si>
  <si>
    <t xml:space="preserve">Free Slack</t>
  </si>
  <si>
    <t xml:space="preserve">Link Check</t>
  </si>
  <si>
    <t xml:space="preserve">% Complete</t>
  </si>
  <si>
    <t xml:space="preserve">Units</t>
  </si>
  <si>
    <t xml:space="preserve">Planned Sprint</t>
  </si>
  <si>
    <t xml:space="preserve">Sprint</t>
  </si>
  <si>
    <t xml:space="preserve">BL Source Start</t>
  </si>
  <si>
    <t xml:space="preserve">BL Source Finish</t>
  </si>
  <si>
    <t xml:space="preserve">BL Source Duration</t>
  </si>
  <si>
    <t xml:space="preserve">BL Source Work</t>
  </si>
  <si>
    <t xml:space="preserve">BL Source Cost</t>
  </si>
  <si>
    <t xml:space="preserve">Baseline Start</t>
  </si>
  <si>
    <t xml:space="preserve">Baseline Finish</t>
  </si>
  <si>
    <t xml:space="preserve">Baseline Duration</t>
  </si>
  <si>
    <t xml:space="preserve">Baseline Work</t>
  </si>
  <si>
    <t xml:space="preserve">Baseline Cost</t>
  </si>
  <si>
    <t xml:space="preserve">Duration Var</t>
  </si>
  <si>
    <t xml:space="preserve">Work Var</t>
  </si>
  <si>
    <t xml:space="preserve">Cost Var</t>
  </si>
  <si>
    <t xml:space="preserve">_Level</t>
  </si>
  <si>
    <t xml:space="preserve">_Row</t>
  </si>
  <si>
    <t xml:space="preserve">_ParentRow</t>
  </si>
  <si>
    <t xml:space="preserve">_NextLevel</t>
  </si>
  <si>
    <t xml:space="preserve">_IsSummary</t>
  </si>
  <si>
    <t xml:space="preserve">_Descendants</t>
  </si>
  <si>
    <t xml:space="preserve">_IsLeaf</t>
  </si>
  <si>
    <t xml:space="preserve">_Pred1Pos</t>
  </si>
  <si>
    <t xml:space="preserve">_Pred2Pos</t>
  </si>
  <si>
    <t xml:space="preserve">_LeafCalcStart</t>
  </si>
  <si>
    <t xml:space="preserve">_LeafCalcFinish</t>
  </si>
  <si>
    <t xml:space="preserve">_LeafFcstStart</t>
  </si>
  <si>
    <t xml:space="preserve">_LeafFcstFinish</t>
  </si>
  <si>
    <t xml:space="preserve">_LeafProgress</t>
  </si>
  <si>
    <t xml:space="preserve">_LeafWork</t>
  </si>
  <si>
    <t xml:space="preserve">_LeafCost</t>
  </si>
  <si>
    <t xml:space="preserve">_Pred1FinishKey</t>
  </si>
  <si>
    <t xml:space="preserve">_Pred2FinishKey</t>
  </si>
  <si>
    <t xml:space="preserve">_Pred1SlackKey</t>
  </si>
  <si>
    <t xml:space="preserve">_Pred2SlackKey</t>
  </si>
  <si>
    <t xml:space="preserve">_LastSuccessorRow</t>
  </si>
  <si>
    <t xml:space="preserve">_SuccessorFinishLimit</t>
  </si>
  <si>
    <t xml:space="preserve">_LeafLateFinish</t>
  </si>
  <si>
    <t xml:space="preserve">_LeafLateStart</t>
  </si>
  <si>
    <t xml:space="preserve">_LeafTotalSlack</t>
  </si>
  <si>
    <t xml:space="preserve">_LeafCritical</t>
  </si>
  <si>
    <t xml:space="preserve">_CalcStart</t>
  </si>
  <si>
    <t xml:space="preserve">_CalcFinish</t>
  </si>
  <si>
    <t xml:space="preserve">_Pred1Problem</t>
  </si>
  <si>
    <t xml:space="preserve">_Pred2Problem</t>
  </si>
  <si>
    <t xml:space="preserve">_Pred1PlanDriver</t>
  </si>
  <si>
    <t xml:space="preserve">_Pred2PlanDriver</t>
  </si>
  <si>
    <t xml:space="preserve">_Pred1FcstDriver</t>
  </si>
  <si>
    <t xml:space="preserve">_Pred2FcstDriver</t>
  </si>
  <si>
    <t xml:space="preserve">_StartWorkday</t>
  </si>
  <si>
    <t xml:space="preserve">_FinishWorkday</t>
  </si>
  <si>
    <t xml:space="preserve">_WorkPerWorkday</t>
  </si>
  <si>
    <t xml:space="preserve">_WorkBeforeStart</t>
  </si>
  <si>
    <t xml:space="preserve">_WeightDur</t>
  </si>
  <si>
    <t xml:space="preserve">_WeightDone</t>
  </si>
  <si>
    <t xml:space="preserve">_Pred1IDText</t>
  </si>
  <si>
    <t xml:space="preserve">_Pred2IDText</t>
  </si>
  <si>
    <t xml:space="preserve">_Pred1UIDText</t>
  </si>
  <si>
    <t xml:space="preserve">_Pred2UIDText</t>
  </si>
  <si>
    <t xml:space="preserve">_UIDPredecessors</t>
  </si>
  <si>
    <t xml:space="preserve">_MilestoneKey</t>
  </si>
  <si>
    <t xml:space="preserve">_PlannedPct</t>
  </si>
  <si>
    <t xml:space="preserve">_LeafBudget</t>
  </si>
  <si>
    <t xml:space="preserve">_LeafPV</t>
  </si>
  <si>
    <t xml:space="preserve">_LeafEV</t>
  </si>
  <si>
    <t xml:space="preserve">_LeafAC</t>
  </si>
  <si>
    <t xml:space="preserve">_Phase</t>
  </si>
  <si>
    <t xml:space="preserve">_PhaseKey</t>
  </si>
  <si>
    <t xml:space="preserve">_MilestoneOrder</t>
  </si>
  <si>
    <t xml:space="preserve">_LateKey</t>
  </si>
  <si>
    <t xml:space="preserve">_StartSoonKey</t>
  </si>
  <si>
    <t xml:space="preserve">_DueSoonKey</t>
  </si>
  <si>
    <t xml:space="preserve">_CriticalKey</t>
  </si>
  <si>
    <t xml:space="preserve">_LeafWorkDone</t>
  </si>
  <si>
    <t xml:space="preserve">_DoneDate</t>
  </si>
  <si>
    <t xml:space="preserve">_LeafPoints</t>
  </si>
  <si>
    <t xml:space="preserve">_CurrentSprintKey</t>
  </si>
  <si>
    <t xml:space="preserve">Initiation</t>
  </si>
  <si>
    <t xml:space="preserve">Auto</t>
  </si>
  <si>
    <t xml:space="preserve">Phase 1 - summary rows roll up dates, work, cost and progress automatically.</t>
  </si>
  <si>
    <t xml:space="preserve">Project charter &amp; scope statement</t>
  </si>
  <si>
    <t xml:space="preserve">Took 1 extra day for sponsor sign-off.</t>
  </si>
  <si>
    <t xml:space="preserve">Stakeholder kickoff workshop</t>
  </si>
  <si>
    <t xml:space="preserve">FS</t>
  </si>
  <si>
    <t xml:space="preserve">Kickoff complete</t>
  </si>
  <si>
    <t xml:space="preserve">Milestone (Duration 0).</t>
  </si>
  <si>
    <t xml:space="preserve">Requirements &amp; Design</t>
  </si>
  <si>
    <t xml:space="preserve">Requirements gathering</t>
  </si>
  <si>
    <t xml:space="preserve">Solution architecture</t>
  </si>
  <si>
    <t xml:space="preserve">SS</t>
  </si>
  <si>
    <t xml:space="preserve">Start-to-Start + 3 day lag example.</t>
  </si>
  <si>
    <t xml:space="preserve">UX wireframes &amp; prototype</t>
  </si>
  <si>
    <t xml:space="preserve">Design sign-off</t>
  </si>
  <si>
    <t xml:space="preserve">Two predecessors - waits for the later one.</t>
  </si>
  <si>
    <t xml:space="preserve">Build</t>
  </si>
  <si>
    <t xml:space="preserve">Backend</t>
  </si>
  <si>
    <t xml:space="preserve">Level-2 summary with sub-tasks.</t>
  </si>
  <si>
    <t xml:space="preserve">Data model &amp; database setup</t>
  </si>
  <si>
    <t xml:space="preserve">Core API endpoints</t>
  </si>
  <si>
    <t xml:space="preserve">In progress - enter % Complete; forecast finish adjusts.</t>
  </si>
  <si>
    <t xml:space="preserve">Payment gateway integration</t>
  </si>
  <si>
    <t xml:space="preserve">Frontend</t>
  </si>
  <si>
    <t xml:space="preserve">UI component library</t>
  </si>
  <si>
    <t xml:space="preserve">Sam Rivera</t>
  </si>
  <si>
    <t xml:space="preserve">Feature screens</t>
  </si>
  <si>
    <t xml:space="preserve">Accessibility review</t>
  </si>
  <si>
    <t xml:space="preserve">FF</t>
  </si>
  <si>
    <t xml:space="preserve">Finish-to-Finish + 1 day; 50% units.</t>
  </si>
  <si>
    <t xml:space="preserve">Build complete</t>
  </si>
  <si>
    <t xml:space="preserve">Milestone with a deadline of 06-Nov (see Deadline Check).</t>
  </si>
  <si>
    <t xml:space="preserve">Test &amp; Release</t>
  </si>
  <si>
    <t xml:space="preserve">System integration testing</t>
  </si>
  <si>
    <t xml:space="preserve">Taylor Morgan</t>
  </si>
  <si>
    <t xml:space="preserve">User acceptance testing</t>
  </si>
  <si>
    <t xml:space="preserve">Start No Earlier Than 07-Dec (client availability).</t>
  </si>
  <si>
    <t xml:space="preserve">Training &amp; user guides</t>
  </si>
  <si>
    <t xml:space="preserve">Go-live readiness review</t>
  </si>
  <si>
    <t xml:space="preserve">Go-live</t>
  </si>
  <si>
    <t xml:space="preserve">Milestone with a deadline of 18-Dec.</t>
  </si>
  <si>
    <t xml:space="preserve">Hypercare support</t>
  </si>
  <si>
    <t xml:space="preserve">Project Close</t>
  </si>
  <si>
    <t xml:space="preserve">Steering committee update</t>
  </si>
  <si>
    <t xml:space="preserve">Manual</t>
  </si>
  <si>
    <t xml:space="preserve">Manual mode example: fixed on the date in the Start No Earlier Than column.</t>
  </si>
  <si>
    <t xml:space="preserve">Lessons learned</t>
  </si>
  <si>
    <t xml:space="preserve">Project closed</t>
  </si>
  <si>
    <t xml:space="preserve">Planned (outline)</t>
  </si>
  <si>
    <t xml:space="preserve">Done (% complete)</t>
  </si>
  <si>
    <t xml:space="preserve">Remaining - on track</t>
  </si>
  <si>
    <t xml:space="preserve">Remaining - late vs plan</t>
  </si>
  <si>
    <t xml:space="preserve">Remaining - critical</t>
  </si>
  <si>
    <t xml:space="preserve">Summary (forecast)</t>
  </si>
  <si>
    <t xml:space="preserve">Milestone (forecast)</t>
  </si>
  <si>
    <t xml:space="preserve">Non-working day</t>
  </si>
  <si>
    <t xml:space="preserve">Timeline: conditional formatting only (no formulas), so it costs no recalculation.</t>
  </si>
  <si>
    <t xml:space="preserve">Dur</t>
  </si>
  <si>
    <t xml:space="preserve">%</t>
  </si>
  <si>
    <t xml:space="preserve">_IsMilestone</t>
  </si>
  <si>
    <t xml:space="preserve">_DoneFrom</t>
  </si>
  <si>
    <t xml:space="preserve">_DoneTo</t>
  </si>
  <si>
    <t xml:space="preserve">_RemFrom</t>
  </si>
  <si>
    <t xml:space="preserve">_RemTo</t>
  </si>
  <si>
    <t xml:space="preserve">_Late</t>
  </si>
  <si>
    <t xml:space="preserve">_Deadline</t>
  </si>
  <si>
    <t xml:space="preserve">_Critical</t>
  </si>
  <si>
    <t xml:space="preserve">Resource Sheet</t>
  </si>
  <si>
    <t xml:space="preserve">Like MS Project's Resource Sheet. Names here feed the Resource dropdown on Tasks. Add rows to the table for more people.</t>
  </si>
  <si>
    <t xml:space="preserve">Resource Name</t>
  </si>
  <si>
    <t xml:space="preserve">Initials</t>
  </si>
  <si>
    <t xml:space="preserve">Group</t>
  </si>
  <si>
    <t xml:space="preserve">Std Rate</t>
  </si>
  <si>
    <t xml:space="preserve">Email</t>
  </si>
  <si>
    <t xml:space="preserve">PS</t>
  </si>
  <si>
    <t xml:space="preserve">Project Manager</t>
  </si>
  <si>
    <t xml:space="preserve">priya@example.com</t>
  </si>
  <si>
    <t xml:space="preserve">MP</t>
  </si>
  <si>
    <t xml:space="preserve">Business Analyst</t>
  </si>
  <si>
    <t xml:space="preserve">morgan@example.com</t>
  </si>
  <si>
    <t xml:space="preserve">Solution Architect</t>
  </si>
  <si>
    <t xml:space="preserve">alex@example.com</t>
  </si>
  <si>
    <t xml:space="preserve">CK</t>
  </si>
  <si>
    <t xml:space="preserve">UX Designer</t>
  </si>
  <si>
    <t xml:space="preserve">casey@example.com</t>
  </si>
  <si>
    <t xml:space="preserve">JL</t>
  </si>
  <si>
    <t xml:space="preserve">Backend Developer</t>
  </si>
  <si>
    <t xml:space="preserve">jordan@example.com</t>
  </si>
  <si>
    <t xml:space="preserve">SR</t>
  </si>
  <si>
    <t xml:space="preserve">Frontend Developer</t>
  </si>
  <si>
    <t xml:space="preserve">sam@example.com</t>
  </si>
  <si>
    <t xml:space="preserve">TM</t>
  </si>
  <si>
    <t xml:space="preserve">QA Engineer</t>
  </si>
  <si>
    <t xml:space="preserve">taylor@example.com</t>
  </si>
  <si>
    <t xml:space="preserve">Sprint calendar from Settings (Sprint1Start, SprintLength, SprintCount); add rows to the table for more sprints. Each task's work is spread evenly over its forecast working days, then summed per sprint.</t>
  </si>
  <si>
    <t xml:space="preserve">Start</t>
  </si>
  <si>
    <t xml:space="preserve">End</t>
  </si>
  <si>
    <t xml:space="preserve">Working Days</t>
  </si>
  <si>
    <t xml:space="preserve">Goal</t>
  </si>
  <si>
    <t xml:space="preserve">Tasks Starting</t>
  </si>
  <si>
    <t xml:space="preserve">Planned Work</t>
  </si>
  <si>
    <t xml:space="preserve">Utilisation</t>
  </si>
  <si>
    <t xml:space="preserve">Points Capacity</t>
  </si>
  <si>
    <t xml:space="preserve">Committed Points</t>
  </si>
  <si>
    <t xml:space="preserve">Done Points</t>
  </si>
  <si>
    <t xml:space="preserve">Velocity</t>
  </si>
  <si>
    <t xml:space="preserve">Remaining Points</t>
  </si>
  <si>
    <t xml:space="preserve">Forecast Remaining</t>
  </si>
  <si>
    <t xml:space="preserve">Ideal Remaining</t>
  </si>
  <si>
    <t xml:space="preserve">Charter &amp; kickoff</t>
  </si>
  <si>
    <t xml:space="preserve">Requirements</t>
  </si>
  <si>
    <t xml:space="preserve">Design &amp; architecture</t>
  </si>
  <si>
    <t xml:space="preserve">Foundations: DB + components</t>
  </si>
  <si>
    <t xml:space="preserve">Core APIs + screens</t>
  </si>
  <si>
    <t xml:space="preserve">Payments + screens</t>
  </si>
  <si>
    <t xml:space="preserve">Feature complete</t>
  </si>
  <si>
    <t xml:space="preserve">System testing</t>
  </si>
  <si>
    <t xml:space="preserve">UAT</t>
  </si>
  <si>
    <t xml:space="preserve">Release &amp; hypercare</t>
  </si>
  <si>
    <t xml:space="preserve">Hypercare</t>
  </si>
  <si>
    <t xml:space="preserve">Close-out</t>
  </si>
  <si>
    <t xml:space="preserve">Resource load by sprint (hours)  -  red = over capacity (Max Units x HoursPerDay x working days)</t>
  </si>
  <si>
    <t xml:space="preserve">Sprint start</t>
  </si>
  <si>
    <t xml:space="preserve">Resource utilisation by sprint (%)</t>
  </si>
  <si>
    <t xml:space="preserve">Holidays &amp; Non-Working Days</t>
  </si>
  <si>
    <t xml:space="preserve">Every date in this table is skipped by all scheduling formulas (named range: Holidays). Add rows to the table as needed.</t>
  </si>
  <si>
    <t xml:space="preserve">Description</t>
  </si>
  <si>
    <t xml:space="preserve">Christmas Eve (example - replace with your calendar)</t>
  </si>
  <si>
    <t xml:space="preserve">Christmas Day (example)</t>
  </si>
  <si>
    <t xml:space="preserve">New Year's Eve (example)</t>
  </si>
  <si>
    <t xml:space="preserve">New Year's Day (example)</t>
  </si>
  <si>
    <t xml:space="preserve">Unique ID</t>
  </si>
  <si>
    <t xml:space="preserve">Name</t>
  </si>
  <si>
    <t xml:space="preserve">Outline Level</t>
  </si>
  <si>
    <t xml:space="preserve">Task Mode</t>
  </si>
  <si>
    <t xml:space="preserve">Finish</t>
  </si>
  <si>
    <t xml:space="preserve">Unique ID Predecessors</t>
  </si>
  <si>
    <t xml:space="preserve">Resource Names</t>
  </si>
  <si>
    <t xml:space="preserve">Constraint Type</t>
  </si>
  <si>
    <t xml:space="preserve">Constraint Date</t>
  </si>
  <si>
    <t xml:space="preserve">Text1</t>
  </si>
  <si>
    <t xml:space="preserve">Number1</t>
  </si>
  <si>
    <t xml:space="preserve">Standard Rate</t>
  </si>
  <si>
    <t xml:space="preserve">Email Address</t>
  </si>
  <si>
    <t xml:space="preserve">Link Type</t>
  </si>
  <si>
    <t xml:space="preserve">Yes / No</t>
  </si>
  <si>
    <t xml:space="preserve">Resource Type</t>
  </si>
  <si>
    <t xml:space="preserve">Gantt Days per Column</t>
  </si>
  <si>
    <t xml:space="preserve">RAID Type</t>
  </si>
  <si>
    <t xml:space="preserve">RAID Status</t>
  </si>
  <si>
    <t xml:space="preserve">Decision Status</t>
  </si>
  <si>
    <t xml:space="preserve">Change Status</t>
  </si>
  <si>
    <t xml:space="preserve">Submitted</t>
  </si>
  <si>
    <t xml:space="preserve">Material</t>
  </si>
  <si>
    <t xml:space="preserve">Red</t>
  </si>
  <si>
    <t xml:space="preserve">SF</t>
  </si>
  <si>
    <t xml:space="preserve">Superseded</t>
  </si>
  <si>
    <t xml:space="preserve">Implemented</t>
  </si>
  <si>
    <t xml:space="preserve">Dropdown sources. Add a value by typing it in the row under a list: the table and its named range grow.</t>
  </si>
</sst>
</file>

<file path=xl/styles.xml><?xml version="1.0" encoding="utf-8"?>
<styleSheet xmlns="http://schemas.openxmlformats.org/spreadsheetml/2006/main">
  <numFmts count="21">
    <numFmt numFmtId="164" formatCode="General"/>
    <numFmt numFmtId="165" formatCode="ddd\ dd\-mmm\-yy"/>
    <numFmt numFmtId="166" formatCode="\+0;\-0;0"/>
    <numFmt numFmtId="167" formatCode="0%"/>
    <numFmt numFmtId="168" formatCode="0"/>
    <numFmt numFmtId="169" formatCode="#,##0"/>
    <numFmt numFmtId="170" formatCode="#,##0.00"/>
    <numFmt numFmtId="171" formatCode="@"/>
    <numFmt numFmtId="172" formatCode="0.00"/>
    <numFmt numFmtId="173" formatCode="General"/>
    <numFmt numFmtId="174" formatCode="dd\-mmm\-yy"/>
    <numFmt numFmtId="175" formatCode="dd\-mmm"/>
    <numFmt numFmtId="176" formatCode="#,##0;;\-"/>
    <numFmt numFmtId="177" formatCode="0%;;\-"/>
    <numFmt numFmtId="178" formatCode="0.#"/>
    <numFmt numFmtId="179" formatCode="0.0"/>
    <numFmt numFmtId="180" formatCode="0.#;;\-"/>
    <numFmt numFmtId="181" formatCode="#,##0.0"/>
    <numFmt numFmtId="182" formatCode="mm/dd/yy"/>
    <numFmt numFmtId="183" formatCode="d"/>
    <numFmt numFmtId="184" formatCode="dd\-mmm;;\-"/>
  </numFmts>
  <fonts count="32">
    <font>
      <sz val="11"/>
      <color theme="1"/>
      <name val="Calibri"/>
      <family val="2"/>
      <charset val="1"/>
    </font>
    <font>
      <sz val="10"/>
      <name val="Arial"/>
      <family val="0"/>
    </font>
    <font>
      <sz val="10"/>
      <name val="Arial"/>
      <family val="0"/>
    </font>
    <font>
      <sz val="10"/>
      <name val="Arial"/>
      <family val="0"/>
    </font>
    <font>
      <b val="true"/>
      <sz val="18"/>
      <color rgb="FF1F4E78"/>
      <name val="Arial"/>
      <family val="0"/>
      <charset val="1"/>
    </font>
    <font>
      <b val="true"/>
      <sz val="10"/>
      <color rgb="FFFFFFFF"/>
      <name val="Arial"/>
      <family val="0"/>
      <charset val="1"/>
    </font>
    <font>
      <b val="true"/>
      <sz val="10"/>
      <name val="Arial"/>
      <family val="0"/>
      <charset val="1"/>
    </font>
    <font>
      <sz val="10"/>
      <name val="Arial"/>
      <family val="0"/>
      <charset val="1"/>
    </font>
    <font>
      <sz val="10"/>
      <color rgb="FF0000FF"/>
      <name val="Arial"/>
      <family val="0"/>
      <charset val="1"/>
    </font>
    <font>
      <i val="true"/>
      <sz val="10"/>
      <color rgb="FF595959"/>
      <name val="Arial"/>
      <family val="0"/>
      <charset val="1"/>
    </font>
    <font>
      <b val="true"/>
      <sz val="11"/>
      <name val="Arial"/>
      <family val="0"/>
      <charset val="1"/>
    </font>
    <font>
      <b val="true"/>
      <sz val="10"/>
      <color rgb="FF548235"/>
      <name val="Arial"/>
      <family val="0"/>
      <charset val="1"/>
    </font>
    <font>
      <b val="true"/>
      <sz val="10"/>
      <color rgb="FF2F75B5"/>
      <name val="Arial"/>
      <family val="0"/>
      <charset val="1"/>
    </font>
    <font>
      <b val="true"/>
      <sz val="10"/>
      <color rgb="FFC00000"/>
      <name val="Arial"/>
      <family val="0"/>
      <charset val="1"/>
    </font>
    <font>
      <b val="true"/>
      <sz val="10"/>
      <color rgb="FFC55A11"/>
      <name val="Arial"/>
      <family val="0"/>
      <charset val="1"/>
    </font>
    <font>
      <b val="true"/>
      <sz val="10"/>
      <color rgb="FF7F7F7F"/>
      <name val="Arial"/>
      <family val="0"/>
      <charset val="1"/>
    </font>
    <font>
      <b val="true"/>
      <sz val="18"/>
      <color rgb="FF000000"/>
      <name val="Calibri"/>
      <family val="2"/>
    </font>
    <font>
      <sz val="10"/>
      <color rgb="FF000000"/>
      <name val="Calibri"/>
      <family val="2"/>
    </font>
    <font>
      <b val="true"/>
      <sz val="16"/>
      <color rgb="FF1F4E78"/>
      <name val="Arial"/>
      <family val="0"/>
      <charset val="1"/>
    </font>
    <font>
      <b val="true"/>
      <sz val="10"/>
      <color rgb="FF1F4E78"/>
      <name val="Arial"/>
      <family val="0"/>
      <charset val="1"/>
    </font>
    <font>
      <sz val="10"/>
      <color rgb="FF404040"/>
      <name val="Arial"/>
      <family val="0"/>
      <charset val="1"/>
    </font>
    <font>
      <sz val="10"/>
      <name val="Arial"/>
      <family val="2"/>
    </font>
    <font>
      <b val="true"/>
      <sz val="12"/>
      <color rgb="FF1F4E78"/>
      <name val="Arial"/>
      <family val="0"/>
      <charset val="1"/>
    </font>
    <font>
      <i val="true"/>
      <sz val="9"/>
      <name val="Arial"/>
      <family val="0"/>
      <charset val="1"/>
    </font>
    <font>
      <i val="true"/>
      <sz val="10"/>
      <name val="Arial"/>
      <family val="0"/>
      <charset val="1"/>
    </font>
    <font>
      <b val="true"/>
      <sz val="10"/>
      <color rgb="FF000000"/>
      <name val="Calibri"/>
      <family val="2"/>
    </font>
    <font>
      <sz val="10"/>
      <color rgb="FF7F7F7F"/>
      <name val="Arial"/>
      <family val="0"/>
      <charset val="1"/>
    </font>
    <font>
      <sz val="9"/>
      <name val="Arial"/>
      <family val="0"/>
      <charset val="1"/>
    </font>
    <font>
      <b val="true"/>
      <sz val="10"/>
      <color rgb="FF404040"/>
      <name val="Arial"/>
      <family val="0"/>
      <charset val="1"/>
    </font>
    <font>
      <sz val="8"/>
      <color rgb="FF404040"/>
      <name val="Arial"/>
      <family val="0"/>
      <charset val="1"/>
    </font>
    <font>
      <b val="true"/>
      <sz val="8"/>
      <color rgb="FF404040"/>
      <name val="Arial"/>
      <family val="0"/>
      <charset val="1"/>
    </font>
    <font>
      <sz val="8"/>
      <color rgb="FFFFFFFF"/>
      <name val="Arial"/>
      <family val="0"/>
      <charset val="1"/>
    </font>
  </fonts>
  <fills count="14">
    <fill>
      <patternFill patternType="none"/>
    </fill>
    <fill>
      <patternFill patternType="gray125"/>
    </fill>
    <fill>
      <patternFill patternType="solid">
        <fgColor rgb="FF1F4E78"/>
        <bgColor rgb="FF1F3864"/>
      </patternFill>
    </fill>
    <fill>
      <patternFill patternType="solid">
        <fgColor rgb="FFF2F2F2"/>
        <bgColor rgb="FFEDEDED"/>
      </patternFill>
    </fill>
    <fill>
      <patternFill patternType="solid">
        <fgColor rgb="FF595959"/>
        <bgColor rgb="FF404040"/>
      </patternFill>
    </fill>
    <fill>
      <patternFill patternType="solid">
        <fgColor rgb="FFA6A6A6"/>
        <bgColor rgb="FF878787"/>
      </patternFill>
    </fill>
    <fill>
      <patternFill patternType="solid">
        <fgColor rgb="FF70AD47"/>
        <bgColor rgb="FF98B855"/>
      </patternFill>
    </fill>
    <fill>
      <patternFill patternType="solid">
        <fgColor rgb="FF9DC3E6"/>
        <bgColor rgb="FFA6A6A6"/>
      </patternFill>
    </fill>
    <fill>
      <patternFill patternType="solid">
        <fgColor rgb="FFF4B183"/>
        <bgColor rgb="FFFFC7CE"/>
      </patternFill>
    </fill>
    <fill>
      <patternFill patternType="solid">
        <fgColor rgb="FFE06666"/>
        <bgColor rgb="FFC0504D"/>
      </patternFill>
    </fill>
    <fill>
      <patternFill patternType="solid">
        <fgColor rgb="FF404040"/>
        <bgColor rgb="FF1F3864"/>
      </patternFill>
    </fill>
    <fill>
      <patternFill patternType="solid">
        <fgColor rgb="FF7030A0"/>
        <bgColor rgb="FF800080"/>
      </patternFill>
    </fill>
    <fill>
      <patternFill patternType="solid">
        <fgColor rgb="FFC00000"/>
        <bgColor rgb="FF9C0006"/>
      </patternFill>
    </fill>
    <fill>
      <patternFill patternType="solid">
        <fgColor rgb="FFEDEDED"/>
        <bgColor rgb="FFF2F2F2"/>
      </patternFill>
    </fill>
  </fills>
  <borders count="4">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right/>
      <top style="thin">
        <color rgb="FF1F3864"/>
      </top>
      <bottom style="thin">
        <color rgb="FF1F3864"/>
      </bottom>
      <diagonal/>
    </border>
    <border diagonalUp="false" diagonalDown="false">
      <left style="medium">
        <color rgb="FFFF0000"/>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true" applyProtection="false">
      <alignment horizontal="right" vertical="bottom" textRotation="0" wrapText="false" indent="0" shrinkToFit="false"/>
      <protection locked="true" hidden="false"/>
    </xf>
    <xf numFmtId="164" fontId="11" fillId="3" borderId="1" xfId="0" applyFont="true" applyBorder="true" applyAlignment="false" applyProtection="false">
      <alignment horizontal="general" vertical="bottom" textRotation="0" wrapText="false" indent="0" shrinkToFit="false"/>
      <protection locked="true" hidden="false"/>
    </xf>
    <xf numFmtId="164" fontId="12" fillId="3" borderId="1" xfId="0" applyFont="true" applyBorder="true" applyAlignment="false" applyProtection="false">
      <alignment horizontal="general" vertical="bottom" textRotation="0" wrapText="false" indent="0" shrinkToFit="false"/>
      <protection locked="true" hidden="false"/>
    </xf>
    <xf numFmtId="164" fontId="13" fillId="3" borderId="1"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true" applyProtection="false">
      <alignment horizontal="right" vertical="bottom" textRotation="0" wrapText="false" indent="0" shrinkToFit="false"/>
      <protection locked="true" hidden="false"/>
    </xf>
    <xf numFmtId="164" fontId="14" fillId="3" borderId="1" xfId="0" applyFont="true" applyBorder="true" applyAlignment="false" applyProtection="false">
      <alignment horizontal="general" vertical="bottom" textRotation="0" wrapText="false" indent="0" shrinkToFit="false"/>
      <protection locked="true" hidden="false"/>
    </xf>
    <xf numFmtId="167" fontId="10" fillId="3" borderId="1" xfId="0" applyFont="true" applyBorder="true" applyAlignment="true" applyProtection="false">
      <alignment horizontal="right" vertical="bottom" textRotation="0" wrapText="false" indent="0" shrinkToFit="false"/>
      <protection locked="true" hidden="false"/>
    </xf>
    <xf numFmtId="164" fontId="15" fillId="3" borderId="1" xfId="0" applyFont="true" applyBorder="true" applyAlignment="false" applyProtection="false">
      <alignment horizontal="general" vertical="bottom" textRotation="0" wrapText="false" indent="0" shrinkToFit="false"/>
      <protection locked="true" hidden="false"/>
    </xf>
    <xf numFmtId="168" fontId="10" fillId="3" borderId="1" xfId="0" applyFont="true" applyBorder="true" applyAlignment="true" applyProtection="false">
      <alignment horizontal="right" vertical="bottom" textRotation="0" wrapText="false" indent="0" shrinkToFit="false"/>
      <protection locked="true" hidden="false"/>
    </xf>
    <xf numFmtId="169" fontId="10" fillId="3" borderId="1" xfId="0" applyFont="true" applyBorder="true" applyAlignment="true" applyProtection="false">
      <alignment horizontal="right" vertical="bottom" textRotation="0" wrapText="false" indent="0" shrinkToFit="false"/>
      <protection locked="true" hidden="false"/>
    </xf>
    <xf numFmtId="170" fontId="10" fillId="3" borderId="1" xfId="0" applyFont="true" applyBorder="true" applyAlignment="true" applyProtection="false">
      <alignment horizontal="right" vertical="bottom" textRotation="0" wrapText="false" indent="0" shrinkToFit="false"/>
      <protection locked="true" hidden="false"/>
    </xf>
    <xf numFmtId="171" fontId="10" fillId="3" borderId="1" xfId="0" applyFont="true" applyBorder="true" applyAlignment="true" applyProtection="false">
      <alignment horizontal="right" vertical="bottom" textRotation="0" wrapText="false" indent="0" shrinkToFit="false"/>
      <protection locked="true" hidden="false"/>
    </xf>
    <xf numFmtId="172" fontId="10" fillId="3"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6" fontId="7" fillId="3" borderId="1" xfId="0" applyFont="true" applyBorder="true" applyAlignment="true" applyProtection="false">
      <alignment horizontal="right" vertical="bottom" textRotation="0" wrapText="false" indent="0" shrinkToFit="false"/>
      <protection locked="true" hidden="false"/>
    </xf>
    <xf numFmtId="172" fontId="7" fillId="3" borderId="1" xfId="0" applyFont="true" applyBorder="true" applyAlignment="true" applyProtection="false">
      <alignment horizontal="right" vertical="bottom" textRotation="0" wrapText="false" indent="0" shrinkToFit="false"/>
      <protection locked="true" hidden="false"/>
    </xf>
    <xf numFmtId="168" fontId="7" fillId="3" borderId="1" xfId="0" applyFont="true" applyBorder="true" applyAlignment="true" applyProtection="false">
      <alignment horizontal="right"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9" fontId="6" fillId="3" borderId="1" xfId="0" applyFont="true" applyBorder="true" applyAlignment="false" applyProtection="false">
      <alignment horizontal="general" vertical="bottom" textRotation="0" wrapText="false" indent="0" shrinkToFit="false"/>
      <protection locked="true" hidden="false"/>
    </xf>
    <xf numFmtId="172" fontId="6" fillId="3" borderId="1" xfId="0" applyFont="true" applyBorder="true" applyAlignment="false" applyProtection="false">
      <alignment horizontal="general" vertical="bottom" textRotation="0" wrapText="false" indent="0" shrinkToFit="false"/>
      <protection locked="true" hidden="false"/>
    </xf>
    <xf numFmtId="167" fontId="6" fillId="3" borderId="1" xfId="0" applyFont="true" applyBorder="true" applyAlignment="false" applyProtection="false">
      <alignment horizontal="general" vertical="bottom" textRotation="0" wrapText="false" indent="0" shrinkToFit="false"/>
      <protection locked="true" hidden="false"/>
    </xf>
    <xf numFmtId="164" fontId="5" fillId="5" borderId="1" xfId="0" applyFont="true" applyBorder="true" applyAlignment="true" applyProtection="false">
      <alignment horizontal="center" vertical="center" textRotation="0" wrapText="true" indent="0" shrinkToFit="false"/>
      <protection locked="true" hidden="false"/>
    </xf>
    <xf numFmtId="173" fontId="20" fillId="3" borderId="1" xfId="0" applyFont="true" applyBorder="true" applyAlignment="false" applyProtection="false">
      <alignment horizontal="general" vertical="bottom" textRotation="0" wrapText="false" indent="0" shrinkToFit="false"/>
      <protection locked="true" hidden="false"/>
    </xf>
    <xf numFmtId="174" fontId="7" fillId="3" borderId="1" xfId="0" applyFont="true" applyBorder="true" applyAlignment="true" applyProtection="false">
      <alignment horizontal="center" vertical="bottom" textRotation="0" wrapText="false" indent="0" shrinkToFit="false"/>
      <protection locked="true" hidden="false"/>
    </xf>
    <xf numFmtId="173" fontId="7" fillId="3" borderId="1" xfId="0" applyFont="true" applyBorder="true" applyAlignment="true" applyProtection="false">
      <alignment horizontal="center" vertical="bottom" textRotation="0" wrapText="false" indent="0" shrinkToFit="false"/>
      <protection locked="true" hidden="false"/>
    </xf>
    <xf numFmtId="168" fontId="6" fillId="3" borderId="1" xfId="0" applyFont="true" applyBorder="true" applyAlignment="false" applyProtection="false">
      <alignment horizontal="general" vertical="bottom" textRotation="0" wrapText="false" indent="0" shrinkToFit="false"/>
      <protection locked="true" hidden="false"/>
    </xf>
    <xf numFmtId="166" fontId="6" fillId="3"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center" vertical="bottom" textRotation="0" wrapText="false" indent="0" shrinkToFit="false"/>
      <protection locked="true" hidden="false"/>
    </xf>
    <xf numFmtId="166" fontId="7" fillId="3" borderId="1" xfId="0" applyFont="true" applyBorder="true" applyAlignment="true" applyProtection="false">
      <alignment horizontal="center" vertical="bottom" textRotation="0" wrapText="false" indent="0" shrinkToFit="false"/>
      <protection locked="true" hidden="false"/>
    </xf>
    <xf numFmtId="167" fontId="7" fillId="3" borderId="1" xfId="0" applyFont="true" applyBorder="true" applyAlignment="true" applyProtection="false">
      <alignment horizontal="center" vertical="bottom" textRotation="0" wrapText="false" indent="0" shrinkToFit="false"/>
      <protection locked="true" hidden="false"/>
    </xf>
    <xf numFmtId="169" fontId="7" fillId="3" borderId="1" xfId="0" applyFont="true" applyBorder="true" applyAlignment="true" applyProtection="false">
      <alignment horizontal="center" vertical="bottom" textRotation="0" wrapText="false" indent="0" shrinkToFit="false"/>
      <protection locked="true" hidden="false"/>
    </xf>
    <xf numFmtId="172" fontId="7" fillId="3" borderId="1" xfId="0" applyFont="true" applyBorder="true" applyAlignment="true" applyProtection="false">
      <alignment horizontal="center" vertical="bottom" textRotation="0" wrapText="false" indent="0" shrinkToFit="false"/>
      <protection locked="true" hidden="false"/>
    </xf>
    <xf numFmtId="168" fontId="7" fillId="3" borderId="1" xfId="0" applyFont="true" applyBorder="true" applyAlignment="true" applyProtection="false">
      <alignment horizontal="center" vertical="bottom" textRotation="0" wrapText="false" indent="0" shrinkToFit="false"/>
      <protection locked="true" hidden="false"/>
    </xf>
    <xf numFmtId="169" fontId="7" fillId="3" borderId="1" xfId="0" applyFont="true" applyBorder="tru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75" fontId="5" fillId="4" borderId="1" xfId="0" applyFont="true" applyBorder="true" applyAlignment="true" applyProtection="false">
      <alignment horizontal="center" vertical="center" textRotation="0" wrapText="tru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73" fontId="23" fillId="0" borderId="0" xfId="0" applyFont="true" applyBorder="false" applyAlignment="true" applyProtection="false">
      <alignment horizontal="center"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76" fontId="7" fillId="0" borderId="1" xfId="0" applyFont="true" applyBorder="true" applyAlignment="false" applyProtection="false">
      <alignment horizontal="general" vertical="bottom" textRotation="0" wrapText="false" indent="0" shrinkToFit="false"/>
      <protection locked="true" hidden="false"/>
    </xf>
    <xf numFmtId="176" fontId="6" fillId="3" borderId="1" xfId="0" applyFont="true" applyBorder="true" applyAlignment="false" applyProtection="false">
      <alignment horizontal="general" vertical="bottom" textRotation="0" wrapText="false" indent="0" shrinkToFit="false"/>
      <protection locked="true" hidden="false"/>
    </xf>
    <xf numFmtId="177" fontId="7" fillId="0" borderId="1" xfId="0" applyFont="true" applyBorder="tru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73" fontId="7" fillId="0" borderId="0" xfId="0" applyFont="true" applyBorder="false" applyAlignment="false" applyProtection="false">
      <alignment horizontal="general" vertical="bottom" textRotation="0" wrapText="false" indent="0" shrinkToFit="false"/>
      <protection locked="true" hidden="false"/>
    </xf>
    <xf numFmtId="178" fontId="7" fillId="3" borderId="1" xfId="0" applyFont="true" applyBorder="true" applyAlignment="true" applyProtection="false">
      <alignment horizontal="right" vertical="bottom" textRotation="0" wrapText="false" indent="0" shrinkToFit="false"/>
      <protection locked="true" hidden="false"/>
    </xf>
    <xf numFmtId="179" fontId="7" fillId="3" borderId="1" xfId="0" applyFont="true" applyBorder="true" applyAlignment="true" applyProtection="false">
      <alignment horizontal="right" vertical="bottom" textRotation="0" wrapText="false" indent="0" shrinkToFit="false"/>
      <protection locked="true" hidden="false"/>
    </xf>
    <xf numFmtId="171" fontId="7" fillId="3" borderId="1" xfId="0" applyFont="true" applyBorder="true" applyAlignment="true" applyProtection="false">
      <alignment horizontal="right" vertical="bottom" textRotation="0" wrapText="fals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80" fontId="7" fillId="3" borderId="1" xfId="0" applyFont="true" applyBorder="true" applyAlignment="true" applyProtection="false">
      <alignment horizontal="center" vertical="bottom" textRotation="0" wrapText="false" indent="0" shrinkToFit="false"/>
      <protection locked="true" hidden="false"/>
    </xf>
    <xf numFmtId="178" fontId="7" fillId="3" borderId="1" xfId="0" applyFont="true" applyBorder="true" applyAlignment="false" applyProtection="false">
      <alignment horizontal="general" vertical="bottom" textRotation="0" wrapText="false" indent="0" shrinkToFit="false"/>
      <protection locked="true" hidden="false"/>
    </xf>
    <xf numFmtId="164" fontId="20" fillId="3" borderId="1" xfId="0" applyFont="true" applyBorder="true" applyAlignment="false" applyProtection="false">
      <alignment horizontal="general" vertical="bottom" textRotation="0" wrapText="false" indent="0" shrinkToFit="false"/>
      <protection locked="true" hidden="false"/>
    </xf>
    <xf numFmtId="178" fontId="20" fillId="3"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center"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78" fontId="7" fillId="3" borderId="1" xfId="0" applyFont="true" applyBorder="true" applyAlignment="true" applyProtection="false">
      <alignment horizontal="center" vertical="bottom" textRotation="0" wrapText="false" indent="0" shrinkToFit="false"/>
      <protection locked="true" hidden="false"/>
    </xf>
    <xf numFmtId="171" fontId="7" fillId="3"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7" fontId="8" fillId="0" borderId="1" xfId="0" applyFont="true" applyBorder="true" applyAlignment="true" applyProtection="false">
      <alignment horizontal="center" vertical="bottom" textRotation="0" wrapText="false" indent="0" shrinkToFit="false"/>
      <protection locked="true" hidden="false"/>
    </xf>
    <xf numFmtId="169" fontId="8" fillId="0" borderId="1" xfId="0" applyFont="true" applyBorder="true" applyAlignment="true" applyProtection="false">
      <alignment horizontal="center" vertical="bottom" textRotation="0" wrapText="false" indent="0" shrinkToFit="false"/>
      <protection locked="true" hidden="false"/>
    </xf>
    <xf numFmtId="172" fontId="8" fillId="0" borderId="1" xfId="0" applyFont="true" applyBorder="true" applyAlignment="true" applyProtection="false">
      <alignment horizontal="center" vertical="bottom" textRotation="0" wrapText="false" indent="0" shrinkToFit="false"/>
      <protection locked="true" hidden="false"/>
    </xf>
    <xf numFmtId="178" fontId="8" fillId="0" borderId="1" xfId="0" applyFont="true" applyBorder="true" applyAlignment="true" applyProtection="false">
      <alignment horizontal="center" vertical="bottom" textRotation="0" wrapText="false" indent="0" shrinkToFit="false"/>
      <protection locked="true" hidden="false"/>
    </xf>
    <xf numFmtId="168" fontId="8" fillId="0" borderId="1" xfId="0" applyFont="true" applyBorder="true" applyAlignment="true" applyProtection="false">
      <alignment horizontal="center" vertical="bottom" textRotation="0" wrapText="false" indent="0" shrinkToFit="false"/>
      <protection locked="true" hidden="false"/>
    </xf>
    <xf numFmtId="171" fontId="8" fillId="0" borderId="1" xfId="0" applyFont="true" applyBorder="true" applyAlignment="true" applyProtection="false">
      <alignment horizontal="center" vertical="bottom" textRotation="0" wrapText="false" indent="0" shrinkToFit="false"/>
      <protection locked="true" hidden="false"/>
    </xf>
    <xf numFmtId="171" fontId="8" fillId="0" borderId="1"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79"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71" fontId="7" fillId="3"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72" fontId="8" fillId="0" borderId="1" xfId="0" applyFont="true" applyBorder="true" applyAlignment="false" applyProtection="false">
      <alignment horizontal="general" vertical="bottom" textRotation="0" wrapText="false" indent="0" shrinkToFit="false"/>
      <protection locked="true" hidden="false"/>
    </xf>
    <xf numFmtId="168" fontId="7" fillId="3" borderId="1" xfId="0" applyFont="true" applyBorder="true" applyAlignment="false" applyProtection="false">
      <alignment horizontal="general" vertical="bottom" textRotation="0" wrapText="false" indent="0" shrinkToFit="false"/>
      <protection locked="true" hidden="false"/>
    </xf>
    <xf numFmtId="167" fontId="7" fillId="3" borderId="1" xfId="0" applyFont="true" applyBorder="true" applyAlignment="false" applyProtection="false">
      <alignment horizontal="general" vertical="bottom" textRotation="0" wrapText="false" indent="0" shrinkToFit="false"/>
      <protection locked="true" hidden="false"/>
    </xf>
    <xf numFmtId="181" fontId="7" fillId="3" borderId="1" xfId="0" applyFont="true" applyBorder="true" applyAlignment="false" applyProtection="false">
      <alignment horizontal="general" vertical="bottom" textRotation="0" wrapText="false" indent="0" shrinkToFit="false"/>
      <protection locked="true" hidden="false"/>
    </xf>
    <xf numFmtId="170" fontId="7" fillId="3"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81" fontId="8" fillId="0" borderId="1" xfId="0" applyFont="true" applyBorder="true" applyAlignment="false" applyProtection="false">
      <alignment horizontal="general" vertical="bottom" textRotation="0" wrapText="false" indent="0" shrinkToFit="false"/>
      <protection locked="true" hidden="false"/>
    </xf>
    <xf numFmtId="173" fontId="20" fillId="3" borderId="1" xfId="0" applyFont="true" applyBorder="true" applyAlignment="false" applyProtection="false">
      <alignment horizontal="general" vertical="bottom" textRotation="0" wrapText="false" indent="0" shrinkToFit="false"/>
      <protection locked="true" hidden="false"/>
    </xf>
    <xf numFmtId="165" fontId="20" fillId="3" borderId="1" xfId="0" applyFont="true" applyBorder="true" applyAlignment="false" applyProtection="false">
      <alignment horizontal="general" vertical="bottom" textRotation="0" wrapText="false" indent="0" shrinkToFit="false"/>
      <protection locked="true" hidden="false"/>
    </xf>
    <xf numFmtId="182" fontId="20" fillId="3"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4" fontId="0" fillId="12" borderId="0" xfId="0" applyFont="false" applyBorder="false" applyAlignment="false" applyProtection="false">
      <alignment horizontal="general" vertical="bottom"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4" fontId="0" fillId="13" borderId="0" xfId="0" applyFont="false" applyBorder="false" applyAlignment="fals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center" vertical="center" textRotation="0" wrapText="false" indent="0" shrinkToFit="false"/>
      <protection locked="true" hidden="false"/>
    </xf>
    <xf numFmtId="164" fontId="30" fillId="0" borderId="0" xfId="0" applyFont="true" applyBorder="false" applyAlignment="true" applyProtection="false">
      <alignment horizontal="left" vertical="center" textRotation="0" wrapText="false" indent="0" shrinkToFit="false"/>
      <protection locked="true" hidden="false"/>
    </xf>
    <xf numFmtId="183" fontId="31" fillId="4" borderId="0" xfId="0" applyFont="true" applyBorder="false" applyAlignment="true" applyProtection="false">
      <alignment horizontal="center" vertical="center" textRotation="0" wrapText="false" indent="0" shrinkToFit="false"/>
      <protection locked="true" hidden="false"/>
    </xf>
    <xf numFmtId="173" fontId="27" fillId="3" borderId="1" xfId="0" applyFont="true" applyBorder="true" applyAlignment="true" applyProtection="false">
      <alignment horizontal="center" vertical="bottom" textRotation="0" wrapText="false" indent="0" shrinkToFit="false"/>
      <protection locked="true" hidden="false"/>
    </xf>
    <xf numFmtId="164" fontId="27" fillId="3" borderId="1" xfId="0" applyFont="true" applyBorder="true" applyAlignment="false" applyProtection="false">
      <alignment horizontal="general" vertical="bottom" textRotation="0" wrapText="false" indent="0" shrinkToFit="false"/>
      <protection locked="true" hidden="false"/>
    </xf>
    <xf numFmtId="174" fontId="27" fillId="3" borderId="1" xfId="0" applyFont="true" applyBorder="true" applyAlignment="false" applyProtection="false">
      <alignment horizontal="general" vertical="bottom" textRotation="0" wrapText="false" indent="0" shrinkToFit="false"/>
      <protection locked="true" hidden="false"/>
    </xf>
    <xf numFmtId="167" fontId="27" fillId="3" borderId="1" xfId="0" applyFont="true" applyBorder="true" applyAlignment="true" applyProtection="false">
      <alignment horizontal="center" vertical="bottom" textRotation="0" wrapText="false" indent="0" shrinkToFit="false"/>
      <protection locked="true" hidden="false"/>
    </xf>
    <xf numFmtId="164" fontId="27" fillId="3" borderId="1" xfId="0" applyFont="true" applyBorder="true" applyAlignment="true" applyProtection="false">
      <alignment horizontal="center" vertical="bottom" textRotation="0" wrapText="false" indent="0" shrinkToFit="false"/>
      <protection locked="true" hidden="false"/>
    </xf>
    <xf numFmtId="173" fontId="27" fillId="3" borderId="1" xfId="0" applyFont="true" applyBorder="true" applyAlignment="false" applyProtection="false">
      <alignment horizontal="general" vertical="bottom" textRotation="0" wrapText="false" indent="0" shrinkToFit="false"/>
      <protection locked="true" hidden="false"/>
    </xf>
    <xf numFmtId="173" fontId="27" fillId="3" borderId="1" xfId="0" applyFont="true" applyBorder="true" applyAlignment="false" applyProtection="false">
      <alignment horizontal="general" vertical="bottom" textRotation="0" wrapText="false" indent="0" shrinkToFit="false"/>
      <protection locked="true" hidden="false"/>
    </xf>
    <xf numFmtId="184" fontId="27" fillId="3" borderId="1" xfId="0" applyFont="true" applyBorder="true" applyAlignment="false" applyProtection="false">
      <alignment horizontal="general" vertical="bottom" textRotation="0" wrapText="false" indent="0" shrinkToFit="false"/>
      <protection locked="true" hidden="false"/>
    </xf>
    <xf numFmtId="179" fontId="7" fillId="3" borderId="1" xfId="0" applyFont="true" applyBorder="true" applyAlignment="true" applyProtection="false">
      <alignment horizontal="center" vertical="bottom" textRotation="0" wrapText="false" indent="0" shrinkToFit="false"/>
      <protection locked="true" hidden="false"/>
    </xf>
    <xf numFmtId="175" fontId="23" fillId="0" borderId="0" xfId="0" applyFont="true" applyBorder="false" applyAlignment="false" applyProtection="false">
      <alignment horizontal="general" vertical="bottom" textRotation="0" wrapText="false" indent="0" shrinkToFit="false"/>
      <protection locked="true" hidden="false"/>
    </xf>
    <xf numFmtId="174" fontId="7"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5">
    <dxf>
      <fill>
        <patternFill patternType="solid">
          <fgColor rgb="FF595959"/>
          <bgColor rgb="FF000000"/>
        </patternFill>
      </fill>
    </dxf>
    <dxf>
      <fill>
        <patternFill patternType="solid">
          <fgColor rgb="FFF2F2F2"/>
          <bgColor rgb="FF000000"/>
        </patternFill>
      </fill>
    </dxf>
    <dxf>
      <fill>
        <patternFill patternType="solid">
          <fgColor rgb="FFFFFFFF"/>
          <bgColor rgb="FF000000"/>
        </patternFill>
      </fill>
    </dxf>
    <dxf>
      <fill>
        <patternFill patternType="solid">
          <bgColor rgb="FF000000"/>
        </patternFill>
      </fill>
    </dxf>
    <dxf>
      <fill>
        <patternFill patternType="solid">
          <fgColor rgb="FFFFC7CE"/>
          <bgColor rgb="FF000000"/>
        </patternFill>
      </fill>
    </dxf>
    <dxf>
      <fill>
        <patternFill patternType="solid">
          <fgColor rgb="FF548235"/>
          <bgColor rgb="FF000000"/>
        </patternFill>
      </fill>
    </dxf>
    <dxf>
      <fill>
        <patternFill patternType="solid">
          <fgColor rgb="FF9C0006"/>
          <bgColor rgb="FF000000"/>
        </patternFill>
      </fill>
    </dxf>
    <dxf>
      <fill>
        <patternFill patternType="solid">
          <fgColor rgb="FFC00000"/>
          <bgColor rgb="FF000000"/>
        </patternFill>
      </fill>
    </dxf>
    <dxf>
      <fill>
        <patternFill patternType="solid">
          <fgColor rgb="FF2F75B5"/>
          <bgColor rgb="FF000000"/>
        </patternFill>
      </fill>
    </dxf>
    <dxf>
      <fill>
        <patternFill patternType="solid">
          <fgColor rgb="FF7F7F7F"/>
          <bgColor rgb="FF000000"/>
        </patternFill>
      </fill>
    </dxf>
    <dxf>
      <fill>
        <patternFill patternType="solid">
          <fgColor rgb="FFC55A11"/>
          <bgColor rgb="FF000000"/>
        </patternFill>
      </fill>
    </dxf>
    <dxf>
      <font>
        <b val="1"/>
        <color rgb="FFC00000"/>
      </font>
      <fill>
        <patternFill>
          <bgColor rgb="FFFFC7CE"/>
        </patternFill>
      </fill>
    </dxf>
    <dxf>
      <font>
        <b val="1"/>
        <color rgb="FF548235"/>
      </font>
    </dxf>
    <dxf>
      <font>
        <b val="1"/>
        <color rgb="FF006100"/>
      </font>
      <fill>
        <patternFill>
          <bgColor rgb="FFC6EFCE"/>
        </patternFill>
      </fill>
    </dxf>
    <dxf>
      <font>
        <b val="1"/>
        <color rgb="FF9C5700"/>
      </font>
      <fill>
        <patternFill>
          <bgColor rgb="FFFFEB9C"/>
        </patternFill>
      </fill>
    </dxf>
    <dxf>
      <font>
        <b val="1"/>
        <color rgb="FF9C0006"/>
      </font>
      <fill>
        <patternFill>
          <bgColor rgb="FFFFC7CE"/>
        </patternFill>
      </fill>
    </dxf>
    <dxf>
      <fill>
        <patternFill patternType="solid">
          <fgColor rgb="FF1F4E78"/>
          <bgColor rgb="FF000000"/>
        </patternFill>
      </fill>
    </dxf>
    <dxf>
      <fill>
        <patternFill patternType="solid">
          <fgColor rgb="FF0000FF"/>
          <bgColor rgb="FF000000"/>
        </patternFill>
      </fill>
    </dxf>
    <dxf>
      <fill>
        <patternFill patternType="solid">
          <fgColor rgb="FFC6EFCE"/>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9C5700"/>
          <bgColor rgb="FF000000"/>
        </patternFill>
      </fill>
    </dxf>
    <dxf>
      <fill>
        <patternFill patternType="solid">
          <fgColor rgb="FFA6A6A6"/>
          <bgColor rgb="FF000000"/>
        </patternFill>
      </fill>
    </dxf>
    <dxf>
      <fill>
        <patternFill patternType="solid">
          <fgColor rgb="FF404040"/>
          <bgColor rgb="FF000000"/>
        </patternFill>
      </fill>
    </dxf>
    <dxf>
      <font>
        <b val="1"/>
        <color rgb="FFC00000"/>
      </font>
    </dxf>
    <dxf>
      <font>
        <b val="1"/>
        <color rgb="FFFFFFFF"/>
      </font>
      <fill>
        <patternFill>
          <bgColor rgb="FFC00000"/>
        </patternFill>
      </fill>
    </dxf>
    <dxf>
      <font>
        <b val="1"/>
        <color rgb="FF9C0006"/>
      </font>
    </dxf>
    <dxf>
      <font>
        <color rgb="FFFFFFFF"/>
      </font>
    </dxf>
    <dxf>
      <font>
        <color rgb="FFA6A6A6"/>
      </font>
    </dxf>
    <dxf>
      <font>
        <b val="1"/>
        <color rgb="FFC55A11"/>
      </font>
    </dxf>
    <dxf>
      <font>
        <b val="1"/>
        <color rgb="FFA6A6A6"/>
      </font>
    </dxf>
    <dxf>
      <fill>
        <patternFill>
          <bgColor rgb="FFFFFF00"/>
        </patternFill>
      </fill>
    </dxf>
    <dxf>
      <fill>
        <patternFill patternType="solid">
          <fgColor rgb="FFDDEBF7"/>
          <bgColor rgb="FF000000"/>
        </patternFill>
      </fill>
    </dxf>
    <dxf>
      <fill>
        <patternFill patternType="solid">
          <fgColor rgb="FF7030A0"/>
          <bgColor rgb="FF000000"/>
        </patternFill>
      </fill>
    </dxf>
    <dxf>
      <font>
        <b val="1"/>
      </font>
      <fill>
        <patternFill>
          <bgColor rgb="FFDDEBF7"/>
        </patternFill>
      </fill>
    </dxf>
    <dxf>
      <font>
        <b val="1"/>
        <i val="1"/>
        <color rgb="FFA6A6A6"/>
      </font>
    </dxf>
    <dxf>
      <font>
        <b val="1"/>
        <color rgb="FF2F75B5"/>
      </font>
    </dxf>
    <dxf>
      <font>
        <b val="1"/>
        <color rgb="FF7F7F7F"/>
      </font>
    </dxf>
    <dxf>
      <font>
        <i val="1"/>
        <color rgb="FF7030A0"/>
      </font>
    </dxf>
    <dxf>
      <fill>
        <patternFill>
          <bgColor rgb="FFFFC7CE"/>
        </patternFill>
      </fill>
    </dxf>
    <dxf>
      <font>
        <color rgb="FF9C0006"/>
      </font>
      <fill>
        <patternFill>
          <bgColor rgb="FFFFC7CE"/>
        </patternFill>
      </fill>
    </dxf>
    <dxf>
      <fill>
        <patternFill>
          <bgColor rgb="FFC00000"/>
        </patternFill>
      </fill>
    </dxf>
    <dxf>
      <fill>
        <patternFill>
          <bgColor rgb="FF404040"/>
        </patternFill>
      </fill>
    </dxf>
    <dxf>
      <fill>
        <patternFill>
          <bgColor rgb="FF7030A0"/>
        </patternFill>
      </fill>
    </dxf>
    <dxf>
      <fill>
        <patternFill>
          <bgColor rgb="FF70AD47"/>
        </patternFill>
      </fill>
    </dxf>
    <dxf>
      <fill>
        <patternFill>
          <bgColor rgb="FFE06666"/>
        </patternFill>
      </fill>
    </dxf>
    <dxf>
      <fill>
        <patternFill>
          <bgColor rgb="FFF4B183"/>
        </patternFill>
      </fill>
    </dxf>
    <dxf>
      <fill>
        <patternFill>
          <bgColor rgb="FF9DC3E6"/>
        </patternFill>
      </fill>
    </dxf>
    <dxf>
      <border diagonalUp="false" diagonalDown="false">
        <left/>
        <right/>
        <top style="thin">
          <color rgb="FF1F3864"/>
        </top>
        <bottom style="thin">
          <color rgb="FF1F3864"/>
        </bottom>
        <diagonal/>
      </border>
    </dxf>
    <dxf>
      <border diagonalUp="false" diagonalDown="false">
        <left style="thin">
          <color rgb="FFFF0000"/>
        </left>
        <right style="thin">
          <color rgb="FFFF0000"/>
        </right>
        <top/>
        <bottom/>
        <diagonal/>
      </border>
    </dxf>
    <dxf>
      <fill>
        <patternFill>
          <bgColor rgb="FFEDEDED"/>
        </patternFill>
      </fill>
    </dxf>
    <dxf>
      <fill>
        <patternFill patternType="solid">
          <fgColor rgb="FFFFF2CC"/>
          <bgColor rgb="FF000000"/>
        </patternFill>
      </fill>
    </dxf>
    <dxf>
      <fill>
        <patternFill patternType="solid">
          <fgColor rgb="FFD9D9D9"/>
          <bgColor rgb="FF000000"/>
        </patternFill>
      </fill>
    </dxf>
    <dxf>
      <font>
        <color rgb="FFD9D9D9"/>
      </font>
    </dxf>
    <dxf>
      <font>
        <b val="1"/>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548235"/>
      <rgbColor rgb="FFC0504D"/>
      <rgbColor rgb="FF4F81BD"/>
      <rgbColor rgb="FFA6A6A6"/>
      <rgbColor rgb="FF7F7F7F"/>
      <rgbColor rgb="FF9999FF"/>
      <rgbColor rgb="FFBE4B48"/>
      <rgbColor rgb="FFFFF2CC"/>
      <rgbColor rgb="FFDDEBF7"/>
      <rgbColor rgb="FF660066"/>
      <rgbColor rgb="FFE06666"/>
      <rgbColor rgb="FF0066CC"/>
      <rgbColor rgb="FFD9D9D9"/>
      <rgbColor rgb="FF000080"/>
      <rgbColor rgb="FFFF00FF"/>
      <rgbColor rgb="FFF9F9F9"/>
      <rgbColor rgb="FF00FFFF"/>
      <rgbColor rgb="FF800080"/>
      <rgbColor rgb="FFC00000"/>
      <rgbColor rgb="FF008080"/>
      <rgbColor rgb="FF0000FF"/>
      <rgbColor rgb="FF00CCFF"/>
      <rgbColor rgb="FFF2F2F2"/>
      <rgbColor rgb="FFC6EFCE"/>
      <rgbColor rgb="FFFFEB9C"/>
      <rgbColor rgb="FF9DC3E6"/>
      <rgbColor rgb="FFF4B183"/>
      <rgbColor rgb="FFEDEDED"/>
      <rgbColor rgb="FFFFC7CE"/>
      <rgbColor rgb="FF2F75B5"/>
      <rgbColor rgb="FF70AD47"/>
      <rgbColor rgb="FF98B855"/>
      <rgbColor rgb="FFFFCC00"/>
      <rgbColor rgb="FFBF8F00"/>
      <rgbColor rgb="FFC55A11"/>
      <rgbColor rgb="FF595959"/>
      <rgbColor rgb="FF878787"/>
      <rgbColor rgb="FF1F3864"/>
      <rgbColor rgb="FF4A7EBB"/>
      <rgbColor rgb="FF003300"/>
      <rgbColor rgb="FF333300"/>
      <rgbColor rgb="FF9C5700"/>
      <rgbColor rgb="FF7030A0"/>
      <rgbColor rgb="FF1F4E78"/>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Detail tasks by status</a:t>
            </a:r>
          </a:p>
        </c:rich>
      </c:tx>
      <c:overlay val="0"/>
      <c:spPr>
        <a:noFill/>
        <a:ln w="0">
          <a:noFill/>
        </a:ln>
      </c:spPr>
    </c:title>
    <c:autoTitleDeleted val="0"/>
    <c:plotArea>
      <c:barChart>
        <c:barDir val="bar"/>
        <c:grouping val="clustered"/>
        <c:varyColors val="0"/>
        <c:ser>
          <c:idx val="0"/>
          <c:order val="0"/>
          <c:tx>
            <c:strRef>
              <c:f>Dashboard!F4</c:f>
              <c:strCache>
                <c:ptCount val="1"/>
                <c:pt idx="0">
                  <c:v>Count</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Dashboard!$E$5:$E$9</c:f>
              <c:strCache>
                <c:ptCount val="5"/>
                <c:pt idx="0">
                  <c:v>Complete</c:v>
                </c:pt>
                <c:pt idx="1">
                  <c:v>In Progress</c:v>
                </c:pt>
                <c:pt idx="2">
                  <c:v>Behind</c:v>
                </c:pt>
                <c:pt idx="3">
                  <c:v>Late Start</c:v>
                </c:pt>
                <c:pt idx="4">
                  <c:v>Not Started</c:v>
                </c:pt>
              </c:strCache>
            </c:strRef>
          </c:cat>
          <c:val>
            <c:numRef>
              <c:f>Dashboard!$F$5:$F$9</c:f>
              <c:numCache>
                <c:formatCode>General</c:formatCode>
                <c:ptCount val="5"/>
                <c:pt idx="0">
                  <c:v>9</c:v>
                </c:pt>
                <c:pt idx="1">
                  <c:v>0</c:v>
                </c:pt>
                <c:pt idx="2">
                  <c:v>2</c:v>
                </c:pt>
                <c:pt idx="3">
                  <c:v>1</c:v>
                </c:pt>
                <c:pt idx="4">
                  <c:v>11</c:v>
                </c:pt>
              </c:numCache>
            </c:numRef>
          </c:val>
        </c:ser>
        <c:gapWidth val="150"/>
        <c:overlap val="0"/>
        <c:axId val="90949254"/>
        <c:axId val="79048686"/>
      </c:barChart>
      <c:catAx>
        <c:axId val="9094925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9048686"/>
        <c:crosses val="autoZero"/>
        <c:auto val="1"/>
        <c:lblAlgn val="ctr"/>
        <c:lblOffset val="100"/>
        <c:noMultiLvlLbl val="0"/>
      </c:catAx>
      <c:valAx>
        <c:axId val="79048686"/>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094925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Sprint planned work vs capacity (hrs)</a:t>
            </a:r>
          </a:p>
        </c:rich>
      </c:tx>
      <c:overlay val="0"/>
      <c:spPr>
        <a:noFill/>
        <a:ln w="0">
          <a:noFill/>
        </a:ln>
      </c:spPr>
    </c:title>
    <c:autoTitleDeleted val="0"/>
    <c:plotArea>
      <c:barChart>
        <c:barDir val="col"/>
        <c:grouping val="clustered"/>
        <c:varyColors val="0"/>
        <c:ser>
          <c:idx val="0"/>
          <c:order val="0"/>
          <c:tx>
            <c:strRef>
              <c:f>Sprints!H5</c:f>
              <c:strCache>
                <c:ptCount val="1"/>
                <c:pt idx="0">
                  <c:v>Planned Work</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Sprints!$H$6:$H$17</c:f>
              <c:numCache>
                <c:formatCode>#,##0.0</c:formatCode>
                <c:ptCount val="12"/>
                <c:pt idx="0">
                  <c:v>75.1111111111111</c:v>
                </c:pt>
                <c:pt idx="1">
                  <c:v>103.174603174603</c:v>
                </c:pt>
                <c:pt idx="2">
                  <c:v>115.047619047619</c:v>
                </c:pt>
                <c:pt idx="3">
                  <c:v>135.238095238095</c:v>
                </c:pt>
                <c:pt idx="4">
                  <c:v>127.428571428571</c:v>
                </c:pt>
                <c:pt idx="5">
                  <c:v>52</c:v>
                </c:pt>
                <c:pt idx="6">
                  <c:v>40</c:v>
                </c:pt>
                <c:pt idx="7">
                  <c:v>40</c:v>
                </c:pt>
                <c:pt idx="8">
                  <c:v>32</c:v>
                </c:pt>
                <c:pt idx="9">
                  <c:v>0</c:v>
                </c:pt>
                <c:pt idx="10">
                  <c:v>0</c:v>
                </c:pt>
                <c:pt idx="11">
                  <c:v>0</c:v>
                </c:pt>
              </c:numCache>
            </c:numRef>
          </c:val>
        </c:ser>
        <c:ser>
          <c:idx val="1"/>
          <c:order val="1"/>
          <c:tx>
            <c:strRef>
              <c:f>Sprints!I5</c:f>
              <c:strCache>
                <c:ptCount val="1"/>
                <c:pt idx="0">
                  <c:v>Capacity</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Sprints!$I$6:$I$17</c:f>
              <c:numCache>
                <c:formatCode>#,##0.0</c:formatCode>
                <c:ptCount val="12"/>
                <c:pt idx="0">
                  <c:v>480</c:v>
                </c:pt>
                <c:pt idx="1">
                  <c:v>480</c:v>
                </c:pt>
                <c:pt idx="2">
                  <c:v>480</c:v>
                </c:pt>
                <c:pt idx="3">
                  <c:v>480</c:v>
                </c:pt>
                <c:pt idx="4">
                  <c:v>480</c:v>
                </c:pt>
                <c:pt idx="5">
                  <c:v>480</c:v>
                </c:pt>
                <c:pt idx="6">
                  <c:v>480</c:v>
                </c:pt>
                <c:pt idx="7">
                  <c:v>384</c:v>
                </c:pt>
                <c:pt idx="8">
                  <c:v>384</c:v>
                </c:pt>
                <c:pt idx="9">
                  <c:v>480</c:v>
                </c:pt>
                <c:pt idx="10">
                  <c:v>480</c:v>
                </c:pt>
                <c:pt idx="11">
                  <c:v>480</c:v>
                </c:pt>
              </c:numCache>
            </c:numRef>
          </c:val>
        </c:ser>
        <c:gapWidth val="150"/>
        <c:overlap val="0"/>
        <c:axId val="77999413"/>
        <c:axId val="97275095"/>
      </c:barChart>
      <c:catAx>
        <c:axId val="7799941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7275095"/>
        <c:crosses val="autoZero"/>
        <c:auto val="1"/>
        <c:lblAlgn val="ctr"/>
        <c:lblOffset val="100"/>
        <c:noMultiLvlLbl val="0"/>
      </c:catAx>
      <c:valAx>
        <c:axId val="97275095"/>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799941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Earned value (BAC, PV, EV, AC)</a:t>
            </a:r>
          </a:p>
        </c:rich>
      </c:tx>
      <c:overlay val="0"/>
      <c:spPr>
        <a:noFill/>
        <a:ln w="0">
          <a:noFill/>
        </a:ln>
      </c:spPr>
    </c:title>
    <c:autoTitleDeleted val="0"/>
    <c:plotArea>
      <c:barChart>
        <c:barDir val="bar"/>
        <c:grouping val="clustered"/>
        <c:varyColors val="0"/>
        <c:ser>
          <c:idx val="0"/>
          <c:order val="0"/>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'Status Report'!$B$18:$B$21</c:f>
              <c:strCache>
                <c:ptCount val="4"/>
                <c:pt idx="0">
                  <c:v>Budget at completion (BAC)</c:v>
                </c:pt>
                <c:pt idx="1">
                  <c:v>Planned value (PV)</c:v>
                </c:pt>
                <c:pt idx="2">
                  <c:v>Earned value (EV)</c:v>
                </c:pt>
                <c:pt idx="3">
                  <c:v>Actual cost (AC)</c:v>
                </c:pt>
              </c:strCache>
            </c:strRef>
          </c:cat>
          <c:val>
            <c:numRef>
              <c:f>'Status Report'!$D$18:$D$21</c:f>
              <c:numCache>
                <c:formatCode>#,##0</c:formatCode>
                <c:ptCount val="4"/>
                <c:pt idx="0">
                  <c:v>58040</c:v>
                </c:pt>
                <c:pt idx="1">
                  <c:v>36360</c:v>
                </c:pt>
                <c:pt idx="2">
                  <c:v>28440</c:v>
                </c:pt>
                <c:pt idx="3">
                  <c:v>30440</c:v>
                </c:pt>
              </c:numCache>
            </c:numRef>
          </c:val>
        </c:ser>
        <c:gapWidth val="150"/>
        <c:overlap val="0"/>
        <c:axId val="99644593"/>
        <c:axId val="12475153"/>
      </c:barChart>
      <c:catAx>
        <c:axId val="9964459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2475153"/>
        <c:crosses val="autoZero"/>
        <c:auto val="1"/>
        <c:lblAlgn val="ctr"/>
        <c:lblOffset val="100"/>
        <c:noMultiLvlLbl val="0"/>
      </c:catAx>
      <c:valAx>
        <c:axId val="12475153"/>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964459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Team hours per week vs capacity</a:t>
            </a:r>
          </a:p>
        </c:rich>
      </c:tx>
      <c:overlay val="0"/>
      <c:spPr>
        <a:noFill/>
        <a:ln w="0">
          <a:noFill/>
        </a:ln>
      </c:spPr>
    </c:title>
    <c:autoTitleDeleted val="0"/>
    <c:plotArea>
      <c:barChart>
        <c:barDir val="col"/>
        <c:grouping val="clustered"/>
        <c:varyColors val="0"/>
        <c:ser>
          <c:idx val="0"/>
          <c:order val="0"/>
          <c:tx>
            <c:strRef>
              <c:f>"Team hours"</c:f>
              <c:strCache>
                <c:ptCount val="1"/>
                <c:pt idx="0">
                  <c:v>Team hours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'Resource Report'!$D$34:$AC$34</c:f>
              <c:multiLvlStrCache>
                <c:ptCount val="1"/>
                <c:lvl>
                  <c:pt idx="0">
                    <c:v>29-Mar</c:v>
                  </c:pt>
                </c:lvl>
                <c:lvl>
                  <c:pt idx="0">
                    <c:v>22-Mar</c:v>
                  </c:pt>
                </c:lvl>
                <c:lvl>
                  <c:pt idx="0">
                    <c:v>15-Mar</c:v>
                  </c:pt>
                </c:lvl>
                <c:lvl>
                  <c:pt idx="0">
                    <c:v>08-Mar</c:v>
                  </c:pt>
                </c:lvl>
                <c:lvl>
                  <c:pt idx="0">
                    <c:v>01-Mar</c:v>
                  </c:pt>
                </c:lvl>
                <c:lvl>
                  <c:pt idx="0">
                    <c:v>22-Feb</c:v>
                  </c:pt>
                </c:lvl>
                <c:lvl>
                  <c:pt idx="0">
                    <c:v>15-Feb</c:v>
                  </c:pt>
                </c:lvl>
                <c:lvl>
                  <c:pt idx="0">
                    <c:v>08-Feb</c:v>
                  </c:pt>
                </c:lvl>
                <c:lvl>
                  <c:pt idx="0">
                    <c:v>01-Feb</c:v>
                  </c:pt>
                </c:lvl>
                <c:lvl>
                  <c:pt idx="0">
                    <c:v>25-Jan</c:v>
                  </c:pt>
                </c:lvl>
                <c:lvl>
                  <c:pt idx="0">
                    <c:v>18-Jan</c:v>
                  </c:pt>
                </c:lvl>
                <c:lvl>
                  <c:pt idx="0">
                    <c:v>11-Jan</c:v>
                  </c:pt>
                </c:lvl>
                <c:lvl>
                  <c:pt idx="0">
                    <c:v>04-Jan</c:v>
                  </c:pt>
                </c:lvl>
                <c:lvl>
                  <c:pt idx="0">
                    <c:v>28-Dec</c:v>
                  </c:pt>
                </c:lvl>
                <c:lvl>
                  <c:pt idx="0">
                    <c:v>21-Dec</c:v>
                  </c:pt>
                </c:lvl>
                <c:lvl>
                  <c:pt idx="0">
                    <c:v>14-Dec</c:v>
                  </c:pt>
                </c:lvl>
                <c:lvl>
                  <c:pt idx="0">
                    <c:v>07-Dec</c:v>
                  </c:pt>
                </c:lvl>
                <c:lvl>
                  <c:pt idx="0">
                    <c:v>30-Nov</c:v>
                  </c:pt>
                </c:lvl>
                <c:lvl>
                  <c:pt idx="0">
                    <c:v>23-Nov</c:v>
                  </c:pt>
                </c:lvl>
                <c:lvl>
                  <c:pt idx="0">
                    <c:v>16-Nov</c:v>
                  </c:pt>
                </c:lvl>
                <c:lvl>
                  <c:pt idx="0">
                    <c:v>09-Nov</c:v>
                  </c:pt>
                </c:lvl>
                <c:lvl>
                  <c:pt idx="0">
                    <c:v>02-Nov</c:v>
                  </c:pt>
                </c:lvl>
                <c:lvl>
                  <c:pt idx="0">
                    <c:v>26-Oct</c:v>
                  </c:pt>
                </c:lvl>
                <c:lvl>
                  <c:pt idx="0">
                    <c:v>19-Oct</c:v>
                  </c:pt>
                </c:lvl>
                <c:lvl>
                  <c:pt idx="0">
                    <c:v>12-Oct</c:v>
                  </c:pt>
                </c:lvl>
                <c:lvl>
                  <c:pt idx="0">
                    <c:v>05-Oct</c:v>
                  </c:pt>
                </c:lvl>
              </c:multiLvlStrCache>
            </c:multiLvlStrRef>
          </c:cat>
          <c:val>
            <c:numRef>
              <c:f>'Resource Report'!$D$61:$AC$61</c:f>
              <c:numCache>
                <c:formatCode>#,##0;;\-</c:formatCode>
                <c:ptCount val="26"/>
                <c:pt idx="0">
                  <c:v>51.7142857142857</c:v>
                </c:pt>
                <c:pt idx="1">
                  <c:v>63.3333333333333</c:v>
                </c:pt>
                <c:pt idx="2">
                  <c:v>67.6190476190477</c:v>
                </c:pt>
                <c:pt idx="3">
                  <c:v>67.6190476190476</c:v>
                </c:pt>
                <c:pt idx="4">
                  <c:v>79.4285714285714</c:v>
                </c:pt>
                <c:pt idx="5">
                  <c:v>48</c:v>
                </c:pt>
                <c:pt idx="6">
                  <c:v>52</c:v>
                </c:pt>
                <c:pt idx="7">
                  <c:v>0</c:v>
                </c:pt>
                <c:pt idx="8">
                  <c:v>0</c:v>
                </c:pt>
                <c:pt idx="9">
                  <c:v>40</c:v>
                </c:pt>
                <c:pt idx="10">
                  <c:v>28</c:v>
                </c:pt>
                <c:pt idx="11">
                  <c:v>12</c:v>
                </c:pt>
                <c:pt idx="12">
                  <c:v>12</c:v>
                </c:pt>
                <c:pt idx="13">
                  <c:v>20</c:v>
                </c:pt>
                <c:pt idx="14">
                  <c:v>0</c:v>
                </c:pt>
                <c:pt idx="15">
                  <c:v>0</c:v>
                </c:pt>
                <c:pt idx="16">
                  <c:v>0</c:v>
                </c:pt>
                <c:pt idx="17">
                  <c:v>0</c:v>
                </c:pt>
                <c:pt idx="18">
                  <c:v>0</c:v>
                </c:pt>
                <c:pt idx="19">
                  <c:v>0</c:v>
                </c:pt>
                <c:pt idx="20">
                  <c:v>0</c:v>
                </c:pt>
                <c:pt idx="21">
                  <c:v>0</c:v>
                </c:pt>
                <c:pt idx="22">
                  <c:v>0</c:v>
                </c:pt>
                <c:pt idx="23">
                  <c:v>0</c:v>
                </c:pt>
                <c:pt idx="24">
                  <c:v>0</c:v>
                </c:pt>
                <c:pt idx="25">
                  <c:v>0</c:v>
                </c:pt>
              </c:numCache>
            </c:numRef>
          </c:val>
        </c:ser>
        <c:gapWidth val="40"/>
        <c:overlap val="0"/>
        <c:axId val="14555171"/>
        <c:axId val="73197135"/>
      </c:barChart>
      <c:lineChart>
        <c:grouping val="standard"/>
        <c:varyColors val="0"/>
        <c:ser>
          <c:idx val="1"/>
          <c:order val="1"/>
          <c:tx>
            <c:strRef>
              <c:f>"Team capacity"</c:f>
              <c:strCache>
                <c:ptCount val="1"/>
                <c:pt idx="0">
                  <c:v>Team capacity</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'Resource Report'!$D$34:$AC$34</c:f>
              <c:multiLvlStrCache>
                <c:ptCount val="1"/>
                <c:lvl>
                  <c:pt idx="0">
                    <c:v>29-Mar</c:v>
                  </c:pt>
                </c:lvl>
                <c:lvl>
                  <c:pt idx="0">
                    <c:v>22-Mar</c:v>
                  </c:pt>
                </c:lvl>
                <c:lvl>
                  <c:pt idx="0">
                    <c:v>15-Mar</c:v>
                  </c:pt>
                </c:lvl>
                <c:lvl>
                  <c:pt idx="0">
                    <c:v>08-Mar</c:v>
                  </c:pt>
                </c:lvl>
                <c:lvl>
                  <c:pt idx="0">
                    <c:v>01-Mar</c:v>
                  </c:pt>
                </c:lvl>
                <c:lvl>
                  <c:pt idx="0">
                    <c:v>22-Feb</c:v>
                  </c:pt>
                </c:lvl>
                <c:lvl>
                  <c:pt idx="0">
                    <c:v>15-Feb</c:v>
                  </c:pt>
                </c:lvl>
                <c:lvl>
                  <c:pt idx="0">
                    <c:v>08-Feb</c:v>
                  </c:pt>
                </c:lvl>
                <c:lvl>
                  <c:pt idx="0">
                    <c:v>01-Feb</c:v>
                  </c:pt>
                </c:lvl>
                <c:lvl>
                  <c:pt idx="0">
                    <c:v>25-Jan</c:v>
                  </c:pt>
                </c:lvl>
                <c:lvl>
                  <c:pt idx="0">
                    <c:v>18-Jan</c:v>
                  </c:pt>
                </c:lvl>
                <c:lvl>
                  <c:pt idx="0">
                    <c:v>11-Jan</c:v>
                  </c:pt>
                </c:lvl>
                <c:lvl>
                  <c:pt idx="0">
                    <c:v>04-Jan</c:v>
                  </c:pt>
                </c:lvl>
                <c:lvl>
                  <c:pt idx="0">
                    <c:v>28-Dec</c:v>
                  </c:pt>
                </c:lvl>
                <c:lvl>
                  <c:pt idx="0">
                    <c:v>21-Dec</c:v>
                  </c:pt>
                </c:lvl>
                <c:lvl>
                  <c:pt idx="0">
                    <c:v>14-Dec</c:v>
                  </c:pt>
                </c:lvl>
                <c:lvl>
                  <c:pt idx="0">
                    <c:v>07-Dec</c:v>
                  </c:pt>
                </c:lvl>
                <c:lvl>
                  <c:pt idx="0">
                    <c:v>30-Nov</c:v>
                  </c:pt>
                </c:lvl>
                <c:lvl>
                  <c:pt idx="0">
                    <c:v>23-Nov</c:v>
                  </c:pt>
                </c:lvl>
                <c:lvl>
                  <c:pt idx="0">
                    <c:v>16-Nov</c:v>
                  </c:pt>
                </c:lvl>
                <c:lvl>
                  <c:pt idx="0">
                    <c:v>09-Nov</c:v>
                  </c:pt>
                </c:lvl>
                <c:lvl>
                  <c:pt idx="0">
                    <c:v>02-Nov</c:v>
                  </c:pt>
                </c:lvl>
                <c:lvl>
                  <c:pt idx="0">
                    <c:v>26-Oct</c:v>
                  </c:pt>
                </c:lvl>
                <c:lvl>
                  <c:pt idx="0">
                    <c:v>19-Oct</c:v>
                  </c:pt>
                </c:lvl>
                <c:lvl>
                  <c:pt idx="0">
                    <c:v>12-Oct</c:v>
                  </c:pt>
                </c:lvl>
                <c:lvl>
                  <c:pt idx="0">
                    <c:v>05-Oct</c:v>
                  </c:pt>
                </c:lvl>
              </c:multiLvlStrCache>
            </c:multiLvlStrRef>
          </c:cat>
          <c:val>
            <c:numRef>
              <c:f>'Resource Report'!$D$62:$AC$62</c:f>
              <c:numCache>
                <c:formatCode>#,##0;;\-</c:formatCode>
                <c:ptCount val="26"/>
                <c:pt idx="0">
                  <c:v>240</c:v>
                </c:pt>
                <c:pt idx="1">
                  <c:v>240</c:v>
                </c:pt>
                <c:pt idx="2">
                  <c:v>240</c:v>
                </c:pt>
                <c:pt idx="3">
                  <c:v>240</c:v>
                </c:pt>
                <c:pt idx="4">
                  <c:v>240</c:v>
                </c:pt>
                <c:pt idx="5">
                  <c:v>240</c:v>
                </c:pt>
                <c:pt idx="6">
                  <c:v>240</c:v>
                </c:pt>
                <c:pt idx="7">
                  <c:v>240</c:v>
                </c:pt>
                <c:pt idx="8">
                  <c:v>240</c:v>
                </c:pt>
                <c:pt idx="9">
                  <c:v>240</c:v>
                </c:pt>
                <c:pt idx="10">
                  <c:v>240</c:v>
                </c:pt>
                <c:pt idx="11">
                  <c:v>144</c:v>
                </c:pt>
                <c:pt idx="12">
                  <c:v>144</c:v>
                </c:pt>
                <c:pt idx="13">
                  <c:v>240</c:v>
                </c:pt>
                <c:pt idx="14">
                  <c:v>240</c:v>
                </c:pt>
                <c:pt idx="15">
                  <c:v>240</c:v>
                </c:pt>
                <c:pt idx="16">
                  <c:v>240</c:v>
                </c:pt>
                <c:pt idx="17">
                  <c:v>240</c:v>
                </c:pt>
                <c:pt idx="18">
                  <c:v>240</c:v>
                </c:pt>
                <c:pt idx="19">
                  <c:v>240</c:v>
                </c:pt>
                <c:pt idx="20">
                  <c:v>240</c:v>
                </c:pt>
                <c:pt idx="21">
                  <c:v>240</c:v>
                </c:pt>
                <c:pt idx="22">
                  <c:v>240</c:v>
                </c:pt>
                <c:pt idx="23">
                  <c:v>240</c:v>
                </c:pt>
                <c:pt idx="24">
                  <c:v>240</c:v>
                </c:pt>
                <c:pt idx="25">
                  <c:v>240</c:v>
                </c:pt>
              </c:numCache>
            </c:numRef>
          </c:val>
          <c:smooth val="0"/>
        </c:ser>
        <c:hiLowLines>
          <c:spPr>
            <a:ln w="0">
              <a:noFill/>
            </a:ln>
          </c:spPr>
        </c:hiLowLines>
        <c:marker val="0"/>
        <c:axId val="14555171"/>
        <c:axId val="73197135"/>
      </c:lineChart>
      <c:catAx>
        <c:axId val="14555171"/>
        <c:scaling>
          <c:orientation val="minMax"/>
        </c:scaling>
        <c:delete val="0"/>
        <c:axPos val="b"/>
        <c:numFmt formatCode="dd\-mmm"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3197135"/>
        <c:crosses val="autoZero"/>
        <c:auto val="1"/>
        <c:lblAlgn val="ctr"/>
        <c:lblOffset val="100"/>
        <c:noMultiLvlLbl val="0"/>
      </c:catAx>
      <c:valAx>
        <c:axId val="7319713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Hours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455517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Release burndown (story points)</a:t>
            </a:r>
          </a:p>
        </c:rich>
      </c:tx>
      <c:overlay val="0"/>
      <c:spPr>
        <a:noFill/>
        <a:ln w="0">
          <a:noFill/>
        </a:ln>
      </c:spPr>
    </c:title>
    <c:autoTitleDeleted val="0"/>
    <c:plotArea>
      <c:lineChart>
        <c:grouping val="standard"/>
        <c:varyColors val="0"/>
        <c:ser>
          <c:idx val="0"/>
          <c:order val="0"/>
          <c:tx>
            <c:strRef>
              <c:f>"Remaining"</c:f>
              <c:strCache>
                <c:ptCount val="1"/>
                <c:pt idx="0">
                  <c:v>Remaining</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Sprints!$S$6:$S$17</c:f>
              <c:numCache>
                <c:formatCode>0.#</c:formatCode>
                <c:ptCount val="12"/>
                <c:pt idx="0">
                  <c:v>77</c:v>
                </c:pt>
                <c:pt idx="1">
                  <c:v>64</c:v>
                </c:pt>
                <c:pt idx="2">
                  <c:v>49</c:v>
                </c:pt>
                <c:pt idx="3">
                  <c:v>49</c:v>
                </c:pt>
              </c:numCache>
            </c:numRef>
          </c:val>
          <c:smooth val="0"/>
        </c:ser>
        <c:ser>
          <c:idx val="1"/>
          <c:order val="1"/>
          <c:tx>
            <c:strRef>
              <c:f>"Forecast"</c:f>
              <c:strCache>
                <c:ptCount val="1"/>
                <c:pt idx="0">
                  <c:v>Forecast</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Sprints!$Q$6:$Q$17</c:f>
              <c:numCache>
                <c:formatCode>0.#</c:formatCode>
                <c:ptCount val="12"/>
                <c:pt idx="0">
                  <c:v>77</c:v>
                </c:pt>
                <c:pt idx="1">
                  <c:v>64</c:v>
                </c:pt>
                <c:pt idx="2">
                  <c:v>49</c:v>
                </c:pt>
                <c:pt idx="3">
                  <c:v>41</c:v>
                </c:pt>
                <c:pt idx="4">
                  <c:v>25</c:v>
                </c:pt>
                <c:pt idx="5">
                  <c:v>13</c:v>
                </c:pt>
                <c:pt idx="6">
                  <c:v>13</c:v>
                </c:pt>
                <c:pt idx="7">
                  <c:v>7</c:v>
                </c:pt>
                <c:pt idx="8">
                  <c:v>0</c:v>
                </c:pt>
                <c:pt idx="9">
                  <c:v>0</c:v>
                </c:pt>
                <c:pt idx="10">
                  <c:v>0</c:v>
                </c:pt>
                <c:pt idx="11">
                  <c:v>0</c:v>
                </c:pt>
              </c:numCache>
            </c:numRef>
          </c:val>
          <c:smooth val="0"/>
        </c:ser>
        <c:ser>
          <c:idx val="2"/>
          <c:order val="2"/>
          <c:tx>
            <c:strRef>
              <c:f>"Ideal"</c:f>
              <c:strCache>
                <c:ptCount val="1"/>
                <c:pt idx="0">
                  <c:v>Ideal</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Sprints!$R$6:$R$17</c:f>
              <c:numCache>
                <c:formatCode>0.#</c:formatCode>
                <c:ptCount val="12"/>
                <c:pt idx="0">
                  <c:v>75.1666666666667</c:v>
                </c:pt>
                <c:pt idx="1">
                  <c:v>68.3333333333333</c:v>
                </c:pt>
                <c:pt idx="2">
                  <c:v>61.5</c:v>
                </c:pt>
                <c:pt idx="3">
                  <c:v>54.6666666666667</c:v>
                </c:pt>
                <c:pt idx="4">
                  <c:v>47.8333333333333</c:v>
                </c:pt>
                <c:pt idx="5">
                  <c:v>41</c:v>
                </c:pt>
                <c:pt idx="6">
                  <c:v>34.1666666666667</c:v>
                </c:pt>
                <c:pt idx="7">
                  <c:v>27.3333333333333</c:v>
                </c:pt>
                <c:pt idx="8">
                  <c:v>20.5</c:v>
                </c:pt>
                <c:pt idx="9">
                  <c:v>13.6666666666667</c:v>
                </c:pt>
                <c:pt idx="10">
                  <c:v>6.83333333333334</c:v>
                </c:pt>
                <c:pt idx="11">
                  <c:v>0</c:v>
                </c:pt>
              </c:numCache>
            </c:numRef>
          </c:val>
          <c:smooth val="0"/>
        </c:ser>
        <c:hiLowLines>
          <c:spPr>
            <a:ln w="0">
              <a:noFill/>
            </a:ln>
          </c:spPr>
        </c:hiLowLines>
        <c:marker val="0"/>
        <c:axId val="5932457"/>
        <c:axId val="35228346"/>
      </c:lineChart>
      <c:catAx>
        <c:axId val="593245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228346"/>
        <c:crosses val="autoZero"/>
        <c:auto val="1"/>
        <c:lblAlgn val="ctr"/>
        <c:lblOffset val="100"/>
        <c:noMultiLvlLbl val="0"/>
      </c:catAx>
      <c:valAx>
        <c:axId val="3522834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Points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93245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0"/>
    <c:dispBlanksAs val="zero"/>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Committed vs done points per sprint</a:t>
            </a:r>
          </a:p>
        </c:rich>
      </c:tx>
      <c:overlay val="0"/>
      <c:spPr>
        <a:noFill/>
        <a:ln w="0">
          <a:noFill/>
        </a:ln>
      </c:spPr>
    </c:title>
    <c:autoTitleDeleted val="0"/>
    <c:plotArea>
      <c:barChart>
        <c:barDir val="col"/>
        <c:grouping val="clustered"/>
        <c:varyColors val="0"/>
        <c:ser>
          <c:idx val="0"/>
          <c:order val="0"/>
          <c:tx>
            <c:strRef>
              <c:f>Sprints!M5</c:f>
              <c:strCache>
                <c:ptCount val="1"/>
                <c:pt idx="0">
                  <c:v>Committed Points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Sprints!$M$6:$M$17</c:f>
              <c:numCache>
                <c:formatCode>0.#</c:formatCode>
                <c:ptCount val="12"/>
                <c:pt idx="0">
                  <c:v>18</c:v>
                </c:pt>
                <c:pt idx="1">
                  <c:v>5</c:v>
                </c:pt>
                <c:pt idx="2">
                  <c:v>18</c:v>
                </c:pt>
                <c:pt idx="3">
                  <c:v>8</c:v>
                </c:pt>
                <c:pt idx="4">
                  <c:v>19</c:v>
                </c:pt>
                <c:pt idx="5">
                  <c:v>1</c:v>
                </c:pt>
                <c:pt idx="6">
                  <c:v>5</c:v>
                </c:pt>
                <c:pt idx="7">
                  <c:v>6</c:v>
                </c:pt>
                <c:pt idx="8">
                  <c:v>2</c:v>
                </c:pt>
                <c:pt idx="9">
                  <c:v>0</c:v>
                </c:pt>
                <c:pt idx="10">
                  <c:v>0</c:v>
                </c:pt>
                <c:pt idx="11">
                  <c:v>0</c:v>
                </c:pt>
              </c:numCache>
            </c:numRef>
          </c:val>
        </c:ser>
        <c:ser>
          <c:idx val="1"/>
          <c:order val="1"/>
          <c:tx>
            <c:strRef>
              <c:f>Sprints!N5</c:f>
              <c:strCache>
                <c:ptCount val="1"/>
                <c:pt idx="0">
                  <c:v>Done Points</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Sprints!$N$6:$N$17</c:f>
              <c:numCache>
                <c:formatCode>0.#</c:formatCode>
                <c:ptCount val="12"/>
                <c:pt idx="0">
                  <c:v>5</c:v>
                </c:pt>
                <c:pt idx="1">
                  <c:v>13</c:v>
                </c:pt>
                <c:pt idx="2">
                  <c:v>15</c:v>
                </c:pt>
                <c:pt idx="3">
                  <c:v>0</c:v>
                </c:pt>
              </c:numCache>
            </c:numRef>
          </c:val>
        </c:ser>
        <c:gapWidth val="150"/>
        <c:overlap val="0"/>
        <c:axId val="51445542"/>
        <c:axId val="283001"/>
      </c:barChart>
      <c:catAx>
        <c:axId val="5144554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83001"/>
        <c:crosses val="autoZero"/>
        <c:auto val="1"/>
        <c:lblAlgn val="ctr"/>
        <c:lblOffset val="100"/>
        <c:noMultiLvlLbl val="0"/>
      </c:catAx>
      <c:valAx>
        <c:axId val="283001"/>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144554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Current sprint burndown</a:t>
            </a:r>
          </a:p>
        </c:rich>
      </c:tx>
      <c:overlay val="0"/>
      <c:spPr>
        <a:noFill/>
        <a:ln w="0">
          <a:noFill/>
        </a:ln>
      </c:spPr>
    </c:title>
    <c:autoTitleDeleted val="0"/>
    <c:plotArea>
      <c:lineChart>
        <c:grouping val="standard"/>
        <c:varyColors val="0"/>
        <c:ser>
          <c:idx val="0"/>
          <c:order val="0"/>
          <c:tx>
            <c:strRef>
              <c:f>"Remaining"</c:f>
              <c:strCache>
                <c:ptCount val="1"/>
                <c:pt idx="0">
                  <c:v>Remaining</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'Agile Report'!$F$44:$F$74</c:f>
              <c:strCache>
                <c:ptCount val="31"/>
                <c:pt idx="0">
                  <c:v>19-Oct</c:v>
                </c:pt>
                <c:pt idx="1">
                  <c:v>20-Oct</c:v>
                </c:pt>
                <c:pt idx="2">
                  <c:v>21-Oct</c:v>
                </c:pt>
                <c:pt idx="3">
                  <c:v>22-Oct</c:v>
                </c:pt>
                <c:pt idx="4">
                  <c:v>23-Oct</c:v>
                </c:pt>
                <c:pt idx="5">
                  <c:v>24-Oct</c:v>
                </c:pt>
                <c:pt idx="6">
                  <c:v>25-Oct</c:v>
                </c:pt>
                <c:pt idx="7">
                  <c:v>26-Oct</c:v>
                </c:pt>
                <c:pt idx="8">
                  <c:v>27-Oct</c:v>
                </c:pt>
                <c:pt idx="9">
                  <c:v>28-Oct</c:v>
                </c:pt>
                <c:pt idx="10">
                  <c:v>29-Oct</c:v>
                </c:pt>
                <c:pt idx="11">
                  <c:v>30-Oct</c:v>
                </c:pt>
                <c:pt idx="12">
                  <c:v>31-Oct</c:v>
                </c:pt>
                <c:pt idx="13">
                  <c:v>01-Nov</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strCache>
            </c:strRef>
          </c:cat>
          <c:val>
            <c:numRef>
              <c:f>'Agile Report'!$G$44:$G$74</c:f>
              <c:numCache>
                <c:formatCode>0.#</c:formatCode>
                <c:ptCount val="31"/>
                <c:pt idx="0">
                  <c:v>8</c:v>
                </c:pt>
                <c:pt idx="1">
                  <c:v>8</c:v>
                </c:pt>
                <c:pt idx="2">
                  <c:v>8</c:v>
                </c:pt>
                <c:pt idx="3">
                  <c:v>8</c:v>
                </c:pt>
                <c:pt idx="4">
                  <c:v>8</c:v>
                </c:pt>
                <c:pt idx="5">
                  <c:v>8</c:v>
                </c:pt>
                <c:pt idx="6">
                  <c:v>8</c:v>
                </c:pt>
              </c:numCache>
            </c:numRef>
          </c:val>
          <c:smooth val="0"/>
        </c:ser>
        <c:ser>
          <c:idx val="1"/>
          <c:order val="1"/>
          <c:tx>
            <c:strRef>
              <c:f>"Ideal"</c:f>
              <c:strCache>
                <c:ptCount val="1"/>
                <c:pt idx="0">
                  <c:v>Ideal</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'Agile Report'!$F$44:$F$74</c:f>
              <c:strCache>
                <c:ptCount val="31"/>
                <c:pt idx="0">
                  <c:v>19-Oct</c:v>
                </c:pt>
                <c:pt idx="1">
                  <c:v>20-Oct</c:v>
                </c:pt>
                <c:pt idx="2">
                  <c:v>21-Oct</c:v>
                </c:pt>
                <c:pt idx="3">
                  <c:v>22-Oct</c:v>
                </c:pt>
                <c:pt idx="4">
                  <c:v>23-Oct</c:v>
                </c:pt>
                <c:pt idx="5">
                  <c:v>24-Oct</c:v>
                </c:pt>
                <c:pt idx="6">
                  <c:v>25-Oct</c:v>
                </c:pt>
                <c:pt idx="7">
                  <c:v>26-Oct</c:v>
                </c:pt>
                <c:pt idx="8">
                  <c:v>27-Oct</c:v>
                </c:pt>
                <c:pt idx="9">
                  <c:v>28-Oct</c:v>
                </c:pt>
                <c:pt idx="10">
                  <c:v>29-Oct</c:v>
                </c:pt>
                <c:pt idx="11">
                  <c:v>30-Oct</c:v>
                </c:pt>
                <c:pt idx="12">
                  <c:v>31-Oct</c:v>
                </c:pt>
                <c:pt idx="13">
                  <c:v>01-Nov</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strCache>
            </c:strRef>
          </c:cat>
          <c:val>
            <c:numRef>
              <c:f>'Agile Report'!$H$44:$H$74</c:f>
              <c:numCache>
                <c:formatCode>0.#</c:formatCode>
                <c:ptCount val="31"/>
                <c:pt idx="0">
                  <c:v>7.2</c:v>
                </c:pt>
                <c:pt idx="1">
                  <c:v>6.4</c:v>
                </c:pt>
                <c:pt idx="2">
                  <c:v>5.6</c:v>
                </c:pt>
                <c:pt idx="3">
                  <c:v>4.8</c:v>
                </c:pt>
                <c:pt idx="4">
                  <c:v>4</c:v>
                </c:pt>
                <c:pt idx="5">
                  <c:v>4</c:v>
                </c:pt>
                <c:pt idx="6">
                  <c:v>4</c:v>
                </c:pt>
                <c:pt idx="7">
                  <c:v>3.2</c:v>
                </c:pt>
                <c:pt idx="8">
                  <c:v>2.4</c:v>
                </c:pt>
                <c:pt idx="9">
                  <c:v>1.6</c:v>
                </c:pt>
                <c:pt idx="10">
                  <c:v>0.8</c:v>
                </c:pt>
                <c:pt idx="11">
                  <c:v>0</c:v>
                </c:pt>
                <c:pt idx="12">
                  <c:v>0</c:v>
                </c:pt>
                <c:pt idx="13">
                  <c:v>0</c:v>
                </c:pt>
              </c:numCache>
            </c:numRef>
          </c:val>
          <c:smooth val="0"/>
        </c:ser>
        <c:hiLowLines>
          <c:spPr>
            <a:ln w="0">
              <a:noFill/>
            </a:ln>
          </c:spPr>
        </c:hiLowLines>
        <c:marker val="0"/>
        <c:axId val="11815802"/>
        <c:axId val="35192167"/>
      </c:lineChart>
      <c:catAx>
        <c:axId val="1181580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192167"/>
        <c:crosses val="autoZero"/>
        <c:auto val="1"/>
        <c:lblAlgn val="ctr"/>
        <c:lblOffset val="100"/>
        <c:noMultiLvlLbl val="0"/>
      </c:catAx>
      <c:valAx>
        <c:axId val="35192167"/>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181580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0"/>
    <c:dispBlanksAs val="zero"/>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Forecast vs planned finish</a:t>
            </a:r>
          </a:p>
        </c:rich>
      </c:tx>
      <c:overlay val="0"/>
      <c:spPr>
        <a:noFill/>
        <a:ln w="0">
          <a:noFill/>
        </a:ln>
      </c:spPr>
    </c:title>
    <c:autoTitleDeleted val="0"/>
    <c:plotArea>
      <c:lineChart>
        <c:grouping val="standard"/>
        <c:varyColors val="0"/>
        <c:ser>
          <c:idx val="0"/>
          <c:order val="0"/>
          <c:tx>
            <c:strRef>
              <c:f>History!C8</c:f>
              <c:strCache>
                <c:ptCount val="1"/>
                <c:pt idx="0">
                  <c:v>Forecast Finish</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History!$C$9:$C$68</c:f>
              <c:numCache>
                <c:formatCode>ddd\ dd\-mmm\-yy</c:formatCode>
                <c:ptCount val="60"/>
                <c:pt idx="0">
                  <c:v>46384</c:v>
                </c:pt>
                <c:pt idx="1">
                  <c:v>46385</c:v>
                </c:pt>
                <c:pt idx="2">
                  <c:v>46387</c:v>
                </c:pt>
                <c:pt idx="3">
                  <c:v>46391</c:v>
                </c:pt>
              </c:numCache>
            </c:numRef>
          </c:val>
          <c:smooth val="0"/>
        </c:ser>
        <c:ser>
          <c:idx val="1"/>
          <c:order val="1"/>
          <c:tx>
            <c:strRef>
              <c:f>History!D8</c:f>
              <c:strCache>
                <c:ptCount val="1"/>
                <c:pt idx="0">
                  <c:v>Planned Finish</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History!$D$9:$D$68</c:f>
              <c:numCache>
                <c:formatCode>ddd\ dd\-mmm\-yy</c:formatCode>
                <c:ptCount val="60"/>
                <c:pt idx="0">
                  <c:v>46384</c:v>
                </c:pt>
                <c:pt idx="1">
                  <c:v>46384</c:v>
                </c:pt>
                <c:pt idx="2">
                  <c:v>46384</c:v>
                </c:pt>
                <c:pt idx="3">
                  <c:v>46384</c:v>
                </c:pt>
              </c:numCache>
            </c:numRef>
          </c:val>
          <c:smooth val="0"/>
        </c:ser>
        <c:hiLowLines>
          <c:spPr>
            <a:ln w="0">
              <a:noFill/>
            </a:ln>
          </c:spPr>
        </c:hiLowLines>
        <c:marker val="0"/>
        <c:axId val="85303351"/>
        <c:axId val="22310488"/>
      </c:lineChart>
      <c:catAx>
        <c:axId val="85303351"/>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2310488"/>
        <c:crosses val="autoZero"/>
        <c:auto val="1"/>
        <c:lblAlgn val="ctr"/>
        <c:lblOffset val="100"/>
        <c:noMultiLvlLbl val="0"/>
      </c:catAx>
      <c:valAx>
        <c:axId val="22310488"/>
        <c:scaling>
          <c:orientation val="minMax"/>
        </c:scaling>
        <c:delete val="0"/>
        <c:axPos val="l"/>
        <c:majorGridlines>
          <c:spPr>
            <a:ln w="9360">
              <a:solidFill>
                <a:srgbClr val="878787"/>
              </a:solidFill>
              <a:round/>
            </a:ln>
          </c:spPr>
        </c:majorGridlines>
        <c:numFmt formatCode="dd\-mmm\-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530335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Earned value S-curve</a:t>
            </a:r>
          </a:p>
        </c:rich>
      </c:tx>
      <c:overlay val="0"/>
      <c:spPr>
        <a:noFill/>
        <a:ln w="0">
          <a:noFill/>
        </a:ln>
      </c:spPr>
    </c:title>
    <c:autoTitleDeleted val="0"/>
    <c:plotArea>
      <c:lineChart>
        <c:grouping val="standard"/>
        <c:varyColors val="0"/>
        <c:ser>
          <c:idx val="0"/>
          <c:order val="0"/>
          <c:tx>
            <c:strRef>
              <c:f>History!I8</c:f>
              <c:strCache>
                <c:ptCount val="1"/>
                <c:pt idx="0">
                  <c:v>PV</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History!$I$9:$I$68</c:f>
              <c:numCache>
                <c:formatCode>#,##0</c:formatCode>
                <c:ptCount val="60"/>
                <c:pt idx="0">
                  <c:v>11028</c:v>
                </c:pt>
                <c:pt idx="1">
                  <c:v>17992</c:v>
                </c:pt>
                <c:pt idx="2">
                  <c:v>24957</c:v>
                </c:pt>
                <c:pt idx="3">
                  <c:v>31342</c:v>
                </c:pt>
              </c:numCache>
            </c:numRef>
          </c:val>
          <c:smooth val="0"/>
        </c:ser>
        <c:ser>
          <c:idx val="1"/>
          <c:order val="1"/>
          <c:tx>
            <c:strRef>
              <c:f>History!J8</c:f>
              <c:strCache>
                <c:ptCount val="1"/>
                <c:pt idx="0">
                  <c:v>EV</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History!$J$9:$J$68</c:f>
              <c:numCache>
                <c:formatCode>#,##0</c:formatCode>
                <c:ptCount val="60"/>
                <c:pt idx="0">
                  <c:v>9867</c:v>
                </c:pt>
                <c:pt idx="1">
                  <c:v>15671</c:v>
                </c:pt>
                <c:pt idx="2">
                  <c:v>20894</c:v>
                </c:pt>
                <c:pt idx="3">
                  <c:v>25538</c:v>
                </c:pt>
              </c:numCache>
            </c:numRef>
          </c:val>
          <c:smooth val="0"/>
        </c:ser>
        <c:ser>
          <c:idx val="2"/>
          <c:order val="2"/>
          <c:tx>
            <c:strRef>
              <c:f>History!K8</c:f>
              <c:strCache>
                <c:ptCount val="1"/>
                <c:pt idx="0">
                  <c:v>AC</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History!$K$9:$K$68</c:f>
              <c:numCache>
                <c:formatCode>#,##0</c:formatCode>
                <c:ptCount val="60"/>
                <c:pt idx="0">
                  <c:v>10064</c:v>
                </c:pt>
                <c:pt idx="1">
                  <c:v>16298</c:v>
                </c:pt>
                <c:pt idx="2">
                  <c:v>21939</c:v>
                </c:pt>
                <c:pt idx="3">
                  <c:v>27070</c:v>
                </c:pt>
              </c:numCache>
            </c:numRef>
          </c:val>
          <c:smooth val="0"/>
        </c:ser>
        <c:hiLowLines>
          <c:spPr>
            <a:ln w="0">
              <a:noFill/>
            </a:ln>
          </c:spPr>
        </c:hiLowLines>
        <c:marker val="0"/>
        <c:axId val="15583264"/>
        <c:axId val="42390556"/>
      </c:lineChart>
      <c:catAx>
        <c:axId val="15583264"/>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2390556"/>
        <c:crosses val="autoZero"/>
        <c:auto val="1"/>
        <c:lblAlgn val="ctr"/>
        <c:lblOffset val="100"/>
        <c:noMultiLvlLbl val="0"/>
      </c:catAx>
      <c:valAx>
        <c:axId val="42390556"/>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558326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SPI and CPI</a:t>
            </a:r>
          </a:p>
        </c:rich>
      </c:tx>
      <c:overlay val="0"/>
      <c:spPr>
        <a:noFill/>
        <a:ln w="0">
          <a:noFill/>
        </a:ln>
      </c:spPr>
    </c:title>
    <c:autoTitleDeleted val="0"/>
    <c:plotArea>
      <c:lineChart>
        <c:grouping val="standard"/>
        <c:varyColors val="0"/>
        <c:ser>
          <c:idx val="0"/>
          <c:order val="0"/>
          <c:tx>
            <c:strRef>
              <c:f>History!L8</c:f>
              <c:strCache>
                <c:ptCount val="1"/>
                <c:pt idx="0">
                  <c:v>SPI</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History!$L$9:$L$68</c:f>
              <c:numCache>
                <c:formatCode>0.00</c:formatCode>
                <c:ptCount val="60"/>
                <c:pt idx="0">
                  <c:v>0.89</c:v>
                </c:pt>
                <c:pt idx="1">
                  <c:v>0.87</c:v>
                </c:pt>
                <c:pt idx="2">
                  <c:v>0.84</c:v>
                </c:pt>
                <c:pt idx="3">
                  <c:v>0.81</c:v>
                </c:pt>
              </c:numCache>
            </c:numRef>
          </c:val>
          <c:smooth val="0"/>
        </c:ser>
        <c:ser>
          <c:idx val="1"/>
          <c:order val="1"/>
          <c:tx>
            <c:strRef>
              <c:f>History!M8</c:f>
              <c:strCache>
                <c:ptCount val="1"/>
                <c:pt idx="0">
                  <c:v>CPI</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History!$M$9:$M$68</c:f>
              <c:numCache>
                <c:formatCode>0.00</c:formatCode>
                <c:ptCount val="60"/>
                <c:pt idx="0">
                  <c:v>0.98</c:v>
                </c:pt>
                <c:pt idx="1">
                  <c:v>0.96</c:v>
                </c:pt>
                <c:pt idx="2">
                  <c:v>0.95</c:v>
                </c:pt>
                <c:pt idx="3">
                  <c:v>0.94</c:v>
                </c:pt>
              </c:numCache>
            </c:numRef>
          </c:val>
          <c:smooth val="0"/>
        </c:ser>
        <c:hiLowLines>
          <c:spPr>
            <a:ln w="0">
              <a:noFill/>
            </a:ln>
          </c:spPr>
        </c:hiLowLines>
        <c:marker val="0"/>
        <c:axId val="67863209"/>
        <c:axId val="67235960"/>
      </c:lineChart>
      <c:catAx>
        <c:axId val="67863209"/>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7235960"/>
        <c:crosses val="autoZero"/>
        <c:auto val="1"/>
        <c:lblAlgn val="ctr"/>
        <c:lblOffset val="100"/>
        <c:noMultiLvlLbl val="0"/>
      </c:catAx>
      <c:valAx>
        <c:axId val="67235960"/>
        <c:scaling>
          <c:orientation val="minMax"/>
        </c:scaling>
        <c:delete val="0"/>
        <c:axPos val="l"/>
        <c:majorGridlines>
          <c:spPr>
            <a:ln w="9360">
              <a:solidFill>
                <a:srgbClr val="878787"/>
              </a:solidFill>
              <a:round/>
            </a:ln>
          </c:spPr>
        </c:majorGridlines>
        <c:numFmt formatCode="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786320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Story-point burn-up (done vs scope)</a:t>
            </a:r>
          </a:p>
        </c:rich>
      </c:tx>
      <c:overlay val="0"/>
      <c:spPr>
        <a:noFill/>
        <a:ln w="0">
          <a:noFill/>
        </a:ln>
      </c:spPr>
    </c:title>
    <c:autoTitleDeleted val="0"/>
    <c:plotArea>
      <c:lineChart>
        <c:grouping val="standard"/>
        <c:varyColors val="0"/>
        <c:ser>
          <c:idx val="0"/>
          <c:order val="0"/>
          <c:tx>
            <c:strRef>
              <c:f>History!O8</c:f>
              <c:strCache>
                <c:ptCount val="1"/>
                <c:pt idx="0">
                  <c:v>Points Done</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History!$O$9:$O$68</c:f>
              <c:numCache>
                <c:formatCode>0.#</c:formatCode>
                <c:ptCount val="60"/>
                <c:pt idx="0">
                  <c:v>5</c:v>
                </c:pt>
                <c:pt idx="1">
                  <c:v>18</c:v>
                </c:pt>
                <c:pt idx="2">
                  <c:v>23</c:v>
                </c:pt>
                <c:pt idx="3">
                  <c:v>33</c:v>
                </c:pt>
              </c:numCache>
            </c:numRef>
          </c:val>
          <c:smooth val="0"/>
        </c:ser>
        <c:ser>
          <c:idx val="1"/>
          <c:order val="1"/>
          <c:tx>
            <c:strRef>
              <c:f>History!P8</c:f>
              <c:strCache>
                <c:ptCount val="1"/>
                <c:pt idx="0">
                  <c:v>Total Points</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History!$P$9:$P$68</c:f>
              <c:numCache>
                <c:formatCode>0.#</c:formatCode>
                <c:ptCount val="60"/>
                <c:pt idx="0">
                  <c:v>76</c:v>
                </c:pt>
                <c:pt idx="1">
                  <c:v>78</c:v>
                </c:pt>
                <c:pt idx="2">
                  <c:v>82</c:v>
                </c:pt>
                <c:pt idx="3">
                  <c:v>82</c:v>
                </c:pt>
              </c:numCache>
            </c:numRef>
          </c:val>
          <c:smooth val="0"/>
        </c:ser>
        <c:hiLowLines>
          <c:spPr>
            <a:ln w="0">
              <a:noFill/>
            </a:ln>
          </c:spPr>
        </c:hiLowLines>
        <c:marker val="0"/>
        <c:axId val="61798573"/>
        <c:axId val="18762763"/>
      </c:lineChart>
      <c:catAx>
        <c:axId val="61798573"/>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8762763"/>
        <c:crosses val="autoZero"/>
        <c:auto val="1"/>
        <c:lblAlgn val="ctr"/>
        <c:lblOffset val="100"/>
        <c:noMultiLvlLbl val="0"/>
      </c:catAx>
      <c:valAx>
        <c:axId val="18762763"/>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179857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_rels/drawing3.xml.rels><?xml version="1.0" encoding="UTF-8"?>
<Relationships xmlns="http://schemas.openxmlformats.org/package/2006/relationships"><Relationship Id="rId1" Type="http://schemas.openxmlformats.org/officeDocument/2006/relationships/chart" Target="../charts/chart4.xml"/>
</Relationships>
</file>

<file path=xl/drawings/_rels/drawing4.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Relationship Id="rId3" Type="http://schemas.openxmlformats.org/officeDocument/2006/relationships/chart" Target="../charts/chart7.xml"/>
</Relationships>
</file>

<file path=xl/drawings/_rels/drawing5.xml.rels><?xml version="1.0" encoding="UTF-8"?>
<Relationships xmlns="http://schemas.openxmlformats.org/package/2006/relationships"><Relationship Id="rId1" Type="http://schemas.openxmlformats.org/officeDocument/2006/relationships/chart" Target="../charts/chart8.xml"/><Relationship Id="rId2" Type="http://schemas.openxmlformats.org/officeDocument/2006/relationships/chart" Target="../charts/chart9.xml"/><Relationship Id="rId3" Type="http://schemas.openxmlformats.org/officeDocument/2006/relationships/chart" Target="../charts/chart10.xml"/><Relationship Id="rId4" Type="http://schemas.openxmlformats.org/officeDocument/2006/relationships/chart" Target="../charts/chart1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10</xdr:row>
      <xdr:rowOff>101160</xdr:rowOff>
    </xdr:from>
    <xdr:to>
      <xdr:col>10</xdr:col>
      <xdr:colOff>479160</xdr:colOff>
      <xdr:row>23</xdr:row>
      <xdr:rowOff>144000</xdr:rowOff>
    </xdr:to>
    <xdr:graphicFrame>
      <xdr:nvGraphicFramePr>
        <xdr:cNvPr id="0" name="Chart 1"/>
        <xdr:cNvGraphicFramePr/>
      </xdr:nvGraphicFramePr>
      <xdr:xfrm>
        <a:off x="4722480" y="2095560"/>
        <a:ext cx="503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35</xdr:row>
      <xdr:rowOff>100800</xdr:rowOff>
    </xdr:from>
    <xdr:to>
      <xdr:col>8</xdr:col>
      <xdr:colOff>70920</xdr:colOff>
      <xdr:row>50</xdr:row>
      <xdr:rowOff>123120</xdr:rowOff>
    </xdr:to>
    <xdr:graphicFrame>
      <xdr:nvGraphicFramePr>
        <xdr:cNvPr id="1" name="Chart 2"/>
        <xdr:cNvGraphicFramePr/>
      </xdr:nvGraphicFramePr>
      <xdr:xfrm>
        <a:off x="211320" y="6858000"/>
        <a:ext cx="79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15</xdr:row>
      <xdr:rowOff>131040</xdr:rowOff>
    </xdr:from>
    <xdr:to>
      <xdr:col>7</xdr:col>
      <xdr:colOff>3504240</xdr:colOff>
      <xdr:row>28</xdr:row>
      <xdr:rowOff>174240</xdr:rowOff>
    </xdr:to>
    <xdr:graphicFrame>
      <xdr:nvGraphicFramePr>
        <xdr:cNvPr id="2" name="Chart 1"/>
        <xdr:cNvGraphicFramePr/>
      </xdr:nvGraphicFramePr>
      <xdr:xfrm>
        <a:off x="7612560" y="3048120"/>
        <a:ext cx="57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2</xdr:row>
      <xdr:rowOff>131040</xdr:rowOff>
    </xdr:from>
    <xdr:to>
      <xdr:col>27</xdr:col>
      <xdr:colOff>307080</xdr:colOff>
      <xdr:row>17</xdr:row>
      <xdr:rowOff>40680</xdr:rowOff>
    </xdr:to>
    <xdr:graphicFrame>
      <xdr:nvGraphicFramePr>
        <xdr:cNvPr id="3" name="Chart 1"/>
        <xdr:cNvGraphicFramePr/>
      </xdr:nvGraphicFramePr>
      <xdr:xfrm>
        <a:off x="10079280" y="571680"/>
        <a:ext cx="79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2</xdr:row>
      <xdr:rowOff>131040</xdr:rowOff>
    </xdr:from>
    <xdr:to>
      <xdr:col>18</xdr:col>
      <xdr:colOff>255960</xdr:colOff>
      <xdr:row>17</xdr:row>
      <xdr:rowOff>153000</xdr:rowOff>
    </xdr:to>
    <xdr:graphicFrame>
      <xdr:nvGraphicFramePr>
        <xdr:cNvPr id="4" name="Chart 1"/>
        <xdr:cNvGraphicFramePr/>
      </xdr:nvGraphicFramePr>
      <xdr:xfrm>
        <a:off x="10361160" y="5716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19</xdr:row>
      <xdr:rowOff>130680</xdr:rowOff>
    </xdr:from>
    <xdr:to>
      <xdr:col>18</xdr:col>
      <xdr:colOff>255960</xdr:colOff>
      <xdr:row>34</xdr:row>
      <xdr:rowOff>40320</xdr:rowOff>
    </xdr:to>
    <xdr:graphicFrame>
      <xdr:nvGraphicFramePr>
        <xdr:cNvPr id="5" name="Chart 2"/>
        <xdr:cNvGraphicFramePr/>
      </xdr:nvGraphicFramePr>
      <xdr:xfrm>
        <a:off x="10361160" y="380988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0</xdr:colOff>
      <xdr:row>41</xdr:row>
      <xdr:rowOff>18360</xdr:rowOff>
    </xdr:from>
    <xdr:to>
      <xdr:col>18</xdr:col>
      <xdr:colOff>255960</xdr:colOff>
      <xdr:row>55</xdr:row>
      <xdr:rowOff>118800</xdr:rowOff>
    </xdr:to>
    <xdr:graphicFrame>
      <xdr:nvGraphicFramePr>
        <xdr:cNvPr id="6" name="Chart 3"/>
        <xdr:cNvGraphicFramePr/>
      </xdr:nvGraphicFramePr>
      <xdr:xfrm>
        <a:off x="10361160" y="8001000"/>
        <a:ext cx="575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21</xdr:col>
      <xdr:colOff>0</xdr:colOff>
      <xdr:row>2</xdr:row>
      <xdr:rowOff>131040</xdr:rowOff>
    </xdr:from>
    <xdr:to>
      <xdr:col>29</xdr:col>
      <xdr:colOff>147600</xdr:colOff>
      <xdr:row>14</xdr:row>
      <xdr:rowOff>139680</xdr:rowOff>
    </xdr:to>
    <xdr:graphicFrame>
      <xdr:nvGraphicFramePr>
        <xdr:cNvPr id="7" name="Chart 1"/>
        <xdr:cNvGraphicFramePr/>
      </xdr:nvGraphicFramePr>
      <xdr:xfrm>
        <a:off x="15977160" y="571680"/>
        <a:ext cx="503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21</xdr:col>
      <xdr:colOff>0</xdr:colOff>
      <xdr:row>16</xdr:row>
      <xdr:rowOff>96480</xdr:rowOff>
    </xdr:from>
    <xdr:to>
      <xdr:col>29</xdr:col>
      <xdr:colOff>147600</xdr:colOff>
      <xdr:row>29</xdr:row>
      <xdr:rowOff>139680</xdr:rowOff>
    </xdr:to>
    <xdr:graphicFrame>
      <xdr:nvGraphicFramePr>
        <xdr:cNvPr id="8" name="Chart 2"/>
        <xdr:cNvGraphicFramePr/>
      </xdr:nvGraphicFramePr>
      <xdr:xfrm>
        <a:off x="15977160" y="3429000"/>
        <a:ext cx="5039640" cy="251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21</xdr:col>
      <xdr:colOff>0</xdr:colOff>
      <xdr:row>31</xdr:row>
      <xdr:rowOff>96840</xdr:rowOff>
    </xdr:from>
    <xdr:to>
      <xdr:col>29</xdr:col>
      <xdr:colOff>147600</xdr:colOff>
      <xdr:row>44</xdr:row>
      <xdr:rowOff>139680</xdr:rowOff>
    </xdr:to>
    <xdr:graphicFrame>
      <xdr:nvGraphicFramePr>
        <xdr:cNvPr id="9" name="Chart 3"/>
        <xdr:cNvGraphicFramePr/>
      </xdr:nvGraphicFramePr>
      <xdr:xfrm>
        <a:off x="15977160" y="6286680"/>
        <a:ext cx="5039640" cy="251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21</xdr:col>
      <xdr:colOff>0</xdr:colOff>
      <xdr:row>46</xdr:row>
      <xdr:rowOff>96480</xdr:rowOff>
    </xdr:from>
    <xdr:to>
      <xdr:col>29</xdr:col>
      <xdr:colOff>147600</xdr:colOff>
      <xdr:row>59</xdr:row>
      <xdr:rowOff>139680</xdr:rowOff>
    </xdr:to>
    <xdr:graphicFrame>
      <xdr:nvGraphicFramePr>
        <xdr:cNvPr id="10" name="Chart 4"/>
        <xdr:cNvGraphicFramePr/>
      </xdr:nvGraphicFramePr>
      <xdr:xfrm>
        <a:off x="15977160" y="9144000"/>
        <a:ext cx="5039640" cy="251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id="1" name="AgileKPIs" displayName="AgileKPIs" ref="C4:D17" headerRowCount="1">
  <tableColumns count="2">
    <tableColumn id="1" name="Measure"/>
    <tableColumn id="2" name="Value"/>
  </tableColumns>
  <tableStyleInfo name="TableStyleLight1" showRowStripes="0"/>
</table>
</file>

<file path=xl/tables/table2.xml><?xml version="1.0" encoding="utf-8"?>
<table xmlns="http://schemas.openxmlformats.org/spreadsheetml/2006/main" id="2" name="ChangeControl" displayName="ChangeControl" ref="B45:D52" headerRowCount="1">
  <tableColumns count="3">
    <tableColumn id="1" name="Measure"/>
    <tableColumn id="2" name="Source"/>
    <tableColumn id="3" name="Value"/>
  </tableColumns>
  <tableStyleInfo name="TableStyleLight1" showRowStripes="0"/>
</table>
</file>

<file path=xl/tables/table3.xml><?xml version="1.0" encoding="utf-8"?>
<table xmlns="http://schemas.openxmlformats.org/spreadsheetml/2006/main" id="3" name="ChangeLog" displayName="ChangeLog" ref="B4:N104" headerRowCount="1">
  <autoFilter ref="B4:N104"/>
  <tableColumns count="13">
    <tableColumn id="1" name="Ref"/>
    <tableColumn id="2" name="Raised"/>
    <tableColumn id="3" name="Requested By"/>
    <tableColumn id="4" name="Title"/>
    <tableColumn id="5" name="Reason"/>
    <tableColumn id="6" name="Schedule Impact"/>
    <tableColumn id="7" name="Cost Impact"/>
    <tableColumn id="8" name="Status"/>
    <tableColumn id="9" name="Decided"/>
    <tableColumn id="10" name="Decided By"/>
    <tableColumn id="11" name="Waiting (days)">
      <calculatedColumnFormula>IF(OR(ChangeLog[[#This Row],[Title]]="",N(ChangeLog[[#This Row],[Raised]])=0,AND(ChangeLog[[#This Row],[Status]]&lt;&gt;"Submitted",ChangeLog[[#This Row],[Status]]&lt;&gt;"Under Review")),"",MAX(0,StatusDate-ChangeLog[[#This Row],[Raised]]))</calculatedColumnFormula>
    </tableColumn>
    <tableColumn id="12" name="Task UID"/>
    <tableColumn id="13" name="Task">
      <calculatedColumnFormula>IF(N(ChangeLog[[#This Row],[Task UID]])=0,"",IFERROR(INDEX(tsk_Name,MATCH(ChangeLog[[#This Row],[Task UID]],tsk_UID,0)),"UID "&amp;ChangeLog[[#This Row],[Task UID]]&amp;" not found"))</calculatedColumnFormula>
    </tableColumn>
  </tableColumns>
  <tableStyleInfo name="TableStyleLight1" showRowStripes="0"/>
</table>
</file>

<file path=xl/tables/table4.xml><?xml version="1.0" encoding="utf-8"?>
<table xmlns="http://schemas.openxmlformats.org/spreadsheetml/2006/main" id="4" name="CriticalTasks" displayName="CriticalTasks" ref="B90:J110" headerRowCount="1">
  <tableColumns count="9">
    <tableColumn id="1" name="_Task">
      <calculatedColumnFormula>IFERROR(MATCH(SMALL(tsk_CriticalKey,ROW()-ROW(CriticalTasks[[#Headers],[_Task]])),tsk_CriticalKey,0),"")</calculatedColumnFormula>
    </tableColumn>
    <tableColumn id="2" name="WBS">
      <calculatedColumnFormula>IF(CriticalTasks[[#This Row],[_Task]]="","",INDEX(tsk_WBS,CriticalTasks[[#This Row],[_Task]])&amp;"")</calculatedColumnFormula>
    </tableColumn>
    <tableColumn id="3" name="Task">
      <calculatedColumnFormula>IF(CriticalTasks[[#This Row],[_Task]]="","",INDEX(tsk_Name,CriticalTasks[[#This Row],[_Task]])&amp;"")</calculatedColumnFormula>
    </tableColumn>
    <tableColumn id="4" name="Resource">
      <calculatedColumnFormula>IF(CriticalTasks[[#This Row],[_Task]]="","",INDEX(tsk_Resource,CriticalTasks[[#This Row],[_Task]])&amp;"")</calculatedColumnFormula>
    </tableColumn>
    <tableColumn id="5" name="Forecast Start">
      <calculatedColumnFormula>IF(CriticalTasks[[#This Row],[_Task]]="","",IF(N(INDEX(tsk_FcStart,CriticalTasks[[#This Row],[_Task]]))=0,"",INDEX(tsk_FcStart,CriticalTasks[[#This Row],[_Task]])))</calculatedColumnFormula>
    </tableColumn>
    <tableColumn id="6" name="Forecast Finish">
      <calculatedColumnFormula>IF(CriticalTasks[[#This Row],[_Task]]="","",IF(N(INDEX(tsk_FcFinish,CriticalTasks[[#This Row],[_Task]]))=0,"",INDEX(tsk_FcFinish,CriticalTasks[[#This Row],[_Task]])))</calculatedColumnFormula>
    </tableColumn>
    <tableColumn id="7" name="Total Slack">
      <calculatedColumnFormula>IF(CriticalTasks[[#This Row],[_Task]]="","",INDEX(tsk_TotalSlack,CriticalTasks[[#This Row],[_Task]]))</calculatedColumnFormula>
    </tableColumn>
    <tableColumn id="8" name="Deadline Check">
      <calculatedColumnFormula>IF(CriticalTasks[[#This Row],[_Task]]="","",INDEX(tsk_DeadlineCheck,CriticalTasks[[#This Row],[_Task]])&amp;"")</calculatedColumnFormula>
    </tableColumn>
    <tableColumn id="9" name="Status">
      <calculatedColumnFormula>IF(CriticalTasks[[#This Row],[_Task]]="","",INDEX(tsk_Status,CriticalTasks[[#This Row],[_Task]])&amp;"")</calculatedColumnFormula>
    </tableColumn>
  </tableColumns>
  <tableStyleInfo name="TableStyleLight1" showRowStripes="0"/>
</table>
</file>

<file path=xl/tables/table5.xml><?xml version="1.0" encoding="utf-8"?>
<table xmlns="http://schemas.openxmlformats.org/spreadsheetml/2006/main" id="5" name="DecisionLog" displayName="DecisionLog" ref="B4:K104" headerRowCount="1">
  <autoFilter ref="B4:K104"/>
  <tableColumns count="10">
    <tableColumn id="1" name="Ref"/>
    <tableColumn id="2" name="Date"/>
    <tableColumn id="3" name="Decision"/>
    <tableColumn id="4" name="Options and Reasons"/>
    <tableColumn id="5" name="Decided By"/>
    <tableColumn id="6" name="Status"/>
    <tableColumn id="7" name="Waiting (days)">
      <calculatedColumnFormula>IF(OR(DecisionLog[[#This Row],[Decision]]="",DecisionLog[[#This Row],[Status]]&lt;&gt;"Proposed",N(DecisionLog[[#This Row],[Date]])=0),"",MAX(0,StatusDate-DecisionLog[[#This Row],[Date]]))</calculatedColumnFormula>
    </tableColumn>
    <tableColumn id="8" name="Task UID"/>
    <tableColumn id="9" name="Task">
      <calculatedColumnFormula>IF(N(DecisionLog[[#This Row],[Task UID]])=0,"",IFERROR(INDEX(tsk_Name,MATCH(DecisionLog[[#This Row],[Task UID]],tsk_UID,0)),"UID "&amp;DecisionLog[[#This Row],[Task UID]]&amp;" not found"))</calculatedColumnFormula>
    </tableColumn>
    <tableColumn id="10" name="RAID Ref"/>
  </tableColumns>
  <tableStyleInfo name="TableStyleLight1" showRowStripes="0"/>
</table>
</file>

<file path=xl/tables/table6.xml><?xml version="1.0" encoding="utf-8"?>
<table xmlns="http://schemas.openxmlformats.org/spreadsheetml/2006/main" id="6" name="DueSoon" displayName="DueSoon" ref="B72:J87" headerRowCount="1">
  <tableColumns count="9">
    <tableColumn id="1" name="_Task">
      <calculatedColumnFormula>IFERROR(MATCH(SMALL(tsk_DueSoonKey,ROW()-ROW(DueSoon[[#Headers],[_Task]])),tsk_DueSoonKey,0),"")</calculatedColumnFormula>
    </tableColumn>
    <tableColumn id="2" name="WBS">
      <calculatedColumnFormula>IF(DueSoon[[#This Row],[_Task]]="","",INDEX(tsk_WBS,DueSoon[[#This Row],[_Task]])&amp;"")</calculatedColumnFormula>
    </tableColumn>
    <tableColumn id="3" name="Task">
      <calculatedColumnFormula>IF(DueSoon[[#This Row],[_Task]]="","",INDEX(tsk_Name,DueSoon[[#This Row],[_Task]])&amp;"")</calculatedColumnFormula>
    </tableColumn>
    <tableColumn id="4" name="Resource">
      <calculatedColumnFormula>IF(DueSoon[[#This Row],[_Task]]="","",INDEX(tsk_Resource,DueSoon[[#This Row],[_Task]])&amp;"")</calculatedColumnFormula>
    </tableColumn>
    <tableColumn id="5" name="Forecast Finish">
      <calculatedColumnFormula>IF(DueSoon[[#This Row],[_Task]]="","",IF(N(INDEX(tsk_FcFinish,DueSoon[[#This Row],[_Task]]))=0,"",INDEX(tsk_FcFinish,DueSoon[[#This Row],[_Task]])))</calculatedColumnFormula>
    </tableColumn>
    <tableColumn id="6" name="Progress">
      <calculatedColumnFormula>IF(DueSoon[[#This Row],[_Task]]="","",INDEX(tsk_Progress,DueSoon[[#This Row],[_Task]]))</calculatedColumnFormula>
    </tableColumn>
    <tableColumn id="7" name="Deadline Check">
      <calculatedColumnFormula>IF(DueSoon[[#This Row],[_Task]]="","",INDEX(tsk_DeadlineCheck,DueSoon[[#This Row],[_Task]])&amp;"")</calculatedColumnFormula>
    </tableColumn>
    <tableColumn id="8" name="Status">
      <calculatedColumnFormula>IF(DueSoon[[#This Row],[_Task]]="","",INDEX(tsk_Status,DueSoon[[#This Row],[_Task]])&amp;"")</calculatedColumnFormula>
    </tableColumn>
    <tableColumn id="9" name="Critical">
      <calculatedColumnFormula>IF(DueSoon[[#This Row],[_Task]]="","",INDEX(tsk_Critical,DueSoon[[#This Row],[_Task]])&amp;"")</calculatedColumnFormula>
    </tableColumn>
  </tableColumns>
  <tableStyleInfo name="TableStyleLight1" showRowStripes="0"/>
</table>
</file>

<file path=xl/tables/table7.xml><?xml version="1.0" encoding="utf-8"?>
<table xmlns="http://schemas.openxmlformats.org/spreadsheetml/2006/main" id="7" name="EarnedValue" displayName="EarnedValue" ref="B17:D31" headerRowCount="1">
  <tableColumns count="3">
    <tableColumn id="1" name="Measure"/>
    <tableColumn id="2" name="Meaning"/>
    <tableColumn id="3" name="Value"/>
  </tableColumns>
  <tableStyleInfo name="TableStyleLight1" showRowStripes="0"/>
</table>
</file>

<file path=xl/tables/table8.xml><?xml version="1.0" encoding="utf-8"?>
<table xmlns="http://schemas.openxmlformats.org/spreadsheetml/2006/main" id="8" name="GanttView" displayName="GanttView" ref="A5:U205" headerRowCount="1">
  <tableColumns count="21">
    <tableColumn id="1" name="ID">
      <calculatedColumnFormula>IF(IFERROR(INDEX(tsk_Name,GanttView[[#This Row],[_Row]])="",TRUE()),"",INDEX(tsk_ID,GanttView[[#This Row],[_Row]]))</calculatedColumnFormula>
    </tableColumn>
    <tableColumn id="2" name="WBS">
      <calculatedColumnFormula>IF(IFERROR(INDEX(tsk_Name,GanttView[[#This Row],[_Row]])="",TRUE()),"",INDEX(tsk_WBS,GanttView[[#This Row],[_Row]]))</calculatedColumnFormula>
    </tableColumn>
    <tableColumn id="3" name="Task">
      <calculatedColumnFormula>IF(IFERROR(INDEX(tsk_Name,GanttView[[#This Row],[_Row]])="",TRUE()),"",REPT("    ",INDEX(tsk_Level,GanttView[[#This Row],[_Row]])-1)&amp;INDEX(tsk_Name,GanttView[[#This Row],[_Row]]))</calculatedColumnFormula>
    </tableColumn>
    <tableColumn id="4" name="Dur">
      <calculatedColumnFormula>IF(IFERROR(INDEX(tsk_Name,GanttView[[#This Row],[_Row]])="",TRUE()),"",IF(INDEX(tsk_IsSummary,GanttView[[#This Row],[_Row]]),NETWORKDAYS.INTL(INDEX(tsk_FcStart,GanttView[[#This Row],[_Row]]),INDEX(tsk_FcFinish,GanttView[[#This Row],[_Row]]),WorkWeek,Holidays),N(INDEX(tsk_Duration,GanttView[[#This Row],[_Row]]))))</calculatedColumnFormula>
    </tableColumn>
    <tableColumn id="5" name="Planned Start">
      <calculatedColumnFormula>IF(IFERROR(INDEX(tsk_Name,GanttView[[#This Row],[_Row]])="",TRUE()),"",INDEX(tsk_PlanStart,GanttView[[#This Row],[_Row]]))</calculatedColumnFormula>
    </tableColumn>
    <tableColumn id="6" name="Planned Finish">
      <calculatedColumnFormula>IF(IFERROR(INDEX(tsk_Name,GanttView[[#This Row],[_Row]])="",TRUE()),"",INDEX(tsk_PlanFinish,GanttView[[#This Row],[_Row]]))</calculatedColumnFormula>
    </tableColumn>
    <tableColumn id="7" name="Forecast Start">
      <calculatedColumnFormula>IF(IFERROR(INDEX(tsk_Name,GanttView[[#This Row],[_Row]])="",TRUE()),"",INDEX(tsk_FcStart,GanttView[[#This Row],[_Row]]))</calculatedColumnFormula>
    </tableColumn>
    <tableColumn id="8" name="Forecast Finish">
      <calculatedColumnFormula>IF(IFERROR(INDEX(tsk_Name,GanttView[[#This Row],[_Row]])="",TRUE()),"",INDEX(tsk_FcFinish,GanttView[[#This Row],[_Row]]))</calculatedColumnFormula>
    </tableColumn>
    <tableColumn id="9" name="%">
      <calculatedColumnFormula>IF(IFERROR(INDEX(tsk_Name,GanttView[[#This Row],[_Row]])="",TRUE()),"",INDEX(tsk_Progress,GanttView[[#This Row],[_Row]]))</calculatedColumnFormula>
    </tableColumn>
    <tableColumn id="10" name="Resource">
      <calculatedColumnFormula>IF(IFERROR(INDEX(tsk_Name,GanttView[[#This Row],[_Row]])="",TRUE()),"",INDEX(tsk_Resource,GanttView[[#This Row],[_Row]])&amp;"")</calculatedColumnFormula>
    </tableColumn>
    <tableColumn id="11" name="Status">
      <calculatedColumnFormula>IF(IFERROR(INDEX(tsk_Name,GanttView[[#This Row],[_Row]])="",TRUE()),"",INDEX(tsk_Status,GanttView[[#This Row],[_Row]]))</calculatedColumnFormula>
    </tableColumn>
    <tableColumn id="12" name="_Row">
      <calculatedColumnFormula>ROW()-ROW(GanttView[[#Headers],[ID]])</calculatedColumnFormula>
    </tableColumn>
    <tableColumn id="13" name="_IsSummary">
      <calculatedColumnFormula>IF(IFERROR(INDEX(tsk_Name,GanttView[[#This Row],[_Row]])="",TRUE()),FALSE(),INDEX(tsk_IsSummary,GanttView[[#This Row],[_Row]]))</calculatedColumnFormula>
    </tableColumn>
    <tableColumn id="14" name="_IsMilestone">
      <calculatedColumnFormula>IF(IFERROR(INDEX(tsk_Name,GanttView[[#This Row],[_Row]])="",TRUE()),FALSE(),AND(INDEX(tsk_IsLeaf,GanttView[[#This Row],[_Row]])=1,N(INDEX(tsk_Duration,GanttView[[#This Row],[_Row]]))=0))</calculatedColumnFormula>
    </tableColumn>
    <tableColumn id="15" name="_DoneFrom">
      <calculatedColumnFormula>IF(IFERROR(INDEX(tsk_Name,GanttView[[#This Row],[_Row]])="",TRUE()),0,IF(AND(INDEX(tsk_IsLeaf,GanttView[[#This Row],[_Row]])=1,NOT(GanttView[[#This Row],[_IsMilestone]]),N(GanttView[[#This Row],[%]])&gt;0),GanttView[[#This Row],[Forecast Start]],0))</calculatedColumnFormula>
    </tableColumn>
    <tableColumn id="16" name="_DoneTo">
      <calculatedColumnFormula>IF(GanttView[[#This Row],[_DoneFrom]]=0,0,IF(GanttView[[#This Row],[%]]&gt;=1,GanttView[[#This Row],[Forecast Finish]],MAX(GanttView[[#This Row],[_DoneFrom]],GanttView[[#This Row],[Forecast Start]]+ROUND((GanttView[[#This Row],[Forecast Finish]]-GanttView[[#This Row],[Forecast Start]]+1)*GanttView[[#This Row],[%]],0)-1)))</calculatedColumnFormula>
    </tableColumn>
    <tableColumn id="17" name="_RemFrom">
      <calculatedColumnFormula>IF(IFERROR(INDEX(tsk_Name,GanttView[[#This Row],[_Row]])="",TRUE()),0,IF(OR(INDEX(tsk_IsLeaf,GanttView[[#This Row],[_Row]])&lt;&gt;1,GanttView[[#This Row],[_IsMilestone]],N(GanttView[[#This Row],[%]])&gt;=1),0,IF(GanttView[[#This Row],[_DoneTo]]&gt;0,GanttView[[#This Row],[_DoneTo]]+1,GanttView[[#This Row],[Forecast Start]])))</calculatedColumnFormula>
    </tableColumn>
    <tableColumn id="18" name="_RemTo">
      <calculatedColumnFormula>IF(GanttView[[#This Row],[_RemFrom]]=0,0,GanttView[[#This Row],[Forecast Finish]])</calculatedColumnFormula>
    </tableColumn>
    <tableColumn id="19" name="_Late">
      <calculatedColumnFormula>IF(IFERROR(INDEX(tsk_Name,GanttView[[#This Row],[_Row]])="",TRUE()),FALSE(),N(INDEX(tsk_Variance,GanttView[[#This Row],[_Row]]))&gt;0)</calculatedColumnFormula>
    </tableColumn>
    <tableColumn id="20" name="_Deadline">
      <calculatedColumnFormula>IF(IFERROR(INDEX(tsk_Name,GanttView[[#This Row],[_Row]])="",TRUE()),0,N(INDEX(tsk_Deadline,GanttView[[#This Row],[_Row]])))</calculatedColumnFormula>
    </tableColumn>
    <tableColumn id="21" name="_Critical">
      <calculatedColumnFormula>IF(IFERROR(INDEX(tsk_Name,GanttView[[#This Row],[_Row]])="",TRUE()),FALSE(),INDEX(tsk_Critical,GanttView[[#This Row],[_Row]])="Yes")</calculatedColumnFormula>
    </tableColumn>
  </tableColumns>
  <tableStyleInfo name="TableStyleLight1" showRowStripes="0"/>
</table>
</file>

<file path=xl/tables/table9.xml><?xml version="1.0" encoding="utf-8"?>
<table xmlns="http://schemas.openxmlformats.org/spreadsheetml/2006/main" id="9" name="HolidayTable" displayName="HolidayTable" ref="B4:C104" headerRowCount="1">
  <autoFilter ref="B4:C104"/>
  <tableColumns count="2">
    <tableColumn id="1" name="Date"/>
    <tableColumn id="2" name="Description"/>
  </tableColumns>
  <tableStyleInfo name="TableStyleLight1" showRowStripes="0"/>
</table>
</file>

<file path=xl/tables/table10.xml><?xml version="1.0" encoding="utf-8"?>
<table xmlns="http://schemas.openxmlformats.org/spreadsheetml/2006/main" id="10" name="KPIs" displayName="KPIs" ref="B4:C26" headerRowCount="1">
  <tableColumns count="2">
    <tableColumn id="1" name="Key indicator"/>
    <tableColumn id="2" name="Value"/>
  </tableColumns>
  <tableStyleInfo name="TableStyleLight1" showRowStripes="0"/>
</table>
</file>

<file path=xl/tables/table11.xml><?xml version="1.0" encoding="utf-8"?>
<table xmlns="http://schemas.openxmlformats.org/spreadsheetml/2006/main" id="11" name="LateTasks" displayName="LateTasks" ref="B36:J51" headerRowCount="1">
  <tableColumns count="9">
    <tableColumn id="1" name="_Task">
      <calculatedColumnFormula>IFERROR(MATCH(LARGE(tsk_LateKey,ROW()-ROW(LateTasks[[#Headers],[_Task]])),tsk_LateKey,0),"")</calculatedColumnFormula>
    </tableColumn>
    <tableColumn id="2" name="WBS">
      <calculatedColumnFormula>IF(LateTasks[[#This Row],[_Task]]="","",INDEX(tsk_WBS,LateTasks[[#This Row],[_Task]])&amp;"")</calculatedColumnFormula>
    </tableColumn>
    <tableColumn id="3" name="Task">
      <calculatedColumnFormula>IF(LateTasks[[#This Row],[_Task]]="","",INDEX(tsk_Name,LateTasks[[#This Row],[_Task]])&amp;"")</calculatedColumnFormula>
    </tableColumn>
    <tableColumn id="4" name="Resource">
      <calculatedColumnFormula>IF(LateTasks[[#This Row],[_Task]]="","",INDEX(tsk_Resource,LateTasks[[#This Row],[_Task]])&amp;"")</calculatedColumnFormula>
    </tableColumn>
    <tableColumn id="5" name="Planned Finish">
      <calculatedColumnFormula>IF(LateTasks[[#This Row],[_Task]]="","",IF(N(INDEX(tsk_PlanFinish,LateTasks[[#This Row],[_Task]]))=0,"",INDEX(tsk_PlanFinish,LateTasks[[#This Row],[_Task]])))</calculatedColumnFormula>
    </tableColumn>
    <tableColumn id="6" name="Forecast Finish">
      <calculatedColumnFormula>IF(LateTasks[[#This Row],[_Task]]="","",IF(N(INDEX(tsk_FcFinish,LateTasks[[#This Row],[_Task]]))=0,"",INDEX(tsk_FcFinish,LateTasks[[#This Row],[_Task]])))</calculatedColumnFormula>
    </tableColumn>
    <tableColumn id="7" name="Finish Var">
      <calculatedColumnFormula>IF(LateTasks[[#This Row],[_Task]]="","",INDEX(tsk_Variance,LateTasks[[#This Row],[_Task]]))</calculatedColumnFormula>
    </tableColumn>
    <tableColumn id="8" name="Status">
      <calculatedColumnFormula>IF(LateTasks[[#This Row],[_Task]]="","",INDEX(tsk_Status,LateTasks[[#This Row],[_Task]])&amp;"")</calculatedColumnFormula>
    </tableColumn>
    <tableColumn id="9" name="Critical">
      <calculatedColumnFormula>IF(LateTasks[[#This Row],[_Task]]="","",INDEX(tsk_Critical,LateTasks[[#This Row],[_Task]])&amp;"")</calculatedColumnFormula>
    </tableColumn>
  </tableColumns>
  <tableStyleInfo name="TableStyleLight1" showRowStripes="0"/>
</table>
</file>

<file path=xl/tables/table12.xml><?xml version="1.0" encoding="utf-8"?>
<table xmlns="http://schemas.openxmlformats.org/spreadsheetml/2006/main" id="12" name="ListChangeStatus" displayName="ListChangeStatus" ref="S1:S6" headerRowCount="1">
  <tableColumns count="1">
    <tableColumn id="1" name="Change Status"/>
  </tableColumns>
  <tableStyleInfo name="TableStyleLight1" showRowStripes="0"/>
</table>
</file>

<file path=xl/tables/table13.xml><?xml version="1.0" encoding="utf-8"?>
<table xmlns="http://schemas.openxmlformats.org/spreadsheetml/2006/main" id="13" name="ListDecisionStatus" displayName="ListDecisionStatus" ref="Q1:Q5" headerRowCount="1">
  <tableColumns count="1">
    <tableColumn id="1" name="Decision Status"/>
  </tableColumns>
  <tableStyleInfo name="TableStyleLight1" showRowStripes="0"/>
</table>
</file>

<file path=xl/tables/table14.xml><?xml version="1.0" encoding="utf-8"?>
<table xmlns="http://schemas.openxmlformats.org/spreadsheetml/2006/main" id="14" name="ListDepType" displayName="ListDepType" ref="A1:A5" headerRowCount="1">
  <tableColumns count="1">
    <tableColumn id="1" name="Link Type"/>
  </tableColumns>
  <tableStyleInfo name="TableStyleLight1" showRowStripes="0"/>
</table>
</file>

<file path=xl/tables/table15.xml><?xml version="1.0" encoding="utf-8"?>
<table xmlns="http://schemas.openxmlformats.org/spreadsheetml/2006/main" id="15" name="ListMode" displayName="ListMode" ref="C1:C3" headerRowCount="1">
  <tableColumns count="1">
    <tableColumn id="1" name="Task Mode"/>
  </tableColumns>
  <tableStyleInfo name="TableStyleLight1" showRowStripes="0"/>
</table>
</file>

<file path=xl/tables/table16.xml><?xml version="1.0" encoding="utf-8"?>
<table xmlns="http://schemas.openxmlformats.org/spreadsheetml/2006/main" id="16" name="ListPeriod" displayName="ListPeriod" ref="I1:I3" headerRowCount="1">
  <tableColumns count="1">
    <tableColumn id="1" name="Gantt Days per Column"/>
  </tableColumns>
  <tableStyleInfo name="TableStyleLight1" showRowStripes="0"/>
</table>
</file>

<file path=xl/tables/table17.xml><?xml version="1.0" encoding="utf-8"?>
<table xmlns="http://schemas.openxmlformats.org/spreadsheetml/2006/main" id="17" name="ListRAG" displayName="ListRAG" ref="K1:K4" headerRowCount="1">
  <tableColumns count="1">
    <tableColumn id="1" name="RAG"/>
  </tableColumns>
  <tableStyleInfo name="TableStyleLight1" showRowStripes="0"/>
</table>
</file>

<file path=xl/tables/table18.xml><?xml version="1.0" encoding="utf-8"?>
<table xmlns="http://schemas.openxmlformats.org/spreadsheetml/2006/main" id="18" name="ListRAIDStatus" displayName="ListRAIDStatus" ref="O1:O4" headerRowCount="1">
  <tableColumns count="1">
    <tableColumn id="1" name="RAID Status"/>
  </tableColumns>
  <tableStyleInfo name="TableStyleLight1" showRowStripes="0"/>
</table>
</file>

<file path=xl/tables/table19.xml><?xml version="1.0" encoding="utf-8"?>
<table xmlns="http://schemas.openxmlformats.org/spreadsheetml/2006/main" id="19" name="ListRAIDType" displayName="ListRAIDType" ref="M1:M5" headerRowCount="1">
  <tableColumns count="1">
    <tableColumn id="1" name="RAID Type"/>
  </tableColumns>
  <tableStyleInfo name="TableStyleLight1" showRowStripes="0"/>
</table>
</file>

<file path=xl/tables/table20.xml><?xml version="1.0" encoding="utf-8"?>
<table xmlns="http://schemas.openxmlformats.org/spreadsheetml/2006/main" id="20" name="ListResType" displayName="ListResType" ref="G1:G4" headerRowCount="1">
  <tableColumns count="1">
    <tableColumn id="1" name="Resource Type"/>
  </tableColumns>
  <tableStyleInfo name="TableStyleLight1" showRowStripes="0"/>
</table>
</file>

<file path=xl/tables/table21.xml><?xml version="1.0" encoding="utf-8"?>
<table xmlns="http://schemas.openxmlformats.org/spreadsheetml/2006/main" id="21" name="ListYesNo" displayName="ListYesNo" ref="E1:E3" headerRowCount="1">
  <tableColumns count="1">
    <tableColumn id="1" name="Yes / No"/>
  </tableColumns>
  <tableStyleInfo name="TableStyleLight1" showRowStripes="0"/>
</table>
</file>

<file path=xl/tables/table22.xml><?xml version="1.0" encoding="utf-8"?>
<table xmlns="http://schemas.openxmlformats.org/spreadsheetml/2006/main" id="22" name="MilestoneReport" displayName="MilestoneReport" ref="B18:J33" headerRowCount="1">
  <tableColumns count="9">
    <tableColumn id="1" name="_Task">
      <calculatedColumnFormula>IFERROR(MATCH(SMALL(tsk_MilestoneOrder,ROW()-ROW(MilestoneReport[[#Headers],[_Task]])),tsk_MilestoneOrder,0),"")</calculatedColumnFormula>
    </tableColumn>
    <tableColumn id="2" name="WBS">
      <calculatedColumnFormula>IF(MilestoneReport[[#This Row],[_Task]]="","",INDEX(tsk_WBS,MilestoneReport[[#This Row],[_Task]])&amp;"")</calculatedColumnFormula>
    </tableColumn>
    <tableColumn id="3" name="Milestone">
      <calculatedColumnFormula>IF(MilestoneReport[[#This Row],[_Task]]="","",INDEX(tsk_Name,MilestoneReport[[#This Row],[_Task]])&amp;"")</calculatedColumnFormula>
    </tableColumn>
    <tableColumn id="4" name="Planned">
      <calculatedColumnFormula>IF(MilestoneReport[[#This Row],[_Task]]="","",IF(N(INDEX(tsk_PlanFinish,MilestoneReport[[#This Row],[_Task]]))=0,"",INDEX(tsk_PlanFinish,MilestoneReport[[#This Row],[_Task]])))</calculatedColumnFormula>
    </tableColumn>
    <tableColumn id="5" name="Forecast">
      <calculatedColumnFormula>IF(MilestoneReport[[#This Row],[_Task]]="","",IF(N(INDEX(tsk_FcFinish,MilestoneReport[[#This Row],[_Task]]))=0,"",INDEX(tsk_FcFinish,MilestoneReport[[#This Row],[_Task]])))</calculatedColumnFormula>
    </tableColumn>
    <tableColumn id="6" name="Finish Var">
      <calculatedColumnFormula>IF(MilestoneReport[[#This Row],[_Task]]="","",INDEX(tsk_Variance,MilestoneReport[[#This Row],[_Task]]))</calculatedColumnFormula>
    </tableColumn>
    <tableColumn id="7" name="Deadline">
      <calculatedColumnFormula>IF(MilestoneReport[[#This Row],[_Task]]="","",IF(N(INDEX(tsk_Deadline,MilestoneReport[[#This Row],[_Task]]))=0,"",INDEX(tsk_Deadline,MilestoneReport[[#This Row],[_Task]])))</calculatedColumnFormula>
    </tableColumn>
    <tableColumn id="8" name="Deadline Check">
      <calculatedColumnFormula>IF(MilestoneReport[[#This Row],[_Task]]="","",INDEX(tsk_DeadlineCheck,MilestoneReport[[#This Row],[_Task]])&amp;"")</calculatedColumnFormula>
    </tableColumn>
    <tableColumn id="9" name="Status">
      <calculatedColumnFormula>IF(MilestoneReport[[#This Row],[_Task]]="","",INDEX(tsk_Status,MilestoneReport[[#This Row],[_Task]])&amp;"")</calculatedColumnFormula>
    </tableColumn>
  </tableColumns>
  <tableStyleInfo name="TableStyleLight1" showRowStripes="0"/>
</table>
</file>

<file path=xl/tables/table23.xml><?xml version="1.0" encoding="utf-8"?>
<table xmlns="http://schemas.openxmlformats.org/spreadsheetml/2006/main" id="23" name="MSPResources" displayName="MSPResources" ref="A1:G51" headerRowCount="1">
  <autoFilter ref="A1:G51"/>
  <tableColumns count="7">
    <tableColumn id="1" name="Name">
      <calculatedColumnFormula>IF(IFERROR(INDEX(res_Name,(ROW()-ROW(MSPResources[[#Headers],[Name]])))="",TRUE()),"",INDEX(res_Name,(ROW()-ROW(MSPResources[[#Headers],[Name]])))&amp;"")</calculatedColumnFormula>
    </tableColumn>
    <tableColumn id="2" name="Initials">
      <calculatedColumnFormula>IF(IFERROR(INDEX(res_Name,(ROW()-ROW(MSPResources[[#Headers],[Name]])))="",TRUE()),"",INDEX(res_Initials,(ROW()-ROW(MSPResources[[#Headers],[Name]])))&amp;"")</calculatedColumnFormula>
    </tableColumn>
    <tableColumn id="3" name="Group">
      <calculatedColumnFormula>IF(IFERROR(INDEX(res_Name,(ROW()-ROW(MSPResources[[#Headers],[Name]])))="",TRUE()),"",INDEX(res_Group,(ROW()-ROW(MSPResources[[#Headers],[Name]])))&amp;"")</calculatedColumnFormula>
    </tableColumn>
    <tableColumn id="4" name="Type">
      <calculatedColumnFormula>IF(IFERROR(INDEX(res_Name,(ROW()-ROW(MSPResources[[#Headers],[Name]])))="",TRUE()),"",INDEX(res_Type,(ROW()-ROW(MSPResources[[#Headers],[Name]])))&amp;"")</calculatedColumnFormula>
    </tableColumn>
    <tableColumn id="5" name="Max Units">
      <calculatedColumnFormula>IF(IFERROR(INDEX(res_Name,(ROW()-ROW(MSPResources[[#Headers],[Name]])))="",TRUE()),"",ROUND(INDEX(res_MaxUnits,(ROW()-ROW(MSPResources[[#Headers],[Name]])))*100,0)&amp;"%")</calculatedColumnFormula>
    </tableColumn>
    <tableColumn id="6" name="Standard Rate">
      <calculatedColumnFormula>IF(IFERROR(INDEX(res_Name,(ROW()-ROW(MSPResources[[#Headers],[Name]])))="",TRUE()),"",INDEX(res_Rate,(ROW()-ROW(MSPResources[[#Headers],[Name]])))&amp;"/h")</calculatedColumnFormula>
    </tableColumn>
    <tableColumn id="7" name="Email Address">
      <calculatedColumnFormula>IF(IFERROR(INDEX(res_Name,(ROW()-ROW(MSPResources[[#Headers],[Name]])))="",TRUE()),"",INDEX(res_Email,(ROW()-ROW(MSPResources[[#Headers],[Name]])))&amp;"")</calculatedColumnFormula>
    </tableColumn>
  </tableColumns>
  <tableStyleInfo name="TableStyleLight1" showRowStripes="0"/>
</table>
</file>

<file path=xl/tables/table24.xml><?xml version="1.0" encoding="utf-8"?>
<table xmlns="http://schemas.openxmlformats.org/spreadsheetml/2006/main" id="24" name="MSPTasks" displayName="MSPTasks" ref="A1:Z201" headerRowCount="1">
  <autoFilter ref="A1:Z201"/>
  <tableColumns count="26">
    <tableColumn id="1" name="ID">
      <calculatedColumnFormula>IF(IFERROR(INDEX(tsk_Name,(ROW()-ROW(MSPTasks[[#Headers],[ID]])))="",TRUE()),"",INDEX(tsk_ID,(ROW()-ROW(MSPTasks[[#Headers],[ID]]))))</calculatedColumnFormula>
    </tableColumn>
    <tableColumn id="2" name="Unique ID">
      <calculatedColumnFormula>IF(IFERROR(INDEX(tsk_Name,(ROW()-ROW(MSPTasks[[#Headers],[ID]])))="",TRUE()),"",INDEX(tsk_UID,(ROW()-ROW(MSPTasks[[#Headers],[ID]]))))</calculatedColumnFormula>
    </tableColumn>
    <tableColumn id="3" name="Name">
      <calculatedColumnFormula>IF(IFERROR(INDEX(tsk_Name,(ROW()-ROW(MSPTasks[[#Headers],[ID]])))="",TRUE()),"",INDEX(tsk_Name,(ROW()-ROW(MSPTasks[[#Headers],[ID]]))))</calculatedColumnFormula>
    </tableColumn>
    <tableColumn id="4" name="Outline Level">
      <calculatedColumnFormula>IF(IFERROR(INDEX(tsk_Name,(ROW()-ROW(MSPTasks[[#Headers],[ID]])))="",TRUE()),"",INDEX(tsk_Level,(ROW()-ROW(MSPTasks[[#Headers],[ID]]))))</calculatedColumnFormula>
    </tableColumn>
    <tableColumn id="5" name="Task Mode">
      <calculatedColumnFormula>IF(IFERROR(INDEX(tsk_Name,(ROW()-ROW(MSPTasks[[#Headers],[ID]])))="",TRUE()),"",IF(INDEX(tsk_Mode,(ROW()-ROW(MSPTasks[[#Headers],[ID]])))="Manual","Manually Scheduled","Auto Scheduled"))</calculatedColumnFormula>
    </tableColumn>
    <tableColumn id="6" name="Duration">
      <calculatedColumnFormula>IF(IFERROR(INDEX(tsk_Name,(ROW()-ROW(MSPTasks[[#Headers],[ID]])))="",TRUE()),"",IF(INDEX(tsk_IsSummary,(ROW()-ROW(MSPTasks[[#Headers],[ID]]))),"",N(INDEX(tsk_Duration,(ROW()-ROW(MSPTasks[[#Headers],[ID]]))))&amp;"d"))</calculatedColumnFormula>
    </tableColumn>
    <tableColumn id="7" name="Start">
      <calculatedColumnFormula>IF(IFERROR(INDEX(tsk_Name,(ROW()-ROW(MSPTasks[[#Headers],[ID]])))="",TRUE()),"",INDEX(tsk_FcStart,(ROW()-ROW(MSPTasks[[#Headers],[ID]]))))</calculatedColumnFormula>
    </tableColumn>
    <tableColumn id="8" name="Finish">
      <calculatedColumnFormula>IF(IFERROR(INDEX(tsk_Name,(ROW()-ROW(MSPTasks[[#Headers],[ID]])))="",TRUE()),"",INDEX(tsk_FcFinish,(ROW()-ROW(MSPTasks[[#Headers],[ID]]))))</calculatedColumnFormula>
    </tableColumn>
    <tableColumn id="9" name="Predecessors">
      <calculatedColumnFormula>IF(IFERROR(INDEX(tsk_Name,(ROW()-ROW(MSPTasks[[#Headers],[ID]])))="",TRUE()),"",IF(INDEX(tsk_IsSummary,(ROW()-ROW(MSPTasks[[#Headers],[ID]]))),"",INDEX(tsk_Predecessors,(ROW()-ROW(MSPTasks[[#Headers],[ID]])))))</calculatedColumnFormula>
    </tableColumn>
    <tableColumn id="10" name="Unique ID Predecessors">
      <calculatedColumnFormula>IF(IFERROR(INDEX(tsk_Name,(ROW()-ROW(MSPTasks[[#Headers],[ID]])))="",TRUE()),"",IF(INDEX(tsk_IsSummary,(ROW()-ROW(MSPTasks[[#Headers],[ID]]))),"",INDEX(tsk_UIDPredecessors,(ROW()-ROW(MSPTasks[[#Headers],[ID]])))))</calculatedColumnFormula>
    </tableColumn>
    <tableColumn id="11" name="Resource Names">
      <calculatedColumnFormula>IF(IFERROR(INDEX(tsk_Name,(ROW()-ROW(MSPTasks[[#Headers],[ID]])))="",TRUE()),"",IF(INDEX(tsk_Resource,(ROW()-ROW(MSPTasks[[#Headers],[ID]])))="","",INDEX(tsk_Resource,(ROW()-ROW(MSPTasks[[#Headers],[ID]])))&amp;IF(OR(INDEX(tsk_Units,(ROW()-ROW(MSPTasks[[#Headers],[ID]])))="",INDEX(tsk_Units,(ROW()-ROW(MSPTasks[[#Headers],[ID]])))=1),"","["&amp;ROUND(INDEX(tsk_Units,(ROW()-ROW(MSPTasks[[#Headers],[ID]])))*100,0)&amp;"%]")))</calculatedColumnFormula>
    </tableColumn>
    <tableColumn id="12" name="% Complete">
      <calculatedColumnFormula>IF(IFERROR(INDEX(tsk_Name,(ROW()-ROW(MSPTasks[[#Headers],[ID]])))="",TRUE()),"",IF(INDEX(tsk_IsSummary,(ROW()-ROW(MSPTasks[[#Headers],[ID]]))),"",ROUND(INDEX(tsk_Progress,(ROW()-ROW(MSPTasks[[#Headers],[ID]])))*100,0)))</calculatedColumnFormula>
    </tableColumn>
    <tableColumn id="13" name="Actual Start">
      <calculatedColumnFormula>IF(IFERROR(INDEX(tsk_Name,(ROW()-ROW(MSPTasks[[#Headers],[ID]])))="",TRUE()),"",IF(N(INDEX(tsk_ActStart,(ROW()-ROW(MSPTasks[[#Headers],[ID]]))))=0,"",INDEX(tsk_ActStart,(ROW()-ROW(MSPTasks[[#Headers],[ID]])))))</calculatedColumnFormula>
    </tableColumn>
    <tableColumn id="14" name="Actual Finish">
      <calculatedColumnFormula>IF(IFERROR(INDEX(tsk_Name,(ROW()-ROW(MSPTasks[[#Headers],[ID]])))="",TRUE()),"",IF(N(INDEX(tsk_ActFinish,(ROW()-ROW(MSPTasks[[#Headers],[ID]]))))=0,"",INDEX(tsk_ActFinish,(ROW()-ROW(MSPTasks[[#Headers],[ID]])))))</calculatedColumnFormula>
    </tableColumn>
    <tableColumn id="15" name="Baseline Start">
      <calculatedColumnFormula>IF(IFERROR(INDEX(tsk_Name,(ROW()-ROW(MSPTasks[[#Headers],[ID]])))="",TRUE()),"",INDEX(tsk_PlanStart,(ROW()-ROW(MSPTasks[[#Headers],[ID]]))))</calculatedColumnFormula>
    </tableColumn>
    <tableColumn id="16" name="Baseline Finish">
      <calculatedColumnFormula>IF(IFERROR(INDEX(tsk_Name,(ROW()-ROW(MSPTasks[[#Headers],[ID]])))="",TRUE()),"",INDEX(tsk_PlanFinish,(ROW()-ROW(MSPTasks[[#Headers],[ID]]))))</calculatedColumnFormula>
    </tableColumn>
    <tableColumn id="17" name="Baseline Duration">
      <calculatedColumnFormula>IF(IFERROR(INDEX(tsk_Name,(ROW()-ROW(MSPTasks[[#Headers],[ID]])))="",TRUE()),"",IF(INDEX(tsk_BaseDuration,(ROW()-ROW(MSPTasks[[#Headers],[ID]])))="","",N(INDEX(tsk_BaseDuration,(ROW()-ROW(MSPTasks[[#Headers],[ID]]))))&amp;"d"))</calculatedColumnFormula>
    </tableColumn>
    <tableColumn id="18" name="Baseline Work">
      <calculatedColumnFormula>IF(IFERROR(INDEX(tsk_Name,(ROW()-ROW(MSPTasks[[#Headers],[ID]])))="",TRUE()),"",IF(INDEX(tsk_BaseWork,(ROW()-ROW(MSPTasks[[#Headers],[ID]])))="","",N(INDEX(tsk_BaseWork,(ROW()-ROW(MSPTasks[[#Headers],[ID]]))))&amp;"h"))</calculatedColumnFormula>
    </tableColumn>
    <tableColumn id="19" name="Baseline Cost">
      <calculatedColumnFormula>IF(IFERROR(INDEX(tsk_Name,(ROW()-ROW(MSPTasks[[#Headers],[ID]])))="",TRUE()),"",IF(INDEX(tsk_BaseCost,(ROW()-ROW(MSPTasks[[#Headers],[ID]])))="","",N(INDEX(tsk_BaseCost,(ROW()-ROW(MSPTasks[[#Headers],[ID]]))))))</calculatedColumnFormula>
    </tableColumn>
    <tableColumn id="20" name="Actual Cost">
      <calculatedColumnFormula>IF(IFERROR(INDEX(tsk_Name,(ROW()-ROW(MSPTasks[[#Headers],[ID]])))="",TRUE()),"",IF(INDEX(tsk_IsSummary,(ROW()-ROW(MSPTasks[[#Headers],[ID]]))),"",IF(N(INDEX(tsk_ActCostInput,(ROW()-ROW(MSPTasks[[#Headers],[ID]]))))=0,"",INDEX(tsk_ActCostInput,(ROW()-ROW(MSPTasks[[#Headers],[ID]]))))))</calculatedColumnFormula>
    </tableColumn>
    <tableColumn id="21" name="Constraint Type">
      <calculatedColumnFormula>IF(IFERROR(INDEX(tsk_Name,(ROW()-ROW(MSPTasks[[#Headers],[ID]])))="",TRUE()),"",IF(INDEX(tsk_IsSummary,(ROW()-ROW(MSPTasks[[#Headers],[ID]]))),"",IF(AND(INDEX(tsk_Mode,(ROW()-ROW(MSPTasks[[#Headers],[ID]])))&lt;&gt;"Manual",N(INDEX(tsk_Constraint,(ROW()-ROW(MSPTasks[[#Headers],[ID]]))))&gt;0),"Start No Earlier Than","As Soon As Possible")))</calculatedColumnFormula>
    </tableColumn>
    <tableColumn id="22" name="Constraint Date">
      <calculatedColumnFormula>IF(IFERROR(INDEX(tsk_Name,(ROW()-ROW(MSPTasks[[#Headers],[ID]])))="",TRUE()),"",IF(OR(INDEX(tsk_IsSummary,(ROW()-ROW(MSPTasks[[#Headers],[ID]]))),INDEX(tsk_Mode,(ROW()-ROW(MSPTasks[[#Headers],[ID]])))="Manual"),"",IF(N(INDEX(tsk_Constraint,(ROW()-ROW(MSPTasks[[#Headers],[ID]]))))=0,"",INDEX(tsk_Constraint,(ROW()-ROW(MSPTasks[[#Headers],[ID]]))))))</calculatedColumnFormula>
    </tableColumn>
    <tableColumn id="23" name="Deadline">
      <calculatedColumnFormula>IF(IFERROR(INDEX(tsk_Name,(ROW()-ROW(MSPTasks[[#Headers],[ID]])))="",TRUE()),"",IF(N(INDEX(tsk_Deadline,(ROW()-ROW(MSPTasks[[#Headers],[ID]]))))=0,"",INDEX(tsk_Deadline,(ROW()-ROW(MSPTasks[[#Headers],[ID]])))))</calculatedColumnFormula>
    </tableColumn>
    <tableColumn id="24" name="Text1">
      <calculatedColumnFormula>IF(IFERROR(INDEX(tsk_Name,(ROW()-ROW(MSPTasks[[#Headers],[ID]])))="",TRUE()),"",IF(INDEX(tsk_IsSummary,(ROW()-ROW(MSPTasks[[#Headers],[ID]]))),"",INDEX(tsk_Sprint,(ROW()-ROW(MSPTasks[[#Headers],[ID]])))&amp;""))</calculatedColumnFormula>
    </tableColumn>
    <tableColumn id="25" name="Number1">
      <calculatedColumnFormula>IF(IFERROR(INDEX(tsk_Name,(ROW()-ROW(MSPTasks[[#Headers],[ID]])))="",TRUE()),"",IF(INDEX(tsk_IsSummary,(ROW()-ROW(MSPTasks[[#Headers],[ID]]))),"",IF(N(INDEX(tsk_StoryPoints,(ROW()-ROW(MSPTasks[[#Headers],[ID]]))))=0,"",INDEX(tsk_StoryPoints,(ROW()-ROW(MSPTasks[[#Headers],[ID]]))))))</calculatedColumnFormula>
    </tableColumn>
    <tableColumn id="26" name="Notes">
      <calculatedColumnFormula>IF(IFERROR(INDEX(tsk_Name,(ROW()-ROW(MSPTasks[[#Headers],[ID]])))="",TRUE()),"",INDEX(tsk_Notes,(ROW()-ROW(MSPTasks[[#Headers],[ID]])))&amp;"")</calculatedColumnFormula>
    </tableColumn>
  </tableColumns>
  <tableStyleInfo name="TableStyleLight1" showRowStripes="0"/>
</table>
</file>

<file path=xl/tables/table25.xml><?xml version="1.0" encoding="utf-8"?>
<table xmlns="http://schemas.openxmlformats.org/spreadsheetml/2006/main" id="25" name="NextMilestones" displayName="NextMilestones" ref="B29:C34" headerRowCount="1">
  <tableColumns count="2">
    <tableColumn id="1" name="Next milestones (forecast)">
      <calculatedColumnFormula>IFERROR(INDEX(tsk_Name,MATCH(SMALL(tsk_MilestoneKey,(ROW()-ROW(NextMilestones[[#Headers],[Next milestones (forecast)]]))),tsk_MilestoneKey,0)),"")</calculatedColumnFormula>
    </tableColumn>
    <tableColumn id="2" name="Forecast date">
      <calculatedColumnFormula>IFERROR(INDEX(tsk_FcFinish,MATCH(SMALL(tsk_MilestoneKey,(ROW()-ROW(NextMilestones[[#Headers],[Next milestones (forecast)]]))),tsk_MilestoneKey,0)),"")</calculatedColumnFormula>
    </tableColumn>
  </tableColumns>
  <tableStyleInfo name="TableStyleLight1" showRowStripes="0"/>
</table>
</file>

<file path=xl/tables/table26.xml><?xml version="1.0" encoding="utf-8"?>
<table xmlns="http://schemas.openxmlformats.org/spreadsheetml/2006/main" id="26" name="OverallStatus" displayName="OverallStatus" ref="B4:H5" headerRowCount="1">
  <tableColumns count="7">
    <tableColumn id="1" name="Area"/>
    <tableColumn id="2" name="Measure"/>
    <tableColumn id="3" name="Value"/>
    <tableColumn id="4" name="Calculated"/>
    <tableColumn id="5" name="PM RAG"/>
    <tableColumn id="6" name="RAG">
      <calculatedColumnFormula>IF(OverallStatus[[#This Row],[PM RAG]]&lt;&gt;"",OverallStatus[[#This Row],[PM RAG]],OverallStatus[[#This Row],[Calculated]])</calculatedColumnFormula>
    </tableColumn>
    <tableColumn id="7" name="Comment"/>
  </tableColumns>
  <tableStyleInfo name="TableStyleLight1" showRowStripes="0"/>
</table>
</file>

<file path=xl/tables/table27.xml><?xml version="1.0" encoding="utf-8"?>
<table xmlns="http://schemas.openxmlformats.org/spreadsheetml/2006/main" id="27" name="PhaseSummary" displayName="PhaseSummary" ref="B5:P15" headerRowCount="1">
  <tableColumns count="15">
    <tableColumn id="1" name="_Task">
      <calculatedColumnFormula>IFERROR(MATCH(SMALL(tsk_PhaseKey,ROW()-ROW(PhaseSummary[[#Headers],[_Task]])),tsk_PhaseKey,0),"")</calculatedColumnFormula>
    </tableColumn>
    <tableColumn id="2" name="WBS">
      <calculatedColumnFormula>IF(PhaseSummary[[#This Row],[_Task]]="","",INDEX(tsk_WBS,PhaseSummary[[#This Row],[_Task]])&amp;"")</calculatedColumnFormula>
    </tableColumn>
    <tableColumn id="3" name="Phase">
      <calculatedColumnFormula>IF(PhaseSummary[[#This Row],[_Task]]="","",INDEX(tsk_Name,PhaseSummary[[#This Row],[_Task]])&amp;"")</calculatedColumnFormula>
    </tableColumn>
    <tableColumn id="4" name="Planned Finish">
      <calculatedColumnFormula>IF(PhaseSummary[[#This Row],[_Task]]="","",IF(N(INDEX(tsk_PlanFinish,PhaseSummary[[#This Row],[_Task]]))=0,"",INDEX(tsk_PlanFinish,PhaseSummary[[#This Row],[_Task]])))</calculatedColumnFormula>
    </tableColumn>
    <tableColumn id="5" name="Forecast Finish">
      <calculatedColumnFormula>IF(PhaseSummary[[#This Row],[_Task]]="","",IF(N(INDEX(tsk_FcFinish,PhaseSummary[[#This Row],[_Task]]))=0,"",INDEX(tsk_FcFinish,PhaseSummary[[#This Row],[_Task]])))</calculatedColumnFormula>
    </tableColumn>
    <tableColumn id="6" name="Finish Var">
      <calculatedColumnFormula>IF(PhaseSummary[[#This Row],[_Task]]="","",INDEX(tsk_Variance,PhaseSummary[[#This Row],[_Task]]))</calculatedColumnFormula>
    </tableColumn>
    <tableColumn id="7" name="Progress">
      <calculatedColumnFormula>IF(PhaseSummary[[#This Row],[_Task]]="","",INDEX(tsk_Progress,PhaseSummary[[#This Row],[_Task]]))</calculatedColumnFormula>
    </tableColumn>
    <tableColumn id="8" name="Budget">
      <calculatedColumnFormula>IF(PhaseSummary[[#This Row],[_Task]]="","",INDEX(tsk_Budget,PhaseSummary[[#This Row],[_Task]]))</calculatedColumnFormula>
    </tableColumn>
    <tableColumn id="9" name="PV">
      <calculatedColumnFormula>IF(PhaseSummary[[#This Row],[_Task]]="","",INDEX(tsk_PV,PhaseSummary[[#This Row],[_Task]]))</calculatedColumnFormula>
    </tableColumn>
    <tableColumn id="10" name="EV">
      <calculatedColumnFormula>IF(PhaseSummary[[#This Row],[_Task]]="","",INDEX(tsk_EV,PhaseSummary[[#This Row],[_Task]]))</calculatedColumnFormula>
    </tableColumn>
    <tableColumn id="11" name="AC">
      <calculatedColumnFormula>IF(PhaseSummary[[#This Row],[_Task]]="","",INDEX(tsk_AC,PhaseSummary[[#This Row],[_Task]]))</calculatedColumnFormula>
    </tableColumn>
    <tableColumn id="12" name="SPI">
      <calculatedColumnFormula>IF(PhaseSummary[[#This Row],[_Task]]="","",IF(N(PhaseSummary[[#This Row],[PV]])&gt;0,PhaseSummary[[#This Row],[EV]]/PhaseSummary[[#This Row],[PV]],""))</calculatedColumnFormula>
    </tableColumn>
    <tableColumn id="13" name="CPI">
      <calculatedColumnFormula>IF(PhaseSummary[[#This Row],[_Task]]="","",IF(N(PhaseSummary[[#This Row],[AC]])&gt;0,PhaseSummary[[#This Row],[EV]]/PhaseSummary[[#This Row],[AC]],""))</calculatedColumnFormula>
    </tableColumn>
    <tableColumn id="14" name="Open Critical">
      <calculatedColumnFormula>IF(PhaseSummary[[#This Row],[_Task]]="","",COUNTIFS(tsk_Phase,PhaseSummary[[#This Row],[WBS]],tsk_Critical,"Yes",tsk_IsLeaf,1))</calculatedColumnFormula>
    </tableColumn>
    <tableColumn id="15" name="RAG">
      <calculatedColumnFormula>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calculatedColumnFormula>
    </tableColumn>
  </tableColumns>
  <tableStyleInfo name="TableStyleLight1" showRowStripes="0"/>
</table>
</file>

<file path=xl/tables/table28.xml><?xml version="1.0" encoding="utf-8"?>
<table xmlns="http://schemas.openxmlformats.org/spreadsheetml/2006/main" id="28" name="RAIDLog" displayName="RAIDLog" ref="B4:T104" headerRowCount="1">
  <autoFilter ref="B4:T104"/>
  <tableColumns count="19">
    <tableColumn id="1" name="Ref"/>
    <tableColumn id="2" name="Type"/>
    <tableColumn id="3" name="Title"/>
    <tableColumn id="4" name="Owner"/>
    <tableColumn id="5" name="Raised"/>
    <tableColumn id="6" name="Due"/>
    <tableColumn id="7" name="Status"/>
    <tableColumn id="8" name="Probability"/>
    <tableColumn id="9" name="Impact"/>
    <tableColumn id="10" name="Score">
      <calculatedColumnFormula>IF(RAIDLog[[#This Row],[Title]]="","",IF(RAIDLog[[#This Row],[Type]]="Issue",5,N(RAIDLog[[#This Row],[Probability]]))*N(RAIDLog[[#This Row],[Impact]]))</calculatedColumnFormula>
    </tableColumn>
    <tableColumn id="11" name="Rating">
      <calculatedColumnFormula>IF(RAIDLog[[#This Row],[Title]]="","",IF(RAIDLog[[#This Row],[Score]]&gt;=RAIDHighScore,"High",IF(RAIDLog[[#This Row],[Score]]&gt;=RAIDMediumScore,"Medium","Low")))</calculatedColumnFormula>
    </tableColumn>
    <tableColumn id="12" name="Overdue">
      <calculatedColumnFormula>IF(OR(RAIDLog[[#This Row],[Title]]="",N(RAIDLog[[#This Row],[Due]])=0),"",IF(AND(RAIDLog[[#This Row],[Status]]&lt;&gt;"Closed",RAIDLog[[#This Row],[Due]]&lt;StatusDate),"Overdue",""))</calculatedColumnFormula>
    </tableColumn>
    <tableColumn id="13" name="Task UID"/>
    <tableColumn id="14" name="Task">
      <calculatedColumnFormula>IF(N(RAIDLog[[#This Row],[Task UID]])=0,"",IFERROR(INDEX(tsk_Name,MATCH(RAIDLog[[#This Row],[Task UID]],tsk_UID,0)),"UID "&amp;RAIDLog[[#This Row],[Task UID]]&amp;" not found"))</calculatedColumnFormula>
    </tableColumn>
    <tableColumn id="15" name="Task Finish">
      <calculatedColumnFormula>IF(N(RAIDLog[[#This Row],[Task UID]])=0,"",IFERROR(INDEX(tsk_FcFinish,MATCH(RAIDLog[[#This Row],[Task UID]],tsk_UID,0)),""))</calculatedColumnFormula>
    </tableColumn>
    <tableColumn id="16" name="Response"/>
    <tableColumn id="17" name="Update"/>
    <tableColumn id="18" name="_Label">
      <calculatedColumnFormula>IF(RAIDLog[[#This Row],[Title]]="","",RAIDLog[[#This Row],[Type]]&amp;" "&amp;RAIDLog[[#This Row],[Ref]]&amp;": "&amp;RAIDLog[[#This Row],[Title]])</calculatedColumnFormula>
    </tableColumn>
    <tableColumn id="19" name="_TopKey">
      <calculatedColumnFormula>IF(AND(NOT(RAIDLog[[#This Row],[Title]]=""),RAIDLog[[#This Row],[Status]]&lt;&gt;"Closed"),RAIDLog[[#This Row],[Score]]+1-(ROW()-ROW(RAIDLog[[#Headers],[Ref]]))/100000,"")</calculatedColumnFormula>
    </tableColumn>
  </tableColumns>
  <tableStyleInfo name="TableStyleLight1" showRowStripes="0"/>
</table>
</file>

<file path=xl/tables/table29.xml><?xml version="1.0" encoding="utf-8"?>
<table xmlns="http://schemas.openxmlformats.org/spreadsheetml/2006/main" id="29" name="ResourceSummary" displayName="ResourceSummary" ref="B5:N30" headerRowCount="1">
  <tableColumns count="13">
    <tableColumn id="1" name="Resource">
      <calculatedColumnFormula>IFERROR(INDEX(res_Name,ROW()-ROW(ResourceSummary[[#Headers],[Resource]]))&amp;"","")</calculatedColumnFormula>
    </tableColumn>
    <tableColumn id="2" name="Max Units">
      <calculatedColumnFormula>IF(ResourceSummary[[#This Row],[Resource]]="","",INDEX(ResourceTable[Max Units],ROW()-ROW(ResourceSummary[[#Headers],[Resource]])))</calculatedColumnFormula>
    </tableColumn>
    <tableColumn id="3" name="Tasks">
      <calculatedColumnFormula>IF(ResourceSummary[[#This Row],[Resource]]="","",INDEX(ResourceTable[Tasks],ROW()-ROW(ResourceSummary[[#Headers],[Resource]])))</calculatedColumnFormula>
    </tableColumn>
    <tableColumn id="4" name="Work">
      <calculatedColumnFormula>IF(ResourceSummary[[#This Row],[Resource]]="","",INDEX(ResourceTable[Work],ROW()-ROW(ResourceSummary[[#Headers],[Resource]])))</calculatedColumnFormula>
    </tableColumn>
    <tableColumn id="5" name="Work Done">
      <calculatedColumnFormula>IF(ResourceSummary[[#This Row],[Resource]]="","",SUMIFS(tsk_LeafWorkDone,tsk_Resource,ResourceSummary[[#This Row],[Resource]]))</calculatedColumnFormula>
    </tableColumn>
    <tableColumn id="6" name="Remaining">
      <calculatedColumnFormula>IF(ResourceSummary[[#This Row],[Resource]]="","",ResourceSummary[[#This Row],[Work]]-ResourceSummary[[#This Row],[Work Done]])</calculatedColumnFormula>
    </tableColumn>
    <tableColumn id="7" name="Cost">
      <calculatedColumnFormula>IF(ResourceSummary[[#This Row],[Resource]]="","",INDEX(ResourceTable[Cost],ROW()-ROW(ResourceSummary[[#Headers],[Resource]])))</calculatedColumnFormula>
    </tableColumn>
    <tableColumn id="8" name="Actual Cost">
      <calculatedColumnFormula>IF(ResourceSummary[[#This Row],[Resource]]="","",INDEX(ResourceTable[Actual Cost],ROW()-ROW(ResourceSummary[[#Headers],[Resource]])))</calculatedColumnFormula>
    </tableColumn>
    <tableColumn id="9" name="Late Tasks">
      <calculatedColumnFormula>IF(ResourceSummary[[#This Row],[Resource]]="","",COUNTIFS(tsk_Resource,ResourceSummary[[#This Row],[Resource]],tsk_LateKey,"&gt;0"))</calculatedColumnFormula>
    </tableColumn>
    <tableColumn id="10" name="Open Critical">
      <calculatedColumnFormula>IF(ResourceSummary[[#This Row],[Resource]]="","",COUNTIFS(tsk_Resource,ResourceSummary[[#This Row],[Resource]],tsk_Critical,"Yes",tsk_IsLeaf,1))</calculatedColumnFormula>
    </tableColumn>
    <tableColumn id="11" name="Peak Week (h)">
      <calculatedColumnFormula>IF(ResourceSummary[[#This Row],[Resource]]="","",MAX(INDEX(rw_Load,ROW()-ROW(ResourceSummary[[#Headers],[Resource]]),0)))</calculatedColumnFormula>
    </tableColumn>
    <tableColumn id="12" name="Peak Use">
      <calculatedColumnFormula>IF(ResourceSummary[[#This Row],[Resource]]="","",MAX(INDEX(rw_Util,ROW()-ROW(ResourceSummary[[#Headers],[Resource]]),0)))</calculatedColumnFormula>
    </tableColumn>
    <tableColumn id="13" name="Weeks Over">
      <calculatedColumnFormula>IF(ResourceSummary[[#This Row],[Resource]]="","",COUNTIF(INDEX(rw_Util,ROW()-ROW(ResourceSummary[[#Headers],[Resource]]),0),"&gt;1"))</calculatedColumnFormula>
    </tableColumn>
  </tableColumns>
  <tableStyleInfo name="TableStyleLight1" showRowStripes="0"/>
</table>
</file>

<file path=xl/tables/table30.xml><?xml version="1.0" encoding="utf-8"?>
<table xmlns="http://schemas.openxmlformats.org/spreadsheetml/2006/main" id="30" name="ResourceTable" displayName="ResourceTable" ref="B5:M55" headerRowCount="1">
  <autoFilter ref="B5:M55"/>
  <tableColumns count="12">
    <tableColumn id="1" name="Resource Name"/>
    <tableColumn id="2" name="Initials"/>
    <tableColumn id="3" name="Group"/>
    <tableColumn id="4" name="Type"/>
    <tableColumn id="5" name="Max Units"/>
    <tableColumn id="6" name="Std Rate"/>
    <tableColumn id="7" name="Email"/>
    <tableColumn id="8" name="Tasks">
      <calculatedColumnFormula>IF(ResourceTable[[#This Row],[Resource Name]]="","",COUNTIFS(tsk_Resource,ResourceTable[[#This Row],[Resource Name]],tsk_IsLeaf,1))</calculatedColumnFormula>
    </tableColumn>
    <tableColumn id="9" name="Work">
      <calculatedColumnFormula>IF(ResourceTable[[#This Row],[Resource Name]]="","",SUMIFS(tsk_Work,tsk_Resource,ResourceTable[[#This Row],[Resource Name]],tsk_IsLeaf,1))</calculatedColumnFormula>
    </tableColumn>
    <tableColumn id="10" name="Cost">
      <calculatedColumnFormula>IF(ResourceTable[[#This Row],[Resource Name]]="","",SUMIFS(tsk_Cost,tsk_Resource,ResourceTable[[#This Row],[Resource Name]],tsk_IsLeaf,1))</calculatedColumnFormula>
    </tableColumn>
    <tableColumn id="11" name="Actual Cost">
      <calculatedColumnFormula>IF(ResourceTable[[#This Row],[Resource Name]]="","",SUMIFS(tsk_LeafAC,tsk_Resource,ResourceTable[[#This Row],[Resource Name]]))</calculatedColumnFormula>
    </tableColumn>
    <tableColumn id="12" name="Notes"/>
  </tableColumns>
  <tableStyleInfo name="TableStyleLight1" showRowStripes="0"/>
</table>
</file>

<file path=xl/tables/table31.xml><?xml version="1.0" encoding="utf-8"?>
<table xmlns="http://schemas.openxmlformats.org/spreadsheetml/2006/main" id="31" name="SnapshotNow" displayName="SnapshotNow" ref="B4:T5" headerRowCount="1">
  <tableColumns count="19">
    <tableColumn id="1" name="Status Date">
      <calculatedColumnFormula>StatusDate</calculatedColumnFormula>
    </tableColumn>
    <tableColumn id="2" name="Forecast Finish">
      <calculatedColumnFormula>ProjectFinish</calculatedColumnFormula>
    </tableColumn>
    <tableColumn id="3" name="Planned Finish">
      <calculatedColumnFormula>PlannedFinish</calculatedColumnFormula>
    </tableColumn>
    <tableColumn id="4" name="Finish Var">
      <calculatedColumnFormula>FinishVarianceDays</calculatedColumnFormula>
    </tableColumn>
    <tableColumn id="5" name="% Earned">
      <calculatedColumnFormula>evm_PctEarned</calculatedColumnFormula>
    </tableColumn>
    <tableColumn id="6" name="% Planned">
      <calculatedColumnFormula>evm_PctPlanned</calculatedColumnFormula>
    </tableColumn>
    <tableColumn id="7" name="BAC">
      <calculatedColumnFormula>evm_BAC</calculatedColumnFormula>
    </tableColumn>
    <tableColumn id="8" name="PV">
      <calculatedColumnFormula>evm_PV</calculatedColumnFormula>
    </tableColumn>
    <tableColumn id="9" name="EV">
      <calculatedColumnFormula>evm_EV</calculatedColumnFormula>
    </tableColumn>
    <tableColumn id="10" name="AC">
      <calculatedColumnFormula>evm_AC</calculatedColumnFormula>
    </tableColumn>
    <tableColumn id="11" name="SPI">
      <calculatedColumnFormula>evm_SPI</calculatedColumnFormula>
    </tableColumn>
    <tableColumn id="12" name="CPI">
      <calculatedColumnFormula>evm_CPI</calculatedColumnFormula>
    </tableColumn>
    <tableColumn id="13" name="EAC">
      <calculatedColumnFormula>evm_EAC</calculatedColumnFormula>
    </tableColumn>
    <tableColumn id="14" name="Points Done">
      <calculatedColumnFormula>agl_Done</calculatedColumnFormula>
    </tableColumn>
    <tableColumn id="15" name="Total Points">
      <calculatedColumnFormula>TotalPoints</calculatedColumnFormula>
    </tableColumn>
    <tableColumn id="16" name="Open Risks">
      <calculatedColumnFormula>COUNTIFS(raid_Type,"Risk",raid_Status,"&lt;&gt;Closed")</calculatedColumnFormula>
    </tableColumn>
    <tableColumn id="17" name="Open Issues">
      <calculatedColumnFormula>COUNTIFS(raid_Type,"Issue",raid_Status,"&lt;&gt;Closed")</calculatedColumnFormula>
    </tableColumn>
    <tableColumn id="18" name="Pending Changes">
      <calculatedColumnFormula>COUNTIF(chg_Status,"Submitted")+COUNTIF(chg_Status,"Under Review")</calculatedColumnFormula>
    </tableColumn>
    <tableColumn id="19" name="RAG">
      <calculatedColumnFormula>ProjectRAG</calculatedColumnFormula>
    </tableColumn>
  </tableColumns>
  <tableStyleInfo name="TableStyleLight1" showRowStripes="0"/>
</table>
</file>

<file path=xl/tables/table32.xml><?xml version="1.0" encoding="utf-8"?>
<table xmlns="http://schemas.openxmlformats.org/spreadsheetml/2006/main" id="32" name="SprintBacklog" displayName="SprintBacklog" ref="B20:H40" headerRowCount="1">
  <tableColumns count="7">
    <tableColumn id="1" name="_Task">
      <calculatedColumnFormula>IFERROR(MATCH(SMALL(tsk_CurrentSprintKey,ROW()-ROW(SprintBacklog[[#Headers],[_Task]])),tsk_CurrentSprintKey,0),"")</calculatedColumnFormula>
    </tableColumn>
    <tableColumn id="2" name="Task">
      <calculatedColumnFormula>IF(SprintBacklog[[#This Row],[_Task]]="","",INDEX(tsk_Name,SprintBacklog[[#This Row],[_Task]])&amp;"")</calculatedColumnFormula>
    </tableColumn>
    <tableColumn id="3" name="Story Points">
      <calculatedColumnFormula>IF(SprintBacklog[[#This Row],[_Task]]="","",INDEX(tsk_StoryPoints,SprintBacklog[[#This Row],[_Task]]))</calculatedColumnFormula>
    </tableColumn>
    <tableColumn id="4" name="Resource">
      <calculatedColumnFormula>IF(SprintBacklog[[#This Row],[_Task]]="","",INDEX(tsk_Resource,SprintBacklog[[#This Row],[_Task]])&amp;"")</calculatedColumnFormula>
    </tableColumn>
    <tableColumn id="5" name="Forecast Finish">
      <calculatedColumnFormula>IF(SprintBacklog[[#This Row],[_Task]]="","",IF(N(INDEX(tsk_FcFinish,SprintBacklog[[#This Row],[_Task]]))=0,"",INDEX(tsk_FcFinish,SprintBacklog[[#This Row],[_Task]])))</calculatedColumnFormula>
    </tableColumn>
    <tableColumn id="6" name="Progress">
      <calculatedColumnFormula>IF(SprintBacklog[[#This Row],[_Task]]="","",INDEX(tsk_Progress,SprintBacklog[[#This Row],[_Task]]))</calculatedColumnFormula>
    </tableColumn>
    <tableColumn id="7" name="Status">
      <calculatedColumnFormula>IF(SprintBacklog[[#This Row],[_Task]]="","",INDEX(tsk_Status,SprintBacklog[[#This Row],[_Task]])&amp;"")</calculatedColumnFormula>
    </tableColumn>
  </tableColumns>
  <tableStyleInfo name="TableStyleLight1" showRowStripes="0"/>
</table>
</file>

<file path=xl/tables/table33.xml><?xml version="1.0" encoding="utf-8"?>
<table xmlns="http://schemas.openxmlformats.org/spreadsheetml/2006/main" id="33" name="SprintBurndown" displayName="SprintBurndown" ref="C43:H74" headerRowCount="1">
  <tableColumns count="6">
    <tableColumn id="1" name="Day">
      <calculatedColumnFormula>IF(OR(CurrentSprint="",ROW()-ROW(SprintBurndown[[#Headers],[Day]])&gt;SprintLength),"",CurrentSprintStart+ROW()-ROW(SprintBurndown[[#Headers],[Day]])-1)</calculatedColumnFormula>
    </tableColumn>
    <tableColumn id="2" name="Remaining">
      <calculatedColumnFormula>IF(OR(SprintBurndown[[#This Row],[Day]]="",SprintBurndown[[#This Row],[Day]]&gt;StatusDate),"",agl_CurCommitted-SUMIFS(tsk_LeafPoints,tsk_Sprint,CurrentSprint,tsk_DoneDate,"&lt;="&amp;SprintBurndown[[#This Row],[Day]]))</calculatedColumnFormula>
    </tableColumn>
    <tableColumn id="3" name="Ideal">
      <calculatedColumnFormula>IF(SprintBurndown[[#This Row],[Day]]="","",agl_CurCommitted*MAX(0,1-NETWORKDAYS.INTL(CurrentSprintStart,SprintBurndown[[#This Row],[Day]],WorkWeek,Holidays)/MAX(1,NETWORKDAYS.INTL(CurrentSprintStart,CurrentSprintEnd,WorkWeek,Holidays))))</calculatedColumnFormula>
    </tableColumn>
    <tableColumn id="4" name="_ChartDay">
      <calculatedColumnFormula>IF(SprintBurndown[[#This Row],[Day]]="","",TEXT(SprintBurndown[[#This Row],[Day]],"dd-mmm"))</calculatedColumnFormula>
    </tableColumn>
    <tableColumn id="5" name="_ChartRemaining">
      <calculatedColumnFormula>IF(SprintBurndown[[#This Row],[Remaining]]="",NA(),SprintBurndown[[#This Row],[Remaining]])</calculatedColumnFormula>
    </tableColumn>
    <tableColumn id="6" name="_ChartIdeal">
      <calculatedColumnFormula>IF(SprintBurndown[[#This Row],[Ideal]]="",NA(),SprintBurndown[[#This Row],[Ideal]])</calculatedColumnFormula>
    </tableColumn>
  </tableColumns>
  <tableStyleInfo name="TableStyleLight1" showRowStripes="0"/>
</table>
</file>

<file path=xl/tables/table34.xml><?xml version="1.0" encoding="utf-8"?>
<table xmlns="http://schemas.openxmlformats.org/spreadsheetml/2006/main" id="34" name="SprintTable" displayName="SprintTable" ref="A5:S31" headerRowCount="1">
  <tableColumns count="19">
    <tableColumn id="1" name="No">
      <calculatedColumnFormula>ROW()-ROW(SprintTable[[#Headers],[No]])</calculatedColumnFormula>
    </tableColumn>
    <tableColumn id="2" name="Sprint">
      <calculatedColumnFormula>IF(SprintTable[[#This Row],[No]]&lt;=SprintCount,SprintPrefix&amp;SprintTable[[#This Row],[No]],"")</calculatedColumnFormula>
    </tableColumn>
    <tableColumn id="3" name="Start">
      <calculatedColumnFormula>Sprint1Start+(SprintTable[[#This Row],[No]]-1)*SprintLength</calculatedColumnFormula>
    </tableColumn>
    <tableColumn id="4" name="End">
      <calculatedColumnFormula>SprintTable[[#This Row],[Start]]+SprintLength-1</calculatedColumnFormula>
    </tableColumn>
    <tableColumn id="5" name="Working Days">
      <calculatedColumnFormula>NETWORKDAYS.INTL(SprintTable[[#This Row],[Start]],SprintTable[[#This Row],[End]],WorkWeek,Holidays)</calculatedColumnFormula>
    </tableColumn>
    <tableColumn id="6" name="Goal"/>
    <tableColumn id="7" name="Tasks Starting">
      <calculatedColumnFormula>IF(SprintTable[[#This Row],[Sprint]]="","",COUNTIF(tsk_Sprint,SprintTable[[#This Row],[Sprint]]))</calculatedColumnFormula>
    </tableColumn>
    <tableColumn id="8" name="Planned Work">
      <calculatedColumnFormula>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calculatedColumnFormula>
    </tableColumn>
    <tableColumn id="9" name="Capacity">
      <calculatedColumnFormula>IF(SprintTable[[#This Row],[Sprint]]="","",SUMIFS(res_MaxUnits,res_Type,"Work")*HoursPerDay*SprintTable[[#This Row],[Working Days]])</calculatedColumnFormula>
    </tableColumn>
    <tableColumn id="10" name="Utilisation">
      <calculatedColumnFormula>IF(OR(SprintTable[[#This Row],[Sprint]]="",N(SprintTable[[#This Row],[Capacity]])=0),"",SprintTable[[#This Row],[Planned Work]]/SprintTable[[#This Row],[Capacity]])</calculatedColumnFormula>
    </tableColumn>
    <tableColumn id="11" name="Status">
      <calculatedColumnFormula>IF(SprintTable[[#This Row],[Sprint]]="","",IF(StatusDate&gt;SprintTable[[#This Row],[End]],"Closed",IF(StatusDate&gt;=SprintTable[[#This Row],[Start]],"Active","Future")))</calculatedColumnFormula>
    </tableColumn>
    <tableColumn id="12" name="Points Capacity"/>
    <tableColumn id="13" name="Committed Points">
      <calculatedColumnFormula>IF(SprintTable[[#This Row],[Sprint]]="","",SUMIFS(tsk_LeafPoints,tsk_Sprint,SprintTable[[#This Row],[Sprint]]))</calculatedColumnFormula>
    </tableColumn>
    <tableColumn id="14" name="Done Points">
      <calculatedColumnFormula>IF(OR(SprintTable[[#This Row],[Sprint]]="",SprintTable[[#This Row],[Status]]="Future"),"",SUMIFS(tsk_LeafPoints,tsk_DoneDate,"&gt;="&amp;SprintTable[[#This Row],[Start]],tsk_DoneDate,"&lt;="&amp;SprintTable[[#This Row],[End]]))</calculatedColumnFormula>
    </tableColumn>
    <tableColumn id="15" name="Velocity">
      <calculatedColumnFormula>IF(OR(SprintTable[[#This Row],[Sprint]]="",SprintTable[[#This Row],[Status]]&lt;&gt;"Closed"),"",AVERAGE(INDEX(SprintTable[Done Points],MAX(1,SprintTable[[#This Row],[No]]-2)):INDEX(SprintTable[Done Points],SprintTable[[#This Row],[No]])))</calculatedColumnFormula>
    </tableColumn>
    <tableColumn id="16" name="Remaining Points">
      <calculatedColumnFormula>IF(OR(SprintTable[[#This Row],[Sprint]]="",SprintTable[[#This Row],[Status]]="Future"),"",TotalPoints-SUMIFS(tsk_LeafPoints,tsk_DoneDate,"&lt;="&amp;MIN(SprintTable[[#This Row],[End]],StatusDate)))</calculatedColumnFormula>
    </tableColumn>
    <tableColumn id="17" name="Forecast Remaining">
      <calculatedColumnFormula>IF(SprintTable[[#This Row],[Sprint]]="","",TotalPoints-SUMIFS(tsk_LeafPoints,tsk_FcFinish,"&lt;="&amp;SprintTable[[#This Row],[End]]))</calculatedColumnFormula>
    </tableColumn>
    <tableColumn id="18" name="Ideal Remaining">
      <calculatedColumnFormula>IF(SprintTable[[#This Row],[Sprint]]="","",TotalPoints*MAX(0,1-SprintTable[[#This Row],[No]]/SprintCount))</calculatedColumnFormula>
    </tableColumn>
    <tableColumn id="19" name="_ChartRemaining">
      <calculatedColumnFormula>IF(SprintTable[[#This Row],[Remaining Points]]="",NA(),SprintTable[[#This Row],[Remaining Points]])</calculatedColumnFormula>
    </tableColumn>
  </tableColumns>
  <tableStyleInfo name="TableStyleLight1" showRowStripes="0"/>
</table>
</file>

<file path=xl/tables/table35.xml><?xml version="1.0" encoding="utf-8"?>
<table xmlns="http://schemas.openxmlformats.org/spreadsheetml/2006/main" id="35" name="StartingSoon" displayName="StartingSoon" ref="B54:J69" headerRowCount="1">
  <tableColumns count="9">
    <tableColumn id="1" name="_Task">
      <calculatedColumnFormula>IFERROR(MATCH(SMALL(tsk_StartSoonKey,ROW()-ROW(StartingSoon[[#Headers],[_Task]])),tsk_StartSoonKey,0),"")</calculatedColumnFormula>
    </tableColumn>
    <tableColumn id="2" name="WBS">
      <calculatedColumnFormula>IF(StartingSoon[[#This Row],[_Task]]="","",INDEX(tsk_WBS,StartingSoon[[#This Row],[_Task]])&amp;"")</calculatedColumnFormula>
    </tableColumn>
    <tableColumn id="3" name="Task">
      <calculatedColumnFormula>IF(StartingSoon[[#This Row],[_Task]]="","",INDEX(tsk_Name,StartingSoon[[#This Row],[_Task]])&amp;"")</calculatedColumnFormula>
    </tableColumn>
    <tableColumn id="4" name="Resource">
      <calculatedColumnFormula>IF(StartingSoon[[#This Row],[_Task]]="","",INDEX(tsk_Resource,StartingSoon[[#This Row],[_Task]])&amp;"")</calculatedColumnFormula>
    </tableColumn>
    <tableColumn id="5" name="Forecast Start">
      <calculatedColumnFormula>IF(StartingSoon[[#This Row],[_Task]]="","",IF(N(INDEX(tsk_FcStart,StartingSoon[[#This Row],[_Task]]))=0,"",INDEX(tsk_FcStart,StartingSoon[[#This Row],[_Task]])))</calculatedColumnFormula>
    </tableColumn>
    <tableColumn id="6" name="Forecast Finish">
      <calculatedColumnFormula>IF(StartingSoon[[#This Row],[_Task]]="","",IF(N(INDEX(tsk_FcFinish,StartingSoon[[#This Row],[_Task]]))=0,"",INDEX(tsk_FcFinish,StartingSoon[[#This Row],[_Task]])))</calculatedColumnFormula>
    </tableColumn>
    <tableColumn id="7" name="Duration">
      <calculatedColumnFormula>IF(StartingSoon[[#This Row],[_Task]]="","",INDEX(tsk_Duration,StartingSoon[[#This Row],[_Task]]))</calculatedColumnFormula>
    </tableColumn>
    <tableColumn id="8" name="Predecessors">
      <calculatedColumnFormula>IF(StartingSoon[[#This Row],[_Task]]="","",INDEX(tsk_Predecessors,StartingSoon[[#This Row],[_Task]])&amp;"")</calculatedColumnFormula>
    </tableColumn>
    <tableColumn id="9" name="Critical">
      <calculatedColumnFormula>IF(StartingSoon[[#This Row],[_Task]]="","",INDEX(tsk_Critical,StartingSoon[[#This Row],[_Task]])&amp;"")</calculatedColumnFormula>
    </tableColumn>
  </tableColumns>
  <tableStyleInfo name="TableStyleLight1" showRowStripes="0"/>
</table>
</file>

<file path=xl/tables/table36.xml><?xml version="1.0" encoding="utf-8"?>
<table xmlns="http://schemas.openxmlformats.org/spreadsheetml/2006/main" id="36" name="StatusHistory" displayName="StatusHistory" ref="B8:T68" headerRowCount="1">
  <autoFilter ref="B8:T68"/>
  <tableColumns count="19">
    <tableColumn id="1" name="Status Date"/>
    <tableColumn id="2" name="Forecast Finish"/>
    <tableColumn id="3" name="Planned Finish"/>
    <tableColumn id="4" name="Finish Var"/>
    <tableColumn id="5" name="% Earned"/>
    <tableColumn id="6" name="% Planned"/>
    <tableColumn id="7" name="BAC"/>
    <tableColumn id="8" name="PV"/>
    <tableColumn id="9" name="EV"/>
    <tableColumn id="10" name="AC"/>
    <tableColumn id="11" name="SPI"/>
    <tableColumn id="12" name="CPI"/>
    <tableColumn id="13" name="EAC"/>
    <tableColumn id="14" name="Points Done"/>
    <tableColumn id="15" name="Total Points"/>
    <tableColumn id="16" name="Open Risks"/>
    <tableColumn id="17" name="Open Issues"/>
    <tableColumn id="18" name="Pending Changes"/>
    <tableColumn id="19" name="RAG"/>
  </tableColumns>
  <tableStyleInfo name="TableStyleLight1" showRowStripes="0"/>
</table>
</file>

<file path=xl/tables/table37.xml><?xml version="1.0" encoding="utf-8"?>
<table xmlns="http://schemas.openxmlformats.org/spreadsheetml/2006/main" id="37" name="StatusNotes" displayName="StatusNotes" ref="B55:C61" headerRowCount="1">
  <tableColumns count="2">
    <tableColumn id="1" name="Section"/>
    <tableColumn id="2" name="Notes"/>
  </tableColumns>
  <tableStyleInfo name="TableStyleLight1" showRowStripes="0"/>
</table>
</file>

<file path=xl/tables/table38.xml><?xml version="1.0" encoding="utf-8"?>
<table xmlns="http://schemas.openxmlformats.org/spreadsheetml/2006/main" id="38" name="StatusRAG" displayName="StatusRAG" ref="B7:H14" headerRowCount="1">
  <tableColumns count="7">
    <tableColumn id="1" name="Area"/>
    <tableColumn id="2" name="Measure"/>
    <tableColumn id="3" name="Value"/>
    <tableColumn id="4" name="Calculated"/>
    <tableColumn id="5" name="PM RAG"/>
    <tableColumn id="6" name="RAG">
      <calculatedColumnFormula>IF(StatusRAG[[#This Row],[PM RAG]]&lt;&gt;"",StatusRAG[[#This Row],[PM RAG]],StatusRAG[[#This Row],[Calculated]])</calculatedColumnFormula>
    </tableColumn>
    <tableColumn id="7" name="Comment"/>
  </tableColumns>
  <tableStyleInfo name="TableStyleLight1" showRowStripes="0"/>
</table>
</file>

<file path=xl/tables/table39.xml><?xml version="1.0" encoding="utf-8"?>
<table xmlns="http://schemas.openxmlformats.org/spreadsheetml/2006/main" id="39" name="StatusSummary" displayName="StatusSummary" ref="E4:F9" headerRowCount="1">
  <tableColumns count="2">
    <tableColumn id="1" name="Status"/>
    <tableColumn id="2" name="Count">
      <calculatedColumnFormula>COUNTIFS(tsk_Status,StatusSummary[[#This Row],[Status]],tsk_IsLeaf,1)</calculatedColumnFormula>
    </tableColumn>
  </tableColumns>
  <tableStyleInfo name="TableStyleLight1" showRowStripes="0"/>
</table>
</file>

<file path=xl/tables/table40.xml><?xml version="1.0" encoding="utf-8"?>
<table xmlns="http://schemas.openxmlformats.org/spreadsheetml/2006/main" id="40" name="Tasks" displayName="Tasks" ref="A5:DR205" headerRowCount="1">
  <autoFilter ref="A5:DR205"/>
  <tableColumns count="122">
    <tableColumn id="1" name="ID">
      <calculatedColumnFormula>IF(Tasks[[#This Row],[Task Name]]="","",COUNTA(Tasks[[#Headers],[Task Name]]:Tasks[[#This Row],[Task Name]])-1)</calculatedColumnFormula>
    </tableColumn>
    <tableColumn id="2" name="UID"/>
    <tableColumn id="3" name="WBS">
      <calculatedColumnFormula>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calculatedColumnFormula>
    </tableColumn>
    <tableColumn id="4" name="Level"/>
    <tableColumn id="5" name="Task Name"/>
    <tableColumn id="6" name="Mode"/>
    <tableColumn id="7" name="Duration"/>
    <tableColumn id="8" name="Pred1 UID"/>
    <tableColumn id="9" name="Pred1 Type"/>
    <tableColumn id="10" name="Pred1 Lag"/>
    <tableColumn id="11" name="Pred2 UID"/>
    <tableColumn id="12" name="Pred2 Type"/>
    <tableColumn id="13" name="Pred2 Lag"/>
    <tableColumn id="14" name="Start No Earlier Than"/>
    <tableColumn id="15" name="Deadline"/>
    <tableColumn id="16" name="Planned Start">
      <calculatedColumnFormula>IF(Tasks[[#This Row],[Task Name]]="","",IF(N(Tasks[[#This Row],[Baseline Start]])&gt;0,Tasks[[#This Row],[Baseline Start]],Tasks[[#This Row],[_CalcStart]]))</calculatedColumnFormula>
    </tableColumn>
    <tableColumn id="17" name="Planned Finish">
      <calculatedColumnFormula>IF(Tasks[[#This Row],[Task Name]]="","",IF(N(Tasks[[#This Row],[Baseline Finish]])&gt;0,Tasks[[#This Row],[Baseline Finish]],Tasks[[#This Row],[_CalcFinish]]))</calculatedColumnFormula>
    </tableColumn>
    <tableColumn id="18" name="Actual Start"/>
    <tableColumn id="19" name="Actual Finish"/>
    <tableColumn id="20" name="Forecast Start">
      <calculatedColumnFormula>IF(Tasks[[#This Row],[Task Name]]="","",IF(Tasks[[#This Row],[_IsSummary]],MIN(INDEX(Tasks[_LeafFcstStart],Tasks[[#This Row],[_Row]]+1):INDEX(Tasks[_LeafFcstStart],Tasks[[#This Row],[_Row]]+Tasks[[#This Row],[_Descendants]])),Tasks[[#This Row],[_LeafFcstStart]]))</calculatedColumnFormula>
    </tableColumn>
    <tableColumn id="21" name="Forecast Finish">
      <calculatedColumnFormula>IF(Tasks[[#This Row],[Task Name]]="","",IF(Tasks[[#This Row],[_IsSummary]],MAX(INDEX(Tasks[_LeafFcstFinish],Tasks[[#This Row],[_Row]]+1):INDEX(Tasks[_LeafFcstFinish],Tasks[[#This Row],[_Row]]+Tasks[[#This Row],[_Descendants]])),Tasks[[#This Row],[_LeafFcstFinish]]))</calculatedColumnFormula>
    </tableColumn>
    <tableColumn id="22" name="Start Var">
      <calculatedColumnFormula>IF(Tasks[[#This Row],[Task Name]]="","",IF(Tasks[[#This Row],[Forecast Start]]&gt;=Tasks[[#This Row],[Planned Start]],NETWORKDAYS.INTL(Tasks[[#This Row],[Planned Start]],Tasks[[#This Row],[Forecast Start]],WorkWeek,Holidays)-1,1-NETWORKDAYS.INTL(Tasks[[#This Row],[Forecast Start]],Tasks[[#This Row],[Planned Start]],WorkWeek,Holidays)))</calculatedColumnFormula>
    </tableColumn>
    <tableColumn id="23" name="Finish Var">
      <calculatedColumnFormula>IF(Tasks[[#This Row],[Task Name]]="","",IF(Tasks[[#This Row],[Forecast Finish]]&gt;=Tasks[[#This Row],[Planned Finish]],NETWORKDAYS.INTL(Tasks[[#This Row],[Planned Finish]],Tasks[[#This Row],[Forecast Finish]],WorkWeek,Holidays)-1,1-NETWORKDAYS.INTL(Tasks[[#This Row],[Forecast Finish]],Tasks[[#This Row],[Planned Finish]],WorkWeek,Holidays)))</calculatedColumnFormula>
    </tableColumn>
    <tableColumn id="24" name="Late Start">
      <calculatedColumnFormula>IF(Tasks[[#This Row],[Task Name]]="","",IF(Tasks[[#This Row],[_IsSummary]],MIN(INDEX(Tasks[_LeafLateStart],Tasks[[#This Row],[_Row]]+1):INDEX(Tasks[_LeafLateStart],Tasks[[#This Row],[_Row]]+Tasks[[#This Row],[_Descendants]])),Tasks[[#This Row],[_LeafLateStart]]))</calculatedColumnFormula>
    </tableColumn>
    <tableColumn id="25" name="Late Finish">
      <calculatedColumnFormula>IF(Tasks[[#This Row],[Task Name]]="","",IF(Tasks[[#This Row],[_IsSummary]],MAX(INDEX(Tasks[_LeafLateFinish],Tasks[[#This Row],[_Row]]+1):INDEX(Tasks[_LeafLateFinish],Tasks[[#This Row],[_Row]]+Tasks[[#This Row],[_Descendants]])),Tasks[[#This Row],[_LeafLateFinish]]))</calculatedColumnFormula>
    </tableColumn>
    <tableColumn id="26" name="Total Slack">
      <calculatedColumnFormula>IF(Tasks[[#This Row],[Task Name]]="","",IF(Tasks[[#This Row],[_IsSummary]],MIN(INDEX(Tasks[_LeafTotalSlack],Tasks[[#This Row],[_Row]]+1):INDEX(Tasks[_LeafTotalSlack],Tasks[[#This Row],[_Row]]+Tasks[[#This Row],[_Descendants]])),Tasks[[#This Row],[_LeafTotalSlack]]))</calculatedColumnFormula>
    </tableColumn>
    <tableColumn id="27" name="Free Slack">
      <calculatedColumnFormula>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calculatedColumnFormula>
    </tableColumn>
    <tableColumn id="28" name="Critical">
      <calculatedColumnFormula>IF(Tasks[[#This Row],[Task Name]]="","",IF(IF(Tasks[[#This Row],[_IsSummary]],COUNTIF(INDEX(Tasks[_LeafCritical],Tasks[[#This Row],[_Row]]+1):INDEX(Tasks[_LeafCritical],Tasks[[#This Row],[_Row]]+Tasks[[#This Row],[_Descendants]]),TRUE())&gt;0,Tasks[[#This Row],[_LeafCritical]]),"Yes",""))</calculatedColumnFormula>
    </tableColumn>
    <tableColumn id="29" name="Deadline Check">
      <calculatedColumnFormula>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calculatedColumnFormula>
    </tableColumn>
    <tableColumn id="30" name="Link Check">
      <calculatedColumnFormula>IF(Tasks[[#This Row],[Task Name]]="","",TRIM(IF(Tasks[[#This Row],[_Pred1Problem]]&lt;&gt;"","Pred 1: "&amp;Tasks[[#This Row],[_Pred1Problem]]&amp;". ","")&amp;IF(Tasks[[#This Row],[_Pred2Problem]]&lt;&gt;"","Pred 2: "&amp;Tasks[[#This Row],[_Pred2Problem]]&amp;".","")))</calculatedColumnFormula>
    </tableColumn>
    <tableColumn id="31" name="% Complete"/>
    <tableColumn id="32" name="Progress">
      <calculatedColumnFormula>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calculatedColumnFormula>
    </tableColumn>
    <tableColumn id="33" name="Status">
      <calculatedColumnFormula>IF(Tasks[[#This Row],[Task Name]]="","",IF(Tasks[[#This Row],[Progress]]&gt;=1,"Complete",IF(OR(N(Tasks[[#This Row],[Actual Start]])&gt;0,Tasks[[#This Row],[Progress]]&gt;0),IF(Tasks[[#This Row],[Finish Var]]&gt;0,"Behind","In Progress"),IF(Tasks[[#This Row],[Planned Start]]&lt;StatusDate,"Late Start","Not Started"))))</calculatedColumnFormula>
    </tableColumn>
    <tableColumn id="34" name="Resource"/>
    <tableColumn id="35" name="Units"/>
    <tableColumn id="36" name="Work">
      <calculatedColumnFormula>IF(Tasks[[#This Row],[Task Name]]="","",IF(Tasks[[#This Row],[_IsSummary]],SUM(INDEX(Tasks[_LeafWork],Tasks[[#This Row],[_Row]]+1):INDEX(Tasks[_LeafWork],Tasks[[#This Row],[_Row]]+Tasks[[#This Row],[_Descendants]])),Tasks[[#This Row],[_LeafWork]]))</calculatedColumnFormula>
    </tableColumn>
    <tableColumn id="37" name="Cost">
      <calculatedColumnFormula>IF(Tasks[[#This Row],[Task Name]]="","",IF(Tasks[[#This Row],[_IsSummary]],SUM(INDEX(Tasks[_LeafCost],Tasks[[#This Row],[_Row]]+1):INDEX(Tasks[_LeafCost],Tasks[[#This Row],[_Row]]+Tasks[[#This Row],[_Descendants]])),Tasks[[#This Row],[_LeafCost]]))</calculatedColumnFormula>
    </tableColumn>
    <tableColumn id="38" name="Actual Cost"/>
    <tableColumn id="39" name="Planned Sprint"/>
    <tableColumn id="40" name="Sprint">
      <calculatedColumnFormula>IF(OR(Tasks[[#This Row],[Task Name]]="",Tasks[[#This Row],[_IsSummary]]),"",IF(Tasks[[#This Row],[Planned Sprint]]&lt;&gt;"",Tasks[[#This Row],[Planned Sprint]],IF(OR(Tasks[[#This Row],[Forecast Start]]&lt;Sprint1Start,Tasks[[#This Row],[Forecast Start]]&gt;SprintLastEnd),"Backlog",INDEX(spr_Name,MATCH(Tasks[[#This Row],[Forecast Start]],spr_Start,1)))))</calculatedColumnFormula>
    </tableColumn>
    <tableColumn id="41" name="Story Points"/>
    <tableColumn id="42" name="Predecessors">
      <calculatedColumnFormula>IF(Tasks[[#This Row],[Task Name]]="","",Tasks[[#This Row],[_Pred1IDText]]&amp;IF(AND(Tasks[[#This Row],[_Pred1IDText]]&lt;&gt;"",Tasks[[#This Row],[_Pred2IDText]]&lt;&gt;""),",","")&amp;Tasks[[#This Row],[_Pred2IDText]])</calculatedColumnFormula>
    </tableColumn>
    <tableColumn id="43" name="Notes"/>
    <tableColumn id="44" name="BL Source Start">
      <calculatedColumnFormula>IF(Tasks[[#This Row],[Task Name]]="","",Tasks[[#This Row],[Forecast Start]])</calculatedColumnFormula>
    </tableColumn>
    <tableColumn id="45" name="BL Source Finish">
      <calculatedColumnFormula>IF(Tasks[[#This Row],[Task Name]]="","",Tasks[[#This Row],[Forecast Finish]])</calculatedColumnFormula>
    </tableColumn>
    <tableColumn id="46" name="BL Source Duration">
      <calculatedColumnFormula>IF(Tasks[[#This Row],[Task Name]]="","",IF(Tasks[[#This Row],[_IsSummary]],NETWORKDAYS.INTL(Tasks[[#This Row],[Forecast Start]],Tasks[[#This Row],[Forecast Finish]],WorkWeek,Holidays),N(Tasks[[#This Row],[Duration]])))</calculatedColumnFormula>
    </tableColumn>
    <tableColumn id="47" name="BL Source Work">
      <calculatedColumnFormula>IF(Tasks[[#This Row],[Task Name]]="","",Tasks[[#This Row],[Work]])</calculatedColumnFormula>
    </tableColumn>
    <tableColumn id="48" name="BL Source Cost">
      <calculatedColumnFormula>IF(Tasks[[#This Row],[Task Name]]="","",Tasks[[#This Row],[Cost]])</calculatedColumnFormula>
    </tableColumn>
    <tableColumn id="49" name="Baseline Start"/>
    <tableColumn id="50" name="Baseline Finish"/>
    <tableColumn id="51" name="Baseline Duration"/>
    <tableColumn id="52" name="Baseline Work"/>
    <tableColumn id="53" name="Baseline Cost"/>
    <tableColumn id="54" name="Duration Var">
      <calculatedColumnFormula>IF(OR(Tasks[[#This Row],[Task Name]]="",Tasks[[#This Row],[Baseline Duration]]=""),"",Tasks[[#This Row],[BL Source Duration]]-N(Tasks[[#This Row],[Baseline Duration]]))</calculatedColumnFormula>
    </tableColumn>
    <tableColumn id="55" name="Work Var">
      <calculatedColumnFormula>IF(OR(Tasks[[#This Row],[Task Name]]="",Tasks[[#This Row],[Baseline Work]]=""),"",Tasks[[#This Row],[Work]]-N(Tasks[[#This Row],[Baseline Work]]))</calculatedColumnFormula>
    </tableColumn>
    <tableColumn id="56" name="Cost Var">
      <calculatedColumnFormula>IF(OR(Tasks[[#This Row],[Task Name]]="",Tasks[[#This Row],[Baseline Cost]]=""),"",Tasks[[#This Row],[Cost]]-N(Tasks[[#This Row],[Baseline Cost]]))</calculatedColumnFormula>
    </tableColumn>
    <tableColumn id="57" name="Budget">
      <calculatedColumnFormula>IF(Tasks[[#This Row],[Task Name]]="","",IF(Tasks[[#This Row],[_IsSummary]],SUM(INDEX(Tasks[_LeafBudget],Tasks[[#This Row],[_Row]]+1):INDEX(Tasks[_LeafBudget],Tasks[[#This Row],[_Row]]+Tasks[[#This Row],[_Descendants]])),Tasks[[#This Row],[_LeafBudget]]))</calculatedColumnFormula>
    </tableColumn>
    <tableColumn id="58" name="PV">
      <calculatedColumnFormula>IF(Tasks[[#This Row],[Task Name]]="","",IF(Tasks[[#This Row],[_IsSummary]],SUM(INDEX(Tasks[_LeafPV],Tasks[[#This Row],[_Row]]+1):INDEX(Tasks[_LeafPV],Tasks[[#This Row],[_Row]]+Tasks[[#This Row],[_Descendants]])),Tasks[[#This Row],[_LeafPV]]))</calculatedColumnFormula>
    </tableColumn>
    <tableColumn id="59" name="EV">
      <calculatedColumnFormula>IF(Tasks[[#This Row],[Task Name]]="","",IF(Tasks[[#This Row],[_IsSummary]],SUM(INDEX(Tasks[_LeafEV],Tasks[[#This Row],[_Row]]+1):INDEX(Tasks[_LeafEV],Tasks[[#This Row],[_Row]]+Tasks[[#This Row],[_Descendants]])),Tasks[[#This Row],[_LeafEV]]))</calculatedColumnFormula>
    </tableColumn>
    <tableColumn id="60" name="AC">
      <calculatedColumnFormula>IF(Tasks[[#This Row],[Task Name]]="","",IF(Tasks[[#This Row],[_IsSummary]],SUM(INDEX(Tasks[_LeafAC],Tasks[[#This Row],[_Row]]+1):INDEX(Tasks[_LeafAC],Tasks[[#This Row],[_Row]]+Tasks[[#This Row],[_Descendants]])),Tasks[[#This Row],[_LeafAC]]))</calculatedColumnFormula>
    </tableColumn>
    <tableColumn id="61" name="_Level">
      <calculatedColumnFormula>IF(Tasks[[#This Row],[Task Name]]="","",MAX(1,N(Tasks[[#This Row],[Level]])))</calculatedColumnFormula>
    </tableColumn>
    <tableColumn id="62" name="_Row">
      <calculatedColumnFormula>ROW()-ROW(Tasks[[#Headers],[ID]])</calculatedColumnFormula>
    </tableColumn>
    <tableColumn id="63" name="_ParentRow">
      <calculatedColumnFormula>IF(OR(Tasks[[#This Row],[Task Name]]="",Tasks[[#This Row],[_Level]]&lt;=1),0,IFERROR(LOOKUP(2,1/(Tasks[[#Headers],[_Level]]:Tasks[[#This Row],[_Level]]=Tasks[[#This Row],[_Level]]-1),ROW(Tasks[[#Headers],[_Level]]:Tasks[[#This Row],[_Level]])),0))</calculatedColumnFormula>
    </tableColumn>
    <tableColumn id="64" name="_NextLevel">
      <calculatedColumnFormula>IFERROR(N(INDEX(Tasks[_Level],Tasks[[#This Row],[_Row]]+1)),0)</calculatedColumnFormula>
    </tableColumn>
    <tableColumn id="65" name="_IsSummary">
      <calculatedColumnFormula>AND(Tasks[[#This Row],[Task Name]]&lt;&gt;"",Tasks[[#This Row],[_NextLevel]]&gt;Tasks[[#This Row],[_Level]])</calculatedColumnFormula>
    </tableColumn>
    <tableColumn id="66" name="_Descendants">
      <calculatedColumnFormula>IF(Tasks[[#This Row],[_IsSummary]],COUNTIF(Tasks[WBS],Tasks[[#This Row],[WBS]]&amp;".*"),0)</calculatedColumnFormula>
    </tableColumn>
    <tableColumn id="67" name="_IsLeaf">
      <calculatedColumnFormula>IF(AND(Tasks[[#This Row],[Task Name]]&lt;&gt;"",NOT(Tasks[[#This Row],[_IsSummary]])),1,0)</calculatedColumnFormula>
    </tableColumn>
    <tableColumn id="68" name="_Pred1Pos">
      <calculatedColumnFormula>IF(N(Tasks[[#This Row],[Pred1 UID]])=0,0,IFERROR(MATCH(Tasks[[#This Row],[Pred1 UID]],Tasks[UID],0),-1))</calculatedColumnFormula>
    </tableColumn>
    <tableColumn id="69" name="_Pred2Pos">
      <calculatedColumnFormula>IF(N(Tasks[[#This Row],[Pred2 UID]])=0,0,IFERROR(MATCH(Tasks[[#This Row],[Pred2 UID]],Tasks[UID],0),-1))</calculatedColumnFormula>
    </tableColumn>
    <tableColumn id="70" name="_LeafCalcStart">
      <calculatedColumnFormula>IF(NOT(Tasks[[#This Row],[_IsLeaf]]=1),"",IF(Tasks[[#This Row],[Mode]]="Manual",IF(N(Tasks[[#This Row],[Start No Earlier Than]])&gt;0,Tasks[[#This Row],[Start No Earlier Than]],ProjectStart),WORKDAY.INTL(MAX(ProjectStart,N(Tasks[[#This Row],[Start No Earlier Than]]),Tasks[[#This Row],[_Pred1PlanDriver]],Tasks[[#This Row],[_Pred2PlanDriver]])-1,1,WorkWeek,Holidays)))</calculatedColumnFormula>
    </tableColumn>
    <tableColumn id="71" name="_LeafCalcFinish">
      <calculatedColumnFormula>IF(NOT(Tasks[[#This Row],[_IsLeaf]]=1),"",IF(N(Tasks[[#This Row],[Duration]])&lt;=0,Tasks[[#This Row],[_LeafCalcStart]],WORKDAY.INTL(Tasks[[#This Row],[_LeafCalcStart]],Tasks[[#This Row],[Duration]]-1,WorkWeek,Holidays)))</calculatedColumnFormula>
    </tableColumn>
    <tableColumn id="72" name="_LeafFcstStart">
      <calculatedColumnFormula>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calculatedColumnFormula>
    </tableColumn>
    <tableColumn id="73" name="_LeafFcstFinish">
      <calculatedColumnFormula>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calculatedColumnFormula>
    </tableColumn>
    <tableColumn id="74" name="_LeafProgress">
      <calculatedColumnFormula>IF(NOT(Tasks[[#This Row],[_IsLeaf]]=1),0,IF(N(Tasks[[#This Row],[Actual Finish]])&gt;0,1,MIN(1,N(Tasks[[#This Row],[% Complete]]))))</calculatedColumnFormula>
    </tableColumn>
    <tableColumn id="75" name="_LeafWork">
      <calculatedColumnFormula>IF(OR(NOT(Tasks[[#This Row],[_IsLeaf]]=1),Tasks[[#This Row],[Resource]]=""),0,N(Tasks[[#This Row],[Duration]])*HoursPerDay*IF(Tasks[[#This Row],[Units]]="",DefaultUnits,Tasks[[#This Row],[Units]]))</calculatedColumnFormula>
    </tableColumn>
    <tableColumn id="76" name="_LeafCost">
      <calculatedColumnFormula>IF(Tasks[[#This Row],[_LeafWork]]=0,0,Tasks[[#This Row],[_LeafWork]]*IFERROR(INDEX(res_Rate,MATCH(Tasks[[#This Row],[Resource]],res_Name,0)),0))</calculatedColumnFormula>
    </tableColumn>
    <tableColumn id="77" name="_Pred1FinishKey">
      <calculatedColumnFormula>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calculatedColumnFormula>
    </tableColumn>
    <tableColumn id="78" name="_Pred2FinishKey">
      <calculatedColumnFormula>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calculatedColumnFormula>
    </tableColumn>
    <tableColumn id="79" name="_Pred1SlackKey">
      <calculatedColumnFormula>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calculatedColumnFormula>
    </tableColumn>
    <tableColumn id="80" name="_Pred2SlackKey">
      <calculatedColumnFormula>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calculatedColumnFormula>
    </tableColumn>
    <tableColumn id="81" name="_LastSuccessorRow">
      <calculatedColumnFormula>IF(NOT(Tasks[[#This Row],[_IsLeaf]]=1),0,MAX(_xlfn.MAXIFS(Tasks[_Row],Tasks[Pred1 UID],Tasks[[#This Row],[UID]]),_xlfn.MAXIFS(Tasks[_Row],Tasks[Pred2 UID],Tasks[[#This Row],[UID]])))</calculatedColumnFormula>
    </tableColumn>
    <tableColumn id="82" name="_SuccessorFinishLimit">
      <calculatedColumnFormula>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calculatedColumnFormula>
    </tableColumn>
    <tableColumn id="83" name="_LeafLateFinish">
      <calculatedColumnFormula>IF(NOT(Tasks[[#This Row],[_IsLeaf]]=1),"",MIN(ProjectFinish,IF(N(Tasks[[#This Row],[Deadline]])&gt;0,Tasks[[#This Row],[Deadline]],2958465),Tasks[[#This Row],[_SuccessorFinishLimit]]))</calculatedColumnFormula>
    </tableColumn>
    <tableColumn id="84" name="_LeafLateStart">
      <calculatedColumnFormula>IF(NOT(Tasks[[#This Row],[_IsLeaf]]=1),"",IF(N(Tasks[[#This Row],[Duration]])&lt;=0,Tasks[[#This Row],[_LeafLateFinish]],WORKDAY.INTL(Tasks[[#This Row],[_LeafLateFinish]],-(Tasks[[#This Row],[Duration]]-1),WorkWeek,Holidays)))</calculatedColumnFormula>
    </tableColumn>
    <tableColumn id="85" name="_LeafTotalSlack">
      <calculatedColumnFormula>IF(NOT(Tasks[[#This Row],[_IsLeaf]]=1),"",IF(Tasks[[#This Row],[_LeafLateFinish]]&gt;=Tasks[[#This Row],[_LeafFcstFinish]],NETWORKDAYS.INTL(Tasks[[#This Row],[_LeafFcstFinish]],Tasks[[#This Row],[_LeafLateFinish]],WorkWeek,Holidays)-1,1-NETWORKDAYS.INTL(Tasks[[#This Row],[_LeafLateFinish]],Tasks[[#This Row],[_LeafFcstFinish]],WorkWeek,Holidays)))</calculatedColumnFormula>
    </tableColumn>
    <tableColumn id="86" name="_LeafCritical">
      <calculatedColumnFormula>AND(Tasks[[#This Row],[_IsLeaf]]=1,Tasks[[#This Row],[_LeafProgress]]&lt;1,N(Tasks[[#This Row],[_LeafTotalSlack]])&lt;=CriticalSlackDays)</calculatedColumnFormula>
    </tableColumn>
    <tableColumn id="87" name="_CalcStart">
      <calculatedColumnFormula>IF(Tasks[[#This Row],[Task Name]]="","",IF(Tasks[[#This Row],[_IsSummary]],MIN(INDEX(Tasks[_LeafCalcStart],Tasks[[#This Row],[_Row]]+1):INDEX(Tasks[_LeafCalcStart],Tasks[[#This Row],[_Row]]+Tasks[[#This Row],[_Descendants]])),Tasks[[#This Row],[_LeafCalcStart]]))</calculatedColumnFormula>
    </tableColumn>
    <tableColumn id="88" name="_CalcFinish">
      <calculatedColumnFormula>IF(Tasks[[#This Row],[Task Name]]="","",IF(Tasks[[#This Row],[_IsSummary]],MAX(INDEX(Tasks[_LeafCalcFinish],Tasks[[#This Row],[_Row]]+1):INDEX(Tasks[_LeafCalcFinish],Tasks[[#This Row],[_Row]]+Tasks[[#This Row],[_Descendants]])),Tasks[[#This Row],[_LeafCalcFinish]]))</calculatedColumnFormula>
    </tableColumn>
    <tableColumn id="89" name="_Pred1Problem">
      <calculatedColumnFormula>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calculatedColumnFormula>
    </tableColumn>
    <tableColumn id="90" name="_Pred2Problem">
      <calculatedColumnFormula>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calculatedColumnFormula>
    </tableColumn>
    <tableColumn id="91" name="_Pred1PlanDriver">
      <calculatedColumnFormula>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calculatedColumnFormula>
    </tableColumn>
    <tableColumn id="92" name="_Pred2PlanDriver">
      <calculatedColumnFormula>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calculatedColumnFormula>
    </tableColumn>
    <tableColumn id="93" name="_Pred1FcstDriver">
      <calculatedColumnFormula>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calculatedColumnFormula>
    </tableColumn>
    <tableColumn id="94" name="_Pred2FcstDriver">
      <calculatedColumnFormula>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calculatedColumnFormula>
    </tableColumn>
    <tableColumn id="95" name="_StartWorkday">
      <calculatedColumnFormula>IF(AND(Tasks[[#This Row],[_IsLeaf]]=1,Tasks[[#This Row],[_LeafWork]]&gt;0),NETWORKDAYS.INTL(ProjectStart,Tasks[[#This Row],[_LeafFcstStart]],WorkWeek,Holidays),0)</calculatedColumnFormula>
    </tableColumn>
    <tableColumn id="96" name="_FinishWorkday">
      <calculatedColumnFormula>IF(AND(Tasks[[#This Row],[_IsLeaf]]=1,Tasks[[#This Row],[_LeafWork]]&gt;0),MAX(Tasks[[#This Row],[_StartWorkday]],NETWORKDAYS.INTL(ProjectStart,Tasks[[#This Row],[_LeafFcstFinish]],WorkWeek,Holidays)),0)</calculatedColumnFormula>
    </tableColumn>
    <tableColumn id="97" name="_WorkPerWorkday">
      <calculatedColumnFormula>IF(AND(Tasks[[#This Row],[_IsLeaf]]=1,Tasks[[#This Row],[_LeafWork]]&gt;0),Tasks[[#This Row],[_LeafWork]]/(Tasks[[#This Row],[_FinishWorkday]]-Tasks[[#This Row],[_StartWorkday]]+1),0)</calculatedColumnFormula>
    </tableColumn>
    <tableColumn id="98" name="_WorkBeforeStart">
      <calculatedColumnFormula>Tasks[[#This Row],[_WorkPerWorkday]]*(Tasks[[#This Row],[_StartWorkday]]-1)</calculatedColumnFormula>
    </tableColumn>
    <tableColumn id="99" name="_WeightDur">
      <calculatedColumnFormula>IF(Tasks[[#This Row],[_IsLeaf]]=1,MAX(N(Tasks[[#This Row],[Duration]]),0.1),0)</calculatedColumnFormula>
    </tableColumn>
    <tableColumn id="100" name="_WeightDone">
      <calculatedColumnFormula>Tasks[[#This Row],[_WeightDur]]*Tasks[[#This Row],[_LeafProgress]]</calculatedColumnFormula>
    </tableColumn>
    <tableColumn id="101" name="_Pred1IDText">
      <calculatedColumnFormula>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calculatedColumnFormula>
    </tableColumn>
    <tableColumn id="102" name="_Pred2IDText">
      <calculatedColumnFormula>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calculatedColumnFormula>
    </tableColumn>
    <tableColumn id="103" name="_Pred1UIDText">
      <calculatedColumnFormula>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calculatedColumnFormula>
    </tableColumn>
    <tableColumn id="104" name="_Pred2UIDText">
      <calculatedColumnFormula>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calculatedColumnFormula>
    </tableColumn>
    <tableColumn id="105" name="_UIDPredecessors">
      <calculatedColumnFormula>IF(Tasks[[#This Row],[Task Name]]="","",Tasks[[#This Row],[_Pred1UIDText]]&amp;IF(AND(Tasks[[#This Row],[_Pred1UIDText]]&lt;&gt;"",Tasks[[#This Row],[_Pred2UIDText]]&lt;&gt;""),",","")&amp;Tasks[[#This Row],[_Pred2UIDText]])</calculatedColumnFormula>
    </tableColumn>
    <tableColumn id="106" name="_MilestoneKey">
      <calculatedColumnFormula>IF(AND(Tasks[[#This Row],[_IsLeaf]]=1,N(Tasks[[#This Row],[Duration]])=0,Tasks[[#This Row],[_LeafProgress]]&lt;1),Tasks[[#This Row],[_LeafFcstFinish]]+Tasks[[#This Row],[_Row]]/100000,"")</calculatedColumnFormula>
    </tableColumn>
    <tableColumn id="107" name="_PlannedPct">
      <calculatedColumnFormula>IF(NOT(Tasks[[#This Row],[_IsLeaf]]=1),0,IF(Tasks[[#This Row],[Planned Finish]]&lt;StatusDate,1,IF(Tasks[[#This Row],[Planned Start]]&gt;=StatusDate,0,IFERROR(MIN(1,NETWORKDAYS.INTL(Tasks[[#This Row],[Planned Start]],StatusDate-1,WorkWeek,Holidays)/NETWORKDAYS.INTL(Tasks[[#This Row],[Planned Start]],Tasks[[#This Row],[Planned Finish]],WorkWeek,Holidays)),0))))</calculatedColumnFormula>
    </tableColumn>
    <tableColumn id="108" name="_LeafBudget">
      <calculatedColumnFormula>IF(NOT(Tasks[[#This Row],[_IsLeaf]]=1),0,IF(Tasks[[#This Row],[Baseline Cost]]="",Tasks[[#This Row],[_LeafCost]],N(Tasks[[#This Row],[Baseline Cost]])))</calculatedColumnFormula>
    </tableColumn>
    <tableColumn id="109" name="_LeafPV">
      <calculatedColumnFormula>Tasks[[#This Row],[_LeafBudget]]*Tasks[[#This Row],[_PlannedPct]]</calculatedColumnFormula>
    </tableColumn>
    <tableColumn id="110" name="_LeafEV">
      <calculatedColumnFormula>Tasks[[#This Row],[_LeafBudget]]*Tasks[[#This Row],[_LeafProgress]]</calculatedColumnFormula>
    </tableColumn>
    <tableColumn id="111" name="_LeafAC">
      <calculatedColumnFormula>IF(NOT(Tasks[[#This Row],[_IsLeaf]]=1),0,IF(Tasks[[#This Row],[Actual Cost]]="",Tasks[[#This Row],[_LeafCost]]*Tasks[[#This Row],[_LeafProgress]],N(Tasks[[#This Row],[Actual Cost]])))</calculatedColumnFormula>
    </tableColumn>
    <tableColumn id="112" name="_Phase">
      <calculatedColumnFormula>IF(Tasks[[#This Row],[Task Name]]="","",LEFT(Tasks[[#This Row],[WBS]],FIND(".",Tasks[[#This Row],[WBS]]&amp;".")-1))</calculatedColumnFormula>
    </tableColumn>
    <tableColumn id="113" name="_PhaseKey">
      <calculatedColumnFormula>IF(AND(Tasks[[#This Row],[Task Name]]&lt;&gt;"",Tasks[[#This Row],[_Level]]=1),Tasks[[#This Row],[_Row]],"")</calculatedColumnFormula>
    </tableColumn>
    <tableColumn id="114" name="_MilestoneOrder">
      <calculatedColumnFormula>IF(AND(Tasks[[#This Row],[_IsLeaf]]=1,N(Tasks[[#This Row],[Duration]])=0),Tasks[[#This Row],[Planned Finish]]+Tasks[[#This Row],[_Row]]/100000,"")</calculatedColumnFormula>
    </tableColumn>
    <tableColumn id="115" name="_LateKey">
      <calculatedColumnFormula>IF(AND(Tasks[[#This Row],[_IsLeaf]]=1,Tasks[[#This Row],[_LeafProgress]]&lt;1,OR(N(Tasks[[#This Row],[Finish Var]])&gt;0,Tasks[[#This Row],[Status]]="Late Start")),MAX(0,Tasks[[#This Row],[Finish Var]])+1-Tasks[[#This Row],[_Row]]/1000000,"")</calculatedColumnFormula>
    </tableColumn>
    <tableColumn id="116" name="_StartSoonKey">
      <calculatedColumnFormula>IF(AND(Tasks[[#This Row],[_IsLeaf]]=1,N(Tasks[[#This Row],[Actual Start]])=0,Tasks[[#This Row],[_LeafFcstStart]]&gt;=StatusDate,Tasks[[#This Row],[_LeafFcstStart]]&lt;=LookaheadEnd),Tasks[[#This Row],[_LeafFcstStart]]+Tasks[[#This Row],[_Row]]/100000,"")</calculatedColumnFormula>
    </tableColumn>
    <tableColumn id="117" name="_DueSoonKey">
      <calculatedColumnFormula>IF(AND(Tasks[[#This Row],[_IsLeaf]]=1,Tasks[[#This Row],[_LeafProgress]]&lt;1,Tasks[[#This Row],[_LeafFcstFinish]]&gt;=StatusDate,Tasks[[#This Row],[_LeafFcstFinish]]&lt;=LookaheadEnd),Tasks[[#This Row],[_LeafFcstFinish]]+Tasks[[#This Row],[_Row]]/100000,"")</calculatedColumnFormula>
    </tableColumn>
    <tableColumn id="118" name="_CriticalKey">
      <calculatedColumnFormula>IF(Tasks[[#This Row],[_LeafCritical]],Tasks[[#This Row],[_LeafFcstStart]]+Tasks[[#This Row],[_Row]]/100000,"")</calculatedColumnFormula>
    </tableColumn>
    <tableColumn id="119" name="_LeafWorkDone">
      <calculatedColumnFormula>Tasks[[#This Row],[_LeafWork]]*Tasks[[#This Row],[_LeafProgress]]</calculatedColumnFormula>
    </tableColumn>
    <tableColumn id="120" name="_DoneDate">
      <calculatedColumnFormula>IF(AND(Tasks[[#This Row],[_IsLeaf]]=1,Tasks[[#This Row],[_LeafProgress]]&gt;=1),IF(N(Tasks[[#This Row],[Actual Finish]])&gt;0,Tasks[[#This Row],[Actual Finish]],Tasks[[#This Row],[_LeafFcstFinish]]),"")</calculatedColumnFormula>
    </tableColumn>
    <tableColumn id="121" name="_LeafPoints">
      <calculatedColumnFormula>IF(Tasks[[#This Row],[_IsLeaf]]=1,N(Tasks[[#This Row],[Story Points]]),0)</calculatedColumnFormula>
    </tableColumn>
    <tableColumn id="122" name="_CurrentSprintKey">
      <calculatedColumnFormula>IF(AND(Tasks[[#This Row],[_IsLeaf]]=1,CurrentSprint&lt;&gt;"",Tasks[[#This Row],[Sprint]]=CurrentSprint),Tasks[[#This Row],[_Row]],"")</calculatedColumnFormula>
    </tableColumn>
  </tableColumns>
  <tableStyleInfo name="TableStyleLight1" showRowStripes="0"/>
</table>
</file>

<file path=xl/tables/table41.xml><?xml version="1.0" encoding="utf-8"?>
<table xmlns="http://schemas.openxmlformats.org/spreadsheetml/2006/main" id="41" name="TopRAID" displayName="TopRAID" ref="A34:H42" headerRowCount="1">
  <tableColumns count="8">
    <tableColumn id="1" name="_Task">
      <calculatedColumnFormula>IFERROR(MATCH(LARGE(raid_TopKey,ROW()-ROW(TopRAID[[#Headers],[_Task]])),raid_TopKey,0),"")</calculatedColumnFormula>
    </tableColumn>
    <tableColumn id="2" name="Item">
      <calculatedColumnFormula>IF(TopRAID[[#This Row],[_Task]]="","",INDEX(raid_Label,TopRAID[[#This Row],[_Task]])&amp;"")</calculatedColumnFormula>
    </tableColumn>
    <tableColumn id="3" name="Response">
      <calculatedColumnFormula>IF(TopRAID[[#This Row],[_Task]]="","",INDEX(raid_Response,TopRAID[[#This Row],[_Task]])&amp;"")</calculatedColumnFormula>
    </tableColumn>
    <tableColumn id="4" name="Owner">
      <calculatedColumnFormula>IF(TopRAID[[#This Row],[_Task]]="","",INDEX(raid_Owner,TopRAID[[#This Row],[_Task]])&amp;"")</calculatedColumnFormula>
    </tableColumn>
    <tableColumn id="5" name="Due">
      <calculatedColumnFormula>IF(TopRAID[[#This Row],[_Task]]="","",IF(N(INDEX(raid_Due,TopRAID[[#This Row],[_Task]]))=0,"",INDEX(raid_Due,TopRAID[[#This Row],[_Task]])))</calculatedColumnFormula>
    </tableColumn>
    <tableColumn id="6" name="Score">
      <calculatedColumnFormula>IF(TopRAID[[#This Row],[_Task]]="","",INDEX(raid_Score,TopRAID[[#This Row],[_Task]]))</calculatedColumnFormula>
    </tableColumn>
    <tableColumn id="7" name="Rating">
      <calculatedColumnFormula>IF(TopRAID[[#This Row],[_Task]]="","",INDEX(raid_Rating,TopRAID[[#This Row],[_Task]])&amp;"")</calculatedColumnFormula>
    </tableColumn>
    <tableColumn id="8" name="Task">
      <calculatedColumnFormula>IF(TopRAID[[#This Row],[_Task]]="","",INDEX(raid_Task,TopRAID[[#This Row],[_Task]])&amp;"")</calculatedColumnFormula>
    </tableColumn>
  </tableColumns>
  <tableStyleInfo name="TableStyleLight1" showRowStripes="0"/>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0.xml"/><Relationship Id="rId3" Type="http://schemas.openxmlformats.org/officeDocument/2006/relationships/table" Target="../tables/table25.xml"/><Relationship Id="rId4" Type="http://schemas.openxmlformats.org/officeDocument/2006/relationships/table" Target="../tables/table39.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1.vml"/><Relationship Id="rId4" Type="http://schemas.openxmlformats.org/officeDocument/2006/relationships/table" Target="../tables/table2.xml"/><Relationship Id="rId5" Type="http://schemas.openxmlformats.org/officeDocument/2006/relationships/table" Target="../tables/table7.xml"/><Relationship Id="rId6" Type="http://schemas.openxmlformats.org/officeDocument/2006/relationships/table" Target="../tables/table26.xml"/><Relationship Id="rId7" Type="http://schemas.openxmlformats.org/officeDocument/2006/relationships/table" Target="../tables/table37.xml"/><Relationship Id="rId8" Type="http://schemas.openxmlformats.org/officeDocument/2006/relationships/table" Target="../tables/table38.xml"/><Relationship Id="rId9" Type="http://schemas.openxmlformats.org/officeDocument/2006/relationships/table" Target="../tables/table41.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Relationship Id="rId3" Type="http://schemas.openxmlformats.org/officeDocument/2006/relationships/table" Target="../tables/table4.xml"/><Relationship Id="rId4" Type="http://schemas.openxmlformats.org/officeDocument/2006/relationships/table" Target="../tables/table6.xml"/><Relationship Id="rId5" Type="http://schemas.openxmlformats.org/officeDocument/2006/relationships/table" Target="../tables/table11.xml"/><Relationship Id="rId6" Type="http://schemas.openxmlformats.org/officeDocument/2006/relationships/table" Target="../tables/table22.xml"/><Relationship Id="rId7" Type="http://schemas.openxmlformats.org/officeDocument/2006/relationships/table" Target="../tables/table27.xml"/><Relationship Id="rId8" Type="http://schemas.openxmlformats.org/officeDocument/2006/relationships/table" Target="../tables/table35.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3.xml"/><Relationship Id="rId3" Type="http://schemas.openxmlformats.org/officeDocument/2006/relationships/vmlDrawing" Target="../drawings/vmlDrawing3.vml"/><Relationship Id="rId4" Type="http://schemas.openxmlformats.org/officeDocument/2006/relationships/table" Target="../tables/table29.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4.xml"/><Relationship Id="rId3" Type="http://schemas.openxmlformats.org/officeDocument/2006/relationships/vmlDrawing" Target="../drawings/vmlDrawing4.vml"/><Relationship Id="rId4" Type="http://schemas.openxmlformats.org/officeDocument/2006/relationships/table" Target="../tables/table1.xml"/><Relationship Id="rId5" Type="http://schemas.openxmlformats.org/officeDocument/2006/relationships/table" Target="../tables/table32.xml"/><Relationship Id="rId6" Type="http://schemas.openxmlformats.org/officeDocument/2006/relationships/table" Target="../tables/table33.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5.vml"/><Relationship Id="rId3" Type="http://schemas.openxmlformats.org/officeDocument/2006/relationships/table" Target="../tables/table28.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6.vml"/><Relationship Id="rId3" Type="http://schemas.openxmlformats.org/officeDocument/2006/relationships/table" Target="../tables/table5.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7.vml"/><Relationship Id="rId3" Type="http://schemas.openxmlformats.org/officeDocument/2006/relationships/table" Target="../tables/table3.xml"/>
</Relationships>
</file>

<file path=xl/worksheets/_rels/sheet10.xml.rels><?xml version="1.0" encoding="UTF-8"?>
<Relationships xmlns="http://schemas.openxmlformats.org/package/2006/relationships"><Relationship Id="rId1" Type="http://schemas.openxmlformats.org/officeDocument/2006/relationships/drawing" Target="../drawings/drawing5.xml"/><Relationship Id="rId2" Type="http://schemas.openxmlformats.org/officeDocument/2006/relationships/table" Target="../tables/table31.xml"/><Relationship Id="rId3" Type="http://schemas.openxmlformats.org/officeDocument/2006/relationships/table" Target="../tables/table36.x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8.vml"/><Relationship Id="rId3" Type="http://schemas.openxmlformats.org/officeDocument/2006/relationships/table" Target="../tables/table40.xml"/>
</Relationships>
</file>

<file path=xl/worksheets/_rels/sheet13.xml.rels><?xml version="1.0" encoding="UTF-8"?>
<Relationships xmlns="http://schemas.openxmlformats.org/package/2006/relationships"><Relationship Id="rId1" Type="http://schemas.openxmlformats.org/officeDocument/2006/relationships/table" Target="../tables/table8.x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9.vml"/><Relationship Id="rId3" Type="http://schemas.openxmlformats.org/officeDocument/2006/relationships/table" Target="../tables/table30.x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0.vml"/><Relationship Id="rId3" Type="http://schemas.openxmlformats.org/officeDocument/2006/relationships/table" Target="../tables/table34.xml"/>
</Relationships>
</file>

<file path=xl/worksheets/_rels/sheet16.xml.rels><?xml version="1.0" encoding="UTF-8"?>
<Relationships xmlns="http://schemas.openxmlformats.org/package/2006/relationships"><Relationship Id="rId1" Type="http://schemas.openxmlformats.org/officeDocument/2006/relationships/table" Target="../tables/table9.x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1.vml"/><Relationship Id="rId3" Type="http://schemas.openxmlformats.org/officeDocument/2006/relationships/table" Target="../tables/table24.xml"/>
</Relationships>
</file>

<file path=xl/worksheets/_rels/sheet18.xml.rels><?xml version="1.0" encoding="UTF-8"?>
<Relationships xmlns="http://schemas.openxmlformats.org/package/2006/relationships"><Relationship Id="rId1" Type="http://schemas.openxmlformats.org/officeDocument/2006/relationships/table" Target="../tables/table23.xml"/>
</Relationships>
</file>

<file path=xl/worksheets/_rels/sheet19.xml.rels><?xml version="1.0" encoding="UTF-8"?>
<Relationships xmlns="http://schemas.openxmlformats.org/package/2006/relationships"><Relationship Id="rId1" Type="http://schemas.openxmlformats.org/officeDocument/2006/relationships/table" Target="../tables/table12.xml"/><Relationship Id="rId2" Type="http://schemas.openxmlformats.org/officeDocument/2006/relationships/table" Target="../tables/table13.xml"/><Relationship Id="rId3" Type="http://schemas.openxmlformats.org/officeDocument/2006/relationships/table" Target="../tables/table14.xml"/><Relationship Id="rId4" Type="http://schemas.openxmlformats.org/officeDocument/2006/relationships/table" Target="../tables/table15.xml"/><Relationship Id="rId5" Type="http://schemas.openxmlformats.org/officeDocument/2006/relationships/table" Target="../tables/table16.xml"/><Relationship Id="rId6" Type="http://schemas.openxmlformats.org/officeDocument/2006/relationships/table" Target="../tables/table17.xml"/><Relationship Id="rId7" Type="http://schemas.openxmlformats.org/officeDocument/2006/relationships/table" Target="../tables/table18.xml"/><Relationship Id="rId8" Type="http://schemas.openxmlformats.org/officeDocument/2006/relationships/table" Target="../tables/table19.xml"/><Relationship Id="rId9" Type="http://schemas.openxmlformats.org/officeDocument/2006/relationships/table" Target="../tables/table20.xml"/><Relationship Id="rId10" Type="http://schemas.openxmlformats.org/officeDocument/2006/relationships/table" Target="../tables/table2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B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10"/>
  </cols>
  <sheetData>
    <row r="1" customFormat="false" ht="22.05" hidden="false" customHeight="false" outlineLevel="0" collapsed="false">
      <c r="B1" s="1" t="s">
        <v>0</v>
      </c>
    </row>
    <row r="4" customFormat="false" ht="15" hidden="false" customHeight="false" outlineLevel="0" collapsed="false">
      <c r="B4" s="2" t="s">
        <v>1</v>
      </c>
      <c r="C4" s="3"/>
    </row>
    <row r="5" customFormat="false" ht="15" hidden="false" customHeight="false" outlineLevel="0" collapsed="false">
      <c r="B5" s="4" t="s">
        <v>2</v>
      </c>
      <c r="C5" s="5" t="s">
        <v>3</v>
      </c>
    </row>
    <row r="7" customFormat="false" ht="15" hidden="false" customHeight="false" outlineLevel="0" collapsed="false">
      <c r="B7" s="2" t="s">
        <v>4</v>
      </c>
      <c r="C7" s="3"/>
    </row>
    <row r="8" customFormat="false" ht="23.85" hidden="false" customHeight="false" outlineLevel="0" collapsed="false">
      <c r="B8" s="4" t="s">
        <v>5</v>
      </c>
      <c r="C8" s="5" t="s">
        <v>6</v>
      </c>
    </row>
    <row r="9" customFormat="false" ht="15" hidden="false" customHeight="false" outlineLevel="0" collapsed="false">
      <c r="B9" s="4" t="s">
        <v>7</v>
      </c>
      <c r="C9" s="5" t="s">
        <v>8</v>
      </c>
    </row>
    <row r="10" customFormat="false" ht="46.25" hidden="false" customHeight="false" outlineLevel="0" collapsed="false">
      <c r="B10" s="4" t="s">
        <v>9</v>
      </c>
      <c r="C10" s="5" t="s">
        <v>10</v>
      </c>
    </row>
    <row r="11" customFormat="false" ht="35.05" hidden="false" customHeight="false" outlineLevel="0" collapsed="false">
      <c r="B11" s="4" t="s">
        <v>11</v>
      </c>
      <c r="C11" s="5" t="s">
        <v>12</v>
      </c>
    </row>
    <row r="12" customFormat="false" ht="23.85" hidden="false" customHeight="false" outlineLevel="0" collapsed="false">
      <c r="B12" s="4" t="s">
        <v>13</v>
      </c>
      <c r="C12" s="5" t="s">
        <v>14</v>
      </c>
    </row>
    <row r="13" customFormat="false" ht="35.05" hidden="false" customHeight="false" outlineLevel="0" collapsed="false">
      <c r="B13" s="4" t="s">
        <v>15</v>
      </c>
      <c r="C13" s="5" t="s">
        <v>16</v>
      </c>
    </row>
    <row r="14" customFormat="false" ht="35.05" hidden="false" customHeight="false" outlineLevel="0" collapsed="false">
      <c r="B14" s="4" t="s">
        <v>17</v>
      </c>
      <c r="C14" s="5" t="s">
        <v>18</v>
      </c>
    </row>
    <row r="15" customFormat="false" ht="46.25" hidden="false" customHeight="false" outlineLevel="0" collapsed="false">
      <c r="B15" s="4" t="s">
        <v>19</v>
      </c>
      <c r="C15" s="5" t="s">
        <v>20</v>
      </c>
    </row>
    <row r="16" customFormat="false" ht="15" hidden="false" customHeight="false" outlineLevel="0" collapsed="false">
      <c r="B16" s="4" t="s">
        <v>21</v>
      </c>
      <c r="C16" s="5" t="s">
        <v>22</v>
      </c>
    </row>
    <row r="17" customFormat="false" ht="35.05" hidden="false" customHeight="false" outlineLevel="0" collapsed="false">
      <c r="B17" s="4" t="s">
        <v>23</v>
      </c>
      <c r="C17" s="5" t="s">
        <v>24</v>
      </c>
    </row>
    <row r="18" customFormat="false" ht="23.85" hidden="false" customHeight="false" outlineLevel="0" collapsed="false">
      <c r="B18" s="4" t="s">
        <v>25</v>
      </c>
      <c r="C18" s="5" t="s">
        <v>26</v>
      </c>
    </row>
    <row r="19" customFormat="false" ht="23.85" hidden="false" customHeight="false" outlineLevel="0" collapsed="false">
      <c r="B19" s="4" t="s">
        <v>27</v>
      </c>
      <c r="C19" s="5" t="s">
        <v>28</v>
      </c>
    </row>
    <row r="20" customFormat="false" ht="23.85" hidden="false" customHeight="false" outlineLevel="0" collapsed="false">
      <c r="B20" s="4" t="s">
        <v>29</v>
      </c>
      <c r="C20" s="5" t="s">
        <v>30</v>
      </c>
    </row>
    <row r="21" customFormat="false" ht="35.05" hidden="false" customHeight="false" outlineLevel="0" collapsed="false">
      <c r="B21" s="4" t="s">
        <v>31</v>
      </c>
      <c r="C21" s="5" t="s">
        <v>32</v>
      </c>
    </row>
    <row r="22" customFormat="false" ht="35.05" hidden="false" customHeight="false" outlineLevel="0" collapsed="false">
      <c r="B22" s="4" t="s">
        <v>33</v>
      </c>
      <c r="C22" s="5" t="s">
        <v>34</v>
      </c>
    </row>
    <row r="23" customFormat="false" ht="23.85" hidden="false" customHeight="false" outlineLevel="0" collapsed="false">
      <c r="B23" s="4" t="s">
        <v>35</v>
      </c>
      <c r="C23" s="5" t="s">
        <v>36</v>
      </c>
    </row>
    <row r="24" customFormat="false" ht="35.05" hidden="false" customHeight="false" outlineLevel="0" collapsed="false">
      <c r="B24" s="4" t="s">
        <v>37</v>
      </c>
      <c r="C24" s="5" t="s">
        <v>38</v>
      </c>
    </row>
    <row r="26" customFormat="false" ht="15" hidden="false" customHeight="false" outlineLevel="0" collapsed="false">
      <c r="B26" s="2" t="s">
        <v>39</v>
      </c>
      <c r="C26" s="3"/>
    </row>
    <row r="27" customFormat="false" ht="15" hidden="false" customHeight="false" outlineLevel="0" collapsed="false">
      <c r="B27" s="4" t="s">
        <v>40</v>
      </c>
      <c r="C27" s="6" t="s">
        <v>41</v>
      </c>
    </row>
    <row r="28" customFormat="false" ht="15" hidden="false" customHeight="false" outlineLevel="0" collapsed="false">
      <c r="B28" s="4" t="s">
        <v>42</v>
      </c>
      <c r="C28" s="7" t="s">
        <v>43</v>
      </c>
    </row>
    <row r="29" customFormat="false" ht="15" hidden="false" customHeight="false" outlineLevel="0" collapsed="false">
      <c r="B29" s="4" t="s">
        <v>44</v>
      </c>
      <c r="C29" s="5" t="s">
        <v>45</v>
      </c>
    </row>
    <row r="31" customFormat="false" ht="15" hidden="false" customHeight="false" outlineLevel="0" collapsed="false">
      <c r="B31" s="2" t="s">
        <v>46</v>
      </c>
      <c r="C31" s="3"/>
    </row>
    <row r="32" customFormat="false" ht="23.85" hidden="false" customHeight="false" outlineLevel="0" collapsed="false">
      <c r="B32" s="4" t="s">
        <v>47</v>
      </c>
      <c r="C32" s="5" t="s">
        <v>48</v>
      </c>
    </row>
    <row r="33" customFormat="false" ht="23.85" hidden="false" customHeight="false" outlineLevel="0" collapsed="false">
      <c r="B33" s="4" t="s">
        <v>49</v>
      </c>
      <c r="C33" s="5" t="s">
        <v>50</v>
      </c>
    </row>
    <row r="34" customFormat="false" ht="15" hidden="false" customHeight="false" outlineLevel="0" collapsed="false">
      <c r="B34" s="4" t="s">
        <v>51</v>
      </c>
      <c r="C34" s="5" t="s">
        <v>52</v>
      </c>
    </row>
    <row r="35" customFormat="false" ht="46.25" hidden="false" customHeight="false" outlineLevel="0" collapsed="false">
      <c r="B35" s="4" t="s">
        <v>53</v>
      </c>
      <c r="C35" s="5" t="s">
        <v>54</v>
      </c>
    </row>
    <row r="36" customFormat="false" ht="15" hidden="false" customHeight="false" outlineLevel="0" collapsed="false">
      <c r="B36" s="4" t="s">
        <v>55</v>
      </c>
      <c r="C36" s="5" t="s">
        <v>56</v>
      </c>
    </row>
    <row r="37" customFormat="false" ht="23.85" hidden="false" customHeight="false" outlineLevel="0" collapsed="false">
      <c r="B37" s="4" t="s">
        <v>57</v>
      </c>
      <c r="C37" s="5" t="s">
        <v>58</v>
      </c>
    </row>
    <row r="38" customFormat="false" ht="46.25" hidden="false" customHeight="false" outlineLevel="0" collapsed="false">
      <c r="B38" s="4" t="s">
        <v>59</v>
      </c>
      <c r="C38" s="5" t="s">
        <v>60</v>
      </c>
    </row>
    <row r="39" customFormat="false" ht="35.05" hidden="false" customHeight="false" outlineLevel="0" collapsed="false">
      <c r="B39" s="4" t="s">
        <v>61</v>
      </c>
      <c r="C39" s="5" t="s">
        <v>62</v>
      </c>
    </row>
    <row r="41" customFormat="false" ht="15" hidden="false" customHeight="false" outlineLevel="0" collapsed="false">
      <c r="B41" s="2" t="s">
        <v>63</v>
      </c>
      <c r="C41" s="3"/>
    </row>
    <row r="42" customFormat="false" ht="46.25" hidden="false" customHeight="false" outlineLevel="0" collapsed="false">
      <c r="B42" s="4" t="s">
        <v>64</v>
      </c>
      <c r="C42" s="5" t="s">
        <v>65</v>
      </c>
    </row>
    <row r="43" customFormat="false" ht="15" hidden="false" customHeight="false" outlineLevel="0" collapsed="false">
      <c r="B43" s="4" t="s">
        <v>66</v>
      </c>
      <c r="C43" s="5" t="s">
        <v>67</v>
      </c>
    </row>
    <row r="44" customFormat="false" ht="23.85" hidden="false" customHeight="false" outlineLevel="0" collapsed="false">
      <c r="B44" s="4" t="s">
        <v>68</v>
      </c>
      <c r="C44" s="5" t="s">
        <v>69</v>
      </c>
    </row>
    <row r="45" customFormat="false" ht="46.25" hidden="false" customHeight="false" outlineLevel="0" collapsed="false">
      <c r="B45" s="4" t="s">
        <v>70</v>
      </c>
      <c r="C45" s="5" t="s">
        <v>71</v>
      </c>
    </row>
    <row r="46" customFormat="false" ht="35.05" hidden="false" customHeight="false" outlineLevel="0" collapsed="false">
      <c r="B46" s="4" t="s">
        <v>72</v>
      </c>
      <c r="C46" s="5" t="s">
        <v>73</v>
      </c>
    </row>
    <row r="47" customFormat="false" ht="23.85" hidden="false" customHeight="false" outlineLevel="0" collapsed="false">
      <c r="B47" s="4" t="s">
        <v>74</v>
      </c>
      <c r="C47" s="5" t="s">
        <v>75</v>
      </c>
    </row>
    <row r="48" customFormat="false" ht="23.85" hidden="false" customHeight="false" outlineLevel="0" collapsed="false">
      <c r="B48" s="4" t="s">
        <v>76</v>
      </c>
      <c r="C48" s="5" t="s">
        <v>77</v>
      </c>
    </row>
    <row r="50" customFormat="false" ht="15" hidden="false" customHeight="false" outlineLevel="0" collapsed="false">
      <c r="B50" s="2" t="s">
        <v>78</v>
      </c>
      <c r="C50" s="3"/>
    </row>
    <row r="51" customFormat="false" ht="46.25" hidden="false" customHeight="false" outlineLevel="0" collapsed="false">
      <c r="B51" s="4" t="s">
        <v>79</v>
      </c>
      <c r="C51" s="5" t="s">
        <v>80</v>
      </c>
    </row>
    <row r="52" customFormat="false" ht="57.45" hidden="false" customHeight="false" outlineLevel="0" collapsed="false">
      <c r="B52" s="4" t="s">
        <v>81</v>
      </c>
      <c r="C52" s="5" t="s">
        <v>82</v>
      </c>
    </row>
    <row r="53" customFormat="false" ht="23.85" hidden="false" customHeight="false" outlineLevel="0" collapsed="false">
      <c r="B53" s="4" t="s">
        <v>83</v>
      </c>
      <c r="C53" s="5" t="s">
        <v>84</v>
      </c>
    </row>
    <row r="54" customFormat="false" ht="15" hidden="false" customHeight="false" outlineLevel="0" collapsed="false">
      <c r="B54" s="4" t="s">
        <v>85</v>
      </c>
      <c r="C54" s="5" t="s">
        <v>86</v>
      </c>
    </row>
    <row r="55" customFormat="false" ht="46.25" hidden="false" customHeight="false" outlineLevel="0" collapsed="false">
      <c r="B55" s="4" t="s">
        <v>87</v>
      </c>
      <c r="C55" s="5" t="s">
        <v>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F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8"/>
    <col collapsed="false" customWidth="true" hidden="false" outlineLevel="0" max="3" min="3" style="0" width="22"/>
    <col collapsed="false" customWidth="true" hidden="false" outlineLevel="0" max="4" min="4" style="0" width="4"/>
    <col collapsed="false" customWidth="true" hidden="false" outlineLevel="0" max="5" min="5" style="0" width="18"/>
    <col collapsed="false" customWidth="true" hidden="false" outlineLevel="0" max="6" min="6" style="0" width="12"/>
  </cols>
  <sheetData>
    <row r="1" customFormat="false" ht="22.05" hidden="false" customHeight="false" outlineLevel="0" collapsed="false">
      <c r="A1" s="1" t="str">
        <f aca="false">ProjectName&amp;"  -  Dashboard"</f>
        <v>Customer Portal Implementation  -  Dashboard</v>
      </c>
    </row>
    <row r="2" customFormat="false" ht="15" hidden="false" customHeight="false" outlineLevel="0" collapsed="false">
      <c r="A2" s="8" t="str">
        <f aca="false">"Project manager: "&amp;ProjectManager&amp;"     Status date: "&amp;TEXT(StatusDate,"ddd dd-mmm-yyyy")</f>
        <v>Project manager: Priya Sharma     Status date: Sun 25-Oct-2026</v>
      </c>
    </row>
    <row r="4" customFormat="false" ht="15" hidden="false" customHeight="false" outlineLevel="0" collapsed="false">
      <c r="B4" s="9" t="s">
        <v>89</v>
      </c>
      <c r="C4" s="9" t="s">
        <v>90</v>
      </c>
      <c r="E4" s="9" t="s">
        <v>91</v>
      </c>
      <c r="F4" s="9" t="s">
        <v>92</v>
      </c>
    </row>
    <row r="5" customFormat="false" ht="15" hidden="false" customHeight="false" outlineLevel="0" collapsed="false">
      <c r="B5" s="10" t="s">
        <v>93</v>
      </c>
      <c r="C5" s="11" t="n">
        <f aca="false">MIN(tsk_PlanStart)</f>
        <v>46272</v>
      </c>
      <c r="E5" s="12" t="s">
        <v>94</v>
      </c>
      <c r="F5" s="10" t="n">
        <f aca="false">COUNTIFS(tsk_Status,StatusSummary[[#This Row],[Status]],tsk_IsLeaf,1)</f>
        <v>9</v>
      </c>
    </row>
    <row r="6" customFormat="false" ht="15" hidden="false" customHeight="false" outlineLevel="0" collapsed="false">
      <c r="B6" s="10" t="s">
        <v>95</v>
      </c>
      <c r="C6" s="11" t="n">
        <f aca="false">MAX(tsk_PlanFinish)</f>
        <v>46393</v>
      </c>
      <c r="E6" s="13" t="s">
        <v>96</v>
      </c>
      <c r="F6" s="10" t="n">
        <f aca="false">COUNTIFS(tsk_Status,StatusSummary[[#This Row],[Status]],tsk_IsLeaf,1)</f>
        <v>0</v>
      </c>
    </row>
    <row r="7" customFormat="false" ht="15" hidden="false" customHeight="false" outlineLevel="0" collapsed="false">
      <c r="B7" s="10" t="s">
        <v>97</v>
      </c>
      <c r="C7" s="11" t="n">
        <f aca="false">MAX(tsk_FcFinish)</f>
        <v>46393</v>
      </c>
      <c r="E7" s="14" t="s">
        <v>98</v>
      </c>
      <c r="F7" s="10" t="n">
        <f aca="false">COUNTIFS(tsk_Status,StatusSummary[[#This Row],[Status]],tsk_IsLeaf,1)</f>
        <v>2</v>
      </c>
    </row>
    <row r="8" customFormat="false" ht="15" hidden="false" customHeight="false" outlineLevel="0" collapsed="false">
      <c r="B8" s="10" t="s">
        <v>99</v>
      </c>
      <c r="C8" s="15" t="n">
        <f aca="false">FinishVarianceDays</f>
        <v>0</v>
      </c>
      <c r="E8" s="16" t="s">
        <v>100</v>
      </c>
      <c r="F8" s="10" t="n">
        <f aca="false">COUNTIFS(tsk_Status,StatusSummary[[#This Row],[Status]],tsk_IsLeaf,1)</f>
        <v>1</v>
      </c>
    </row>
    <row r="9" customFormat="false" ht="15" hidden="false" customHeight="false" outlineLevel="0" collapsed="false">
      <c r="B9" s="10" t="s">
        <v>101</v>
      </c>
      <c r="C9" s="17" t="n">
        <f aca="false">IFERROR(SUM(tsk_WtDone)/SUM(tsk_WtDur),0)</f>
        <v>0.434170854271357</v>
      </c>
      <c r="E9" s="18" t="s">
        <v>102</v>
      </c>
      <c r="F9" s="10" t="n">
        <f aca="false">COUNTIFS(tsk_Status,StatusSummary[[#This Row],[Status]],tsk_IsLeaf,1)</f>
        <v>11</v>
      </c>
    </row>
    <row r="10" customFormat="false" ht="15" hidden="false" customHeight="false" outlineLevel="0" collapsed="false">
      <c r="B10" s="10" t="s">
        <v>103</v>
      </c>
      <c r="C10" s="17" t="n">
        <f aca="false">IFERROR(SUMPRODUCT(tsk_WtDur,tsk_PlannedPct)/SUM(tsk_WtDur),0)</f>
        <v>0.554773869346734</v>
      </c>
    </row>
    <row r="11" customFormat="false" ht="15" hidden="false" customHeight="false" outlineLevel="0" collapsed="false">
      <c r="B11" s="10" t="s">
        <v>104</v>
      </c>
      <c r="C11" s="19" t="n">
        <f aca="false">SUM(tsk_IsLeaf)</f>
        <v>23</v>
      </c>
    </row>
    <row r="12" customFormat="false" ht="15" hidden="false" customHeight="false" outlineLevel="0" collapsed="false">
      <c r="B12" s="10" t="s">
        <v>105</v>
      </c>
      <c r="C12" s="19" t="n">
        <f aca="false">SUMPRODUCT(tsk_IsLeaf*(tsk_Duration=0)*(tsk_Name&lt;&gt;""))</f>
        <v>5</v>
      </c>
    </row>
    <row r="13" customFormat="false" ht="15" hidden="false" customHeight="false" outlineLevel="0" collapsed="false">
      <c r="B13" s="10" t="s">
        <v>106</v>
      </c>
      <c r="C13" s="20" t="n">
        <f aca="false">SUMPRODUCT(tsk_Work,tsk_IsLeaf)</f>
        <v>720</v>
      </c>
    </row>
    <row r="14" customFormat="false" ht="15" hidden="false" customHeight="false" outlineLevel="0" collapsed="false">
      <c r="B14" s="10" t="s">
        <v>107</v>
      </c>
      <c r="C14" s="21" t="n">
        <f aca="false">SUMPRODUCT(tsk_Cost,tsk_IsLeaf)</f>
        <v>58040</v>
      </c>
    </row>
    <row r="15" customFormat="false" ht="15" hidden="false" customHeight="false" outlineLevel="0" collapsed="false">
      <c r="B15" s="10" t="s">
        <v>108</v>
      </c>
      <c r="C15" s="22" t="str">
        <f aca="false">IF(CurrentSprint="","(outside sprint range)",CurrentSprint)</f>
        <v>Sprint 4</v>
      </c>
    </row>
    <row r="16" customFormat="false" ht="15" hidden="false" customHeight="false" outlineLevel="0" collapsed="false">
      <c r="B16" s="10" t="s">
        <v>109</v>
      </c>
      <c r="C16" s="22" t="str">
        <f aca="false">IF(COUNT(tsk_BaseStart)=0,"Not set (planned = calculated)","Set on "&amp;COUNT(tsk_BaseStart)&amp;" tasks")</f>
        <v>Not set (planned = calculated)</v>
      </c>
    </row>
    <row r="17" customFormat="false" ht="15" hidden="false" customHeight="false" outlineLevel="0" collapsed="false">
      <c r="B17" s="10" t="s">
        <v>110</v>
      </c>
      <c r="C17" s="19" t="n">
        <f aca="false">COUNTIFS(tsk_Critical,"Yes",tsk_IsLeaf,1)</f>
        <v>11</v>
      </c>
    </row>
    <row r="18" customFormat="false" ht="15" hidden="false" customHeight="false" outlineLevel="0" collapsed="false">
      <c r="B18" s="10" t="s">
        <v>111</v>
      </c>
      <c r="C18" s="19" t="n">
        <f aca="false">COUNTIF(tsk_DeadlineCheck,"Late*")</f>
        <v>1</v>
      </c>
    </row>
    <row r="19" customFormat="false" ht="15" hidden="false" customHeight="false" outlineLevel="0" collapsed="false">
      <c r="B19" s="10" t="s">
        <v>112</v>
      </c>
      <c r="C19" s="19" t="n">
        <f aca="false">COUNTIF(tsk_LinkCheck,"?*")</f>
        <v>0</v>
      </c>
    </row>
    <row r="20" customFormat="false" ht="15" hidden="false" customHeight="false" outlineLevel="0" collapsed="false">
      <c r="B20" s="10" t="s">
        <v>113</v>
      </c>
      <c r="C20" s="22" t="str">
        <f aca="false">ProjectRAG</f>
        <v>Red</v>
      </c>
    </row>
    <row r="21" customFormat="false" ht="15" hidden="false" customHeight="false" outlineLevel="0" collapsed="false">
      <c r="B21" s="10" t="s">
        <v>114</v>
      </c>
      <c r="C21" s="23" t="n">
        <f aca="false">IF(evm_SPI="","-",evm_SPI)</f>
        <v>0.782178217821782</v>
      </c>
    </row>
    <row r="22" customFormat="false" ht="15" hidden="false" customHeight="false" outlineLevel="0" collapsed="false">
      <c r="B22" s="10" t="s">
        <v>115</v>
      </c>
      <c r="C22" s="23" t="n">
        <f aca="false">IF(evm_CPI="","-",evm_CPI)</f>
        <v>0.934296977660972</v>
      </c>
    </row>
    <row r="23" customFormat="false" ht="15" hidden="false" customHeight="false" outlineLevel="0" collapsed="false">
      <c r="B23" s="10" t="s">
        <v>116</v>
      </c>
      <c r="C23" s="21" t="n">
        <f aca="false">evm_EAC</f>
        <v>62121.5752461322</v>
      </c>
    </row>
    <row r="24" customFormat="false" ht="15" hidden="false" customHeight="false" outlineLevel="0" collapsed="false">
      <c r="B24" s="10" t="s">
        <v>117</v>
      </c>
      <c r="C24" s="22" t="str">
        <f aca="false">IF(TotalPoints=0,"-",agl_Done&amp;" / "&amp;TotalPoints)</f>
        <v>33 / 82</v>
      </c>
    </row>
    <row r="25" customFormat="false" ht="15" hidden="false" customHeight="false" outlineLevel="0" collapsed="false">
      <c r="B25" s="10" t="s">
        <v>118</v>
      </c>
      <c r="C25" s="22" t="str">
        <f aca="false">COUNTIFS(raid_Type,"Risk",raid_Status,"&lt;&gt;Closed")&amp;" / "&amp;COUNTIFS(raid_Type,"Issue",raid_Status,"&lt;&gt;Closed")</f>
        <v>2 / 1</v>
      </c>
    </row>
    <row r="26" customFormat="false" ht="15" hidden="false" customHeight="false" outlineLevel="0" collapsed="false">
      <c r="B26" s="10" t="s">
        <v>119</v>
      </c>
      <c r="C26" s="19" t="n">
        <f aca="false">COUNTIF(chg_Status,"Submitted")+COUNTIF(chg_Status,"Under Review")</f>
        <v>1</v>
      </c>
    </row>
    <row r="29" customFormat="false" ht="15" hidden="false" customHeight="false" outlineLevel="0" collapsed="false">
      <c r="B29" s="9" t="s">
        <v>120</v>
      </c>
      <c r="C29" s="9" t="s">
        <v>121</v>
      </c>
    </row>
    <row r="30" customFormat="false" ht="15" hidden="false" customHeight="false" outlineLevel="0" collapsed="false">
      <c r="B30" s="24" t="str">
        <f aca="false">IFERROR(INDEX(tsk_Name,MATCH(SMALL(tsk_MilestoneKey,(ROW()-ROW(NextMilestones[[#Headers],[Next milestones (forecast)]]))),tsk_MilestoneKey,0)),"")</f>
        <v>Build complete</v>
      </c>
      <c r="C30" s="25" t="n">
        <f aca="false">IFERROR(INDEX(tsk_FcFinish,MATCH(SMALL(tsk_MilestoneKey,(ROW()-ROW(NextMilestones[[#Headers],[Next milestones (forecast)]]))),tsk_MilestoneKey,0)),"")</f>
        <v>46335</v>
      </c>
    </row>
    <row r="31" customFormat="false" ht="15" hidden="false" customHeight="false" outlineLevel="0" collapsed="false">
      <c r="B31" s="24" t="str">
        <f aca="false">IFERROR(INDEX(tsk_Name,MATCH(SMALL(tsk_MilestoneKey,(ROW()-ROW(NextMilestones[[#Headers],[Next milestones (forecast)]]))),tsk_MilestoneKey,0)),"")</f>
        <v>Go-live</v>
      </c>
      <c r="C31" s="25" t="n">
        <f aca="false">IFERROR(INDEX(tsk_FcFinish,MATCH(SMALL(tsk_MilestoneKey,(ROW()-ROW(NextMilestones[[#Headers],[Next milestones (forecast)]]))),tsk_MilestoneKey,0)),"")</f>
        <v>46371</v>
      </c>
    </row>
    <row r="32" customFormat="false" ht="15" hidden="false" customHeight="false" outlineLevel="0" collapsed="false">
      <c r="B32" s="24" t="str">
        <f aca="false">IFERROR(INDEX(tsk_Name,MATCH(SMALL(tsk_MilestoneKey,(ROW()-ROW(NextMilestones[[#Headers],[Next milestones (forecast)]]))),tsk_MilestoneKey,0)),"")</f>
        <v>Project closed</v>
      </c>
      <c r="C32" s="25" t="n">
        <f aca="false">IFERROR(INDEX(tsk_FcFinish,MATCH(SMALL(tsk_MilestoneKey,(ROW()-ROW(NextMilestones[[#Headers],[Next milestones (forecast)]]))),tsk_MilestoneKey,0)),"")</f>
        <v>46393</v>
      </c>
    </row>
    <row r="33" customFormat="false" ht="15" hidden="false" customHeight="false" outlineLevel="0" collapsed="false">
      <c r="B33" s="24" t="str">
        <f aca="false">IFERROR(INDEX(tsk_Name,MATCH(SMALL(tsk_MilestoneKey,(ROW()-ROW(NextMilestones[[#Headers],[Next milestones (forecast)]]))),tsk_MilestoneKey,0)),"")</f>
        <v/>
      </c>
      <c r="C33" s="25" t="str">
        <f aca="false">IFERROR(INDEX(tsk_FcFinish,MATCH(SMALL(tsk_MilestoneKey,(ROW()-ROW(NextMilestones[[#Headers],[Next milestones (forecast)]]))),tsk_MilestoneKey,0)),"")</f>
        <v/>
      </c>
    </row>
    <row r="34" customFormat="false" ht="15" hidden="false" customHeight="false" outlineLevel="0" collapsed="false">
      <c r="B34" s="24" t="str">
        <f aca="false">IFERROR(INDEX(tsk_Name,MATCH(SMALL(tsk_MilestoneKey,(ROW()-ROW(NextMilestones[[#Headers],[Next milestones (forecast)]]))),tsk_MilestoneKey,0)),"")</f>
        <v/>
      </c>
      <c r="C34" s="25" t="str">
        <f aca="false">IFERROR(INDEX(tsk_FcFinish,MATCH(SMALL(tsk_MilestoneKey,(ROW()-ROW(NextMilestones[[#Headers],[Next milestones (forecast)]]))),tsk_MilestoneKey,0)),"")</f>
        <v/>
      </c>
    </row>
  </sheetData>
  <conditionalFormatting sqref="C8">
    <cfRule type="expression" priority="2" aboveAverage="0" equalAverage="0" bottom="0" percent="0" rank="0" text="" dxfId="11">
      <formula>C8&gt;0</formula>
    </cfRule>
    <cfRule type="expression" priority="3" aboveAverage="0" equalAverage="0" bottom="0" percent="0" rank="0" text="" dxfId="12">
      <formula>C8&lt;=0</formula>
    </cfRule>
  </conditionalFormatting>
  <conditionalFormatting sqref="C18">
    <cfRule type="expression" priority="4" aboveAverage="0" equalAverage="0" bottom="0" percent="0" rank="0" text="" dxfId="11">
      <formula>C18&gt;0</formula>
    </cfRule>
    <cfRule type="expression" priority="5" aboveAverage="0" equalAverage="0" bottom="0" percent="0" rank="0" text="" dxfId="12">
      <formula>C18&lt;=0</formula>
    </cfRule>
  </conditionalFormatting>
  <conditionalFormatting sqref="C19">
    <cfRule type="expression" priority="6" aboveAverage="0" equalAverage="0" bottom="0" percent="0" rank="0" text="" dxfId="11">
      <formula>C19&gt;0</formula>
    </cfRule>
    <cfRule type="expression" priority="7" aboveAverage="0" equalAverage="0" bottom="0" percent="0" rank="0" text="" dxfId="12">
      <formula>C19&lt;=0</formula>
    </cfRule>
  </conditionalFormatting>
  <conditionalFormatting sqref="C20">
    <cfRule type="expression" priority="8" aboveAverage="0" equalAverage="0" bottom="0" percent="0" rank="0" text="" dxfId="13">
      <formula>C20="Green"</formula>
    </cfRule>
    <cfRule type="expression" priority="9" aboveAverage="0" equalAverage="0" bottom="0" percent="0" rank="0" text="" dxfId="14">
      <formula>C20="Amber"</formula>
    </cfRule>
    <cfRule type="expression" priority="10" aboveAverage="0" equalAverage="0" bottom="0" percent="0" rank="0" text="" dxfId="15">
      <formula>C20="Red"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 r:id="rId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H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true" outlineLevel="0" max="1" min="1" style="0" width="3"/>
    <col collapsed="false" customWidth="true" hidden="false" outlineLevel="0" max="2" min="2" style="0" width="36"/>
    <col collapsed="false" customWidth="true" hidden="false" outlineLevel="0" max="3" min="3" style="0" width="56"/>
    <col collapsed="false" customWidth="true" hidden="false" outlineLevel="0" max="4" min="4" style="0" width="16"/>
    <col collapsed="false" customWidth="true" hidden="false" outlineLevel="0" max="5" min="5" style="0" width="12"/>
    <col collapsed="false" customWidth="true" hidden="false" outlineLevel="0" max="7" min="6" style="0" width="10"/>
    <col collapsed="false" customWidth="true" hidden="false" outlineLevel="0" max="8" min="8" style="0" width="50"/>
  </cols>
  <sheetData>
    <row r="1" customFormat="false" ht="19.7" hidden="false" customHeight="false" outlineLevel="0" collapsed="false">
      <c r="B1" s="26" t="str">
        <f aca="false">ProjectName&amp;"  -  Status Report"</f>
        <v>Customer Portal Implementation  -  Status Report</v>
      </c>
    </row>
    <row r="2" customFormat="false" ht="15" hidden="false" customHeight="false" outlineLevel="0" collapsed="false">
      <c r="B2" s="8" t="str">
        <f aca="false">"Status date "&amp;TEXT(StatusDate,"ddd dd-mmm-yyyy")&amp;"   Project manager: "&amp;ProjectManager&amp;"   Forecast finish "&amp;TEXT(ProjectFinish,"ddd dd-mmm-yyyy")&amp;" ("&amp;TEXT(FinishVarianceDays,"+0;-0;0")&amp;" working days vs plan)"</f>
        <v>Status date Sun 25-Oct-2026   Project manager: Priya Sharma   Forecast finish Wed 06-Jan-2027 (0 working days vs plan)</v>
      </c>
    </row>
    <row r="4" customFormat="false" ht="15" hidden="false" customHeight="false" outlineLevel="0" collapsed="false">
      <c r="B4" s="9" t="s">
        <v>122</v>
      </c>
      <c r="C4" s="9" t="s">
        <v>123</v>
      </c>
      <c r="D4" s="9" t="s">
        <v>90</v>
      </c>
      <c r="E4" s="9" t="s">
        <v>124</v>
      </c>
      <c r="F4" s="27" t="s">
        <v>125</v>
      </c>
      <c r="G4" s="9" t="s">
        <v>126</v>
      </c>
      <c r="H4" s="27" t="s">
        <v>127</v>
      </c>
    </row>
    <row r="5" customFormat="false" ht="15" hidden="false" customHeight="false" outlineLevel="0" collapsed="false">
      <c r="B5" s="10" t="s">
        <v>128</v>
      </c>
      <c r="C5" s="24" t="s">
        <v>129</v>
      </c>
      <c r="D5" s="24" t="str">
        <f aca="false">COUNTIF(StatusRAG[RAG],"Red")&amp;" red, "&amp;COUNTIF(StatusRAG[RAG],"Amber")&amp;" amber"</f>
        <v>2 red, 3 amber</v>
      </c>
      <c r="E5" s="28" t="str">
        <f aca="false">CHOOSE(MAX(IF(COUNTIF(StatusRAG[RAG],"Red")&gt;0,2,0),IF(COUNTIF(StatusRAG[RAG],"Amber")&gt;0,1,0))+1,"Green","Amber","Red")</f>
        <v>Red</v>
      </c>
      <c r="F5" s="29"/>
      <c r="G5" s="28" t="str">
        <f aca="false">IF(OverallStatus[[#This Row],[PM RAG]]&lt;&gt;"",OverallStatus[[#This Row],[PM RAG]],OverallStatus[[#This Row],[Calculated]])</f>
        <v>Red</v>
      </c>
      <c r="H5" s="30"/>
    </row>
    <row r="6" customFormat="false" ht="15" hidden="false" customHeight="false" outlineLevel="0" collapsed="false">
      <c r="B6" s="31"/>
    </row>
    <row r="7" customFormat="false" ht="15" hidden="false" customHeight="false" outlineLevel="0" collapsed="false">
      <c r="B7" s="32" t="s">
        <v>122</v>
      </c>
      <c r="C7" s="9" t="s">
        <v>123</v>
      </c>
      <c r="D7" s="9" t="s">
        <v>90</v>
      </c>
      <c r="E7" s="9" t="s">
        <v>124</v>
      </c>
      <c r="F7" s="27" t="s">
        <v>125</v>
      </c>
      <c r="G7" s="9" t="s">
        <v>126</v>
      </c>
      <c r="H7" s="27" t="s">
        <v>127</v>
      </c>
    </row>
    <row r="8" customFormat="false" ht="15" hidden="false" customHeight="false" outlineLevel="0" collapsed="false">
      <c r="B8" s="10" t="s">
        <v>130</v>
      </c>
      <c r="C8" s="24" t="s">
        <v>131</v>
      </c>
      <c r="D8" s="33" t="n">
        <f aca="false">FinishVarianceDays</f>
        <v>0</v>
      </c>
      <c r="E8" s="28" t="str">
        <f aca="false">CHOOSE(IF(N(StatusRAG[[#This Row],[Value]])&gt;=RAGRedSlipDays,2,IF(N(StatusRAG[[#This Row],[Value]])&gt;=RAGAmberSlipDays,1,0))+1,"Green","Amber","Red")</f>
        <v>Green</v>
      </c>
      <c r="F8" s="29"/>
      <c r="G8" s="28" t="str">
        <f aca="false">IF(StatusRAG[[#This Row],[PM RAG]]&lt;&gt;"",StatusRAG[[#This Row],[PM RAG]],StatusRAG[[#This Row],[Calculated]])</f>
        <v>Green</v>
      </c>
      <c r="H8" s="30"/>
    </row>
    <row r="9" customFormat="false" ht="15" hidden="false" customHeight="false" outlineLevel="0" collapsed="false">
      <c r="B9" s="10" t="s">
        <v>132</v>
      </c>
      <c r="C9" s="24" t="s">
        <v>133</v>
      </c>
      <c r="D9" s="34" t="n">
        <f aca="false">evm_SPI</f>
        <v>0.782178217821782</v>
      </c>
      <c r="E9" s="28" t="str">
        <f aca="false">CHOOSE(IF(ISNUMBER(StatusRAG[[#This Row],[Value]]),IF(StatusRAG[[#This Row],[Value]]&lt;RAGRedIndex,2,IF(StatusRAG[[#This Row],[Value]]&lt;RAGAmberIndex,1,0)),0)+1,"Green","Amber","Red")</f>
        <v>Red</v>
      </c>
      <c r="F9" s="29"/>
      <c r="G9" s="28" t="str">
        <f aca="false">IF(StatusRAG[[#This Row],[PM RAG]]&lt;&gt;"",StatusRAG[[#This Row],[PM RAG]],StatusRAG[[#This Row],[Calculated]])</f>
        <v>Red</v>
      </c>
      <c r="H9" s="30"/>
    </row>
    <row r="10" customFormat="false" ht="15" hidden="false" customHeight="false" outlineLevel="0" collapsed="false">
      <c r="B10" s="10" t="s">
        <v>134</v>
      </c>
      <c r="C10" s="24" t="s">
        <v>135</v>
      </c>
      <c r="D10" s="34" t="n">
        <f aca="false">evm_CPI</f>
        <v>0.934296977660972</v>
      </c>
      <c r="E10" s="28" t="str">
        <f aca="false">CHOOSE(IF(ISNUMBER(StatusRAG[[#This Row],[Value]]),IF(StatusRAG[[#This Row],[Value]]&lt;RAGRedIndex,2,IF(StatusRAG[[#This Row],[Value]]&lt;RAGAmberIndex,1,0)),0)+1,"Green","Amber","Red")</f>
        <v>Amber</v>
      </c>
      <c r="F10" s="29"/>
      <c r="G10" s="28" t="str">
        <f aca="false">IF(StatusRAG[[#This Row],[PM RAG]]&lt;&gt;"",StatusRAG[[#This Row],[PM RAG]],StatusRAG[[#This Row],[Calculated]])</f>
        <v>Amber</v>
      </c>
      <c r="H10" s="30"/>
    </row>
    <row r="11" customFormat="false" ht="15" hidden="false" customHeight="false" outlineLevel="0" collapsed="false">
      <c r="B11" s="10" t="s">
        <v>136</v>
      </c>
      <c r="C11" s="24" t="s">
        <v>137</v>
      </c>
      <c r="D11" s="35" t="n">
        <f aca="false">COUNTIF(tsk_DeadlineCheck,"Late*")</f>
        <v>1</v>
      </c>
      <c r="E11" s="28" t="str">
        <f aca="false">CHOOSE(IF(N(StatusRAG[[#This Row],[Value]])&gt;0,2,0)+1,"Green","Amber","Red")</f>
        <v>Red</v>
      </c>
      <c r="F11" s="29"/>
      <c r="G11" s="28" t="str">
        <f aca="false">IF(StatusRAG[[#This Row],[PM RAG]]&lt;&gt;"",StatusRAG[[#This Row],[PM RAG]],StatusRAG[[#This Row],[Calculated]])</f>
        <v>Red</v>
      </c>
      <c r="H11" s="30"/>
    </row>
    <row r="12" customFormat="false" ht="15" hidden="false" customHeight="false" outlineLevel="0" collapsed="false">
      <c r="B12" s="10" t="s">
        <v>15</v>
      </c>
      <c r="C12" s="24" t="s">
        <v>138</v>
      </c>
      <c r="D12" s="35" t="n">
        <f aca="false">COUNTIFS(tsk_Critical,"Yes",tsk_IsLeaf,1,tsk_Variance,"&gt;0")</f>
        <v>5</v>
      </c>
      <c r="E12" s="28" t="str">
        <f aca="false">CHOOSE(IF(N(StatusRAG[[#This Row],[Value]])&gt;0,1,0)+1,"Green","Amber","Red")</f>
        <v>Amber</v>
      </c>
      <c r="F12" s="29"/>
      <c r="G12" s="28" t="str">
        <f aca="false">IF(StatusRAG[[#This Row],[PM RAG]]&lt;&gt;"",StatusRAG[[#This Row],[PM RAG]],StatusRAG[[#This Row],[Calculated]])</f>
        <v>Amber</v>
      </c>
      <c r="H12" s="30"/>
    </row>
    <row r="13" customFormat="false" ht="15" hidden="false" customHeight="false" outlineLevel="0" collapsed="false">
      <c r="B13" s="10" t="s">
        <v>139</v>
      </c>
      <c r="C13" s="24" t="s">
        <v>140</v>
      </c>
      <c r="D13" s="35" t="n">
        <f aca="false">COUNTIFS(raid_Rating,"High",raid_Status,"&lt;&gt;Closed")</f>
        <v>3</v>
      </c>
      <c r="E13" s="28" t="str">
        <f aca="false">CHOOSE(IF(N(StatusRAG[[#This Row],[Value]])&gt;0,1,0)+1,"Green","Amber","Red")</f>
        <v>Amber</v>
      </c>
      <c r="F13" s="29"/>
      <c r="G13" s="28" t="str">
        <f aca="false">IF(StatusRAG[[#This Row],[PM RAG]]&lt;&gt;"",StatusRAG[[#This Row],[PM RAG]],StatusRAG[[#This Row],[Calculated]])</f>
        <v>Amber</v>
      </c>
      <c r="H13" s="30"/>
    </row>
    <row r="14" customFormat="false" ht="15" hidden="false" customHeight="false" outlineLevel="0" collapsed="false">
      <c r="B14" s="10" t="s">
        <v>141</v>
      </c>
      <c r="C14" s="24" t="s">
        <v>142</v>
      </c>
      <c r="D14" s="35" t="n">
        <f aca="false">COUNTIF(tsk_LinkCheck,"?*")+COUNTIF(tsk_WBS,"~?")</f>
        <v>0</v>
      </c>
      <c r="E14" s="28" t="str">
        <f aca="false">CHOOSE(IF(N(StatusRAG[[#This Row],[Value]])&gt;0,1,0)+1,"Green","Amber","Red")</f>
        <v>Green</v>
      </c>
      <c r="F14" s="29"/>
      <c r="G14" s="28" t="str">
        <f aca="false">IF(StatusRAG[[#This Row],[PM RAG]]&lt;&gt;"",StatusRAG[[#This Row],[PM RAG]],StatusRAG[[#This Row],[Calculated]])</f>
        <v>Green</v>
      </c>
      <c r="H14" s="30"/>
    </row>
    <row r="16" customFormat="false" ht="15" hidden="false" customHeight="false" outlineLevel="0" collapsed="false">
      <c r="B16" s="36" t="s">
        <v>143</v>
      </c>
    </row>
    <row r="17" customFormat="false" ht="15" hidden="false" customHeight="false" outlineLevel="0" collapsed="false">
      <c r="B17" s="9" t="s">
        <v>123</v>
      </c>
      <c r="C17" s="9" t="s">
        <v>144</v>
      </c>
      <c r="D17" s="9" t="s">
        <v>90</v>
      </c>
    </row>
    <row r="18" customFormat="false" ht="15" hidden="false" customHeight="false" outlineLevel="0" collapsed="false">
      <c r="B18" s="24" t="s">
        <v>145</v>
      </c>
      <c r="C18" s="24" t="s">
        <v>146</v>
      </c>
      <c r="D18" s="37" t="n">
        <f aca="false">SUM(tsk_LeafBudget)</f>
        <v>58040</v>
      </c>
    </row>
    <row r="19" customFormat="false" ht="15" hidden="false" customHeight="false" outlineLevel="0" collapsed="false">
      <c r="B19" s="24" t="s">
        <v>147</v>
      </c>
      <c r="C19" s="24" t="s">
        <v>148</v>
      </c>
      <c r="D19" s="37" t="n">
        <f aca="false">SUM(tsk_LeafPV)</f>
        <v>36360</v>
      </c>
    </row>
    <row r="20" customFormat="false" ht="15" hidden="false" customHeight="false" outlineLevel="0" collapsed="false">
      <c r="B20" s="24" t="s">
        <v>149</v>
      </c>
      <c r="C20" s="24" t="s">
        <v>150</v>
      </c>
      <c r="D20" s="37" t="n">
        <f aca="false">SUM(tsk_LeafEV)</f>
        <v>28440</v>
      </c>
    </row>
    <row r="21" customFormat="false" ht="15" hidden="false" customHeight="false" outlineLevel="0" collapsed="false">
      <c r="B21" s="24" t="s">
        <v>151</v>
      </c>
      <c r="C21" s="24" t="s">
        <v>152</v>
      </c>
      <c r="D21" s="37" t="n">
        <f aca="false">SUM(tsk_LeafAC)</f>
        <v>30440</v>
      </c>
    </row>
    <row r="22" customFormat="false" ht="15" hidden="false" customHeight="false" outlineLevel="0" collapsed="false">
      <c r="B22" s="24" t="s">
        <v>153</v>
      </c>
      <c r="C22" s="24" t="s">
        <v>154</v>
      </c>
      <c r="D22" s="37" t="n">
        <f aca="false">evm_EV-evm_PV</f>
        <v>-7920</v>
      </c>
    </row>
    <row r="23" customFormat="false" ht="15" hidden="false" customHeight="false" outlineLevel="0" collapsed="false">
      <c r="B23" s="24" t="s">
        <v>155</v>
      </c>
      <c r="C23" s="24" t="s">
        <v>156</v>
      </c>
      <c r="D23" s="37" t="n">
        <f aca="false">evm_EV-evm_AC</f>
        <v>-2000</v>
      </c>
    </row>
    <row r="24" customFormat="false" ht="15" hidden="false" customHeight="false" outlineLevel="0" collapsed="false">
      <c r="B24" s="24" t="s">
        <v>157</v>
      </c>
      <c r="C24" s="24" t="s">
        <v>158</v>
      </c>
      <c r="D24" s="38" t="n">
        <f aca="false">IF(evm_PV&gt;0,evm_EV/evm_PV,"")</f>
        <v>0.782178217821782</v>
      </c>
    </row>
    <row r="25" customFormat="false" ht="15" hidden="false" customHeight="false" outlineLevel="0" collapsed="false">
      <c r="B25" s="24" t="s">
        <v>159</v>
      </c>
      <c r="C25" s="24" t="s">
        <v>160</v>
      </c>
      <c r="D25" s="38" t="n">
        <f aca="false">IF(evm_AC&gt;0,evm_EV/evm_AC,"")</f>
        <v>0.934296977660972</v>
      </c>
    </row>
    <row r="26" customFormat="false" ht="15" hidden="false" customHeight="false" outlineLevel="0" collapsed="false">
      <c r="B26" s="24" t="s">
        <v>161</v>
      </c>
      <c r="C26" s="24" t="s">
        <v>162</v>
      </c>
      <c r="D26" s="37" t="n">
        <f aca="false">IF(N(evm_CPI)&gt;0,evm_AC+(evm_BAC-evm_EV)/evm_CPI,evm_AC+evm_BAC-evm_EV)</f>
        <v>62121.5752461322</v>
      </c>
    </row>
    <row r="27" customFormat="false" ht="15" hidden="false" customHeight="false" outlineLevel="0" collapsed="false">
      <c r="B27" s="24" t="s">
        <v>163</v>
      </c>
      <c r="C27" s="24" t="s">
        <v>164</v>
      </c>
      <c r="D27" s="37" t="n">
        <f aca="false">evm_EAC-evm_AC</f>
        <v>31681.5752461322</v>
      </c>
    </row>
    <row r="28" customFormat="false" ht="15" hidden="false" customHeight="false" outlineLevel="0" collapsed="false">
      <c r="B28" s="24" t="s">
        <v>165</v>
      </c>
      <c r="C28" s="24" t="s">
        <v>166</v>
      </c>
      <c r="D28" s="37" t="n">
        <f aca="false">evm_BAC-evm_EAC</f>
        <v>-4081.57524613221</v>
      </c>
    </row>
    <row r="29" customFormat="false" ht="15" hidden="false" customHeight="false" outlineLevel="0" collapsed="false">
      <c r="B29" s="24" t="s">
        <v>167</v>
      </c>
      <c r="C29" s="24" t="s">
        <v>168</v>
      </c>
      <c r="D29" s="38" t="n">
        <f aca="false">IF(evm_BAC&gt;evm_AC,(evm_BAC-evm_EV)/(evm_BAC-evm_AC),"")</f>
        <v>1.07246376811594</v>
      </c>
    </row>
    <row r="30" customFormat="false" ht="15" hidden="false" customHeight="false" outlineLevel="0" collapsed="false">
      <c r="B30" s="24" t="s">
        <v>169</v>
      </c>
      <c r="C30" s="24" t="s">
        <v>170</v>
      </c>
      <c r="D30" s="39" t="n">
        <f aca="false">IF(evm_BAC&gt;0,evm_EV/evm_BAC,0)</f>
        <v>0.49000689179876</v>
      </c>
    </row>
    <row r="31" customFormat="false" ht="15" hidden="false" customHeight="false" outlineLevel="0" collapsed="false">
      <c r="B31" s="24" t="s">
        <v>171</v>
      </c>
      <c r="C31" s="24" t="s">
        <v>172</v>
      </c>
      <c r="D31" s="39" t="n">
        <f aca="false">IF(evm_BAC&gt;0,evm_PV/evm_BAC,0)</f>
        <v>0.626464507236389</v>
      </c>
    </row>
    <row r="33" customFormat="false" ht="15" hidden="false" customHeight="false" outlineLevel="0" collapsed="false">
      <c r="B33" s="36" t="str">
        <f aca="false">"TOP OPEN RAID ITEMS (by score)"&amp;": "&amp;COUNT(raid_TopKey)&amp;IF(COUNT(raid_TopKey)&gt;ROWS(TopRAID[_Task])," (showing the first "&amp;ROWS(TopRAID[_Task])&amp;")","")</f>
        <v>TOP OPEN RAID ITEMS (by score): 5</v>
      </c>
    </row>
    <row r="34" customFormat="false" ht="35.05" hidden="false" customHeight="false" outlineLevel="0" collapsed="false">
      <c r="A34" s="40" t="s">
        <v>173</v>
      </c>
      <c r="B34" s="9" t="s">
        <v>174</v>
      </c>
      <c r="C34" s="9" t="s">
        <v>175</v>
      </c>
      <c r="D34" s="9" t="s">
        <v>176</v>
      </c>
      <c r="E34" s="9" t="s">
        <v>177</v>
      </c>
      <c r="F34" s="9" t="s">
        <v>178</v>
      </c>
      <c r="G34" s="9" t="s">
        <v>179</v>
      </c>
      <c r="H34" s="9" t="s">
        <v>180</v>
      </c>
    </row>
    <row r="35" customFormat="false" ht="15" hidden="false" customHeight="false" outlineLevel="0" collapsed="false">
      <c r="A35" s="41" t="n">
        <f aca="false">IFERROR(MATCH(LARGE(raid_TopKey,ROW()-ROW(TopRAID[[#Headers],[_Task]])),raid_TopKey,0),"")</f>
        <v>3</v>
      </c>
      <c r="B35" s="24" t="str">
        <f aca="false">IF(TopRAID[[#This Row],[_Task]]="","",INDEX(raid_Label,TopRAID[[#This Row],[_Task]])&amp;"")</f>
        <v>Issue 3: Core API endpoints running 6 days behind plan</v>
      </c>
      <c r="C35" s="24" t="str">
        <f aca="false">IF(TopRAID[[#This Row],[_Task]]="","",INDEX(raid_Response,TopRAID[[#This Row],[_Task]])&amp;"")</f>
        <v>Add a second developer for two weeks (change request CR 2).</v>
      </c>
      <c r="D35" s="24" t="str">
        <f aca="false">IF(TopRAID[[#This Row],[_Task]]="","",INDEX(raid_Owner,TopRAID[[#This Row],[_Task]])&amp;"")</f>
        <v>Priya Sharma</v>
      </c>
      <c r="E35" s="42" t="n">
        <f aca="false">IF(TopRAID[[#This Row],[_Task]]="","",IF(N(INDEX(raid_Due,TopRAID[[#This Row],[_Task]]))=0,"",INDEX(raid_Due,TopRAID[[#This Row],[_Task]])))</f>
        <v>46318</v>
      </c>
      <c r="F35" s="43" t="n">
        <f aca="false">IF(TopRAID[[#This Row],[_Task]]="","",INDEX(raid_Score,TopRAID[[#This Row],[_Task]]))</f>
        <v>20</v>
      </c>
      <c r="G35" s="24" t="str">
        <f aca="false">IF(TopRAID[[#This Row],[_Task]]="","",INDEX(raid_Rating,TopRAID[[#This Row],[_Task]])&amp;"")</f>
        <v>High</v>
      </c>
      <c r="H35" s="24" t="str">
        <f aca="false">IF(TopRAID[[#This Row],[_Task]]="","",INDEX(raid_Task,TopRAID[[#This Row],[_Task]])&amp;"")</f>
        <v>Core API endpoints</v>
      </c>
    </row>
    <row r="36" customFormat="false" ht="15" hidden="false" customHeight="false" outlineLevel="0" collapsed="false">
      <c r="A36" s="41" t="n">
        <f aca="false">IFERROR(MATCH(LARGE(raid_TopKey,ROW()-ROW(TopRAID[[#Headers],[_Task]])),raid_TopKey,0),"")</f>
        <v>1</v>
      </c>
      <c r="B36" s="24" t="str">
        <f aca="false">IF(TopRAID[[#This Row],[_Task]]="","",INDEX(raid_Label,TopRAID[[#This Row],[_Task]])&amp;"")</f>
        <v>Risk 1: Payment provider certification takes longer than planned</v>
      </c>
      <c r="C36" s="24" t="str">
        <f aca="false">IF(TopRAID[[#This Row],[_Task]]="","",INDEX(raid_Response,TopRAID[[#This Row],[_Task]])&amp;"")</f>
        <v>Start the certification paperwork now; book the provider's test slot.</v>
      </c>
      <c r="D36" s="24" t="str">
        <f aca="false">IF(TopRAID[[#This Row],[_Task]]="","",INDEX(raid_Owner,TopRAID[[#This Row],[_Task]])&amp;"")</f>
        <v>Jordan Lee</v>
      </c>
      <c r="E36" s="42" t="n">
        <f aca="false">IF(TopRAID[[#This Row],[_Task]]="","",IF(N(INDEX(raid_Due,TopRAID[[#This Row],[_Task]]))=0,"",INDEX(raid_Due,TopRAID[[#This Row],[_Task]])))</f>
        <v>46325</v>
      </c>
      <c r="F36" s="43" t="n">
        <f aca="false">IF(TopRAID[[#This Row],[_Task]]="","",INDEX(raid_Score,TopRAID[[#This Row],[_Task]]))</f>
        <v>16</v>
      </c>
      <c r="G36" s="24" t="str">
        <f aca="false">IF(TopRAID[[#This Row],[_Task]]="","",INDEX(raid_Rating,TopRAID[[#This Row],[_Task]])&amp;"")</f>
        <v>High</v>
      </c>
      <c r="H36" s="24" t="str">
        <f aca="false">IF(TopRAID[[#This Row],[_Task]]="","",INDEX(raid_Task,TopRAID[[#This Row],[_Task]])&amp;"")</f>
        <v>Payment gateway integration</v>
      </c>
    </row>
    <row r="37" customFormat="false" ht="15" hidden="false" customHeight="false" outlineLevel="0" collapsed="false">
      <c r="A37" s="41" t="n">
        <f aca="false">IFERROR(MATCH(LARGE(raid_TopKey,ROW()-ROW(TopRAID[[#Headers],[_Task]])),raid_TopKey,0),"")</f>
        <v>5</v>
      </c>
      <c r="B37" s="24" t="str">
        <f aca="false">IF(TopRAID[[#This Row],[_Task]]="","",INDEX(raid_Label,TopRAID[[#This Row],[_Task]])&amp;"")</f>
        <v>Dependency 5: Test environment delivered by IT operations by 9 November</v>
      </c>
      <c r="C37" s="24" t="str">
        <f aca="false">IF(TopRAID[[#This Row],[_Task]]="","",INDEX(raid_Response,TopRAID[[#This Row],[_Task]])&amp;"")</f>
        <v>Weekly check-in with IT operations.</v>
      </c>
      <c r="D37" s="24" t="str">
        <f aca="false">IF(TopRAID[[#This Row],[_Task]]="","",INDEX(raid_Owner,TopRAID[[#This Row],[_Task]])&amp;"")</f>
        <v>Alex Chen</v>
      </c>
      <c r="E37" s="42" t="n">
        <f aca="false">IF(TopRAID[[#This Row],[_Task]]="","",IF(N(INDEX(raid_Due,TopRAID[[#This Row],[_Task]]))=0,"",INDEX(raid_Due,TopRAID[[#This Row],[_Task]])))</f>
        <v>46335</v>
      </c>
      <c r="F37" s="43" t="n">
        <f aca="false">IF(TopRAID[[#This Row],[_Task]]="","",INDEX(raid_Score,TopRAID[[#This Row],[_Task]]))</f>
        <v>15</v>
      </c>
      <c r="G37" s="24" t="str">
        <f aca="false">IF(TopRAID[[#This Row],[_Task]]="","",INDEX(raid_Rating,TopRAID[[#This Row],[_Task]])&amp;"")</f>
        <v>High</v>
      </c>
      <c r="H37" s="24" t="str">
        <f aca="false">IF(TopRAID[[#This Row],[_Task]]="","",INDEX(raid_Task,TopRAID[[#This Row],[_Task]])&amp;"")</f>
        <v>System integration testing</v>
      </c>
    </row>
    <row r="38" customFormat="false" ht="15" hidden="false" customHeight="false" outlineLevel="0" collapsed="false">
      <c r="A38" s="41" t="n">
        <f aca="false">IFERROR(MATCH(LARGE(raid_TopKey,ROW()-ROW(TopRAID[[#Headers],[_Task]])),raid_TopKey,0),"")</f>
        <v>2</v>
      </c>
      <c r="B38" s="24" t="str">
        <f aca="false">IF(TopRAID[[#This Row],[_Task]]="","",INDEX(raid_Label,TopRAID[[#This Row],[_Task]])&amp;"")</f>
        <v>Risk 2: UX designer on leave for two weeks in November</v>
      </c>
      <c r="C38" s="24" t="str">
        <f aca="false">IF(TopRAID[[#This Row],[_Task]]="","",INDEX(raid_Response,TopRAID[[#This Row],[_Task]])&amp;"")</f>
        <v>Agree cover with the design agency.</v>
      </c>
      <c r="D38" s="24" t="str">
        <f aca="false">IF(TopRAID[[#This Row],[_Task]]="","",INDEX(raid_Owner,TopRAID[[#This Row],[_Task]])&amp;"")</f>
        <v>Casey Kim</v>
      </c>
      <c r="E38" s="42" t="n">
        <f aca="false">IF(TopRAID[[#This Row],[_Task]]="","",IF(N(INDEX(raid_Due,TopRAID[[#This Row],[_Task]]))=0,"",INDEX(raid_Due,TopRAID[[#This Row],[_Task]])))</f>
        <v>46328</v>
      </c>
      <c r="F38" s="43" t="n">
        <f aca="false">IF(TopRAID[[#This Row],[_Task]]="","",INDEX(raid_Score,TopRAID[[#This Row],[_Task]]))</f>
        <v>9</v>
      </c>
      <c r="G38" s="24" t="str">
        <f aca="false">IF(TopRAID[[#This Row],[_Task]]="","",INDEX(raid_Rating,TopRAID[[#This Row],[_Task]])&amp;"")</f>
        <v>Medium</v>
      </c>
      <c r="H38" s="24" t="str">
        <f aca="false">IF(TopRAID[[#This Row],[_Task]]="","",INDEX(raid_Task,TopRAID[[#This Row],[_Task]])&amp;"")</f>
        <v>Accessibility review</v>
      </c>
    </row>
    <row r="39" customFormat="false" ht="15" hidden="false" customHeight="false" outlineLevel="0" collapsed="false">
      <c r="A39" s="41" t="n">
        <f aca="false">IFERROR(MATCH(LARGE(raid_TopKey,ROW()-ROW(TopRAID[[#Headers],[_Task]])),raid_TopKey,0),"")</f>
        <v>4</v>
      </c>
      <c r="B39" s="24" t="str">
        <f aca="false">IF(TopRAID[[#This Row],[_Task]]="","",INDEX(raid_Label,TopRAID[[#This Row],[_Task]])&amp;"")</f>
        <v>Assumption 4: Client UAT team available from 7 December</v>
      </c>
      <c r="C39" s="24" t="str">
        <f aca="false">IF(TopRAID[[#This Row],[_Task]]="","",INDEX(raid_Response,TopRAID[[#This Row],[_Task]])&amp;"")</f>
        <v>Confirm names and dates at the November steering committee.</v>
      </c>
      <c r="D39" s="24" t="str">
        <f aca="false">IF(TopRAID[[#This Row],[_Task]]="","",INDEX(raid_Owner,TopRAID[[#This Row],[_Task]])&amp;"")</f>
        <v>Morgan Patel</v>
      </c>
      <c r="E39" s="42" t="n">
        <f aca="false">IF(TopRAID[[#This Row],[_Task]]="","",IF(N(INDEX(raid_Due,TopRAID[[#This Row],[_Task]]))=0,"",INDEX(raid_Due,TopRAID[[#This Row],[_Task]])))</f>
        <v>46346</v>
      </c>
      <c r="F39" s="43" t="n">
        <f aca="false">IF(TopRAID[[#This Row],[_Task]]="","",INDEX(raid_Score,TopRAID[[#This Row],[_Task]]))</f>
        <v>8</v>
      </c>
      <c r="G39" s="24" t="str">
        <f aca="false">IF(TopRAID[[#This Row],[_Task]]="","",INDEX(raid_Rating,TopRAID[[#This Row],[_Task]])&amp;"")</f>
        <v>Medium</v>
      </c>
      <c r="H39" s="24" t="str">
        <f aca="false">IF(TopRAID[[#This Row],[_Task]]="","",INDEX(raid_Task,TopRAID[[#This Row],[_Task]])&amp;"")</f>
        <v>User acceptance testing</v>
      </c>
    </row>
    <row r="40" customFormat="false" ht="15" hidden="false" customHeight="false" outlineLevel="0" collapsed="false">
      <c r="A40" s="41" t="str">
        <f aca="false">IFERROR(MATCH(LARGE(raid_TopKey,ROW()-ROW(TopRAID[[#Headers],[_Task]])),raid_TopKey,0),"")</f>
        <v/>
      </c>
      <c r="B40" s="24" t="str">
        <f aca="false">IF(TopRAID[[#This Row],[_Task]]="","",INDEX(raid_Label,TopRAID[[#This Row],[_Task]])&amp;"")</f>
        <v/>
      </c>
      <c r="C40" s="24" t="str">
        <f aca="false">IF(TopRAID[[#This Row],[_Task]]="","",INDEX(raid_Response,TopRAID[[#This Row],[_Task]])&amp;"")</f>
        <v/>
      </c>
      <c r="D40" s="24" t="str">
        <f aca="false">IF(TopRAID[[#This Row],[_Task]]="","",INDEX(raid_Owner,TopRAID[[#This Row],[_Task]])&amp;"")</f>
        <v/>
      </c>
      <c r="E40" s="42" t="str">
        <f aca="false">IF(TopRAID[[#This Row],[_Task]]="","",IF(N(INDEX(raid_Due,TopRAID[[#This Row],[_Task]]))=0,"",INDEX(raid_Due,TopRAID[[#This Row],[_Task]])))</f>
        <v/>
      </c>
      <c r="F40" s="43" t="str">
        <f aca="false">IF(TopRAID[[#This Row],[_Task]]="","",INDEX(raid_Score,TopRAID[[#This Row],[_Task]]))</f>
        <v/>
      </c>
      <c r="G40" s="24" t="str">
        <f aca="false">IF(TopRAID[[#This Row],[_Task]]="","",INDEX(raid_Rating,TopRAID[[#This Row],[_Task]])&amp;"")</f>
        <v/>
      </c>
      <c r="H40" s="24" t="str">
        <f aca="false">IF(TopRAID[[#This Row],[_Task]]="","",INDEX(raid_Task,TopRAID[[#This Row],[_Task]])&amp;"")</f>
        <v/>
      </c>
    </row>
    <row r="41" customFormat="false" ht="15" hidden="false" customHeight="false" outlineLevel="0" collapsed="false">
      <c r="A41" s="41" t="str">
        <f aca="false">IFERROR(MATCH(LARGE(raid_TopKey,ROW()-ROW(TopRAID[[#Headers],[_Task]])),raid_TopKey,0),"")</f>
        <v/>
      </c>
      <c r="B41" s="24" t="str">
        <f aca="false">IF(TopRAID[[#This Row],[_Task]]="","",INDEX(raid_Label,TopRAID[[#This Row],[_Task]])&amp;"")</f>
        <v/>
      </c>
      <c r="C41" s="24" t="str">
        <f aca="false">IF(TopRAID[[#This Row],[_Task]]="","",INDEX(raid_Response,TopRAID[[#This Row],[_Task]])&amp;"")</f>
        <v/>
      </c>
      <c r="D41" s="24" t="str">
        <f aca="false">IF(TopRAID[[#This Row],[_Task]]="","",INDEX(raid_Owner,TopRAID[[#This Row],[_Task]])&amp;"")</f>
        <v/>
      </c>
      <c r="E41" s="42" t="str">
        <f aca="false">IF(TopRAID[[#This Row],[_Task]]="","",IF(N(INDEX(raid_Due,TopRAID[[#This Row],[_Task]]))=0,"",INDEX(raid_Due,TopRAID[[#This Row],[_Task]])))</f>
        <v/>
      </c>
      <c r="F41" s="43" t="str">
        <f aca="false">IF(TopRAID[[#This Row],[_Task]]="","",INDEX(raid_Score,TopRAID[[#This Row],[_Task]]))</f>
        <v/>
      </c>
      <c r="G41" s="24" t="str">
        <f aca="false">IF(TopRAID[[#This Row],[_Task]]="","",INDEX(raid_Rating,TopRAID[[#This Row],[_Task]])&amp;"")</f>
        <v/>
      </c>
      <c r="H41" s="24" t="str">
        <f aca="false">IF(TopRAID[[#This Row],[_Task]]="","",INDEX(raid_Task,TopRAID[[#This Row],[_Task]])&amp;"")</f>
        <v/>
      </c>
    </row>
    <row r="42" customFormat="false" ht="15" hidden="false" customHeight="false" outlineLevel="0" collapsed="false">
      <c r="A42" s="41" t="str">
        <f aca="false">IFERROR(MATCH(LARGE(raid_TopKey,ROW()-ROW(TopRAID[[#Headers],[_Task]])),raid_TopKey,0),"")</f>
        <v/>
      </c>
      <c r="B42" s="24" t="str">
        <f aca="false">IF(TopRAID[[#This Row],[_Task]]="","",INDEX(raid_Label,TopRAID[[#This Row],[_Task]])&amp;"")</f>
        <v/>
      </c>
      <c r="C42" s="24" t="str">
        <f aca="false">IF(TopRAID[[#This Row],[_Task]]="","",INDEX(raid_Response,TopRAID[[#This Row],[_Task]])&amp;"")</f>
        <v/>
      </c>
      <c r="D42" s="24" t="str">
        <f aca="false">IF(TopRAID[[#This Row],[_Task]]="","",INDEX(raid_Owner,TopRAID[[#This Row],[_Task]])&amp;"")</f>
        <v/>
      </c>
      <c r="E42" s="42" t="str">
        <f aca="false">IF(TopRAID[[#This Row],[_Task]]="","",IF(N(INDEX(raid_Due,TopRAID[[#This Row],[_Task]]))=0,"",INDEX(raid_Due,TopRAID[[#This Row],[_Task]])))</f>
        <v/>
      </c>
      <c r="F42" s="43" t="str">
        <f aca="false">IF(TopRAID[[#This Row],[_Task]]="","",INDEX(raid_Score,TopRAID[[#This Row],[_Task]]))</f>
        <v/>
      </c>
      <c r="G42" s="24" t="str">
        <f aca="false">IF(TopRAID[[#This Row],[_Task]]="","",INDEX(raid_Rating,TopRAID[[#This Row],[_Task]])&amp;"")</f>
        <v/>
      </c>
      <c r="H42" s="24" t="str">
        <f aca="false">IF(TopRAID[[#This Row],[_Task]]="","",INDEX(raid_Task,TopRAID[[#This Row],[_Task]])&amp;"")</f>
        <v/>
      </c>
    </row>
    <row r="44" customFormat="false" ht="15" hidden="false" customHeight="false" outlineLevel="0" collapsed="false">
      <c r="B44" s="36" t="s">
        <v>181</v>
      </c>
    </row>
    <row r="45" customFormat="false" ht="15" hidden="false" customHeight="false" outlineLevel="0" collapsed="false">
      <c r="B45" s="9" t="s">
        <v>123</v>
      </c>
      <c r="C45" s="9" t="s">
        <v>182</v>
      </c>
      <c r="D45" s="9" t="s">
        <v>90</v>
      </c>
    </row>
    <row r="46" customFormat="false" ht="15" hidden="false" customHeight="false" outlineLevel="0" collapsed="false">
      <c r="B46" s="24" t="s">
        <v>119</v>
      </c>
      <c r="C46" s="24" t="s">
        <v>183</v>
      </c>
      <c r="D46" s="44" t="n">
        <f aca="false">COUNTIF(chg_Status,"Submitted")+COUNTIF(chg_Status,"Under Review")</f>
        <v>1</v>
      </c>
    </row>
    <row r="47" customFormat="false" ht="15" hidden="false" customHeight="false" outlineLevel="0" collapsed="false">
      <c r="B47" s="24" t="s">
        <v>184</v>
      </c>
      <c r="C47" s="24" t="s">
        <v>183</v>
      </c>
      <c r="D47" s="44" t="n">
        <f aca="false">COUNTIF(chg_Status,"Approved")+COUNTIF(chg_Status,"Implemented")</f>
        <v>1</v>
      </c>
    </row>
    <row r="48" customFormat="false" ht="15" hidden="false" customHeight="false" outlineLevel="0" collapsed="false">
      <c r="B48" s="24" t="s">
        <v>185</v>
      </c>
      <c r="C48" s="24" t="s">
        <v>183</v>
      </c>
      <c r="D48" s="45" t="n">
        <f aca="false">SUMIFS(chg_Days,chg_Status,"Approved")+SUMIFS(chg_Days,chg_Status,"Implemented")</f>
        <v>2</v>
      </c>
    </row>
    <row r="49" customFormat="false" ht="15" hidden="false" customHeight="false" outlineLevel="0" collapsed="false">
      <c r="B49" s="24" t="s">
        <v>186</v>
      </c>
      <c r="C49" s="24" t="s">
        <v>183</v>
      </c>
      <c r="D49" s="37" t="n">
        <f aca="false">SUMIFS(chg_Cost,chg_Status,"Approved")+SUMIFS(chg_Cost,chg_Status,"Implemented")</f>
        <v>1360</v>
      </c>
    </row>
    <row r="50" customFormat="false" ht="15" hidden="false" customHeight="false" outlineLevel="0" collapsed="false">
      <c r="B50" s="24" t="s">
        <v>187</v>
      </c>
      <c r="C50" s="24" t="s">
        <v>183</v>
      </c>
      <c r="D50" s="37" t="n">
        <f aca="false">SUMIFS(chg_Cost,chg_Status,"Submitted")+SUMIFS(chg_Cost,chg_Status,"Under Review")</f>
        <v>6800</v>
      </c>
    </row>
    <row r="51" customFormat="false" ht="15" hidden="false" customHeight="false" outlineLevel="0" collapsed="false">
      <c r="B51" s="24" t="s">
        <v>188</v>
      </c>
      <c r="C51" s="24" t="s">
        <v>189</v>
      </c>
      <c r="D51" s="44" t="n">
        <f aca="false">COUNTIF(dec_Status,"Proposed")</f>
        <v>1</v>
      </c>
    </row>
    <row r="52" customFormat="false" ht="15" hidden="false" customHeight="false" outlineLevel="0" collapsed="false">
      <c r="B52" s="24" t="s">
        <v>190</v>
      </c>
      <c r="C52" s="24" t="s">
        <v>139</v>
      </c>
      <c r="D52" s="44" t="n">
        <f aca="false">COUNTIF(raid_Overdue,"Overdue")</f>
        <v>1</v>
      </c>
    </row>
    <row r="54" customFormat="false" ht="15" hidden="false" customHeight="false" outlineLevel="0" collapsed="false">
      <c r="B54" s="36" t="s">
        <v>191</v>
      </c>
    </row>
    <row r="55" customFormat="false" ht="15" hidden="false" customHeight="false" outlineLevel="0" collapsed="false">
      <c r="B55" s="9" t="s">
        <v>192</v>
      </c>
      <c r="C55" s="27" t="s">
        <v>193</v>
      </c>
    </row>
    <row r="56" customFormat="false" ht="36" hidden="false" customHeight="true" outlineLevel="0" collapsed="false">
      <c r="B56" s="46" t="s">
        <v>194</v>
      </c>
      <c r="C56" s="47"/>
    </row>
    <row r="57" customFormat="false" ht="36" hidden="false" customHeight="true" outlineLevel="0" collapsed="false">
      <c r="B57" s="46" t="s">
        <v>195</v>
      </c>
      <c r="C57" s="47"/>
    </row>
    <row r="58" customFormat="false" ht="36" hidden="false" customHeight="true" outlineLevel="0" collapsed="false">
      <c r="B58" s="46" t="s">
        <v>196</v>
      </c>
      <c r="C58" s="47"/>
    </row>
    <row r="59" customFormat="false" ht="36" hidden="false" customHeight="true" outlineLevel="0" collapsed="false">
      <c r="B59" s="46" t="s">
        <v>197</v>
      </c>
      <c r="C59" s="47"/>
    </row>
    <row r="60" customFormat="false" ht="36" hidden="false" customHeight="true" outlineLevel="0" collapsed="false">
      <c r="B60" s="46" t="s">
        <v>198</v>
      </c>
      <c r="C60" s="47"/>
    </row>
    <row r="61" customFormat="false" ht="36" hidden="false" customHeight="true" outlineLevel="0" collapsed="false">
      <c r="B61" s="46" t="s">
        <v>199</v>
      </c>
      <c r="C61" s="47"/>
    </row>
  </sheetData>
  <conditionalFormatting sqref="E5:G14">
    <cfRule type="expression" priority="2" aboveAverage="0" equalAverage="0" bottom="0" percent="0" rank="0" text="" dxfId="13">
      <formula>E5="Green"</formula>
    </cfRule>
    <cfRule type="expression" priority="3" aboveAverage="0" equalAverage="0" bottom="0" percent="0" rank="0" text="" dxfId="14">
      <formula>E5="Amber"</formula>
    </cfRule>
    <cfRule type="expression" priority="4" aboveAverage="0" equalAverage="0" bottom="0" percent="0" rank="0" text="" dxfId="15">
      <formula>E5="Red"</formula>
    </cfRule>
  </conditionalFormatting>
  <conditionalFormatting sqref="G35:G42">
    <cfRule type="expression" priority="5" aboveAverage="0" equalAverage="0" bottom="0" percent="0" rank="0" text="" dxfId="13">
      <formula>G35="Green"</formula>
    </cfRule>
    <cfRule type="expression" priority="6" aboveAverage="0" equalAverage="0" bottom="0" percent="0" rank="0" text="" dxfId="14">
      <formula>G35="Amber"</formula>
    </cfRule>
    <cfRule type="expression" priority="7" aboveAverage="0" equalAverage="0" bottom="0" percent="0" rank="0" text="" dxfId="15">
      <formula>G35="Red"</formula>
    </cfRule>
  </conditionalFormatting>
  <dataValidations count="1">
    <dataValidation allowBlank="false" errorStyle="stop" operator="between" showDropDown="false" showErrorMessage="false" showInputMessage="false" sqref="F5 F8:F14" type="list">
      <formula1>L_RAG</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tableParts>
    <tablePart r:id="rId4"/>
    <tablePart r:id="rId5"/>
    <tablePart r:id="rId6"/>
    <tablePart r:id="rId7"/>
    <tablePart r:id="rId8"/>
    <tablePart r:id="rId9"/>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P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true" outlineLevel="0" max="2" min="2" style="0" width="4"/>
    <col collapsed="false" customWidth="true" hidden="false" outlineLevel="0" max="3" min="3" style="0" width="8"/>
    <col collapsed="false" customWidth="true" hidden="false" outlineLevel="0" max="4" min="4" style="0" width="40"/>
    <col collapsed="false" customWidth="true" hidden="false" outlineLevel="0" max="5" min="5" style="0" width="16"/>
    <col collapsed="false" customWidth="true" hidden="false" outlineLevel="0" max="9" min="6" style="0" width="14"/>
    <col collapsed="false" customWidth="true" hidden="false" outlineLevel="0" max="10" min="10" style="0" width="12"/>
    <col collapsed="false" customWidth="true" hidden="false" outlineLevel="0" max="12" min="11" style="0" width="14"/>
    <col collapsed="false" customWidth="true" hidden="false" outlineLevel="0" max="14" min="13" style="0" width="8"/>
    <col collapsed="false" customWidth="true" hidden="false" outlineLevel="0" max="16" min="15" style="0" width="9"/>
  </cols>
  <sheetData>
    <row r="1" customFormat="false" ht="19.7" hidden="false" customHeight="false" outlineLevel="0" collapsed="false">
      <c r="A1" s="26" t="str">
        <f aca="false">ProjectName&amp;"  -  Schedule Report"</f>
        <v>Customer Portal Implementation  -  Schedule Report</v>
      </c>
    </row>
    <row r="2" customFormat="false" ht="15" hidden="false" customHeight="false" outlineLevel="0" collapsed="false">
      <c r="A2" s="0" t="str">
        <f aca="false">"Status date "&amp;TEXT(StatusDate,"ddd dd-mmm-yyyy")&amp;"   Forecast finish "&amp;TEXT(ProjectFinish,"ddd dd-mmm-yyyy")&amp;" ("&amp;TEXT(FinishVarianceDays,"+0;-0;0")&amp;" working days vs plan)"</f>
        <v>Status date Sun 25-Oct-2026   Forecast finish Wed 06-Jan-2027 (0 working days vs plan)</v>
      </c>
    </row>
    <row r="4" customFormat="false" ht="15" hidden="false" customHeight="false" outlineLevel="0" collapsed="false">
      <c r="C4" s="36" t="str">
        <f aca="false">"Phases (outline level 1)"&amp;": "&amp;COUNT(tsk_PhaseKey)&amp;IF(COUNT(tsk_PhaseKey)&gt;ROWS(PhaseSummary[_Task])," (showing the first "&amp;ROWS(PhaseSummary[_Task])&amp;")","")</f>
        <v>Phases (outline level 1): 5</v>
      </c>
    </row>
    <row r="5" customFormat="false" ht="23.85" hidden="false" customHeight="false" outlineLevel="0" collapsed="false">
      <c r="B5" s="40" t="s">
        <v>173</v>
      </c>
      <c r="C5" s="9" t="s">
        <v>200</v>
      </c>
      <c r="D5" s="9" t="s">
        <v>201</v>
      </c>
      <c r="E5" s="9" t="s">
        <v>202</v>
      </c>
      <c r="F5" s="9" t="s">
        <v>203</v>
      </c>
      <c r="G5" s="9" t="s">
        <v>204</v>
      </c>
      <c r="H5" s="9" t="s">
        <v>205</v>
      </c>
      <c r="I5" s="9" t="s">
        <v>206</v>
      </c>
      <c r="J5" s="9" t="s">
        <v>207</v>
      </c>
      <c r="K5" s="9" t="s">
        <v>208</v>
      </c>
      <c r="L5" s="9" t="s">
        <v>209</v>
      </c>
      <c r="M5" s="9" t="s">
        <v>210</v>
      </c>
      <c r="N5" s="9" t="s">
        <v>211</v>
      </c>
      <c r="O5" s="9" t="s">
        <v>212</v>
      </c>
      <c r="P5" s="9" t="s">
        <v>126</v>
      </c>
    </row>
    <row r="6" customFormat="false" ht="15" hidden="false" customHeight="false" outlineLevel="0" collapsed="false">
      <c r="B6" s="41" t="n">
        <f aca="false">IFERROR(MATCH(SMALL(tsk_PhaseKey,ROW()-ROW(PhaseSummary[[#Headers],[_Task]])),tsk_PhaseKey,0),"")</f>
        <v>1</v>
      </c>
      <c r="C6" s="24" t="str">
        <f aca="false">IF(PhaseSummary[[#This Row],[_Task]]="","",INDEX(tsk_WBS,PhaseSummary[[#This Row],[_Task]])&amp;"")</f>
        <v>1</v>
      </c>
      <c r="D6" s="24" t="str">
        <f aca="false">IF(PhaseSummary[[#This Row],[_Task]]="","",INDEX(tsk_Name,PhaseSummary[[#This Row],[_Task]])&amp;"")</f>
        <v>Initiation</v>
      </c>
      <c r="E6" s="48" t="n">
        <f aca="false">IF(PhaseSummary[[#This Row],[_Task]]="","",IF(N(INDEX(tsk_PlanFinish,PhaseSummary[[#This Row],[_Task]]))=0,"",INDEX(tsk_PlanFinish,PhaseSummary[[#This Row],[_Task]])))</f>
        <v>46276</v>
      </c>
      <c r="F6" s="48" t="n">
        <f aca="false">IF(PhaseSummary[[#This Row],[_Task]]="","",IF(N(INDEX(tsk_FcFinish,PhaseSummary[[#This Row],[_Task]]))=0,"",INDEX(tsk_FcFinish,PhaseSummary[[#This Row],[_Task]])))</f>
        <v>46279</v>
      </c>
      <c r="G6" s="49" t="n">
        <f aca="false">IF(PhaseSummary[[#This Row],[_Task]]="","",INDEX(tsk_Variance,PhaseSummary[[#This Row],[_Task]]))</f>
        <v>1</v>
      </c>
      <c r="H6" s="50" t="n">
        <f aca="false">IF(PhaseSummary[[#This Row],[_Task]]="","",INDEX(tsk_Progress,PhaseSummary[[#This Row],[_Task]]))</f>
        <v>1</v>
      </c>
      <c r="I6" s="51" t="n">
        <f aca="false">IF(PhaseSummary[[#This Row],[_Task]]="","",INDEX(tsk_Budget,PhaseSummary[[#This Row],[_Task]]))</f>
        <v>3400</v>
      </c>
      <c r="J6" s="51" t="n">
        <f aca="false">IF(PhaseSummary[[#This Row],[_Task]]="","",INDEX(tsk_PV,PhaseSummary[[#This Row],[_Task]]))</f>
        <v>3400</v>
      </c>
      <c r="K6" s="51" t="n">
        <f aca="false">IF(PhaseSummary[[#This Row],[_Task]]="","",INDEX(tsk_EV,PhaseSummary[[#This Row],[_Task]]))</f>
        <v>3400</v>
      </c>
      <c r="L6" s="51" t="n">
        <f aca="false">IF(PhaseSummary[[#This Row],[_Task]]="","",INDEX(tsk_AC,PhaseSummary[[#This Row],[_Task]]))</f>
        <v>4160</v>
      </c>
      <c r="M6" s="52" t="n">
        <f aca="false">IF(PhaseSummary[[#This Row],[_Task]]="","",IF(N(PhaseSummary[[#This Row],[PV]])&gt;0,PhaseSummary[[#This Row],[EV]]/PhaseSummary[[#This Row],[PV]],""))</f>
        <v>1</v>
      </c>
      <c r="N6" s="52" t="n">
        <f aca="false">IF(PhaseSummary[[#This Row],[_Task]]="","",IF(N(PhaseSummary[[#This Row],[AC]])&gt;0,PhaseSummary[[#This Row],[EV]]/PhaseSummary[[#This Row],[AC]],""))</f>
        <v>0.817307692307692</v>
      </c>
      <c r="O6" s="53" t="n">
        <f aca="false">IF(PhaseSummary[[#This Row],[_Task]]="","",COUNTIFS(tsk_Phase,PhaseSummary[[#This Row],[WBS]],tsk_Critical,"Yes",tsk_IsLeaf,1))</f>
        <v>0</v>
      </c>
      <c r="P6"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Red</v>
      </c>
    </row>
    <row r="7" customFormat="false" ht="15" hidden="false" customHeight="false" outlineLevel="0" collapsed="false">
      <c r="B7" s="41" t="n">
        <f aca="false">IFERROR(MATCH(SMALL(tsk_PhaseKey,ROW()-ROW(PhaseSummary[[#Headers],[_Task]])),tsk_PhaseKey,0),"")</f>
        <v>5</v>
      </c>
      <c r="C7" s="24" t="str">
        <f aca="false">IF(PhaseSummary[[#This Row],[_Task]]="","",INDEX(tsk_WBS,PhaseSummary[[#This Row],[_Task]])&amp;"")</f>
        <v>2</v>
      </c>
      <c r="D7" s="24" t="str">
        <f aca="false">IF(PhaseSummary[[#This Row],[_Task]]="","",INDEX(tsk_Name,PhaseSummary[[#This Row],[_Task]])&amp;"")</f>
        <v>Requirements &amp; Design</v>
      </c>
      <c r="E7" s="48" t="n">
        <f aca="false">IF(PhaseSummary[[#This Row],[_Task]]="","",IF(N(INDEX(tsk_PlanFinish,PhaseSummary[[#This Row],[_Task]]))=0,"",INDEX(tsk_PlanFinish,PhaseSummary[[#This Row],[_Task]])))</f>
        <v>46296</v>
      </c>
      <c r="F7" s="48" t="n">
        <f aca="false">IF(PhaseSummary[[#This Row],[_Task]]="","",IF(N(INDEX(tsk_FcFinish,PhaseSummary[[#This Row],[_Task]]))=0,"",INDEX(tsk_FcFinish,PhaseSummary[[#This Row],[_Task]])))</f>
        <v>46301</v>
      </c>
      <c r="G7" s="49" t="n">
        <f aca="false">IF(PhaseSummary[[#This Row],[_Task]]="","",INDEX(tsk_Variance,PhaseSummary[[#This Row],[_Task]]))</f>
        <v>3</v>
      </c>
      <c r="H7" s="50" t="n">
        <f aca="false">IF(PhaseSummary[[#This Row],[_Task]]="","",INDEX(tsk_Progress,PhaseSummary[[#This Row],[_Task]]))</f>
        <v>1</v>
      </c>
      <c r="I7" s="51" t="n">
        <f aca="false">IF(PhaseSummary[[#This Row],[_Task]]="","",INDEX(tsk_Budget,PhaseSummary[[#This Row],[_Task]]))</f>
        <v>12480</v>
      </c>
      <c r="J7" s="51" t="n">
        <f aca="false">IF(PhaseSummary[[#This Row],[_Task]]="","",INDEX(tsk_PV,PhaseSummary[[#This Row],[_Task]]))</f>
        <v>12480</v>
      </c>
      <c r="K7" s="51" t="n">
        <f aca="false">IF(PhaseSummary[[#This Row],[_Task]]="","",INDEX(tsk_EV,PhaseSummary[[#This Row],[_Task]]))</f>
        <v>12480</v>
      </c>
      <c r="L7" s="51" t="n">
        <f aca="false">IF(PhaseSummary[[#This Row],[_Task]]="","",INDEX(tsk_AC,PhaseSummary[[#This Row],[_Task]]))</f>
        <v>13040</v>
      </c>
      <c r="M7" s="52" t="n">
        <f aca="false">IF(PhaseSummary[[#This Row],[_Task]]="","",IF(N(PhaseSummary[[#This Row],[PV]])&gt;0,PhaseSummary[[#This Row],[EV]]/PhaseSummary[[#This Row],[PV]],""))</f>
        <v>1</v>
      </c>
      <c r="N7" s="52" t="n">
        <f aca="false">IF(PhaseSummary[[#This Row],[_Task]]="","",IF(N(PhaseSummary[[#This Row],[AC]])&gt;0,PhaseSummary[[#This Row],[EV]]/PhaseSummary[[#This Row],[AC]],""))</f>
        <v>0.957055214723926</v>
      </c>
      <c r="O7" s="53" t="n">
        <f aca="false">IF(PhaseSummary[[#This Row],[_Task]]="","",COUNTIFS(tsk_Phase,PhaseSummary[[#This Row],[WBS]],tsk_Critical,"Yes",tsk_IsLeaf,1))</f>
        <v>0</v>
      </c>
      <c r="P7"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Amber</v>
      </c>
    </row>
    <row r="8" customFormat="false" ht="15" hidden="false" customHeight="false" outlineLevel="0" collapsed="false">
      <c r="B8" s="41" t="n">
        <f aca="false">IFERROR(MATCH(SMALL(tsk_PhaseKey,ROW()-ROW(PhaseSummary[[#Headers],[_Task]])),tsk_PhaseKey,0),"")</f>
        <v>10</v>
      </c>
      <c r="C8" s="24" t="str">
        <f aca="false">IF(PhaseSummary[[#This Row],[_Task]]="","",INDEX(tsk_WBS,PhaseSummary[[#This Row],[_Task]])&amp;"")</f>
        <v>3</v>
      </c>
      <c r="D8" s="24" t="str">
        <f aca="false">IF(PhaseSummary[[#This Row],[_Task]]="","",INDEX(tsk_Name,PhaseSummary[[#This Row],[_Task]])&amp;"")</f>
        <v>Build</v>
      </c>
      <c r="E8" s="48" t="n">
        <f aca="false">IF(PhaseSummary[[#This Row],[_Task]]="","",IF(N(INDEX(tsk_PlanFinish,PhaseSummary[[#This Row],[_Task]]))=0,"",INDEX(tsk_PlanFinish,PhaseSummary[[#This Row],[_Task]])))</f>
        <v>46325</v>
      </c>
      <c r="F8" s="48" t="n">
        <f aca="false">IF(PhaseSummary[[#This Row],[_Task]]="","",IF(N(INDEX(tsk_FcFinish,PhaseSummary[[#This Row],[_Task]]))=0,"",INDEX(tsk_FcFinish,PhaseSummary[[#This Row],[_Task]])))</f>
        <v>46335</v>
      </c>
      <c r="G8" s="49" t="n">
        <f aca="false">IF(PhaseSummary[[#This Row],[_Task]]="","",INDEX(tsk_Variance,PhaseSummary[[#This Row],[_Task]]))</f>
        <v>6</v>
      </c>
      <c r="H8" s="50" t="n">
        <f aca="false">IF(PhaseSummary[[#This Row],[_Task]]="","",INDEX(tsk_Progress,PhaseSummary[[#This Row],[_Task]]))</f>
        <v>0.451306413301663</v>
      </c>
      <c r="I8" s="51" t="n">
        <f aca="false">IF(PhaseSummary[[#This Row],[_Task]]="","",INDEX(tsk_Budget,PhaseSummary[[#This Row],[_Task]]))</f>
        <v>26700</v>
      </c>
      <c r="J8" s="51" t="n">
        <f aca="false">IF(PhaseSummary[[#This Row],[_Task]]="","",INDEX(tsk_PV,PhaseSummary[[#This Row],[_Task]]))</f>
        <v>20480</v>
      </c>
      <c r="K8" s="51" t="n">
        <f aca="false">IF(PhaseSummary[[#This Row],[_Task]]="","",INDEX(tsk_EV,PhaseSummary[[#This Row],[_Task]]))</f>
        <v>12560</v>
      </c>
      <c r="L8" s="51" t="n">
        <f aca="false">IF(PhaseSummary[[#This Row],[_Task]]="","",INDEX(tsk_AC,PhaseSummary[[#This Row],[_Task]]))</f>
        <v>13240</v>
      </c>
      <c r="M8" s="52" t="n">
        <f aca="false">IF(PhaseSummary[[#This Row],[_Task]]="","",IF(N(PhaseSummary[[#This Row],[PV]])&gt;0,PhaseSummary[[#This Row],[EV]]/PhaseSummary[[#This Row],[PV]],""))</f>
        <v>0.61328125</v>
      </c>
      <c r="N8" s="52" t="n">
        <f aca="false">IF(PhaseSummary[[#This Row],[_Task]]="","",IF(N(PhaseSummary[[#This Row],[AC]])&gt;0,PhaseSummary[[#This Row],[EV]]/PhaseSummary[[#This Row],[AC]],""))</f>
        <v>0.948640483383686</v>
      </c>
      <c r="O8" s="53" t="n">
        <f aca="false">IF(PhaseSummary[[#This Row],[_Task]]="","",COUNTIFS(tsk_Phase,PhaseSummary[[#This Row],[WBS]],tsk_Critical,"Yes",tsk_IsLeaf,1))</f>
        <v>5</v>
      </c>
      <c r="P8"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Red</v>
      </c>
    </row>
    <row r="9" customFormat="false" ht="15" hidden="false" customHeight="false" outlineLevel="0" collapsed="false">
      <c r="B9" s="41" t="n">
        <f aca="false">IFERROR(MATCH(SMALL(tsk_PhaseKey,ROW()-ROW(PhaseSummary[[#Headers],[_Task]])),tsk_PhaseKey,0),"")</f>
        <v>20</v>
      </c>
      <c r="C9" s="24" t="str">
        <f aca="false">IF(PhaseSummary[[#This Row],[_Task]]="","",INDEX(tsk_WBS,PhaseSummary[[#This Row],[_Task]])&amp;"")</f>
        <v>4</v>
      </c>
      <c r="D9" s="24" t="str">
        <f aca="false">IF(PhaseSummary[[#This Row],[_Task]]="","",INDEX(tsk_Name,PhaseSummary[[#This Row],[_Task]])&amp;"")</f>
        <v>Test &amp; Release</v>
      </c>
      <c r="E9" s="48" t="n">
        <f aca="false">IF(PhaseSummary[[#This Row],[_Task]]="","",IF(N(INDEX(tsk_PlanFinish,PhaseSummary[[#This Row],[_Task]]))=0,"",INDEX(tsk_PlanFinish,PhaseSummary[[#This Row],[_Task]])))</f>
        <v>46391</v>
      </c>
      <c r="F9" s="48" t="n">
        <f aca="false">IF(PhaseSummary[[#This Row],[_Task]]="","",IF(N(INDEX(tsk_FcFinish,PhaseSummary[[#This Row],[_Task]]))=0,"",INDEX(tsk_FcFinish,PhaseSummary[[#This Row],[_Task]])))</f>
        <v>46391</v>
      </c>
      <c r="G9" s="49" t="n">
        <f aca="false">IF(PhaseSummary[[#This Row],[_Task]]="","",INDEX(tsk_Variance,PhaseSummary[[#This Row],[_Task]]))</f>
        <v>0</v>
      </c>
      <c r="H9" s="50" t="n">
        <f aca="false">IF(PhaseSummary[[#This Row],[_Task]]="","",INDEX(tsk_Progress,PhaseSummary[[#This Row],[_Task]]))</f>
        <v>0</v>
      </c>
      <c r="I9" s="51" t="n">
        <f aca="false">IF(PhaseSummary[[#This Row],[_Task]]="","",INDEX(tsk_Budget,PhaseSummary[[#This Row],[_Task]]))</f>
        <v>13180</v>
      </c>
      <c r="J9" s="51" t="n">
        <f aca="false">IF(PhaseSummary[[#This Row],[_Task]]="","",INDEX(tsk_PV,PhaseSummary[[#This Row],[_Task]]))</f>
        <v>0</v>
      </c>
      <c r="K9" s="51" t="n">
        <f aca="false">IF(PhaseSummary[[#This Row],[_Task]]="","",INDEX(tsk_EV,PhaseSummary[[#This Row],[_Task]]))</f>
        <v>0</v>
      </c>
      <c r="L9" s="51" t="n">
        <f aca="false">IF(PhaseSummary[[#This Row],[_Task]]="","",INDEX(tsk_AC,PhaseSummary[[#This Row],[_Task]]))</f>
        <v>0</v>
      </c>
      <c r="M9" s="52" t="str">
        <f aca="false">IF(PhaseSummary[[#This Row],[_Task]]="","",IF(N(PhaseSummary[[#This Row],[PV]])&gt;0,PhaseSummary[[#This Row],[EV]]/PhaseSummary[[#This Row],[PV]],""))</f>
        <v/>
      </c>
      <c r="N9" s="52" t="str">
        <f aca="false">IF(PhaseSummary[[#This Row],[_Task]]="","",IF(N(PhaseSummary[[#This Row],[AC]])&gt;0,PhaseSummary[[#This Row],[EV]]/PhaseSummary[[#This Row],[AC]],""))</f>
        <v/>
      </c>
      <c r="O9" s="53" t="n">
        <f aca="false">IF(PhaseSummary[[#This Row],[_Task]]="","",COUNTIFS(tsk_Phase,PhaseSummary[[#This Row],[WBS]],tsk_Critical,"Yes",tsk_IsLeaf,1))</f>
        <v>4</v>
      </c>
      <c r="P9"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Green</v>
      </c>
    </row>
    <row r="10" customFormat="false" ht="15" hidden="false" customHeight="false" outlineLevel="0" collapsed="false">
      <c r="B10" s="41" t="n">
        <f aca="false">IFERROR(MATCH(SMALL(tsk_PhaseKey,ROW()-ROW(PhaseSummary[[#Headers],[_Task]])),tsk_PhaseKey,0),"")</f>
        <v>27</v>
      </c>
      <c r="C10" s="24" t="str">
        <f aca="false">IF(PhaseSummary[[#This Row],[_Task]]="","",INDEX(tsk_WBS,PhaseSummary[[#This Row],[_Task]])&amp;"")</f>
        <v>5</v>
      </c>
      <c r="D10" s="24" t="str">
        <f aca="false">IF(PhaseSummary[[#This Row],[_Task]]="","",INDEX(tsk_Name,PhaseSummary[[#This Row],[_Task]])&amp;"")</f>
        <v>Project Close</v>
      </c>
      <c r="E10" s="48" t="n">
        <f aca="false">IF(PhaseSummary[[#This Row],[_Task]]="","",IF(N(INDEX(tsk_PlanFinish,PhaseSummary[[#This Row],[_Task]]))=0,"",INDEX(tsk_PlanFinish,PhaseSummary[[#This Row],[_Task]])))</f>
        <v>46393</v>
      </c>
      <c r="F10" s="48" t="n">
        <f aca="false">IF(PhaseSummary[[#This Row],[_Task]]="","",IF(N(INDEX(tsk_FcFinish,PhaseSummary[[#This Row],[_Task]]))=0,"",INDEX(tsk_FcFinish,PhaseSummary[[#This Row],[_Task]])))</f>
        <v>46393</v>
      </c>
      <c r="G10" s="49" t="n">
        <f aca="false">IF(PhaseSummary[[#This Row],[_Task]]="","",INDEX(tsk_Variance,PhaseSummary[[#This Row],[_Task]]))</f>
        <v>0</v>
      </c>
      <c r="H10" s="50" t="n">
        <f aca="false">IF(PhaseSummary[[#This Row],[_Task]]="","",INDEX(tsk_Progress,PhaseSummary[[#This Row],[_Task]]))</f>
        <v>0</v>
      </c>
      <c r="I10" s="51" t="n">
        <f aca="false">IF(PhaseSummary[[#This Row],[_Task]]="","",INDEX(tsk_Budget,PhaseSummary[[#This Row],[_Task]]))</f>
        <v>2280</v>
      </c>
      <c r="J10" s="51" t="n">
        <f aca="false">IF(PhaseSummary[[#This Row],[_Task]]="","",INDEX(tsk_PV,PhaseSummary[[#This Row],[_Task]]))</f>
        <v>0</v>
      </c>
      <c r="K10" s="51" t="n">
        <f aca="false">IF(PhaseSummary[[#This Row],[_Task]]="","",INDEX(tsk_EV,PhaseSummary[[#This Row],[_Task]]))</f>
        <v>0</v>
      </c>
      <c r="L10" s="51" t="n">
        <f aca="false">IF(PhaseSummary[[#This Row],[_Task]]="","",INDEX(tsk_AC,PhaseSummary[[#This Row],[_Task]]))</f>
        <v>0</v>
      </c>
      <c r="M10" s="52" t="str">
        <f aca="false">IF(PhaseSummary[[#This Row],[_Task]]="","",IF(N(PhaseSummary[[#This Row],[PV]])&gt;0,PhaseSummary[[#This Row],[EV]]/PhaseSummary[[#This Row],[PV]],""))</f>
        <v/>
      </c>
      <c r="N10" s="52" t="str">
        <f aca="false">IF(PhaseSummary[[#This Row],[_Task]]="","",IF(N(PhaseSummary[[#This Row],[AC]])&gt;0,PhaseSummary[[#This Row],[EV]]/PhaseSummary[[#This Row],[AC]],""))</f>
        <v/>
      </c>
      <c r="O10" s="53" t="n">
        <f aca="false">IF(PhaseSummary[[#This Row],[_Task]]="","",COUNTIFS(tsk_Phase,PhaseSummary[[#This Row],[WBS]],tsk_Critical,"Yes",tsk_IsLeaf,1))</f>
        <v>2</v>
      </c>
      <c r="P10"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Green</v>
      </c>
    </row>
    <row r="11" customFormat="false" ht="15" hidden="false" customHeight="false" outlineLevel="0" collapsed="false">
      <c r="B11" s="41" t="str">
        <f aca="false">IFERROR(MATCH(SMALL(tsk_PhaseKey,ROW()-ROW(PhaseSummary[[#Headers],[_Task]])),tsk_PhaseKey,0),"")</f>
        <v/>
      </c>
      <c r="C11" s="24" t="str">
        <f aca="false">IF(PhaseSummary[[#This Row],[_Task]]="","",INDEX(tsk_WBS,PhaseSummary[[#This Row],[_Task]])&amp;"")</f>
        <v/>
      </c>
      <c r="D11" s="24" t="str">
        <f aca="false">IF(PhaseSummary[[#This Row],[_Task]]="","",INDEX(tsk_Name,PhaseSummary[[#This Row],[_Task]])&amp;"")</f>
        <v/>
      </c>
      <c r="E11" s="48" t="str">
        <f aca="false">IF(PhaseSummary[[#This Row],[_Task]]="","",IF(N(INDEX(tsk_PlanFinish,PhaseSummary[[#This Row],[_Task]]))=0,"",INDEX(tsk_PlanFinish,PhaseSummary[[#This Row],[_Task]])))</f>
        <v/>
      </c>
      <c r="F11" s="48" t="str">
        <f aca="false">IF(PhaseSummary[[#This Row],[_Task]]="","",IF(N(INDEX(tsk_FcFinish,PhaseSummary[[#This Row],[_Task]]))=0,"",INDEX(tsk_FcFinish,PhaseSummary[[#This Row],[_Task]])))</f>
        <v/>
      </c>
      <c r="G11" s="49" t="str">
        <f aca="false">IF(PhaseSummary[[#This Row],[_Task]]="","",INDEX(tsk_Variance,PhaseSummary[[#This Row],[_Task]]))</f>
        <v/>
      </c>
      <c r="H11" s="50" t="str">
        <f aca="false">IF(PhaseSummary[[#This Row],[_Task]]="","",INDEX(tsk_Progress,PhaseSummary[[#This Row],[_Task]]))</f>
        <v/>
      </c>
      <c r="I11" s="51" t="str">
        <f aca="false">IF(PhaseSummary[[#This Row],[_Task]]="","",INDEX(tsk_Budget,PhaseSummary[[#This Row],[_Task]]))</f>
        <v/>
      </c>
      <c r="J11" s="51" t="str">
        <f aca="false">IF(PhaseSummary[[#This Row],[_Task]]="","",INDEX(tsk_PV,PhaseSummary[[#This Row],[_Task]]))</f>
        <v/>
      </c>
      <c r="K11" s="51" t="str">
        <f aca="false">IF(PhaseSummary[[#This Row],[_Task]]="","",INDEX(tsk_EV,PhaseSummary[[#This Row],[_Task]]))</f>
        <v/>
      </c>
      <c r="L11" s="51" t="str">
        <f aca="false">IF(PhaseSummary[[#This Row],[_Task]]="","",INDEX(tsk_AC,PhaseSummary[[#This Row],[_Task]]))</f>
        <v/>
      </c>
      <c r="M11" s="52" t="str">
        <f aca="false">IF(PhaseSummary[[#This Row],[_Task]]="","",IF(N(PhaseSummary[[#This Row],[PV]])&gt;0,PhaseSummary[[#This Row],[EV]]/PhaseSummary[[#This Row],[PV]],""))</f>
        <v/>
      </c>
      <c r="N11" s="52" t="str">
        <f aca="false">IF(PhaseSummary[[#This Row],[_Task]]="","",IF(N(PhaseSummary[[#This Row],[AC]])&gt;0,PhaseSummary[[#This Row],[EV]]/PhaseSummary[[#This Row],[AC]],""))</f>
        <v/>
      </c>
      <c r="O11" s="53" t="str">
        <f aca="false">IF(PhaseSummary[[#This Row],[_Task]]="","",COUNTIFS(tsk_Phase,PhaseSummary[[#This Row],[WBS]],tsk_Critical,"Yes",tsk_IsLeaf,1))</f>
        <v/>
      </c>
      <c r="P11"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2" customFormat="false" ht="15" hidden="false" customHeight="false" outlineLevel="0" collapsed="false">
      <c r="B12" s="41" t="str">
        <f aca="false">IFERROR(MATCH(SMALL(tsk_PhaseKey,ROW()-ROW(PhaseSummary[[#Headers],[_Task]])),tsk_PhaseKey,0),"")</f>
        <v/>
      </c>
      <c r="C12" s="24" t="str">
        <f aca="false">IF(PhaseSummary[[#This Row],[_Task]]="","",INDEX(tsk_WBS,PhaseSummary[[#This Row],[_Task]])&amp;"")</f>
        <v/>
      </c>
      <c r="D12" s="24" t="str">
        <f aca="false">IF(PhaseSummary[[#This Row],[_Task]]="","",INDEX(tsk_Name,PhaseSummary[[#This Row],[_Task]])&amp;"")</f>
        <v/>
      </c>
      <c r="E12" s="48" t="str">
        <f aca="false">IF(PhaseSummary[[#This Row],[_Task]]="","",IF(N(INDEX(tsk_PlanFinish,PhaseSummary[[#This Row],[_Task]]))=0,"",INDEX(tsk_PlanFinish,PhaseSummary[[#This Row],[_Task]])))</f>
        <v/>
      </c>
      <c r="F12" s="48" t="str">
        <f aca="false">IF(PhaseSummary[[#This Row],[_Task]]="","",IF(N(INDEX(tsk_FcFinish,PhaseSummary[[#This Row],[_Task]]))=0,"",INDEX(tsk_FcFinish,PhaseSummary[[#This Row],[_Task]])))</f>
        <v/>
      </c>
      <c r="G12" s="49" t="str">
        <f aca="false">IF(PhaseSummary[[#This Row],[_Task]]="","",INDEX(tsk_Variance,PhaseSummary[[#This Row],[_Task]]))</f>
        <v/>
      </c>
      <c r="H12" s="50" t="str">
        <f aca="false">IF(PhaseSummary[[#This Row],[_Task]]="","",INDEX(tsk_Progress,PhaseSummary[[#This Row],[_Task]]))</f>
        <v/>
      </c>
      <c r="I12" s="51" t="str">
        <f aca="false">IF(PhaseSummary[[#This Row],[_Task]]="","",INDEX(tsk_Budget,PhaseSummary[[#This Row],[_Task]]))</f>
        <v/>
      </c>
      <c r="J12" s="51" t="str">
        <f aca="false">IF(PhaseSummary[[#This Row],[_Task]]="","",INDEX(tsk_PV,PhaseSummary[[#This Row],[_Task]]))</f>
        <v/>
      </c>
      <c r="K12" s="51" t="str">
        <f aca="false">IF(PhaseSummary[[#This Row],[_Task]]="","",INDEX(tsk_EV,PhaseSummary[[#This Row],[_Task]]))</f>
        <v/>
      </c>
      <c r="L12" s="51" t="str">
        <f aca="false">IF(PhaseSummary[[#This Row],[_Task]]="","",INDEX(tsk_AC,PhaseSummary[[#This Row],[_Task]]))</f>
        <v/>
      </c>
      <c r="M12" s="52" t="str">
        <f aca="false">IF(PhaseSummary[[#This Row],[_Task]]="","",IF(N(PhaseSummary[[#This Row],[PV]])&gt;0,PhaseSummary[[#This Row],[EV]]/PhaseSummary[[#This Row],[PV]],""))</f>
        <v/>
      </c>
      <c r="N12" s="52" t="str">
        <f aca="false">IF(PhaseSummary[[#This Row],[_Task]]="","",IF(N(PhaseSummary[[#This Row],[AC]])&gt;0,PhaseSummary[[#This Row],[EV]]/PhaseSummary[[#This Row],[AC]],""))</f>
        <v/>
      </c>
      <c r="O12" s="53" t="str">
        <f aca="false">IF(PhaseSummary[[#This Row],[_Task]]="","",COUNTIFS(tsk_Phase,PhaseSummary[[#This Row],[WBS]],tsk_Critical,"Yes",tsk_IsLeaf,1))</f>
        <v/>
      </c>
      <c r="P12"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3" customFormat="false" ht="15" hidden="false" customHeight="false" outlineLevel="0" collapsed="false">
      <c r="B13" s="41" t="str">
        <f aca="false">IFERROR(MATCH(SMALL(tsk_PhaseKey,ROW()-ROW(PhaseSummary[[#Headers],[_Task]])),tsk_PhaseKey,0),"")</f>
        <v/>
      </c>
      <c r="C13" s="24" t="str">
        <f aca="false">IF(PhaseSummary[[#This Row],[_Task]]="","",INDEX(tsk_WBS,PhaseSummary[[#This Row],[_Task]])&amp;"")</f>
        <v/>
      </c>
      <c r="D13" s="24" t="str">
        <f aca="false">IF(PhaseSummary[[#This Row],[_Task]]="","",INDEX(tsk_Name,PhaseSummary[[#This Row],[_Task]])&amp;"")</f>
        <v/>
      </c>
      <c r="E13" s="48" t="str">
        <f aca="false">IF(PhaseSummary[[#This Row],[_Task]]="","",IF(N(INDEX(tsk_PlanFinish,PhaseSummary[[#This Row],[_Task]]))=0,"",INDEX(tsk_PlanFinish,PhaseSummary[[#This Row],[_Task]])))</f>
        <v/>
      </c>
      <c r="F13" s="48" t="str">
        <f aca="false">IF(PhaseSummary[[#This Row],[_Task]]="","",IF(N(INDEX(tsk_FcFinish,PhaseSummary[[#This Row],[_Task]]))=0,"",INDEX(tsk_FcFinish,PhaseSummary[[#This Row],[_Task]])))</f>
        <v/>
      </c>
      <c r="G13" s="49" t="str">
        <f aca="false">IF(PhaseSummary[[#This Row],[_Task]]="","",INDEX(tsk_Variance,PhaseSummary[[#This Row],[_Task]]))</f>
        <v/>
      </c>
      <c r="H13" s="50" t="str">
        <f aca="false">IF(PhaseSummary[[#This Row],[_Task]]="","",INDEX(tsk_Progress,PhaseSummary[[#This Row],[_Task]]))</f>
        <v/>
      </c>
      <c r="I13" s="51" t="str">
        <f aca="false">IF(PhaseSummary[[#This Row],[_Task]]="","",INDEX(tsk_Budget,PhaseSummary[[#This Row],[_Task]]))</f>
        <v/>
      </c>
      <c r="J13" s="51" t="str">
        <f aca="false">IF(PhaseSummary[[#This Row],[_Task]]="","",INDEX(tsk_PV,PhaseSummary[[#This Row],[_Task]]))</f>
        <v/>
      </c>
      <c r="K13" s="51" t="str">
        <f aca="false">IF(PhaseSummary[[#This Row],[_Task]]="","",INDEX(tsk_EV,PhaseSummary[[#This Row],[_Task]]))</f>
        <v/>
      </c>
      <c r="L13" s="51" t="str">
        <f aca="false">IF(PhaseSummary[[#This Row],[_Task]]="","",INDEX(tsk_AC,PhaseSummary[[#This Row],[_Task]]))</f>
        <v/>
      </c>
      <c r="M13" s="52" t="str">
        <f aca="false">IF(PhaseSummary[[#This Row],[_Task]]="","",IF(N(PhaseSummary[[#This Row],[PV]])&gt;0,PhaseSummary[[#This Row],[EV]]/PhaseSummary[[#This Row],[PV]],""))</f>
        <v/>
      </c>
      <c r="N13" s="52" t="str">
        <f aca="false">IF(PhaseSummary[[#This Row],[_Task]]="","",IF(N(PhaseSummary[[#This Row],[AC]])&gt;0,PhaseSummary[[#This Row],[EV]]/PhaseSummary[[#This Row],[AC]],""))</f>
        <v/>
      </c>
      <c r="O13" s="53" t="str">
        <f aca="false">IF(PhaseSummary[[#This Row],[_Task]]="","",COUNTIFS(tsk_Phase,PhaseSummary[[#This Row],[WBS]],tsk_Critical,"Yes",tsk_IsLeaf,1))</f>
        <v/>
      </c>
      <c r="P13"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4" customFormat="false" ht="15" hidden="false" customHeight="false" outlineLevel="0" collapsed="false">
      <c r="B14" s="41" t="str">
        <f aca="false">IFERROR(MATCH(SMALL(tsk_PhaseKey,ROW()-ROW(PhaseSummary[[#Headers],[_Task]])),tsk_PhaseKey,0),"")</f>
        <v/>
      </c>
      <c r="C14" s="24" t="str">
        <f aca="false">IF(PhaseSummary[[#This Row],[_Task]]="","",INDEX(tsk_WBS,PhaseSummary[[#This Row],[_Task]])&amp;"")</f>
        <v/>
      </c>
      <c r="D14" s="24" t="str">
        <f aca="false">IF(PhaseSummary[[#This Row],[_Task]]="","",INDEX(tsk_Name,PhaseSummary[[#This Row],[_Task]])&amp;"")</f>
        <v/>
      </c>
      <c r="E14" s="48" t="str">
        <f aca="false">IF(PhaseSummary[[#This Row],[_Task]]="","",IF(N(INDEX(tsk_PlanFinish,PhaseSummary[[#This Row],[_Task]]))=0,"",INDEX(tsk_PlanFinish,PhaseSummary[[#This Row],[_Task]])))</f>
        <v/>
      </c>
      <c r="F14" s="48" t="str">
        <f aca="false">IF(PhaseSummary[[#This Row],[_Task]]="","",IF(N(INDEX(tsk_FcFinish,PhaseSummary[[#This Row],[_Task]]))=0,"",INDEX(tsk_FcFinish,PhaseSummary[[#This Row],[_Task]])))</f>
        <v/>
      </c>
      <c r="G14" s="49" t="str">
        <f aca="false">IF(PhaseSummary[[#This Row],[_Task]]="","",INDEX(tsk_Variance,PhaseSummary[[#This Row],[_Task]]))</f>
        <v/>
      </c>
      <c r="H14" s="50" t="str">
        <f aca="false">IF(PhaseSummary[[#This Row],[_Task]]="","",INDEX(tsk_Progress,PhaseSummary[[#This Row],[_Task]]))</f>
        <v/>
      </c>
      <c r="I14" s="51" t="str">
        <f aca="false">IF(PhaseSummary[[#This Row],[_Task]]="","",INDEX(tsk_Budget,PhaseSummary[[#This Row],[_Task]]))</f>
        <v/>
      </c>
      <c r="J14" s="51" t="str">
        <f aca="false">IF(PhaseSummary[[#This Row],[_Task]]="","",INDEX(tsk_PV,PhaseSummary[[#This Row],[_Task]]))</f>
        <v/>
      </c>
      <c r="K14" s="51" t="str">
        <f aca="false">IF(PhaseSummary[[#This Row],[_Task]]="","",INDEX(tsk_EV,PhaseSummary[[#This Row],[_Task]]))</f>
        <v/>
      </c>
      <c r="L14" s="51" t="str">
        <f aca="false">IF(PhaseSummary[[#This Row],[_Task]]="","",INDEX(tsk_AC,PhaseSummary[[#This Row],[_Task]]))</f>
        <v/>
      </c>
      <c r="M14" s="52" t="str">
        <f aca="false">IF(PhaseSummary[[#This Row],[_Task]]="","",IF(N(PhaseSummary[[#This Row],[PV]])&gt;0,PhaseSummary[[#This Row],[EV]]/PhaseSummary[[#This Row],[PV]],""))</f>
        <v/>
      </c>
      <c r="N14" s="52" t="str">
        <f aca="false">IF(PhaseSummary[[#This Row],[_Task]]="","",IF(N(PhaseSummary[[#This Row],[AC]])&gt;0,PhaseSummary[[#This Row],[EV]]/PhaseSummary[[#This Row],[AC]],""))</f>
        <v/>
      </c>
      <c r="O14" s="53" t="str">
        <f aca="false">IF(PhaseSummary[[#This Row],[_Task]]="","",COUNTIFS(tsk_Phase,PhaseSummary[[#This Row],[WBS]],tsk_Critical,"Yes",tsk_IsLeaf,1))</f>
        <v/>
      </c>
      <c r="P14"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5" customFormat="false" ht="15" hidden="false" customHeight="false" outlineLevel="0" collapsed="false">
      <c r="B15" s="41" t="str">
        <f aca="false">IFERROR(MATCH(SMALL(tsk_PhaseKey,ROW()-ROW(PhaseSummary[[#Headers],[_Task]])),tsk_PhaseKey,0),"")</f>
        <v/>
      </c>
      <c r="C15" s="24" t="str">
        <f aca="false">IF(PhaseSummary[[#This Row],[_Task]]="","",INDEX(tsk_WBS,PhaseSummary[[#This Row],[_Task]])&amp;"")</f>
        <v/>
      </c>
      <c r="D15" s="24" t="str">
        <f aca="false">IF(PhaseSummary[[#This Row],[_Task]]="","",INDEX(tsk_Name,PhaseSummary[[#This Row],[_Task]])&amp;"")</f>
        <v/>
      </c>
      <c r="E15" s="48" t="str">
        <f aca="false">IF(PhaseSummary[[#This Row],[_Task]]="","",IF(N(INDEX(tsk_PlanFinish,PhaseSummary[[#This Row],[_Task]]))=0,"",INDEX(tsk_PlanFinish,PhaseSummary[[#This Row],[_Task]])))</f>
        <v/>
      </c>
      <c r="F15" s="48" t="str">
        <f aca="false">IF(PhaseSummary[[#This Row],[_Task]]="","",IF(N(INDEX(tsk_FcFinish,PhaseSummary[[#This Row],[_Task]]))=0,"",INDEX(tsk_FcFinish,PhaseSummary[[#This Row],[_Task]])))</f>
        <v/>
      </c>
      <c r="G15" s="49" t="str">
        <f aca="false">IF(PhaseSummary[[#This Row],[_Task]]="","",INDEX(tsk_Variance,PhaseSummary[[#This Row],[_Task]]))</f>
        <v/>
      </c>
      <c r="H15" s="50" t="str">
        <f aca="false">IF(PhaseSummary[[#This Row],[_Task]]="","",INDEX(tsk_Progress,PhaseSummary[[#This Row],[_Task]]))</f>
        <v/>
      </c>
      <c r="I15" s="51" t="str">
        <f aca="false">IF(PhaseSummary[[#This Row],[_Task]]="","",INDEX(tsk_Budget,PhaseSummary[[#This Row],[_Task]]))</f>
        <v/>
      </c>
      <c r="J15" s="51" t="str">
        <f aca="false">IF(PhaseSummary[[#This Row],[_Task]]="","",INDEX(tsk_PV,PhaseSummary[[#This Row],[_Task]]))</f>
        <v/>
      </c>
      <c r="K15" s="51" t="str">
        <f aca="false">IF(PhaseSummary[[#This Row],[_Task]]="","",INDEX(tsk_EV,PhaseSummary[[#This Row],[_Task]]))</f>
        <v/>
      </c>
      <c r="L15" s="51" t="str">
        <f aca="false">IF(PhaseSummary[[#This Row],[_Task]]="","",INDEX(tsk_AC,PhaseSummary[[#This Row],[_Task]]))</f>
        <v/>
      </c>
      <c r="M15" s="52" t="str">
        <f aca="false">IF(PhaseSummary[[#This Row],[_Task]]="","",IF(N(PhaseSummary[[#This Row],[PV]])&gt;0,PhaseSummary[[#This Row],[EV]]/PhaseSummary[[#This Row],[PV]],""))</f>
        <v/>
      </c>
      <c r="N15" s="52" t="str">
        <f aca="false">IF(PhaseSummary[[#This Row],[_Task]]="","",IF(N(PhaseSummary[[#This Row],[AC]])&gt;0,PhaseSummary[[#This Row],[EV]]/PhaseSummary[[#This Row],[AC]],""))</f>
        <v/>
      </c>
      <c r="O15" s="53" t="str">
        <f aca="false">IF(PhaseSummary[[#This Row],[_Task]]="","",COUNTIFS(tsk_Phase,PhaseSummary[[#This Row],[WBS]],tsk_Critical,"Yes",tsk_IsLeaf,1))</f>
        <v/>
      </c>
      <c r="P15"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7" customFormat="false" ht="15" hidden="false" customHeight="false" outlineLevel="0" collapsed="false">
      <c r="C17" s="36" t="str">
        <f aca="false">"Milestones (in planned order)"&amp;": "&amp;COUNT(tsk_MilestoneOrder)&amp;IF(COUNT(tsk_MilestoneOrder)&gt;ROWS(MilestoneReport[_Task])," (showing the first "&amp;ROWS(MilestoneReport[_Task])&amp;")","")</f>
        <v>Milestones (in planned order): 5</v>
      </c>
    </row>
    <row r="18" customFormat="false" ht="23.85" hidden="false" customHeight="false" outlineLevel="0" collapsed="false">
      <c r="B18" s="40" t="s">
        <v>173</v>
      </c>
      <c r="C18" s="9" t="s">
        <v>200</v>
      </c>
      <c r="D18" s="9" t="s">
        <v>213</v>
      </c>
      <c r="E18" s="9" t="s">
        <v>214</v>
      </c>
      <c r="F18" s="9" t="s">
        <v>215</v>
      </c>
      <c r="G18" s="9" t="s">
        <v>204</v>
      </c>
      <c r="H18" s="9" t="s">
        <v>216</v>
      </c>
      <c r="I18" s="9" t="s">
        <v>217</v>
      </c>
      <c r="J18" s="9" t="s">
        <v>91</v>
      </c>
    </row>
    <row r="19" customFormat="false" ht="15" hidden="false" customHeight="false" outlineLevel="0" collapsed="false">
      <c r="B19" s="41" t="n">
        <f aca="false">IFERROR(MATCH(SMALL(tsk_MilestoneOrder,ROW()-ROW(MilestoneReport[[#Headers],[_Task]])),tsk_MilestoneOrder,0),"")</f>
        <v>4</v>
      </c>
      <c r="C19" s="24" t="str">
        <f aca="false">IF(MilestoneReport[[#This Row],[_Task]]="","",INDEX(tsk_WBS,MilestoneReport[[#This Row],[_Task]])&amp;"")</f>
        <v>1.3</v>
      </c>
      <c r="D19" s="24" t="str">
        <f aca="false">IF(MilestoneReport[[#This Row],[_Task]]="","",INDEX(tsk_Name,MilestoneReport[[#This Row],[_Task]])&amp;"")</f>
        <v>Kickoff complete</v>
      </c>
      <c r="E19" s="48" t="n">
        <f aca="false">IF(MilestoneReport[[#This Row],[_Task]]="","",IF(N(INDEX(tsk_PlanFinish,MilestoneReport[[#This Row],[_Task]]))=0,"",INDEX(tsk_PlanFinish,MilestoneReport[[#This Row],[_Task]])))</f>
        <v>46276</v>
      </c>
      <c r="F19" s="48" t="n">
        <f aca="false">IF(MilestoneReport[[#This Row],[_Task]]="","",IF(N(INDEX(tsk_FcFinish,MilestoneReport[[#This Row],[_Task]]))=0,"",INDEX(tsk_FcFinish,MilestoneReport[[#This Row],[_Task]])))</f>
        <v>46279</v>
      </c>
      <c r="G19" s="49" t="n">
        <f aca="false">IF(MilestoneReport[[#This Row],[_Task]]="","",INDEX(tsk_Variance,MilestoneReport[[#This Row],[_Task]]))</f>
        <v>1</v>
      </c>
      <c r="H19" s="48" t="str">
        <f aca="false">IF(MilestoneReport[[#This Row],[_Task]]="","",IF(N(INDEX(tsk_Deadline,MilestoneReport[[#This Row],[_Task]]))=0,"",INDEX(tsk_Deadline,MilestoneReport[[#This Row],[_Task]])))</f>
        <v/>
      </c>
      <c r="I19" s="24" t="str">
        <f aca="false">IF(MilestoneReport[[#This Row],[_Task]]="","",INDEX(tsk_DeadlineCheck,MilestoneReport[[#This Row],[_Task]])&amp;"")</f>
        <v/>
      </c>
      <c r="J19" s="24" t="str">
        <f aca="false">IF(MilestoneReport[[#This Row],[_Task]]="","",INDEX(tsk_Status,MilestoneReport[[#This Row],[_Task]])&amp;"")</f>
        <v>Complete</v>
      </c>
    </row>
    <row r="20" customFormat="false" ht="15" hidden="false" customHeight="false" outlineLevel="0" collapsed="false">
      <c r="B20" s="41" t="n">
        <f aca="false">IFERROR(MATCH(SMALL(tsk_MilestoneOrder,ROW()-ROW(MilestoneReport[[#Headers],[_Task]])),tsk_MilestoneOrder,0),"")</f>
        <v>9</v>
      </c>
      <c r="C20" s="24" t="str">
        <f aca="false">IF(MilestoneReport[[#This Row],[_Task]]="","",INDEX(tsk_WBS,MilestoneReport[[#This Row],[_Task]])&amp;"")</f>
        <v>2.4</v>
      </c>
      <c r="D20" s="24" t="str">
        <f aca="false">IF(MilestoneReport[[#This Row],[_Task]]="","",INDEX(tsk_Name,MilestoneReport[[#This Row],[_Task]])&amp;"")</f>
        <v>Design sign-off</v>
      </c>
      <c r="E20" s="48" t="n">
        <f aca="false">IF(MilestoneReport[[#This Row],[_Task]]="","",IF(N(INDEX(tsk_PlanFinish,MilestoneReport[[#This Row],[_Task]]))=0,"",INDEX(tsk_PlanFinish,MilestoneReport[[#This Row],[_Task]])))</f>
        <v>46296</v>
      </c>
      <c r="F20" s="48" t="n">
        <f aca="false">IF(MilestoneReport[[#This Row],[_Task]]="","",IF(N(INDEX(tsk_FcFinish,MilestoneReport[[#This Row],[_Task]]))=0,"",INDEX(tsk_FcFinish,MilestoneReport[[#This Row],[_Task]])))</f>
        <v>46301</v>
      </c>
      <c r="G20" s="49" t="n">
        <f aca="false">IF(MilestoneReport[[#This Row],[_Task]]="","",INDEX(tsk_Variance,MilestoneReport[[#This Row],[_Task]]))</f>
        <v>3</v>
      </c>
      <c r="H20" s="48" t="str">
        <f aca="false">IF(MilestoneReport[[#This Row],[_Task]]="","",IF(N(INDEX(tsk_Deadline,MilestoneReport[[#This Row],[_Task]]))=0,"",INDEX(tsk_Deadline,MilestoneReport[[#This Row],[_Task]])))</f>
        <v/>
      </c>
      <c r="I20" s="24" t="str">
        <f aca="false">IF(MilestoneReport[[#This Row],[_Task]]="","",INDEX(tsk_DeadlineCheck,MilestoneReport[[#This Row],[_Task]])&amp;"")</f>
        <v/>
      </c>
      <c r="J20" s="24" t="str">
        <f aca="false">IF(MilestoneReport[[#This Row],[_Task]]="","",INDEX(tsk_Status,MilestoneReport[[#This Row],[_Task]])&amp;"")</f>
        <v>Complete</v>
      </c>
    </row>
    <row r="21" customFormat="false" ht="15" hidden="false" customHeight="false" outlineLevel="0" collapsed="false">
      <c r="B21" s="41" t="n">
        <f aca="false">IFERROR(MATCH(SMALL(tsk_MilestoneOrder,ROW()-ROW(MilestoneReport[[#Headers],[_Task]])),tsk_MilestoneOrder,0),"")</f>
        <v>19</v>
      </c>
      <c r="C21" s="24" t="str">
        <f aca="false">IF(MilestoneReport[[#This Row],[_Task]]="","",INDEX(tsk_WBS,MilestoneReport[[#This Row],[_Task]])&amp;"")</f>
        <v>3.3</v>
      </c>
      <c r="D21" s="24" t="str">
        <f aca="false">IF(MilestoneReport[[#This Row],[_Task]]="","",INDEX(tsk_Name,MilestoneReport[[#This Row],[_Task]])&amp;"")</f>
        <v>Build complete</v>
      </c>
      <c r="E21" s="48" t="n">
        <f aca="false">IF(MilestoneReport[[#This Row],[_Task]]="","",IF(N(INDEX(tsk_PlanFinish,MilestoneReport[[#This Row],[_Task]]))=0,"",INDEX(tsk_PlanFinish,MilestoneReport[[#This Row],[_Task]])))</f>
        <v>46325</v>
      </c>
      <c r="F21" s="48" t="n">
        <f aca="false">IF(MilestoneReport[[#This Row],[_Task]]="","",IF(N(INDEX(tsk_FcFinish,MilestoneReport[[#This Row],[_Task]]))=0,"",INDEX(tsk_FcFinish,MilestoneReport[[#This Row],[_Task]])))</f>
        <v>46335</v>
      </c>
      <c r="G21" s="49" t="n">
        <f aca="false">IF(MilestoneReport[[#This Row],[_Task]]="","",INDEX(tsk_Variance,MilestoneReport[[#This Row],[_Task]]))</f>
        <v>6</v>
      </c>
      <c r="H21" s="48" t="n">
        <f aca="false">IF(MilestoneReport[[#This Row],[_Task]]="","",IF(N(INDEX(tsk_Deadline,MilestoneReport[[#This Row],[_Task]]))=0,"",INDEX(tsk_Deadline,MilestoneReport[[#This Row],[_Task]])))</f>
        <v>46332</v>
      </c>
      <c r="I21" s="24" t="str">
        <f aca="false">IF(MilestoneReport[[#This Row],[_Task]]="","",INDEX(tsk_DeadlineCheck,MilestoneReport[[#This Row],[_Task]])&amp;"")</f>
        <v>Late by 1d</v>
      </c>
      <c r="J21" s="24" t="str">
        <f aca="false">IF(MilestoneReport[[#This Row],[_Task]]="","",INDEX(tsk_Status,MilestoneReport[[#This Row],[_Task]])&amp;"")</f>
        <v>Not Started</v>
      </c>
    </row>
    <row r="22" customFormat="false" ht="15" hidden="false" customHeight="false" outlineLevel="0" collapsed="false">
      <c r="B22" s="41" t="n">
        <f aca="false">IFERROR(MATCH(SMALL(tsk_MilestoneOrder,ROW()-ROW(MilestoneReport[[#Headers],[_Task]])),tsk_MilestoneOrder,0),"")</f>
        <v>25</v>
      </c>
      <c r="C22" s="24" t="str">
        <f aca="false">IF(MilestoneReport[[#This Row],[_Task]]="","",INDEX(tsk_WBS,MilestoneReport[[#This Row],[_Task]])&amp;"")</f>
        <v>4.5</v>
      </c>
      <c r="D22" s="24" t="str">
        <f aca="false">IF(MilestoneReport[[#This Row],[_Task]]="","",INDEX(tsk_Name,MilestoneReport[[#This Row],[_Task]])&amp;"")</f>
        <v>Go-live</v>
      </c>
      <c r="E22" s="48" t="n">
        <f aca="false">IF(MilestoneReport[[#This Row],[_Task]]="","",IF(N(INDEX(tsk_PlanFinish,MilestoneReport[[#This Row],[_Task]]))=0,"",INDEX(tsk_PlanFinish,MilestoneReport[[#This Row],[_Task]])))</f>
        <v>46371</v>
      </c>
      <c r="F22" s="48" t="n">
        <f aca="false">IF(MilestoneReport[[#This Row],[_Task]]="","",IF(N(INDEX(tsk_FcFinish,MilestoneReport[[#This Row],[_Task]]))=0,"",INDEX(tsk_FcFinish,MilestoneReport[[#This Row],[_Task]])))</f>
        <v>46371</v>
      </c>
      <c r="G22" s="49" t="n">
        <f aca="false">IF(MilestoneReport[[#This Row],[_Task]]="","",INDEX(tsk_Variance,MilestoneReport[[#This Row],[_Task]]))</f>
        <v>0</v>
      </c>
      <c r="H22" s="48" t="n">
        <f aca="false">IF(MilestoneReport[[#This Row],[_Task]]="","",IF(N(INDEX(tsk_Deadline,MilestoneReport[[#This Row],[_Task]]))=0,"",INDEX(tsk_Deadline,MilestoneReport[[#This Row],[_Task]])))</f>
        <v>46374</v>
      </c>
      <c r="I22" s="24" t="str">
        <f aca="false">IF(MilestoneReport[[#This Row],[_Task]]="","",INDEX(tsk_DeadlineCheck,MilestoneReport[[#This Row],[_Task]])&amp;"")</f>
        <v>OK</v>
      </c>
      <c r="J22" s="24" t="str">
        <f aca="false">IF(MilestoneReport[[#This Row],[_Task]]="","",INDEX(tsk_Status,MilestoneReport[[#This Row],[_Task]])&amp;"")</f>
        <v>Not Started</v>
      </c>
    </row>
    <row r="23" customFormat="false" ht="15" hidden="false" customHeight="false" outlineLevel="0" collapsed="false">
      <c r="B23" s="41" t="n">
        <f aca="false">IFERROR(MATCH(SMALL(tsk_MilestoneOrder,ROW()-ROW(MilestoneReport[[#Headers],[_Task]])),tsk_MilestoneOrder,0),"")</f>
        <v>30</v>
      </c>
      <c r="C23" s="24" t="str">
        <f aca="false">IF(MilestoneReport[[#This Row],[_Task]]="","",INDEX(tsk_WBS,MilestoneReport[[#This Row],[_Task]])&amp;"")</f>
        <v>5.3</v>
      </c>
      <c r="D23" s="24" t="str">
        <f aca="false">IF(MilestoneReport[[#This Row],[_Task]]="","",INDEX(tsk_Name,MilestoneReport[[#This Row],[_Task]])&amp;"")</f>
        <v>Project closed</v>
      </c>
      <c r="E23" s="48" t="n">
        <f aca="false">IF(MilestoneReport[[#This Row],[_Task]]="","",IF(N(INDEX(tsk_PlanFinish,MilestoneReport[[#This Row],[_Task]]))=0,"",INDEX(tsk_PlanFinish,MilestoneReport[[#This Row],[_Task]])))</f>
        <v>46393</v>
      </c>
      <c r="F23" s="48" t="n">
        <f aca="false">IF(MilestoneReport[[#This Row],[_Task]]="","",IF(N(INDEX(tsk_FcFinish,MilestoneReport[[#This Row],[_Task]]))=0,"",INDEX(tsk_FcFinish,MilestoneReport[[#This Row],[_Task]])))</f>
        <v>46393</v>
      </c>
      <c r="G23" s="49" t="n">
        <f aca="false">IF(MilestoneReport[[#This Row],[_Task]]="","",INDEX(tsk_Variance,MilestoneReport[[#This Row],[_Task]]))</f>
        <v>0</v>
      </c>
      <c r="H23" s="48" t="str">
        <f aca="false">IF(MilestoneReport[[#This Row],[_Task]]="","",IF(N(INDEX(tsk_Deadline,MilestoneReport[[#This Row],[_Task]]))=0,"",INDEX(tsk_Deadline,MilestoneReport[[#This Row],[_Task]])))</f>
        <v/>
      </c>
      <c r="I23" s="24" t="str">
        <f aca="false">IF(MilestoneReport[[#This Row],[_Task]]="","",INDEX(tsk_DeadlineCheck,MilestoneReport[[#This Row],[_Task]])&amp;"")</f>
        <v/>
      </c>
      <c r="J23" s="24" t="str">
        <f aca="false">IF(MilestoneReport[[#This Row],[_Task]]="","",INDEX(tsk_Status,MilestoneReport[[#This Row],[_Task]])&amp;"")</f>
        <v>Not Started</v>
      </c>
    </row>
    <row r="24" customFormat="false" ht="15" hidden="false" customHeight="false" outlineLevel="0" collapsed="false">
      <c r="B24" s="41" t="str">
        <f aca="false">IFERROR(MATCH(SMALL(tsk_MilestoneOrder,ROW()-ROW(MilestoneReport[[#Headers],[_Task]])),tsk_MilestoneOrder,0),"")</f>
        <v/>
      </c>
      <c r="C24" s="24" t="str">
        <f aca="false">IF(MilestoneReport[[#This Row],[_Task]]="","",INDEX(tsk_WBS,MilestoneReport[[#This Row],[_Task]])&amp;"")</f>
        <v/>
      </c>
      <c r="D24" s="24" t="str">
        <f aca="false">IF(MilestoneReport[[#This Row],[_Task]]="","",INDEX(tsk_Name,MilestoneReport[[#This Row],[_Task]])&amp;"")</f>
        <v/>
      </c>
      <c r="E24" s="48" t="str">
        <f aca="false">IF(MilestoneReport[[#This Row],[_Task]]="","",IF(N(INDEX(tsk_PlanFinish,MilestoneReport[[#This Row],[_Task]]))=0,"",INDEX(tsk_PlanFinish,MilestoneReport[[#This Row],[_Task]])))</f>
        <v/>
      </c>
      <c r="F24" s="48" t="str">
        <f aca="false">IF(MilestoneReport[[#This Row],[_Task]]="","",IF(N(INDEX(tsk_FcFinish,MilestoneReport[[#This Row],[_Task]]))=0,"",INDEX(tsk_FcFinish,MilestoneReport[[#This Row],[_Task]])))</f>
        <v/>
      </c>
      <c r="G24" s="49" t="str">
        <f aca="false">IF(MilestoneReport[[#This Row],[_Task]]="","",INDEX(tsk_Variance,MilestoneReport[[#This Row],[_Task]]))</f>
        <v/>
      </c>
      <c r="H24" s="48" t="str">
        <f aca="false">IF(MilestoneReport[[#This Row],[_Task]]="","",IF(N(INDEX(tsk_Deadline,MilestoneReport[[#This Row],[_Task]]))=0,"",INDEX(tsk_Deadline,MilestoneReport[[#This Row],[_Task]])))</f>
        <v/>
      </c>
      <c r="I24" s="24" t="str">
        <f aca="false">IF(MilestoneReport[[#This Row],[_Task]]="","",INDEX(tsk_DeadlineCheck,MilestoneReport[[#This Row],[_Task]])&amp;"")</f>
        <v/>
      </c>
      <c r="J24" s="24" t="str">
        <f aca="false">IF(MilestoneReport[[#This Row],[_Task]]="","",INDEX(tsk_Status,MilestoneReport[[#This Row],[_Task]])&amp;"")</f>
        <v/>
      </c>
    </row>
    <row r="25" customFormat="false" ht="15" hidden="false" customHeight="false" outlineLevel="0" collapsed="false">
      <c r="B25" s="41" t="str">
        <f aca="false">IFERROR(MATCH(SMALL(tsk_MilestoneOrder,ROW()-ROW(MilestoneReport[[#Headers],[_Task]])),tsk_MilestoneOrder,0),"")</f>
        <v/>
      </c>
      <c r="C25" s="24" t="str">
        <f aca="false">IF(MilestoneReport[[#This Row],[_Task]]="","",INDEX(tsk_WBS,MilestoneReport[[#This Row],[_Task]])&amp;"")</f>
        <v/>
      </c>
      <c r="D25" s="24" t="str">
        <f aca="false">IF(MilestoneReport[[#This Row],[_Task]]="","",INDEX(tsk_Name,MilestoneReport[[#This Row],[_Task]])&amp;"")</f>
        <v/>
      </c>
      <c r="E25" s="48" t="str">
        <f aca="false">IF(MilestoneReport[[#This Row],[_Task]]="","",IF(N(INDEX(tsk_PlanFinish,MilestoneReport[[#This Row],[_Task]]))=0,"",INDEX(tsk_PlanFinish,MilestoneReport[[#This Row],[_Task]])))</f>
        <v/>
      </c>
      <c r="F25" s="48" t="str">
        <f aca="false">IF(MilestoneReport[[#This Row],[_Task]]="","",IF(N(INDEX(tsk_FcFinish,MilestoneReport[[#This Row],[_Task]]))=0,"",INDEX(tsk_FcFinish,MilestoneReport[[#This Row],[_Task]])))</f>
        <v/>
      </c>
      <c r="G25" s="49" t="str">
        <f aca="false">IF(MilestoneReport[[#This Row],[_Task]]="","",INDEX(tsk_Variance,MilestoneReport[[#This Row],[_Task]]))</f>
        <v/>
      </c>
      <c r="H25" s="48" t="str">
        <f aca="false">IF(MilestoneReport[[#This Row],[_Task]]="","",IF(N(INDEX(tsk_Deadline,MilestoneReport[[#This Row],[_Task]]))=0,"",INDEX(tsk_Deadline,MilestoneReport[[#This Row],[_Task]])))</f>
        <v/>
      </c>
      <c r="I25" s="24" t="str">
        <f aca="false">IF(MilestoneReport[[#This Row],[_Task]]="","",INDEX(tsk_DeadlineCheck,MilestoneReport[[#This Row],[_Task]])&amp;"")</f>
        <v/>
      </c>
      <c r="J25" s="24" t="str">
        <f aca="false">IF(MilestoneReport[[#This Row],[_Task]]="","",INDEX(tsk_Status,MilestoneReport[[#This Row],[_Task]])&amp;"")</f>
        <v/>
      </c>
    </row>
    <row r="26" customFormat="false" ht="15" hidden="false" customHeight="false" outlineLevel="0" collapsed="false">
      <c r="B26" s="41" t="str">
        <f aca="false">IFERROR(MATCH(SMALL(tsk_MilestoneOrder,ROW()-ROW(MilestoneReport[[#Headers],[_Task]])),tsk_MilestoneOrder,0),"")</f>
        <v/>
      </c>
      <c r="C26" s="24" t="str">
        <f aca="false">IF(MilestoneReport[[#This Row],[_Task]]="","",INDEX(tsk_WBS,MilestoneReport[[#This Row],[_Task]])&amp;"")</f>
        <v/>
      </c>
      <c r="D26" s="24" t="str">
        <f aca="false">IF(MilestoneReport[[#This Row],[_Task]]="","",INDEX(tsk_Name,MilestoneReport[[#This Row],[_Task]])&amp;"")</f>
        <v/>
      </c>
      <c r="E26" s="48" t="str">
        <f aca="false">IF(MilestoneReport[[#This Row],[_Task]]="","",IF(N(INDEX(tsk_PlanFinish,MilestoneReport[[#This Row],[_Task]]))=0,"",INDEX(tsk_PlanFinish,MilestoneReport[[#This Row],[_Task]])))</f>
        <v/>
      </c>
      <c r="F26" s="48" t="str">
        <f aca="false">IF(MilestoneReport[[#This Row],[_Task]]="","",IF(N(INDEX(tsk_FcFinish,MilestoneReport[[#This Row],[_Task]]))=0,"",INDEX(tsk_FcFinish,MilestoneReport[[#This Row],[_Task]])))</f>
        <v/>
      </c>
      <c r="G26" s="49" t="str">
        <f aca="false">IF(MilestoneReport[[#This Row],[_Task]]="","",INDEX(tsk_Variance,MilestoneReport[[#This Row],[_Task]]))</f>
        <v/>
      </c>
      <c r="H26" s="48" t="str">
        <f aca="false">IF(MilestoneReport[[#This Row],[_Task]]="","",IF(N(INDEX(tsk_Deadline,MilestoneReport[[#This Row],[_Task]]))=0,"",INDEX(tsk_Deadline,MilestoneReport[[#This Row],[_Task]])))</f>
        <v/>
      </c>
      <c r="I26" s="24" t="str">
        <f aca="false">IF(MilestoneReport[[#This Row],[_Task]]="","",INDEX(tsk_DeadlineCheck,MilestoneReport[[#This Row],[_Task]])&amp;"")</f>
        <v/>
      </c>
      <c r="J26" s="24" t="str">
        <f aca="false">IF(MilestoneReport[[#This Row],[_Task]]="","",INDEX(tsk_Status,MilestoneReport[[#This Row],[_Task]])&amp;"")</f>
        <v/>
      </c>
    </row>
    <row r="27" customFormat="false" ht="15" hidden="false" customHeight="false" outlineLevel="0" collapsed="false">
      <c r="B27" s="41" t="str">
        <f aca="false">IFERROR(MATCH(SMALL(tsk_MilestoneOrder,ROW()-ROW(MilestoneReport[[#Headers],[_Task]])),tsk_MilestoneOrder,0),"")</f>
        <v/>
      </c>
      <c r="C27" s="24" t="str">
        <f aca="false">IF(MilestoneReport[[#This Row],[_Task]]="","",INDEX(tsk_WBS,MilestoneReport[[#This Row],[_Task]])&amp;"")</f>
        <v/>
      </c>
      <c r="D27" s="24" t="str">
        <f aca="false">IF(MilestoneReport[[#This Row],[_Task]]="","",INDEX(tsk_Name,MilestoneReport[[#This Row],[_Task]])&amp;"")</f>
        <v/>
      </c>
      <c r="E27" s="48" t="str">
        <f aca="false">IF(MilestoneReport[[#This Row],[_Task]]="","",IF(N(INDEX(tsk_PlanFinish,MilestoneReport[[#This Row],[_Task]]))=0,"",INDEX(tsk_PlanFinish,MilestoneReport[[#This Row],[_Task]])))</f>
        <v/>
      </c>
      <c r="F27" s="48" t="str">
        <f aca="false">IF(MilestoneReport[[#This Row],[_Task]]="","",IF(N(INDEX(tsk_FcFinish,MilestoneReport[[#This Row],[_Task]]))=0,"",INDEX(tsk_FcFinish,MilestoneReport[[#This Row],[_Task]])))</f>
        <v/>
      </c>
      <c r="G27" s="49" t="str">
        <f aca="false">IF(MilestoneReport[[#This Row],[_Task]]="","",INDEX(tsk_Variance,MilestoneReport[[#This Row],[_Task]]))</f>
        <v/>
      </c>
      <c r="H27" s="48" t="str">
        <f aca="false">IF(MilestoneReport[[#This Row],[_Task]]="","",IF(N(INDEX(tsk_Deadline,MilestoneReport[[#This Row],[_Task]]))=0,"",INDEX(tsk_Deadline,MilestoneReport[[#This Row],[_Task]])))</f>
        <v/>
      </c>
      <c r="I27" s="24" t="str">
        <f aca="false">IF(MilestoneReport[[#This Row],[_Task]]="","",INDEX(tsk_DeadlineCheck,MilestoneReport[[#This Row],[_Task]])&amp;"")</f>
        <v/>
      </c>
      <c r="J27" s="24" t="str">
        <f aca="false">IF(MilestoneReport[[#This Row],[_Task]]="","",INDEX(tsk_Status,MilestoneReport[[#This Row],[_Task]])&amp;"")</f>
        <v/>
      </c>
    </row>
    <row r="28" customFormat="false" ht="15" hidden="false" customHeight="false" outlineLevel="0" collapsed="false">
      <c r="B28" s="41" t="str">
        <f aca="false">IFERROR(MATCH(SMALL(tsk_MilestoneOrder,ROW()-ROW(MilestoneReport[[#Headers],[_Task]])),tsk_MilestoneOrder,0),"")</f>
        <v/>
      </c>
      <c r="C28" s="24" t="str">
        <f aca="false">IF(MilestoneReport[[#This Row],[_Task]]="","",INDEX(tsk_WBS,MilestoneReport[[#This Row],[_Task]])&amp;"")</f>
        <v/>
      </c>
      <c r="D28" s="24" t="str">
        <f aca="false">IF(MilestoneReport[[#This Row],[_Task]]="","",INDEX(tsk_Name,MilestoneReport[[#This Row],[_Task]])&amp;"")</f>
        <v/>
      </c>
      <c r="E28" s="48" t="str">
        <f aca="false">IF(MilestoneReport[[#This Row],[_Task]]="","",IF(N(INDEX(tsk_PlanFinish,MilestoneReport[[#This Row],[_Task]]))=0,"",INDEX(tsk_PlanFinish,MilestoneReport[[#This Row],[_Task]])))</f>
        <v/>
      </c>
      <c r="F28" s="48" t="str">
        <f aca="false">IF(MilestoneReport[[#This Row],[_Task]]="","",IF(N(INDEX(tsk_FcFinish,MilestoneReport[[#This Row],[_Task]]))=0,"",INDEX(tsk_FcFinish,MilestoneReport[[#This Row],[_Task]])))</f>
        <v/>
      </c>
      <c r="G28" s="49" t="str">
        <f aca="false">IF(MilestoneReport[[#This Row],[_Task]]="","",INDEX(tsk_Variance,MilestoneReport[[#This Row],[_Task]]))</f>
        <v/>
      </c>
      <c r="H28" s="48" t="str">
        <f aca="false">IF(MilestoneReport[[#This Row],[_Task]]="","",IF(N(INDEX(tsk_Deadline,MilestoneReport[[#This Row],[_Task]]))=0,"",INDEX(tsk_Deadline,MilestoneReport[[#This Row],[_Task]])))</f>
        <v/>
      </c>
      <c r="I28" s="24" t="str">
        <f aca="false">IF(MilestoneReport[[#This Row],[_Task]]="","",INDEX(tsk_DeadlineCheck,MilestoneReport[[#This Row],[_Task]])&amp;"")</f>
        <v/>
      </c>
      <c r="J28" s="24" t="str">
        <f aca="false">IF(MilestoneReport[[#This Row],[_Task]]="","",INDEX(tsk_Status,MilestoneReport[[#This Row],[_Task]])&amp;"")</f>
        <v/>
      </c>
    </row>
    <row r="29" customFormat="false" ht="15" hidden="false" customHeight="false" outlineLevel="0" collapsed="false">
      <c r="B29" s="41" t="str">
        <f aca="false">IFERROR(MATCH(SMALL(tsk_MilestoneOrder,ROW()-ROW(MilestoneReport[[#Headers],[_Task]])),tsk_MilestoneOrder,0),"")</f>
        <v/>
      </c>
      <c r="C29" s="24" t="str">
        <f aca="false">IF(MilestoneReport[[#This Row],[_Task]]="","",INDEX(tsk_WBS,MilestoneReport[[#This Row],[_Task]])&amp;"")</f>
        <v/>
      </c>
      <c r="D29" s="24" t="str">
        <f aca="false">IF(MilestoneReport[[#This Row],[_Task]]="","",INDEX(tsk_Name,MilestoneReport[[#This Row],[_Task]])&amp;"")</f>
        <v/>
      </c>
      <c r="E29" s="48" t="str">
        <f aca="false">IF(MilestoneReport[[#This Row],[_Task]]="","",IF(N(INDEX(tsk_PlanFinish,MilestoneReport[[#This Row],[_Task]]))=0,"",INDEX(tsk_PlanFinish,MilestoneReport[[#This Row],[_Task]])))</f>
        <v/>
      </c>
      <c r="F29" s="48" t="str">
        <f aca="false">IF(MilestoneReport[[#This Row],[_Task]]="","",IF(N(INDEX(tsk_FcFinish,MilestoneReport[[#This Row],[_Task]]))=0,"",INDEX(tsk_FcFinish,MilestoneReport[[#This Row],[_Task]])))</f>
        <v/>
      </c>
      <c r="G29" s="49" t="str">
        <f aca="false">IF(MilestoneReport[[#This Row],[_Task]]="","",INDEX(tsk_Variance,MilestoneReport[[#This Row],[_Task]]))</f>
        <v/>
      </c>
      <c r="H29" s="48" t="str">
        <f aca="false">IF(MilestoneReport[[#This Row],[_Task]]="","",IF(N(INDEX(tsk_Deadline,MilestoneReport[[#This Row],[_Task]]))=0,"",INDEX(tsk_Deadline,MilestoneReport[[#This Row],[_Task]])))</f>
        <v/>
      </c>
      <c r="I29" s="24" t="str">
        <f aca="false">IF(MilestoneReport[[#This Row],[_Task]]="","",INDEX(tsk_DeadlineCheck,MilestoneReport[[#This Row],[_Task]])&amp;"")</f>
        <v/>
      </c>
      <c r="J29" s="24" t="str">
        <f aca="false">IF(MilestoneReport[[#This Row],[_Task]]="","",INDEX(tsk_Status,MilestoneReport[[#This Row],[_Task]])&amp;"")</f>
        <v/>
      </c>
    </row>
    <row r="30" customFormat="false" ht="15" hidden="false" customHeight="false" outlineLevel="0" collapsed="false">
      <c r="B30" s="41" t="str">
        <f aca="false">IFERROR(MATCH(SMALL(tsk_MilestoneOrder,ROW()-ROW(MilestoneReport[[#Headers],[_Task]])),tsk_MilestoneOrder,0),"")</f>
        <v/>
      </c>
      <c r="C30" s="24" t="str">
        <f aca="false">IF(MilestoneReport[[#This Row],[_Task]]="","",INDEX(tsk_WBS,MilestoneReport[[#This Row],[_Task]])&amp;"")</f>
        <v/>
      </c>
      <c r="D30" s="24" t="str">
        <f aca="false">IF(MilestoneReport[[#This Row],[_Task]]="","",INDEX(tsk_Name,MilestoneReport[[#This Row],[_Task]])&amp;"")</f>
        <v/>
      </c>
      <c r="E30" s="48" t="str">
        <f aca="false">IF(MilestoneReport[[#This Row],[_Task]]="","",IF(N(INDEX(tsk_PlanFinish,MilestoneReport[[#This Row],[_Task]]))=0,"",INDEX(tsk_PlanFinish,MilestoneReport[[#This Row],[_Task]])))</f>
        <v/>
      </c>
      <c r="F30" s="48" t="str">
        <f aca="false">IF(MilestoneReport[[#This Row],[_Task]]="","",IF(N(INDEX(tsk_FcFinish,MilestoneReport[[#This Row],[_Task]]))=0,"",INDEX(tsk_FcFinish,MilestoneReport[[#This Row],[_Task]])))</f>
        <v/>
      </c>
      <c r="G30" s="49" t="str">
        <f aca="false">IF(MilestoneReport[[#This Row],[_Task]]="","",INDEX(tsk_Variance,MilestoneReport[[#This Row],[_Task]]))</f>
        <v/>
      </c>
      <c r="H30" s="48" t="str">
        <f aca="false">IF(MilestoneReport[[#This Row],[_Task]]="","",IF(N(INDEX(tsk_Deadline,MilestoneReport[[#This Row],[_Task]]))=0,"",INDEX(tsk_Deadline,MilestoneReport[[#This Row],[_Task]])))</f>
        <v/>
      </c>
      <c r="I30" s="24" t="str">
        <f aca="false">IF(MilestoneReport[[#This Row],[_Task]]="","",INDEX(tsk_DeadlineCheck,MilestoneReport[[#This Row],[_Task]])&amp;"")</f>
        <v/>
      </c>
      <c r="J30" s="24" t="str">
        <f aca="false">IF(MilestoneReport[[#This Row],[_Task]]="","",INDEX(tsk_Status,MilestoneReport[[#This Row],[_Task]])&amp;"")</f>
        <v/>
      </c>
    </row>
    <row r="31" customFormat="false" ht="15" hidden="false" customHeight="false" outlineLevel="0" collapsed="false">
      <c r="B31" s="41" t="str">
        <f aca="false">IFERROR(MATCH(SMALL(tsk_MilestoneOrder,ROW()-ROW(MilestoneReport[[#Headers],[_Task]])),tsk_MilestoneOrder,0),"")</f>
        <v/>
      </c>
      <c r="C31" s="24" t="str">
        <f aca="false">IF(MilestoneReport[[#This Row],[_Task]]="","",INDEX(tsk_WBS,MilestoneReport[[#This Row],[_Task]])&amp;"")</f>
        <v/>
      </c>
      <c r="D31" s="24" t="str">
        <f aca="false">IF(MilestoneReport[[#This Row],[_Task]]="","",INDEX(tsk_Name,MilestoneReport[[#This Row],[_Task]])&amp;"")</f>
        <v/>
      </c>
      <c r="E31" s="48" t="str">
        <f aca="false">IF(MilestoneReport[[#This Row],[_Task]]="","",IF(N(INDEX(tsk_PlanFinish,MilestoneReport[[#This Row],[_Task]]))=0,"",INDEX(tsk_PlanFinish,MilestoneReport[[#This Row],[_Task]])))</f>
        <v/>
      </c>
      <c r="F31" s="48" t="str">
        <f aca="false">IF(MilestoneReport[[#This Row],[_Task]]="","",IF(N(INDEX(tsk_FcFinish,MilestoneReport[[#This Row],[_Task]]))=0,"",INDEX(tsk_FcFinish,MilestoneReport[[#This Row],[_Task]])))</f>
        <v/>
      </c>
      <c r="G31" s="49" t="str">
        <f aca="false">IF(MilestoneReport[[#This Row],[_Task]]="","",INDEX(tsk_Variance,MilestoneReport[[#This Row],[_Task]]))</f>
        <v/>
      </c>
      <c r="H31" s="48" t="str">
        <f aca="false">IF(MilestoneReport[[#This Row],[_Task]]="","",IF(N(INDEX(tsk_Deadline,MilestoneReport[[#This Row],[_Task]]))=0,"",INDEX(tsk_Deadline,MilestoneReport[[#This Row],[_Task]])))</f>
        <v/>
      </c>
      <c r="I31" s="24" t="str">
        <f aca="false">IF(MilestoneReport[[#This Row],[_Task]]="","",INDEX(tsk_DeadlineCheck,MilestoneReport[[#This Row],[_Task]])&amp;"")</f>
        <v/>
      </c>
      <c r="J31" s="24" t="str">
        <f aca="false">IF(MilestoneReport[[#This Row],[_Task]]="","",INDEX(tsk_Status,MilestoneReport[[#This Row],[_Task]])&amp;"")</f>
        <v/>
      </c>
    </row>
    <row r="32" customFormat="false" ht="15" hidden="false" customHeight="false" outlineLevel="0" collapsed="false">
      <c r="B32" s="41" t="str">
        <f aca="false">IFERROR(MATCH(SMALL(tsk_MilestoneOrder,ROW()-ROW(MilestoneReport[[#Headers],[_Task]])),tsk_MilestoneOrder,0),"")</f>
        <v/>
      </c>
      <c r="C32" s="24" t="str">
        <f aca="false">IF(MilestoneReport[[#This Row],[_Task]]="","",INDEX(tsk_WBS,MilestoneReport[[#This Row],[_Task]])&amp;"")</f>
        <v/>
      </c>
      <c r="D32" s="24" t="str">
        <f aca="false">IF(MilestoneReport[[#This Row],[_Task]]="","",INDEX(tsk_Name,MilestoneReport[[#This Row],[_Task]])&amp;"")</f>
        <v/>
      </c>
      <c r="E32" s="48" t="str">
        <f aca="false">IF(MilestoneReport[[#This Row],[_Task]]="","",IF(N(INDEX(tsk_PlanFinish,MilestoneReport[[#This Row],[_Task]]))=0,"",INDEX(tsk_PlanFinish,MilestoneReport[[#This Row],[_Task]])))</f>
        <v/>
      </c>
      <c r="F32" s="48" t="str">
        <f aca="false">IF(MilestoneReport[[#This Row],[_Task]]="","",IF(N(INDEX(tsk_FcFinish,MilestoneReport[[#This Row],[_Task]]))=0,"",INDEX(tsk_FcFinish,MilestoneReport[[#This Row],[_Task]])))</f>
        <v/>
      </c>
      <c r="G32" s="49" t="str">
        <f aca="false">IF(MilestoneReport[[#This Row],[_Task]]="","",INDEX(tsk_Variance,MilestoneReport[[#This Row],[_Task]]))</f>
        <v/>
      </c>
      <c r="H32" s="48" t="str">
        <f aca="false">IF(MilestoneReport[[#This Row],[_Task]]="","",IF(N(INDEX(tsk_Deadline,MilestoneReport[[#This Row],[_Task]]))=0,"",INDEX(tsk_Deadline,MilestoneReport[[#This Row],[_Task]])))</f>
        <v/>
      </c>
      <c r="I32" s="24" t="str">
        <f aca="false">IF(MilestoneReport[[#This Row],[_Task]]="","",INDEX(tsk_DeadlineCheck,MilestoneReport[[#This Row],[_Task]])&amp;"")</f>
        <v/>
      </c>
      <c r="J32" s="24" t="str">
        <f aca="false">IF(MilestoneReport[[#This Row],[_Task]]="","",INDEX(tsk_Status,MilestoneReport[[#This Row],[_Task]])&amp;"")</f>
        <v/>
      </c>
    </row>
    <row r="33" customFormat="false" ht="15" hidden="false" customHeight="false" outlineLevel="0" collapsed="false">
      <c r="B33" s="41" t="str">
        <f aca="false">IFERROR(MATCH(SMALL(tsk_MilestoneOrder,ROW()-ROW(MilestoneReport[[#Headers],[_Task]])),tsk_MilestoneOrder,0),"")</f>
        <v/>
      </c>
      <c r="C33" s="24" t="str">
        <f aca="false">IF(MilestoneReport[[#This Row],[_Task]]="","",INDEX(tsk_WBS,MilestoneReport[[#This Row],[_Task]])&amp;"")</f>
        <v/>
      </c>
      <c r="D33" s="24" t="str">
        <f aca="false">IF(MilestoneReport[[#This Row],[_Task]]="","",INDEX(tsk_Name,MilestoneReport[[#This Row],[_Task]])&amp;"")</f>
        <v/>
      </c>
      <c r="E33" s="48" t="str">
        <f aca="false">IF(MilestoneReport[[#This Row],[_Task]]="","",IF(N(INDEX(tsk_PlanFinish,MilestoneReport[[#This Row],[_Task]]))=0,"",INDEX(tsk_PlanFinish,MilestoneReport[[#This Row],[_Task]])))</f>
        <v/>
      </c>
      <c r="F33" s="48" t="str">
        <f aca="false">IF(MilestoneReport[[#This Row],[_Task]]="","",IF(N(INDEX(tsk_FcFinish,MilestoneReport[[#This Row],[_Task]]))=0,"",INDEX(tsk_FcFinish,MilestoneReport[[#This Row],[_Task]])))</f>
        <v/>
      </c>
      <c r="G33" s="49" t="str">
        <f aca="false">IF(MilestoneReport[[#This Row],[_Task]]="","",INDEX(tsk_Variance,MilestoneReport[[#This Row],[_Task]]))</f>
        <v/>
      </c>
      <c r="H33" s="48" t="str">
        <f aca="false">IF(MilestoneReport[[#This Row],[_Task]]="","",IF(N(INDEX(tsk_Deadline,MilestoneReport[[#This Row],[_Task]]))=0,"",INDEX(tsk_Deadline,MilestoneReport[[#This Row],[_Task]])))</f>
        <v/>
      </c>
      <c r="I33" s="24" t="str">
        <f aca="false">IF(MilestoneReport[[#This Row],[_Task]]="","",INDEX(tsk_DeadlineCheck,MilestoneReport[[#This Row],[_Task]])&amp;"")</f>
        <v/>
      </c>
      <c r="J33" s="24" t="str">
        <f aca="false">IF(MilestoneReport[[#This Row],[_Task]]="","",INDEX(tsk_Status,MilestoneReport[[#This Row],[_Task]])&amp;"")</f>
        <v/>
      </c>
    </row>
    <row r="35" customFormat="false" ht="15" hidden="false" customHeight="false" outlineLevel="0" collapsed="false">
      <c r="C35" s="36" t="str">
        <f aca="false">"Late tasks (most days late first)"&amp;": "&amp;COUNT(tsk_LateKey)&amp;IF(COUNT(tsk_LateKey)&gt;ROWS(LateTasks[_Task])," (showing the first "&amp;ROWS(LateTasks[_Task])&amp;")","")</f>
        <v>Late tasks (most days late first): 7</v>
      </c>
    </row>
    <row r="36" customFormat="false" ht="23.85" hidden="false" customHeight="false" outlineLevel="0" collapsed="false">
      <c r="B36" s="40" t="s">
        <v>173</v>
      </c>
      <c r="C36" s="9" t="s">
        <v>200</v>
      </c>
      <c r="D36" s="9" t="s">
        <v>180</v>
      </c>
      <c r="E36" s="9" t="s">
        <v>218</v>
      </c>
      <c r="F36" s="9" t="s">
        <v>202</v>
      </c>
      <c r="G36" s="9" t="s">
        <v>203</v>
      </c>
      <c r="H36" s="9" t="s">
        <v>204</v>
      </c>
      <c r="I36" s="9" t="s">
        <v>91</v>
      </c>
      <c r="J36" s="9" t="s">
        <v>219</v>
      </c>
    </row>
    <row r="37" customFormat="false" ht="15" hidden="false" customHeight="false" outlineLevel="0" collapsed="false">
      <c r="B37" s="41" t="n">
        <f aca="false">IFERROR(MATCH(LARGE(tsk_LateKey,ROW()-ROW(LateTasks[[#Headers],[_Task]])),tsk_LateKey,0),"")</f>
        <v>13</v>
      </c>
      <c r="C37" s="24" t="str">
        <f aca="false">IF(LateTasks[[#This Row],[_Task]]="","",INDEX(tsk_WBS,LateTasks[[#This Row],[_Task]])&amp;"")</f>
        <v>3.1.2</v>
      </c>
      <c r="D37" s="24" t="str">
        <f aca="false">IF(LateTasks[[#This Row],[_Task]]="","",INDEX(tsk_Name,LateTasks[[#This Row],[_Task]])&amp;"")</f>
        <v>Core API endpoints</v>
      </c>
      <c r="E37" s="24" t="str">
        <f aca="false">IF(LateTasks[[#This Row],[_Task]]="","",INDEX(tsk_Resource,LateTasks[[#This Row],[_Task]])&amp;"")</f>
        <v>Jordan Lee</v>
      </c>
      <c r="F37" s="48" t="n">
        <f aca="false">IF(LateTasks[[#This Row],[_Task]]="","",IF(N(INDEX(tsk_PlanFinish,LateTasks[[#This Row],[_Task]]))=0,"",INDEX(tsk_PlanFinish,LateTasks[[#This Row],[_Task]])))</f>
        <v>46317</v>
      </c>
      <c r="G37" s="48" t="n">
        <f aca="false">IF(LateTasks[[#This Row],[_Task]]="","",IF(N(INDEX(tsk_FcFinish,LateTasks[[#This Row],[_Task]]))=0,"",INDEX(tsk_FcFinish,LateTasks[[#This Row],[_Task]])))</f>
        <v>46325</v>
      </c>
      <c r="H37" s="49" t="n">
        <f aca="false">IF(LateTasks[[#This Row],[_Task]]="","",INDEX(tsk_Variance,LateTasks[[#This Row],[_Task]]))</f>
        <v>6</v>
      </c>
      <c r="I37" s="24" t="str">
        <f aca="false">IF(LateTasks[[#This Row],[_Task]]="","",INDEX(tsk_Status,LateTasks[[#This Row],[_Task]])&amp;"")</f>
        <v>Behind</v>
      </c>
      <c r="J37" s="24" t="str">
        <f aca="false">IF(LateTasks[[#This Row],[_Task]]="","",INDEX(tsk_Critical,LateTasks[[#This Row],[_Task]])&amp;"")</f>
        <v>Yes</v>
      </c>
    </row>
    <row r="38" customFormat="false" ht="15" hidden="false" customHeight="false" outlineLevel="0" collapsed="false">
      <c r="B38" s="41" t="n">
        <f aca="false">IFERROR(MATCH(LARGE(tsk_LateKey,ROW()-ROW(LateTasks[[#Headers],[_Task]])),tsk_LateKey,0),"")</f>
        <v>14</v>
      </c>
      <c r="C38" s="24" t="str">
        <f aca="false">IF(LateTasks[[#This Row],[_Task]]="","",INDEX(tsk_WBS,LateTasks[[#This Row],[_Task]])&amp;"")</f>
        <v>3.1.3</v>
      </c>
      <c r="D38" s="24" t="str">
        <f aca="false">IF(LateTasks[[#This Row],[_Task]]="","",INDEX(tsk_Name,LateTasks[[#This Row],[_Task]])&amp;"")</f>
        <v>Payment gateway integration</v>
      </c>
      <c r="E38" s="24" t="str">
        <f aca="false">IF(LateTasks[[#This Row],[_Task]]="","",INDEX(tsk_Resource,LateTasks[[#This Row],[_Task]])&amp;"")</f>
        <v>Jordan Lee</v>
      </c>
      <c r="F38" s="48" t="n">
        <f aca="false">IF(LateTasks[[#This Row],[_Task]]="","",IF(N(INDEX(tsk_PlanFinish,LateTasks[[#This Row],[_Task]]))=0,"",INDEX(tsk_PlanFinish,LateTasks[[#This Row],[_Task]])))</f>
        <v>46325</v>
      </c>
      <c r="G38" s="48" t="n">
        <f aca="false">IF(LateTasks[[#This Row],[_Task]]="","",IF(N(INDEX(tsk_FcFinish,LateTasks[[#This Row],[_Task]]))=0,"",INDEX(tsk_FcFinish,LateTasks[[#This Row],[_Task]])))</f>
        <v>46335</v>
      </c>
      <c r="H38" s="49" t="n">
        <f aca="false">IF(LateTasks[[#This Row],[_Task]]="","",INDEX(tsk_Variance,LateTasks[[#This Row],[_Task]]))</f>
        <v>6</v>
      </c>
      <c r="I38" s="24" t="str">
        <f aca="false">IF(LateTasks[[#This Row],[_Task]]="","",INDEX(tsk_Status,LateTasks[[#This Row],[_Task]])&amp;"")</f>
        <v>Late Start</v>
      </c>
      <c r="J38" s="24" t="str">
        <f aca="false">IF(LateTasks[[#This Row],[_Task]]="","",INDEX(tsk_Critical,LateTasks[[#This Row],[_Task]])&amp;"")</f>
        <v>Yes</v>
      </c>
    </row>
    <row r="39" customFormat="false" ht="15" hidden="false" customHeight="false" outlineLevel="0" collapsed="false">
      <c r="B39" s="41" t="n">
        <f aca="false">IFERROR(MATCH(LARGE(tsk_LateKey,ROW()-ROW(LateTasks[[#Headers],[_Task]])),tsk_LateKey,0),"")</f>
        <v>17</v>
      </c>
      <c r="C39" s="24" t="str">
        <f aca="false">IF(LateTasks[[#This Row],[_Task]]="","",INDEX(tsk_WBS,LateTasks[[#This Row],[_Task]])&amp;"")</f>
        <v>3.2.2</v>
      </c>
      <c r="D39" s="24" t="str">
        <f aca="false">IF(LateTasks[[#This Row],[_Task]]="","",INDEX(tsk_Name,LateTasks[[#This Row],[_Task]])&amp;"")</f>
        <v>Feature screens</v>
      </c>
      <c r="E39" s="24" t="str">
        <f aca="false">IF(LateTasks[[#This Row],[_Task]]="","",INDEX(tsk_Resource,LateTasks[[#This Row],[_Task]])&amp;"")</f>
        <v>Sam Rivera</v>
      </c>
      <c r="F39" s="48" t="n">
        <f aca="false">IF(LateTasks[[#This Row],[_Task]]="","",IF(N(INDEX(tsk_PlanFinish,LateTasks[[#This Row],[_Task]]))=0,"",INDEX(tsk_PlanFinish,LateTasks[[#This Row],[_Task]])))</f>
        <v>46323</v>
      </c>
      <c r="G39" s="48" t="n">
        <f aca="false">IF(LateTasks[[#This Row],[_Task]]="","",IF(N(INDEX(tsk_FcFinish,LateTasks[[#This Row],[_Task]]))=0,"",INDEX(tsk_FcFinish,LateTasks[[#This Row],[_Task]])))</f>
        <v>46331</v>
      </c>
      <c r="H39" s="49" t="n">
        <f aca="false">IF(LateTasks[[#This Row],[_Task]]="","",INDEX(tsk_Variance,LateTasks[[#This Row],[_Task]]))</f>
        <v>6</v>
      </c>
      <c r="I39" s="24" t="str">
        <f aca="false">IF(LateTasks[[#This Row],[_Task]]="","",INDEX(tsk_Status,LateTasks[[#This Row],[_Task]])&amp;"")</f>
        <v>Behind</v>
      </c>
      <c r="J39" s="24" t="str">
        <f aca="false">IF(LateTasks[[#This Row],[_Task]]="","",INDEX(tsk_Critical,LateTasks[[#This Row],[_Task]])&amp;"")</f>
        <v>Yes</v>
      </c>
    </row>
    <row r="40" customFormat="false" ht="15" hidden="false" customHeight="false" outlineLevel="0" collapsed="false">
      <c r="B40" s="41" t="n">
        <f aca="false">IFERROR(MATCH(LARGE(tsk_LateKey,ROW()-ROW(LateTasks[[#Headers],[_Task]])),tsk_LateKey,0),"")</f>
        <v>18</v>
      </c>
      <c r="C40" s="24" t="str">
        <f aca="false">IF(LateTasks[[#This Row],[_Task]]="","",INDEX(tsk_WBS,LateTasks[[#This Row],[_Task]])&amp;"")</f>
        <v>3.2.3</v>
      </c>
      <c r="D40" s="24" t="str">
        <f aca="false">IF(LateTasks[[#This Row],[_Task]]="","",INDEX(tsk_Name,LateTasks[[#This Row],[_Task]])&amp;"")</f>
        <v>Accessibility review</v>
      </c>
      <c r="E40" s="24" t="str">
        <f aca="false">IF(LateTasks[[#This Row],[_Task]]="","",INDEX(tsk_Resource,LateTasks[[#This Row],[_Task]])&amp;"")</f>
        <v>Casey Kim</v>
      </c>
      <c r="F40" s="48" t="n">
        <f aca="false">IF(LateTasks[[#This Row],[_Task]]="","",IF(N(INDEX(tsk_PlanFinish,LateTasks[[#This Row],[_Task]]))=0,"",INDEX(tsk_PlanFinish,LateTasks[[#This Row],[_Task]])))</f>
        <v>46324</v>
      </c>
      <c r="G40" s="48" t="n">
        <f aca="false">IF(LateTasks[[#This Row],[_Task]]="","",IF(N(INDEX(tsk_FcFinish,LateTasks[[#This Row],[_Task]]))=0,"",INDEX(tsk_FcFinish,LateTasks[[#This Row],[_Task]])))</f>
        <v>46332</v>
      </c>
      <c r="H40" s="49" t="n">
        <f aca="false">IF(LateTasks[[#This Row],[_Task]]="","",INDEX(tsk_Variance,LateTasks[[#This Row],[_Task]]))</f>
        <v>6</v>
      </c>
      <c r="I40" s="24" t="str">
        <f aca="false">IF(LateTasks[[#This Row],[_Task]]="","",INDEX(tsk_Status,LateTasks[[#This Row],[_Task]])&amp;"")</f>
        <v>Not Started</v>
      </c>
      <c r="J40" s="24" t="str">
        <f aca="false">IF(LateTasks[[#This Row],[_Task]]="","",INDEX(tsk_Critical,LateTasks[[#This Row],[_Task]])&amp;"")</f>
        <v>Yes</v>
      </c>
    </row>
    <row r="41" customFormat="false" ht="15" hidden="false" customHeight="false" outlineLevel="0" collapsed="false">
      <c r="B41" s="41" t="n">
        <f aca="false">IFERROR(MATCH(LARGE(tsk_LateKey,ROW()-ROW(LateTasks[[#Headers],[_Task]])),tsk_LateKey,0),"")</f>
        <v>19</v>
      </c>
      <c r="C41" s="24" t="str">
        <f aca="false">IF(LateTasks[[#This Row],[_Task]]="","",INDEX(tsk_WBS,LateTasks[[#This Row],[_Task]])&amp;"")</f>
        <v>3.3</v>
      </c>
      <c r="D41" s="24" t="str">
        <f aca="false">IF(LateTasks[[#This Row],[_Task]]="","",INDEX(tsk_Name,LateTasks[[#This Row],[_Task]])&amp;"")</f>
        <v>Build complete</v>
      </c>
      <c r="E41" s="24" t="str">
        <f aca="false">IF(LateTasks[[#This Row],[_Task]]="","",INDEX(tsk_Resource,LateTasks[[#This Row],[_Task]])&amp;"")</f>
        <v/>
      </c>
      <c r="F41" s="48" t="n">
        <f aca="false">IF(LateTasks[[#This Row],[_Task]]="","",IF(N(INDEX(tsk_PlanFinish,LateTasks[[#This Row],[_Task]]))=0,"",INDEX(tsk_PlanFinish,LateTasks[[#This Row],[_Task]])))</f>
        <v>46325</v>
      </c>
      <c r="G41" s="48" t="n">
        <f aca="false">IF(LateTasks[[#This Row],[_Task]]="","",IF(N(INDEX(tsk_FcFinish,LateTasks[[#This Row],[_Task]]))=0,"",INDEX(tsk_FcFinish,LateTasks[[#This Row],[_Task]])))</f>
        <v>46335</v>
      </c>
      <c r="H41" s="49" t="n">
        <f aca="false">IF(LateTasks[[#This Row],[_Task]]="","",INDEX(tsk_Variance,LateTasks[[#This Row],[_Task]]))</f>
        <v>6</v>
      </c>
      <c r="I41" s="24" t="str">
        <f aca="false">IF(LateTasks[[#This Row],[_Task]]="","",INDEX(tsk_Status,LateTasks[[#This Row],[_Task]])&amp;"")</f>
        <v>Not Started</v>
      </c>
      <c r="J41" s="24" t="str">
        <f aca="false">IF(LateTasks[[#This Row],[_Task]]="","",INDEX(tsk_Critical,LateTasks[[#This Row],[_Task]])&amp;"")</f>
        <v>Yes</v>
      </c>
    </row>
    <row r="42" customFormat="false" ht="15" hidden="false" customHeight="false" outlineLevel="0" collapsed="false">
      <c r="B42" s="41" t="n">
        <f aca="false">IFERROR(MATCH(LARGE(tsk_LateKey,ROW()-ROW(LateTasks[[#Headers],[_Task]])),tsk_LateKey,0),"")</f>
        <v>21</v>
      </c>
      <c r="C42" s="24" t="str">
        <f aca="false">IF(LateTasks[[#This Row],[_Task]]="","",INDEX(tsk_WBS,LateTasks[[#This Row],[_Task]])&amp;"")</f>
        <v>4.1</v>
      </c>
      <c r="D42" s="24" t="str">
        <f aca="false">IF(LateTasks[[#This Row],[_Task]]="","",INDEX(tsk_Name,LateTasks[[#This Row],[_Task]])&amp;"")</f>
        <v>System integration testing</v>
      </c>
      <c r="E42" s="24" t="str">
        <f aca="false">IF(LateTasks[[#This Row],[_Task]]="","",INDEX(tsk_Resource,LateTasks[[#This Row],[_Task]])&amp;"")</f>
        <v>Taylor Morgan</v>
      </c>
      <c r="F42" s="48" t="n">
        <f aca="false">IF(LateTasks[[#This Row],[_Task]]="","",IF(N(INDEX(tsk_PlanFinish,LateTasks[[#This Row],[_Task]]))=0,"",INDEX(tsk_PlanFinish,LateTasks[[#This Row],[_Task]])))</f>
        <v>46337</v>
      </c>
      <c r="G42" s="48" t="n">
        <f aca="false">IF(LateTasks[[#This Row],[_Task]]="","",IF(N(INDEX(tsk_FcFinish,LateTasks[[#This Row],[_Task]]))=0,"",INDEX(tsk_FcFinish,LateTasks[[#This Row],[_Task]])))</f>
        <v>46345</v>
      </c>
      <c r="H42" s="49" t="n">
        <f aca="false">IF(LateTasks[[#This Row],[_Task]]="","",INDEX(tsk_Variance,LateTasks[[#This Row],[_Task]]))</f>
        <v>6</v>
      </c>
      <c r="I42" s="24" t="str">
        <f aca="false">IF(LateTasks[[#This Row],[_Task]]="","",INDEX(tsk_Status,LateTasks[[#This Row],[_Task]])&amp;"")</f>
        <v>Not Started</v>
      </c>
      <c r="J42" s="24" t="str">
        <f aca="false">IF(LateTasks[[#This Row],[_Task]]="","",INDEX(tsk_Critical,LateTasks[[#This Row],[_Task]])&amp;"")</f>
        <v/>
      </c>
    </row>
    <row r="43" customFormat="false" ht="15" hidden="false" customHeight="false" outlineLevel="0" collapsed="false">
      <c r="B43" s="41" t="n">
        <f aca="false">IFERROR(MATCH(LARGE(tsk_LateKey,ROW()-ROW(LateTasks[[#Headers],[_Task]])),tsk_LateKey,0),"")</f>
        <v>23</v>
      </c>
      <c r="C43" s="24" t="str">
        <f aca="false">IF(LateTasks[[#This Row],[_Task]]="","",INDEX(tsk_WBS,LateTasks[[#This Row],[_Task]])&amp;"")</f>
        <v>4.3</v>
      </c>
      <c r="D43" s="24" t="str">
        <f aca="false">IF(LateTasks[[#This Row],[_Task]]="","",INDEX(tsk_Name,LateTasks[[#This Row],[_Task]])&amp;"")</f>
        <v>Training &amp; user guides</v>
      </c>
      <c r="E43" s="24" t="str">
        <f aca="false">IF(LateTasks[[#This Row],[_Task]]="","",INDEX(tsk_Resource,LateTasks[[#This Row],[_Task]])&amp;"")</f>
        <v>Casey Kim</v>
      </c>
      <c r="F43" s="48" t="n">
        <f aca="false">IF(LateTasks[[#This Row],[_Task]]="","",IF(N(INDEX(tsk_PlanFinish,LateTasks[[#This Row],[_Task]]))=0,"",INDEX(tsk_PlanFinish,LateTasks[[#This Row],[_Task]])))</f>
        <v>46336</v>
      </c>
      <c r="G43" s="48" t="n">
        <f aca="false">IF(LateTasks[[#This Row],[_Task]]="","",IF(N(INDEX(tsk_FcFinish,LateTasks[[#This Row],[_Task]]))=0,"",INDEX(tsk_FcFinish,LateTasks[[#This Row],[_Task]])))</f>
        <v>46344</v>
      </c>
      <c r="H43" s="49" t="n">
        <f aca="false">IF(LateTasks[[#This Row],[_Task]]="","",INDEX(tsk_Variance,LateTasks[[#This Row],[_Task]]))</f>
        <v>6</v>
      </c>
      <c r="I43" s="24" t="str">
        <f aca="false">IF(LateTasks[[#This Row],[_Task]]="","",INDEX(tsk_Status,LateTasks[[#This Row],[_Task]])&amp;"")</f>
        <v>Not Started</v>
      </c>
      <c r="J43" s="24" t="str">
        <f aca="false">IF(LateTasks[[#This Row],[_Task]]="","",INDEX(tsk_Critical,LateTasks[[#This Row],[_Task]])&amp;"")</f>
        <v/>
      </c>
    </row>
    <row r="44" customFormat="false" ht="15" hidden="false" customHeight="false" outlineLevel="0" collapsed="false">
      <c r="B44" s="41" t="str">
        <f aca="false">IFERROR(MATCH(LARGE(tsk_LateKey,ROW()-ROW(LateTasks[[#Headers],[_Task]])),tsk_LateKey,0),"")</f>
        <v/>
      </c>
      <c r="C44" s="24" t="str">
        <f aca="false">IF(LateTasks[[#This Row],[_Task]]="","",INDEX(tsk_WBS,LateTasks[[#This Row],[_Task]])&amp;"")</f>
        <v/>
      </c>
      <c r="D44" s="24" t="str">
        <f aca="false">IF(LateTasks[[#This Row],[_Task]]="","",INDEX(tsk_Name,LateTasks[[#This Row],[_Task]])&amp;"")</f>
        <v/>
      </c>
      <c r="E44" s="24" t="str">
        <f aca="false">IF(LateTasks[[#This Row],[_Task]]="","",INDEX(tsk_Resource,LateTasks[[#This Row],[_Task]])&amp;"")</f>
        <v/>
      </c>
      <c r="F44" s="48" t="str">
        <f aca="false">IF(LateTasks[[#This Row],[_Task]]="","",IF(N(INDEX(tsk_PlanFinish,LateTasks[[#This Row],[_Task]]))=0,"",INDEX(tsk_PlanFinish,LateTasks[[#This Row],[_Task]])))</f>
        <v/>
      </c>
      <c r="G44" s="48" t="str">
        <f aca="false">IF(LateTasks[[#This Row],[_Task]]="","",IF(N(INDEX(tsk_FcFinish,LateTasks[[#This Row],[_Task]]))=0,"",INDEX(tsk_FcFinish,LateTasks[[#This Row],[_Task]])))</f>
        <v/>
      </c>
      <c r="H44" s="49" t="str">
        <f aca="false">IF(LateTasks[[#This Row],[_Task]]="","",INDEX(tsk_Variance,LateTasks[[#This Row],[_Task]]))</f>
        <v/>
      </c>
      <c r="I44" s="24" t="str">
        <f aca="false">IF(LateTasks[[#This Row],[_Task]]="","",INDEX(tsk_Status,LateTasks[[#This Row],[_Task]])&amp;"")</f>
        <v/>
      </c>
      <c r="J44" s="24" t="str">
        <f aca="false">IF(LateTasks[[#This Row],[_Task]]="","",INDEX(tsk_Critical,LateTasks[[#This Row],[_Task]])&amp;"")</f>
        <v/>
      </c>
    </row>
    <row r="45" customFormat="false" ht="15" hidden="false" customHeight="false" outlineLevel="0" collapsed="false">
      <c r="B45" s="41" t="str">
        <f aca="false">IFERROR(MATCH(LARGE(tsk_LateKey,ROW()-ROW(LateTasks[[#Headers],[_Task]])),tsk_LateKey,0),"")</f>
        <v/>
      </c>
      <c r="C45" s="24" t="str">
        <f aca="false">IF(LateTasks[[#This Row],[_Task]]="","",INDEX(tsk_WBS,LateTasks[[#This Row],[_Task]])&amp;"")</f>
        <v/>
      </c>
      <c r="D45" s="24" t="str">
        <f aca="false">IF(LateTasks[[#This Row],[_Task]]="","",INDEX(tsk_Name,LateTasks[[#This Row],[_Task]])&amp;"")</f>
        <v/>
      </c>
      <c r="E45" s="24" t="str">
        <f aca="false">IF(LateTasks[[#This Row],[_Task]]="","",INDEX(tsk_Resource,LateTasks[[#This Row],[_Task]])&amp;"")</f>
        <v/>
      </c>
      <c r="F45" s="48" t="str">
        <f aca="false">IF(LateTasks[[#This Row],[_Task]]="","",IF(N(INDEX(tsk_PlanFinish,LateTasks[[#This Row],[_Task]]))=0,"",INDEX(tsk_PlanFinish,LateTasks[[#This Row],[_Task]])))</f>
        <v/>
      </c>
      <c r="G45" s="48" t="str">
        <f aca="false">IF(LateTasks[[#This Row],[_Task]]="","",IF(N(INDEX(tsk_FcFinish,LateTasks[[#This Row],[_Task]]))=0,"",INDEX(tsk_FcFinish,LateTasks[[#This Row],[_Task]])))</f>
        <v/>
      </c>
      <c r="H45" s="49" t="str">
        <f aca="false">IF(LateTasks[[#This Row],[_Task]]="","",INDEX(tsk_Variance,LateTasks[[#This Row],[_Task]]))</f>
        <v/>
      </c>
      <c r="I45" s="24" t="str">
        <f aca="false">IF(LateTasks[[#This Row],[_Task]]="","",INDEX(tsk_Status,LateTasks[[#This Row],[_Task]])&amp;"")</f>
        <v/>
      </c>
      <c r="J45" s="24" t="str">
        <f aca="false">IF(LateTasks[[#This Row],[_Task]]="","",INDEX(tsk_Critical,LateTasks[[#This Row],[_Task]])&amp;"")</f>
        <v/>
      </c>
    </row>
    <row r="46" customFormat="false" ht="15" hidden="false" customHeight="false" outlineLevel="0" collapsed="false">
      <c r="B46" s="41" t="str">
        <f aca="false">IFERROR(MATCH(LARGE(tsk_LateKey,ROW()-ROW(LateTasks[[#Headers],[_Task]])),tsk_LateKey,0),"")</f>
        <v/>
      </c>
      <c r="C46" s="24" t="str">
        <f aca="false">IF(LateTasks[[#This Row],[_Task]]="","",INDEX(tsk_WBS,LateTasks[[#This Row],[_Task]])&amp;"")</f>
        <v/>
      </c>
      <c r="D46" s="24" t="str">
        <f aca="false">IF(LateTasks[[#This Row],[_Task]]="","",INDEX(tsk_Name,LateTasks[[#This Row],[_Task]])&amp;"")</f>
        <v/>
      </c>
      <c r="E46" s="24" t="str">
        <f aca="false">IF(LateTasks[[#This Row],[_Task]]="","",INDEX(tsk_Resource,LateTasks[[#This Row],[_Task]])&amp;"")</f>
        <v/>
      </c>
      <c r="F46" s="48" t="str">
        <f aca="false">IF(LateTasks[[#This Row],[_Task]]="","",IF(N(INDEX(tsk_PlanFinish,LateTasks[[#This Row],[_Task]]))=0,"",INDEX(tsk_PlanFinish,LateTasks[[#This Row],[_Task]])))</f>
        <v/>
      </c>
      <c r="G46" s="48" t="str">
        <f aca="false">IF(LateTasks[[#This Row],[_Task]]="","",IF(N(INDEX(tsk_FcFinish,LateTasks[[#This Row],[_Task]]))=0,"",INDEX(tsk_FcFinish,LateTasks[[#This Row],[_Task]])))</f>
        <v/>
      </c>
      <c r="H46" s="49" t="str">
        <f aca="false">IF(LateTasks[[#This Row],[_Task]]="","",INDEX(tsk_Variance,LateTasks[[#This Row],[_Task]]))</f>
        <v/>
      </c>
      <c r="I46" s="24" t="str">
        <f aca="false">IF(LateTasks[[#This Row],[_Task]]="","",INDEX(tsk_Status,LateTasks[[#This Row],[_Task]])&amp;"")</f>
        <v/>
      </c>
      <c r="J46" s="24" t="str">
        <f aca="false">IF(LateTasks[[#This Row],[_Task]]="","",INDEX(tsk_Critical,LateTasks[[#This Row],[_Task]])&amp;"")</f>
        <v/>
      </c>
    </row>
    <row r="47" customFormat="false" ht="15" hidden="false" customHeight="false" outlineLevel="0" collapsed="false">
      <c r="B47" s="41" t="str">
        <f aca="false">IFERROR(MATCH(LARGE(tsk_LateKey,ROW()-ROW(LateTasks[[#Headers],[_Task]])),tsk_LateKey,0),"")</f>
        <v/>
      </c>
      <c r="C47" s="24" t="str">
        <f aca="false">IF(LateTasks[[#This Row],[_Task]]="","",INDEX(tsk_WBS,LateTasks[[#This Row],[_Task]])&amp;"")</f>
        <v/>
      </c>
      <c r="D47" s="24" t="str">
        <f aca="false">IF(LateTasks[[#This Row],[_Task]]="","",INDEX(tsk_Name,LateTasks[[#This Row],[_Task]])&amp;"")</f>
        <v/>
      </c>
      <c r="E47" s="24" t="str">
        <f aca="false">IF(LateTasks[[#This Row],[_Task]]="","",INDEX(tsk_Resource,LateTasks[[#This Row],[_Task]])&amp;"")</f>
        <v/>
      </c>
      <c r="F47" s="48" t="str">
        <f aca="false">IF(LateTasks[[#This Row],[_Task]]="","",IF(N(INDEX(tsk_PlanFinish,LateTasks[[#This Row],[_Task]]))=0,"",INDEX(tsk_PlanFinish,LateTasks[[#This Row],[_Task]])))</f>
        <v/>
      </c>
      <c r="G47" s="48" t="str">
        <f aca="false">IF(LateTasks[[#This Row],[_Task]]="","",IF(N(INDEX(tsk_FcFinish,LateTasks[[#This Row],[_Task]]))=0,"",INDEX(tsk_FcFinish,LateTasks[[#This Row],[_Task]])))</f>
        <v/>
      </c>
      <c r="H47" s="49" t="str">
        <f aca="false">IF(LateTasks[[#This Row],[_Task]]="","",INDEX(tsk_Variance,LateTasks[[#This Row],[_Task]]))</f>
        <v/>
      </c>
      <c r="I47" s="24" t="str">
        <f aca="false">IF(LateTasks[[#This Row],[_Task]]="","",INDEX(tsk_Status,LateTasks[[#This Row],[_Task]])&amp;"")</f>
        <v/>
      </c>
      <c r="J47" s="24" t="str">
        <f aca="false">IF(LateTasks[[#This Row],[_Task]]="","",INDEX(tsk_Critical,LateTasks[[#This Row],[_Task]])&amp;"")</f>
        <v/>
      </c>
    </row>
    <row r="48" customFormat="false" ht="15" hidden="false" customHeight="false" outlineLevel="0" collapsed="false">
      <c r="B48" s="41" t="str">
        <f aca="false">IFERROR(MATCH(LARGE(tsk_LateKey,ROW()-ROW(LateTasks[[#Headers],[_Task]])),tsk_LateKey,0),"")</f>
        <v/>
      </c>
      <c r="C48" s="24" t="str">
        <f aca="false">IF(LateTasks[[#This Row],[_Task]]="","",INDEX(tsk_WBS,LateTasks[[#This Row],[_Task]])&amp;"")</f>
        <v/>
      </c>
      <c r="D48" s="24" t="str">
        <f aca="false">IF(LateTasks[[#This Row],[_Task]]="","",INDEX(tsk_Name,LateTasks[[#This Row],[_Task]])&amp;"")</f>
        <v/>
      </c>
      <c r="E48" s="24" t="str">
        <f aca="false">IF(LateTasks[[#This Row],[_Task]]="","",INDEX(tsk_Resource,LateTasks[[#This Row],[_Task]])&amp;"")</f>
        <v/>
      </c>
      <c r="F48" s="48" t="str">
        <f aca="false">IF(LateTasks[[#This Row],[_Task]]="","",IF(N(INDEX(tsk_PlanFinish,LateTasks[[#This Row],[_Task]]))=0,"",INDEX(tsk_PlanFinish,LateTasks[[#This Row],[_Task]])))</f>
        <v/>
      </c>
      <c r="G48" s="48" t="str">
        <f aca="false">IF(LateTasks[[#This Row],[_Task]]="","",IF(N(INDEX(tsk_FcFinish,LateTasks[[#This Row],[_Task]]))=0,"",INDEX(tsk_FcFinish,LateTasks[[#This Row],[_Task]])))</f>
        <v/>
      </c>
      <c r="H48" s="49" t="str">
        <f aca="false">IF(LateTasks[[#This Row],[_Task]]="","",INDEX(tsk_Variance,LateTasks[[#This Row],[_Task]]))</f>
        <v/>
      </c>
      <c r="I48" s="24" t="str">
        <f aca="false">IF(LateTasks[[#This Row],[_Task]]="","",INDEX(tsk_Status,LateTasks[[#This Row],[_Task]])&amp;"")</f>
        <v/>
      </c>
      <c r="J48" s="24" t="str">
        <f aca="false">IF(LateTasks[[#This Row],[_Task]]="","",INDEX(tsk_Critical,LateTasks[[#This Row],[_Task]])&amp;"")</f>
        <v/>
      </c>
    </row>
    <row r="49" customFormat="false" ht="15" hidden="false" customHeight="false" outlineLevel="0" collapsed="false">
      <c r="B49" s="41" t="str">
        <f aca="false">IFERROR(MATCH(LARGE(tsk_LateKey,ROW()-ROW(LateTasks[[#Headers],[_Task]])),tsk_LateKey,0),"")</f>
        <v/>
      </c>
      <c r="C49" s="24" t="str">
        <f aca="false">IF(LateTasks[[#This Row],[_Task]]="","",INDEX(tsk_WBS,LateTasks[[#This Row],[_Task]])&amp;"")</f>
        <v/>
      </c>
      <c r="D49" s="24" t="str">
        <f aca="false">IF(LateTasks[[#This Row],[_Task]]="","",INDEX(tsk_Name,LateTasks[[#This Row],[_Task]])&amp;"")</f>
        <v/>
      </c>
      <c r="E49" s="24" t="str">
        <f aca="false">IF(LateTasks[[#This Row],[_Task]]="","",INDEX(tsk_Resource,LateTasks[[#This Row],[_Task]])&amp;"")</f>
        <v/>
      </c>
      <c r="F49" s="48" t="str">
        <f aca="false">IF(LateTasks[[#This Row],[_Task]]="","",IF(N(INDEX(tsk_PlanFinish,LateTasks[[#This Row],[_Task]]))=0,"",INDEX(tsk_PlanFinish,LateTasks[[#This Row],[_Task]])))</f>
        <v/>
      </c>
      <c r="G49" s="48" t="str">
        <f aca="false">IF(LateTasks[[#This Row],[_Task]]="","",IF(N(INDEX(tsk_FcFinish,LateTasks[[#This Row],[_Task]]))=0,"",INDEX(tsk_FcFinish,LateTasks[[#This Row],[_Task]])))</f>
        <v/>
      </c>
      <c r="H49" s="49" t="str">
        <f aca="false">IF(LateTasks[[#This Row],[_Task]]="","",INDEX(tsk_Variance,LateTasks[[#This Row],[_Task]]))</f>
        <v/>
      </c>
      <c r="I49" s="24" t="str">
        <f aca="false">IF(LateTasks[[#This Row],[_Task]]="","",INDEX(tsk_Status,LateTasks[[#This Row],[_Task]])&amp;"")</f>
        <v/>
      </c>
      <c r="J49" s="24" t="str">
        <f aca="false">IF(LateTasks[[#This Row],[_Task]]="","",INDEX(tsk_Critical,LateTasks[[#This Row],[_Task]])&amp;"")</f>
        <v/>
      </c>
    </row>
    <row r="50" customFormat="false" ht="15" hidden="false" customHeight="false" outlineLevel="0" collapsed="false">
      <c r="B50" s="41" t="str">
        <f aca="false">IFERROR(MATCH(LARGE(tsk_LateKey,ROW()-ROW(LateTasks[[#Headers],[_Task]])),tsk_LateKey,0),"")</f>
        <v/>
      </c>
      <c r="C50" s="24" t="str">
        <f aca="false">IF(LateTasks[[#This Row],[_Task]]="","",INDEX(tsk_WBS,LateTasks[[#This Row],[_Task]])&amp;"")</f>
        <v/>
      </c>
      <c r="D50" s="24" t="str">
        <f aca="false">IF(LateTasks[[#This Row],[_Task]]="","",INDEX(tsk_Name,LateTasks[[#This Row],[_Task]])&amp;"")</f>
        <v/>
      </c>
      <c r="E50" s="24" t="str">
        <f aca="false">IF(LateTasks[[#This Row],[_Task]]="","",INDEX(tsk_Resource,LateTasks[[#This Row],[_Task]])&amp;"")</f>
        <v/>
      </c>
      <c r="F50" s="48" t="str">
        <f aca="false">IF(LateTasks[[#This Row],[_Task]]="","",IF(N(INDEX(tsk_PlanFinish,LateTasks[[#This Row],[_Task]]))=0,"",INDEX(tsk_PlanFinish,LateTasks[[#This Row],[_Task]])))</f>
        <v/>
      </c>
      <c r="G50" s="48" t="str">
        <f aca="false">IF(LateTasks[[#This Row],[_Task]]="","",IF(N(INDEX(tsk_FcFinish,LateTasks[[#This Row],[_Task]]))=0,"",INDEX(tsk_FcFinish,LateTasks[[#This Row],[_Task]])))</f>
        <v/>
      </c>
      <c r="H50" s="49" t="str">
        <f aca="false">IF(LateTasks[[#This Row],[_Task]]="","",INDEX(tsk_Variance,LateTasks[[#This Row],[_Task]]))</f>
        <v/>
      </c>
      <c r="I50" s="24" t="str">
        <f aca="false">IF(LateTasks[[#This Row],[_Task]]="","",INDEX(tsk_Status,LateTasks[[#This Row],[_Task]])&amp;"")</f>
        <v/>
      </c>
      <c r="J50" s="24" t="str">
        <f aca="false">IF(LateTasks[[#This Row],[_Task]]="","",INDEX(tsk_Critical,LateTasks[[#This Row],[_Task]])&amp;"")</f>
        <v/>
      </c>
    </row>
    <row r="51" customFormat="false" ht="15" hidden="false" customHeight="false" outlineLevel="0" collapsed="false">
      <c r="B51" s="41" t="str">
        <f aca="false">IFERROR(MATCH(LARGE(tsk_LateKey,ROW()-ROW(LateTasks[[#Headers],[_Task]])),tsk_LateKey,0),"")</f>
        <v/>
      </c>
      <c r="C51" s="24" t="str">
        <f aca="false">IF(LateTasks[[#This Row],[_Task]]="","",INDEX(tsk_WBS,LateTasks[[#This Row],[_Task]])&amp;"")</f>
        <v/>
      </c>
      <c r="D51" s="24" t="str">
        <f aca="false">IF(LateTasks[[#This Row],[_Task]]="","",INDEX(tsk_Name,LateTasks[[#This Row],[_Task]])&amp;"")</f>
        <v/>
      </c>
      <c r="E51" s="24" t="str">
        <f aca="false">IF(LateTasks[[#This Row],[_Task]]="","",INDEX(tsk_Resource,LateTasks[[#This Row],[_Task]])&amp;"")</f>
        <v/>
      </c>
      <c r="F51" s="48" t="str">
        <f aca="false">IF(LateTasks[[#This Row],[_Task]]="","",IF(N(INDEX(tsk_PlanFinish,LateTasks[[#This Row],[_Task]]))=0,"",INDEX(tsk_PlanFinish,LateTasks[[#This Row],[_Task]])))</f>
        <v/>
      </c>
      <c r="G51" s="48" t="str">
        <f aca="false">IF(LateTasks[[#This Row],[_Task]]="","",IF(N(INDEX(tsk_FcFinish,LateTasks[[#This Row],[_Task]]))=0,"",INDEX(tsk_FcFinish,LateTasks[[#This Row],[_Task]])))</f>
        <v/>
      </c>
      <c r="H51" s="49" t="str">
        <f aca="false">IF(LateTasks[[#This Row],[_Task]]="","",INDEX(tsk_Variance,LateTasks[[#This Row],[_Task]]))</f>
        <v/>
      </c>
      <c r="I51" s="24" t="str">
        <f aca="false">IF(LateTasks[[#This Row],[_Task]]="","",INDEX(tsk_Status,LateTasks[[#This Row],[_Task]])&amp;"")</f>
        <v/>
      </c>
      <c r="J51" s="24" t="str">
        <f aca="false">IF(LateTasks[[#This Row],[_Task]]="","",INDEX(tsk_Critical,LateTasks[[#This Row],[_Task]])&amp;"")</f>
        <v/>
      </c>
    </row>
    <row r="53" customFormat="false" ht="15" hidden="false" customHeight="false" outlineLevel="0" collapsed="false">
      <c r="C53" s="36" t="str">
        <f aca="false">"Starting by "&amp;TEXT(LookaheadEnd,"ddd dd-mmm")&amp;" (look-ahead "&amp;LookaheadDays&amp;" working days)"&amp;": "&amp;COUNT(tsk_StartSoonKey)&amp;IF(COUNT(tsk_StartSoonKey)&gt;ROWS(StartingSoon[_Task])," (showing the first "&amp;ROWS(StartingSoon[_Task])&amp;")","")</f>
        <v>Starting by Fri 06-Nov (look-ahead 10 working days): 2</v>
      </c>
    </row>
    <row r="54" customFormat="false" ht="23.85" hidden="false" customHeight="false" outlineLevel="0" collapsed="false">
      <c r="B54" s="40" t="s">
        <v>173</v>
      </c>
      <c r="C54" s="9" t="s">
        <v>200</v>
      </c>
      <c r="D54" s="9" t="s">
        <v>180</v>
      </c>
      <c r="E54" s="9" t="s">
        <v>218</v>
      </c>
      <c r="F54" s="9" t="s">
        <v>220</v>
      </c>
      <c r="G54" s="9" t="s">
        <v>203</v>
      </c>
      <c r="H54" s="9" t="s">
        <v>221</v>
      </c>
      <c r="I54" s="9" t="s">
        <v>53</v>
      </c>
      <c r="J54" s="9" t="s">
        <v>219</v>
      </c>
    </row>
    <row r="55" customFormat="false" ht="15" hidden="false" customHeight="false" outlineLevel="0" collapsed="false">
      <c r="B55" s="41" t="n">
        <f aca="false">IFERROR(MATCH(SMALL(tsk_StartSoonKey,ROW()-ROW(StartingSoon[[#Headers],[_Task]])),tsk_StartSoonKey,0),"")</f>
        <v>14</v>
      </c>
      <c r="C55" s="24" t="str">
        <f aca="false">IF(StartingSoon[[#This Row],[_Task]]="","",INDEX(tsk_WBS,StartingSoon[[#This Row],[_Task]])&amp;"")</f>
        <v>3.1.3</v>
      </c>
      <c r="D55" s="24" t="str">
        <f aca="false">IF(StartingSoon[[#This Row],[_Task]]="","",INDEX(tsk_Name,StartingSoon[[#This Row],[_Task]])&amp;"")</f>
        <v>Payment gateway integration</v>
      </c>
      <c r="E55" s="24" t="str">
        <f aca="false">IF(StartingSoon[[#This Row],[_Task]]="","",INDEX(tsk_Resource,StartingSoon[[#This Row],[_Task]])&amp;"")</f>
        <v>Jordan Lee</v>
      </c>
      <c r="F55" s="48" t="n">
        <f aca="false">IF(StartingSoon[[#This Row],[_Task]]="","",IF(N(INDEX(tsk_FcStart,StartingSoon[[#This Row],[_Task]]))=0,"",INDEX(tsk_FcStart,StartingSoon[[#This Row],[_Task]])))</f>
        <v>46328</v>
      </c>
      <c r="G55" s="48" t="n">
        <f aca="false">IF(StartingSoon[[#This Row],[_Task]]="","",IF(N(INDEX(tsk_FcFinish,StartingSoon[[#This Row],[_Task]]))=0,"",INDEX(tsk_FcFinish,StartingSoon[[#This Row],[_Task]])))</f>
        <v>46335</v>
      </c>
      <c r="H55" s="43" t="n">
        <f aca="false">IF(StartingSoon[[#This Row],[_Task]]="","",INDEX(tsk_Duration,StartingSoon[[#This Row],[_Task]]))</f>
        <v>6</v>
      </c>
      <c r="I55" s="24" t="str">
        <f aca="false">IF(StartingSoon[[#This Row],[_Task]]="","",INDEX(tsk_Predecessors,StartingSoon[[#This Row],[_Task]])&amp;"")</f>
        <v>13</v>
      </c>
      <c r="J55" s="24" t="str">
        <f aca="false">IF(StartingSoon[[#This Row],[_Task]]="","",INDEX(tsk_Critical,StartingSoon[[#This Row],[_Task]])&amp;"")</f>
        <v>Yes</v>
      </c>
    </row>
    <row r="56" customFormat="false" ht="15" hidden="false" customHeight="false" outlineLevel="0" collapsed="false">
      <c r="B56" s="41" t="n">
        <f aca="false">IFERROR(MATCH(SMALL(tsk_StartSoonKey,ROW()-ROW(StartingSoon[[#Headers],[_Task]])),tsk_StartSoonKey,0),"")</f>
        <v>18</v>
      </c>
      <c r="C56" s="24" t="str">
        <f aca="false">IF(StartingSoon[[#This Row],[_Task]]="","",INDEX(tsk_WBS,StartingSoon[[#This Row],[_Task]])&amp;"")</f>
        <v>3.2.3</v>
      </c>
      <c r="D56" s="24" t="str">
        <f aca="false">IF(StartingSoon[[#This Row],[_Task]]="","",INDEX(tsk_Name,StartingSoon[[#This Row],[_Task]])&amp;"")</f>
        <v>Accessibility review</v>
      </c>
      <c r="E56" s="24" t="str">
        <f aca="false">IF(StartingSoon[[#This Row],[_Task]]="","",INDEX(tsk_Resource,StartingSoon[[#This Row],[_Task]])&amp;"")</f>
        <v>Casey Kim</v>
      </c>
      <c r="F56" s="48" t="n">
        <f aca="false">IF(StartingSoon[[#This Row],[_Task]]="","",IF(N(INDEX(tsk_FcStart,StartingSoon[[#This Row],[_Task]]))=0,"",INDEX(tsk_FcStart,StartingSoon[[#This Row],[_Task]])))</f>
        <v>46330</v>
      </c>
      <c r="G56" s="48" t="n">
        <f aca="false">IF(StartingSoon[[#This Row],[_Task]]="","",IF(N(INDEX(tsk_FcFinish,StartingSoon[[#This Row],[_Task]]))=0,"",INDEX(tsk_FcFinish,StartingSoon[[#This Row],[_Task]])))</f>
        <v>46332</v>
      </c>
      <c r="H56" s="43" t="n">
        <f aca="false">IF(StartingSoon[[#This Row],[_Task]]="","",INDEX(tsk_Duration,StartingSoon[[#This Row],[_Task]]))</f>
        <v>3</v>
      </c>
      <c r="I56" s="24" t="str">
        <f aca="false">IF(StartingSoon[[#This Row],[_Task]]="","",INDEX(tsk_Predecessors,StartingSoon[[#This Row],[_Task]])&amp;"")</f>
        <v>17FF+1d</v>
      </c>
      <c r="J56" s="24" t="str">
        <f aca="false">IF(StartingSoon[[#This Row],[_Task]]="","",INDEX(tsk_Critical,StartingSoon[[#This Row],[_Task]])&amp;"")</f>
        <v>Yes</v>
      </c>
    </row>
    <row r="57" customFormat="false" ht="15" hidden="false" customHeight="false" outlineLevel="0" collapsed="false">
      <c r="B57" s="41" t="str">
        <f aca="false">IFERROR(MATCH(SMALL(tsk_StartSoonKey,ROW()-ROW(StartingSoon[[#Headers],[_Task]])),tsk_StartSoonKey,0),"")</f>
        <v/>
      </c>
      <c r="C57" s="24" t="str">
        <f aca="false">IF(StartingSoon[[#This Row],[_Task]]="","",INDEX(tsk_WBS,StartingSoon[[#This Row],[_Task]])&amp;"")</f>
        <v/>
      </c>
      <c r="D57" s="24" t="str">
        <f aca="false">IF(StartingSoon[[#This Row],[_Task]]="","",INDEX(tsk_Name,StartingSoon[[#This Row],[_Task]])&amp;"")</f>
        <v/>
      </c>
      <c r="E57" s="24" t="str">
        <f aca="false">IF(StartingSoon[[#This Row],[_Task]]="","",INDEX(tsk_Resource,StartingSoon[[#This Row],[_Task]])&amp;"")</f>
        <v/>
      </c>
      <c r="F57" s="48" t="str">
        <f aca="false">IF(StartingSoon[[#This Row],[_Task]]="","",IF(N(INDEX(tsk_FcStart,StartingSoon[[#This Row],[_Task]]))=0,"",INDEX(tsk_FcStart,StartingSoon[[#This Row],[_Task]])))</f>
        <v/>
      </c>
      <c r="G57" s="48" t="str">
        <f aca="false">IF(StartingSoon[[#This Row],[_Task]]="","",IF(N(INDEX(tsk_FcFinish,StartingSoon[[#This Row],[_Task]]))=0,"",INDEX(tsk_FcFinish,StartingSoon[[#This Row],[_Task]])))</f>
        <v/>
      </c>
      <c r="H57" s="43" t="str">
        <f aca="false">IF(StartingSoon[[#This Row],[_Task]]="","",INDEX(tsk_Duration,StartingSoon[[#This Row],[_Task]]))</f>
        <v/>
      </c>
      <c r="I57" s="24" t="str">
        <f aca="false">IF(StartingSoon[[#This Row],[_Task]]="","",INDEX(tsk_Predecessors,StartingSoon[[#This Row],[_Task]])&amp;"")</f>
        <v/>
      </c>
      <c r="J57" s="24" t="str">
        <f aca="false">IF(StartingSoon[[#This Row],[_Task]]="","",INDEX(tsk_Critical,StartingSoon[[#This Row],[_Task]])&amp;"")</f>
        <v/>
      </c>
    </row>
    <row r="58" customFormat="false" ht="15" hidden="false" customHeight="false" outlineLevel="0" collapsed="false">
      <c r="B58" s="41" t="str">
        <f aca="false">IFERROR(MATCH(SMALL(tsk_StartSoonKey,ROW()-ROW(StartingSoon[[#Headers],[_Task]])),tsk_StartSoonKey,0),"")</f>
        <v/>
      </c>
      <c r="C58" s="24" t="str">
        <f aca="false">IF(StartingSoon[[#This Row],[_Task]]="","",INDEX(tsk_WBS,StartingSoon[[#This Row],[_Task]])&amp;"")</f>
        <v/>
      </c>
      <c r="D58" s="24" t="str">
        <f aca="false">IF(StartingSoon[[#This Row],[_Task]]="","",INDEX(tsk_Name,StartingSoon[[#This Row],[_Task]])&amp;"")</f>
        <v/>
      </c>
      <c r="E58" s="24" t="str">
        <f aca="false">IF(StartingSoon[[#This Row],[_Task]]="","",INDEX(tsk_Resource,StartingSoon[[#This Row],[_Task]])&amp;"")</f>
        <v/>
      </c>
      <c r="F58" s="48" t="str">
        <f aca="false">IF(StartingSoon[[#This Row],[_Task]]="","",IF(N(INDEX(tsk_FcStart,StartingSoon[[#This Row],[_Task]]))=0,"",INDEX(tsk_FcStart,StartingSoon[[#This Row],[_Task]])))</f>
        <v/>
      </c>
      <c r="G58" s="48" t="str">
        <f aca="false">IF(StartingSoon[[#This Row],[_Task]]="","",IF(N(INDEX(tsk_FcFinish,StartingSoon[[#This Row],[_Task]]))=0,"",INDEX(tsk_FcFinish,StartingSoon[[#This Row],[_Task]])))</f>
        <v/>
      </c>
      <c r="H58" s="43" t="str">
        <f aca="false">IF(StartingSoon[[#This Row],[_Task]]="","",INDEX(tsk_Duration,StartingSoon[[#This Row],[_Task]]))</f>
        <v/>
      </c>
      <c r="I58" s="24" t="str">
        <f aca="false">IF(StartingSoon[[#This Row],[_Task]]="","",INDEX(tsk_Predecessors,StartingSoon[[#This Row],[_Task]])&amp;"")</f>
        <v/>
      </c>
      <c r="J58" s="24" t="str">
        <f aca="false">IF(StartingSoon[[#This Row],[_Task]]="","",INDEX(tsk_Critical,StartingSoon[[#This Row],[_Task]])&amp;"")</f>
        <v/>
      </c>
    </row>
    <row r="59" customFormat="false" ht="15" hidden="false" customHeight="false" outlineLevel="0" collapsed="false">
      <c r="B59" s="41" t="str">
        <f aca="false">IFERROR(MATCH(SMALL(tsk_StartSoonKey,ROW()-ROW(StartingSoon[[#Headers],[_Task]])),tsk_StartSoonKey,0),"")</f>
        <v/>
      </c>
      <c r="C59" s="24" t="str">
        <f aca="false">IF(StartingSoon[[#This Row],[_Task]]="","",INDEX(tsk_WBS,StartingSoon[[#This Row],[_Task]])&amp;"")</f>
        <v/>
      </c>
      <c r="D59" s="24" t="str">
        <f aca="false">IF(StartingSoon[[#This Row],[_Task]]="","",INDEX(tsk_Name,StartingSoon[[#This Row],[_Task]])&amp;"")</f>
        <v/>
      </c>
      <c r="E59" s="24" t="str">
        <f aca="false">IF(StartingSoon[[#This Row],[_Task]]="","",INDEX(tsk_Resource,StartingSoon[[#This Row],[_Task]])&amp;"")</f>
        <v/>
      </c>
      <c r="F59" s="48" t="str">
        <f aca="false">IF(StartingSoon[[#This Row],[_Task]]="","",IF(N(INDEX(tsk_FcStart,StartingSoon[[#This Row],[_Task]]))=0,"",INDEX(tsk_FcStart,StartingSoon[[#This Row],[_Task]])))</f>
        <v/>
      </c>
      <c r="G59" s="48" t="str">
        <f aca="false">IF(StartingSoon[[#This Row],[_Task]]="","",IF(N(INDEX(tsk_FcFinish,StartingSoon[[#This Row],[_Task]]))=0,"",INDEX(tsk_FcFinish,StartingSoon[[#This Row],[_Task]])))</f>
        <v/>
      </c>
      <c r="H59" s="43" t="str">
        <f aca="false">IF(StartingSoon[[#This Row],[_Task]]="","",INDEX(tsk_Duration,StartingSoon[[#This Row],[_Task]]))</f>
        <v/>
      </c>
      <c r="I59" s="24" t="str">
        <f aca="false">IF(StartingSoon[[#This Row],[_Task]]="","",INDEX(tsk_Predecessors,StartingSoon[[#This Row],[_Task]])&amp;"")</f>
        <v/>
      </c>
      <c r="J59" s="24" t="str">
        <f aca="false">IF(StartingSoon[[#This Row],[_Task]]="","",INDEX(tsk_Critical,StartingSoon[[#This Row],[_Task]])&amp;"")</f>
        <v/>
      </c>
    </row>
    <row r="60" customFormat="false" ht="15" hidden="false" customHeight="false" outlineLevel="0" collapsed="false">
      <c r="B60" s="41" t="str">
        <f aca="false">IFERROR(MATCH(SMALL(tsk_StartSoonKey,ROW()-ROW(StartingSoon[[#Headers],[_Task]])),tsk_StartSoonKey,0),"")</f>
        <v/>
      </c>
      <c r="C60" s="24" t="str">
        <f aca="false">IF(StartingSoon[[#This Row],[_Task]]="","",INDEX(tsk_WBS,StartingSoon[[#This Row],[_Task]])&amp;"")</f>
        <v/>
      </c>
      <c r="D60" s="24" t="str">
        <f aca="false">IF(StartingSoon[[#This Row],[_Task]]="","",INDEX(tsk_Name,StartingSoon[[#This Row],[_Task]])&amp;"")</f>
        <v/>
      </c>
      <c r="E60" s="24" t="str">
        <f aca="false">IF(StartingSoon[[#This Row],[_Task]]="","",INDEX(tsk_Resource,StartingSoon[[#This Row],[_Task]])&amp;"")</f>
        <v/>
      </c>
      <c r="F60" s="48" t="str">
        <f aca="false">IF(StartingSoon[[#This Row],[_Task]]="","",IF(N(INDEX(tsk_FcStart,StartingSoon[[#This Row],[_Task]]))=0,"",INDEX(tsk_FcStart,StartingSoon[[#This Row],[_Task]])))</f>
        <v/>
      </c>
      <c r="G60" s="48" t="str">
        <f aca="false">IF(StartingSoon[[#This Row],[_Task]]="","",IF(N(INDEX(tsk_FcFinish,StartingSoon[[#This Row],[_Task]]))=0,"",INDEX(tsk_FcFinish,StartingSoon[[#This Row],[_Task]])))</f>
        <v/>
      </c>
      <c r="H60" s="43" t="str">
        <f aca="false">IF(StartingSoon[[#This Row],[_Task]]="","",INDEX(tsk_Duration,StartingSoon[[#This Row],[_Task]]))</f>
        <v/>
      </c>
      <c r="I60" s="24" t="str">
        <f aca="false">IF(StartingSoon[[#This Row],[_Task]]="","",INDEX(tsk_Predecessors,StartingSoon[[#This Row],[_Task]])&amp;"")</f>
        <v/>
      </c>
      <c r="J60" s="24" t="str">
        <f aca="false">IF(StartingSoon[[#This Row],[_Task]]="","",INDEX(tsk_Critical,StartingSoon[[#This Row],[_Task]])&amp;"")</f>
        <v/>
      </c>
    </row>
    <row r="61" customFormat="false" ht="15" hidden="false" customHeight="false" outlineLevel="0" collapsed="false">
      <c r="B61" s="41" t="str">
        <f aca="false">IFERROR(MATCH(SMALL(tsk_StartSoonKey,ROW()-ROW(StartingSoon[[#Headers],[_Task]])),tsk_StartSoonKey,0),"")</f>
        <v/>
      </c>
      <c r="C61" s="24" t="str">
        <f aca="false">IF(StartingSoon[[#This Row],[_Task]]="","",INDEX(tsk_WBS,StartingSoon[[#This Row],[_Task]])&amp;"")</f>
        <v/>
      </c>
      <c r="D61" s="24" t="str">
        <f aca="false">IF(StartingSoon[[#This Row],[_Task]]="","",INDEX(tsk_Name,StartingSoon[[#This Row],[_Task]])&amp;"")</f>
        <v/>
      </c>
      <c r="E61" s="24" t="str">
        <f aca="false">IF(StartingSoon[[#This Row],[_Task]]="","",INDEX(tsk_Resource,StartingSoon[[#This Row],[_Task]])&amp;"")</f>
        <v/>
      </c>
      <c r="F61" s="48" t="str">
        <f aca="false">IF(StartingSoon[[#This Row],[_Task]]="","",IF(N(INDEX(tsk_FcStart,StartingSoon[[#This Row],[_Task]]))=0,"",INDEX(tsk_FcStart,StartingSoon[[#This Row],[_Task]])))</f>
        <v/>
      </c>
      <c r="G61" s="48" t="str">
        <f aca="false">IF(StartingSoon[[#This Row],[_Task]]="","",IF(N(INDEX(tsk_FcFinish,StartingSoon[[#This Row],[_Task]]))=0,"",INDEX(tsk_FcFinish,StartingSoon[[#This Row],[_Task]])))</f>
        <v/>
      </c>
      <c r="H61" s="43" t="str">
        <f aca="false">IF(StartingSoon[[#This Row],[_Task]]="","",INDEX(tsk_Duration,StartingSoon[[#This Row],[_Task]]))</f>
        <v/>
      </c>
      <c r="I61" s="24" t="str">
        <f aca="false">IF(StartingSoon[[#This Row],[_Task]]="","",INDEX(tsk_Predecessors,StartingSoon[[#This Row],[_Task]])&amp;"")</f>
        <v/>
      </c>
      <c r="J61" s="24" t="str">
        <f aca="false">IF(StartingSoon[[#This Row],[_Task]]="","",INDEX(tsk_Critical,StartingSoon[[#This Row],[_Task]])&amp;"")</f>
        <v/>
      </c>
    </row>
    <row r="62" customFormat="false" ht="15" hidden="false" customHeight="false" outlineLevel="0" collapsed="false">
      <c r="B62" s="41" t="str">
        <f aca="false">IFERROR(MATCH(SMALL(tsk_StartSoonKey,ROW()-ROW(StartingSoon[[#Headers],[_Task]])),tsk_StartSoonKey,0),"")</f>
        <v/>
      </c>
      <c r="C62" s="24" t="str">
        <f aca="false">IF(StartingSoon[[#This Row],[_Task]]="","",INDEX(tsk_WBS,StartingSoon[[#This Row],[_Task]])&amp;"")</f>
        <v/>
      </c>
      <c r="D62" s="24" t="str">
        <f aca="false">IF(StartingSoon[[#This Row],[_Task]]="","",INDEX(tsk_Name,StartingSoon[[#This Row],[_Task]])&amp;"")</f>
        <v/>
      </c>
      <c r="E62" s="24" t="str">
        <f aca="false">IF(StartingSoon[[#This Row],[_Task]]="","",INDEX(tsk_Resource,StartingSoon[[#This Row],[_Task]])&amp;"")</f>
        <v/>
      </c>
      <c r="F62" s="48" t="str">
        <f aca="false">IF(StartingSoon[[#This Row],[_Task]]="","",IF(N(INDEX(tsk_FcStart,StartingSoon[[#This Row],[_Task]]))=0,"",INDEX(tsk_FcStart,StartingSoon[[#This Row],[_Task]])))</f>
        <v/>
      </c>
      <c r="G62" s="48" t="str">
        <f aca="false">IF(StartingSoon[[#This Row],[_Task]]="","",IF(N(INDEX(tsk_FcFinish,StartingSoon[[#This Row],[_Task]]))=0,"",INDEX(tsk_FcFinish,StartingSoon[[#This Row],[_Task]])))</f>
        <v/>
      </c>
      <c r="H62" s="43" t="str">
        <f aca="false">IF(StartingSoon[[#This Row],[_Task]]="","",INDEX(tsk_Duration,StartingSoon[[#This Row],[_Task]]))</f>
        <v/>
      </c>
      <c r="I62" s="24" t="str">
        <f aca="false">IF(StartingSoon[[#This Row],[_Task]]="","",INDEX(tsk_Predecessors,StartingSoon[[#This Row],[_Task]])&amp;"")</f>
        <v/>
      </c>
      <c r="J62" s="24" t="str">
        <f aca="false">IF(StartingSoon[[#This Row],[_Task]]="","",INDEX(tsk_Critical,StartingSoon[[#This Row],[_Task]])&amp;"")</f>
        <v/>
      </c>
    </row>
    <row r="63" customFormat="false" ht="15" hidden="false" customHeight="false" outlineLevel="0" collapsed="false">
      <c r="B63" s="41" t="str">
        <f aca="false">IFERROR(MATCH(SMALL(tsk_StartSoonKey,ROW()-ROW(StartingSoon[[#Headers],[_Task]])),tsk_StartSoonKey,0),"")</f>
        <v/>
      </c>
      <c r="C63" s="24" t="str">
        <f aca="false">IF(StartingSoon[[#This Row],[_Task]]="","",INDEX(tsk_WBS,StartingSoon[[#This Row],[_Task]])&amp;"")</f>
        <v/>
      </c>
      <c r="D63" s="24" t="str">
        <f aca="false">IF(StartingSoon[[#This Row],[_Task]]="","",INDEX(tsk_Name,StartingSoon[[#This Row],[_Task]])&amp;"")</f>
        <v/>
      </c>
      <c r="E63" s="24" t="str">
        <f aca="false">IF(StartingSoon[[#This Row],[_Task]]="","",INDEX(tsk_Resource,StartingSoon[[#This Row],[_Task]])&amp;"")</f>
        <v/>
      </c>
      <c r="F63" s="48" t="str">
        <f aca="false">IF(StartingSoon[[#This Row],[_Task]]="","",IF(N(INDEX(tsk_FcStart,StartingSoon[[#This Row],[_Task]]))=0,"",INDEX(tsk_FcStart,StartingSoon[[#This Row],[_Task]])))</f>
        <v/>
      </c>
      <c r="G63" s="48" t="str">
        <f aca="false">IF(StartingSoon[[#This Row],[_Task]]="","",IF(N(INDEX(tsk_FcFinish,StartingSoon[[#This Row],[_Task]]))=0,"",INDEX(tsk_FcFinish,StartingSoon[[#This Row],[_Task]])))</f>
        <v/>
      </c>
      <c r="H63" s="43" t="str">
        <f aca="false">IF(StartingSoon[[#This Row],[_Task]]="","",INDEX(tsk_Duration,StartingSoon[[#This Row],[_Task]]))</f>
        <v/>
      </c>
      <c r="I63" s="24" t="str">
        <f aca="false">IF(StartingSoon[[#This Row],[_Task]]="","",INDEX(tsk_Predecessors,StartingSoon[[#This Row],[_Task]])&amp;"")</f>
        <v/>
      </c>
      <c r="J63" s="24" t="str">
        <f aca="false">IF(StartingSoon[[#This Row],[_Task]]="","",INDEX(tsk_Critical,StartingSoon[[#This Row],[_Task]])&amp;"")</f>
        <v/>
      </c>
    </row>
    <row r="64" customFormat="false" ht="15" hidden="false" customHeight="false" outlineLevel="0" collapsed="false">
      <c r="B64" s="41" t="str">
        <f aca="false">IFERROR(MATCH(SMALL(tsk_StartSoonKey,ROW()-ROW(StartingSoon[[#Headers],[_Task]])),tsk_StartSoonKey,0),"")</f>
        <v/>
      </c>
      <c r="C64" s="24" t="str">
        <f aca="false">IF(StartingSoon[[#This Row],[_Task]]="","",INDEX(tsk_WBS,StartingSoon[[#This Row],[_Task]])&amp;"")</f>
        <v/>
      </c>
      <c r="D64" s="24" t="str">
        <f aca="false">IF(StartingSoon[[#This Row],[_Task]]="","",INDEX(tsk_Name,StartingSoon[[#This Row],[_Task]])&amp;"")</f>
        <v/>
      </c>
      <c r="E64" s="24" t="str">
        <f aca="false">IF(StartingSoon[[#This Row],[_Task]]="","",INDEX(tsk_Resource,StartingSoon[[#This Row],[_Task]])&amp;"")</f>
        <v/>
      </c>
      <c r="F64" s="48" t="str">
        <f aca="false">IF(StartingSoon[[#This Row],[_Task]]="","",IF(N(INDEX(tsk_FcStart,StartingSoon[[#This Row],[_Task]]))=0,"",INDEX(tsk_FcStart,StartingSoon[[#This Row],[_Task]])))</f>
        <v/>
      </c>
      <c r="G64" s="48" t="str">
        <f aca="false">IF(StartingSoon[[#This Row],[_Task]]="","",IF(N(INDEX(tsk_FcFinish,StartingSoon[[#This Row],[_Task]]))=0,"",INDEX(tsk_FcFinish,StartingSoon[[#This Row],[_Task]])))</f>
        <v/>
      </c>
      <c r="H64" s="43" t="str">
        <f aca="false">IF(StartingSoon[[#This Row],[_Task]]="","",INDEX(tsk_Duration,StartingSoon[[#This Row],[_Task]]))</f>
        <v/>
      </c>
      <c r="I64" s="24" t="str">
        <f aca="false">IF(StartingSoon[[#This Row],[_Task]]="","",INDEX(tsk_Predecessors,StartingSoon[[#This Row],[_Task]])&amp;"")</f>
        <v/>
      </c>
      <c r="J64" s="24" t="str">
        <f aca="false">IF(StartingSoon[[#This Row],[_Task]]="","",INDEX(tsk_Critical,StartingSoon[[#This Row],[_Task]])&amp;"")</f>
        <v/>
      </c>
    </row>
    <row r="65" customFormat="false" ht="15" hidden="false" customHeight="false" outlineLevel="0" collapsed="false">
      <c r="B65" s="41" t="str">
        <f aca="false">IFERROR(MATCH(SMALL(tsk_StartSoonKey,ROW()-ROW(StartingSoon[[#Headers],[_Task]])),tsk_StartSoonKey,0),"")</f>
        <v/>
      </c>
      <c r="C65" s="24" t="str">
        <f aca="false">IF(StartingSoon[[#This Row],[_Task]]="","",INDEX(tsk_WBS,StartingSoon[[#This Row],[_Task]])&amp;"")</f>
        <v/>
      </c>
      <c r="D65" s="24" t="str">
        <f aca="false">IF(StartingSoon[[#This Row],[_Task]]="","",INDEX(tsk_Name,StartingSoon[[#This Row],[_Task]])&amp;"")</f>
        <v/>
      </c>
      <c r="E65" s="24" t="str">
        <f aca="false">IF(StartingSoon[[#This Row],[_Task]]="","",INDEX(tsk_Resource,StartingSoon[[#This Row],[_Task]])&amp;"")</f>
        <v/>
      </c>
      <c r="F65" s="48" t="str">
        <f aca="false">IF(StartingSoon[[#This Row],[_Task]]="","",IF(N(INDEX(tsk_FcStart,StartingSoon[[#This Row],[_Task]]))=0,"",INDEX(tsk_FcStart,StartingSoon[[#This Row],[_Task]])))</f>
        <v/>
      </c>
      <c r="G65" s="48" t="str">
        <f aca="false">IF(StartingSoon[[#This Row],[_Task]]="","",IF(N(INDEX(tsk_FcFinish,StartingSoon[[#This Row],[_Task]]))=0,"",INDEX(tsk_FcFinish,StartingSoon[[#This Row],[_Task]])))</f>
        <v/>
      </c>
      <c r="H65" s="43" t="str">
        <f aca="false">IF(StartingSoon[[#This Row],[_Task]]="","",INDEX(tsk_Duration,StartingSoon[[#This Row],[_Task]]))</f>
        <v/>
      </c>
      <c r="I65" s="24" t="str">
        <f aca="false">IF(StartingSoon[[#This Row],[_Task]]="","",INDEX(tsk_Predecessors,StartingSoon[[#This Row],[_Task]])&amp;"")</f>
        <v/>
      </c>
      <c r="J65" s="24" t="str">
        <f aca="false">IF(StartingSoon[[#This Row],[_Task]]="","",INDEX(tsk_Critical,StartingSoon[[#This Row],[_Task]])&amp;"")</f>
        <v/>
      </c>
    </row>
    <row r="66" customFormat="false" ht="15" hidden="false" customHeight="false" outlineLevel="0" collapsed="false">
      <c r="B66" s="41" t="str">
        <f aca="false">IFERROR(MATCH(SMALL(tsk_StartSoonKey,ROW()-ROW(StartingSoon[[#Headers],[_Task]])),tsk_StartSoonKey,0),"")</f>
        <v/>
      </c>
      <c r="C66" s="24" t="str">
        <f aca="false">IF(StartingSoon[[#This Row],[_Task]]="","",INDEX(tsk_WBS,StartingSoon[[#This Row],[_Task]])&amp;"")</f>
        <v/>
      </c>
      <c r="D66" s="24" t="str">
        <f aca="false">IF(StartingSoon[[#This Row],[_Task]]="","",INDEX(tsk_Name,StartingSoon[[#This Row],[_Task]])&amp;"")</f>
        <v/>
      </c>
      <c r="E66" s="24" t="str">
        <f aca="false">IF(StartingSoon[[#This Row],[_Task]]="","",INDEX(tsk_Resource,StartingSoon[[#This Row],[_Task]])&amp;"")</f>
        <v/>
      </c>
      <c r="F66" s="48" t="str">
        <f aca="false">IF(StartingSoon[[#This Row],[_Task]]="","",IF(N(INDEX(tsk_FcStart,StartingSoon[[#This Row],[_Task]]))=0,"",INDEX(tsk_FcStart,StartingSoon[[#This Row],[_Task]])))</f>
        <v/>
      </c>
      <c r="G66" s="48" t="str">
        <f aca="false">IF(StartingSoon[[#This Row],[_Task]]="","",IF(N(INDEX(tsk_FcFinish,StartingSoon[[#This Row],[_Task]]))=0,"",INDEX(tsk_FcFinish,StartingSoon[[#This Row],[_Task]])))</f>
        <v/>
      </c>
      <c r="H66" s="43" t="str">
        <f aca="false">IF(StartingSoon[[#This Row],[_Task]]="","",INDEX(tsk_Duration,StartingSoon[[#This Row],[_Task]]))</f>
        <v/>
      </c>
      <c r="I66" s="24" t="str">
        <f aca="false">IF(StartingSoon[[#This Row],[_Task]]="","",INDEX(tsk_Predecessors,StartingSoon[[#This Row],[_Task]])&amp;"")</f>
        <v/>
      </c>
      <c r="J66" s="24" t="str">
        <f aca="false">IF(StartingSoon[[#This Row],[_Task]]="","",INDEX(tsk_Critical,StartingSoon[[#This Row],[_Task]])&amp;"")</f>
        <v/>
      </c>
    </row>
    <row r="67" customFormat="false" ht="15" hidden="false" customHeight="false" outlineLevel="0" collapsed="false">
      <c r="B67" s="41" t="str">
        <f aca="false">IFERROR(MATCH(SMALL(tsk_StartSoonKey,ROW()-ROW(StartingSoon[[#Headers],[_Task]])),tsk_StartSoonKey,0),"")</f>
        <v/>
      </c>
      <c r="C67" s="24" t="str">
        <f aca="false">IF(StartingSoon[[#This Row],[_Task]]="","",INDEX(tsk_WBS,StartingSoon[[#This Row],[_Task]])&amp;"")</f>
        <v/>
      </c>
      <c r="D67" s="24" t="str">
        <f aca="false">IF(StartingSoon[[#This Row],[_Task]]="","",INDEX(tsk_Name,StartingSoon[[#This Row],[_Task]])&amp;"")</f>
        <v/>
      </c>
      <c r="E67" s="24" t="str">
        <f aca="false">IF(StartingSoon[[#This Row],[_Task]]="","",INDEX(tsk_Resource,StartingSoon[[#This Row],[_Task]])&amp;"")</f>
        <v/>
      </c>
      <c r="F67" s="48" t="str">
        <f aca="false">IF(StartingSoon[[#This Row],[_Task]]="","",IF(N(INDEX(tsk_FcStart,StartingSoon[[#This Row],[_Task]]))=0,"",INDEX(tsk_FcStart,StartingSoon[[#This Row],[_Task]])))</f>
        <v/>
      </c>
      <c r="G67" s="48" t="str">
        <f aca="false">IF(StartingSoon[[#This Row],[_Task]]="","",IF(N(INDEX(tsk_FcFinish,StartingSoon[[#This Row],[_Task]]))=0,"",INDEX(tsk_FcFinish,StartingSoon[[#This Row],[_Task]])))</f>
        <v/>
      </c>
      <c r="H67" s="43" t="str">
        <f aca="false">IF(StartingSoon[[#This Row],[_Task]]="","",INDEX(tsk_Duration,StartingSoon[[#This Row],[_Task]]))</f>
        <v/>
      </c>
      <c r="I67" s="24" t="str">
        <f aca="false">IF(StartingSoon[[#This Row],[_Task]]="","",INDEX(tsk_Predecessors,StartingSoon[[#This Row],[_Task]])&amp;"")</f>
        <v/>
      </c>
      <c r="J67" s="24" t="str">
        <f aca="false">IF(StartingSoon[[#This Row],[_Task]]="","",INDEX(tsk_Critical,StartingSoon[[#This Row],[_Task]])&amp;"")</f>
        <v/>
      </c>
    </row>
    <row r="68" customFormat="false" ht="15" hidden="false" customHeight="false" outlineLevel="0" collapsed="false">
      <c r="B68" s="41" t="str">
        <f aca="false">IFERROR(MATCH(SMALL(tsk_StartSoonKey,ROW()-ROW(StartingSoon[[#Headers],[_Task]])),tsk_StartSoonKey,0),"")</f>
        <v/>
      </c>
      <c r="C68" s="24" t="str">
        <f aca="false">IF(StartingSoon[[#This Row],[_Task]]="","",INDEX(tsk_WBS,StartingSoon[[#This Row],[_Task]])&amp;"")</f>
        <v/>
      </c>
      <c r="D68" s="24" t="str">
        <f aca="false">IF(StartingSoon[[#This Row],[_Task]]="","",INDEX(tsk_Name,StartingSoon[[#This Row],[_Task]])&amp;"")</f>
        <v/>
      </c>
      <c r="E68" s="24" t="str">
        <f aca="false">IF(StartingSoon[[#This Row],[_Task]]="","",INDEX(tsk_Resource,StartingSoon[[#This Row],[_Task]])&amp;"")</f>
        <v/>
      </c>
      <c r="F68" s="48" t="str">
        <f aca="false">IF(StartingSoon[[#This Row],[_Task]]="","",IF(N(INDEX(tsk_FcStart,StartingSoon[[#This Row],[_Task]]))=0,"",INDEX(tsk_FcStart,StartingSoon[[#This Row],[_Task]])))</f>
        <v/>
      </c>
      <c r="G68" s="48" t="str">
        <f aca="false">IF(StartingSoon[[#This Row],[_Task]]="","",IF(N(INDEX(tsk_FcFinish,StartingSoon[[#This Row],[_Task]]))=0,"",INDEX(tsk_FcFinish,StartingSoon[[#This Row],[_Task]])))</f>
        <v/>
      </c>
      <c r="H68" s="43" t="str">
        <f aca="false">IF(StartingSoon[[#This Row],[_Task]]="","",INDEX(tsk_Duration,StartingSoon[[#This Row],[_Task]]))</f>
        <v/>
      </c>
      <c r="I68" s="24" t="str">
        <f aca="false">IF(StartingSoon[[#This Row],[_Task]]="","",INDEX(tsk_Predecessors,StartingSoon[[#This Row],[_Task]])&amp;"")</f>
        <v/>
      </c>
      <c r="J68" s="24" t="str">
        <f aca="false">IF(StartingSoon[[#This Row],[_Task]]="","",INDEX(tsk_Critical,StartingSoon[[#This Row],[_Task]])&amp;"")</f>
        <v/>
      </c>
    </row>
    <row r="69" customFormat="false" ht="15" hidden="false" customHeight="false" outlineLevel="0" collapsed="false">
      <c r="B69" s="41" t="str">
        <f aca="false">IFERROR(MATCH(SMALL(tsk_StartSoonKey,ROW()-ROW(StartingSoon[[#Headers],[_Task]])),tsk_StartSoonKey,0),"")</f>
        <v/>
      </c>
      <c r="C69" s="24" t="str">
        <f aca="false">IF(StartingSoon[[#This Row],[_Task]]="","",INDEX(tsk_WBS,StartingSoon[[#This Row],[_Task]])&amp;"")</f>
        <v/>
      </c>
      <c r="D69" s="24" t="str">
        <f aca="false">IF(StartingSoon[[#This Row],[_Task]]="","",INDEX(tsk_Name,StartingSoon[[#This Row],[_Task]])&amp;"")</f>
        <v/>
      </c>
      <c r="E69" s="24" t="str">
        <f aca="false">IF(StartingSoon[[#This Row],[_Task]]="","",INDEX(tsk_Resource,StartingSoon[[#This Row],[_Task]])&amp;"")</f>
        <v/>
      </c>
      <c r="F69" s="48" t="str">
        <f aca="false">IF(StartingSoon[[#This Row],[_Task]]="","",IF(N(INDEX(tsk_FcStart,StartingSoon[[#This Row],[_Task]]))=0,"",INDEX(tsk_FcStart,StartingSoon[[#This Row],[_Task]])))</f>
        <v/>
      </c>
      <c r="G69" s="48" t="str">
        <f aca="false">IF(StartingSoon[[#This Row],[_Task]]="","",IF(N(INDEX(tsk_FcFinish,StartingSoon[[#This Row],[_Task]]))=0,"",INDEX(tsk_FcFinish,StartingSoon[[#This Row],[_Task]])))</f>
        <v/>
      </c>
      <c r="H69" s="43" t="str">
        <f aca="false">IF(StartingSoon[[#This Row],[_Task]]="","",INDEX(tsk_Duration,StartingSoon[[#This Row],[_Task]]))</f>
        <v/>
      </c>
      <c r="I69" s="24" t="str">
        <f aca="false">IF(StartingSoon[[#This Row],[_Task]]="","",INDEX(tsk_Predecessors,StartingSoon[[#This Row],[_Task]])&amp;"")</f>
        <v/>
      </c>
      <c r="J69" s="24" t="str">
        <f aca="false">IF(StartingSoon[[#This Row],[_Task]]="","",INDEX(tsk_Critical,StartingSoon[[#This Row],[_Task]])&amp;"")</f>
        <v/>
      </c>
    </row>
    <row r="71" customFormat="false" ht="15" hidden="false" customHeight="false" outlineLevel="0" collapsed="false">
      <c r="C71" s="36" t="str">
        <f aca="false">"Due by "&amp;TEXT(LookaheadEnd,"ddd dd-mmm")&amp;": "&amp;COUNT(tsk_DueSoonKey)&amp;IF(COUNT(tsk_DueSoonKey)&gt;ROWS(DueSoon[_Task])," (showing the first "&amp;ROWS(DueSoon[_Task])&amp;")","")</f>
        <v>Due by Fri 06-Nov: 3</v>
      </c>
    </row>
    <row r="72" customFormat="false" ht="23.85" hidden="false" customHeight="false" outlineLevel="0" collapsed="false">
      <c r="B72" s="40" t="s">
        <v>173</v>
      </c>
      <c r="C72" s="9" t="s">
        <v>200</v>
      </c>
      <c r="D72" s="9" t="s">
        <v>180</v>
      </c>
      <c r="E72" s="9" t="s">
        <v>218</v>
      </c>
      <c r="F72" s="9" t="s">
        <v>203</v>
      </c>
      <c r="G72" s="9" t="s">
        <v>205</v>
      </c>
      <c r="H72" s="9" t="s">
        <v>217</v>
      </c>
      <c r="I72" s="9" t="s">
        <v>91</v>
      </c>
      <c r="J72" s="9" t="s">
        <v>219</v>
      </c>
    </row>
    <row r="73" customFormat="false" ht="15" hidden="false" customHeight="false" outlineLevel="0" collapsed="false">
      <c r="B73" s="41" t="n">
        <f aca="false">IFERROR(MATCH(SMALL(tsk_DueSoonKey,ROW()-ROW(DueSoon[[#Headers],[_Task]])),tsk_DueSoonKey,0),"")</f>
        <v>13</v>
      </c>
      <c r="C73" s="24" t="str">
        <f aca="false">IF(DueSoon[[#This Row],[_Task]]="","",INDEX(tsk_WBS,DueSoon[[#This Row],[_Task]])&amp;"")</f>
        <v>3.1.2</v>
      </c>
      <c r="D73" s="24" t="str">
        <f aca="false">IF(DueSoon[[#This Row],[_Task]]="","",INDEX(tsk_Name,DueSoon[[#This Row],[_Task]])&amp;"")</f>
        <v>Core API endpoints</v>
      </c>
      <c r="E73" s="24" t="str">
        <f aca="false">IF(DueSoon[[#This Row],[_Task]]="","",INDEX(tsk_Resource,DueSoon[[#This Row],[_Task]])&amp;"")</f>
        <v>Jordan Lee</v>
      </c>
      <c r="F73" s="48" t="n">
        <f aca="false">IF(DueSoon[[#This Row],[_Task]]="","",IF(N(INDEX(tsk_FcFinish,DueSoon[[#This Row],[_Task]]))=0,"",INDEX(tsk_FcFinish,DueSoon[[#This Row],[_Task]])))</f>
        <v>46325</v>
      </c>
      <c r="G73" s="50" t="n">
        <f aca="false">IF(DueSoon[[#This Row],[_Task]]="","",INDEX(tsk_Progress,DueSoon[[#This Row],[_Task]]))</f>
        <v>0.5</v>
      </c>
      <c r="H73" s="24" t="str">
        <f aca="false">IF(DueSoon[[#This Row],[_Task]]="","",INDEX(tsk_DeadlineCheck,DueSoon[[#This Row],[_Task]])&amp;"")</f>
        <v/>
      </c>
      <c r="I73" s="24" t="str">
        <f aca="false">IF(DueSoon[[#This Row],[_Task]]="","",INDEX(tsk_Status,DueSoon[[#This Row],[_Task]])&amp;"")</f>
        <v>Behind</v>
      </c>
      <c r="J73" s="24" t="str">
        <f aca="false">IF(DueSoon[[#This Row],[_Task]]="","",INDEX(tsk_Critical,DueSoon[[#This Row],[_Task]])&amp;"")</f>
        <v>Yes</v>
      </c>
    </row>
    <row r="74" customFormat="false" ht="15" hidden="false" customHeight="false" outlineLevel="0" collapsed="false">
      <c r="B74" s="41" t="n">
        <f aca="false">IFERROR(MATCH(SMALL(tsk_DueSoonKey,ROW()-ROW(DueSoon[[#Headers],[_Task]])),tsk_DueSoonKey,0),"")</f>
        <v>17</v>
      </c>
      <c r="C74" s="24" t="str">
        <f aca="false">IF(DueSoon[[#This Row],[_Task]]="","",INDEX(tsk_WBS,DueSoon[[#This Row],[_Task]])&amp;"")</f>
        <v>3.2.2</v>
      </c>
      <c r="D74" s="24" t="str">
        <f aca="false">IF(DueSoon[[#This Row],[_Task]]="","",INDEX(tsk_Name,DueSoon[[#This Row],[_Task]])&amp;"")</f>
        <v>Feature screens</v>
      </c>
      <c r="E74" s="24" t="str">
        <f aca="false">IF(DueSoon[[#This Row],[_Task]]="","",INDEX(tsk_Resource,DueSoon[[#This Row],[_Task]])&amp;"")</f>
        <v>Sam Rivera</v>
      </c>
      <c r="F74" s="48" t="n">
        <f aca="false">IF(DueSoon[[#This Row],[_Task]]="","",IF(N(INDEX(tsk_FcFinish,DueSoon[[#This Row],[_Task]]))=0,"",INDEX(tsk_FcFinish,DueSoon[[#This Row],[_Task]])))</f>
        <v>46331</v>
      </c>
      <c r="G74" s="50" t="n">
        <f aca="false">IF(DueSoon[[#This Row],[_Task]]="","",INDEX(tsk_Progress,DueSoon[[#This Row],[_Task]]))</f>
        <v>0.25</v>
      </c>
      <c r="H74" s="24" t="str">
        <f aca="false">IF(DueSoon[[#This Row],[_Task]]="","",INDEX(tsk_DeadlineCheck,DueSoon[[#This Row],[_Task]])&amp;"")</f>
        <v/>
      </c>
      <c r="I74" s="24" t="str">
        <f aca="false">IF(DueSoon[[#This Row],[_Task]]="","",INDEX(tsk_Status,DueSoon[[#This Row],[_Task]])&amp;"")</f>
        <v>Behind</v>
      </c>
      <c r="J74" s="24" t="str">
        <f aca="false">IF(DueSoon[[#This Row],[_Task]]="","",INDEX(tsk_Critical,DueSoon[[#This Row],[_Task]])&amp;"")</f>
        <v>Yes</v>
      </c>
    </row>
    <row r="75" customFormat="false" ht="15" hidden="false" customHeight="false" outlineLevel="0" collapsed="false">
      <c r="B75" s="41" t="n">
        <f aca="false">IFERROR(MATCH(SMALL(tsk_DueSoonKey,ROW()-ROW(DueSoon[[#Headers],[_Task]])),tsk_DueSoonKey,0),"")</f>
        <v>18</v>
      </c>
      <c r="C75" s="24" t="str">
        <f aca="false">IF(DueSoon[[#This Row],[_Task]]="","",INDEX(tsk_WBS,DueSoon[[#This Row],[_Task]])&amp;"")</f>
        <v>3.2.3</v>
      </c>
      <c r="D75" s="24" t="str">
        <f aca="false">IF(DueSoon[[#This Row],[_Task]]="","",INDEX(tsk_Name,DueSoon[[#This Row],[_Task]])&amp;"")</f>
        <v>Accessibility review</v>
      </c>
      <c r="E75" s="24" t="str">
        <f aca="false">IF(DueSoon[[#This Row],[_Task]]="","",INDEX(tsk_Resource,DueSoon[[#This Row],[_Task]])&amp;"")</f>
        <v>Casey Kim</v>
      </c>
      <c r="F75" s="48" t="n">
        <f aca="false">IF(DueSoon[[#This Row],[_Task]]="","",IF(N(INDEX(tsk_FcFinish,DueSoon[[#This Row],[_Task]]))=0,"",INDEX(tsk_FcFinish,DueSoon[[#This Row],[_Task]])))</f>
        <v>46332</v>
      </c>
      <c r="G75" s="50" t="n">
        <f aca="false">IF(DueSoon[[#This Row],[_Task]]="","",INDEX(tsk_Progress,DueSoon[[#This Row],[_Task]]))</f>
        <v>0</v>
      </c>
      <c r="H75" s="24" t="str">
        <f aca="false">IF(DueSoon[[#This Row],[_Task]]="","",INDEX(tsk_DeadlineCheck,DueSoon[[#This Row],[_Task]])&amp;"")</f>
        <v/>
      </c>
      <c r="I75" s="24" t="str">
        <f aca="false">IF(DueSoon[[#This Row],[_Task]]="","",INDEX(tsk_Status,DueSoon[[#This Row],[_Task]])&amp;"")</f>
        <v>Not Started</v>
      </c>
      <c r="J75" s="24" t="str">
        <f aca="false">IF(DueSoon[[#This Row],[_Task]]="","",INDEX(tsk_Critical,DueSoon[[#This Row],[_Task]])&amp;"")</f>
        <v>Yes</v>
      </c>
    </row>
    <row r="76" customFormat="false" ht="15" hidden="false" customHeight="false" outlineLevel="0" collapsed="false">
      <c r="B76" s="41" t="str">
        <f aca="false">IFERROR(MATCH(SMALL(tsk_DueSoonKey,ROW()-ROW(DueSoon[[#Headers],[_Task]])),tsk_DueSoonKey,0),"")</f>
        <v/>
      </c>
      <c r="C76" s="24" t="str">
        <f aca="false">IF(DueSoon[[#This Row],[_Task]]="","",INDEX(tsk_WBS,DueSoon[[#This Row],[_Task]])&amp;"")</f>
        <v/>
      </c>
      <c r="D76" s="24" t="str">
        <f aca="false">IF(DueSoon[[#This Row],[_Task]]="","",INDEX(tsk_Name,DueSoon[[#This Row],[_Task]])&amp;"")</f>
        <v/>
      </c>
      <c r="E76" s="24" t="str">
        <f aca="false">IF(DueSoon[[#This Row],[_Task]]="","",INDEX(tsk_Resource,DueSoon[[#This Row],[_Task]])&amp;"")</f>
        <v/>
      </c>
      <c r="F76" s="48" t="str">
        <f aca="false">IF(DueSoon[[#This Row],[_Task]]="","",IF(N(INDEX(tsk_FcFinish,DueSoon[[#This Row],[_Task]]))=0,"",INDEX(tsk_FcFinish,DueSoon[[#This Row],[_Task]])))</f>
        <v/>
      </c>
      <c r="G76" s="50" t="str">
        <f aca="false">IF(DueSoon[[#This Row],[_Task]]="","",INDEX(tsk_Progress,DueSoon[[#This Row],[_Task]]))</f>
        <v/>
      </c>
      <c r="H76" s="24" t="str">
        <f aca="false">IF(DueSoon[[#This Row],[_Task]]="","",INDEX(tsk_DeadlineCheck,DueSoon[[#This Row],[_Task]])&amp;"")</f>
        <v/>
      </c>
      <c r="I76" s="24" t="str">
        <f aca="false">IF(DueSoon[[#This Row],[_Task]]="","",INDEX(tsk_Status,DueSoon[[#This Row],[_Task]])&amp;"")</f>
        <v/>
      </c>
      <c r="J76" s="24" t="str">
        <f aca="false">IF(DueSoon[[#This Row],[_Task]]="","",INDEX(tsk_Critical,DueSoon[[#This Row],[_Task]])&amp;"")</f>
        <v/>
      </c>
    </row>
    <row r="77" customFormat="false" ht="15" hidden="false" customHeight="false" outlineLevel="0" collapsed="false">
      <c r="B77" s="41" t="str">
        <f aca="false">IFERROR(MATCH(SMALL(tsk_DueSoonKey,ROW()-ROW(DueSoon[[#Headers],[_Task]])),tsk_DueSoonKey,0),"")</f>
        <v/>
      </c>
      <c r="C77" s="24" t="str">
        <f aca="false">IF(DueSoon[[#This Row],[_Task]]="","",INDEX(tsk_WBS,DueSoon[[#This Row],[_Task]])&amp;"")</f>
        <v/>
      </c>
      <c r="D77" s="24" t="str">
        <f aca="false">IF(DueSoon[[#This Row],[_Task]]="","",INDEX(tsk_Name,DueSoon[[#This Row],[_Task]])&amp;"")</f>
        <v/>
      </c>
      <c r="E77" s="24" t="str">
        <f aca="false">IF(DueSoon[[#This Row],[_Task]]="","",INDEX(tsk_Resource,DueSoon[[#This Row],[_Task]])&amp;"")</f>
        <v/>
      </c>
      <c r="F77" s="48" t="str">
        <f aca="false">IF(DueSoon[[#This Row],[_Task]]="","",IF(N(INDEX(tsk_FcFinish,DueSoon[[#This Row],[_Task]]))=0,"",INDEX(tsk_FcFinish,DueSoon[[#This Row],[_Task]])))</f>
        <v/>
      </c>
      <c r="G77" s="50" t="str">
        <f aca="false">IF(DueSoon[[#This Row],[_Task]]="","",INDEX(tsk_Progress,DueSoon[[#This Row],[_Task]]))</f>
        <v/>
      </c>
      <c r="H77" s="24" t="str">
        <f aca="false">IF(DueSoon[[#This Row],[_Task]]="","",INDEX(tsk_DeadlineCheck,DueSoon[[#This Row],[_Task]])&amp;"")</f>
        <v/>
      </c>
      <c r="I77" s="24" t="str">
        <f aca="false">IF(DueSoon[[#This Row],[_Task]]="","",INDEX(tsk_Status,DueSoon[[#This Row],[_Task]])&amp;"")</f>
        <v/>
      </c>
      <c r="J77" s="24" t="str">
        <f aca="false">IF(DueSoon[[#This Row],[_Task]]="","",INDEX(tsk_Critical,DueSoon[[#This Row],[_Task]])&amp;"")</f>
        <v/>
      </c>
    </row>
    <row r="78" customFormat="false" ht="15" hidden="false" customHeight="false" outlineLevel="0" collapsed="false">
      <c r="B78" s="41" t="str">
        <f aca="false">IFERROR(MATCH(SMALL(tsk_DueSoonKey,ROW()-ROW(DueSoon[[#Headers],[_Task]])),tsk_DueSoonKey,0),"")</f>
        <v/>
      </c>
      <c r="C78" s="24" t="str">
        <f aca="false">IF(DueSoon[[#This Row],[_Task]]="","",INDEX(tsk_WBS,DueSoon[[#This Row],[_Task]])&amp;"")</f>
        <v/>
      </c>
      <c r="D78" s="24" t="str">
        <f aca="false">IF(DueSoon[[#This Row],[_Task]]="","",INDEX(tsk_Name,DueSoon[[#This Row],[_Task]])&amp;"")</f>
        <v/>
      </c>
      <c r="E78" s="24" t="str">
        <f aca="false">IF(DueSoon[[#This Row],[_Task]]="","",INDEX(tsk_Resource,DueSoon[[#This Row],[_Task]])&amp;"")</f>
        <v/>
      </c>
      <c r="F78" s="48" t="str">
        <f aca="false">IF(DueSoon[[#This Row],[_Task]]="","",IF(N(INDEX(tsk_FcFinish,DueSoon[[#This Row],[_Task]]))=0,"",INDEX(tsk_FcFinish,DueSoon[[#This Row],[_Task]])))</f>
        <v/>
      </c>
      <c r="G78" s="50" t="str">
        <f aca="false">IF(DueSoon[[#This Row],[_Task]]="","",INDEX(tsk_Progress,DueSoon[[#This Row],[_Task]]))</f>
        <v/>
      </c>
      <c r="H78" s="24" t="str">
        <f aca="false">IF(DueSoon[[#This Row],[_Task]]="","",INDEX(tsk_DeadlineCheck,DueSoon[[#This Row],[_Task]])&amp;"")</f>
        <v/>
      </c>
      <c r="I78" s="24" t="str">
        <f aca="false">IF(DueSoon[[#This Row],[_Task]]="","",INDEX(tsk_Status,DueSoon[[#This Row],[_Task]])&amp;"")</f>
        <v/>
      </c>
      <c r="J78" s="24" t="str">
        <f aca="false">IF(DueSoon[[#This Row],[_Task]]="","",INDEX(tsk_Critical,DueSoon[[#This Row],[_Task]])&amp;"")</f>
        <v/>
      </c>
    </row>
    <row r="79" customFormat="false" ht="15" hidden="false" customHeight="false" outlineLevel="0" collapsed="false">
      <c r="B79" s="41" t="str">
        <f aca="false">IFERROR(MATCH(SMALL(tsk_DueSoonKey,ROW()-ROW(DueSoon[[#Headers],[_Task]])),tsk_DueSoonKey,0),"")</f>
        <v/>
      </c>
      <c r="C79" s="24" t="str">
        <f aca="false">IF(DueSoon[[#This Row],[_Task]]="","",INDEX(tsk_WBS,DueSoon[[#This Row],[_Task]])&amp;"")</f>
        <v/>
      </c>
      <c r="D79" s="24" t="str">
        <f aca="false">IF(DueSoon[[#This Row],[_Task]]="","",INDEX(tsk_Name,DueSoon[[#This Row],[_Task]])&amp;"")</f>
        <v/>
      </c>
      <c r="E79" s="24" t="str">
        <f aca="false">IF(DueSoon[[#This Row],[_Task]]="","",INDEX(tsk_Resource,DueSoon[[#This Row],[_Task]])&amp;"")</f>
        <v/>
      </c>
      <c r="F79" s="48" t="str">
        <f aca="false">IF(DueSoon[[#This Row],[_Task]]="","",IF(N(INDEX(tsk_FcFinish,DueSoon[[#This Row],[_Task]]))=0,"",INDEX(tsk_FcFinish,DueSoon[[#This Row],[_Task]])))</f>
        <v/>
      </c>
      <c r="G79" s="50" t="str">
        <f aca="false">IF(DueSoon[[#This Row],[_Task]]="","",INDEX(tsk_Progress,DueSoon[[#This Row],[_Task]]))</f>
        <v/>
      </c>
      <c r="H79" s="24" t="str">
        <f aca="false">IF(DueSoon[[#This Row],[_Task]]="","",INDEX(tsk_DeadlineCheck,DueSoon[[#This Row],[_Task]])&amp;"")</f>
        <v/>
      </c>
      <c r="I79" s="24" t="str">
        <f aca="false">IF(DueSoon[[#This Row],[_Task]]="","",INDEX(tsk_Status,DueSoon[[#This Row],[_Task]])&amp;"")</f>
        <v/>
      </c>
      <c r="J79" s="24" t="str">
        <f aca="false">IF(DueSoon[[#This Row],[_Task]]="","",INDEX(tsk_Critical,DueSoon[[#This Row],[_Task]])&amp;"")</f>
        <v/>
      </c>
    </row>
    <row r="80" customFormat="false" ht="15" hidden="false" customHeight="false" outlineLevel="0" collapsed="false">
      <c r="B80" s="41" t="str">
        <f aca="false">IFERROR(MATCH(SMALL(tsk_DueSoonKey,ROW()-ROW(DueSoon[[#Headers],[_Task]])),tsk_DueSoonKey,0),"")</f>
        <v/>
      </c>
      <c r="C80" s="24" t="str">
        <f aca="false">IF(DueSoon[[#This Row],[_Task]]="","",INDEX(tsk_WBS,DueSoon[[#This Row],[_Task]])&amp;"")</f>
        <v/>
      </c>
      <c r="D80" s="24" t="str">
        <f aca="false">IF(DueSoon[[#This Row],[_Task]]="","",INDEX(tsk_Name,DueSoon[[#This Row],[_Task]])&amp;"")</f>
        <v/>
      </c>
      <c r="E80" s="24" t="str">
        <f aca="false">IF(DueSoon[[#This Row],[_Task]]="","",INDEX(tsk_Resource,DueSoon[[#This Row],[_Task]])&amp;"")</f>
        <v/>
      </c>
      <c r="F80" s="48" t="str">
        <f aca="false">IF(DueSoon[[#This Row],[_Task]]="","",IF(N(INDEX(tsk_FcFinish,DueSoon[[#This Row],[_Task]]))=0,"",INDEX(tsk_FcFinish,DueSoon[[#This Row],[_Task]])))</f>
        <v/>
      </c>
      <c r="G80" s="50" t="str">
        <f aca="false">IF(DueSoon[[#This Row],[_Task]]="","",INDEX(tsk_Progress,DueSoon[[#This Row],[_Task]]))</f>
        <v/>
      </c>
      <c r="H80" s="24" t="str">
        <f aca="false">IF(DueSoon[[#This Row],[_Task]]="","",INDEX(tsk_DeadlineCheck,DueSoon[[#This Row],[_Task]])&amp;"")</f>
        <v/>
      </c>
      <c r="I80" s="24" t="str">
        <f aca="false">IF(DueSoon[[#This Row],[_Task]]="","",INDEX(tsk_Status,DueSoon[[#This Row],[_Task]])&amp;"")</f>
        <v/>
      </c>
      <c r="J80" s="24" t="str">
        <f aca="false">IF(DueSoon[[#This Row],[_Task]]="","",INDEX(tsk_Critical,DueSoon[[#This Row],[_Task]])&amp;"")</f>
        <v/>
      </c>
    </row>
    <row r="81" customFormat="false" ht="15" hidden="false" customHeight="false" outlineLevel="0" collapsed="false">
      <c r="B81" s="41" t="str">
        <f aca="false">IFERROR(MATCH(SMALL(tsk_DueSoonKey,ROW()-ROW(DueSoon[[#Headers],[_Task]])),tsk_DueSoonKey,0),"")</f>
        <v/>
      </c>
      <c r="C81" s="24" t="str">
        <f aca="false">IF(DueSoon[[#This Row],[_Task]]="","",INDEX(tsk_WBS,DueSoon[[#This Row],[_Task]])&amp;"")</f>
        <v/>
      </c>
      <c r="D81" s="24" t="str">
        <f aca="false">IF(DueSoon[[#This Row],[_Task]]="","",INDEX(tsk_Name,DueSoon[[#This Row],[_Task]])&amp;"")</f>
        <v/>
      </c>
      <c r="E81" s="24" t="str">
        <f aca="false">IF(DueSoon[[#This Row],[_Task]]="","",INDEX(tsk_Resource,DueSoon[[#This Row],[_Task]])&amp;"")</f>
        <v/>
      </c>
      <c r="F81" s="48" t="str">
        <f aca="false">IF(DueSoon[[#This Row],[_Task]]="","",IF(N(INDEX(tsk_FcFinish,DueSoon[[#This Row],[_Task]]))=0,"",INDEX(tsk_FcFinish,DueSoon[[#This Row],[_Task]])))</f>
        <v/>
      </c>
      <c r="G81" s="50" t="str">
        <f aca="false">IF(DueSoon[[#This Row],[_Task]]="","",INDEX(tsk_Progress,DueSoon[[#This Row],[_Task]]))</f>
        <v/>
      </c>
      <c r="H81" s="24" t="str">
        <f aca="false">IF(DueSoon[[#This Row],[_Task]]="","",INDEX(tsk_DeadlineCheck,DueSoon[[#This Row],[_Task]])&amp;"")</f>
        <v/>
      </c>
      <c r="I81" s="24" t="str">
        <f aca="false">IF(DueSoon[[#This Row],[_Task]]="","",INDEX(tsk_Status,DueSoon[[#This Row],[_Task]])&amp;"")</f>
        <v/>
      </c>
      <c r="J81" s="24" t="str">
        <f aca="false">IF(DueSoon[[#This Row],[_Task]]="","",INDEX(tsk_Critical,DueSoon[[#This Row],[_Task]])&amp;"")</f>
        <v/>
      </c>
    </row>
    <row r="82" customFormat="false" ht="15" hidden="false" customHeight="false" outlineLevel="0" collapsed="false">
      <c r="B82" s="41" t="str">
        <f aca="false">IFERROR(MATCH(SMALL(tsk_DueSoonKey,ROW()-ROW(DueSoon[[#Headers],[_Task]])),tsk_DueSoonKey,0),"")</f>
        <v/>
      </c>
      <c r="C82" s="24" t="str">
        <f aca="false">IF(DueSoon[[#This Row],[_Task]]="","",INDEX(tsk_WBS,DueSoon[[#This Row],[_Task]])&amp;"")</f>
        <v/>
      </c>
      <c r="D82" s="24" t="str">
        <f aca="false">IF(DueSoon[[#This Row],[_Task]]="","",INDEX(tsk_Name,DueSoon[[#This Row],[_Task]])&amp;"")</f>
        <v/>
      </c>
      <c r="E82" s="24" t="str">
        <f aca="false">IF(DueSoon[[#This Row],[_Task]]="","",INDEX(tsk_Resource,DueSoon[[#This Row],[_Task]])&amp;"")</f>
        <v/>
      </c>
      <c r="F82" s="48" t="str">
        <f aca="false">IF(DueSoon[[#This Row],[_Task]]="","",IF(N(INDEX(tsk_FcFinish,DueSoon[[#This Row],[_Task]]))=0,"",INDEX(tsk_FcFinish,DueSoon[[#This Row],[_Task]])))</f>
        <v/>
      </c>
      <c r="G82" s="50" t="str">
        <f aca="false">IF(DueSoon[[#This Row],[_Task]]="","",INDEX(tsk_Progress,DueSoon[[#This Row],[_Task]]))</f>
        <v/>
      </c>
      <c r="H82" s="24" t="str">
        <f aca="false">IF(DueSoon[[#This Row],[_Task]]="","",INDEX(tsk_DeadlineCheck,DueSoon[[#This Row],[_Task]])&amp;"")</f>
        <v/>
      </c>
      <c r="I82" s="24" t="str">
        <f aca="false">IF(DueSoon[[#This Row],[_Task]]="","",INDEX(tsk_Status,DueSoon[[#This Row],[_Task]])&amp;"")</f>
        <v/>
      </c>
      <c r="J82" s="24" t="str">
        <f aca="false">IF(DueSoon[[#This Row],[_Task]]="","",INDEX(tsk_Critical,DueSoon[[#This Row],[_Task]])&amp;"")</f>
        <v/>
      </c>
    </row>
    <row r="83" customFormat="false" ht="15" hidden="false" customHeight="false" outlineLevel="0" collapsed="false">
      <c r="B83" s="41" t="str">
        <f aca="false">IFERROR(MATCH(SMALL(tsk_DueSoonKey,ROW()-ROW(DueSoon[[#Headers],[_Task]])),tsk_DueSoonKey,0),"")</f>
        <v/>
      </c>
      <c r="C83" s="24" t="str">
        <f aca="false">IF(DueSoon[[#This Row],[_Task]]="","",INDEX(tsk_WBS,DueSoon[[#This Row],[_Task]])&amp;"")</f>
        <v/>
      </c>
      <c r="D83" s="24" t="str">
        <f aca="false">IF(DueSoon[[#This Row],[_Task]]="","",INDEX(tsk_Name,DueSoon[[#This Row],[_Task]])&amp;"")</f>
        <v/>
      </c>
      <c r="E83" s="24" t="str">
        <f aca="false">IF(DueSoon[[#This Row],[_Task]]="","",INDEX(tsk_Resource,DueSoon[[#This Row],[_Task]])&amp;"")</f>
        <v/>
      </c>
      <c r="F83" s="48" t="str">
        <f aca="false">IF(DueSoon[[#This Row],[_Task]]="","",IF(N(INDEX(tsk_FcFinish,DueSoon[[#This Row],[_Task]]))=0,"",INDEX(tsk_FcFinish,DueSoon[[#This Row],[_Task]])))</f>
        <v/>
      </c>
      <c r="G83" s="50" t="str">
        <f aca="false">IF(DueSoon[[#This Row],[_Task]]="","",INDEX(tsk_Progress,DueSoon[[#This Row],[_Task]]))</f>
        <v/>
      </c>
      <c r="H83" s="24" t="str">
        <f aca="false">IF(DueSoon[[#This Row],[_Task]]="","",INDEX(tsk_DeadlineCheck,DueSoon[[#This Row],[_Task]])&amp;"")</f>
        <v/>
      </c>
      <c r="I83" s="24" t="str">
        <f aca="false">IF(DueSoon[[#This Row],[_Task]]="","",INDEX(tsk_Status,DueSoon[[#This Row],[_Task]])&amp;"")</f>
        <v/>
      </c>
      <c r="J83" s="24" t="str">
        <f aca="false">IF(DueSoon[[#This Row],[_Task]]="","",INDEX(tsk_Critical,DueSoon[[#This Row],[_Task]])&amp;"")</f>
        <v/>
      </c>
    </row>
    <row r="84" customFormat="false" ht="15" hidden="false" customHeight="false" outlineLevel="0" collapsed="false">
      <c r="B84" s="41" t="str">
        <f aca="false">IFERROR(MATCH(SMALL(tsk_DueSoonKey,ROW()-ROW(DueSoon[[#Headers],[_Task]])),tsk_DueSoonKey,0),"")</f>
        <v/>
      </c>
      <c r="C84" s="24" t="str">
        <f aca="false">IF(DueSoon[[#This Row],[_Task]]="","",INDEX(tsk_WBS,DueSoon[[#This Row],[_Task]])&amp;"")</f>
        <v/>
      </c>
      <c r="D84" s="24" t="str">
        <f aca="false">IF(DueSoon[[#This Row],[_Task]]="","",INDEX(tsk_Name,DueSoon[[#This Row],[_Task]])&amp;"")</f>
        <v/>
      </c>
      <c r="E84" s="24" t="str">
        <f aca="false">IF(DueSoon[[#This Row],[_Task]]="","",INDEX(tsk_Resource,DueSoon[[#This Row],[_Task]])&amp;"")</f>
        <v/>
      </c>
      <c r="F84" s="48" t="str">
        <f aca="false">IF(DueSoon[[#This Row],[_Task]]="","",IF(N(INDEX(tsk_FcFinish,DueSoon[[#This Row],[_Task]]))=0,"",INDEX(tsk_FcFinish,DueSoon[[#This Row],[_Task]])))</f>
        <v/>
      </c>
      <c r="G84" s="50" t="str">
        <f aca="false">IF(DueSoon[[#This Row],[_Task]]="","",INDEX(tsk_Progress,DueSoon[[#This Row],[_Task]]))</f>
        <v/>
      </c>
      <c r="H84" s="24" t="str">
        <f aca="false">IF(DueSoon[[#This Row],[_Task]]="","",INDEX(tsk_DeadlineCheck,DueSoon[[#This Row],[_Task]])&amp;"")</f>
        <v/>
      </c>
      <c r="I84" s="24" t="str">
        <f aca="false">IF(DueSoon[[#This Row],[_Task]]="","",INDEX(tsk_Status,DueSoon[[#This Row],[_Task]])&amp;"")</f>
        <v/>
      </c>
      <c r="J84" s="24" t="str">
        <f aca="false">IF(DueSoon[[#This Row],[_Task]]="","",INDEX(tsk_Critical,DueSoon[[#This Row],[_Task]])&amp;"")</f>
        <v/>
      </c>
    </row>
    <row r="85" customFormat="false" ht="15" hidden="false" customHeight="false" outlineLevel="0" collapsed="false">
      <c r="B85" s="41" t="str">
        <f aca="false">IFERROR(MATCH(SMALL(tsk_DueSoonKey,ROW()-ROW(DueSoon[[#Headers],[_Task]])),tsk_DueSoonKey,0),"")</f>
        <v/>
      </c>
      <c r="C85" s="24" t="str">
        <f aca="false">IF(DueSoon[[#This Row],[_Task]]="","",INDEX(tsk_WBS,DueSoon[[#This Row],[_Task]])&amp;"")</f>
        <v/>
      </c>
      <c r="D85" s="24" t="str">
        <f aca="false">IF(DueSoon[[#This Row],[_Task]]="","",INDEX(tsk_Name,DueSoon[[#This Row],[_Task]])&amp;"")</f>
        <v/>
      </c>
      <c r="E85" s="24" t="str">
        <f aca="false">IF(DueSoon[[#This Row],[_Task]]="","",INDEX(tsk_Resource,DueSoon[[#This Row],[_Task]])&amp;"")</f>
        <v/>
      </c>
      <c r="F85" s="48" t="str">
        <f aca="false">IF(DueSoon[[#This Row],[_Task]]="","",IF(N(INDEX(tsk_FcFinish,DueSoon[[#This Row],[_Task]]))=0,"",INDEX(tsk_FcFinish,DueSoon[[#This Row],[_Task]])))</f>
        <v/>
      </c>
      <c r="G85" s="50" t="str">
        <f aca="false">IF(DueSoon[[#This Row],[_Task]]="","",INDEX(tsk_Progress,DueSoon[[#This Row],[_Task]]))</f>
        <v/>
      </c>
      <c r="H85" s="24" t="str">
        <f aca="false">IF(DueSoon[[#This Row],[_Task]]="","",INDEX(tsk_DeadlineCheck,DueSoon[[#This Row],[_Task]])&amp;"")</f>
        <v/>
      </c>
      <c r="I85" s="24" t="str">
        <f aca="false">IF(DueSoon[[#This Row],[_Task]]="","",INDEX(tsk_Status,DueSoon[[#This Row],[_Task]])&amp;"")</f>
        <v/>
      </c>
      <c r="J85" s="24" t="str">
        <f aca="false">IF(DueSoon[[#This Row],[_Task]]="","",INDEX(tsk_Critical,DueSoon[[#This Row],[_Task]])&amp;"")</f>
        <v/>
      </c>
    </row>
    <row r="86" customFormat="false" ht="15" hidden="false" customHeight="false" outlineLevel="0" collapsed="false">
      <c r="B86" s="41" t="str">
        <f aca="false">IFERROR(MATCH(SMALL(tsk_DueSoonKey,ROW()-ROW(DueSoon[[#Headers],[_Task]])),tsk_DueSoonKey,0),"")</f>
        <v/>
      </c>
      <c r="C86" s="24" t="str">
        <f aca="false">IF(DueSoon[[#This Row],[_Task]]="","",INDEX(tsk_WBS,DueSoon[[#This Row],[_Task]])&amp;"")</f>
        <v/>
      </c>
      <c r="D86" s="24" t="str">
        <f aca="false">IF(DueSoon[[#This Row],[_Task]]="","",INDEX(tsk_Name,DueSoon[[#This Row],[_Task]])&amp;"")</f>
        <v/>
      </c>
      <c r="E86" s="24" t="str">
        <f aca="false">IF(DueSoon[[#This Row],[_Task]]="","",INDEX(tsk_Resource,DueSoon[[#This Row],[_Task]])&amp;"")</f>
        <v/>
      </c>
      <c r="F86" s="48" t="str">
        <f aca="false">IF(DueSoon[[#This Row],[_Task]]="","",IF(N(INDEX(tsk_FcFinish,DueSoon[[#This Row],[_Task]]))=0,"",INDEX(tsk_FcFinish,DueSoon[[#This Row],[_Task]])))</f>
        <v/>
      </c>
      <c r="G86" s="50" t="str">
        <f aca="false">IF(DueSoon[[#This Row],[_Task]]="","",INDEX(tsk_Progress,DueSoon[[#This Row],[_Task]]))</f>
        <v/>
      </c>
      <c r="H86" s="24" t="str">
        <f aca="false">IF(DueSoon[[#This Row],[_Task]]="","",INDEX(tsk_DeadlineCheck,DueSoon[[#This Row],[_Task]])&amp;"")</f>
        <v/>
      </c>
      <c r="I86" s="24" t="str">
        <f aca="false">IF(DueSoon[[#This Row],[_Task]]="","",INDEX(tsk_Status,DueSoon[[#This Row],[_Task]])&amp;"")</f>
        <v/>
      </c>
      <c r="J86" s="24" t="str">
        <f aca="false">IF(DueSoon[[#This Row],[_Task]]="","",INDEX(tsk_Critical,DueSoon[[#This Row],[_Task]])&amp;"")</f>
        <v/>
      </c>
    </row>
    <row r="87" customFormat="false" ht="15" hidden="false" customHeight="false" outlineLevel="0" collapsed="false">
      <c r="B87" s="41" t="str">
        <f aca="false">IFERROR(MATCH(SMALL(tsk_DueSoonKey,ROW()-ROW(DueSoon[[#Headers],[_Task]])),tsk_DueSoonKey,0),"")</f>
        <v/>
      </c>
      <c r="C87" s="24" t="str">
        <f aca="false">IF(DueSoon[[#This Row],[_Task]]="","",INDEX(tsk_WBS,DueSoon[[#This Row],[_Task]])&amp;"")</f>
        <v/>
      </c>
      <c r="D87" s="24" t="str">
        <f aca="false">IF(DueSoon[[#This Row],[_Task]]="","",INDEX(tsk_Name,DueSoon[[#This Row],[_Task]])&amp;"")</f>
        <v/>
      </c>
      <c r="E87" s="24" t="str">
        <f aca="false">IF(DueSoon[[#This Row],[_Task]]="","",INDEX(tsk_Resource,DueSoon[[#This Row],[_Task]])&amp;"")</f>
        <v/>
      </c>
      <c r="F87" s="48" t="str">
        <f aca="false">IF(DueSoon[[#This Row],[_Task]]="","",IF(N(INDEX(tsk_FcFinish,DueSoon[[#This Row],[_Task]]))=0,"",INDEX(tsk_FcFinish,DueSoon[[#This Row],[_Task]])))</f>
        <v/>
      </c>
      <c r="G87" s="50" t="str">
        <f aca="false">IF(DueSoon[[#This Row],[_Task]]="","",INDEX(tsk_Progress,DueSoon[[#This Row],[_Task]]))</f>
        <v/>
      </c>
      <c r="H87" s="24" t="str">
        <f aca="false">IF(DueSoon[[#This Row],[_Task]]="","",INDEX(tsk_DeadlineCheck,DueSoon[[#This Row],[_Task]])&amp;"")</f>
        <v/>
      </c>
      <c r="I87" s="24" t="str">
        <f aca="false">IF(DueSoon[[#This Row],[_Task]]="","",INDEX(tsk_Status,DueSoon[[#This Row],[_Task]])&amp;"")</f>
        <v/>
      </c>
      <c r="J87" s="24" t="str">
        <f aca="false">IF(DueSoon[[#This Row],[_Task]]="","",INDEX(tsk_Critical,DueSoon[[#This Row],[_Task]])&amp;"")</f>
        <v/>
      </c>
    </row>
    <row r="89" customFormat="false" ht="15" hidden="false" customHeight="false" outlineLevel="0" collapsed="false">
      <c r="C89" s="36" t="str">
        <f aca="false">"Open critical tasks (by forecast start)"&amp;": "&amp;COUNT(tsk_CriticalKey)&amp;IF(COUNT(tsk_CriticalKey)&gt;ROWS(CriticalTasks[_Task])," (showing the first "&amp;ROWS(CriticalTasks[_Task])&amp;")","")</f>
        <v>Open critical tasks (by forecast start): 11</v>
      </c>
    </row>
    <row r="90" customFormat="false" ht="23.85" hidden="false" customHeight="false" outlineLevel="0" collapsed="false">
      <c r="B90" s="40" t="s">
        <v>173</v>
      </c>
      <c r="C90" s="9" t="s">
        <v>200</v>
      </c>
      <c r="D90" s="9" t="s">
        <v>180</v>
      </c>
      <c r="E90" s="9" t="s">
        <v>218</v>
      </c>
      <c r="F90" s="9" t="s">
        <v>220</v>
      </c>
      <c r="G90" s="9" t="s">
        <v>203</v>
      </c>
      <c r="H90" s="9" t="s">
        <v>222</v>
      </c>
      <c r="I90" s="9" t="s">
        <v>217</v>
      </c>
      <c r="J90" s="9" t="s">
        <v>91</v>
      </c>
    </row>
    <row r="91" customFormat="false" ht="15" hidden="false" customHeight="false" outlineLevel="0" collapsed="false">
      <c r="B91" s="41" t="n">
        <f aca="false">IFERROR(MATCH(SMALL(tsk_CriticalKey,ROW()-ROW(CriticalTasks[[#Headers],[_Task]])),tsk_CriticalKey,0),"")</f>
        <v>13</v>
      </c>
      <c r="C91" s="24" t="str">
        <f aca="false">IF(CriticalTasks[[#This Row],[_Task]]="","",INDEX(tsk_WBS,CriticalTasks[[#This Row],[_Task]])&amp;"")</f>
        <v>3.1.2</v>
      </c>
      <c r="D91" s="24" t="str">
        <f aca="false">IF(CriticalTasks[[#This Row],[_Task]]="","",INDEX(tsk_Name,CriticalTasks[[#This Row],[_Task]])&amp;"")</f>
        <v>Core API endpoints</v>
      </c>
      <c r="E91" s="24" t="str">
        <f aca="false">IF(CriticalTasks[[#This Row],[_Task]]="","",INDEX(tsk_Resource,CriticalTasks[[#This Row],[_Task]])&amp;"")</f>
        <v>Jordan Lee</v>
      </c>
      <c r="F91" s="48" t="n">
        <f aca="false">IF(CriticalTasks[[#This Row],[_Task]]="","",IF(N(INDEX(tsk_FcStart,CriticalTasks[[#This Row],[_Task]]))=0,"",INDEX(tsk_FcStart,CriticalTasks[[#This Row],[_Task]])))</f>
        <v>46310</v>
      </c>
      <c r="G91" s="48" t="n">
        <f aca="false">IF(CriticalTasks[[#This Row],[_Task]]="","",IF(N(INDEX(tsk_FcFinish,CriticalTasks[[#This Row],[_Task]]))=0,"",INDEX(tsk_FcFinish,CriticalTasks[[#This Row],[_Task]])))</f>
        <v>46325</v>
      </c>
      <c r="H91" s="43" t="n">
        <f aca="false">IF(CriticalTasks[[#This Row],[_Task]]="","",INDEX(tsk_TotalSlack,CriticalTasks[[#This Row],[_Task]]))</f>
        <v>-1</v>
      </c>
      <c r="I91" s="24" t="str">
        <f aca="false">IF(CriticalTasks[[#This Row],[_Task]]="","",INDEX(tsk_DeadlineCheck,CriticalTasks[[#This Row],[_Task]])&amp;"")</f>
        <v/>
      </c>
      <c r="J91" s="24" t="str">
        <f aca="false">IF(CriticalTasks[[#This Row],[_Task]]="","",INDEX(tsk_Status,CriticalTasks[[#This Row],[_Task]])&amp;"")</f>
        <v>Behind</v>
      </c>
    </row>
    <row r="92" customFormat="false" ht="15" hidden="false" customHeight="false" outlineLevel="0" collapsed="false">
      <c r="B92" s="41" t="n">
        <f aca="false">IFERROR(MATCH(SMALL(tsk_CriticalKey,ROW()-ROW(CriticalTasks[[#Headers],[_Task]])),tsk_CriticalKey,0),"")</f>
        <v>17</v>
      </c>
      <c r="C92" s="24" t="str">
        <f aca="false">IF(CriticalTasks[[#This Row],[_Task]]="","",INDEX(tsk_WBS,CriticalTasks[[#This Row],[_Task]])&amp;"")</f>
        <v>3.2.2</v>
      </c>
      <c r="D92" s="24" t="str">
        <f aca="false">IF(CriticalTasks[[#This Row],[_Task]]="","",INDEX(tsk_Name,CriticalTasks[[#This Row],[_Task]])&amp;"")</f>
        <v>Feature screens</v>
      </c>
      <c r="E92" s="24" t="str">
        <f aca="false">IF(CriticalTasks[[#This Row],[_Task]]="","",INDEX(tsk_Resource,CriticalTasks[[#This Row],[_Task]])&amp;"")</f>
        <v>Sam Rivera</v>
      </c>
      <c r="F92" s="48" t="n">
        <f aca="false">IF(CriticalTasks[[#This Row],[_Task]]="","",IF(N(INDEX(tsk_FcStart,CriticalTasks[[#This Row],[_Task]]))=0,"",INDEX(tsk_FcStart,CriticalTasks[[#This Row],[_Task]])))</f>
        <v>46314</v>
      </c>
      <c r="G92" s="48" t="n">
        <f aca="false">IF(CriticalTasks[[#This Row],[_Task]]="","",IF(N(INDEX(tsk_FcFinish,CriticalTasks[[#This Row],[_Task]]))=0,"",INDEX(tsk_FcFinish,CriticalTasks[[#This Row],[_Task]])))</f>
        <v>46331</v>
      </c>
      <c r="H92" s="43" t="n">
        <f aca="false">IF(CriticalTasks[[#This Row],[_Task]]="","",INDEX(tsk_TotalSlack,CriticalTasks[[#This Row],[_Task]]))</f>
        <v>0</v>
      </c>
      <c r="I92" s="24" t="str">
        <f aca="false">IF(CriticalTasks[[#This Row],[_Task]]="","",INDEX(tsk_DeadlineCheck,CriticalTasks[[#This Row],[_Task]])&amp;"")</f>
        <v/>
      </c>
      <c r="J92" s="24" t="str">
        <f aca="false">IF(CriticalTasks[[#This Row],[_Task]]="","",INDEX(tsk_Status,CriticalTasks[[#This Row],[_Task]])&amp;"")</f>
        <v>Behind</v>
      </c>
    </row>
    <row r="93" customFormat="false" ht="15" hidden="false" customHeight="false" outlineLevel="0" collapsed="false">
      <c r="B93" s="41" t="n">
        <f aca="false">IFERROR(MATCH(SMALL(tsk_CriticalKey,ROW()-ROW(CriticalTasks[[#Headers],[_Task]])),tsk_CriticalKey,0),"")</f>
        <v>14</v>
      </c>
      <c r="C93" s="24" t="str">
        <f aca="false">IF(CriticalTasks[[#This Row],[_Task]]="","",INDEX(tsk_WBS,CriticalTasks[[#This Row],[_Task]])&amp;"")</f>
        <v>3.1.3</v>
      </c>
      <c r="D93" s="24" t="str">
        <f aca="false">IF(CriticalTasks[[#This Row],[_Task]]="","",INDEX(tsk_Name,CriticalTasks[[#This Row],[_Task]])&amp;"")</f>
        <v>Payment gateway integration</v>
      </c>
      <c r="E93" s="24" t="str">
        <f aca="false">IF(CriticalTasks[[#This Row],[_Task]]="","",INDEX(tsk_Resource,CriticalTasks[[#This Row],[_Task]])&amp;"")</f>
        <v>Jordan Lee</v>
      </c>
      <c r="F93" s="48" t="n">
        <f aca="false">IF(CriticalTasks[[#This Row],[_Task]]="","",IF(N(INDEX(tsk_FcStart,CriticalTasks[[#This Row],[_Task]]))=0,"",INDEX(tsk_FcStart,CriticalTasks[[#This Row],[_Task]])))</f>
        <v>46328</v>
      </c>
      <c r="G93" s="48" t="n">
        <f aca="false">IF(CriticalTasks[[#This Row],[_Task]]="","",IF(N(INDEX(tsk_FcFinish,CriticalTasks[[#This Row],[_Task]]))=0,"",INDEX(tsk_FcFinish,CriticalTasks[[#This Row],[_Task]])))</f>
        <v>46335</v>
      </c>
      <c r="H93" s="43" t="n">
        <f aca="false">IF(CriticalTasks[[#This Row],[_Task]]="","",INDEX(tsk_TotalSlack,CriticalTasks[[#This Row],[_Task]]))</f>
        <v>-1</v>
      </c>
      <c r="I93" s="24" t="str">
        <f aca="false">IF(CriticalTasks[[#This Row],[_Task]]="","",INDEX(tsk_DeadlineCheck,CriticalTasks[[#This Row],[_Task]])&amp;"")</f>
        <v/>
      </c>
      <c r="J93" s="24" t="str">
        <f aca="false">IF(CriticalTasks[[#This Row],[_Task]]="","",INDEX(tsk_Status,CriticalTasks[[#This Row],[_Task]])&amp;"")</f>
        <v>Late Start</v>
      </c>
    </row>
    <row r="94" customFormat="false" ht="15" hidden="false" customHeight="false" outlineLevel="0" collapsed="false">
      <c r="B94" s="41" t="n">
        <f aca="false">IFERROR(MATCH(SMALL(tsk_CriticalKey,ROW()-ROW(CriticalTasks[[#Headers],[_Task]])),tsk_CriticalKey,0),"")</f>
        <v>18</v>
      </c>
      <c r="C94" s="24" t="str">
        <f aca="false">IF(CriticalTasks[[#This Row],[_Task]]="","",INDEX(tsk_WBS,CriticalTasks[[#This Row],[_Task]])&amp;"")</f>
        <v>3.2.3</v>
      </c>
      <c r="D94" s="24" t="str">
        <f aca="false">IF(CriticalTasks[[#This Row],[_Task]]="","",INDEX(tsk_Name,CriticalTasks[[#This Row],[_Task]])&amp;"")</f>
        <v>Accessibility review</v>
      </c>
      <c r="E94" s="24" t="str">
        <f aca="false">IF(CriticalTasks[[#This Row],[_Task]]="","",INDEX(tsk_Resource,CriticalTasks[[#This Row],[_Task]])&amp;"")</f>
        <v>Casey Kim</v>
      </c>
      <c r="F94" s="48" t="n">
        <f aca="false">IF(CriticalTasks[[#This Row],[_Task]]="","",IF(N(INDEX(tsk_FcStart,CriticalTasks[[#This Row],[_Task]]))=0,"",INDEX(tsk_FcStart,CriticalTasks[[#This Row],[_Task]])))</f>
        <v>46330</v>
      </c>
      <c r="G94" s="48" t="n">
        <f aca="false">IF(CriticalTasks[[#This Row],[_Task]]="","",IF(N(INDEX(tsk_FcFinish,CriticalTasks[[#This Row],[_Task]]))=0,"",INDEX(tsk_FcFinish,CriticalTasks[[#This Row],[_Task]])))</f>
        <v>46332</v>
      </c>
      <c r="H94" s="43" t="n">
        <f aca="false">IF(CriticalTasks[[#This Row],[_Task]]="","",INDEX(tsk_TotalSlack,CriticalTasks[[#This Row],[_Task]]))</f>
        <v>0</v>
      </c>
      <c r="I94" s="24" t="str">
        <f aca="false">IF(CriticalTasks[[#This Row],[_Task]]="","",INDEX(tsk_DeadlineCheck,CriticalTasks[[#This Row],[_Task]])&amp;"")</f>
        <v/>
      </c>
      <c r="J94" s="24" t="str">
        <f aca="false">IF(CriticalTasks[[#This Row],[_Task]]="","",INDEX(tsk_Status,CriticalTasks[[#This Row],[_Task]])&amp;"")</f>
        <v>Not Started</v>
      </c>
    </row>
    <row r="95" customFormat="false" ht="15" hidden="false" customHeight="false" outlineLevel="0" collapsed="false">
      <c r="B95" s="41" t="n">
        <f aca="false">IFERROR(MATCH(SMALL(tsk_CriticalKey,ROW()-ROW(CriticalTasks[[#Headers],[_Task]])),tsk_CriticalKey,0),"")</f>
        <v>19</v>
      </c>
      <c r="C95" s="24" t="str">
        <f aca="false">IF(CriticalTasks[[#This Row],[_Task]]="","",INDEX(tsk_WBS,CriticalTasks[[#This Row],[_Task]])&amp;"")</f>
        <v>3.3</v>
      </c>
      <c r="D95" s="24" t="str">
        <f aca="false">IF(CriticalTasks[[#This Row],[_Task]]="","",INDEX(tsk_Name,CriticalTasks[[#This Row],[_Task]])&amp;"")</f>
        <v>Build complete</v>
      </c>
      <c r="E95" s="24" t="str">
        <f aca="false">IF(CriticalTasks[[#This Row],[_Task]]="","",INDEX(tsk_Resource,CriticalTasks[[#This Row],[_Task]])&amp;"")</f>
        <v/>
      </c>
      <c r="F95" s="48" t="n">
        <f aca="false">IF(CriticalTasks[[#This Row],[_Task]]="","",IF(N(INDEX(tsk_FcStart,CriticalTasks[[#This Row],[_Task]]))=0,"",INDEX(tsk_FcStart,CriticalTasks[[#This Row],[_Task]])))</f>
        <v>46335</v>
      </c>
      <c r="G95" s="48" t="n">
        <f aca="false">IF(CriticalTasks[[#This Row],[_Task]]="","",IF(N(INDEX(tsk_FcFinish,CriticalTasks[[#This Row],[_Task]]))=0,"",INDEX(tsk_FcFinish,CriticalTasks[[#This Row],[_Task]])))</f>
        <v>46335</v>
      </c>
      <c r="H95" s="43" t="n">
        <f aca="false">IF(CriticalTasks[[#This Row],[_Task]]="","",INDEX(tsk_TotalSlack,CriticalTasks[[#This Row],[_Task]]))</f>
        <v>-1</v>
      </c>
      <c r="I95" s="24" t="str">
        <f aca="false">IF(CriticalTasks[[#This Row],[_Task]]="","",INDEX(tsk_DeadlineCheck,CriticalTasks[[#This Row],[_Task]])&amp;"")</f>
        <v>Late by 1d</v>
      </c>
      <c r="J95" s="24" t="str">
        <f aca="false">IF(CriticalTasks[[#This Row],[_Task]]="","",INDEX(tsk_Status,CriticalTasks[[#This Row],[_Task]])&amp;"")</f>
        <v>Not Started</v>
      </c>
    </row>
    <row r="96" customFormat="false" ht="15" hidden="false" customHeight="false" outlineLevel="0" collapsed="false">
      <c r="B96" s="41" t="n">
        <f aca="false">IFERROR(MATCH(SMALL(tsk_CriticalKey,ROW()-ROW(CriticalTasks[[#Headers],[_Task]])),tsk_CriticalKey,0),"")</f>
        <v>22</v>
      </c>
      <c r="C96" s="24" t="str">
        <f aca="false">IF(CriticalTasks[[#This Row],[_Task]]="","",INDEX(tsk_WBS,CriticalTasks[[#This Row],[_Task]])&amp;"")</f>
        <v>4.2</v>
      </c>
      <c r="D96" s="24" t="str">
        <f aca="false">IF(CriticalTasks[[#This Row],[_Task]]="","",INDEX(tsk_Name,CriticalTasks[[#This Row],[_Task]])&amp;"")</f>
        <v>User acceptance testing</v>
      </c>
      <c r="E96" s="24" t="str">
        <f aca="false">IF(CriticalTasks[[#This Row],[_Task]]="","",INDEX(tsk_Resource,CriticalTasks[[#This Row],[_Task]])&amp;"")</f>
        <v>Morgan Patel</v>
      </c>
      <c r="F96" s="48" t="n">
        <f aca="false">IF(CriticalTasks[[#This Row],[_Task]]="","",IF(N(INDEX(tsk_FcStart,CriticalTasks[[#This Row],[_Task]]))=0,"",INDEX(tsk_FcStart,CriticalTasks[[#This Row],[_Task]])))</f>
        <v>46363</v>
      </c>
      <c r="G96" s="48" t="n">
        <f aca="false">IF(CriticalTasks[[#This Row],[_Task]]="","",IF(N(INDEX(tsk_FcFinish,CriticalTasks[[#This Row],[_Task]]))=0,"",INDEX(tsk_FcFinish,CriticalTasks[[#This Row],[_Task]])))</f>
        <v>46370</v>
      </c>
      <c r="H96" s="43" t="n">
        <f aca="false">IF(CriticalTasks[[#This Row],[_Task]]="","",INDEX(tsk_TotalSlack,CriticalTasks[[#This Row],[_Task]]))</f>
        <v>0</v>
      </c>
      <c r="I96" s="24" t="str">
        <f aca="false">IF(CriticalTasks[[#This Row],[_Task]]="","",INDEX(tsk_DeadlineCheck,CriticalTasks[[#This Row],[_Task]])&amp;"")</f>
        <v/>
      </c>
      <c r="J96" s="24" t="str">
        <f aca="false">IF(CriticalTasks[[#This Row],[_Task]]="","",INDEX(tsk_Status,CriticalTasks[[#This Row],[_Task]])&amp;"")</f>
        <v>Not Started</v>
      </c>
    </row>
    <row r="97" customFormat="false" ht="15" hidden="false" customHeight="false" outlineLevel="0" collapsed="false">
      <c r="B97" s="41" t="n">
        <f aca="false">IFERROR(MATCH(SMALL(tsk_CriticalKey,ROW()-ROW(CriticalTasks[[#Headers],[_Task]])),tsk_CriticalKey,0),"")</f>
        <v>24</v>
      </c>
      <c r="C97" s="24" t="str">
        <f aca="false">IF(CriticalTasks[[#This Row],[_Task]]="","",INDEX(tsk_WBS,CriticalTasks[[#This Row],[_Task]])&amp;"")</f>
        <v>4.4</v>
      </c>
      <c r="D97" s="24" t="str">
        <f aca="false">IF(CriticalTasks[[#This Row],[_Task]]="","",INDEX(tsk_Name,CriticalTasks[[#This Row],[_Task]])&amp;"")</f>
        <v>Go-live readiness review</v>
      </c>
      <c r="E97" s="24" t="str">
        <f aca="false">IF(CriticalTasks[[#This Row],[_Task]]="","",INDEX(tsk_Resource,CriticalTasks[[#This Row],[_Task]])&amp;"")</f>
        <v>Priya Sharma</v>
      </c>
      <c r="F97" s="48" t="n">
        <f aca="false">IF(CriticalTasks[[#This Row],[_Task]]="","",IF(N(INDEX(tsk_FcStart,CriticalTasks[[#This Row],[_Task]]))=0,"",INDEX(tsk_FcStart,CriticalTasks[[#This Row],[_Task]])))</f>
        <v>46371</v>
      </c>
      <c r="G97" s="48" t="n">
        <f aca="false">IF(CriticalTasks[[#This Row],[_Task]]="","",IF(N(INDEX(tsk_FcFinish,CriticalTasks[[#This Row],[_Task]]))=0,"",INDEX(tsk_FcFinish,CriticalTasks[[#This Row],[_Task]])))</f>
        <v>46371</v>
      </c>
      <c r="H97" s="43" t="n">
        <f aca="false">IF(CriticalTasks[[#This Row],[_Task]]="","",INDEX(tsk_TotalSlack,CriticalTasks[[#This Row],[_Task]]))</f>
        <v>0</v>
      </c>
      <c r="I97" s="24" t="str">
        <f aca="false">IF(CriticalTasks[[#This Row],[_Task]]="","",INDEX(tsk_DeadlineCheck,CriticalTasks[[#This Row],[_Task]])&amp;"")</f>
        <v/>
      </c>
      <c r="J97" s="24" t="str">
        <f aca="false">IF(CriticalTasks[[#This Row],[_Task]]="","",INDEX(tsk_Status,CriticalTasks[[#This Row],[_Task]])&amp;"")</f>
        <v>Not Started</v>
      </c>
    </row>
    <row r="98" customFormat="false" ht="15" hidden="false" customHeight="false" outlineLevel="0" collapsed="false">
      <c r="B98" s="41" t="n">
        <f aca="false">IFERROR(MATCH(SMALL(tsk_CriticalKey,ROW()-ROW(CriticalTasks[[#Headers],[_Task]])),tsk_CriticalKey,0),"")</f>
        <v>25</v>
      </c>
      <c r="C98" s="24" t="str">
        <f aca="false">IF(CriticalTasks[[#This Row],[_Task]]="","",INDEX(tsk_WBS,CriticalTasks[[#This Row],[_Task]])&amp;"")</f>
        <v>4.5</v>
      </c>
      <c r="D98" s="24" t="str">
        <f aca="false">IF(CriticalTasks[[#This Row],[_Task]]="","",INDEX(tsk_Name,CriticalTasks[[#This Row],[_Task]])&amp;"")</f>
        <v>Go-live</v>
      </c>
      <c r="E98" s="24" t="str">
        <f aca="false">IF(CriticalTasks[[#This Row],[_Task]]="","",INDEX(tsk_Resource,CriticalTasks[[#This Row],[_Task]])&amp;"")</f>
        <v/>
      </c>
      <c r="F98" s="48" t="n">
        <f aca="false">IF(CriticalTasks[[#This Row],[_Task]]="","",IF(N(INDEX(tsk_FcStart,CriticalTasks[[#This Row],[_Task]]))=0,"",INDEX(tsk_FcStart,CriticalTasks[[#This Row],[_Task]])))</f>
        <v>46371</v>
      </c>
      <c r="G98" s="48" t="n">
        <f aca="false">IF(CriticalTasks[[#This Row],[_Task]]="","",IF(N(INDEX(tsk_FcFinish,CriticalTasks[[#This Row],[_Task]]))=0,"",INDEX(tsk_FcFinish,CriticalTasks[[#This Row],[_Task]])))</f>
        <v>46371</v>
      </c>
      <c r="H98" s="43" t="n">
        <f aca="false">IF(CriticalTasks[[#This Row],[_Task]]="","",INDEX(tsk_TotalSlack,CriticalTasks[[#This Row],[_Task]]))</f>
        <v>0</v>
      </c>
      <c r="I98" s="24" t="str">
        <f aca="false">IF(CriticalTasks[[#This Row],[_Task]]="","",INDEX(tsk_DeadlineCheck,CriticalTasks[[#This Row],[_Task]])&amp;"")</f>
        <v>OK</v>
      </c>
      <c r="J98" s="24" t="str">
        <f aca="false">IF(CriticalTasks[[#This Row],[_Task]]="","",INDEX(tsk_Status,CriticalTasks[[#This Row],[_Task]])&amp;"")</f>
        <v>Not Started</v>
      </c>
    </row>
    <row r="99" customFormat="false" ht="15" hidden="false" customHeight="false" outlineLevel="0" collapsed="false">
      <c r="B99" s="41" t="n">
        <f aca="false">IFERROR(MATCH(SMALL(tsk_CriticalKey,ROW()-ROW(CriticalTasks[[#Headers],[_Task]])),tsk_CriticalKey,0),"")</f>
        <v>26</v>
      </c>
      <c r="C99" s="24" t="str">
        <f aca="false">IF(CriticalTasks[[#This Row],[_Task]]="","",INDEX(tsk_WBS,CriticalTasks[[#This Row],[_Task]])&amp;"")</f>
        <v>4.6</v>
      </c>
      <c r="D99" s="24" t="str">
        <f aca="false">IF(CriticalTasks[[#This Row],[_Task]]="","",INDEX(tsk_Name,CriticalTasks[[#This Row],[_Task]])&amp;"")</f>
        <v>Hypercare support</v>
      </c>
      <c r="E99" s="24" t="str">
        <f aca="false">IF(CriticalTasks[[#This Row],[_Task]]="","",INDEX(tsk_Resource,CriticalTasks[[#This Row],[_Task]])&amp;"")</f>
        <v>Jordan Lee</v>
      </c>
      <c r="F99" s="48" t="n">
        <f aca="false">IF(CriticalTasks[[#This Row],[_Task]]="","",IF(N(INDEX(tsk_FcStart,CriticalTasks[[#This Row],[_Task]]))=0,"",INDEX(tsk_FcStart,CriticalTasks[[#This Row],[_Task]])))</f>
        <v>46372</v>
      </c>
      <c r="G99" s="48" t="n">
        <f aca="false">IF(CriticalTasks[[#This Row],[_Task]]="","",IF(N(INDEX(tsk_FcFinish,CriticalTasks[[#This Row],[_Task]]))=0,"",INDEX(tsk_FcFinish,CriticalTasks[[#This Row],[_Task]])))</f>
        <v>46391</v>
      </c>
      <c r="H99" s="43" t="n">
        <f aca="false">IF(CriticalTasks[[#This Row],[_Task]]="","",INDEX(tsk_TotalSlack,CriticalTasks[[#This Row],[_Task]]))</f>
        <v>0</v>
      </c>
      <c r="I99" s="24" t="str">
        <f aca="false">IF(CriticalTasks[[#This Row],[_Task]]="","",INDEX(tsk_DeadlineCheck,CriticalTasks[[#This Row],[_Task]])&amp;"")</f>
        <v/>
      </c>
      <c r="J99" s="24" t="str">
        <f aca="false">IF(CriticalTasks[[#This Row],[_Task]]="","",INDEX(tsk_Status,CriticalTasks[[#This Row],[_Task]])&amp;"")</f>
        <v>Not Started</v>
      </c>
    </row>
    <row r="100" customFormat="false" ht="15" hidden="false" customHeight="false" outlineLevel="0" collapsed="false">
      <c r="B100" s="41" t="n">
        <f aca="false">IFERROR(MATCH(SMALL(tsk_CriticalKey,ROW()-ROW(CriticalTasks[[#Headers],[_Task]])),tsk_CriticalKey,0),"")</f>
        <v>29</v>
      </c>
      <c r="C100" s="24" t="str">
        <f aca="false">IF(CriticalTasks[[#This Row],[_Task]]="","",INDEX(tsk_WBS,CriticalTasks[[#This Row],[_Task]])&amp;"")</f>
        <v>5.2</v>
      </c>
      <c r="D100" s="24" t="str">
        <f aca="false">IF(CriticalTasks[[#This Row],[_Task]]="","",INDEX(tsk_Name,CriticalTasks[[#This Row],[_Task]])&amp;"")</f>
        <v>Lessons learned</v>
      </c>
      <c r="E100" s="24" t="str">
        <f aca="false">IF(CriticalTasks[[#This Row],[_Task]]="","",INDEX(tsk_Resource,CriticalTasks[[#This Row],[_Task]])&amp;"")</f>
        <v>Priya Sharma</v>
      </c>
      <c r="F100" s="48" t="n">
        <f aca="false">IF(CriticalTasks[[#This Row],[_Task]]="","",IF(N(INDEX(tsk_FcStart,CriticalTasks[[#This Row],[_Task]]))=0,"",INDEX(tsk_FcStart,CriticalTasks[[#This Row],[_Task]])))</f>
        <v>46392</v>
      </c>
      <c r="G100" s="48" t="n">
        <f aca="false">IF(CriticalTasks[[#This Row],[_Task]]="","",IF(N(INDEX(tsk_FcFinish,CriticalTasks[[#This Row],[_Task]]))=0,"",INDEX(tsk_FcFinish,CriticalTasks[[#This Row],[_Task]])))</f>
        <v>46393</v>
      </c>
      <c r="H100" s="43" t="n">
        <f aca="false">IF(CriticalTasks[[#This Row],[_Task]]="","",INDEX(tsk_TotalSlack,CriticalTasks[[#This Row],[_Task]]))</f>
        <v>0</v>
      </c>
      <c r="I100" s="24" t="str">
        <f aca="false">IF(CriticalTasks[[#This Row],[_Task]]="","",INDEX(tsk_DeadlineCheck,CriticalTasks[[#This Row],[_Task]])&amp;"")</f>
        <v/>
      </c>
      <c r="J100" s="24" t="str">
        <f aca="false">IF(CriticalTasks[[#This Row],[_Task]]="","",INDEX(tsk_Status,CriticalTasks[[#This Row],[_Task]])&amp;"")</f>
        <v>Not Started</v>
      </c>
    </row>
    <row r="101" customFormat="false" ht="15" hidden="false" customHeight="false" outlineLevel="0" collapsed="false">
      <c r="B101" s="41" t="n">
        <f aca="false">IFERROR(MATCH(SMALL(tsk_CriticalKey,ROW()-ROW(CriticalTasks[[#Headers],[_Task]])),tsk_CriticalKey,0),"")</f>
        <v>30</v>
      </c>
      <c r="C101" s="24" t="str">
        <f aca="false">IF(CriticalTasks[[#This Row],[_Task]]="","",INDEX(tsk_WBS,CriticalTasks[[#This Row],[_Task]])&amp;"")</f>
        <v>5.3</v>
      </c>
      <c r="D101" s="24" t="str">
        <f aca="false">IF(CriticalTasks[[#This Row],[_Task]]="","",INDEX(tsk_Name,CriticalTasks[[#This Row],[_Task]])&amp;"")</f>
        <v>Project closed</v>
      </c>
      <c r="E101" s="24" t="str">
        <f aca="false">IF(CriticalTasks[[#This Row],[_Task]]="","",INDEX(tsk_Resource,CriticalTasks[[#This Row],[_Task]])&amp;"")</f>
        <v/>
      </c>
      <c r="F101" s="48" t="n">
        <f aca="false">IF(CriticalTasks[[#This Row],[_Task]]="","",IF(N(INDEX(tsk_FcStart,CriticalTasks[[#This Row],[_Task]]))=0,"",INDEX(tsk_FcStart,CriticalTasks[[#This Row],[_Task]])))</f>
        <v>46393</v>
      </c>
      <c r="G101" s="48" t="n">
        <f aca="false">IF(CriticalTasks[[#This Row],[_Task]]="","",IF(N(INDEX(tsk_FcFinish,CriticalTasks[[#This Row],[_Task]]))=0,"",INDEX(tsk_FcFinish,CriticalTasks[[#This Row],[_Task]])))</f>
        <v>46393</v>
      </c>
      <c r="H101" s="43" t="n">
        <f aca="false">IF(CriticalTasks[[#This Row],[_Task]]="","",INDEX(tsk_TotalSlack,CriticalTasks[[#This Row],[_Task]]))</f>
        <v>0</v>
      </c>
      <c r="I101" s="24" t="str">
        <f aca="false">IF(CriticalTasks[[#This Row],[_Task]]="","",INDEX(tsk_DeadlineCheck,CriticalTasks[[#This Row],[_Task]])&amp;"")</f>
        <v/>
      </c>
      <c r="J101" s="24" t="str">
        <f aca="false">IF(CriticalTasks[[#This Row],[_Task]]="","",INDEX(tsk_Status,CriticalTasks[[#This Row],[_Task]])&amp;"")</f>
        <v>Not Started</v>
      </c>
    </row>
    <row r="102" customFormat="false" ht="15" hidden="false" customHeight="false" outlineLevel="0" collapsed="false">
      <c r="B102" s="41" t="str">
        <f aca="false">IFERROR(MATCH(SMALL(tsk_CriticalKey,ROW()-ROW(CriticalTasks[[#Headers],[_Task]])),tsk_CriticalKey,0),"")</f>
        <v/>
      </c>
      <c r="C102" s="24" t="str">
        <f aca="false">IF(CriticalTasks[[#This Row],[_Task]]="","",INDEX(tsk_WBS,CriticalTasks[[#This Row],[_Task]])&amp;"")</f>
        <v/>
      </c>
      <c r="D102" s="24" t="str">
        <f aca="false">IF(CriticalTasks[[#This Row],[_Task]]="","",INDEX(tsk_Name,CriticalTasks[[#This Row],[_Task]])&amp;"")</f>
        <v/>
      </c>
      <c r="E102" s="24" t="str">
        <f aca="false">IF(CriticalTasks[[#This Row],[_Task]]="","",INDEX(tsk_Resource,CriticalTasks[[#This Row],[_Task]])&amp;"")</f>
        <v/>
      </c>
      <c r="F102" s="48" t="str">
        <f aca="false">IF(CriticalTasks[[#This Row],[_Task]]="","",IF(N(INDEX(tsk_FcStart,CriticalTasks[[#This Row],[_Task]]))=0,"",INDEX(tsk_FcStart,CriticalTasks[[#This Row],[_Task]])))</f>
        <v/>
      </c>
      <c r="G102" s="48" t="str">
        <f aca="false">IF(CriticalTasks[[#This Row],[_Task]]="","",IF(N(INDEX(tsk_FcFinish,CriticalTasks[[#This Row],[_Task]]))=0,"",INDEX(tsk_FcFinish,CriticalTasks[[#This Row],[_Task]])))</f>
        <v/>
      </c>
      <c r="H102" s="43" t="str">
        <f aca="false">IF(CriticalTasks[[#This Row],[_Task]]="","",INDEX(tsk_TotalSlack,CriticalTasks[[#This Row],[_Task]]))</f>
        <v/>
      </c>
      <c r="I102" s="24" t="str">
        <f aca="false">IF(CriticalTasks[[#This Row],[_Task]]="","",INDEX(tsk_DeadlineCheck,CriticalTasks[[#This Row],[_Task]])&amp;"")</f>
        <v/>
      </c>
      <c r="J102" s="24" t="str">
        <f aca="false">IF(CriticalTasks[[#This Row],[_Task]]="","",INDEX(tsk_Status,CriticalTasks[[#This Row],[_Task]])&amp;"")</f>
        <v/>
      </c>
    </row>
    <row r="103" customFormat="false" ht="15" hidden="false" customHeight="false" outlineLevel="0" collapsed="false">
      <c r="B103" s="41" t="str">
        <f aca="false">IFERROR(MATCH(SMALL(tsk_CriticalKey,ROW()-ROW(CriticalTasks[[#Headers],[_Task]])),tsk_CriticalKey,0),"")</f>
        <v/>
      </c>
      <c r="C103" s="24" t="str">
        <f aca="false">IF(CriticalTasks[[#This Row],[_Task]]="","",INDEX(tsk_WBS,CriticalTasks[[#This Row],[_Task]])&amp;"")</f>
        <v/>
      </c>
      <c r="D103" s="24" t="str">
        <f aca="false">IF(CriticalTasks[[#This Row],[_Task]]="","",INDEX(tsk_Name,CriticalTasks[[#This Row],[_Task]])&amp;"")</f>
        <v/>
      </c>
      <c r="E103" s="24" t="str">
        <f aca="false">IF(CriticalTasks[[#This Row],[_Task]]="","",INDEX(tsk_Resource,CriticalTasks[[#This Row],[_Task]])&amp;"")</f>
        <v/>
      </c>
      <c r="F103" s="48" t="str">
        <f aca="false">IF(CriticalTasks[[#This Row],[_Task]]="","",IF(N(INDEX(tsk_FcStart,CriticalTasks[[#This Row],[_Task]]))=0,"",INDEX(tsk_FcStart,CriticalTasks[[#This Row],[_Task]])))</f>
        <v/>
      </c>
      <c r="G103" s="48" t="str">
        <f aca="false">IF(CriticalTasks[[#This Row],[_Task]]="","",IF(N(INDEX(tsk_FcFinish,CriticalTasks[[#This Row],[_Task]]))=0,"",INDEX(tsk_FcFinish,CriticalTasks[[#This Row],[_Task]])))</f>
        <v/>
      </c>
      <c r="H103" s="43" t="str">
        <f aca="false">IF(CriticalTasks[[#This Row],[_Task]]="","",INDEX(tsk_TotalSlack,CriticalTasks[[#This Row],[_Task]]))</f>
        <v/>
      </c>
      <c r="I103" s="24" t="str">
        <f aca="false">IF(CriticalTasks[[#This Row],[_Task]]="","",INDEX(tsk_DeadlineCheck,CriticalTasks[[#This Row],[_Task]])&amp;"")</f>
        <v/>
      </c>
      <c r="J103" s="24" t="str">
        <f aca="false">IF(CriticalTasks[[#This Row],[_Task]]="","",INDEX(tsk_Status,CriticalTasks[[#This Row],[_Task]])&amp;"")</f>
        <v/>
      </c>
    </row>
    <row r="104" customFormat="false" ht="15" hidden="false" customHeight="false" outlineLevel="0" collapsed="false">
      <c r="B104" s="41" t="str">
        <f aca="false">IFERROR(MATCH(SMALL(tsk_CriticalKey,ROW()-ROW(CriticalTasks[[#Headers],[_Task]])),tsk_CriticalKey,0),"")</f>
        <v/>
      </c>
      <c r="C104" s="24" t="str">
        <f aca="false">IF(CriticalTasks[[#This Row],[_Task]]="","",INDEX(tsk_WBS,CriticalTasks[[#This Row],[_Task]])&amp;"")</f>
        <v/>
      </c>
      <c r="D104" s="24" t="str">
        <f aca="false">IF(CriticalTasks[[#This Row],[_Task]]="","",INDEX(tsk_Name,CriticalTasks[[#This Row],[_Task]])&amp;"")</f>
        <v/>
      </c>
      <c r="E104" s="24" t="str">
        <f aca="false">IF(CriticalTasks[[#This Row],[_Task]]="","",INDEX(tsk_Resource,CriticalTasks[[#This Row],[_Task]])&amp;"")</f>
        <v/>
      </c>
      <c r="F104" s="48" t="str">
        <f aca="false">IF(CriticalTasks[[#This Row],[_Task]]="","",IF(N(INDEX(tsk_FcStart,CriticalTasks[[#This Row],[_Task]]))=0,"",INDEX(tsk_FcStart,CriticalTasks[[#This Row],[_Task]])))</f>
        <v/>
      </c>
      <c r="G104" s="48" t="str">
        <f aca="false">IF(CriticalTasks[[#This Row],[_Task]]="","",IF(N(INDEX(tsk_FcFinish,CriticalTasks[[#This Row],[_Task]]))=0,"",INDEX(tsk_FcFinish,CriticalTasks[[#This Row],[_Task]])))</f>
        <v/>
      </c>
      <c r="H104" s="43" t="str">
        <f aca="false">IF(CriticalTasks[[#This Row],[_Task]]="","",INDEX(tsk_TotalSlack,CriticalTasks[[#This Row],[_Task]]))</f>
        <v/>
      </c>
      <c r="I104" s="24" t="str">
        <f aca="false">IF(CriticalTasks[[#This Row],[_Task]]="","",INDEX(tsk_DeadlineCheck,CriticalTasks[[#This Row],[_Task]])&amp;"")</f>
        <v/>
      </c>
      <c r="J104" s="24" t="str">
        <f aca="false">IF(CriticalTasks[[#This Row],[_Task]]="","",INDEX(tsk_Status,CriticalTasks[[#This Row],[_Task]])&amp;"")</f>
        <v/>
      </c>
    </row>
    <row r="105" customFormat="false" ht="15" hidden="false" customHeight="false" outlineLevel="0" collapsed="false">
      <c r="B105" s="41" t="str">
        <f aca="false">IFERROR(MATCH(SMALL(tsk_CriticalKey,ROW()-ROW(CriticalTasks[[#Headers],[_Task]])),tsk_CriticalKey,0),"")</f>
        <v/>
      </c>
      <c r="C105" s="24" t="str">
        <f aca="false">IF(CriticalTasks[[#This Row],[_Task]]="","",INDEX(tsk_WBS,CriticalTasks[[#This Row],[_Task]])&amp;"")</f>
        <v/>
      </c>
      <c r="D105" s="24" t="str">
        <f aca="false">IF(CriticalTasks[[#This Row],[_Task]]="","",INDEX(tsk_Name,CriticalTasks[[#This Row],[_Task]])&amp;"")</f>
        <v/>
      </c>
      <c r="E105" s="24" t="str">
        <f aca="false">IF(CriticalTasks[[#This Row],[_Task]]="","",INDEX(tsk_Resource,CriticalTasks[[#This Row],[_Task]])&amp;"")</f>
        <v/>
      </c>
      <c r="F105" s="48" t="str">
        <f aca="false">IF(CriticalTasks[[#This Row],[_Task]]="","",IF(N(INDEX(tsk_FcStart,CriticalTasks[[#This Row],[_Task]]))=0,"",INDEX(tsk_FcStart,CriticalTasks[[#This Row],[_Task]])))</f>
        <v/>
      </c>
      <c r="G105" s="48" t="str">
        <f aca="false">IF(CriticalTasks[[#This Row],[_Task]]="","",IF(N(INDEX(tsk_FcFinish,CriticalTasks[[#This Row],[_Task]]))=0,"",INDEX(tsk_FcFinish,CriticalTasks[[#This Row],[_Task]])))</f>
        <v/>
      </c>
      <c r="H105" s="43" t="str">
        <f aca="false">IF(CriticalTasks[[#This Row],[_Task]]="","",INDEX(tsk_TotalSlack,CriticalTasks[[#This Row],[_Task]]))</f>
        <v/>
      </c>
      <c r="I105" s="24" t="str">
        <f aca="false">IF(CriticalTasks[[#This Row],[_Task]]="","",INDEX(tsk_DeadlineCheck,CriticalTasks[[#This Row],[_Task]])&amp;"")</f>
        <v/>
      </c>
      <c r="J105" s="24" t="str">
        <f aca="false">IF(CriticalTasks[[#This Row],[_Task]]="","",INDEX(tsk_Status,CriticalTasks[[#This Row],[_Task]])&amp;"")</f>
        <v/>
      </c>
    </row>
    <row r="106" customFormat="false" ht="15" hidden="false" customHeight="false" outlineLevel="0" collapsed="false">
      <c r="B106" s="41" t="str">
        <f aca="false">IFERROR(MATCH(SMALL(tsk_CriticalKey,ROW()-ROW(CriticalTasks[[#Headers],[_Task]])),tsk_CriticalKey,0),"")</f>
        <v/>
      </c>
      <c r="C106" s="24" t="str">
        <f aca="false">IF(CriticalTasks[[#This Row],[_Task]]="","",INDEX(tsk_WBS,CriticalTasks[[#This Row],[_Task]])&amp;"")</f>
        <v/>
      </c>
      <c r="D106" s="24" t="str">
        <f aca="false">IF(CriticalTasks[[#This Row],[_Task]]="","",INDEX(tsk_Name,CriticalTasks[[#This Row],[_Task]])&amp;"")</f>
        <v/>
      </c>
      <c r="E106" s="24" t="str">
        <f aca="false">IF(CriticalTasks[[#This Row],[_Task]]="","",INDEX(tsk_Resource,CriticalTasks[[#This Row],[_Task]])&amp;"")</f>
        <v/>
      </c>
      <c r="F106" s="48" t="str">
        <f aca="false">IF(CriticalTasks[[#This Row],[_Task]]="","",IF(N(INDEX(tsk_FcStart,CriticalTasks[[#This Row],[_Task]]))=0,"",INDEX(tsk_FcStart,CriticalTasks[[#This Row],[_Task]])))</f>
        <v/>
      </c>
      <c r="G106" s="48" t="str">
        <f aca="false">IF(CriticalTasks[[#This Row],[_Task]]="","",IF(N(INDEX(tsk_FcFinish,CriticalTasks[[#This Row],[_Task]]))=0,"",INDEX(tsk_FcFinish,CriticalTasks[[#This Row],[_Task]])))</f>
        <v/>
      </c>
      <c r="H106" s="43" t="str">
        <f aca="false">IF(CriticalTasks[[#This Row],[_Task]]="","",INDEX(tsk_TotalSlack,CriticalTasks[[#This Row],[_Task]]))</f>
        <v/>
      </c>
      <c r="I106" s="24" t="str">
        <f aca="false">IF(CriticalTasks[[#This Row],[_Task]]="","",INDEX(tsk_DeadlineCheck,CriticalTasks[[#This Row],[_Task]])&amp;"")</f>
        <v/>
      </c>
      <c r="J106" s="24" t="str">
        <f aca="false">IF(CriticalTasks[[#This Row],[_Task]]="","",INDEX(tsk_Status,CriticalTasks[[#This Row],[_Task]])&amp;"")</f>
        <v/>
      </c>
    </row>
    <row r="107" customFormat="false" ht="15" hidden="false" customHeight="false" outlineLevel="0" collapsed="false">
      <c r="B107" s="41" t="str">
        <f aca="false">IFERROR(MATCH(SMALL(tsk_CriticalKey,ROW()-ROW(CriticalTasks[[#Headers],[_Task]])),tsk_CriticalKey,0),"")</f>
        <v/>
      </c>
      <c r="C107" s="24" t="str">
        <f aca="false">IF(CriticalTasks[[#This Row],[_Task]]="","",INDEX(tsk_WBS,CriticalTasks[[#This Row],[_Task]])&amp;"")</f>
        <v/>
      </c>
      <c r="D107" s="24" t="str">
        <f aca="false">IF(CriticalTasks[[#This Row],[_Task]]="","",INDEX(tsk_Name,CriticalTasks[[#This Row],[_Task]])&amp;"")</f>
        <v/>
      </c>
      <c r="E107" s="24" t="str">
        <f aca="false">IF(CriticalTasks[[#This Row],[_Task]]="","",INDEX(tsk_Resource,CriticalTasks[[#This Row],[_Task]])&amp;"")</f>
        <v/>
      </c>
      <c r="F107" s="48" t="str">
        <f aca="false">IF(CriticalTasks[[#This Row],[_Task]]="","",IF(N(INDEX(tsk_FcStart,CriticalTasks[[#This Row],[_Task]]))=0,"",INDEX(tsk_FcStart,CriticalTasks[[#This Row],[_Task]])))</f>
        <v/>
      </c>
      <c r="G107" s="48" t="str">
        <f aca="false">IF(CriticalTasks[[#This Row],[_Task]]="","",IF(N(INDEX(tsk_FcFinish,CriticalTasks[[#This Row],[_Task]]))=0,"",INDEX(tsk_FcFinish,CriticalTasks[[#This Row],[_Task]])))</f>
        <v/>
      </c>
      <c r="H107" s="43" t="str">
        <f aca="false">IF(CriticalTasks[[#This Row],[_Task]]="","",INDEX(tsk_TotalSlack,CriticalTasks[[#This Row],[_Task]]))</f>
        <v/>
      </c>
      <c r="I107" s="24" t="str">
        <f aca="false">IF(CriticalTasks[[#This Row],[_Task]]="","",INDEX(tsk_DeadlineCheck,CriticalTasks[[#This Row],[_Task]])&amp;"")</f>
        <v/>
      </c>
      <c r="J107" s="24" t="str">
        <f aca="false">IF(CriticalTasks[[#This Row],[_Task]]="","",INDEX(tsk_Status,CriticalTasks[[#This Row],[_Task]])&amp;"")</f>
        <v/>
      </c>
    </row>
    <row r="108" customFormat="false" ht="15" hidden="false" customHeight="false" outlineLevel="0" collapsed="false">
      <c r="B108" s="41" t="str">
        <f aca="false">IFERROR(MATCH(SMALL(tsk_CriticalKey,ROW()-ROW(CriticalTasks[[#Headers],[_Task]])),tsk_CriticalKey,0),"")</f>
        <v/>
      </c>
      <c r="C108" s="24" t="str">
        <f aca="false">IF(CriticalTasks[[#This Row],[_Task]]="","",INDEX(tsk_WBS,CriticalTasks[[#This Row],[_Task]])&amp;"")</f>
        <v/>
      </c>
      <c r="D108" s="24" t="str">
        <f aca="false">IF(CriticalTasks[[#This Row],[_Task]]="","",INDEX(tsk_Name,CriticalTasks[[#This Row],[_Task]])&amp;"")</f>
        <v/>
      </c>
      <c r="E108" s="24" t="str">
        <f aca="false">IF(CriticalTasks[[#This Row],[_Task]]="","",INDEX(tsk_Resource,CriticalTasks[[#This Row],[_Task]])&amp;"")</f>
        <v/>
      </c>
      <c r="F108" s="48" t="str">
        <f aca="false">IF(CriticalTasks[[#This Row],[_Task]]="","",IF(N(INDEX(tsk_FcStart,CriticalTasks[[#This Row],[_Task]]))=0,"",INDEX(tsk_FcStart,CriticalTasks[[#This Row],[_Task]])))</f>
        <v/>
      </c>
      <c r="G108" s="48" t="str">
        <f aca="false">IF(CriticalTasks[[#This Row],[_Task]]="","",IF(N(INDEX(tsk_FcFinish,CriticalTasks[[#This Row],[_Task]]))=0,"",INDEX(tsk_FcFinish,CriticalTasks[[#This Row],[_Task]])))</f>
        <v/>
      </c>
      <c r="H108" s="43" t="str">
        <f aca="false">IF(CriticalTasks[[#This Row],[_Task]]="","",INDEX(tsk_TotalSlack,CriticalTasks[[#This Row],[_Task]]))</f>
        <v/>
      </c>
      <c r="I108" s="24" t="str">
        <f aca="false">IF(CriticalTasks[[#This Row],[_Task]]="","",INDEX(tsk_DeadlineCheck,CriticalTasks[[#This Row],[_Task]])&amp;"")</f>
        <v/>
      </c>
      <c r="J108" s="24" t="str">
        <f aca="false">IF(CriticalTasks[[#This Row],[_Task]]="","",INDEX(tsk_Status,CriticalTasks[[#This Row],[_Task]])&amp;"")</f>
        <v/>
      </c>
    </row>
    <row r="109" customFormat="false" ht="15" hidden="false" customHeight="false" outlineLevel="0" collapsed="false">
      <c r="B109" s="41" t="str">
        <f aca="false">IFERROR(MATCH(SMALL(tsk_CriticalKey,ROW()-ROW(CriticalTasks[[#Headers],[_Task]])),tsk_CriticalKey,0),"")</f>
        <v/>
      </c>
      <c r="C109" s="24" t="str">
        <f aca="false">IF(CriticalTasks[[#This Row],[_Task]]="","",INDEX(tsk_WBS,CriticalTasks[[#This Row],[_Task]])&amp;"")</f>
        <v/>
      </c>
      <c r="D109" s="24" t="str">
        <f aca="false">IF(CriticalTasks[[#This Row],[_Task]]="","",INDEX(tsk_Name,CriticalTasks[[#This Row],[_Task]])&amp;"")</f>
        <v/>
      </c>
      <c r="E109" s="24" t="str">
        <f aca="false">IF(CriticalTasks[[#This Row],[_Task]]="","",INDEX(tsk_Resource,CriticalTasks[[#This Row],[_Task]])&amp;"")</f>
        <v/>
      </c>
      <c r="F109" s="48" t="str">
        <f aca="false">IF(CriticalTasks[[#This Row],[_Task]]="","",IF(N(INDEX(tsk_FcStart,CriticalTasks[[#This Row],[_Task]]))=0,"",INDEX(tsk_FcStart,CriticalTasks[[#This Row],[_Task]])))</f>
        <v/>
      </c>
      <c r="G109" s="48" t="str">
        <f aca="false">IF(CriticalTasks[[#This Row],[_Task]]="","",IF(N(INDEX(tsk_FcFinish,CriticalTasks[[#This Row],[_Task]]))=0,"",INDEX(tsk_FcFinish,CriticalTasks[[#This Row],[_Task]])))</f>
        <v/>
      </c>
      <c r="H109" s="43" t="str">
        <f aca="false">IF(CriticalTasks[[#This Row],[_Task]]="","",INDEX(tsk_TotalSlack,CriticalTasks[[#This Row],[_Task]]))</f>
        <v/>
      </c>
      <c r="I109" s="24" t="str">
        <f aca="false">IF(CriticalTasks[[#This Row],[_Task]]="","",INDEX(tsk_DeadlineCheck,CriticalTasks[[#This Row],[_Task]])&amp;"")</f>
        <v/>
      </c>
      <c r="J109" s="24" t="str">
        <f aca="false">IF(CriticalTasks[[#This Row],[_Task]]="","",INDEX(tsk_Status,CriticalTasks[[#This Row],[_Task]])&amp;"")</f>
        <v/>
      </c>
    </row>
    <row r="110" customFormat="false" ht="15" hidden="false" customHeight="false" outlineLevel="0" collapsed="false">
      <c r="B110" s="41" t="str">
        <f aca="false">IFERROR(MATCH(SMALL(tsk_CriticalKey,ROW()-ROW(CriticalTasks[[#Headers],[_Task]])),tsk_CriticalKey,0),"")</f>
        <v/>
      </c>
      <c r="C110" s="24" t="str">
        <f aca="false">IF(CriticalTasks[[#This Row],[_Task]]="","",INDEX(tsk_WBS,CriticalTasks[[#This Row],[_Task]])&amp;"")</f>
        <v/>
      </c>
      <c r="D110" s="24" t="str">
        <f aca="false">IF(CriticalTasks[[#This Row],[_Task]]="","",INDEX(tsk_Name,CriticalTasks[[#This Row],[_Task]])&amp;"")</f>
        <v/>
      </c>
      <c r="E110" s="24" t="str">
        <f aca="false">IF(CriticalTasks[[#This Row],[_Task]]="","",INDEX(tsk_Resource,CriticalTasks[[#This Row],[_Task]])&amp;"")</f>
        <v/>
      </c>
      <c r="F110" s="48" t="str">
        <f aca="false">IF(CriticalTasks[[#This Row],[_Task]]="","",IF(N(INDEX(tsk_FcStart,CriticalTasks[[#This Row],[_Task]]))=0,"",INDEX(tsk_FcStart,CriticalTasks[[#This Row],[_Task]])))</f>
        <v/>
      </c>
      <c r="G110" s="48" t="str">
        <f aca="false">IF(CriticalTasks[[#This Row],[_Task]]="","",IF(N(INDEX(tsk_FcFinish,CriticalTasks[[#This Row],[_Task]]))=0,"",INDEX(tsk_FcFinish,CriticalTasks[[#This Row],[_Task]])))</f>
        <v/>
      </c>
      <c r="H110" s="43" t="str">
        <f aca="false">IF(CriticalTasks[[#This Row],[_Task]]="","",INDEX(tsk_TotalSlack,CriticalTasks[[#This Row],[_Task]]))</f>
        <v/>
      </c>
      <c r="I110" s="24" t="str">
        <f aca="false">IF(CriticalTasks[[#This Row],[_Task]]="","",INDEX(tsk_DeadlineCheck,CriticalTasks[[#This Row],[_Task]])&amp;"")</f>
        <v/>
      </c>
      <c r="J110" s="24" t="str">
        <f aca="false">IF(CriticalTasks[[#This Row],[_Task]]="","",INDEX(tsk_Status,CriticalTasks[[#This Row],[_Task]])&amp;"")</f>
        <v/>
      </c>
    </row>
  </sheetData>
  <conditionalFormatting sqref="P6:P15">
    <cfRule type="expression" priority="2" aboveAverage="0" equalAverage="0" bottom="0" percent="0" rank="0" text="" dxfId="13">
      <formula>P6="Green"</formula>
    </cfRule>
    <cfRule type="expression" priority="3" aboveAverage="0" equalAverage="0" bottom="0" percent="0" rank="0" text="" dxfId="14">
      <formula>P6="Amber"</formula>
    </cfRule>
    <cfRule type="expression" priority="4" aboveAverage="0" equalAverage="0" bottom="0" percent="0" rank="0" text="" dxfId="15">
      <formula>P6="Red"</formula>
    </cfRule>
  </conditionalFormatting>
  <conditionalFormatting sqref="G6:G15">
    <cfRule type="expression" priority="5" aboveAverage="0" equalAverage="0" bottom="0" percent="0" rank="0" text="" dxfId="24">
      <formula>AND(ISNUMBER(G6),G6&gt;0)</formula>
    </cfRule>
  </conditionalFormatting>
  <conditionalFormatting sqref="G19:G33">
    <cfRule type="expression" priority="6" aboveAverage="0" equalAverage="0" bottom="0" percent="0" rank="0" text="" dxfId="24">
      <formula>AND(ISNUMBER(G19),G19&gt;0)</formula>
    </cfRule>
  </conditionalFormatting>
  <conditionalFormatting sqref="I19:I33">
    <cfRule type="expression" priority="7" aboveAverage="0" equalAverage="0" bottom="0" percent="0" rank="0" text="" dxfId="24">
      <formula>LEFT(I19,4)="Late"</formula>
    </cfRule>
  </conditionalFormatting>
  <conditionalFormatting sqref="H37:H51">
    <cfRule type="expression" priority="8" aboveAverage="0" equalAverage="0" bottom="0" percent="0" rank="0" text="" dxfId="24">
      <formula>AND(ISNUMBER(H37),H37&gt;0)</formula>
    </cfRule>
  </conditionalFormatting>
  <conditionalFormatting sqref="J37:J51">
    <cfRule type="expression" priority="9" aboveAverage="0" equalAverage="0" bottom="0" percent="0" rank="0" text="" dxfId="25">
      <formula>J37="Yes"</formula>
    </cfRule>
  </conditionalFormatting>
  <conditionalFormatting sqref="J55:J69">
    <cfRule type="expression" priority="10" aboveAverage="0" equalAverage="0" bottom="0" percent="0" rank="0" text="" dxfId="25">
      <formula>J55="Yes"</formula>
    </cfRule>
  </conditionalFormatting>
  <conditionalFormatting sqref="J73:J87">
    <cfRule type="expression" priority="11" aboveAverage="0" equalAverage="0" bottom="0" percent="0" rank="0" text="" dxfId="25">
      <formula>J73="Yes"</formula>
    </cfRule>
  </conditionalFormatting>
  <conditionalFormatting sqref="H73:H87">
    <cfRule type="expression" priority="12" aboveAverage="0" equalAverage="0" bottom="0" percent="0" rank="0" text="" dxfId="24">
      <formula>LEFT(H73,4)="Late"</formula>
    </cfRule>
  </conditionalFormatting>
  <conditionalFormatting sqref="I91:I110">
    <cfRule type="expression" priority="13" aboveAverage="0" equalAverage="0" bottom="0" percent="0" rank="0" text="" dxfId="24">
      <formula>LEFT(I91,4)="Late"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tableParts>
    <tablePart r:id="rId3"/>
    <tablePart r:id="rId4"/>
    <tablePart r:id="rId5"/>
    <tablePart r:id="rId6"/>
    <tablePart r:id="rId7"/>
    <tablePart r:id="rId8"/>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AD1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10"/>
    <col collapsed="false" customWidth="true" hidden="false" outlineLevel="0" max="29" min="4" style="0" width="9"/>
  </cols>
  <sheetData>
    <row r="1" customFormat="false" ht="19.7" hidden="false" customHeight="false" outlineLevel="0" collapsed="false">
      <c r="A1" s="26" t="str">
        <f aca="false">ProjectName&amp;"  -  Resource Report"</f>
        <v>Customer Portal Implementation  -  Resource Report</v>
      </c>
    </row>
    <row r="2" customFormat="false" ht="15" hidden="false" customHeight="false" outlineLevel="0" collapsed="false">
      <c r="A2" s="0" t="str">
        <f aca="false">"Weeks from "&amp;TEXT(ResourceWeekStart,"ddd dd-mmm-yyyy")&amp;" (Settings &gt; ResourceWeekStart). Hours are each task's work spread over its forecast working days; red = more than Max Units x HoursPerDay x working days in the week."</f>
        <v>Weeks from Mon 05-Oct-2026 (Settings &gt; ResourceWeekStart). Hours are each task's work spread over its forecast working days; red = more than Max Units x HoursPerDay x working days in the week.</v>
      </c>
    </row>
    <row r="4" customFormat="false" ht="15" hidden="false" customHeight="false" outlineLevel="0" collapsed="false">
      <c r="B4" s="36" t="s">
        <v>223</v>
      </c>
    </row>
    <row r="5" customFormat="false" ht="23.85" hidden="false" customHeight="false" outlineLevel="0" collapsed="false">
      <c r="B5" s="9" t="s">
        <v>218</v>
      </c>
      <c r="C5" s="9" t="s">
        <v>224</v>
      </c>
      <c r="D5" s="9" t="s">
        <v>225</v>
      </c>
      <c r="E5" s="9" t="s">
        <v>226</v>
      </c>
      <c r="F5" s="9" t="s">
        <v>227</v>
      </c>
      <c r="G5" s="9" t="s">
        <v>228</v>
      </c>
      <c r="H5" s="9" t="s">
        <v>229</v>
      </c>
      <c r="I5" s="9" t="s">
        <v>230</v>
      </c>
      <c r="J5" s="9" t="s">
        <v>231</v>
      </c>
      <c r="K5" s="9" t="s">
        <v>212</v>
      </c>
      <c r="L5" s="9" t="s">
        <v>232</v>
      </c>
      <c r="M5" s="9" t="s">
        <v>233</v>
      </c>
      <c r="N5" s="9" t="s">
        <v>234</v>
      </c>
    </row>
    <row r="6" customFormat="false" ht="15" hidden="false" customHeight="false" outlineLevel="0" collapsed="false">
      <c r="B6" s="24" t="str">
        <f aca="false">IFERROR(INDEX(res_Name,ROW()-ROW(ResourceSummary[[#Headers],[Resource]]))&amp;"","")</f>
        <v>Priya Sharma</v>
      </c>
      <c r="C6" s="50" t="n">
        <f aca="false">IF(ResourceSummary[[#This Row],[Resource]]="","",INDEX(ResourceTable[Max Units],ROW()-ROW(ResourceSummary[[#Headers],[Resource]])))</f>
        <v>0.5</v>
      </c>
      <c r="D6" s="53" t="n">
        <f aca="false">IF(ResourceSummary[[#This Row],[Resource]]="","",INDEX(ResourceTable[Tasks],ROW()-ROW(ResourceSummary[[#Headers],[Resource]])))</f>
        <v>4</v>
      </c>
      <c r="E6" s="54" t="n">
        <f aca="false">IF(ResourceSummary[[#This Row],[Resource]]="","",INDEX(ResourceTable[Work],ROW()-ROW(ResourceSummary[[#Headers],[Resource]])))</f>
        <v>56</v>
      </c>
      <c r="F6" s="54" t="n">
        <f aca="false">IF(ResourceSummary[[#This Row],[Resource]]="","",SUMIFS(tsk_LeafWorkDone,tsk_Resource,ResourceSummary[[#This Row],[Resource]]))</f>
        <v>24</v>
      </c>
      <c r="G6" s="54" t="n">
        <f aca="false">IF(ResourceSummary[[#This Row],[Resource]]="","",ResourceSummary[[#This Row],[Work]]-ResourceSummary[[#This Row],[Work Done]])</f>
        <v>32</v>
      </c>
      <c r="H6" s="54" t="n">
        <f aca="false">IF(ResourceSummary[[#This Row],[Resource]]="","",INDEX(ResourceTable[Cost],ROW()-ROW(ResourceSummary[[#Headers],[Resource]])))</f>
        <v>5320</v>
      </c>
      <c r="I6" s="54" t="n">
        <f aca="false">IF(ResourceSummary[[#This Row],[Resource]]="","",INDEX(ResourceTable[Actual Cost],ROW()-ROW(ResourceSummary[[#Headers],[Resource]])))</f>
        <v>3040</v>
      </c>
      <c r="J6" s="53" t="n">
        <f aca="false">IF(ResourceSummary[[#This Row],[Resource]]="","",COUNTIFS(tsk_Resource,ResourceSummary[[#This Row],[Resource]],tsk_LateKey,"&gt;0"))</f>
        <v>0</v>
      </c>
      <c r="K6" s="53" t="n">
        <f aca="false">IF(ResourceSummary[[#This Row],[Resource]]="","",COUNTIFS(tsk_Resource,ResourceSummary[[#This Row],[Resource]],tsk_Critical,"Yes",tsk_IsLeaf,1))</f>
        <v>2</v>
      </c>
      <c r="L6" s="51" t="n">
        <f aca="false">IF(ResourceSummary[[#This Row],[Resource]]="","",MAX(INDEX(rw_Load,ROW()-ROW(ResourceSummary[[#Headers],[Resource]]),0)))</f>
        <v>16</v>
      </c>
      <c r="M6" s="50" t="n">
        <f aca="false">IF(ResourceSummary[[#This Row],[Resource]]="","",MAX(INDEX(rw_Util,ROW()-ROW(ResourceSummary[[#Headers],[Resource]]),0)))</f>
        <v>0.8</v>
      </c>
      <c r="N6" s="53" t="n">
        <f aca="false">IF(ResourceSummary[[#This Row],[Resource]]="","",COUNTIF(INDEX(rw_Util,ROW()-ROW(ResourceSummary[[#Headers],[Resource]]),0),"&gt;1"))</f>
        <v>0</v>
      </c>
    </row>
    <row r="7" customFormat="false" ht="15" hidden="false" customHeight="false" outlineLevel="0" collapsed="false">
      <c r="B7" s="24" t="str">
        <f aca="false">IFERROR(INDEX(res_Name,ROW()-ROW(ResourceSummary[[#Headers],[Resource]]))&amp;"","")</f>
        <v>Morgan Patel</v>
      </c>
      <c r="C7" s="50" t="n">
        <f aca="false">IF(ResourceSummary[[#This Row],[Resource]]="","",INDEX(ResourceTable[Max Units],ROW()-ROW(ResourceSummary[[#Headers],[Resource]])))</f>
        <v>1</v>
      </c>
      <c r="D7" s="53" t="n">
        <f aca="false">IF(ResourceSummary[[#This Row],[Resource]]="","",INDEX(ResourceTable[Tasks],ROW()-ROW(ResourceSummary[[#Headers],[Resource]])))</f>
        <v>3</v>
      </c>
      <c r="E7" s="54" t="n">
        <f aca="false">IF(ResourceSummary[[#This Row],[Resource]]="","",INDEX(ResourceTable[Work],ROW()-ROW(ResourceSummary[[#Headers],[Resource]])))</f>
        <v>128</v>
      </c>
      <c r="F7" s="54" t="n">
        <f aca="false">IF(ResourceSummary[[#This Row],[Resource]]="","",SUMIFS(tsk_LeafWorkDone,tsk_Resource,ResourceSummary[[#This Row],[Resource]]))</f>
        <v>80</v>
      </c>
      <c r="G7" s="54" t="n">
        <f aca="false">IF(ResourceSummary[[#This Row],[Resource]]="","",ResourceSummary[[#This Row],[Work]]-ResourceSummary[[#This Row],[Work Done]])</f>
        <v>48</v>
      </c>
      <c r="H7" s="54" t="n">
        <f aca="false">IF(ResourceSummary[[#This Row],[Resource]]="","",INDEX(ResourceTable[Cost],ROW()-ROW(ResourceSummary[[#Headers],[Resource]])))</f>
        <v>8960</v>
      </c>
      <c r="I7" s="54" t="n">
        <f aca="false">IF(ResourceSummary[[#This Row],[Resource]]="","",INDEX(ResourceTable[Actual Cost],ROW()-ROW(ResourceSummary[[#Headers],[Resource]])))</f>
        <v>6160</v>
      </c>
      <c r="J7" s="53" t="n">
        <f aca="false">IF(ResourceSummary[[#This Row],[Resource]]="","",COUNTIFS(tsk_Resource,ResourceSummary[[#This Row],[Resource]],tsk_LateKey,"&gt;0"))</f>
        <v>0</v>
      </c>
      <c r="K7" s="53" t="n">
        <f aca="false">IF(ResourceSummary[[#This Row],[Resource]]="","",COUNTIFS(tsk_Resource,ResourceSummary[[#This Row],[Resource]],tsk_Critical,"Yes",tsk_IsLeaf,1))</f>
        <v>1</v>
      </c>
      <c r="L7" s="51" t="n">
        <f aca="false">IF(ResourceSummary[[#This Row],[Resource]]="","",MAX(INDEX(rw_Load,ROW()-ROW(ResourceSummary[[#Headers],[Resource]]),0)))</f>
        <v>40</v>
      </c>
      <c r="M7" s="50" t="n">
        <f aca="false">IF(ResourceSummary[[#This Row],[Resource]]="","",MAX(INDEX(rw_Util,ROW()-ROW(ResourceSummary[[#Headers],[Resource]]),0)))</f>
        <v>1</v>
      </c>
      <c r="N7" s="53" t="n">
        <f aca="false">IF(ResourceSummary[[#This Row],[Resource]]="","",COUNTIF(INDEX(rw_Util,ROW()-ROW(ResourceSummary[[#Headers],[Resource]]),0),"&gt;1"))</f>
        <v>0</v>
      </c>
    </row>
    <row r="8" customFormat="false" ht="15" hidden="false" customHeight="false" outlineLevel="0" collapsed="false">
      <c r="B8" s="24" t="str">
        <f aca="false">IFERROR(INDEX(res_Name,ROW()-ROW(ResourceSummary[[#Headers],[Resource]]))&amp;"","")</f>
        <v>Alex Chen</v>
      </c>
      <c r="C8" s="50" t="n">
        <f aca="false">IF(ResourceSummary[[#This Row],[Resource]]="","",INDEX(ResourceTable[Max Units],ROW()-ROW(ResourceSummary[[#Headers],[Resource]])))</f>
        <v>0.5</v>
      </c>
      <c r="D8" s="53" t="n">
        <f aca="false">IF(ResourceSummary[[#This Row],[Resource]]="","",INDEX(ResourceTable[Tasks],ROW()-ROW(ResourceSummary[[#Headers],[Resource]])))</f>
        <v>1</v>
      </c>
      <c r="E8" s="54" t="n">
        <f aca="false">IF(ResourceSummary[[#This Row],[Resource]]="","",INDEX(ResourceTable[Work],ROW()-ROW(ResourceSummary[[#Headers],[Resource]])))</f>
        <v>40</v>
      </c>
      <c r="F8" s="54" t="n">
        <f aca="false">IF(ResourceSummary[[#This Row],[Resource]]="","",SUMIFS(tsk_LeafWorkDone,tsk_Resource,ResourceSummary[[#This Row],[Resource]]))</f>
        <v>40</v>
      </c>
      <c r="G8" s="54" t="n">
        <f aca="false">IF(ResourceSummary[[#This Row],[Resource]]="","",ResourceSummary[[#This Row],[Work]]-ResourceSummary[[#This Row],[Work Done]])</f>
        <v>0</v>
      </c>
      <c r="H8" s="54" t="n">
        <f aca="false">IF(ResourceSummary[[#This Row],[Resource]]="","",INDEX(ResourceTable[Cost],ROW()-ROW(ResourceSummary[[#Headers],[Resource]])))</f>
        <v>4400</v>
      </c>
      <c r="I8" s="54" t="n">
        <f aca="false">IF(ResourceSummary[[#This Row],[Resource]]="","",INDEX(ResourceTable[Actual Cost],ROW()-ROW(ResourceSummary[[#Headers],[Resource]])))</f>
        <v>4400</v>
      </c>
      <c r="J8" s="53" t="n">
        <f aca="false">IF(ResourceSummary[[#This Row],[Resource]]="","",COUNTIFS(tsk_Resource,ResourceSummary[[#This Row],[Resource]],tsk_LateKey,"&gt;0"))</f>
        <v>0</v>
      </c>
      <c r="K8" s="53" t="n">
        <f aca="false">IF(ResourceSummary[[#This Row],[Resource]]="","",COUNTIFS(tsk_Resource,ResourceSummary[[#This Row],[Resource]],tsk_Critical,"Yes",tsk_IsLeaf,1))</f>
        <v>0</v>
      </c>
      <c r="L8" s="51" t="n">
        <f aca="false">IF(ResourceSummary[[#This Row],[Resource]]="","",MAX(INDEX(rw_Load,ROW()-ROW(ResourceSummary[[#Headers],[Resource]]),0)))</f>
        <v>0</v>
      </c>
      <c r="M8" s="50" t="n">
        <f aca="false">IF(ResourceSummary[[#This Row],[Resource]]="","",MAX(INDEX(rw_Util,ROW()-ROW(ResourceSummary[[#Headers],[Resource]]),0)))</f>
        <v>0</v>
      </c>
      <c r="N8" s="53" t="n">
        <f aca="false">IF(ResourceSummary[[#This Row],[Resource]]="","",COUNTIF(INDEX(rw_Util,ROW()-ROW(ResourceSummary[[#Headers],[Resource]]),0),"&gt;1"))</f>
        <v>0</v>
      </c>
    </row>
    <row r="9" customFormat="false" ht="15" hidden="false" customHeight="false" outlineLevel="0" collapsed="false">
      <c r="B9" s="24" t="str">
        <f aca="false">IFERROR(INDEX(res_Name,ROW()-ROW(ResourceSummary[[#Headers],[Resource]]))&amp;"","")</f>
        <v>Casey Kim</v>
      </c>
      <c r="C9" s="50" t="n">
        <f aca="false">IF(ResourceSummary[[#This Row],[Resource]]="","",INDEX(ResourceTable[Max Units],ROW()-ROW(ResourceSummary[[#Headers],[Resource]])))</f>
        <v>1</v>
      </c>
      <c r="D9" s="53" t="n">
        <f aca="false">IF(ResourceSummary[[#This Row],[Resource]]="","",INDEX(ResourceTable[Tasks],ROW()-ROW(ResourceSummary[[#Headers],[Resource]])))</f>
        <v>3</v>
      </c>
      <c r="E9" s="54" t="n">
        <f aca="false">IF(ResourceSummary[[#This Row],[Resource]]="","",INDEX(ResourceTable[Work],ROW()-ROW(ResourceSummary[[#Headers],[Resource]])))</f>
        <v>80</v>
      </c>
      <c r="F9" s="54" t="n">
        <f aca="false">IF(ResourceSummary[[#This Row],[Resource]]="","",SUMIFS(tsk_LeafWorkDone,tsk_Resource,ResourceSummary[[#This Row],[Resource]]))</f>
        <v>48</v>
      </c>
      <c r="G9" s="54" t="n">
        <f aca="false">IF(ResourceSummary[[#This Row],[Resource]]="","",ResourceSummary[[#This Row],[Work]]-ResourceSummary[[#This Row],[Work Done]])</f>
        <v>32</v>
      </c>
      <c r="H9" s="54" t="n">
        <f aca="false">IF(ResourceSummary[[#This Row],[Resource]]="","",INDEX(ResourceTable[Cost],ROW()-ROW(ResourceSummary[[#Headers],[Resource]])))</f>
        <v>6000</v>
      </c>
      <c r="I9" s="54" t="n">
        <f aca="false">IF(ResourceSummary[[#This Row],[Resource]]="","",INDEX(ResourceTable[Actual Cost],ROW()-ROW(ResourceSummary[[#Headers],[Resource]])))</f>
        <v>3600</v>
      </c>
      <c r="J9" s="53" t="n">
        <f aca="false">IF(ResourceSummary[[#This Row],[Resource]]="","",COUNTIFS(tsk_Resource,ResourceSummary[[#This Row],[Resource]],tsk_LateKey,"&gt;0"))</f>
        <v>2</v>
      </c>
      <c r="K9" s="53" t="n">
        <f aca="false">IF(ResourceSummary[[#This Row],[Resource]]="","",COUNTIFS(tsk_Resource,ResourceSummary[[#This Row],[Resource]],tsk_Critical,"Yes",tsk_IsLeaf,1))</f>
        <v>1</v>
      </c>
      <c r="L9" s="51" t="n">
        <f aca="false">IF(ResourceSummary[[#This Row],[Resource]]="","",MAX(INDEX(rw_Load,ROW()-ROW(ResourceSummary[[#Headers],[Resource]]),0)))</f>
        <v>13.7142857142857</v>
      </c>
      <c r="M9" s="50" t="n">
        <f aca="false">IF(ResourceSummary[[#This Row],[Resource]]="","",MAX(INDEX(rw_Util,ROW()-ROW(ResourceSummary[[#Headers],[Resource]]),0)))</f>
        <v>0.342857142857143</v>
      </c>
      <c r="N9" s="53" t="n">
        <f aca="false">IF(ResourceSummary[[#This Row],[Resource]]="","",COUNTIF(INDEX(rw_Util,ROW()-ROW(ResourceSummary[[#Headers],[Resource]]),0),"&gt;1"))</f>
        <v>0</v>
      </c>
    </row>
    <row r="10" customFormat="false" ht="15" hidden="false" customHeight="false" outlineLevel="0" collapsed="false">
      <c r="B10" s="24" t="str">
        <f aca="false">IFERROR(INDEX(res_Name,ROW()-ROW(ResourceSummary[[#Headers],[Resource]]))&amp;"","")</f>
        <v>Jordan Lee</v>
      </c>
      <c r="C10" s="50" t="n">
        <f aca="false">IF(ResourceSummary[[#This Row],[Resource]]="","",INDEX(ResourceTable[Max Units],ROW()-ROW(ResourceSummary[[#Headers],[Resource]])))</f>
        <v>1</v>
      </c>
      <c r="D10" s="53" t="n">
        <f aca="false">IF(ResourceSummary[[#This Row],[Resource]]="","",INDEX(ResourceTable[Tasks],ROW()-ROW(ResourceSummary[[#Headers],[Resource]])))</f>
        <v>4</v>
      </c>
      <c r="E10" s="54" t="n">
        <f aca="false">IF(ResourceSummary[[#This Row],[Resource]]="","",INDEX(ResourceTable[Work],ROW()-ROW(ResourceSummary[[#Headers],[Resource]])))</f>
        <v>208</v>
      </c>
      <c r="F10" s="54" t="n">
        <f aca="false">IF(ResourceSummary[[#This Row],[Resource]]="","",SUMIFS(tsk_LeafWorkDone,tsk_Resource,ResourceSummary[[#This Row],[Resource]]))</f>
        <v>80</v>
      </c>
      <c r="G10" s="54" t="n">
        <f aca="false">IF(ResourceSummary[[#This Row],[Resource]]="","",ResourceSummary[[#This Row],[Work]]-ResourceSummary[[#This Row],[Work Done]])</f>
        <v>128</v>
      </c>
      <c r="H10" s="54" t="n">
        <f aca="false">IF(ResourceSummary[[#This Row],[Resource]]="","",INDEX(ResourceTable[Cost],ROW()-ROW(ResourceSummary[[#Headers],[Resource]])))</f>
        <v>17680</v>
      </c>
      <c r="I10" s="54" t="n">
        <f aca="false">IF(ResourceSummary[[#This Row],[Resource]]="","",INDEX(ResourceTable[Actual Cost],ROW()-ROW(ResourceSummary[[#Headers],[Resource]])))</f>
        <v>7480</v>
      </c>
      <c r="J10" s="53" t="n">
        <f aca="false">IF(ResourceSummary[[#This Row],[Resource]]="","",COUNTIFS(tsk_Resource,ResourceSummary[[#This Row],[Resource]],tsk_LateKey,"&gt;0"))</f>
        <v>2</v>
      </c>
      <c r="K10" s="53" t="n">
        <f aca="false">IF(ResourceSummary[[#This Row],[Resource]]="","",COUNTIFS(tsk_Resource,ResourceSummary[[#This Row],[Resource]],tsk_Critical,"Yes",tsk_IsLeaf,1))</f>
        <v>3</v>
      </c>
      <c r="L10" s="51" t="n">
        <f aca="false">IF(ResourceSummary[[#This Row],[Resource]]="","",MAX(INDEX(rw_Load,ROW()-ROW(ResourceSummary[[#Headers],[Resource]]),0)))</f>
        <v>40</v>
      </c>
      <c r="M10" s="50" t="n">
        <f aca="false">IF(ResourceSummary[[#This Row],[Resource]]="","",MAX(INDEX(rw_Util,ROW()-ROW(ResourceSummary[[#Headers],[Resource]]),0)))</f>
        <v>1</v>
      </c>
      <c r="N10" s="53" t="n">
        <f aca="false">IF(ResourceSummary[[#This Row],[Resource]]="","",COUNTIF(INDEX(rw_Util,ROW()-ROW(ResourceSummary[[#Headers],[Resource]]),0),"&gt;1"))</f>
        <v>0</v>
      </c>
    </row>
    <row r="11" customFormat="false" ht="15" hidden="false" customHeight="false" outlineLevel="0" collapsed="false">
      <c r="B11" s="24" t="str">
        <f aca="false">IFERROR(INDEX(res_Name,ROW()-ROW(ResourceSummary[[#Headers],[Resource]]))&amp;"","")</f>
        <v>Sam Rivera</v>
      </c>
      <c r="C11" s="50" t="n">
        <f aca="false">IF(ResourceSummary[[#This Row],[Resource]]="","",INDEX(ResourceTable[Max Units],ROW()-ROW(ResourceSummary[[#Headers],[Resource]])))</f>
        <v>1</v>
      </c>
      <c r="D11" s="53" t="n">
        <f aca="false">IF(ResourceSummary[[#This Row],[Resource]]="","",INDEX(ResourceTable[Tasks],ROW()-ROW(ResourceSummary[[#Headers],[Resource]])))</f>
        <v>2</v>
      </c>
      <c r="E11" s="54" t="n">
        <f aca="false">IF(ResourceSummary[[#This Row],[Resource]]="","",INDEX(ResourceTable[Work],ROW()-ROW(ResourceSummary[[#Headers],[Resource]])))</f>
        <v>144</v>
      </c>
      <c r="F11" s="54" t="n">
        <f aca="false">IF(ResourceSummary[[#This Row],[Resource]]="","",SUMIFS(tsk_LeafWorkDone,tsk_Resource,ResourceSummary[[#This Row],[Resource]]))</f>
        <v>72</v>
      </c>
      <c r="G11" s="54" t="n">
        <f aca="false">IF(ResourceSummary[[#This Row],[Resource]]="","",ResourceSummary[[#This Row],[Work]]-ResourceSummary[[#This Row],[Work Done]])</f>
        <v>72</v>
      </c>
      <c r="H11" s="54" t="n">
        <f aca="false">IF(ResourceSummary[[#This Row],[Resource]]="","",INDEX(ResourceTable[Cost],ROW()-ROW(ResourceSummary[[#Headers],[Resource]])))</f>
        <v>11520</v>
      </c>
      <c r="I11" s="54" t="n">
        <f aca="false">IF(ResourceSummary[[#This Row],[Resource]]="","",INDEX(ResourceTable[Actual Cost],ROW()-ROW(ResourceSummary[[#Headers],[Resource]])))</f>
        <v>5760</v>
      </c>
      <c r="J11" s="53" t="n">
        <f aca="false">IF(ResourceSummary[[#This Row],[Resource]]="","",COUNTIFS(tsk_Resource,ResourceSummary[[#This Row],[Resource]],tsk_LateKey,"&gt;0"))</f>
        <v>1</v>
      </c>
      <c r="K11" s="53" t="n">
        <f aca="false">IF(ResourceSummary[[#This Row],[Resource]]="","",COUNTIFS(tsk_Resource,ResourceSummary[[#This Row],[Resource]],tsk_Critical,"Yes",tsk_IsLeaf,1))</f>
        <v>1</v>
      </c>
      <c r="L11" s="51" t="n">
        <f aca="false">IF(ResourceSummary[[#This Row],[Resource]]="","",MAX(INDEX(rw_Load,ROW()-ROW(ResourceSummary[[#Headers],[Resource]]),0)))</f>
        <v>34.2857142857143</v>
      </c>
      <c r="M11" s="50" t="n">
        <f aca="false">IF(ResourceSummary[[#This Row],[Resource]]="","",MAX(INDEX(rw_Util,ROW()-ROW(ResourceSummary[[#Headers],[Resource]]),0)))</f>
        <v>0.857142857142858</v>
      </c>
      <c r="N11" s="53" t="n">
        <f aca="false">IF(ResourceSummary[[#This Row],[Resource]]="","",COUNTIF(INDEX(rw_Util,ROW()-ROW(ResourceSummary[[#Headers],[Resource]]),0),"&gt;1"))</f>
        <v>0</v>
      </c>
    </row>
    <row r="12" customFormat="false" ht="15" hidden="false" customHeight="false" outlineLevel="0" collapsed="false">
      <c r="B12" s="24" t="str">
        <f aca="false">IFERROR(INDEX(res_Name,ROW()-ROW(ResourceSummary[[#Headers],[Resource]]))&amp;"","")</f>
        <v>Taylor Morgan</v>
      </c>
      <c r="C12" s="50" t="n">
        <f aca="false">IF(ResourceSummary[[#This Row],[Resource]]="","",INDEX(ResourceTable[Max Units],ROW()-ROW(ResourceSummary[[#Headers],[Resource]])))</f>
        <v>1</v>
      </c>
      <c r="D12" s="53" t="n">
        <f aca="false">IF(ResourceSummary[[#This Row],[Resource]]="","",INDEX(ResourceTable[Tasks],ROW()-ROW(ResourceSummary[[#Headers],[Resource]])))</f>
        <v>1</v>
      </c>
      <c r="E12" s="54" t="n">
        <f aca="false">IF(ResourceSummary[[#This Row],[Resource]]="","",INDEX(ResourceTable[Work],ROW()-ROW(ResourceSummary[[#Headers],[Resource]])))</f>
        <v>64</v>
      </c>
      <c r="F12" s="54" t="n">
        <f aca="false">IF(ResourceSummary[[#This Row],[Resource]]="","",SUMIFS(tsk_LeafWorkDone,tsk_Resource,ResourceSummary[[#This Row],[Resource]]))</f>
        <v>0</v>
      </c>
      <c r="G12" s="54" t="n">
        <f aca="false">IF(ResourceSummary[[#This Row],[Resource]]="","",ResourceSummary[[#This Row],[Work]]-ResourceSummary[[#This Row],[Work Done]])</f>
        <v>64</v>
      </c>
      <c r="H12" s="54" t="n">
        <f aca="false">IF(ResourceSummary[[#This Row],[Resource]]="","",INDEX(ResourceTable[Cost],ROW()-ROW(ResourceSummary[[#Headers],[Resource]])))</f>
        <v>4160</v>
      </c>
      <c r="I12" s="54" t="n">
        <f aca="false">IF(ResourceSummary[[#This Row],[Resource]]="","",INDEX(ResourceTable[Actual Cost],ROW()-ROW(ResourceSummary[[#Headers],[Resource]])))</f>
        <v>0</v>
      </c>
      <c r="J12" s="53" t="n">
        <f aca="false">IF(ResourceSummary[[#This Row],[Resource]]="","",COUNTIFS(tsk_Resource,ResourceSummary[[#This Row],[Resource]],tsk_LateKey,"&gt;0"))</f>
        <v>1</v>
      </c>
      <c r="K12" s="53" t="n">
        <f aca="false">IF(ResourceSummary[[#This Row],[Resource]]="","",COUNTIFS(tsk_Resource,ResourceSummary[[#This Row],[Resource]],tsk_Critical,"Yes",tsk_IsLeaf,1))</f>
        <v>0</v>
      </c>
      <c r="L12" s="51" t="n">
        <f aca="false">IF(ResourceSummary[[#This Row],[Resource]]="","",MAX(INDEX(rw_Load,ROW()-ROW(ResourceSummary[[#Headers],[Resource]]),0)))</f>
        <v>32</v>
      </c>
      <c r="M12" s="50" t="n">
        <f aca="false">IF(ResourceSummary[[#This Row],[Resource]]="","",MAX(INDEX(rw_Util,ROW()-ROW(ResourceSummary[[#Headers],[Resource]]),0)))</f>
        <v>0.8</v>
      </c>
      <c r="N12" s="53" t="n">
        <f aca="false">IF(ResourceSummary[[#This Row],[Resource]]="","",COUNTIF(INDEX(rw_Util,ROW()-ROW(ResourceSummary[[#Headers],[Resource]]),0),"&gt;1"))</f>
        <v>0</v>
      </c>
    </row>
    <row r="13" customFormat="false" ht="15" hidden="false" customHeight="false" outlineLevel="0" collapsed="false">
      <c r="B13" s="24" t="str">
        <f aca="false">IFERROR(INDEX(res_Name,ROW()-ROW(ResourceSummary[[#Headers],[Resource]]))&amp;"","")</f>
        <v/>
      </c>
      <c r="C13" s="50" t="str">
        <f aca="false">IF(ResourceSummary[[#This Row],[Resource]]="","",INDEX(ResourceTable[Max Units],ROW()-ROW(ResourceSummary[[#Headers],[Resource]])))</f>
        <v/>
      </c>
      <c r="D13" s="53" t="str">
        <f aca="false">IF(ResourceSummary[[#This Row],[Resource]]="","",INDEX(ResourceTable[Tasks],ROW()-ROW(ResourceSummary[[#Headers],[Resource]])))</f>
        <v/>
      </c>
      <c r="E13" s="54" t="str">
        <f aca="false">IF(ResourceSummary[[#This Row],[Resource]]="","",INDEX(ResourceTable[Work],ROW()-ROW(ResourceSummary[[#Headers],[Resource]])))</f>
        <v/>
      </c>
      <c r="F13" s="54" t="str">
        <f aca="false">IF(ResourceSummary[[#This Row],[Resource]]="","",SUMIFS(tsk_LeafWorkDone,tsk_Resource,ResourceSummary[[#This Row],[Resource]]))</f>
        <v/>
      </c>
      <c r="G13" s="54" t="str">
        <f aca="false">IF(ResourceSummary[[#This Row],[Resource]]="","",ResourceSummary[[#This Row],[Work]]-ResourceSummary[[#This Row],[Work Done]])</f>
        <v/>
      </c>
      <c r="H13" s="54" t="str">
        <f aca="false">IF(ResourceSummary[[#This Row],[Resource]]="","",INDEX(ResourceTable[Cost],ROW()-ROW(ResourceSummary[[#Headers],[Resource]])))</f>
        <v/>
      </c>
      <c r="I13" s="54" t="str">
        <f aca="false">IF(ResourceSummary[[#This Row],[Resource]]="","",INDEX(ResourceTable[Actual Cost],ROW()-ROW(ResourceSummary[[#Headers],[Resource]])))</f>
        <v/>
      </c>
      <c r="J13" s="53" t="str">
        <f aca="false">IF(ResourceSummary[[#This Row],[Resource]]="","",COUNTIFS(tsk_Resource,ResourceSummary[[#This Row],[Resource]],tsk_LateKey,"&gt;0"))</f>
        <v/>
      </c>
      <c r="K13" s="53" t="str">
        <f aca="false">IF(ResourceSummary[[#This Row],[Resource]]="","",COUNTIFS(tsk_Resource,ResourceSummary[[#This Row],[Resource]],tsk_Critical,"Yes",tsk_IsLeaf,1))</f>
        <v/>
      </c>
      <c r="L13" s="51" t="str">
        <f aca="false">IF(ResourceSummary[[#This Row],[Resource]]="","",MAX(INDEX(rw_Load,ROW()-ROW(ResourceSummary[[#Headers],[Resource]]),0)))</f>
        <v/>
      </c>
      <c r="M13" s="50" t="str">
        <f aca="false">IF(ResourceSummary[[#This Row],[Resource]]="","",MAX(INDEX(rw_Util,ROW()-ROW(ResourceSummary[[#Headers],[Resource]]),0)))</f>
        <v/>
      </c>
      <c r="N13" s="53" t="str">
        <f aca="false">IF(ResourceSummary[[#This Row],[Resource]]="","",COUNTIF(INDEX(rw_Util,ROW()-ROW(ResourceSummary[[#Headers],[Resource]]),0),"&gt;1"))</f>
        <v/>
      </c>
    </row>
    <row r="14" customFormat="false" ht="15" hidden="false" customHeight="false" outlineLevel="0" collapsed="false">
      <c r="B14" s="24" t="str">
        <f aca="false">IFERROR(INDEX(res_Name,ROW()-ROW(ResourceSummary[[#Headers],[Resource]]))&amp;"","")</f>
        <v/>
      </c>
      <c r="C14" s="50" t="str">
        <f aca="false">IF(ResourceSummary[[#This Row],[Resource]]="","",INDEX(ResourceTable[Max Units],ROW()-ROW(ResourceSummary[[#Headers],[Resource]])))</f>
        <v/>
      </c>
      <c r="D14" s="53" t="str">
        <f aca="false">IF(ResourceSummary[[#This Row],[Resource]]="","",INDEX(ResourceTable[Tasks],ROW()-ROW(ResourceSummary[[#Headers],[Resource]])))</f>
        <v/>
      </c>
      <c r="E14" s="54" t="str">
        <f aca="false">IF(ResourceSummary[[#This Row],[Resource]]="","",INDEX(ResourceTable[Work],ROW()-ROW(ResourceSummary[[#Headers],[Resource]])))</f>
        <v/>
      </c>
      <c r="F14" s="54" t="str">
        <f aca="false">IF(ResourceSummary[[#This Row],[Resource]]="","",SUMIFS(tsk_LeafWorkDone,tsk_Resource,ResourceSummary[[#This Row],[Resource]]))</f>
        <v/>
      </c>
      <c r="G14" s="54" t="str">
        <f aca="false">IF(ResourceSummary[[#This Row],[Resource]]="","",ResourceSummary[[#This Row],[Work]]-ResourceSummary[[#This Row],[Work Done]])</f>
        <v/>
      </c>
      <c r="H14" s="54" t="str">
        <f aca="false">IF(ResourceSummary[[#This Row],[Resource]]="","",INDEX(ResourceTable[Cost],ROW()-ROW(ResourceSummary[[#Headers],[Resource]])))</f>
        <v/>
      </c>
      <c r="I14" s="54" t="str">
        <f aca="false">IF(ResourceSummary[[#This Row],[Resource]]="","",INDEX(ResourceTable[Actual Cost],ROW()-ROW(ResourceSummary[[#Headers],[Resource]])))</f>
        <v/>
      </c>
      <c r="J14" s="53" t="str">
        <f aca="false">IF(ResourceSummary[[#This Row],[Resource]]="","",COUNTIFS(tsk_Resource,ResourceSummary[[#This Row],[Resource]],tsk_LateKey,"&gt;0"))</f>
        <v/>
      </c>
      <c r="K14" s="53" t="str">
        <f aca="false">IF(ResourceSummary[[#This Row],[Resource]]="","",COUNTIFS(tsk_Resource,ResourceSummary[[#This Row],[Resource]],tsk_Critical,"Yes",tsk_IsLeaf,1))</f>
        <v/>
      </c>
      <c r="L14" s="51" t="str">
        <f aca="false">IF(ResourceSummary[[#This Row],[Resource]]="","",MAX(INDEX(rw_Load,ROW()-ROW(ResourceSummary[[#Headers],[Resource]]),0)))</f>
        <v/>
      </c>
      <c r="M14" s="50" t="str">
        <f aca="false">IF(ResourceSummary[[#This Row],[Resource]]="","",MAX(INDEX(rw_Util,ROW()-ROW(ResourceSummary[[#Headers],[Resource]]),0)))</f>
        <v/>
      </c>
      <c r="N14" s="53" t="str">
        <f aca="false">IF(ResourceSummary[[#This Row],[Resource]]="","",COUNTIF(INDEX(rw_Util,ROW()-ROW(ResourceSummary[[#Headers],[Resource]]),0),"&gt;1"))</f>
        <v/>
      </c>
    </row>
    <row r="15" customFormat="false" ht="15" hidden="false" customHeight="false" outlineLevel="0" collapsed="false">
      <c r="B15" s="24" t="str">
        <f aca="false">IFERROR(INDEX(res_Name,ROW()-ROW(ResourceSummary[[#Headers],[Resource]]))&amp;"","")</f>
        <v/>
      </c>
      <c r="C15" s="50" t="str">
        <f aca="false">IF(ResourceSummary[[#This Row],[Resource]]="","",INDEX(ResourceTable[Max Units],ROW()-ROW(ResourceSummary[[#Headers],[Resource]])))</f>
        <v/>
      </c>
      <c r="D15" s="53" t="str">
        <f aca="false">IF(ResourceSummary[[#This Row],[Resource]]="","",INDEX(ResourceTable[Tasks],ROW()-ROW(ResourceSummary[[#Headers],[Resource]])))</f>
        <v/>
      </c>
      <c r="E15" s="54" t="str">
        <f aca="false">IF(ResourceSummary[[#This Row],[Resource]]="","",INDEX(ResourceTable[Work],ROW()-ROW(ResourceSummary[[#Headers],[Resource]])))</f>
        <v/>
      </c>
      <c r="F15" s="54" t="str">
        <f aca="false">IF(ResourceSummary[[#This Row],[Resource]]="","",SUMIFS(tsk_LeafWorkDone,tsk_Resource,ResourceSummary[[#This Row],[Resource]]))</f>
        <v/>
      </c>
      <c r="G15" s="54" t="str">
        <f aca="false">IF(ResourceSummary[[#This Row],[Resource]]="","",ResourceSummary[[#This Row],[Work]]-ResourceSummary[[#This Row],[Work Done]])</f>
        <v/>
      </c>
      <c r="H15" s="54" t="str">
        <f aca="false">IF(ResourceSummary[[#This Row],[Resource]]="","",INDEX(ResourceTable[Cost],ROW()-ROW(ResourceSummary[[#Headers],[Resource]])))</f>
        <v/>
      </c>
      <c r="I15" s="54" t="str">
        <f aca="false">IF(ResourceSummary[[#This Row],[Resource]]="","",INDEX(ResourceTable[Actual Cost],ROW()-ROW(ResourceSummary[[#Headers],[Resource]])))</f>
        <v/>
      </c>
      <c r="J15" s="53" t="str">
        <f aca="false">IF(ResourceSummary[[#This Row],[Resource]]="","",COUNTIFS(tsk_Resource,ResourceSummary[[#This Row],[Resource]],tsk_LateKey,"&gt;0"))</f>
        <v/>
      </c>
      <c r="K15" s="53" t="str">
        <f aca="false">IF(ResourceSummary[[#This Row],[Resource]]="","",COUNTIFS(tsk_Resource,ResourceSummary[[#This Row],[Resource]],tsk_Critical,"Yes",tsk_IsLeaf,1))</f>
        <v/>
      </c>
      <c r="L15" s="51" t="str">
        <f aca="false">IF(ResourceSummary[[#This Row],[Resource]]="","",MAX(INDEX(rw_Load,ROW()-ROW(ResourceSummary[[#Headers],[Resource]]),0)))</f>
        <v/>
      </c>
      <c r="M15" s="50" t="str">
        <f aca="false">IF(ResourceSummary[[#This Row],[Resource]]="","",MAX(INDEX(rw_Util,ROW()-ROW(ResourceSummary[[#Headers],[Resource]]),0)))</f>
        <v/>
      </c>
      <c r="N15" s="53" t="str">
        <f aca="false">IF(ResourceSummary[[#This Row],[Resource]]="","",COUNTIF(INDEX(rw_Util,ROW()-ROW(ResourceSummary[[#Headers],[Resource]]),0),"&gt;1"))</f>
        <v/>
      </c>
    </row>
    <row r="16" customFormat="false" ht="15" hidden="false" customHeight="false" outlineLevel="0" collapsed="false">
      <c r="B16" s="24" t="str">
        <f aca="false">IFERROR(INDEX(res_Name,ROW()-ROW(ResourceSummary[[#Headers],[Resource]]))&amp;"","")</f>
        <v/>
      </c>
      <c r="C16" s="50" t="str">
        <f aca="false">IF(ResourceSummary[[#This Row],[Resource]]="","",INDEX(ResourceTable[Max Units],ROW()-ROW(ResourceSummary[[#Headers],[Resource]])))</f>
        <v/>
      </c>
      <c r="D16" s="53" t="str">
        <f aca="false">IF(ResourceSummary[[#This Row],[Resource]]="","",INDEX(ResourceTable[Tasks],ROW()-ROW(ResourceSummary[[#Headers],[Resource]])))</f>
        <v/>
      </c>
      <c r="E16" s="54" t="str">
        <f aca="false">IF(ResourceSummary[[#This Row],[Resource]]="","",INDEX(ResourceTable[Work],ROW()-ROW(ResourceSummary[[#Headers],[Resource]])))</f>
        <v/>
      </c>
      <c r="F16" s="54" t="str">
        <f aca="false">IF(ResourceSummary[[#This Row],[Resource]]="","",SUMIFS(tsk_LeafWorkDone,tsk_Resource,ResourceSummary[[#This Row],[Resource]]))</f>
        <v/>
      </c>
      <c r="G16" s="54" t="str">
        <f aca="false">IF(ResourceSummary[[#This Row],[Resource]]="","",ResourceSummary[[#This Row],[Work]]-ResourceSummary[[#This Row],[Work Done]])</f>
        <v/>
      </c>
      <c r="H16" s="54" t="str">
        <f aca="false">IF(ResourceSummary[[#This Row],[Resource]]="","",INDEX(ResourceTable[Cost],ROW()-ROW(ResourceSummary[[#Headers],[Resource]])))</f>
        <v/>
      </c>
      <c r="I16" s="54" t="str">
        <f aca="false">IF(ResourceSummary[[#This Row],[Resource]]="","",INDEX(ResourceTable[Actual Cost],ROW()-ROW(ResourceSummary[[#Headers],[Resource]])))</f>
        <v/>
      </c>
      <c r="J16" s="53" t="str">
        <f aca="false">IF(ResourceSummary[[#This Row],[Resource]]="","",COUNTIFS(tsk_Resource,ResourceSummary[[#This Row],[Resource]],tsk_LateKey,"&gt;0"))</f>
        <v/>
      </c>
      <c r="K16" s="53" t="str">
        <f aca="false">IF(ResourceSummary[[#This Row],[Resource]]="","",COUNTIFS(tsk_Resource,ResourceSummary[[#This Row],[Resource]],tsk_Critical,"Yes",tsk_IsLeaf,1))</f>
        <v/>
      </c>
      <c r="L16" s="51" t="str">
        <f aca="false">IF(ResourceSummary[[#This Row],[Resource]]="","",MAX(INDEX(rw_Load,ROW()-ROW(ResourceSummary[[#Headers],[Resource]]),0)))</f>
        <v/>
      </c>
      <c r="M16" s="50" t="str">
        <f aca="false">IF(ResourceSummary[[#This Row],[Resource]]="","",MAX(INDEX(rw_Util,ROW()-ROW(ResourceSummary[[#Headers],[Resource]]),0)))</f>
        <v/>
      </c>
      <c r="N16" s="53" t="str">
        <f aca="false">IF(ResourceSummary[[#This Row],[Resource]]="","",COUNTIF(INDEX(rw_Util,ROW()-ROW(ResourceSummary[[#Headers],[Resource]]),0),"&gt;1"))</f>
        <v/>
      </c>
    </row>
    <row r="17" customFormat="false" ht="15" hidden="false" customHeight="false" outlineLevel="0" collapsed="false">
      <c r="B17" s="24" t="str">
        <f aca="false">IFERROR(INDEX(res_Name,ROW()-ROW(ResourceSummary[[#Headers],[Resource]]))&amp;"","")</f>
        <v/>
      </c>
      <c r="C17" s="50" t="str">
        <f aca="false">IF(ResourceSummary[[#This Row],[Resource]]="","",INDEX(ResourceTable[Max Units],ROW()-ROW(ResourceSummary[[#Headers],[Resource]])))</f>
        <v/>
      </c>
      <c r="D17" s="53" t="str">
        <f aca="false">IF(ResourceSummary[[#This Row],[Resource]]="","",INDEX(ResourceTable[Tasks],ROW()-ROW(ResourceSummary[[#Headers],[Resource]])))</f>
        <v/>
      </c>
      <c r="E17" s="54" t="str">
        <f aca="false">IF(ResourceSummary[[#This Row],[Resource]]="","",INDEX(ResourceTable[Work],ROW()-ROW(ResourceSummary[[#Headers],[Resource]])))</f>
        <v/>
      </c>
      <c r="F17" s="54" t="str">
        <f aca="false">IF(ResourceSummary[[#This Row],[Resource]]="","",SUMIFS(tsk_LeafWorkDone,tsk_Resource,ResourceSummary[[#This Row],[Resource]]))</f>
        <v/>
      </c>
      <c r="G17" s="54" t="str">
        <f aca="false">IF(ResourceSummary[[#This Row],[Resource]]="","",ResourceSummary[[#This Row],[Work]]-ResourceSummary[[#This Row],[Work Done]])</f>
        <v/>
      </c>
      <c r="H17" s="54" t="str">
        <f aca="false">IF(ResourceSummary[[#This Row],[Resource]]="","",INDEX(ResourceTable[Cost],ROW()-ROW(ResourceSummary[[#Headers],[Resource]])))</f>
        <v/>
      </c>
      <c r="I17" s="54" t="str">
        <f aca="false">IF(ResourceSummary[[#This Row],[Resource]]="","",INDEX(ResourceTable[Actual Cost],ROW()-ROW(ResourceSummary[[#Headers],[Resource]])))</f>
        <v/>
      </c>
      <c r="J17" s="53" t="str">
        <f aca="false">IF(ResourceSummary[[#This Row],[Resource]]="","",COUNTIFS(tsk_Resource,ResourceSummary[[#This Row],[Resource]],tsk_LateKey,"&gt;0"))</f>
        <v/>
      </c>
      <c r="K17" s="53" t="str">
        <f aca="false">IF(ResourceSummary[[#This Row],[Resource]]="","",COUNTIFS(tsk_Resource,ResourceSummary[[#This Row],[Resource]],tsk_Critical,"Yes",tsk_IsLeaf,1))</f>
        <v/>
      </c>
      <c r="L17" s="51" t="str">
        <f aca="false">IF(ResourceSummary[[#This Row],[Resource]]="","",MAX(INDEX(rw_Load,ROW()-ROW(ResourceSummary[[#Headers],[Resource]]),0)))</f>
        <v/>
      </c>
      <c r="M17" s="50" t="str">
        <f aca="false">IF(ResourceSummary[[#This Row],[Resource]]="","",MAX(INDEX(rw_Util,ROW()-ROW(ResourceSummary[[#Headers],[Resource]]),0)))</f>
        <v/>
      </c>
      <c r="N17" s="53" t="str">
        <f aca="false">IF(ResourceSummary[[#This Row],[Resource]]="","",COUNTIF(INDEX(rw_Util,ROW()-ROW(ResourceSummary[[#Headers],[Resource]]),0),"&gt;1"))</f>
        <v/>
      </c>
    </row>
    <row r="18" customFormat="false" ht="15" hidden="false" customHeight="false" outlineLevel="0" collapsed="false">
      <c r="B18" s="24" t="str">
        <f aca="false">IFERROR(INDEX(res_Name,ROW()-ROW(ResourceSummary[[#Headers],[Resource]]))&amp;"","")</f>
        <v/>
      </c>
      <c r="C18" s="50" t="str">
        <f aca="false">IF(ResourceSummary[[#This Row],[Resource]]="","",INDEX(ResourceTable[Max Units],ROW()-ROW(ResourceSummary[[#Headers],[Resource]])))</f>
        <v/>
      </c>
      <c r="D18" s="53" t="str">
        <f aca="false">IF(ResourceSummary[[#This Row],[Resource]]="","",INDEX(ResourceTable[Tasks],ROW()-ROW(ResourceSummary[[#Headers],[Resource]])))</f>
        <v/>
      </c>
      <c r="E18" s="54" t="str">
        <f aca="false">IF(ResourceSummary[[#This Row],[Resource]]="","",INDEX(ResourceTable[Work],ROW()-ROW(ResourceSummary[[#Headers],[Resource]])))</f>
        <v/>
      </c>
      <c r="F18" s="54" t="str">
        <f aca="false">IF(ResourceSummary[[#This Row],[Resource]]="","",SUMIFS(tsk_LeafWorkDone,tsk_Resource,ResourceSummary[[#This Row],[Resource]]))</f>
        <v/>
      </c>
      <c r="G18" s="54" t="str">
        <f aca="false">IF(ResourceSummary[[#This Row],[Resource]]="","",ResourceSummary[[#This Row],[Work]]-ResourceSummary[[#This Row],[Work Done]])</f>
        <v/>
      </c>
      <c r="H18" s="54" t="str">
        <f aca="false">IF(ResourceSummary[[#This Row],[Resource]]="","",INDEX(ResourceTable[Cost],ROW()-ROW(ResourceSummary[[#Headers],[Resource]])))</f>
        <v/>
      </c>
      <c r="I18" s="54" t="str">
        <f aca="false">IF(ResourceSummary[[#This Row],[Resource]]="","",INDEX(ResourceTable[Actual Cost],ROW()-ROW(ResourceSummary[[#Headers],[Resource]])))</f>
        <v/>
      </c>
      <c r="J18" s="53" t="str">
        <f aca="false">IF(ResourceSummary[[#This Row],[Resource]]="","",COUNTIFS(tsk_Resource,ResourceSummary[[#This Row],[Resource]],tsk_LateKey,"&gt;0"))</f>
        <v/>
      </c>
      <c r="K18" s="53" t="str">
        <f aca="false">IF(ResourceSummary[[#This Row],[Resource]]="","",COUNTIFS(tsk_Resource,ResourceSummary[[#This Row],[Resource]],tsk_Critical,"Yes",tsk_IsLeaf,1))</f>
        <v/>
      </c>
      <c r="L18" s="51" t="str">
        <f aca="false">IF(ResourceSummary[[#This Row],[Resource]]="","",MAX(INDEX(rw_Load,ROW()-ROW(ResourceSummary[[#Headers],[Resource]]),0)))</f>
        <v/>
      </c>
      <c r="M18" s="50" t="str">
        <f aca="false">IF(ResourceSummary[[#This Row],[Resource]]="","",MAX(INDEX(rw_Util,ROW()-ROW(ResourceSummary[[#Headers],[Resource]]),0)))</f>
        <v/>
      </c>
      <c r="N18" s="53" t="str">
        <f aca="false">IF(ResourceSummary[[#This Row],[Resource]]="","",COUNTIF(INDEX(rw_Util,ROW()-ROW(ResourceSummary[[#Headers],[Resource]]),0),"&gt;1"))</f>
        <v/>
      </c>
    </row>
    <row r="19" customFormat="false" ht="15" hidden="false" customHeight="false" outlineLevel="0" collapsed="false">
      <c r="B19" s="24" t="str">
        <f aca="false">IFERROR(INDEX(res_Name,ROW()-ROW(ResourceSummary[[#Headers],[Resource]]))&amp;"","")</f>
        <v/>
      </c>
      <c r="C19" s="50" t="str">
        <f aca="false">IF(ResourceSummary[[#This Row],[Resource]]="","",INDEX(ResourceTable[Max Units],ROW()-ROW(ResourceSummary[[#Headers],[Resource]])))</f>
        <v/>
      </c>
      <c r="D19" s="53" t="str">
        <f aca="false">IF(ResourceSummary[[#This Row],[Resource]]="","",INDEX(ResourceTable[Tasks],ROW()-ROW(ResourceSummary[[#Headers],[Resource]])))</f>
        <v/>
      </c>
      <c r="E19" s="54" t="str">
        <f aca="false">IF(ResourceSummary[[#This Row],[Resource]]="","",INDEX(ResourceTable[Work],ROW()-ROW(ResourceSummary[[#Headers],[Resource]])))</f>
        <v/>
      </c>
      <c r="F19" s="54" t="str">
        <f aca="false">IF(ResourceSummary[[#This Row],[Resource]]="","",SUMIFS(tsk_LeafWorkDone,tsk_Resource,ResourceSummary[[#This Row],[Resource]]))</f>
        <v/>
      </c>
      <c r="G19" s="54" t="str">
        <f aca="false">IF(ResourceSummary[[#This Row],[Resource]]="","",ResourceSummary[[#This Row],[Work]]-ResourceSummary[[#This Row],[Work Done]])</f>
        <v/>
      </c>
      <c r="H19" s="54" t="str">
        <f aca="false">IF(ResourceSummary[[#This Row],[Resource]]="","",INDEX(ResourceTable[Cost],ROW()-ROW(ResourceSummary[[#Headers],[Resource]])))</f>
        <v/>
      </c>
      <c r="I19" s="54" t="str">
        <f aca="false">IF(ResourceSummary[[#This Row],[Resource]]="","",INDEX(ResourceTable[Actual Cost],ROW()-ROW(ResourceSummary[[#Headers],[Resource]])))</f>
        <v/>
      </c>
      <c r="J19" s="53" t="str">
        <f aca="false">IF(ResourceSummary[[#This Row],[Resource]]="","",COUNTIFS(tsk_Resource,ResourceSummary[[#This Row],[Resource]],tsk_LateKey,"&gt;0"))</f>
        <v/>
      </c>
      <c r="K19" s="53" t="str">
        <f aca="false">IF(ResourceSummary[[#This Row],[Resource]]="","",COUNTIFS(tsk_Resource,ResourceSummary[[#This Row],[Resource]],tsk_Critical,"Yes",tsk_IsLeaf,1))</f>
        <v/>
      </c>
      <c r="L19" s="51" t="str">
        <f aca="false">IF(ResourceSummary[[#This Row],[Resource]]="","",MAX(INDEX(rw_Load,ROW()-ROW(ResourceSummary[[#Headers],[Resource]]),0)))</f>
        <v/>
      </c>
      <c r="M19" s="50" t="str">
        <f aca="false">IF(ResourceSummary[[#This Row],[Resource]]="","",MAX(INDEX(rw_Util,ROW()-ROW(ResourceSummary[[#Headers],[Resource]]),0)))</f>
        <v/>
      </c>
      <c r="N19" s="53" t="str">
        <f aca="false">IF(ResourceSummary[[#This Row],[Resource]]="","",COUNTIF(INDEX(rw_Util,ROW()-ROW(ResourceSummary[[#Headers],[Resource]]),0),"&gt;1"))</f>
        <v/>
      </c>
    </row>
    <row r="20" customFormat="false" ht="15" hidden="false" customHeight="false" outlineLevel="0" collapsed="false">
      <c r="B20" s="24" t="str">
        <f aca="false">IFERROR(INDEX(res_Name,ROW()-ROW(ResourceSummary[[#Headers],[Resource]]))&amp;"","")</f>
        <v/>
      </c>
      <c r="C20" s="50" t="str">
        <f aca="false">IF(ResourceSummary[[#This Row],[Resource]]="","",INDEX(ResourceTable[Max Units],ROW()-ROW(ResourceSummary[[#Headers],[Resource]])))</f>
        <v/>
      </c>
      <c r="D20" s="53" t="str">
        <f aca="false">IF(ResourceSummary[[#This Row],[Resource]]="","",INDEX(ResourceTable[Tasks],ROW()-ROW(ResourceSummary[[#Headers],[Resource]])))</f>
        <v/>
      </c>
      <c r="E20" s="54" t="str">
        <f aca="false">IF(ResourceSummary[[#This Row],[Resource]]="","",INDEX(ResourceTable[Work],ROW()-ROW(ResourceSummary[[#Headers],[Resource]])))</f>
        <v/>
      </c>
      <c r="F20" s="54" t="str">
        <f aca="false">IF(ResourceSummary[[#This Row],[Resource]]="","",SUMIFS(tsk_LeafWorkDone,tsk_Resource,ResourceSummary[[#This Row],[Resource]]))</f>
        <v/>
      </c>
      <c r="G20" s="54" t="str">
        <f aca="false">IF(ResourceSummary[[#This Row],[Resource]]="","",ResourceSummary[[#This Row],[Work]]-ResourceSummary[[#This Row],[Work Done]])</f>
        <v/>
      </c>
      <c r="H20" s="54" t="str">
        <f aca="false">IF(ResourceSummary[[#This Row],[Resource]]="","",INDEX(ResourceTable[Cost],ROW()-ROW(ResourceSummary[[#Headers],[Resource]])))</f>
        <v/>
      </c>
      <c r="I20" s="54" t="str">
        <f aca="false">IF(ResourceSummary[[#This Row],[Resource]]="","",INDEX(ResourceTable[Actual Cost],ROW()-ROW(ResourceSummary[[#Headers],[Resource]])))</f>
        <v/>
      </c>
      <c r="J20" s="53" t="str">
        <f aca="false">IF(ResourceSummary[[#This Row],[Resource]]="","",COUNTIFS(tsk_Resource,ResourceSummary[[#This Row],[Resource]],tsk_LateKey,"&gt;0"))</f>
        <v/>
      </c>
      <c r="K20" s="53" t="str">
        <f aca="false">IF(ResourceSummary[[#This Row],[Resource]]="","",COUNTIFS(tsk_Resource,ResourceSummary[[#This Row],[Resource]],tsk_Critical,"Yes",tsk_IsLeaf,1))</f>
        <v/>
      </c>
      <c r="L20" s="51" t="str">
        <f aca="false">IF(ResourceSummary[[#This Row],[Resource]]="","",MAX(INDEX(rw_Load,ROW()-ROW(ResourceSummary[[#Headers],[Resource]]),0)))</f>
        <v/>
      </c>
      <c r="M20" s="50" t="str">
        <f aca="false">IF(ResourceSummary[[#This Row],[Resource]]="","",MAX(INDEX(rw_Util,ROW()-ROW(ResourceSummary[[#Headers],[Resource]]),0)))</f>
        <v/>
      </c>
      <c r="N20" s="53" t="str">
        <f aca="false">IF(ResourceSummary[[#This Row],[Resource]]="","",COUNTIF(INDEX(rw_Util,ROW()-ROW(ResourceSummary[[#Headers],[Resource]]),0),"&gt;1"))</f>
        <v/>
      </c>
    </row>
    <row r="21" customFormat="false" ht="15" hidden="false" customHeight="false" outlineLevel="0" collapsed="false">
      <c r="B21" s="24" t="str">
        <f aca="false">IFERROR(INDEX(res_Name,ROW()-ROW(ResourceSummary[[#Headers],[Resource]]))&amp;"","")</f>
        <v/>
      </c>
      <c r="C21" s="50" t="str">
        <f aca="false">IF(ResourceSummary[[#This Row],[Resource]]="","",INDEX(ResourceTable[Max Units],ROW()-ROW(ResourceSummary[[#Headers],[Resource]])))</f>
        <v/>
      </c>
      <c r="D21" s="53" t="str">
        <f aca="false">IF(ResourceSummary[[#This Row],[Resource]]="","",INDEX(ResourceTable[Tasks],ROW()-ROW(ResourceSummary[[#Headers],[Resource]])))</f>
        <v/>
      </c>
      <c r="E21" s="54" t="str">
        <f aca="false">IF(ResourceSummary[[#This Row],[Resource]]="","",INDEX(ResourceTable[Work],ROW()-ROW(ResourceSummary[[#Headers],[Resource]])))</f>
        <v/>
      </c>
      <c r="F21" s="54" t="str">
        <f aca="false">IF(ResourceSummary[[#This Row],[Resource]]="","",SUMIFS(tsk_LeafWorkDone,tsk_Resource,ResourceSummary[[#This Row],[Resource]]))</f>
        <v/>
      </c>
      <c r="G21" s="54" t="str">
        <f aca="false">IF(ResourceSummary[[#This Row],[Resource]]="","",ResourceSummary[[#This Row],[Work]]-ResourceSummary[[#This Row],[Work Done]])</f>
        <v/>
      </c>
      <c r="H21" s="54" t="str">
        <f aca="false">IF(ResourceSummary[[#This Row],[Resource]]="","",INDEX(ResourceTable[Cost],ROW()-ROW(ResourceSummary[[#Headers],[Resource]])))</f>
        <v/>
      </c>
      <c r="I21" s="54" t="str">
        <f aca="false">IF(ResourceSummary[[#This Row],[Resource]]="","",INDEX(ResourceTable[Actual Cost],ROW()-ROW(ResourceSummary[[#Headers],[Resource]])))</f>
        <v/>
      </c>
      <c r="J21" s="53" t="str">
        <f aca="false">IF(ResourceSummary[[#This Row],[Resource]]="","",COUNTIFS(tsk_Resource,ResourceSummary[[#This Row],[Resource]],tsk_LateKey,"&gt;0"))</f>
        <v/>
      </c>
      <c r="K21" s="53" t="str">
        <f aca="false">IF(ResourceSummary[[#This Row],[Resource]]="","",COUNTIFS(tsk_Resource,ResourceSummary[[#This Row],[Resource]],tsk_Critical,"Yes",tsk_IsLeaf,1))</f>
        <v/>
      </c>
      <c r="L21" s="51" t="str">
        <f aca="false">IF(ResourceSummary[[#This Row],[Resource]]="","",MAX(INDEX(rw_Load,ROW()-ROW(ResourceSummary[[#Headers],[Resource]]),0)))</f>
        <v/>
      </c>
      <c r="M21" s="50" t="str">
        <f aca="false">IF(ResourceSummary[[#This Row],[Resource]]="","",MAX(INDEX(rw_Util,ROW()-ROW(ResourceSummary[[#Headers],[Resource]]),0)))</f>
        <v/>
      </c>
      <c r="N21" s="53" t="str">
        <f aca="false">IF(ResourceSummary[[#This Row],[Resource]]="","",COUNTIF(INDEX(rw_Util,ROW()-ROW(ResourceSummary[[#Headers],[Resource]]),0),"&gt;1"))</f>
        <v/>
      </c>
    </row>
    <row r="22" customFormat="false" ht="15" hidden="false" customHeight="false" outlineLevel="0" collapsed="false">
      <c r="B22" s="24" t="str">
        <f aca="false">IFERROR(INDEX(res_Name,ROW()-ROW(ResourceSummary[[#Headers],[Resource]]))&amp;"","")</f>
        <v/>
      </c>
      <c r="C22" s="50" t="str">
        <f aca="false">IF(ResourceSummary[[#This Row],[Resource]]="","",INDEX(ResourceTable[Max Units],ROW()-ROW(ResourceSummary[[#Headers],[Resource]])))</f>
        <v/>
      </c>
      <c r="D22" s="53" t="str">
        <f aca="false">IF(ResourceSummary[[#This Row],[Resource]]="","",INDEX(ResourceTable[Tasks],ROW()-ROW(ResourceSummary[[#Headers],[Resource]])))</f>
        <v/>
      </c>
      <c r="E22" s="54" t="str">
        <f aca="false">IF(ResourceSummary[[#This Row],[Resource]]="","",INDEX(ResourceTable[Work],ROW()-ROW(ResourceSummary[[#Headers],[Resource]])))</f>
        <v/>
      </c>
      <c r="F22" s="54" t="str">
        <f aca="false">IF(ResourceSummary[[#This Row],[Resource]]="","",SUMIFS(tsk_LeafWorkDone,tsk_Resource,ResourceSummary[[#This Row],[Resource]]))</f>
        <v/>
      </c>
      <c r="G22" s="54" t="str">
        <f aca="false">IF(ResourceSummary[[#This Row],[Resource]]="","",ResourceSummary[[#This Row],[Work]]-ResourceSummary[[#This Row],[Work Done]])</f>
        <v/>
      </c>
      <c r="H22" s="54" t="str">
        <f aca="false">IF(ResourceSummary[[#This Row],[Resource]]="","",INDEX(ResourceTable[Cost],ROW()-ROW(ResourceSummary[[#Headers],[Resource]])))</f>
        <v/>
      </c>
      <c r="I22" s="54" t="str">
        <f aca="false">IF(ResourceSummary[[#This Row],[Resource]]="","",INDEX(ResourceTable[Actual Cost],ROW()-ROW(ResourceSummary[[#Headers],[Resource]])))</f>
        <v/>
      </c>
      <c r="J22" s="53" t="str">
        <f aca="false">IF(ResourceSummary[[#This Row],[Resource]]="","",COUNTIFS(tsk_Resource,ResourceSummary[[#This Row],[Resource]],tsk_LateKey,"&gt;0"))</f>
        <v/>
      </c>
      <c r="K22" s="53" t="str">
        <f aca="false">IF(ResourceSummary[[#This Row],[Resource]]="","",COUNTIFS(tsk_Resource,ResourceSummary[[#This Row],[Resource]],tsk_Critical,"Yes",tsk_IsLeaf,1))</f>
        <v/>
      </c>
      <c r="L22" s="51" t="str">
        <f aca="false">IF(ResourceSummary[[#This Row],[Resource]]="","",MAX(INDEX(rw_Load,ROW()-ROW(ResourceSummary[[#Headers],[Resource]]),0)))</f>
        <v/>
      </c>
      <c r="M22" s="50" t="str">
        <f aca="false">IF(ResourceSummary[[#This Row],[Resource]]="","",MAX(INDEX(rw_Util,ROW()-ROW(ResourceSummary[[#Headers],[Resource]]),0)))</f>
        <v/>
      </c>
      <c r="N22" s="53" t="str">
        <f aca="false">IF(ResourceSummary[[#This Row],[Resource]]="","",COUNTIF(INDEX(rw_Util,ROW()-ROW(ResourceSummary[[#Headers],[Resource]]),0),"&gt;1"))</f>
        <v/>
      </c>
    </row>
    <row r="23" customFormat="false" ht="15" hidden="false" customHeight="false" outlineLevel="0" collapsed="false">
      <c r="B23" s="24" t="str">
        <f aca="false">IFERROR(INDEX(res_Name,ROW()-ROW(ResourceSummary[[#Headers],[Resource]]))&amp;"","")</f>
        <v/>
      </c>
      <c r="C23" s="50" t="str">
        <f aca="false">IF(ResourceSummary[[#This Row],[Resource]]="","",INDEX(ResourceTable[Max Units],ROW()-ROW(ResourceSummary[[#Headers],[Resource]])))</f>
        <v/>
      </c>
      <c r="D23" s="53" t="str">
        <f aca="false">IF(ResourceSummary[[#This Row],[Resource]]="","",INDEX(ResourceTable[Tasks],ROW()-ROW(ResourceSummary[[#Headers],[Resource]])))</f>
        <v/>
      </c>
      <c r="E23" s="54" t="str">
        <f aca="false">IF(ResourceSummary[[#This Row],[Resource]]="","",INDEX(ResourceTable[Work],ROW()-ROW(ResourceSummary[[#Headers],[Resource]])))</f>
        <v/>
      </c>
      <c r="F23" s="54" t="str">
        <f aca="false">IF(ResourceSummary[[#This Row],[Resource]]="","",SUMIFS(tsk_LeafWorkDone,tsk_Resource,ResourceSummary[[#This Row],[Resource]]))</f>
        <v/>
      </c>
      <c r="G23" s="54" t="str">
        <f aca="false">IF(ResourceSummary[[#This Row],[Resource]]="","",ResourceSummary[[#This Row],[Work]]-ResourceSummary[[#This Row],[Work Done]])</f>
        <v/>
      </c>
      <c r="H23" s="54" t="str">
        <f aca="false">IF(ResourceSummary[[#This Row],[Resource]]="","",INDEX(ResourceTable[Cost],ROW()-ROW(ResourceSummary[[#Headers],[Resource]])))</f>
        <v/>
      </c>
      <c r="I23" s="54" t="str">
        <f aca="false">IF(ResourceSummary[[#This Row],[Resource]]="","",INDEX(ResourceTable[Actual Cost],ROW()-ROW(ResourceSummary[[#Headers],[Resource]])))</f>
        <v/>
      </c>
      <c r="J23" s="53" t="str">
        <f aca="false">IF(ResourceSummary[[#This Row],[Resource]]="","",COUNTIFS(tsk_Resource,ResourceSummary[[#This Row],[Resource]],tsk_LateKey,"&gt;0"))</f>
        <v/>
      </c>
      <c r="K23" s="53" t="str">
        <f aca="false">IF(ResourceSummary[[#This Row],[Resource]]="","",COUNTIFS(tsk_Resource,ResourceSummary[[#This Row],[Resource]],tsk_Critical,"Yes",tsk_IsLeaf,1))</f>
        <v/>
      </c>
      <c r="L23" s="51" t="str">
        <f aca="false">IF(ResourceSummary[[#This Row],[Resource]]="","",MAX(INDEX(rw_Load,ROW()-ROW(ResourceSummary[[#Headers],[Resource]]),0)))</f>
        <v/>
      </c>
      <c r="M23" s="50" t="str">
        <f aca="false">IF(ResourceSummary[[#This Row],[Resource]]="","",MAX(INDEX(rw_Util,ROW()-ROW(ResourceSummary[[#Headers],[Resource]]),0)))</f>
        <v/>
      </c>
      <c r="N23" s="53" t="str">
        <f aca="false">IF(ResourceSummary[[#This Row],[Resource]]="","",COUNTIF(INDEX(rw_Util,ROW()-ROW(ResourceSummary[[#Headers],[Resource]]),0),"&gt;1"))</f>
        <v/>
      </c>
    </row>
    <row r="24" customFormat="false" ht="15" hidden="false" customHeight="false" outlineLevel="0" collapsed="false">
      <c r="B24" s="24" t="str">
        <f aca="false">IFERROR(INDEX(res_Name,ROW()-ROW(ResourceSummary[[#Headers],[Resource]]))&amp;"","")</f>
        <v/>
      </c>
      <c r="C24" s="50" t="str">
        <f aca="false">IF(ResourceSummary[[#This Row],[Resource]]="","",INDEX(ResourceTable[Max Units],ROW()-ROW(ResourceSummary[[#Headers],[Resource]])))</f>
        <v/>
      </c>
      <c r="D24" s="53" t="str">
        <f aca="false">IF(ResourceSummary[[#This Row],[Resource]]="","",INDEX(ResourceTable[Tasks],ROW()-ROW(ResourceSummary[[#Headers],[Resource]])))</f>
        <v/>
      </c>
      <c r="E24" s="54" t="str">
        <f aca="false">IF(ResourceSummary[[#This Row],[Resource]]="","",INDEX(ResourceTable[Work],ROW()-ROW(ResourceSummary[[#Headers],[Resource]])))</f>
        <v/>
      </c>
      <c r="F24" s="54" t="str">
        <f aca="false">IF(ResourceSummary[[#This Row],[Resource]]="","",SUMIFS(tsk_LeafWorkDone,tsk_Resource,ResourceSummary[[#This Row],[Resource]]))</f>
        <v/>
      </c>
      <c r="G24" s="54" t="str">
        <f aca="false">IF(ResourceSummary[[#This Row],[Resource]]="","",ResourceSummary[[#This Row],[Work]]-ResourceSummary[[#This Row],[Work Done]])</f>
        <v/>
      </c>
      <c r="H24" s="54" t="str">
        <f aca="false">IF(ResourceSummary[[#This Row],[Resource]]="","",INDEX(ResourceTable[Cost],ROW()-ROW(ResourceSummary[[#Headers],[Resource]])))</f>
        <v/>
      </c>
      <c r="I24" s="54" t="str">
        <f aca="false">IF(ResourceSummary[[#This Row],[Resource]]="","",INDEX(ResourceTable[Actual Cost],ROW()-ROW(ResourceSummary[[#Headers],[Resource]])))</f>
        <v/>
      </c>
      <c r="J24" s="53" t="str">
        <f aca="false">IF(ResourceSummary[[#This Row],[Resource]]="","",COUNTIFS(tsk_Resource,ResourceSummary[[#This Row],[Resource]],tsk_LateKey,"&gt;0"))</f>
        <v/>
      </c>
      <c r="K24" s="53" t="str">
        <f aca="false">IF(ResourceSummary[[#This Row],[Resource]]="","",COUNTIFS(tsk_Resource,ResourceSummary[[#This Row],[Resource]],tsk_Critical,"Yes",tsk_IsLeaf,1))</f>
        <v/>
      </c>
      <c r="L24" s="51" t="str">
        <f aca="false">IF(ResourceSummary[[#This Row],[Resource]]="","",MAX(INDEX(rw_Load,ROW()-ROW(ResourceSummary[[#Headers],[Resource]]),0)))</f>
        <v/>
      </c>
      <c r="M24" s="50" t="str">
        <f aca="false">IF(ResourceSummary[[#This Row],[Resource]]="","",MAX(INDEX(rw_Util,ROW()-ROW(ResourceSummary[[#Headers],[Resource]]),0)))</f>
        <v/>
      </c>
      <c r="N24" s="53" t="str">
        <f aca="false">IF(ResourceSummary[[#This Row],[Resource]]="","",COUNTIF(INDEX(rw_Util,ROW()-ROW(ResourceSummary[[#Headers],[Resource]]),0),"&gt;1"))</f>
        <v/>
      </c>
    </row>
    <row r="25" customFormat="false" ht="15" hidden="false" customHeight="false" outlineLevel="0" collapsed="false">
      <c r="B25" s="24" t="str">
        <f aca="false">IFERROR(INDEX(res_Name,ROW()-ROW(ResourceSummary[[#Headers],[Resource]]))&amp;"","")</f>
        <v/>
      </c>
      <c r="C25" s="50" t="str">
        <f aca="false">IF(ResourceSummary[[#This Row],[Resource]]="","",INDEX(ResourceTable[Max Units],ROW()-ROW(ResourceSummary[[#Headers],[Resource]])))</f>
        <v/>
      </c>
      <c r="D25" s="53" t="str">
        <f aca="false">IF(ResourceSummary[[#This Row],[Resource]]="","",INDEX(ResourceTable[Tasks],ROW()-ROW(ResourceSummary[[#Headers],[Resource]])))</f>
        <v/>
      </c>
      <c r="E25" s="54" t="str">
        <f aca="false">IF(ResourceSummary[[#This Row],[Resource]]="","",INDEX(ResourceTable[Work],ROW()-ROW(ResourceSummary[[#Headers],[Resource]])))</f>
        <v/>
      </c>
      <c r="F25" s="54" t="str">
        <f aca="false">IF(ResourceSummary[[#This Row],[Resource]]="","",SUMIFS(tsk_LeafWorkDone,tsk_Resource,ResourceSummary[[#This Row],[Resource]]))</f>
        <v/>
      </c>
      <c r="G25" s="54" t="str">
        <f aca="false">IF(ResourceSummary[[#This Row],[Resource]]="","",ResourceSummary[[#This Row],[Work]]-ResourceSummary[[#This Row],[Work Done]])</f>
        <v/>
      </c>
      <c r="H25" s="54" t="str">
        <f aca="false">IF(ResourceSummary[[#This Row],[Resource]]="","",INDEX(ResourceTable[Cost],ROW()-ROW(ResourceSummary[[#Headers],[Resource]])))</f>
        <v/>
      </c>
      <c r="I25" s="54" t="str">
        <f aca="false">IF(ResourceSummary[[#This Row],[Resource]]="","",INDEX(ResourceTable[Actual Cost],ROW()-ROW(ResourceSummary[[#Headers],[Resource]])))</f>
        <v/>
      </c>
      <c r="J25" s="53" t="str">
        <f aca="false">IF(ResourceSummary[[#This Row],[Resource]]="","",COUNTIFS(tsk_Resource,ResourceSummary[[#This Row],[Resource]],tsk_LateKey,"&gt;0"))</f>
        <v/>
      </c>
      <c r="K25" s="53" t="str">
        <f aca="false">IF(ResourceSummary[[#This Row],[Resource]]="","",COUNTIFS(tsk_Resource,ResourceSummary[[#This Row],[Resource]],tsk_Critical,"Yes",tsk_IsLeaf,1))</f>
        <v/>
      </c>
      <c r="L25" s="51" t="str">
        <f aca="false">IF(ResourceSummary[[#This Row],[Resource]]="","",MAX(INDEX(rw_Load,ROW()-ROW(ResourceSummary[[#Headers],[Resource]]),0)))</f>
        <v/>
      </c>
      <c r="M25" s="50" t="str">
        <f aca="false">IF(ResourceSummary[[#This Row],[Resource]]="","",MAX(INDEX(rw_Util,ROW()-ROW(ResourceSummary[[#Headers],[Resource]]),0)))</f>
        <v/>
      </c>
      <c r="N25" s="53" t="str">
        <f aca="false">IF(ResourceSummary[[#This Row],[Resource]]="","",COUNTIF(INDEX(rw_Util,ROW()-ROW(ResourceSummary[[#Headers],[Resource]]),0),"&gt;1"))</f>
        <v/>
      </c>
    </row>
    <row r="26" customFormat="false" ht="15" hidden="false" customHeight="false" outlineLevel="0" collapsed="false">
      <c r="B26" s="24" t="str">
        <f aca="false">IFERROR(INDEX(res_Name,ROW()-ROW(ResourceSummary[[#Headers],[Resource]]))&amp;"","")</f>
        <v/>
      </c>
      <c r="C26" s="50" t="str">
        <f aca="false">IF(ResourceSummary[[#This Row],[Resource]]="","",INDEX(ResourceTable[Max Units],ROW()-ROW(ResourceSummary[[#Headers],[Resource]])))</f>
        <v/>
      </c>
      <c r="D26" s="53" t="str">
        <f aca="false">IF(ResourceSummary[[#This Row],[Resource]]="","",INDEX(ResourceTable[Tasks],ROW()-ROW(ResourceSummary[[#Headers],[Resource]])))</f>
        <v/>
      </c>
      <c r="E26" s="54" t="str">
        <f aca="false">IF(ResourceSummary[[#This Row],[Resource]]="","",INDEX(ResourceTable[Work],ROW()-ROW(ResourceSummary[[#Headers],[Resource]])))</f>
        <v/>
      </c>
      <c r="F26" s="54" t="str">
        <f aca="false">IF(ResourceSummary[[#This Row],[Resource]]="","",SUMIFS(tsk_LeafWorkDone,tsk_Resource,ResourceSummary[[#This Row],[Resource]]))</f>
        <v/>
      </c>
      <c r="G26" s="54" t="str">
        <f aca="false">IF(ResourceSummary[[#This Row],[Resource]]="","",ResourceSummary[[#This Row],[Work]]-ResourceSummary[[#This Row],[Work Done]])</f>
        <v/>
      </c>
      <c r="H26" s="54" t="str">
        <f aca="false">IF(ResourceSummary[[#This Row],[Resource]]="","",INDEX(ResourceTable[Cost],ROW()-ROW(ResourceSummary[[#Headers],[Resource]])))</f>
        <v/>
      </c>
      <c r="I26" s="54" t="str">
        <f aca="false">IF(ResourceSummary[[#This Row],[Resource]]="","",INDEX(ResourceTable[Actual Cost],ROW()-ROW(ResourceSummary[[#Headers],[Resource]])))</f>
        <v/>
      </c>
      <c r="J26" s="53" t="str">
        <f aca="false">IF(ResourceSummary[[#This Row],[Resource]]="","",COUNTIFS(tsk_Resource,ResourceSummary[[#This Row],[Resource]],tsk_LateKey,"&gt;0"))</f>
        <v/>
      </c>
      <c r="K26" s="53" t="str">
        <f aca="false">IF(ResourceSummary[[#This Row],[Resource]]="","",COUNTIFS(tsk_Resource,ResourceSummary[[#This Row],[Resource]],tsk_Critical,"Yes",tsk_IsLeaf,1))</f>
        <v/>
      </c>
      <c r="L26" s="51" t="str">
        <f aca="false">IF(ResourceSummary[[#This Row],[Resource]]="","",MAX(INDEX(rw_Load,ROW()-ROW(ResourceSummary[[#Headers],[Resource]]),0)))</f>
        <v/>
      </c>
      <c r="M26" s="50" t="str">
        <f aca="false">IF(ResourceSummary[[#This Row],[Resource]]="","",MAX(INDEX(rw_Util,ROW()-ROW(ResourceSummary[[#Headers],[Resource]]),0)))</f>
        <v/>
      </c>
      <c r="N26" s="53" t="str">
        <f aca="false">IF(ResourceSummary[[#This Row],[Resource]]="","",COUNTIF(INDEX(rw_Util,ROW()-ROW(ResourceSummary[[#Headers],[Resource]]),0),"&gt;1"))</f>
        <v/>
      </c>
    </row>
    <row r="27" customFormat="false" ht="15" hidden="false" customHeight="false" outlineLevel="0" collapsed="false">
      <c r="B27" s="24" t="str">
        <f aca="false">IFERROR(INDEX(res_Name,ROW()-ROW(ResourceSummary[[#Headers],[Resource]]))&amp;"","")</f>
        <v/>
      </c>
      <c r="C27" s="50" t="str">
        <f aca="false">IF(ResourceSummary[[#This Row],[Resource]]="","",INDEX(ResourceTable[Max Units],ROW()-ROW(ResourceSummary[[#Headers],[Resource]])))</f>
        <v/>
      </c>
      <c r="D27" s="53" t="str">
        <f aca="false">IF(ResourceSummary[[#This Row],[Resource]]="","",INDEX(ResourceTable[Tasks],ROW()-ROW(ResourceSummary[[#Headers],[Resource]])))</f>
        <v/>
      </c>
      <c r="E27" s="54" t="str">
        <f aca="false">IF(ResourceSummary[[#This Row],[Resource]]="","",INDEX(ResourceTable[Work],ROW()-ROW(ResourceSummary[[#Headers],[Resource]])))</f>
        <v/>
      </c>
      <c r="F27" s="54" t="str">
        <f aca="false">IF(ResourceSummary[[#This Row],[Resource]]="","",SUMIFS(tsk_LeafWorkDone,tsk_Resource,ResourceSummary[[#This Row],[Resource]]))</f>
        <v/>
      </c>
      <c r="G27" s="54" t="str">
        <f aca="false">IF(ResourceSummary[[#This Row],[Resource]]="","",ResourceSummary[[#This Row],[Work]]-ResourceSummary[[#This Row],[Work Done]])</f>
        <v/>
      </c>
      <c r="H27" s="54" t="str">
        <f aca="false">IF(ResourceSummary[[#This Row],[Resource]]="","",INDEX(ResourceTable[Cost],ROW()-ROW(ResourceSummary[[#Headers],[Resource]])))</f>
        <v/>
      </c>
      <c r="I27" s="54" t="str">
        <f aca="false">IF(ResourceSummary[[#This Row],[Resource]]="","",INDEX(ResourceTable[Actual Cost],ROW()-ROW(ResourceSummary[[#Headers],[Resource]])))</f>
        <v/>
      </c>
      <c r="J27" s="53" t="str">
        <f aca="false">IF(ResourceSummary[[#This Row],[Resource]]="","",COUNTIFS(tsk_Resource,ResourceSummary[[#This Row],[Resource]],tsk_LateKey,"&gt;0"))</f>
        <v/>
      </c>
      <c r="K27" s="53" t="str">
        <f aca="false">IF(ResourceSummary[[#This Row],[Resource]]="","",COUNTIFS(tsk_Resource,ResourceSummary[[#This Row],[Resource]],tsk_Critical,"Yes",tsk_IsLeaf,1))</f>
        <v/>
      </c>
      <c r="L27" s="51" t="str">
        <f aca="false">IF(ResourceSummary[[#This Row],[Resource]]="","",MAX(INDEX(rw_Load,ROW()-ROW(ResourceSummary[[#Headers],[Resource]]),0)))</f>
        <v/>
      </c>
      <c r="M27" s="50" t="str">
        <f aca="false">IF(ResourceSummary[[#This Row],[Resource]]="","",MAX(INDEX(rw_Util,ROW()-ROW(ResourceSummary[[#Headers],[Resource]]),0)))</f>
        <v/>
      </c>
      <c r="N27" s="53" t="str">
        <f aca="false">IF(ResourceSummary[[#This Row],[Resource]]="","",COUNTIF(INDEX(rw_Util,ROW()-ROW(ResourceSummary[[#Headers],[Resource]]),0),"&gt;1"))</f>
        <v/>
      </c>
    </row>
    <row r="28" customFormat="false" ht="15" hidden="false" customHeight="false" outlineLevel="0" collapsed="false">
      <c r="B28" s="24" t="str">
        <f aca="false">IFERROR(INDEX(res_Name,ROW()-ROW(ResourceSummary[[#Headers],[Resource]]))&amp;"","")</f>
        <v/>
      </c>
      <c r="C28" s="50" t="str">
        <f aca="false">IF(ResourceSummary[[#This Row],[Resource]]="","",INDEX(ResourceTable[Max Units],ROW()-ROW(ResourceSummary[[#Headers],[Resource]])))</f>
        <v/>
      </c>
      <c r="D28" s="53" t="str">
        <f aca="false">IF(ResourceSummary[[#This Row],[Resource]]="","",INDEX(ResourceTable[Tasks],ROW()-ROW(ResourceSummary[[#Headers],[Resource]])))</f>
        <v/>
      </c>
      <c r="E28" s="54" t="str">
        <f aca="false">IF(ResourceSummary[[#This Row],[Resource]]="","",INDEX(ResourceTable[Work],ROW()-ROW(ResourceSummary[[#Headers],[Resource]])))</f>
        <v/>
      </c>
      <c r="F28" s="54" t="str">
        <f aca="false">IF(ResourceSummary[[#This Row],[Resource]]="","",SUMIFS(tsk_LeafWorkDone,tsk_Resource,ResourceSummary[[#This Row],[Resource]]))</f>
        <v/>
      </c>
      <c r="G28" s="54" t="str">
        <f aca="false">IF(ResourceSummary[[#This Row],[Resource]]="","",ResourceSummary[[#This Row],[Work]]-ResourceSummary[[#This Row],[Work Done]])</f>
        <v/>
      </c>
      <c r="H28" s="54" t="str">
        <f aca="false">IF(ResourceSummary[[#This Row],[Resource]]="","",INDEX(ResourceTable[Cost],ROW()-ROW(ResourceSummary[[#Headers],[Resource]])))</f>
        <v/>
      </c>
      <c r="I28" s="54" t="str">
        <f aca="false">IF(ResourceSummary[[#This Row],[Resource]]="","",INDEX(ResourceTable[Actual Cost],ROW()-ROW(ResourceSummary[[#Headers],[Resource]])))</f>
        <v/>
      </c>
      <c r="J28" s="53" t="str">
        <f aca="false">IF(ResourceSummary[[#This Row],[Resource]]="","",COUNTIFS(tsk_Resource,ResourceSummary[[#This Row],[Resource]],tsk_LateKey,"&gt;0"))</f>
        <v/>
      </c>
      <c r="K28" s="53" t="str">
        <f aca="false">IF(ResourceSummary[[#This Row],[Resource]]="","",COUNTIFS(tsk_Resource,ResourceSummary[[#This Row],[Resource]],tsk_Critical,"Yes",tsk_IsLeaf,1))</f>
        <v/>
      </c>
      <c r="L28" s="51" t="str">
        <f aca="false">IF(ResourceSummary[[#This Row],[Resource]]="","",MAX(INDEX(rw_Load,ROW()-ROW(ResourceSummary[[#Headers],[Resource]]),0)))</f>
        <v/>
      </c>
      <c r="M28" s="50" t="str">
        <f aca="false">IF(ResourceSummary[[#This Row],[Resource]]="","",MAX(INDEX(rw_Util,ROW()-ROW(ResourceSummary[[#Headers],[Resource]]),0)))</f>
        <v/>
      </c>
      <c r="N28" s="53" t="str">
        <f aca="false">IF(ResourceSummary[[#This Row],[Resource]]="","",COUNTIF(INDEX(rw_Util,ROW()-ROW(ResourceSummary[[#Headers],[Resource]]),0),"&gt;1"))</f>
        <v/>
      </c>
    </row>
    <row r="29" customFormat="false" ht="15" hidden="false" customHeight="false" outlineLevel="0" collapsed="false">
      <c r="B29" s="24" t="str">
        <f aca="false">IFERROR(INDEX(res_Name,ROW()-ROW(ResourceSummary[[#Headers],[Resource]]))&amp;"","")</f>
        <v/>
      </c>
      <c r="C29" s="50" t="str">
        <f aca="false">IF(ResourceSummary[[#This Row],[Resource]]="","",INDEX(ResourceTable[Max Units],ROW()-ROW(ResourceSummary[[#Headers],[Resource]])))</f>
        <v/>
      </c>
      <c r="D29" s="53" t="str">
        <f aca="false">IF(ResourceSummary[[#This Row],[Resource]]="","",INDEX(ResourceTable[Tasks],ROW()-ROW(ResourceSummary[[#Headers],[Resource]])))</f>
        <v/>
      </c>
      <c r="E29" s="54" t="str">
        <f aca="false">IF(ResourceSummary[[#This Row],[Resource]]="","",INDEX(ResourceTable[Work],ROW()-ROW(ResourceSummary[[#Headers],[Resource]])))</f>
        <v/>
      </c>
      <c r="F29" s="54" t="str">
        <f aca="false">IF(ResourceSummary[[#This Row],[Resource]]="","",SUMIFS(tsk_LeafWorkDone,tsk_Resource,ResourceSummary[[#This Row],[Resource]]))</f>
        <v/>
      </c>
      <c r="G29" s="54" t="str">
        <f aca="false">IF(ResourceSummary[[#This Row],[Resource]]="","",ResourceSummary[[#This Row],[Work]]-ResourceSummary[[#This Row],[Work Done]])</f>
        <v/>
      </c>
      <c r="H29" s="54" t="str">
        <f aca="false">IF(ResourceSummary[[#This Row],[Resource]]="","",INDEX(ResourceTable[Cost],ROW()-ROW(ResourceSummary[[#Headers],[Resource]])))</f>
        <v/>
      </c>
      <c r="I29" s="54" t="str">
        <f aca="false">IF(ResourceSummary[[#This Row],[Resource]]="","",INDEX(ResourceTable[Actual Cost],ROW()-ROW(ResourceSummary[[#Headers],[Resource]])))</f>
        <v/>
      </c>
      <c r="J29" s="53" t="str">
        <f aca="false">IF(ResourceSummary[[#This Row],[Resource]]="","",COUNTIFS(tsk_Resource,ResourceSummary[[#This Row],[Resource]],tsk_LateKey,"&gt;0"))</f>
        <v/>
      </c>
      <c r="K29" s="53" t="str">
        <f aca="false">IF(ResourceSummary[[#This Row],[Resource]]="","",COUNTIFS(tsk_Resource,ResourceSummary[[#This Row],[Resource]],tsk_Critical,"Yes",tsk_IsLeaf,1))</f>
        <v/>
      </c>
      <c r="L29" s="51" t="str">
        <f aca="false">IF(ResourceSummary[[#This Row],[Resource]]="","",MAX(INDEX(rw_Load,ROW()-ROW(ResourceSummary[[#Headers],[Resource]]),0)))</f>
        <v/>
      </c>
      <c r="M29" s="50" t="str">
        <f aca="false">IF(ResourceSummary[[#This Row],[Resource]]="","",MAX(INDEX(rw_Util,ROW()-ROW(ResourceSummary[[#Headers],[Resource]]),0)))</f>
        <v/>
      </c>
      <c r="N29" s="53" t="str">
        <f aca="false">IF(ResourceSummary[[#This Row],[Resource]]="","",COUNTIF(INDEX(rw_Util,ROW()-ROW(ResourceSummary[[#Headers],[Resource]]),0),"&gt;1"))</f>
        <v/>
      </c>
    </row>
    <row r="30" customFormat="false" ht="15" hidden="false" customHeight="false" outlineLevel="0" collapsed="false">
      <c r="B30" s="24" t="str">
        <f aca="false">IFERROR(INDEX(res_Name,ROW()-ROW(ResourceSummary[[#Headers],[Resource]]))&amp;"","")</f>
        <v/>
      </c>
      <c r="C30" s="50" t="str">
        <f aca="false">IF(ResourceSummary[[#This Row],[Resource]]="","",INDEX(ResourceTable[Max Units],ROW()-ROW(ResourceSummary[[#Headers],[Resource]])))</f>
        <v/>
      </c>
      <c r="D30" s="53" t="str">
        <f aca="false">IF(ResourceSummary[[#This Row],[Resource]]="","",INDEX(ResourceTable[Tasks],ROW()-ROW(ResourceSummary[[#Headers],[Resource]])))</f>
        <v/>
      </c>
      <c r="E30" s="54" t="str">
        <f aca="false">IF(ResourceSummary[[#This Row],[Resource]]="","",INDEX(ResourceTable[Work],ROW()-ROW(ResourceSummary[[#Headers],[Resource]])))</f>
        <v/>
      </c>
      <c r="F30" s="54" t="str">
        <f aca="false">IF(ResourceSummary[[#This Row],[Resource]]="","",SUMIFS(tsk_LeafWorkDone,tsk_Resource,ResourceSummary[[#This Row],[Resource]]))</f>
        <v/>
      </c>
      <c r="G30" s="54" t="str">
        <f aca="false">IF(ResourceSummary[[#This Row],[Resource]]="","",ResourceSummary[[#This Row],[Work]]-ResourceSummary[[#This Row],[Work Done]])</f>
        <v/>
      </c>
      <c r="H30" s="54" t="str">
        <f aca="false">IF(ResourceSummary[[#This Row],[Resource]]="","",INDEX(ResourceTable[Cost],ROW()-ROW(ResourceSummary[[#Headers],[Resource]])))</f>
        <v/>
      </c>
      <c r="I30" s="54" t="str">
        <f aca="false">IF(ResourceSummary[[#This Row],[Resource]]="","",INDEX(ResourceTable[Actual Cost],ROW()-ROW(ResourceSummary[[#Headers],[Resource]])))</f>
        <v/>
      </c>
      <c r="J30" s="53" t="str">
        <f aca="false">IF(ResourceSummary[[#This Row],[Resource]]="","",COUNTIFS(tsk_Resource,ResourceSummary[[#This Row],[Resource]],tsk_LateKey,"&gt;0"))</f>
        <v/>
      </c>
      <c r="K30" s="53" t="str">
        <f aca="false">IF(ResourceSummary[[#This Row],[Resource]]="","",COUNTIFS(tsk_Resource,ResourceSummary[[#This Row],[Resource]],tsk_Critical,"Yes",tsk_IsLeaf,1))</f>
        <v/>
      </c>
      <c r="L30" s="51" t="str">
        <f aca="false">IF(ResourceSummary[[#This Row],[Resource]]="","",MAX(INDEX(rw_Load,ROW()-ROW(ResourceSummary[[#Headers],[Resource]]),0)))</f>
        <v/>
      </c>
      <c r="M30" s="50" t="str">
        <f aca="false">IF(ResourceSummary[[#This Row],[Resource]]="","",MAX(INDEX(rw_Util,ROW()-ROW(ResourceSummary[[#Headers],[Resource]]),0)))</f>
        <v/>
      </c>
      <c r="N30" s="53" t="str">
        <f aca="false">IF(ResourceSummary[[#This Row],[Resource]]="","",COUNTIF(INDEX(rw_Util,ROW()-ROW(ResourceSummary[[#Headers],[Resource]]),0),"&gt;1"))</f>
        <v/>
      </c>
    </row>
    <row r="32" customFormat="false" ht="15" hidden="false" customHeight="false" outlineLevel="0" collapsed="false">
      <c r="B32" s="55" t="s">
        <v>235</v>
      </c>
    </row>
    <row r="34" customFormat="false" ht="15" hidden="false" customHeight="false" outlineLevel="0" collapsed="false">
      <c r="B34" s="9" t="s">
        <v>218</v>
      </c>
      <c r="C34" s="9" t="s">
        <v>224</v>
      </c>
      <c r="D34" s="56" t="n">
        <f aca="false">(ResourceWeekStart+7*((COLUMN()-COLUMN(rw_LoadOrigin)-1)-1))</f>
        <v>46300</v>
      </c>
      <c r="E34" s="56" t="n">
        <f aca="false">(ResourceWeekStart+7*((COLUMN()-COLUMN(rw_LoadOrigin)-1)-1))</f>
        <v>46307</v>
      </c>
      <c r="F34" s="56" t="n">
        <f aca="false">(ResourceWeekStart+7*((COLUMN()-COLUMN(rw_LoadOrigin)-1)-1))</f>
        <v>46314</v>
      </c>
      <c r="G34" s="56" t="n">
        <f aca="false">(ResourceWeekStart+7*((COLUMN()-COLUMN(rw_LoadOrigin)-1)-1))</f>
        <v>46321</v>
      </c>
      <c r="H34" s="56" t="n">
        <f aca="false">(ResourceWeekStart+7*((COLUMN()-COLUMN(rw_LoadOrigin)-1)-1))</f>
        <v>46328</v>
      </c>
      <c r="I34" s="56" t="n">
        <f aca="false">(ResourceWeekStart+7*((COLUMN()-COLUMN(rw_LoadOrigin)-1)-1))</f>
        <v>46335</v>
      </c>
      <c r="J34" s="56" t="n">
        <f aca="false">(ResourceWeekStart+7*((COLUMN()-COLUMN(rw_LoadOrigin)-1)-1))</f>
        <v>46342</v>
      </c>
      <c r="K34" s="56" t="n">
        <f aca="false">(ResourceWeekStart+7*((COLUMN()-COLUMN(rw_LoadOrigin)-1)-1))</f>
        <v>46349</v>
      </c>
      <c r="L34" s="56" t="n">
        <f aca="false">(ResourceWeekStart+7*((COLUMN()-COLUMN(rw_LoadOrigin)-1)-1))</f>
        <v>46356</v>
      </c>
      <c r="M34" s="56" t="n">
        <f aca="false">(ResourceWeekStart+7*((COLUMN()-COLUMN(rw_LoadOrigin)-1)-1))</f>
        <v>46363</v>
      </c>
      <c r="N34" s="56" t="n">
        <f aca="false">(ResourceWeekStart+7*((COLUMN()-COLUMN(rw_LoadOrigin)-1)-1))</f>
        <v>46370</v>
      </c>
      <c r="O34" s="56" t="n">
        <f aca="false">(ResourceWeekStart+7*((COLUMN()-COLUMN(rw_LoadOrigin)-1)-1))</f>
        <v>46377</v>
      </c>
      <c r="P34" s="56" t="n">
        <f aca="false">(ResourceWeekStart+7*((COLUMN()-COLUMN(rw_LoadOrigin)-1)-1))</f>
        <v>46384</v>
      </c>
      <c r="Q34" s="56" t="n">
        <f aca="false">(ResourceWeekStart+7*((COLUMN()-COLUMN(rw_LoadOrigin)-1)-1))</f>
        <v>46391</v>
      </c>
      <c r="R34" s="56" t="n">
        <f aca="false">(ResourceWeekStart+7*((COLUMN()-COLUMN(rw_LoadOrigin)-1)-1))</f>
        <v>46398</v>
      </c>
      <c r="S34" s="56" t="n">
        <f aca="false">(ResourceWeekStart+7*((COLUMN()-COLUMN(rw_LoadOrigin)-1)-1))</f>
        <v>46405</v>
      </c>
      <c r="T34" s="56" t="n">
        <f aca="false">(ResourceWeekStart+7*((COLUMN()-COLUMN(rw_LoadOrigin)-1)-1))</f>
        <v>46412</v>
      </c>
      <c r="U34" s="56" t="n">
        <f aca="false">(ResourceWeekStart+7*((COLUMN()-COLUMN(rw_LoadOrigin)-1)-1))</f>
        <v>46419</v>
      </c>
      <c r="V34" s="56" t="n">
        <f aca="false">(ResourceWeekStart+7*((COLUMN()-COLUMN(rw_LoadOrigin)-1)-1))</f>
        <v>46426</v>
      </c>
      <c r="W34" s="56" t="n">
        <f aca="false">(ResourceWeekStart+7*((COLUMN()-COLUMN(rw_LoadOrigin)-1)-1))</f>
        <v>46433</v>
      </c>
      <c r="X34" s="56" t="n">
        <f aca="false">(ResourceWeekStart+7*((COLUMN()-COLUMN(rw_LoadOrigin)-1)-1))</f>
        <v>46440</v>
      </c>
      <c r="Y34" s="56" t="n">
        <f aca="false">(ResourceWeekStart+7*((COLUMN()-COLUMN(rw_LoadOrigin)-1)-1))</f>
        <v>46447</v>
      </c>
      <c r="Z34" s="56" t="n">
        <f aca="false">(ResourceWeekStart+7*((COLUMN()-COLUMN(rw_LoadOrigin)-1)-1))</f>
        <v>46454</v>
      </c>
      <c r="AA34" s="56" t="n">
        <f aca="false">(ResourceWeekStart+7*((COLUMN()-COLUMN(rw_LoadOrigin)-1)-1))</f>
        <v>46461</v>
      </c>
      <c r="AB34" s="56" t="n">
        <f aca="false">(ResourceWeekStart+7*((COLUMN()-COLUMN(rw_LoadOrigin)-1)-1))</f>
        <v>46468</v>
      </c>
      <c r="AC34" s="56" t="n">
        <f aca="false">(ResourceWeekStart+7*((COLUMN()-COLUMN(rw_LoadOrigin)-1)-1))</f>
        <v>46475</v>
      </c>
    </row>
    <row r="35" customFormat="false" ht="15" hidden="false" customHeight="false" outlineLevel="0" collapsed="false">
      <c r="B35" s="57" t="s">
        <v>236</v>
      </c>
      <c r="D35" s="58" t="n">
        <f aca="false">NETWORKDAYS.INTL((ResourceWeekStart+7*((COLUMN()-COLUMN(rw_LoadOrigin)-1)-1)),(ResourceWeekStart+7*((COLUMN()-COLUMN(rw_LoadOrigin)-1)-1))+6,WorkWeek,Holidays)</f>
        <v>5</v>
      </c>
      <c r="E35" s="58" t="n">
        <f aca="false">NETWORKDAYS.INTL((ResourceWeekStart+7*((COLUMN()-COLUMN(rw_LoadOrigin)-1)-1)),(ResourceWeekStart+7*((COLUMN()-COLUMN(rw_LoadOrigin)-1)-1))+6,WorkWeek,Holidays)</f>
        <v>5</v>
      </c>
      <c r="F35" s="58" t="n">
        <f aca="false">NETWORKDAYS.INTL((ResourceWeekStart+7*((COLUMN()-COLUMN(rw_LoadOrigin)-1)-1)),(ResourceWeekStart+7*((COLUMN()-COLUMN(rw_LoadOrigin)-1)-1))+6,WorkWeek,Holidays)</f>
        <v>5</v>
      </c>
      <c r="G35" s="58" t="n">
        <f aca="false">NETWORKDAYS.INTL((ResourceWeekStart+7*((COLUMN()-COLUMN(rw_LoadOrigin)-1)-1)),(ResourceWeekStart+7*((COLUMN()-COLUMN(rw_LoadOrigin)-1)-1))+6,WorkWeek,Holidays)</f>
        <v>5</v>
      </c>
      <c r="H35" s="58" t="n">
        <f aca="false">NETWORKDAYS.INTL((ResourceWeekStart+7*((COLUMN()-COLUMN(rw_LoadOrigin)-1)-1)),(ResourceWeekStart+7*((COLUMN()-COLUMN(rw_LoadOrigin)-1)-1))+6,WorkWeek,Holidays)</f>
        <v>5</v>
      </c>
      <c r="I35" s="58" t="n">
        <f aca="false">NETWORKDAYS.INTL((ResourceWeekStart+7*((COLUMN()-COLUMN(rw_LoadOrigin)-1)-1)),(ResourceWeekStart+7*((COLUMN()-COLUMN(rw_LoadOrigin)-1)-1))+6,WorkWeek,Holidays)</f>
        <v>5</v>
      </c>
      <c r="J35" s="58" t="n">
        <f aca="false">NETWORKDAYS.INTL((ResourceWeekStart+7*((COLUMN()-COLUMN(rw_LoadOrigin)-1)-1)),(ResourceWeekStart+7*((COLUMN()-COLUMN(rw_LoadOrigin)-1)-1))+6,WorkWeek,Holidays)</f>
        <v>5</v>
      </c>
      <c r="K35" s="58" t="n">
        <f aca="false">NETWORKDAYS.INTL((ResourceWeekStart+7*((COLUMN()-COLUMN(rw_LoadOrigin)-1)-1)),(ResourceWeekStart+7*((COLUMN()-COLUMN(rw_LoadOrigin)-1)-1))+6,WorkWeek,Holidays)</f>
        <v>5</v>
      </c>
      <c r="L35" s="58" t="n">
        <f aca="false">NETWORKDAYS.INTL((ResourceWeekStart+7*((COLUMN()-COLUMN(rw_LoadOrigin)-1)-1)),(ResourceWeekStart+7*((COLUMN()-COLUMN(rw_LoadOrigin)-1)-1))+6,WorkWeek,Holidays)</f>
        <v>5</v>
      </c>
      <c r="M35" s="58" t="n">
        <f aca="false">NETWORKDAYS.INTL((ResourceWeekStart+7*((COLUMN()-COLUMN(rw_LoadOrigin)-1)-1)),(ResourceWeekStart+7*((COLUMN()-COLUMN(rw_LoadOrigin)-1)-1))+6,WorkWeek,Holidays)</f>
        <v>5</v>
      </c>
      <c r="N35" s="58" t="n">
        <f aca="false">NETWORKDAYS.INTL((ResourceWeekStart+7*((COLUMN()-COLUMN(rw_LoadOrigin)-1)-1)),(ResourceWeekStart+7*((COLUMN()-COLUMN(rw_LoadOrigin)-1)-1))+6,WorkWeek,Holidays)</f>
        <v>5</v>
      </c>
      <c r="O35" s="58" t="n">
        <f aca="false">NETWORKDAYS.INTL((ResourceWeekStart+7*((COLUMN()-COLUMN(rw_LoadOrigin)-1)-1)),(ResourceWeekStart+7*((COLUMN()-COLUMN(rw_LoadOrigin)-1)-1))+6,WorkWeek,Holidays)</f>
        <v>3</v>
      </c>
      <c r="P35" s="58" t="n">
        <f aca="false">NETWORKDAYS.INTL((ResourceWeekStart+7*((COLUMN()-COLUMN(rw_LoadOrigin)-1)-1)),(ResourceWeekStart+7*((COLUMN()-COLUMN(rw_LoadOrigin)-1)-1))+6,WorkWeek,Holidays)</f>
        <v>3</v>
      </c>
      <c r="Q35" s="58" t="n">
        <f aca="false">NETWORKDAYS.INTL((ResourceWeekStart+7*((COLUMN()-COLUMN(rw_LoadOrigin)-1)-1)),(ResourceWeekStart+7*((COLUMN()-COLUMN(rw_LoadOrigin)-1)-1))+6,WorkWeek,Holidays)</f>
        <v>5</v>
      </c>
      <c r="R35" s="58" t="n">
        <f aca="false">NETWORKDAYS.INTL((ResourceWeekStart+7*((COLUMN()-COLUMN(rw_LoadOrigin)-1)-1)),(ResourceWeekStart+7*((COLUMN()-COLUMN(rw_LoadOrigin)-1)-1))+6,WorkWeek,Holidays)</f>
        <v>5</v>
      </c>
      <c r="S35" s="58" t="n">
        <f aca="false">NETWORKDAYS.INTL((ResourceWeekStart+7*((COLUMN()-COLUMN(rw_LoadOrigin)-1)-1)),(ResourceWeekStart+7*((COLUMN()-COLUMN(rw_LoadOrigin)-1)-1))+6,WorkWeek,Holidays)</f>
        <v>5</v>
      </c>
      <c r="T35" s="58" t="n">
        <f aca="false">NETWORKDAYS.INTL((ResourceWeekStart+7*((COLUMN()-COLUMN(rw_LoadOrigin)-1)-1)),(ResourceWeekStart+7*((COLUMN()-COLUMN(rw_LoadOrigin)-1)-1))+6,WorkWeek,Holidays)</f>
        <v>5</v>
      </c>
      <c r="U35" s="58" t="n">
        <f aca="false">NETWORKDAYS.INTL((ResourceWeekStart+7*((COLUMN()-COLUMN(rw_LoadOrigin)-1)-1)),(ResourceWeekStart+7*((COLUMN()-COLUMN(rw_LoadOrigin)-1)-1))+6,WorkWeek,Holidays)</f>
        <v>5</v>
      </c>
      <c r="V35" s="58" t="n">
        <f aca="false">NETWORKDAYS.INTL((ResourceWeekStart+7*((COLUMN()-COLUMN(rw_LoadOrigin)-1)-1)),(ResourceWeekStart+7*((COLUMN()-COLUMN(rw_LoadOrigin)-1)-1))+6,WorkWeek,Holidays)</f>
        <v>5</v>
      </c>
      <c r="W35" s="58" t="n">
        <f aca="false">NETWORKDAYS.INTL((ResourceWeekStart+7*((COLUMN()-COLUMN(rw_LoadOrigin)-1)-1)),(ResourceWeekStart+7*((COLUMN()-COLUMN(rw_LoadOrigin)-1)-1))+6,WorkWeek,Holidays)</f>
        <v>5</v>
      </c>
      <c r="X35" s="58" t="n">
        <f aca="false">NETWORKDAYS.INTL((ResourceWeekStart+7*((COLUMN()-COLUMN(rw_LoadOrigin)-1)-1)),(ResourceWeekStart+7*((COLUMN()-COLUMN(rw_LoadOrigin)-1)-1))+6,WorkWeek,Holidays)</f>
        <v>5</v>
      </c>
      <c r="Y35" s="58" t="n">
        <f aca="false">NETWORKDAYS.INTL((ResourceWeekStart+7*((COLUMN()-COLUMN(rw_LoadOrigin)-1)-1)),(ResourceWeekStart+7*((COLUMN()-COLUMN(rw_LoadOrigin)-1)-1))+6,WorkWeek,Holidays)</f>
        <v>5</v>
      </c>
      <c r="Z35" s="58" t="n">
        <f aca="false">NETWORKDAYS.INTL((ResourceWeekStart+7*((COLUMN()-COLUMN(rw_LoadOrigin)-1)-1)),(ResourceWeekStart+7*((COLUMN()-COLUMN(rw_LoadOrigin)-1)-1))+6,WorkWeek,Holidays)</f>
        <v>5</v>
      </c>
      <c r="AA35" s="58" t="n">
        <f aca="false">NETWORKDAYS.INTL((ResourceWeekStart+7*((COLUMN()-COLUMN(rw_LoadOrigin)-1)-1)),(ResourceWeekStart+7*((COLUMN()-COLUMN(rw_LoadOrigin)-1)-1))+6,WorkWeek,Holidays)</f>
        <v>5</v>
      </c>
      <c r="AB35" s="58" t="n">
        <f aca="false">NETWORKDAYS.INTL((ResourceWeekStart+7*((COLUMN()-COLUMN(rw_LoadOrigin)-1)-1)),(ResourceWeekStart+7*((COLUMN()-COLUMN(rw_LoadOrigin)-1)-1))+6,WorkWeek,Holidays)</f>
        <v>5</v>
      </c>
      <c r="AC35" s="58" t="n">
        <f aca="false">NETWORKDAYS.INTL((ResourceWeekStart+7*((COLUMN()-COLUMN(rw_LoadOrigin)-1)-1)),(ResourceWeekStart+7*((COLUMN()-COLUMN(rw_LoadOrigin)-1)-1))+6,WorkWeek,Holidays)</f>
        <v>5</v>
      </c>
    </row>
    <row r="36" customFormat="false" ht="15" hidden="false" customHeight="false" outlineLevel="0" collapsed="false">
      <c r="B36" s="31" t="str">
        <f aca="false">IFERROR(INDEX(res_Name,(ROW()-ROW(rw_LoadOrigin)-1))&amp;"","")</f>
        <v>Priya Sharma</v>
      </c>
      <c r="C36" s="59" t="n">
        <f aca="false">IFERROR(IF(INDEX(res_Name,(ROW()-ROW(rw_LoadOrigin)-1))="","",INDEX(res_MaxUnits,(ROW()-ROW(rw_LoadOrigin)-1))),"")</f>
        <v>0.5</v>
      </c>
      <c r="D36" s="60" t="n">
        <f aca="false">IFERROR(IF(INDEX(res_Name,(ROW()-ROW(rw_LoadOrigin)-1))="","",INDEX(rw_Cum,(ROW()-ROW(rw_LoadOrigin)-1),(COLUMN()-COLUMN(rw_LoadOrigin)-1)+1)-INDEX(rw_Cum,(ROW()-ROW(rw_LoadOrigin)-1),(COLUMN()-COLUMN(rw_LoadOrigin)-1))),"")</f>
        <v>0</v>
      </c>
      <c r="E36" s="60" t="n">
        <f aca="false">IFERROR(IF(INDEX(res_Name,(ROW()-ROW(rw_LoadOrigin)-1))="","",INDEX(rw_Cum,(ROW()-ROW(rw_LoadOrigin)-1),(COLUMN()-COLUMN(rw_LoadOrigin)-1)+1)-INDEX(rw_Cum,(ROW()-ROW(rw_LoadOrigin)-1),(COLUMN()-COLUMN(rw_LoadOrigin)-1))),"")</f>
        <v>0</v>
      </c>
      <c r="F36" s="60" t="n">
        <f aca="false">IFERROR(IF(INDEX(res_Name,(ROW()-ROW(rw_LoadOrigin)-1))="","",INDEX(rw_Cum,(ROW()-ROW(rw_LoadOrigin)-1),(COLUMN()-COLUMN(rw_LoadOrigin)-1)+1)-INDEX(rw_Cum,(ROW()-ROW(rw_LoadOrigin)-1),(COLUMN()-COLUMN(rw_LoadOrigin)-1))),"")</f>
        <v>0</v>
      </c>
      <c r="G36" s="60" t="n">
        <f aca="false">IFERROR(IF(INDEX(res_Name,(ROW()-ROW(rw_LoadOrigin)-1))="","",INDEX(rw_Cum,(ROW()-ROW(rw_LoadOrigin)-1),(COLUMN()-COLUMN(rw_LoadOrigin)-1)+1)-INDEX(rw_Cum,(ROW()-ROW(rw_LoadOrigin)-1),(COLUMN()-COLUMN(rw_LoadOrigin)-1))),"")</f>
        <v>0</v>
      </c>
      <c r="H36" s="60" t="n">
        <f aca="false">IFERROR(IF(INDEX(res_Name,(ROW()-ROW(rw_LoadOrigin)-1))="","",INDEX(rw_Cum,(ROW()-ROW(rw_LoadOrigin)-1),(COLUMN()-COLUMN(rw_LoadOrigin)-1)+1)-INDEX(rw_Cum,(ROW()-ROW(rw_LoadOrigin)-1),(COLUMN()-COLUMN(rw_LoadOrigin)-1))),"")</f>
        <v>0</v>
      </c>
      <c r="I36" s="60" t="n">
        <f aca="false">IFERROR(IF(INDEX(res_Name,(ROW()-ROW(rw_LoadOrigin)-1))="","",INDEX(rw_Cum,(ROW()-ROW(rw_LoadOrigin)-1),(COLUMN()-COLUMN(rw_LoadOrigin)-1)+1)-INDEX(rw_Cum,(ROW()-ROW(rw_LoadOrigin)-1),(COLUMN()-COLUMN(rw_LoadOrigin)-1))),"")</f>
        <v>0</v>
      </c>
      <c r="J36" s="60" t="n">
        <f aca="false">IFERROR(IF(INDEX(res_Name,(ROW()-ROW(rw_LoadOrigin)-1))="","",INDEX(rw_Cum,(ROW()-ROW(rw_LoadOrigin)-1),(COLUMN()-COLUMN(rw_LoadOrigin)-1)+1)-INDEX(rw_Cum,(ROW()-ROW(rw_LoadOrigin)-1),(COLUMN()-COLUMN(rw_LoadOrigin)-1))),"")</f>
        <v>8</v>
      </c>
      <c r="K36" s="60" t="n">
        <f aca="false">IFERROR(IF(INDEX(res_Name,(ROW()-ROW(rw_LoadOrigin)-1))="","",INDEX(rw_Cum,(ROW()-ROW(rw_LoadOrigin)-1),(COLUMN()-COLUMN(rw_LoadOrigin)-1)+1)-INDEX(rw_Cum,(ROW()-ROW(rw_LoadOrigin)-1),(COLUMN()-COLUMN(rw_LoadOrigin)-1))),"")</f>
        <v>0</v>
      </c>
      <c r="L36" s="60" t="n">
        <f aca="false">IFERROR(IF(INDEX(res_Name,(ROW()-ROW(rw_LoadOrigin)-1))="","",INDEX(rw_Cum,(ROW()-ROW(rw_LoadOrigin)-1),(COLUMN()-COLUMN(rw_LoadOrigin)-1)+1)-INDEX(rw_Cum,(ROW()-ROW(rw_LoadOrigin)-1),(COLUMN()-COLUMN(rw_LoadOrigin)-1))),"")</f>
        <v>0</v>
      </c>
      <c r="M36" s="60" t="n">
        <f aca="false">IFERROR(IF(INDEX(res_Name,(ROW()-ROW(rw_LoadOrigin)-1))="","",INDEX(rw_Cum,(ROW()-ROW(rw_LoadOrigin)-1),(COLUMN()-COLUMN(rw_LoadOrigin)-1)+1)-INDEX(rw_Cum,(ROW()-ROW(rw_LoadOrigin)-1),(COLUMN()-COLUMN(rw_LoadOrigin)-1))),"")</f>
        <v>0</v>
      </c>
      <c r="N36" s="60" t="n">
        <f aca="false">IFERROR(IF(INDEX(res_Name,(ROW()-ROW(rw_LoadOrigin)-1))="","",INDEX(rw_Cum,(ROW()-ROW(rw_LoadOrigin)-1),(COLUMN()-COLUMN(rw_LoadOrigin)-1)+1)-INDEX(rw_Cum,(ROW()-ROW(rw_LoadOrigin)-1),(COLUMN()-COLUMN(rw_LoadOrigin)-1))),"")</f>
        <v>8</v>
      </c>
      <c r="O36" s="60" t="n">
        <f aca="false">IFERROR(IF(INDEX(res_Name,(ROW()-ROW(rw_LoadOrigin)-1))="","",INDEX(rw_Cum,(ROW()-ROW(rw_LoadOrigin)-1),(COLUMN()-COLUMN(rw_LoadOrigin)-1)+1)-INDEX(rw_Cum,(ROW()-ROW(rw_LoadOrigin)-1),(COLUMN()-COLUMN(rw_LoadOrigin)-1))),"")</f>
        <v>0</v>
      </c>
      <c r="P36" s="60" t="n">
        <f aca="false">IFERROR(IF(INDEX(res_Name,(ROW()-ROW(rw_LoadOrigin)-1))="","",INDEX(rw_Cum,(ROW()-ROW(rw_LoadOrigin)-1),(COLUMN()-COLUMN(rw_LoadOrigin)-1)+1)-INDEX(rw_Cum,(ROW()-ROW(rw_LoadOrigin)-1),(COLUMN()-COLUMN(rw_LoadOrigin)-1))),"")</f>
        <v>0</v>
      </c>
      <c r="Q36" s="60" t="n">
        <f aca="false">IFERROR(IF(INDEX(res_Name,(ROW()-ROW(rw_LoadOrigin)-1))="","",INDEX(rw_Cum,(ROW()-ROW(rw_LoadOrigin)-1),(COLUMN()-COLUMN(rw_LoadOrigin)-1)+1)-INDEX(rw_Cum,(ROW()-ROW(rw_LoadOrigin)-1),(COLUMN()-COLUMN(rw_LoadOrigin)-1))),"")</f>
        <v>16</v>
      </c>
      <c r="R36" s="60" t="n">
        <f aca="false">IFERROR(IF(INDEX(res_Name,(ROW()-ROW(rw_LoadOrigin)-1))="","",INDEX(rw_Cum,(ROW()-ROW(rw_LoadOrigin)-1),(COLUMN()-COLUMN(rw_LoadOrigin)-1)+1)-INDEX(rw_Cum,(ROW()-ROW(rw_LoadOrigin)-1),(COLUMN()-COLUMN(rw_LoadOrigin)-1))),"")</f>
        <v>0</v>
      </c>
      <c r="S36" s="60" t="n">
        <f aca="false">IFERROR(IF(INDEX(res_Name,(ROW()-ROW(rw_LoadOrigin)-1))="","",INDEX(rw_Cum,(ROW()-ROW(rw_LoadOrigin)-1),(COLUMN()-COLUMN(rw_LoadOrigin)-1)+1)-INDEX(rw_Cum,(ROW()-ROW(rw_LoadOrigin)-1),(COLUMN()-COLUMN(rw_LoadOrigin)-1))),"")</f>
        <v>0</v>
      </c>
      <c r="T36" s="60" t="n">
        <f aca="false">IFERROR(IF(INDEX(res_Name,(ROW()-ROW(rw_LoadOrigin)-1))="","",INDEX(rw_Cum,(ROW()-ROW(rw_LoadOrigin)-1),(COLUMN()-COLUMN(rw_LoadOrigin)-1)+1)-INDEX(rw_Cum,(ROW()-ROW(rw_LoadOrigin)-1),(COLUMN()-COLUMN(rw_LoadOrigin)-1))),"")</f>
        <v>0</v>
      </c>
      <c r="U36" s="60" t="n">
        <f aca="false">IFERROR(IF(INDEX(res_Name,(ROW()-ROW(rw_LoadOrigin)-1))="","",INDEX(rw_Cum,(ROW()-ROW(rw_LoadOrigin)-1),(COLUMN()-COLUMN(rw_LoadOrigin)-1)+1)-INDEX(rw_Cum,(ROW()-ROW(rw_LoadOrigin)-1),(COLUMN()-COLUMN(rw_LoadOrigin)-1))),"")</f>
        <v>0</v>
      </c>
      <c r="V36" s="60" t="n">
        <f aca="false">IFERROR(IF(INDEX(res_Name,(ROW()-ROW(rw_LoadOrigin)-1))="","",INDEX(rw_Cum,(ROW()-ROW(rw_LoadOrigin)-1),(COLUMN()-COLUMN(rw_LoadOrigin)-1)+1)-INDEX(rw_Cum,(ROW()-ROW(rw_LoadOrigin)-1),(COLUMN()-COLUMN(rw_LoadOrigin)-1))),"")</f>
        <v>0</v>
      </c>
      <c r="W36" s="60" t="n">
        <f aca="false">IFERROR(IF(INDEX(res_Name,(ROW()-ROW(rw_LoadOrigin)-1))="","",INDEX(rw_Cum,(ROW()-ROW(rw_LoadOrigin)-1),(COLUMN()-COLUMN(rw_LoadOrigin)-1)+1)-INDEX(rw_Cum,(ROW()-ROW(rw_LoadOrigin)-1),(COLUMN()-COLUMN(rw_LoadOrigin)-1))),"")</f>
        <v>0</v>
      </c>
      <c r="X36" s="60" t="n">
        <f aca="false">IFERROR(IF(INDEX(res_Name,(ROW()-ROW(rw_LoadOrigin)-1))="","",INDEX(rw_Cum,(ROW()-ROW(rw_LoadOrigin)-1),(COLUMN()-COLUMN(rw_LoadOrigin)-1)+1)-INDEX(rw_Cum,(ROW()-ROW(rw_LoadOrigin)-1),(COLUMN()-COLUMN(rw_LoadOrigin)-1))),"")</f>
        <v>0</v>
      </c>
      <c r="Y36" s="60" t="n">
        <f aca="false">IFERROR(IF(INDEX(res_Name,(ROW()-ROW(rw_LoadOrigin)-1))="","",INDEX(rw_Cum,(ROW()-ROW(rw_LoadOrigin)-1),(COLUMN()-COLUMN(rw_LoadOrigin)-1)+1)-INDEX(rw_Cum,(ROW()-ROW(rw_LoadOrigin)-1),(COLUMN()-COLUMN(rw_LoadOrigin)-1))),"")</f>
        <v>0</v>
      </c>
      <c r="Z36" s="60" t="n">
        <f aca="false">IFERROR(IF(INDEX(res_Name,(ROW()-ROW(rw_LoadOrigin)-1))="","",INDEX(rw_Cum,(ROW()-ROW(rw_LoadOrigin)-1),(COLUMN()-COLUMN(rw_LoadOrigin)-1)+1)-INDEX(rw_Cum,(ROW()-ROW(rw_LoadOrigin)-1),(COLUMN()-COLUMN(rw_LoadOrigin)-1))),"")</f>
        <v>0</v>
      </c>
      <c r="AA36" s="60" t="n">
        <f aca="false">IFERROR(IF(INDEX(res_Name,(ROW()-ROW(rw_LoadOrigin)-1))="","",INDEX(rw_Cum,(ROW()-ROW(rw_LoadOrigin)-1),(COLUMN()-COLUMN(rw_LoadOrigin)-1)+1)-INDEX(rw_Cum,(ROW()-ROW(rw_LoadOrigin)-1),(COLUMN()-COLUMN(rw_LoadOrigin)-1))),"")</f>
        <v>0</v>
      </c>
      <c r="AB36" s="60" t="n">
        <f aca="false">IFERROR(IF(INDEX(res_Name,(ROW()-ROW(rw_LoadOrigin)-1))="","",INDEX(rw_Cum,(ROW()-ROW(rw_LoadOrigin)-1),(COLUMN()-COLUMN(rw_LoadOrigin)-1)+1)-INDEX(rw_Cum,(ROW()-ROW(rw_LoadOrigin)-1),(COLUMN()-COLUMN(rw_LoadOrigin)-1))),"")</f>
        <v>0</v>
      </c>
      <c r="AC36" s="60" t="n">
        <f aca="false">IFERROR(IF(INDEX(res_Name,(ROW()-ROW(rw_LoadOrigin)-1))="","",INDEX(rw_Cum,(ROW()-ROW(rw_LoadOrigin)-1),(COLUMN()-COLUMN(rw_LoadOrigin)-1)+1)-INDEX(rw_Cum,(ROW()-ROW(rw_LoadOrigin)-1),(COLUMN()-COLUMN(rw_LoadOrigin)-1))),"")</f>
        <v>0</v>
      </c>
    </row>
    <row r="37" customFormat="false" ht="15" hidden="false" customHeight="false" outlineLevel="0" collapsed="false">
      <c r="B37" s="31" t="str">
        <f aca="false">IFERROR(INDEX(res_Name,(ROW()-ROW(rw_LoadOrigin)-1))&amp;"","")</f>
        <v>Morgan Patel</v>
      </c>
      <c r="C37" s="59" t="n">
        <f aca="false">IFERROR(IF(INDEX(res_Name,(ROW()-ROW(rw_LoadOrigin)-1))="","",INDEX(res_MaxUnits,(ROW()-ROW(rw_LoadOrigin)-1))),"")</f>
        <v>1</v>
      </c>
      <c r="D37" s="60" t="n">
        <f aca="false">IFERROR(IF(INDEX(res_Name,(ROW()-ROW(rw_LoadOrigin)-1))="","",INDEX(rw_Cum,(ROW()-ROW(rw_LoadOrigin)-1),(COLUMN()-COLUMN(rw_LoadOrigin)-1)+1)-INDEX(rw_Cum,(ROW()-ROW(rw_LoadOrigin)-1),(COLUMN()-COLUMN(rw_LoadOrigin)-1))),"")</f>
        <v>0</v>
      </c>
      <c r="E37" s="60" t="n">
        <f aca="false">IFERROR(IF(INDEX(res_Name,(ROW()-ROW(rw_LoadOrigin)-1))="","",INDEX(rw_Cum,(ROW()-ROW(rw_LoadOrigin)-1),(COLUMN()-COLUMN(rw_LoadOrigin)-1)+1)-INDEX(rw_Cum,(ROW()-ROW(rw_LoadOrigin)-1),(COLUMN()-COLUMN(rw_LoadOrigin)-1))),"")</f>
        <v>0</v>
      </c>
      <c r="F37" s="60" t="n">
        <f aca="false">IFERROR(IF(INDEX(res_Name,(ROW()-ROW(rw_LoadOrigin)-1))="","",INDEX(rw_Cum,(ROW()-ROW(rw_LoadOrigin)-1),(COLUMN()-COLUMN(rw_LoadOrigin)-1)+1)-INDEX(rw_Cum,(ROW()-ROW(rw_LoadOrigin)-1),(COLUMN()-COLUMN(rw_LoadOrigin)-1))),"")</f>
        <v>0</v>
      </c>
      <c r="G37" s="60" t="n">
        <f aca="false">IFERROR(IF(INDEX(res_Name,(ROW()-ROW(rw_LoadOrigin)-1))="","",INDEX(rw_Cum,(ROW()-ROW(rw_LoadOrigin)-1),(COLUMN()-COLUMN(rw_LoadOrigin)-1)+1)-INDEX(rw_Cum,(ROW()-ROW(rw_LoadOrigin)-1),(COLUMN()-COLUMN(rw_LoadOrigin)-1))),"")</f>
        <v>0</v>
      </c>
      <c r="H37" s="60" t="n">
        <f aca="false">IFERROR(IF(INDEX(res_Name,(ROW()-ROW(rw_LoadOrigin)-1))="","",INDEX(rw_Cum,(ROW()-ROW(rw_LoadOrigin)-1),(COLUMN()-COLUMN(rw_LoadOrigin)-1)+1)-INDEX(rw_Cum,(ROW()-ROW(rw_LoadOrigin)-1),(COLUMN()-COLUMN(rw_LoadOrigin)-1))),"")</f>
        <v>0</v>
      </c>
      <c r="I37" s="60" t="n">
        <f aca="false">IFERROR(IF(INDEX(res_Name,(ROW()-ROW(rw_LoadOrigin)-1))="","",INDEX(rw_Cum,(ROW()-ROW(rw_LoadOrigin)-1),(COLUMN()-COLUMN(rw_LoadOrigin)-1)+1)-INDEX(rw_Cum,(ROW()-ROW(rw_LoadOrigin)-1),(COLUMN()-COLUMN(rw_LoadOrigin)-1))),"")</f>
        <v>0</v>
      </c>
      <c r="J37" s="60" t="n">
        <f aca="false">IFERROR(IF(INDEX(res_Name,(ROW()-ROW(rw_LoadOrigin)-1))="","",INDEX(rw_Cum,(ROW()-ROW(rw_LoadOrigin)-1),(COLUMN()-COLUMN(rw_LoadOrigin)-1)+1)-INDEX(rw_Cum,(ROW()-ROW(rw_LoadOrigin)-1),(COLUMN()-COLUMN(rw_LoadOrigin)-1))),"")</f>
        <v>0</v>
      </c>
      <c r="K37" s="60" t="n">
        <f aca="false">IFERROR(IF(INDEX(res_Name,(ROW()-ROW(rw_LoadOrigin)-1))="","",INDEX(rw_Cum,(ROW()-ROW(rw_LoadOrigin)-1),(COLUMN()-COLUMN(rw_LoadOrigin)-1)+1)-INDEX(rw_Cum,(ROW()-ROW(rw_LoadOrigin)-1),(COLUMN()-COLUMN(rw_LoadOrigin)-1))),"")</f>
        <v>0</v>
      </c>
      <c r="L37" s="60" t="n">
        <f aca="false">IFERROR(IF(INDEX(res_Name,(ROW()-ROW(rw_LoadOrigin)-1))="","",INDEX(rw_Cum,(ROW()-ROW(rw_LoadOrigin)-1),(COLUMN()-COLUMN(rw_LoadOrigin)-1)+1)-INDEX(rw_Cum,(ROW()-ROW(rw_LoadOrigin)-1),(COLUMN()-COLUMN(rw_LoadOrigin)-1))),"")</f>
        <v>0</v>
      </c>
      <c r="M37" s="60" t="n">
        <f aca="false">IFERROR(IF(INDEX(res_Name,(ROW()-ROW(rw_LoadOrigin)-1))="","",INDEX(rw_Cum,(ROW()-ROW(rw_LoadOrigin)-1),(COLUMN()-COLUMN(rw_LoadOrigin)-1)+1)-INDEX(rw_Cum,(ROW()-ROW(rw_LoadOrigin)-1),(COLUMN()-COLUMN(rw_LoadOrigin)-1))),"")</f>
        <v>40</v>
      </c>
      <c r="N37" s="60" t="n">
        <f aca="false">IFERROR(IF(INDEX(res_Name,(ROW()-ROW(rw_LoadOrigin)-1))="","",INDEX(rw_Cum,(ROW()-ROW(rw_LoadOrigin)-1),(COLUMN()-COLUMN(rw_LoadOrigin)-1)+1)-INDEX(rw_Cum,(ROW()-ROW(rw_LoadOrigin)-1),(COLUMN()-COLUMN(rw_LoadOrigin)-1))),"")</f>
        <v>8</v>
      </c>
      <c r="O37" s="60" t="n">
        <f aca="false">IFERROR(IF(INDEX(res_Name,(ROW()-ROW(rw_LoadOrigin)-1))="","",INDEX(rw_Cum,(ROW()-ROW(rw_LoadOrigin)-1),(COLUMN()-COLUMN(rw_LoadOrigin)-1)+1)-INDEX(rw_Cum,(ROW()-ROW(rw_LoadOrigin)-1),(COLUMN()-COLUMN(rw_LoadOrigin)-1))),"")</f>
        <v>0</v>
      </c>
      <c r="P37" s="60" t="n">
        <f aca="false">IFERROR(IF(INDEX(res_Name,(ROW()-ROW(rw_LoadOrigin)-1))="","",INDEX(rw_Cum,(ROW()-ROW(rw_LoadOrigin)-1),(COLUMN()-COLUMN(rw_LoadOrigin)-1)+1)-INDEX(rw_Cum,(ROW()-ROW(rw_LoadOrigin)-1),(COLUMN()-COLUMN(rw_LoadOrigin)-1))),"")</f>
        <v>0</v>
      </c>
      <c r="Q37" s="60" t="n">
        <f aca="false">IFERROR(IF(INDEX(res_Name,(ROW()-ROW(rw_LoadOrigin)-1))="","",INDEX(rw_Cum,(ROW()-ROW(rw_LoadOrigin)-1),(COLUMN()-COLUMN(rw_LoadOrigin)-1)+1)-INDEX(rw_Cum,(ROW()-ROW(rw_LoadOrigin)-1),(COLUMN()-COLUMN(rw_LoadOrigin)-1))),"")</f>
        <v>0</v>
      </c>
      <c r="R37" s="60" t="n">
        <f aca="false">IFERROR(IF(INDEX(res_Name,(ROW()-ROW(rw_LoadOrigin)-1))="","",INDEX(rw_Cum,(ROW()-ROW(rw_LoadOrigin)-1),(COLUMN()-COLUMN(rw_LoadOrigin)-1)+1)-INDEX(rw_Cum,(ROW()-ROW(rw_LoadOrigin)-1),(COLUMN()-COLUMN(rw_LoadOrigin)-1))),"")</f>
        <v>0</v>
      </c>
      <c r="S37" s="60" t="n">
        <f aca="false">IFERROR(IF(INDEX(res_Name,(ROW()-ROW(rw_LoadOrigin)-1))="","",INDEX(rw_Cum,(ROW()-ROW(rw_LoadOrigin)-1),(COLUMN()-COLUMN(rw_LoadOrigin)-1)+1)-INDEX(rw_Cum,(ROW()-ROW(rw_LoadOrigin)-1),(COLUMN()-COLUMN(rw_LoadOrigin)-1))),"")</f>
        <v>0</v>
      </c>
      <c r="T37" s="60" t="n">
        <f aca="false">IFERROR(IF(INDEX(res_Name,(ROW()-ROW(rw_LoadOrigin)-1))="","",INDEX(rw_Cum,(ROW()-ROW(rw_LoadOrigin)-1),(COLUMN()-COLUMN(rw_LoadOrigin)-1)+1)-INDEX(rw_Cum,(ROW()-ROW(rw_LoadOrigin)-1),(COLUMN()-COLUMN(rw_LoadOrigin)-1))),"")</f>
        <v>0</v>
      </c>
      <c r="U37" s="60" t="n">
        <f aca="false">IFERROR(IF(INDEX(res_Name,(ROW()-ROW(rw_LoadOrigin)-1))="","",INDEX(rw_Cum,(ROW()-ROW(rw_LoadOrigin)-1),(COLUMN()-COLUMN(rw_LoadOrigin)-1)+1)-INDEX(rw_Cum,(ROW()-ROW(rw_LoadOrigin)-1),(COLUMN()-COLUMN(rw_LoadOrigin)-1))),"")</f>
        <v>0</v>
      </c>
      <c r="V37" s="60" t="n">
        <f aca="false">IFERROR(IF(INDEX(res_Name,(ROW()-ROW(rw_LoadOrigin)-1))="","",INDEX(rw_Cum,(ROW()-ROW(rw_LoadOrigin)-1),(COLUMN()-COLUMN(rw_LoadOrigin)-1)+1)-INDEX(rw_Cum,(ROW()-ROW(rw_LoadOrigin)-1),(COLUMN()-COLUMN(rw_LoadOrigin)-1))),"")</f>
        <v>0</v>
      </c>
      <c r="W37" s="60" t="n">
        <f aca="false">IFERROR(IF(INDEX(res_Name,(ROW()-ROW(rw_LoadOrigin)-1))="","",INDEX(rw_Cum,(ROW()-ROW(rw_LoadOrigin)-1),(COLUMN()-COLUMN(rw_LoadOrigin)-1)+1)-INDEX(rw_Cum,(ROW()-ROW(rw_LoadOrigin)-1),(COLUMN()-COLUMN(rw_LoadOrigin)-1))),"")</f>
        <v>0</v>
      </c>
      <c r="X37" s="60" t="n">
        <f aca="false">IFERROR(IF(INDEX(res_Name,(ROW()-ROW(rw_LoadOrigin)-1))="","",INDEX(rw_Cum,(ROW()-ROW(rw_LoadOrigin)-1),(COLUMN()-COLUMN(rw_LoadOrigin)-1)+1)-INDEX(rw_Cum,(ROW()-ROW(rw_LoadOrigin)-1),(COLUMN()-COLUMN(rw_LoadOrigin)-1))),"")</f>
        <v>0</v>
      </c>
      <c r="Y37" s="60" t="n">
        <f aca="false">IFERROR(IF(INDEX(res_Name,(ROW()-ROW(rw_LoadOrigin)-1))="","",INDEX(rw_Cum,(ROW()-ROW(rw_LoadOrigin)-1),(COLUMN()-COLUMN(rw_LoadOrigin)-1)+1)-INDEX(rw_Cum,(ROW()-ROW(rw_LoadOrigin)-1),(COLUMN()-COLUMN(rw_LoadOrigin)-1))),"")</f>
        <v>0</v>
      </c>
      <c r="Z37" s="60" t="n">
        <f aca="false">IFERROR(IF(INDEX(res_Name,(ROW()-ROW(rw_LoadOrigin)-1))="","",INDEX(rw_Cum,(ROW()-ROW(rw_LoadOrigin)-1),(COLUMN()-COLUMN(rw_LoadOrigin)-1)+1)-INDEX(rw_Cum,(ROW()-ROW(rw_LoadOrigin)-1),(COLUMN()-COLUMN(rw_LoadOrigin)-1))),"")</f>
        <v>0</v>
      </c>
      <c r="AA37" s="60" t="n">
        <f aca="false">IFERROR(IF(INDEX(res_Name,(ROW()-ROW(rw_LoadOrigin)-1))="","",INDEX(rw_Cum,(ROW()-ROW(rw_LoadOrigin)-1),(COLUMN()-COLUMN(rw_LoadOrigin)-1)+1)-INDEX(rw_Cum,(ROW()-ROW(rw_LoadOrigin)-1),(COLUMN()-COLUMN(rw_LoadOrigin)-1))),"")</f>
        <v>0</v>
      </c>
      <c r="AB37" s="60" t="n">
        <f aca="false">IFERROR(IF(INDEX(res_Name,(ROW()-ROW(rw_LoadOrigin)-1))="","",INDEX(rw_Cum,(ROW()-ROW(rw_LoadOrigin)-1),(COLUMN()-COLUMN(rw_LoadOrigin)-1)+1)-INDEX(rw_Cum,(ROW()-ROW(rw_LoadOrigin)-1),(COLUMN()-COLUMN(rw_LoadOrigin)-1))),"")</f>
        <v>0</v>
      </c>
      <c r="AC37" s="60" t="n">
        <f aca="false">IFERROR(IF(INDEX(res_Name,(ROW()-ROW(rw_LoadOrigin)-1))="","",INDEX(rw_Cum,(ROW()-ROW(rw_LoadOrigin)-1),(COLUMN()-COLUMN(rw_LoadOrigin)-1)+1)-INDEX(rw_Cum,(ROW()-ROW(rw_LoadOrigin)-1),(COLUMN()-COLUMN(rw_LoadOrigin)-1))),"")</f>
        <v>0</v>
      </c>
    </row>
    <row r="38" customFormat="false" ht="15" hidden="false" customHeight="false" outlineLevel="0" collapsed="false">
      <c r="B38" s="31" t="str">
        <f aca="false">IFERROR(INDEX(res_Name,(ROW()-ROW(rw_LoadOrigin)-1))&amp;"","")</f>
        <v>Alex Chen</v>
      </c>
      <c r="C38" s="59" t="n">
        <f aca="false">IFERROR(IF(INDEX(res_Name,(ROW()-ROW(rw_LoadOrigin)-1))="","",INDEX(res_MaxUnits,(ROW()-ROW(rw_LoadOrigin)-1))),"")</f>
        <v>0.5</v>
      </c>
      <c r="D38" s="60" t="n">
        <f aca="false">IFERROR(IF(INDEX(res_Name,(ROW()-ROW(rw_LoadOrigin)-1))="","",INDEX(rw_Cum,(ROW()-ROW(rw_LoadOrigin)-1),(COLUMN()-COLUMN(rw_LoadOrigin)-1)+1)-INDEX(rw_Cum,(ROW()-ROW(rw_LoadOrigin)-1),(COLUMN()-COLUMN(rw_LoadOrigin)-1))),"")</f>
        <v>0</v>
      </c>
      <c r="E38" s="60" t="n">
        <f aca="false">IFERROR(IF(INDEX(res_Name,(ROW()-ROW(rw_LoadOrigin)-1))="","",INDEX(rw_Cum,(ROW()-ROW(rw_LoadOrigin)-1),(COLUMN()-COLUMN(rw_LoadOrigin)-1)+1)-INDEX(rw_Cum,(ROW()-ROW(rw_LoadOrigin)-1),(COLUMN()-COLUMN(rw_LoadOrigin)-1))),"")</f>
        <v>0</v>
      </c>
      <c r="F38" s="60" t="n">
        <f aca="false">IFERROR(IF(INDEX(res_Name,(ROW()-ROW(rw_LoadOrigin)-1))="","",INDEX(rw_Cum,(ROW()-ROW(rw_LoadOrigin)-1),(COLUMN()-COLUMN(rw_LoadOrigin)-1)+1)-INDEX(rw_Cum,(ROW()-ROW(rw_LoadOrigin)-1),(COLUMN()-COLUMN(rw_LoadOrigin)-1))),"")</f>
        <v>0</v>
      </c>
      <c r="G38" s="60" t="n">
        <f aca="false">IFERROR(IF(INDEX(res_Name,(ROW()-ROW(rw_LoadOrigin)-1))="","",INDEX(rw_Cum,(ROW()-ROW(rw_LoadOrigin)-1),(COLUMN()-COLUMN(rw_LoadOrigin)-1)+1)-INDEX(rw_Cum,(ROW()-ROW(rw_LoadOrigin)-1),(COLUMN()-COLUMN(rw_LoadOrigin)-1))),"")</f>
        <v>0</v>
      </c>
      <c r="H38" s="60" t="n">
        <f aca="false">IFERROR(IF(INDEX(res_Name,(ROW()-ROW(rw_LoadOrigin)-1))="","",INDEX(rw_Cum,(ROW()-ROW(rw_LoadOrigin)-1),(COLUMN()-COLUMN(rw_LoadOrigin)-1)+1)-INDEX(rw_Cum,(ROW()-ROW(rw_LoadOrigin)-1),(COLUMN()-COLUMN(rw_LoadOrigin)-1))),"")</f>
        <v>0</v>
      </c>
      <c r="I38" s="60" t="n">
        <f aca="false">IFERROR(IF(INDEX(res_Name,(ROW()-ROW(rw_LoadOrigin)-1))="","",INDEX(rw_Cum,(ROW()-ROW(rw_LoadOrigin)-1),(COLUMN()-COLUMN(rw_LoadOrigin)-1)+1)-INDEX(rw_Cum,(ROW()-ROW(rw_LoadOrigin)-1),(COLUMN()-COLUMN(rw_LoadOrigin)-1))),"")</f>
        <v>0</v>
      </c>
      <c r="J38" s="60" t="n">
        <f aca="false">IFERROR(IF(INDEX(res_Name,(ROW()-ROW(rw_LoadOrigin)-1))="","",INDEX(rw_Cum,(ROW()-ROW(rw_LoadOrigin)-1),(COLUMN()-COLUMN(rw_LoadOrigin)-1)+1)-INDEX(rw_Cum,(ROW()-ROW(rw_LoadOrigin)-1),(COLUMN()-COLUMN(rw_LoadOrigin)-1))),"")</f>
        <v>0</v>
      </c>
      <c r="K38" s="60" t="n">
        <f aca="false">IFERROR(IF(INDEX(res_Name,(ROW()-ROW(rw_LoadOrigin)-1))="","",INDEX(rw_Cum,(ROW()-ROW(rw_LoadOrigin)-1),(COLUMN()-COLUMN(rw_LoadOrigin)-1)+1)-INDEX(rw_Cum,(ROW()-ROW(rw_LoadOrigin)-1),(COLUMN()-COLUMN(rw_LoadOrigin)-1))),"")</f>
        <v>0</v>
      </c>
      <c r="L38" s="60" t="n">
        <f aca="false">IFERROR(IF(INDEX(res_Name,(ROW()-ROW(rw_LoadOrigin)-1))="","",INDEX(rw_Cum,(ROW()-ROW(rw_LoadOrigin)-1),(COLUMN()-COLUMN(rw_LoadOrigin)-1)+1)-INDEX(rw_Cum,(ROW()-ROW(rw_LoadOrigin)-1),(COLUMN()-COLUMN(rw_LoadOrigin)-1))),"")</f>
        <v>0</v>
      </c>
      <c r="M38" s="60" t="n">
        <f aca="false">IFERROR(IF(INDEX(res_Name,(ROW()-ROW(rw_LoadOrigin)-1))="","",INDEX(rw_Cum,(ROW()-ROW(rw_LoadOrigin)-1),(COLUMN()-COLUMN(rw_LoadOrigin)-1)+1)-INDEX(rw_Cum,(ROW()-ROW(rw_LoadOrigin)-1),(COLUMN()-COLUMN(rw_LoadOrigin)-1))),"")</f>
        <v>0</v>
      </c>
      <c r="N38" s="60" t="n">
        <f aca="false">IFERROR(IF(INDEX(res_Name,(ROW()-ROW(rw_LoadOrigin)-1))="","",INDEX(rw_Cum,(ROW()-ROW(rw_LoadOrigin)-1),(COLUMN()-COLUMN(rw_LoadOrigin)-1)+1)-INDEX(rw_Cum,(ROW()-ROW(rw_LoadOrigin)-1),(COLUMN()-COLUMN(rw_LoadOrigin)-1))),"")</f>
        <v>0</v>
      </c>
      <c r="O38" s="60" t="n">
        <f aca="false">IFERROR(IF(INDEX(res_Name,(ROW()-ROW(rw_LoadOrigin)-1))="","",INDEX(rw_Cum,(ROW()-ROW(rw_LoadOrigin)-1),(COLUMN()-COLUMN(rw_LoadOrigin)-1)+1)-INDEX(rw_Cum,(ROW()-ROW(rw_LoadOrigin)-1),(COLUMN()-COLUMN(rw_LoadOrigin)-1))),"")</f>
        <v>0</v>
      </c>
      <c r="P38" s="60" t="n">
        <f aca="false">IFERROR(IF(INDEX(res_Name,(ROW()-ROW(rw_LoadOrigin)-1))="","",INDEX(rw_Cum,(ROW()-ROW(rw_LoadOrigin)-1),(COLUMN()-COLUMN(rw_LoadOrigin)-1)+1)-INDEX(rw_Cum,(ROW()-ROW(rw_LoadOrigin)-1),(COLUMN()-COLUMN(rw_LoadOrigin)-1))),"")</f>
        <v>0</v>
      </c>
      <c r="Q38" s="60" t="n">
        <f aca="false">IFERROR(IF(INDEX(res_Name,(ROW()-ROW(rw_LoadOrigin)-1))="","",INDEX(rw_Cum,(ROW()-ROW(rw_LoadOrigin)-1),(COLUMN()-COLUMN(rw_LoadOrigin)-1)+1)-INDEX(rw_Cum,(ROW()-ROW(rw_LoadOrigin)-1),(COLUMN()-COLUMN(rw_LoadOrigin)-1))),"")</f>
        <v>0</v>
      </c>
      <c r="R38" s="60" t="n">
        <f aca="false">IFERROR(IF(INDEX(res_Name,(ROW()-ROW(rw_LoadOrigin)-1))="","",INDEX(rw_Cum,(ROW()-ROW(rw_LoadOrigin)-1),(COLUMN()-COLUMN(rw_LoadOrigin)-1)+1)-INDEX(rw_Cum,(ROW()-ROW(rw_LoadOrigin)-1),(COLUMN()-COLUMN(rw_LoadOrigin)-1))),"")</f>
        <v>0</v>
      </c>
      <c r="S38" s="60" t="n">
        <f aca="false">IFERROR(IF(INDEX(res_Name,(ROW()-ROW(rw_LoadOrigin)-1))="","",INDEX(rw_Cum,(ROW()-ROW(rw_LoadOrigin)-1),(COLUMN()-COLUMN(rw_LoadOrigin)-1)+1)-INDEX(rw_Cum,(ROW()-ROW(rw_LoadOrigin)-1),(COLUMN()-COLUMN(rw_LoadOrigin)-1))),"")</f>
        <v>0</v>
      </c>
      <c r="T38" s="60" t="n">
        <f aca="false">IFERROR(IF(INDEX(res_Name,(ROW()-ROW(rw_LoadOrigin)-1))="","",INDEX(rw_Cum,(ROW()-ROW(rw_LoadOrigin)-1),(COLUMN()-COLUMN(rw_LoadOrigin)-1)+1)-INDEX(rw_Cum,(ROW()-ROW(rw_LoadOrigin)-1),(COLUMN()-COLUMN(rw_LoadOrigin)-1))),"")</f>
        <v>0</v>
      </c>
      <c r="U38" s="60" t="n">
        <f aca="false">IFERROR(IF(INDEX(res_Name,(ROW()-ROW(rw_LoadOrigin)-1))="","",INDEX(rw_Cum,(ROW()-ROW(rw_LoadOrigin)-1),(COLUMN()-COLUMN(rw_LoadOrigin)-1)+1)-INDEX(rw_Cum,(ROW()-ROW(rw_LoadOrigin)-1),(COLUMN()-COLUMN(rw_LoadOrigin)-1))),"")</f>
        <v>0</v>
      </c>
      <c r="V38" s="60" t="n">
        <f aca="false">IFERROR(IF(INDEX(res_Name,(ROW()-ROW(rw_LoadOrigin)-1))="","",INDEX(rw_Cum,(ROW()-ROW(rw_LoadOrigin)-1),(COLUMN()-COLUMN(rw_LoadOrigin)-1)+1)-INDEX(rw_Cum,(ROW()-ROW(rw_LoadOrigin)-1),(COLUMN()-COLUMN(rw_LoadOrigin)-1))),"")</f>
        <v>0</v>
      </c>
      <c r="W38" s="60" t="n">
        <f aca="false">IFERROR(IF(INDEX(res_Name,(ROW()-ROW(rw_LoadOrigin)-1))="","",INDEX(rw_Cum,(ROW()-ROW(rw_LoadOrigin)-1),(COLUMN()-COLUMN(rw_LoadOrigin)-1)+1)-INDEX(rw_Cum,(ROW()-ROW(rw_LoadOrigin)-1),(COLUMN()-COLUMN(rw_LoadOrigin)-1))),"")</f>
        <v>0</v>
      </c>
      <c r="X38" s="60" t="n">
        <f aca="false">IFERROR(IF(INDEX(res_Name,(ROW()-ROW(rw_LoadOrigin)-1))="","",INDEX(rw_Cum,(ROW()-ROW(rw_LoadOrigin)-1),(COLUMN()-COLUMN(rw_LoadOrigin)-1)+1)-INDEX(rw_Cum,(ROW()-ROW(rw_LoadOrigin)-1),(COLUMN()-COLUMN(rw_LoadOrigin)-1))),"")</f>
        <v>0</v>
      </c>
      <c r="Y38" s="60" t="n">
        <f aca="false">IFERROR(IF(INDEX(res_Name,(ROW()-ROW(rw_LoadOrigin)-1))="","",INDEX(rw_Cum,(ROW()-ROW(rw_LoadOrigin)-1),(COLUMN()-COLUMN(rw_LoadOrigin)-1)+1)-INDEX(rw_Cum,(ROW()-ROW(rw_LoadOrigin)-1),(COLUMN()-COLUMN(rw_LoadOrigin)-1))),"")</f>
        <v>0</v>
      </c>
      <c r="Z38" s="60" t="n">
        <f aca="false">IFERROR(IF(INDEX(res_Name,(ROW()-ROW(rw_LoadOrigin)-1))="","",INDEX(rw_Cum,(ROW()-ROW(rw_LoadOrigin)-1),(COLUMN()-COLUMN(rw_LoadOrigin)-1)+1)-INDEX(rw_Cum,(ROW()-ROW(rw_LoadOrigin)-1),(COLUMN()-COLUMN(rw_LoadOrigin)-1))),"")</f>
        <v>0</v>
      </c>
      <c r="AA38" s="60" t="n">
        <f aca="false">IFERROR(IF(INDEX(res_Name,(ROW()-ROW(rw_LoadOrigin)-1))="","",INDEX(rw_Cum,(ROW()-ROW(rw_LoadOrigin)-1),(COLUMN()-COLUMN(rw_LoadOrigin)-1)+1)-INDEX(rw_Cum,(ROW()-ROW(rw_LoadOrigin)-1),(COLUMN()-COLUMN(rw_LoadOrigin)-1))),"")</f>
        <v>0</v>
      </c>
      <c r="AB38" s="60" t="n">
        <f aca="false">IFERROR(IF(INDEX(res_Name,(ROW()-ROW(rw_LoadOrigin)-1))="","",INDEX(rw_Cum,(ROW()-ROW(rw_LoadOrigin)-1),(COLUMN()-COLUMN(rw_LoadOrigin)-1)+1)-INDEX(rw_Cum,(ROW()-ROW(rw_LoadOrigin)-1),(COLUMN()-COLUMN(rw_LoadOrigin)-1))),"")</f>
        <v>0</v>
      </c>
      <c r="AC38" s="60" t="n">
        <f aca="false">IFERROR(IF(INDEX(res_Name,(ROW()-ROW(rw_LoadOrigin)-1))="","",INDEX(rw_Cum,(ROW()-ROW(rw_LoadOrigin)-1),(COLUMN()-COLUMN(rw_LoadOrigin)-1)+1)-INDEX(rw_Cum,(ROW()-ROW(rw_LoadOrigin)-1),(COLUMN()-COLUMN(rw_LoadOrigin)-1))),"")</f>
        <v>0</v>
      </c>
    </row>
    <row r="39" customFormat="false" ht="15" hidden="false" customHeight="false" outlineLevel="0" collapsed="false">
      <c r="B39" s="31" t="str">
        <f aca="false">IFERROR(INDEX(res_Name,(ROW()-ROW(rw_LoadOrigin)-1))&amp;"","")</f>
        <v>Casey Kim</v>
      </c>
      <c r="C39" s="59" t="n">
        <f aca="false">IFERROR(IF(INDEX(res_Name,(ROW()-ROW(rw_LoadOrigin)-1))="","",INDEX(res_MaxUnits,(ROW()-ROW(rw_LoadOrigin)-1))),"")</f>
        <v>1</v>
      </c>
      <c r="D39" s="60" t="n">
        <f aca="false">IFERROR(IF(INDEX(res_Name,(ROW()-ROW(rw_LoadOrigin)-1))="","",INDEX(rw_Cum,(ROW()-ROW(rw_LoadOrigin)-1),(COLUMN()-COLUMN(rw_LoadOrigin)-1)+1)-INDEX(rw_Cum,(ROW()-ROW(rw_LoadOrigin)-1),(COLUMN()-COLUMN(rw_LoadOrigin)-1))),"")</f>
        <v>13.7142857142857</v>
      </c>
      <c r="E39" s="60" t="n">
        <f aca="false">IFERROR(IF(INDEX(res_Name,(ROW()-ROW(rw_LoadOrigin)-1))="","",INDEX(rw_Cum,(ROW()-ROW(rw_LoadOrigin)-1),(COLUMN()-COLUMN(rw_LoadOrigin)-1)+1)-INDEX(rw_Cum,(ROW()-ROW(rw_LoadOrigin)-1),(COLUMN()-COLUMN(rw_LoadOrigin)-1))),"")</f>
        <v>0</v>
      </c>
      <c r="F39" s="60" t="n">
        <f aca="false">IFERROR(IF(INDEX(res_Name,(ROW()-ROW(rw_LoadOrigin)-1))="","",INDEX(rw_Cum,(ROW()-ROW(rw_LoadOrigin)-1),(COLUMN()-COLUMN(rw_LoadOrigin)-1)+1)-INDEX(rw_Cum,(ROW()-ROW(rw_LoadOrigin)-1),(COLUMN()-COLUMN(rw_LoadOrigin)-1))),"")</f>
        <v>0</v>
      </c>
      <c r="G39" s="60" t="n">
        <f aca="false">IFERROR(IF(INDEX(res_Name,(ROW()-ROW(rw_LoadOrigin)-1))="","",INDEX(rw_Cum,(ROW()-ROW(rw_LoadOrigin)-1),(COLUMN()-COLUMN(rw_LoadOrigin)-1)+1)-INDEX(rw_Cum,(ROW()-ROW(rw_LoadOrigin)-1),(COLUMN()-COLUMN(rw_LoadOrigin)-1))),"")</f>
        <v>0</v>
      </c>
      <c r="H39" s="60" t="n">
        <f aca="false">IFERROR(IF(INDEX(res_Name,(ROW()-ROW(rw_LoadOrigin)-1))="","",INDEX(rw_Cum,(ROW()-ROW(rw_LoadOrigin)-1),(COLUMN()-COLUMN(rw_LoadOrigin)-1)+1)-INDEX(rw_Cum,(ROW()-ROW(rw_LoadOrigin)-1),(COLUMN()-COLUMN(rw_LoadOrigin)-1))),"")</f>
        <v>12</v>
      </c>
      <c r="I39" s="60" t="n">
        <f aca="false">IFERROR(IF(INDEX(res_Name,(ROW()-ROW(rw_LoadOrigin)-1))="","",INDEX(rw_Cum,(ROW()-ROW(rw_LoadOrigin)-1),(COLUMN()-COLUMN(rw_LoadOrigin)-1)+1)-INDEX(rw_Cum,(ROW()-ROW(rw_LoadOrigin)-1),(COLUMN()-COLUMN(rw_LoadOrigin)-1))),"")</f>
        <v>8</v>
      </c>
      <c r="J39" s="60" t="n">
        <f aca="false">IFERROR(IF(INDEX(res_Name,(ROW()-ROW(rw_LoadOrigin)-1))="","",INDEX(rw_Cum,(ROW()-ROW(rw_LoadOrigin)-1),(COLUMN()-COLUMN(rw_LoadOrigin)-1)+1)-INDEX(rw_Cum,(ROW()-ROW(rw_LoadOrigin)-1),(COLUMN()-COLUMN(rw_LoadOrigin)-1))),"")</f>
        <v>12</v>
      </c>
      <c r="K39" s="60" t="n">
        <f aca="false">IFERROR(IF(INDEX(res_Name,(ROW()-ROW(rw_LoadOrigin)-1))="","",INDEX(rw_Cum,(ROW()-ROW(rw_LoadOrigin)-1),(COLUMN()-COLUMN(rw_LoadOrigin)-1)+1)-INDEX(rw_Cum,(ROW()-ROW(rw_LoadOrigin)-1),(COLUMN()-COLUMN(rw_LoadOrigin)-1))),"")</f>
        <v>0</v>
      </c>
      <c r="L39" s="60" t="n">
        <f aca="false">IFERROR(IF(INDEX(res_Name,(ROW()-ROW(rw_LoadOrigin)-1))="","",INDEX(rw_Cum,(ROW()-ROW(rw_LoadOrigin)-1),(COLUMN()-COLUMN(rw_LoadOrigin)-1)+1)-INDEX(rw_Cum,(ROW()-ROW(rw_LoadOrigin)-1),(COLUMN()-COLUMN(rw_LoadOrigin)-1))),"")</f>
        <v>0</v>
      </c>
      <c r="M39" s="60" t="n">
        <f aca="false">IFERROR(IF(INDEX(res_Name,(ROW()-ROW(rw_LoadOrigin)-1))="","",INDEX(rw_Cum,(ROW()-ROW(rw_LoadOrigin)-1),(COLUMN()-COLUMN(rw_LoadOrigin)-1)+1)-INDEX(rw_Cum,(ROW()-ROW(rw_LoadOrigin)-1),(COLUMN()-COLUMN(rw_LoadOrigin)-1))),"")</f>
        <v>0</v>
      </c>
      <c r="N39" s="60" t="n">
        <f aca="false">IFERROR(IF(INDEX(res_Name,(ROW()-ROW(rw_LoadOrigin)-1))="","",INDEX(rw_Cum,(ROW()-ROW(rw_LoadOrigin)-1),(COLUMN()-COLUMN(rw_LoadOrigin)-1)+1)-INDEX(rw_Cum,(ROW()-ROW(rw_LoadOrigin)-1),(COLUMN()-COLUMN(rw_LoadOrigin)-1))),"")</f>
        <v>0</v>
      </c>
      <c r="O39" s="60" t="n">
        <f aca="false">IFERROR(IF(INDEX(res_Name,(ROW()-ROW(rw_LoadOrigin)-1))="","",INDEX(rw_Cum,(ROW()-ROW(rw_LoadOrigin)-1),(COLUMN()-COLUMN(rw_LoadOrigin)-1)+1)-INDEX(rw_Cum,(ROW()-ROW(rw_LoadOrigin)-1),(COLUMN()-COLUMN(rw_LoadOrigin)-1))),"")</f>
        <v>0</v>
      </c>
      <c r="P39" s="60" t="n">
        <f aca="false">IFERROR(IF(INDEX(res_Name,(ROW()-ROW(rw_LoadOrigin)-1))="","",INDEX(rw_Cum,(ROW()-ROW(rw_LoadOrigin)-1),(COLUMN()-COLUMN(rw_LoadOrigin)-1)+1)-INDEX(rw_Cum,(ROW()-ROW(rw_LoadOrigin)-1),(COLUMN()-COLUMN(rw_LoadOrigin)-1))),"")</f>
        <v>0</v>
      </c>
      <c r="Q39" s="60" t="n">
        <f aca="false">IFERROR(IF(INDEX(res_Name,(ROW()-ROW(rw_LoadOrigin)-1))="","",INDEX(rw_Cum,(ROW()-ROW(rw_LoadOrigin)-1),(COLUMN()-COLUMN(rw_LoadOrigin)-1)+1)-INDEX(rw_Cum,(ROW()-ROW(rw_LoadOrigin)-1),(COLUMN()-COLUMN(rw_LoadOrigin)-1))),"")</f>
        <v>0</v>
      </c>
      <c r="R39" s="60" t="n">
        <f aca="false">IFERROR(IF(INDEX(res_Name,(ROW()-ROW(rw_LoadOrigin)-1))="","",INDEX(rw_Cum,(ROW()-ROW(rw_LoadOrigin)-1),(COLUMN()-COLUMN(rw_LoadOrigin)-1)+1)-INDEX(rw_Cum,(ROW()-ROW(rw_LoadOrigin)-1),(COLUMN()-COLUMN(rw_LoadOrigin)-1))),"")</f>
        <v>0</v>
      </c>
      <c r="S39" s="60" t="n">
        <f aca="false">IFERROR(IF(INDEX(res_Name,(ROW()-ROW(rw_LoadOrigin)-1))="","",INDEX(rw_Cum,(ROW()-ROW(rw_LoadOrigin)-1),(COLUMN()-COLUMN(rw_LoadOrigin)-1)+1)-INDEX(rw_Cum,(ROW()-ROW(rw_LoadOrigin)-1),(COLUMN()-COLUMN(rw_LoadOrigin)-1))),"")</f>
        <v>0</v>
      </c>
      <c r="T39" s="60" t="n">
        <f aca="false">IFERROR(IF(INDEX(res_Name,(ROW()-ROW(rw_LoadOrigin)-1))="","",INDEX(rw_Cum,(ROW()-ROW(rw_LoadOrigin)-1),(COLUMN()-COLUMN(rw_LoadOrigin)-1)+1)-INDEX(rw_Cum,(ROW()-ROW(rw_LoadOrigin)-1),(COLUMN()-COLUMN(rw_LoadOrigin)-1))),"")</f>
        <v>0</v>
      </c>
      <c r="U39" s="60" t="n">
        <f aca="false">IFERROR(IF(INDEX(res_Name,(ROW()-ROW(rw_LoadOrigin)-1))="","",INDEX(rw_Cum,(ROW()-ROW(rw_LoadOrigin)-1),(COLUMN()-COLUMN(rw_LoadOrigin)-1)+1)-INDEX(rw_Cum,(ROW()-ROW(rw_LoadOrigin)-1),(COLUMN()-COLUMN(rw_LoadOrigin)-1))),"")</f>
        <v>0</v>
      </c>
      <c r="V39" s="60" t="n">
        <f aca="false">IFERROR(IF(INDEX(res_Name,(ROW()-ROW(rw_LoadOrigin)-1))="","",INDEX(rw_Cum,(ROW()-ROW(rw_LoadOrigin)-1),(COLUMN()-COLUMN(rw_LoadOrigin)-1)+1)-INDEX(rw_Cum,(ROW()-ROW(rw_LoadOrigin)-1),(COLUMN()-COLUMN(rw_LoadOrigin)-1))),"")</f>
        <v>0</v>
      </c>
      <c r="W39" s="60" t="n">
        <f aca="false">IFERROR(IF(INDEX(res_Name,(ROW()-ROW(rw_LoadOrigin)-1))="","",INDEX(rw_Cum,(ROW()-ROW(rw_LoadOrigin)-1),(COLUMN()-COLUMN(rw_LoadOrigin)-1)+1)-INDEX(rw_Cum,(ROW()-ROW(rw_LoadOrigin)-1),(COLUMN()-COLUMN(rw_LoadOrigin)-1))),"")</f>
        <v>0</v>
      </c>
      <c r="X39" s="60" t="n">
        <f aca="false">IFERROR(IF(INDEX(res_Name,(ROW()-ROW(rw_LoadOrigin)-1))="","",INDEX(rw_Cum,(ROW()-ROW(rw_LoadOrigin)-1),(COLUMN()-COLUMN(rw_LoadOrigin)-1)+1)-INDEX(rw_Cum,(ROW()-ROW(rw_LoadOrigin)-1),(COLUMN()-COLUMN(rw_LoadOrigin)-1))),"")</f>
        <v>0</v>
      </c>
      <c r="Y39" s="60" t="n">
        <f aca="false">IFERROR(IF(INDEX(res_Name,(ROW()-ROW(rw_LoadOrigin)-1))="","",INDEX(rw_Cum,(ROW()-ROW(rw_LoadOrigin)-1),(COLUMN()-COLUMN(rw_LoadOrigin)-1)+1)-INDEX(rw_Cum,(ROW()-ROW(rw_LoadOrigin)-1),(COLUMN()-COLUMN(rw_LoadOrigin)-1))),"")</f>
        <v>0</v>
      </c>
      <c r="Z39" s="60" t="n">
        <f aca="false">IFERROR(IF(INDEX(res_Name,(ROW()-ROW(rw_LoadOrigin)-1))="","",INDEX(rw_Cum,(ROW()-ROW(rw_LoadOrigin)-1),(COLUMN()-COLUMN(rw_LoadOrigin)-1)+1)-INDEX(rw_Cum,(ROW()-ROW(rw_LoadOrigin)-1),(COLUMN()-COLUMN(rw_LoadOrigin)-1))),"")</f>
        <v>0</v>
      </c>
      <c r="AA39" s="60" t="n">
        <f aca="false">IFERROR(IF(INDEX(res_Name,(ROW()-ROW(rw_LoadOrigin)-1))="","",INDEX(rw_Cum,(ROW()-ROW(rw_LoadOrigin)-1),(COLUMN()-COLUMN(rw_LoadOrigin)-1)+1)-INDEX(rw_Cum,(ROW()-ROW(rw_LoadOrigin)-1),(COLUMN()-COLUMN(rw_LoadOrigin)-1))),"")</f>
        <v>0</v>
      </c>
      <c r="AB39" s="60" t="n">
        <f aca="false">IFERROR(IF(INDEX(res_Name,(ROW()-ROW(rw_LoadOrigin)-1))="","",INDEX(rw_Cum,(ROW()-ROW(rw_LoadOrigin)-1),(COLUMN()-COLUMN(rw_LoadOrigin)-1)+1)-INDEX(rw_Cum,(ROW()-ROW(rw_LoadOrigin)-1),(COLUMN()-COLUMN(rw_LoadOrigin)-1))),"")</f>
        <v>0</v>
      </c>
      <c r="AC39" s="60" t="n">
        <f aca="false">IFERROR(IF(INDEX(res_Name,(ROW()-ROW(rw_LoadOrigin)-1))="","",INDEX(rw_Cum,(ROW()-ROW(rw_LoadOrigin)-1),(COLUMN()-COLUMN(rw_LoadOrigin)-1)+1)-INDEX(rw_Cum,(ROW()-ROW(rw_LoadOrigin)-1),(COLUMN()-COLUMN(rw_LoadOrigin)-1))),"")</f>
        <v>0</v>
      </c>
    </row>
    <row r="40" customFormat="false" ht="15" hidden="false" customHeight="false" outlineLevel="0" collapsed="false">
      <c r="B40" s="31" t="str">
        <f aca="false">IFERROR(INDEX(res_Name,(ROW()-ROW(rw_LoadOrigin)-1))&amp;"","")</f>
        <v>Jordan Lee</v>
      </c>
      <c r="C40" s="59" t="n">
        <f aca="false">IFERROR(IF(INDEX(res_Name,(ROW()-ROW(rw_LoadOrigin)-1))="","",INDEX(res_MaxUnits,(ROW()-ROW(rw_LoadOrigin)-1))),"")</f>
        <v>1</v>
      </c>
      <c r="D40" s="60" t="n">
        <f aca="false">IFERROR(IF(INDEX(res_Name,(ROW()-ROW(rw_LoadOrigin)-1))="","",INDEX(rw_Cum,(ROW()-ROW(rw_LoadOrigin)-1),(COLUMN()-COLUMN(rw_LoadOrigin)-1)+1)-INDEX(rw_Cum,(ROW()-ROW(rw_LoadOrigin)-1),(COLUMN()-COLUMN(rw_LoadOrigin)-1))),"")</f>
        <v>20</v>
      </c>
      <c r="E40" s="60" t="n">
        <f aca="false">IFERROR(IF(INDEX(res_Name,(ROW()-ROW(rw_LoadOrigin)-1))="","",INDEX(rw_Cum,(ROW()-ROW(rw_LoadOrigin)-1),(COLUMN()-COLUMN(rw_LoadOrigin)-1)+1)-INDEX(rw_Cum,(ROW()-ROW(rw_LoadOrigin)-1),(COLUMN()-COLUMN(rw_LoadOrigin)-1))),"")</f>
        <v>33.3333333333333</v>
      </c>
      <c r="F40" s="60" t="n">
        <f aca="false">IFERROR(IF(INDEX(res_Name,(ROW()-ROW(rw_LoadOrigin)-1))="","",INDEX(rw_Cum,(ROW()-ROW(rw_LoadOrigin)-1),(COLUMN()-COLUMN(rw_LoadOrigin)-1)+1)-INDEX(rw_Cum,(ROW()-ROW(rw_LoadOrigin)-1),(COLUMN()-COLUMN(rw_LoadOrigin)-1))),"")</f>
        <v>33.3333333333334</v>
      </c>
      <c r="G40" s="60" t="n">
        <f aca="false">IFERROR(IF(INDEX(res_Name,(ROW()-ROW(rw_LoadOrigin)-1))="","",INDEX(rw_Cum,(ROW()-ROW(rw_LoadOrigin)-1),(COLUMN()-COLUMN(rw_LoadOrigin)-1)+1)-INDEX(rw_Cum,(ROW()-ROW(rw_LoadOrigin)-1),(COLUMN()-COLUMN(rw_LoadOrigin)-1))),"")</f>
        <v>33.3333333333333</v>
      </c>
      <c r="H40" s="60" t="n">
        <f aca="false">IFERROR(IF(INDEX(res_Name,(ROW()-ROW(rw_LoadOrigin)-1))="","",INDEX(rw_Cum,(ROW()-ROW(rw_LoadOrigin)-1),(COLUMN()-COLUMN(rw_LoadOrigin)-1)+1)-INDEX(rw_Cum,(ROW()-ROW(rw_LoadOrigin)-1),(COLUMN()-COLUMN(rw_LoadOrigin)-1))),"")</f>
        <v>40</v>
      </c>
      <c r="I40" s="60" t="n">
        <f aca="false">IFERROR(IF(INDEX(res_Name,(ROW()-ROW(rw_LoadOrigin)-1))="","",INDEX(rw_Cum,(ROW()-ROW(rw_LoadOrigin)-1),(COLUMN()-COLUMN(rw_LoadOrigin)-1)+1)-INDEX(rw_Cum,(ROW()-ROW(rw_LoadOrigin)-1),(COLUMN()-COLUMN(rw_LoadOrigin)-1))),"")</f>
        <v>8</v>
      </c>
      <c r="J40" s="60" t="n">
        <f aca="false">IFERROR(IF(INDEX(res_Name,(ROW()-ROW(rw_LoadOrigin)-1))="","",INDEX(rw_Cum,(ROW()-ROW(rw_LoadOrigin)-1),(COLUMN()-COLUMN(rw_LoadOrigin)-1)+1)-INDEX(rw_Cum,(ROW()-ROW(rw_LoadOrigin)-1),(COLUMN()-COLUMN(rw_LoadOrigin)-1))),"")</f>
        <v>0</v>
      </c>
      <c r="K40" s="60" t="n">
        <f aca="false">IFERROR(IF(INDEX(res_Name,(ROW()-ROW(rw_LoadOrigin)-1))="","",INDEX(rw_Cum,(ROW()-ROW(rw_LoadOrigin)-1),(COLUMN()-COLUMN(rw_LoadOrigin)-1)+1)-INDEX(rw_Cum,(ROW()-ROW(rw_LoadOrigin)-1),(COLUMN()-COLUMN(rw_LoadOrigin)-1))),"")</f>
        <v>0</v>
      </c>
      <c r="L40" s="60" t="n">
        <f aca="false">IFERROR(IF(INDEX(res_Name,(ROW()-ROW(rw_LoadOrigin)-1))="","",INDEX(rw_Cum,(ROW()-ROW(rw_LoadOrigin)-1),(COLUMN()-COLUMN(rw_LoadOrigin)-1)+1)-INDEX(rw_Cum,(ROW()-ROW(rw_LoadOrigin)-1),(COLUMN()-COLUMN(rw_LoadOrigin)-1))),"")</f>
        <v>0</v>
      </c>
      <c r="M40" s="60" t="n">
        <f aca="false">IFERROR(IF(INDEX(res_Name,(ROW()-ROW(rw_LoadOrigin)-1))="","",INDEX(rw_Cum,(ROW()-ROW(rw_LoadOrigin)-1),(COLUMN()-COLUMN(rw_LoadOrigin)-1)+1)-INDEX(rw_Cum,(ROW()-ROW(rw_LoadOrigin)-1),(COLUMN()-COLUMN(rw_LoadOrigin)-1))),"")</f>
        <v>0</v>
      </c>
      <c r="N40" s="60" t="n">
        <f aca="false">IFERROR(IF(INDEX(res_Name,(ROW()-ROW(rw_LoadOrigin)-1))="","",INDEX(rw_Cum,(ROW()-ROW(rw_LoadOrigin)-1),(COLUMN()-COLUMN(rw_LoadOrigin)-1)+1)-INDEX(rw_Cum,(ROW()-ROW(rw_LoadOrigin)-1),(COLUMN()-COLUMN(rw_LoadOrigin)-1))),"")</f>
        <v>12</v>
      </c>
      <c r="O40" s="60" t="n">
        <f aca="false">IFERROR(IF(INDEX(res_Name,(ROW()-ROW(rw_LoadOrigin)-1))="","",INDEX(rw_Cum,(ROW()-ROW(rw_LoadOrigin)-1),(COLUMN()-COLUMN(rw_LoadOrigin)-1)+1)-INDEX(rw_Cum,(ROW()-ROW(rw_LoadOrigin)-1),(COLUMN()-COLUMN(rw_LoadOrigin)-1))),"")</f>
        <v>12</v>
      </c>
      <c r="P40" s="60" t="n">
        <f aca="false">IFERROR(IF(INDEX(res_Name,(ROW()-ROW(rw_LoadOrigin)-1))="","",INDEX(rw_Cum,(ROW()-ROW(rw_LoadOrigin)-1),(COLUMN()-COLUMN(rw_LoadOrigin)-1)+1)-INDEX(rw_Cum,(ROW()-ROW(rw_LoadOrigin)-1),(COLUMN()-COLUMN(rw_LoadOrigin)-1))),"")</f>
        <v>12</v>
      </c>
      <c r="Q40" s="60" t="n">
        <f aca="false">IFERROR(IF(INDEX(res_Name,(ROW()-ROW(rw_LoadOrigin)-1))="","",INDEX(rw_Cum,(ROW()-ROW(rw_LoadOrigin)-1),(COLUMN()-COLUMN(rw_LoadOrigin)-1)+1)-INDEX(rw_Cum,(ROW()-ROW(rw_LoadOrigin)-1),(COLUMN()-COLUMN(rw_LoadOrigin)-1))),"")</f>
        <v>4</v>
      </c>
      <c r="R40" s="60" t="n">
        <f aca="false">IFERROR(IF(INDEX(res_Name,(ROW()-ROW(rw_LoadOrigin)-1))="","",INDEX(rw_Cum,(ROW()-ROW(rw_LoadOrigin)-1),(COLUMN()-COLUMN(rw_LoadOrigin)-1)+1)-INDEX(rw_Cum,(ROW()-ROW(rw_LoadOrigin)-1),(COLUMN()-COLUMN(rw_LoadOrigin)-1))),"")</f>
        <v>0</v>
      </c>
      <c r="S40" s="60" t="n">
        <f aca="false">IFERROR(IF(INDEX(res_Name,(ROW()-ROW(rw_LoadOrigin)-1))="","",INDEX(rw_Cum,(ROW()-ROW(rw_LoadOrigin)-1),(COLUMN()-COLUMN(rw_LoadOrigin)-1)+1)-INDEX(rw_Cum,(ROW()-ROW(rw_LoadOrigin)-1),(COLUMN()-COLUMN(rw_LoadOrigin)-1))),"")</f>
        <v>0</v>
      </c>
      <c r="T40" s="60" t="n">
        <f aca="false">IFERROR(IF(INDEX(res_Name,(ROW()-ROW(rw_LoadOrigin)-1))="","",INDEX(rw_Cum,(ROW()-ROW(rw_LoadOrigin)-1),(COLUMN()-COLUMN(rw_LoadOrigin)-1)+1)-INDEX(rw_Cum,(ROW()-ROW(rw_LoadOrigin)-1),(COLUMN()-COLUMN(rw_LoadOrigin)-1))),"")</f>
        <v>0</v>
      </c>
      <c r="U40" s="60" t="n">
        <f aca="false">IFERROR(IF(INDEX(res_Name,(ROW()-ROW(rw_LoadOrigin)-1))="","",INDEX(rw_Cum,(ROW()-ROW(rw_LoadOrigin)-1),(COLUMN()-COLUMN(rw_LoadOrigin)-1)+1)-INDEX(rw_Cum,(ROW()-ROW(rw_LoadOrigin)-1),(COLUMN()-COLUMN(rw_LoadOrigin)-1))),"")</f>
        <v>0</v>
      </c>
      <c r="V40" s="60" t="n">
        <f aca="false">IFERROR(IF(INDEX(res_Name,(ROW()-ROW(rw_LoadOrigin)-1))="","",INDEX(rw_Cum,(ROW()-ROW(rw_LoadOrigin)-1),(COLUMN()-COLUMN(rw_LoadOrigin)-1)+1)-INDEX(rw_Cum,(ROW()-ROW(rw_LoadOrigin)-1),(COLUMN()-COLUMN(rw_LoadOrigin)-1))),"")</f>
        <v>0</v>
      </c>
      <c r="W40" s="60" t="n">
        <f aca="false">IFERROR(IF(INDEX(res_Name,(ROW()-ROW(rw_LoadOrigin)-1))="","",INDEX(rw_Cum,(ROW()-ROW(rw_LoadOrigin)-1),(COLUMN()-COLUMN(rw_LoadOrigin)-1)+1)-INDEX(rw_Cum,(ROW()-ROW(rw_LoadOrigin)-1),(COLUMN()-COLUMN(rw_LoadOrigin)-1))),"")</f>
        <v>0</v>
      </c>
      <c r="X40" s="60" t="n">
        <f aca="false">IFERROR(IF(INDEX(res_Name,(ROW()-ROW(rw_LoadOrigin)-1))="","",INDEX(rw_Cum,(ROW()-ROW(rw_LoadOrigin)-1),(COLUMN()-COLUMN(rw_LoadOrigin)-1)+1)-INDEX(rw_Cum,(ROW()-ROW(rw_LoadOrigin)-1),(COLUMN()-COLUMN(rw_LoadOrigin)-1))),"")</f>
        <v>0</v>
      </c>
      <c r="Y40" s="60" t="n">
        <f aca="false">IFERROR(IF(INDEX(res_Name,(ROW()-ROW(rw_LoadOrigin)-1))="","",INDEX(rw_Cum,(ROW()-ROW(rw_LoadOrigin)-1),(COLUMN()-COLUMN(rw_LoadOrigin)-1)+1)-INDEX(rw_Cum,(ROW()-ROW(rw_LoadOrigin)-1),(COLUMN()-COLUMN(rw_LoadOrigin)-1))),"")</f>
        <v>0</v>
      </c>
      <c r="Z40" s="60" t="n">
        <f aca="false">IFERROR(IF(INDEX(res_Name,(ROW()-ROW(rw_LoadOrigin)-1))="","",INDEX(rw_Cum,(ROW()-ROW(rw_LoadOrigin)-1),(COLUMN()-COLUMN(rw_LoadOrigin)-1)+1)-INDEX(rw_Cum,(ROW()-ROW(rw_LoadOrigin)-1),(COLUMN()-COLUMN(rw_LoadOrigin)-1))),"")</f>
        <v>0</v>
      </c>
      <c r="AA40" s="60" t="n">
        <f aca="false">IFERROR(IF(INDEX(res_Name,(ROW()-ROW(rw_LoadOrigin)-1))="","",INDEX(rw_Cum,(ROW()-ROW(rw_LoadOrigin)-1),(COLUMN()-COLUMN(rw_LoadOrigin)-1)+1)-INDEX(rw_Cum,(ROW()-ROW(rw_LoadOrigin)-1),(COLUMN()-COLUMN(rw_LoadOrigin)-1))),"")</f>
        <v>0</v>
      </c>
      <c r="AB40" s="60" t="n">
        <f aca="false">IFERROR(IF(INDEX(res_Name,(ROW()-ROW(rw_LoadOrigin)-1))="","",INDEX(rw_Cum,(ROW()-ROW(rw_LoadOrigin)-1),(COLUMN()-COLUMN(rw_LoadOrigin)-1)+1)-INDEX(rw_Cum,(ROW()-ROW(rw_LoadOrigin)-1),(COLUMN()-COLUMN(rw_LoadOrigin)-1))),"")</f>
        <v>0</v>
      </c>
      <c r="AC40" s="60" t="n">
        <f aca="false">IFERROR(IF(INDEX(res_Name,(ROW()-ROW(rw_LoadOrigin)-1))="","",INDEX(rw_Cum,(ROW()-ROW(rw_LoadOrigin)-1),(COLUMN()-COLUMN(rw_LoadOrigin)-1)+1)-INDEX(rw_Cum,(ROW()-ROW(rw_LoadOrigin)-1),(COLUMN()-COLUMN(rw_LoadOrigin)-1))),"")</f>
        <v>0</v>
      </c>
    </row>
    <row r="41" customFormat="false" ht="15" hidden="false" customHeight="false" outlineLevel="0" collapsed="false">
      <c r="B41" s="31" t="str">
        <f aca="false">IFERROR(INDEX(res_Name,(ROW()-ROW(rw_LoadOrigin)-1))&amp;"","")</f>
        <v>Sam Rivera</v>
      </c>
      <c r="C41" s="59" t="n">
        <f aca="false">IFERROR(IF(INDEX(res_Name,(ROW()-ROW(rw_LoadOrigin)-1))="","",INDEX(res_MaxUnits,(ROW()-ROW(rw_LoadOrigin)-1))),"")</f>
        <v>1</v>
      </c>
      <c r="D41" s="60" t="n">
        <f aca="false">IFERROR(IF(INDEX(res_Name,(ROW()-ROW(rw_LoadOrigin)-1))="","",INDEX(rw_Cum,(ROW()-ROW(rw_LoadOrigin)-1),(COLUMN()-COLUMN(rw_LoadOrigin)-1)+1)-INDEX(rw_Cum,(ROW()-ROW(rw_LoadOrigin)-1),(COLUMN()-COLUMN(rw_LoadOrigin)-1))),"")</f>
        <v>18</v>
      </c>
      <c r="E41" s="60" t="n">
        <f aca="false">IFERROR(IF(INDEX(res_Name,(ROW()-ROW(rw_LoadOrigin)-1))="","",INDEX(rw_Cum,(ROW()-ROW(rw_LoadOrigin)-1),(COLUMN()-COLUMN(rw_LoadOrigin)-1)+1)-INDEX(rw_Cum,(ROW()-ROW(rw_LoadOrigin)-1),(COLUMN()-COLUMN(rw_LoadOrigin)-1))),"")</f>
        <v>30</v>
      </c>
      <c r="F41" s="60" t="n">
        <f aca="false">IFERROR(IF(INDEX(res_Name,(ROW()-ROW(rw_LoadOrigin)-1))="","",INDEX(rw_Cum,(ROW()-ROW(rw_LoadOrigin)-1),(COLUMN()-COLUMN(rw_LoadOrigin)-1)+1)-INDEX(rw_Cum,(ROW()-ROW(rw_LoadOrigin)-1),(COLUMN()-COLUMN(rw_LoadOrigin)-1))),"")</f>
        <v>34.2857142857143</v>
      </c>
      <c r="G41" s="60" t="n">
        <f aca="false">IFERROR(IF(INDEX(res_Name,(ROW()-ROW(rw_LoadOrigin)-1))="","",INDEX(rw_Cum,(ROW()-ROW(rw_LoadOrigin)-1),(COLUMN()-COLUMN(rw_LoadOrigin)-1)+1)-INDEX(rw_Cum,(ROW()-ROW(rw_LoadOrigin)-1),(COLUMN()-COLUMN(rw_LoadOrigin)-1))),"")</f>
        <v>34.2857142857143</v>
      </c>
      <c r="H41" s="60" t="n">
        <f aca="false">IFERROR(IF(INDEX(res_Name,(ROW()-ROW(rw_LoadOrigin)-1))="","",INDEX(rw_Cum,(ROW()-ROW(rw_LoadOrigin)-1),(COLUMN()-COLUMN(rw_LoadOrigin)-1)+1)-INDEX(rw_Cum,(ROW()-ROW(rw_LoadOrigin)-1),(COLUMN()-COLUMN(rw_LoadOrigin)-1))),"")</f>
        <v>27.4285714285714</v>
      </c>
      <c r="I41" s="60" t="n">
        <f aca="false">IFERROR(IF(INDEX(res_Name,(ROW()-ROW(rw_LoadOrigin)-1))="","",INDEX(rw_Cum,(ROW()-ROW(rw_LoadOrigin)-1),(COLUMN()-COLUMN(rw_LoadOrigin)-1)+1)-INDEX(rw_Cum,(ROW()-ROW(rw_LoadOrigin)-1),(COLUMN()-COLUMN(rw_LoadOrigin)-1))),"")</f>
        <v>0</v>
      </c>
      <c r="J41" s="60" t="n">
        <f aca="false">IFERROR(IF(INDEX(res_Name,(ROW()-ROW(rw_LoadOrigin)-1))="","",INDEX(rw_Cum,(ROW()-ROW(rw_LoadOrigin)-1),(COLUMN()-COLUMN(rw_LoadOrigin)-1)+1)-INDEX(rw_Cum,(ROW()-ROW(rw_LoadOrigin)-1),(COLUMN()-COLUMN(rw_LoadOrigin)-1))),"")</f>
        <v>0</v>
      </c>
      <c r="K41" s="60" t="n">
        <f aca="false">IFERROR(IF(INDEX(res_Name,(ROW()-ROW(rw_LoadOrigin)-1))="","",INDEX(rw_Cum,(ROW()-ROW(rw_LoadOrigin)-1),(COLUMN()-COLUMN(rw_LoadOrigin)-1)+1)-INDEX(rw_Cum,(ROW()-ROW(rw_LoadOrigin)-1),(COLUMN()-COLUMN(rw_LoadOrigin)-1))),"")</f>
        <v>0</v>
      </c>
      <c r="L41" s="60" t="n">
        <f aca="false">IFERROR(IF(INDEX(res_Name,(ROW()-ROW(rw_LoadOrigin)-1))="","",INDEX(rw_Cum,(ROW()-ROW(rw_LoadOrigin)-1),(COLUMN()-COLUMN(rw_LoadOrigin)-1)+1)-INDEX(rw_Cum,(ROW()-ROW(rw_LoadOrigin)-1),(COLUMN()-COLUMN(rw_LoadOrigin)-1))),"")</f>
        <v>0</v>
      </c>
      <c r="M41" s="60" t="n">
        <f aca="false">IFERROR(IF(INDEX(res_Name,(ROW()-ROW(rw_LoadOrigin)-1))="","",INDEX(rw_Cum,(ROW()-ROW(rw_LoadOrigin)-1),(COLUMN()-COLUMN(rw_LoadOrigin)-1)+1)-INDEX(rw_Cum,(ROW()-ROW(rw_LoadOrigin)-1),(COLUMN()-COLUMN(rw_LoadOrigin)-1))),"")</f>
        <v>0</v>
      </c>
      <c r="N41" s="60" t="n">
        <f aca="false">IFERROR(IF(INDEX(res_Name,(ROW()-ROW(rw_LoadOrigin)-1))="","",INDEX(rw_Cum,(ROW()-ROW(rw_LoadOrigin)-1),(COLUMN()-COLUMN(rw_LoadOrigin)-1)+1)-INDEX(rw_Cum,(ROW()-ROW(rw_LoadOrigin)-1),(COLUMN()-COLUMN(rw_LoadOrigin)-1))),"")</f>
        <v>0</v>
      </c>
      <c r="O41" s="60" t="n">
        <f aca="false">IFERROR(IF(INDEX(res_Name,(ROW()-ROW(rw_LoadOrigin)-1))="","",INDEX(rw_Cum,(ROW()-ROW(rw_LoadOrigin)-1),(COLUMN()-COLUMN(rw_LoadOrigin)-1)+1)-INDEX(rw_Cum,(ROW()-ROW(rw_LoadOrigin)-1),(COLUMN()-COLUMN(rw_LoadOrigin)-1))),"")</f>
        <v>0</v>
      </c>
      <c r="P41" s="60" t="n">
        <f aca="false">IFERROR(IF(INDEX(res_Name,(ROW()-ROW(rw_LoadOrigin)-1))="","",INDEX(rw_Cum,(ROW()-ROW(rw_LoadOrigin)-1),(COLUMN()-COLUMN(rw_LoadOrigin)-1)+1)-INDEX(rw_Cum,(ROW()-ROW(rw_LoadOrigin)-1),(COLUMN()-COLUMN(rw_LoadOrigin)-1))),"")</f>
        <v>0</v>
      </c>
      <c r="Q41" s="60" t="n">
        <f aca="false">IFERROR(IF(INDEX(res_Name,(ROW()-ROW(rw_LoadOrigin)-1))="","",INDEX(rw_Cum,(ROW()-ROW(rw_LoadOrigin)-1),(COLUMN()-COLUMN(rw_LoadOrigin)-1)+1)-INDEX(rw_Cum,(ROW()-ROW(rw_LoadOrigin)-1),(COLUMN()-COLUMN(rw_LoadOrigin)-1))),"")</f>
        <v>0</v>
      </c>
      <c r="R41" s="60" t="n">
        <f aca="false">IFERROR(IF(INDEX(res_Name,(ROW()-ROW(rw_LoadOrigin)-1))="","",INDEX(rw_Cum,(ROW()-ROW(rw_LoadOrigin)-1),(COLUMN()-COLUMN(rw_LoadOrigin)-1)+1)-INDEX(rw_Cum,(ROW()-ROW(rw_LoadOrigin)-1),(COLUMN()-COLUMN(rw_LoadOrigin)-1))),"")</f>
        <v>0</v>
      </c>
      <c r="S41" s="60" t="n">
        <f aca="false">IFERROR(IF(INDEX(res_Name,(ROW()-ROW(rw_LoadOrigin)-1))="","",INDEX(rw_Cum,(ROW()-ROW(rw_LoadOrigin)-1),(COLUMN()-COLUMN(rw_LoadOrigin)-1)+1)-INDEX(rw_Cum,(ROW()-ROW(rw_LoadOrigin)-1),(COLUMN()-COLUMN(rw_LoadOrigin)-1))),"")</f>
        <v>0</v>
      </c>
      <c r="T41" s="60" t="n">
        <f aca="false">IFERROR(IF(INDEX(res_Name,(ROW()-ROW(rw_LoadOrigin)-1))="","",INDEX(rw_Cum,(ROW()-ROW(rw_LoadOrigin)-1),(COLUMN()-COLUMN(rw_LoadOrigin)-1)+1)-INDEX(rw_Cum,(ROW()-ROW(rw_LoadOrigin)-1),(COLUMN()-COLUMN(rw_LoadOrigin)-1))),"")</f>
        <v>0</v>
      </c>
      <c r="U41" s="60" t="n">
        <f aca="false">IFERROR(IF(INDEX(res_Name,(ROW()-ROW(rw_LoadOrigin)-1))="","",INDEX(rw_Cum,(ROW()-ROW(rw_LoadOrigin)-1),(COLUMN()-COLUMN(rw_LoadOrigin)-1)+1)-INDEX(rw_Cum,(ROW()-ROW(rw_LoadOrigin)-1),(COLUMN()-COLUMN(rw_LoadOrigin)-1))),"")</f>
        <v>0</v>
      </c>
      <c r="V41" s="60" t="n">
        <f aca="false">IFERROR(IF(INDEX(res_Name,(ROW()-ROW(rw_LoadOrigin)-1))="","",INDEX(rw_Cum,(ROW()-ROW(rw_LoadOrigin)-1),(COLUMN()-COLUMN(rw_LoadOrigin)-1)+1)-INDEX(rw_Cum,(ROW()-ROW(rw_LoadOrigin)-1),(COLUMN()-COLUMN(rw_LoadOrigin)-1))),"")</f>
        <v>0</v>
      </c>
      <c r="W41" s="60" t="n">
        <f aca="false">IFERROR(IF(INDEX(res_Name,(ROW()-ROW(rw_LoadOrigin)-1))="","",INDEX(rw_Cum,(ROW()-ROW(rw_LoadOrigin)-1),(COLUMN()-COLUMN(rw_LoadOrigin)-1)+1)-INDEX(rw_Cum,(ROW()-ROW(rw_LoadOrigin)-1),(COLUMN()-COLUMN(rw_LoadOrigin)-1))),"")</f>
        <v>0</v>
      </c>
      <c r="X41" s="60" t="n">
        <f aca="false">IFERROR(IF(INDEX(res_Name,(ROW()-ROW(rw_LoadOrigin)-1))="","",INDEX(rw_Cum,(ROW()-ROW(rw_LoadOrigin)-1),(COLUMN()-COLUMN(rw_LoadOrigin)-1)+1)-INDEX(rw_Cum,(ROW()-ROW(rw_LoadOrigin)-1),(COLUMN()-COLUMN(rw_LoadOrigin)-1))),"")</f>
        <v>0</v>
      </c>
      <c r="Y41" s="60" t="n">
        <f aca="false">IFERROR(IF(INDEX(res_Name,(ROW()-ROW(rw_LoadOrigin)-1))="","",INDEX(rw_Cum,(ROW()-ROW(rw_LoadOrigin)-1),(COLUMN()-COLUMN(rw_LoadOrigin)-1)+1)-INDEX(rw_Cum,(ROW()-ROW(rw_LoadOrigin)-1),(COLUMN()-COLUMN(rw_LoadOrigin)-1))),"")</f>
        <v>0</v>
      </c>
      <c r="Z41" s="60" t="n">
        <f aca="false">IFERROR(IF(INDEX(res_Name,(ROW()-ROW(rw_LoadOrigin)-1))="","",INDEX(rw_Cum,(ROW()-ROW(rw_LoadOrigin)-1),(COLUMN()-COLUMN(rw_LoadOrigin)-1)+1)-INDEX(rw_Cum,(ROW()-ROW(rw_LoadOrigin)-1),(COLUMN()-COLUMN(rw_LoadOrigin)-1))),"")</f>
        <v>0</v>
      </c>
      <c r="AA41" s="60" t="n">
        <f aca="false">IFERROR(IF(INDEX(res_Name,(ROW()-ROW(rw_LoadOrigin)-1))="","",INDEX(rw_Cum,(ROW()-ROW(rw_LoadOrigin)-1),(COLUMN()-COLUMN(rw_LoadOrigin)-1)+1)-INDEX(rw_Cum,(ROW()-ROW(rw_LoadOrigin)-1),(COLUMN()-COLUMN(rw_LoadOrigin)-1))),"")</f>
        <v>0</v>
      </c>
      <c r="AB41" s="60" t="n">
        <f aca="false">IFERROR(IF(INDEX(res_Name,(ROW()-ROW(rw_LoadOrigin)-1))="","",INDEX(rw_Cum,(ROW()-ROW(rw_LoadOrigin)-1),(COLUMN()-COLUMN(rw_LoadOrigin)-1)+1)-INDEX(rw_Cum,(ROW()-ROW(rw_LoadOrigin)-1),(COLUMN()-COLUMN(rw_LoadOrigin)-1))),"")</f>
        <v>0</v>
      </c>
      <c r="AC41" s="60" t="n">
        <f aca="false">IFERROR(IF(INDEX(res_Name,(ROW()-ROW(rw_LoadOrigin)-1))="","",INDEX(rw_Cum,(ROW()-ROW(rw_LoadOrigin)-1),(COLUMN()-COLUMN(rw_LoadOrigin)-1)+1)-INDEX(rw_Cum,(ROW()-ROW(rw_LoadOrigin)-1),(COLUMN()-COLUMN(rw_LoadOrigin)-1))),"")</f>
        <v>0</v>
      </c>
    </row>
    <row r="42" customFormat="false" ht="15" hidden="false" customHeight="false" outlineLevel="0" collapsed="false">
      <c r="B42" s="31" t="str">
        <f aca="false">IFERROR(INDEX(res_Name,(ROW()-ROW(rw_LoadOrigin)-1))&amp;"","")</f>
        <v>Taylor Morgan</v>
      </c>
      <c r="C42" s="59" t="n">
        <f aca="false">IFERROR(IF(INDEX(res_Name,(ROW()-ROW(rw_LoadOrigin)-1))="","",INDEX(res_MaxUnits,(ROW()-ROW(rw_LoadOrigin)-1))),"")</f>
        <v>1</v>
      </c>
      <c r="D42" s="60" t="n">
        <f aca="false">IFERROR(IF(INDEX(res_Name,(ROW()-ROW(rw_LoadOrigin)-1))="","",INDEX(rw_Cum,(ROW()-ROW(rw_LoadOrigin)-1),(COLUMN()-COLUMN(rw_LoadOrigin)-1)+1)-INDEX(rw_Cum,(ROW()-ROW(rw_LoadOrigin)-1),(COLUMN()-COLUMN(rw_LoadOrigin)-1))),"")</f>
        <v>0</v>
      </c>
      <c r="E42" s="60" t="n">
        <f aca="false">IFERROR(IF(INDEX(res_Name,(ROW()-ROW(rw_LoadOrigin)-1))="","",INDEX(rw_Cum,(ROW()-ROW(rw_LoadOrigin)-1),(COLUMN()-COLUMN(rw_LoadOrigin)-1)+1)-INDEX(rw_Cum,(ROW()-ROW(rw_LoadOrigin)-1),(COLUMN()-COLUMN(rw_LoadOrigin)-1))),"")</f>
        <v>0</v>
      </c>
      <c r="F42" s="60" t="n">
        <f aca="false">IFERROR(IF(INDEX(res_Name,(ROW()-ROW(rw_LoadOrigin)-1))="","",INDEX(rw_Cum,(ROW()-ROW(rw_LoadOrigin)-1),(COLUMN()-COLUMN(rw_LoadOrigin)-1)+1)-INDEX(rw_Cum,(ROW()-ROW(rw_LoadOrigin)-1),(COLUMN()-COLUMN(rw_LoadOrigin)-1))),"")</f>
        <v>0</v>
      </c>
      <c r="G42" s="60" t="n">
        <f aca="false">IFERROR(IF(INDEX(res_Name,(ROW()-ROW(rw_LoadOrigin)-1))="","",INDEX(rw_Cum,(ROW()-ROW(rw_LoadOrigin)-1),(COLUMN()-COLUMN(rw_LoadOrigin)-1)+1)-INDEX(rw_Cum,(ROW()-ROW(rw_LoadOrigin)-1),(COLUMN()-COLUMN(rw_LoadOrigin)-1))),"")</f>
        <v>0</v>
      </c>
      <c r="H42" s="60" t="n">
        <f aca="false">IFERROR(IF(INDEX(res_Name,(ROW()-ROW(rw_LoadOrigin)-1))="","",INDEX(rw_Cum,(ROW()-ROW(rw_LoadOrigin)-1),(COLUMN()-COLUMN(rw_LoadOrigin)-1)+1)-INDEX(rw_Cum,(ROW()-ROW(rw_LoadOrigin)-1),(COLUMN()-COLUMN(rw_LoadOrigin)-1))),"")</f>
        <v>0</v>
      </c>
      <c r="I42" s="60" t="n">
        <f aca="false">IFERROR(IF(INDEX(res_Name,(ROW()-ROW(rw_LoadOrigin)-1))="","",INDEX(rw_Cum,(ROW()-ROW(rw_LoadOrigin)-1),(COLUMN()-COLUMN(rw_LoadOrigin)-1)+1)-INDEX(rw_Cum,(ROW()-ROW(rw_LoadOrigin)-1),(COLUMN()-COLUMN(rw_LoadOrigin)-1))),"")</f>
        <v>32</v>
      </c>
      <c r="J42" s="60" t="n">
        <f aca="false">IFERROR(IF(INDEX(res_Name,(ROW()-ROW(rw_LoadOrigin)-1))="","",INDEX(rw_Cum,(ROW()-ROW(rw_LoadOrigin)-1),(COLUMN()-COLUMN(rw_LoadOrigin)-1)+1)-INDEX(rw_Cum,(ROW()-ROW(rw_LoadOrigin)-1),(COLUMN()-COLUMN(rw_LoadOrigin)-1))),"")</f>
        <v>32</v>
      </c>
      <c r="K42" s="60" t="n">
        <f aca="false">IFERROR(IF(INDEX(res_Name,(ROW()-ROW(rw_LoadOrigin)-1))="","",INDEX(rw_Cum,(ROW()-ROW(rw_LoadOrigin)-1),(COLUMN()-COLUMN(rw_LoadOrigin)-1)+1)-INDEX(rw_Cum,(ROW()-ROW(rw_LoadOrigin)-1),(COLUMN()-COLUMN(rw_LoadOrigin)-1))),"")</f>
        <v>0</v>
      </c>
      <c r="L42" s="60" t="n">
        <f aca="false">IFERROR(IF(INDEX(res_Name,(ROW()-ROW(rw_LoadOrigin)-1))="","",INDEX(rw_Cum,(ROW()-ROW(rw_LoadOrigin)-1),(COLUMN()-COLUMN(rw_LoadOrigin)-1)+1)-INDEX(rw_Cum,(ROW()-ROW(rw_LoadOrigin)-1),(COLUMN()-COLUMN(rw_LoadOrigin)-1))),"")</f>
        <v>0</v>
      </c>
      <c r="M42" s="60" t="n">
        <f aca="false">IFERROR(IF(INDEX(res_Name,(ROW()-ROW(rw_LoadOrigin)-1))="","",INDEX(rw_Cum,(ROW()-ROW(rw_LoadOrigin)-1),(COLUMN()-COLUMN(rw_LoadOrigin)-1)+1)-INDEX(rw_Cum,(ROW()-ROW(rw_LoadOrigin)-1),(COLUMN()-COLUMN(rw_LoadOrigin)-1))),"")</f>
        <v>0</v>
      </c>
      <c r="N42" s="60" t="n">
        <f aca="false">IFERROR(IF(INDEX(res_Name,(ROW()-ROW(rw_LoadOrigin)-1))="","",INDEX(rw_Cum,(ROW()-ROW(rw_LoadOrigin)-1),(COLUMN()-COLUMN(rw_LoadOrigin)-1)+1)-INDEX(rw_Cum,(ROW()-ROW(rw_LoadOrigin)-1),(COLUMN()-COLUMN(rw_LoadOrigin)-1))),"")</f>
        <v>0</v>
      </c>
      <c r="O42" s="60" t="n">
        <f aca="false">IFERROR(IF(INDEX(res_Name,(ROW()-ROW(rw_LoadOrigin)-1))="","",INDEX(rw_Cum,(ROW()-ROW(rw_LoadOrigin)-1),(COLUMN()-COLUMN(rw_LoadOrigin)-1)+1)-INDEX(rw_Cum,(ROW()-ROW(rw_LoadOrigin)-1),(COLUMN()-COLUMN(rw_LoadOrigin)-1))),"")</f>
        <v>0</v>
      </c>
      <c r="P42" s="60" t="n">
        <f aca="false">IFERROR(IF(INDEX(res_Name,(ROW()-ROW(rw_LoadOrigin)-1))="","",INDEX(rw_Cum,(ROW()-ROW(rw_LoadOrigin)-1),(COLUMN()-COLUMN(rw_LoadOrigin)-1)+1)-INDEX(rw_Cum,(ROW()-ROW(rw_LoadOrigin)-1),(COLUMN()-COLUMN(rw_LoadOrigin)-1))),"")</f>
        <v>0</v>
      </c>
      <c r="Q42" s="60" t="n">
        <f aca="false">IFERROR(IF(INDEX(res_Name,(ROW()-ROW(rw_LoadOrigin)-1))="","",INDEX(rw_Cum,(ROW()-ROW(rw_LoadOrigin)-1),(COLUMN()-COLUMN(rw_LoadOrigin)-1)+1)-INDEX(rw_Cum,(ROW()-ROW(rw_LoadOrigin)-1),(COLUMN()-COLUMN(rw_LoadOrigin)-1))),"")</f>
        <v>0</v>
      </c>
      <c r="R42" s="60" t="n">
        <f aca="false">IFERROR(IF(INDEX(res_Name,(ROW()-ROW(rw_LoadOrigin)-1))="","",INDEX(rw_Cum,(ROW()-ROW(rw_LoadOrigin)-1),(COLUMN()-COLUMN(rw_LoadOrigin)-1)+1)-INDEX(rw_Cum,(ROW()-ROW(rw_LoadOrigin)-1),(COLUMN()-COLUMN(rw_LoadOrigin)-1))),"")</f>
        <v>0</v>
      </c>
      <c r="S42" s="60" t="n">
        <f aca="false">IFERROR(IF(INDEX(res_Name,(ROW()-ROW(rw_LoadOrigin)-1))="","",INDEX(rw_Cum,(ROW()-ROW(rw_LoadOrigin)-1),(COLUMN()-COLUMN(rw_LoadOrigin)-1)+1)-INDEX(rw_Cum,(ROW()-ROW(rw_LoadOrigin)-1),(COLUMN()-COLUMN(rw_LoadOrigin)-1))),"")</f>
        <v>0</v>
      </c>
      <c r="T42" s="60" t="n">
        <f aca="false">IFERROR(IF(INDEX(res_Name,(ROW()-ROW(rw_LoadOrigin)-1))="","",INDEX(rw_Cum,(ROW()-ROW(rw_LoadOrigin)-1),(COLUMN()-COLUMN(rw_LoadOrigin)-1)+1)-INDEX(rw_Cum,(ROW()-ROW(rw_LoadOrigin)-1),(COLUMN()-COLUMN(rw_LoadOrigin)-1))),"")</f>
        <v>0</v>
      </c>
      <c r="U42" s="60" t="n">
        <f aca="false">IFERROR(IF(INDEX(res_Name,(ROW()-ROW(rw_LoadOrigin)-1))="","",INDEX(rw_Cum,(ROW()-ROW(rw_LoadOrigin)-1),(COLUMN()-COLUMN(rw_LoadOrigin)-1)+1)-INDEX(rw_Cum,(ROW()-ROW(rw_LoadOrigin)-1),(COLUMN()-COLUMN(rw_LoadOrigin)-1))),"")</f>
        <v>0</v>
      </c>
      <c r="V42" s="60" t="n">
        <f aca="false">IFERROR(IF(INDEX(res_Name,(ROW()-ROW(rw_LoadOrigin)-1))="","",INDEX(rw_Cum,(ROW()-ROW(rw_LoadOrigin)-1),(COLUMN()-COLUMN(rw_LoadOrigin)-1)+1)-INDEX(rw_Cum,(ROW()-ROW(rw_LoadOrigin)-1),(COLUMN()-COLUMN(rw_LoadOrigin)-1))),"")</f>
        <v>0</v>
      </c>
      <c r="W42" s="60" t="n">
        <f aca="false">IFERROR(IF(INDEX(res_Name,(ROW()-ROW(rw_LoadOrigin)-1))="","",INDEX(rw_Cum,(ROW()-ROW(rw_LoadOrigin)-1),(COLUMN()-COLUMN(rw_LoadOrigin)-1)+1)-INDEX(rw_Cum,(ROW()-ROW(rw_LoadOrigin)-1),(COLUMN()-COLUMN(rw_LoadOrigin)-1))),"")</f>
        <v>0</v>
      </c>
      <c r="X42" s="60" t="n">
        <f aca="false">IFERROR(IF(INDEX(res_Name,(ROW()-ROW(rw_LoadOrigin)-1))="","",INDEX(rw_Cum,(ROW()-ROW(rw_LoadOrigin)-1),(COLUMN()-COLUMN(rw_LoadOrigin)-1)+1)-INDEX(rw_Cum,(ROW()-ROW(rw_LoadOrigin)-1),(COLUMN()-COLUMN(rw_LoadOrigin)-1))),"")</f>
        <v>0</v>
      </c>
      <c r="Y42" s="60" t="n">
        <f aca="false">IFERROR(IF(INDEX(res_Name,(ROW()-ROW(rw_LoadOrigin)-1))="","",INDEX(rw_Cum,(ROW()-ROW(rw_LoadOrigin)-1),(COLUMN()-COLUMN(rw_LoadOrigin)-1)+1)-INDEX(rw_Cum,(ROW()-ROW(rw_LoadOrigin)-1),(COLUMN()-COLUMN(rw_LoadOrigin)-1))),"")</f>
        <v>0</v>
      </c>
      <c r="Z42" s="60" t="n">
        <f aca="false">IFERROR(IF(INDEX(res_Name,(ROW()-ROW(rw_LoadOrigin)-1))="","",INDEX(rw_Cum,(ROW()-ROW(rw_LoadOrigin)-1),(COLUMN()-COLUMN(rw_LoadOrigin)-1)+1)-INDEX(rw_Cum,(ROW()-ROW(rw_LoadOrigin)-1),(COLUMN()-COLUMN(rw_LoadOrigin)-1))),"")</f>
        <v>0</v>
      </c>
      <c r="AA42" s="60" t="n">
        <f aca="false">IFERROR(IF(INDEX(res_Name,(ROW()-ROW(rw_LoadOrigin)-1))="","",INDEX(rw_Cum,(ROW()-ROW(rw_LoadOrigin)-1),(COLUMN()-COLUMN(rw_LoadOrigin)-1)+1)-INDEX(rw_Cum,(ROW()-ROW(rw_LoadOrigin)-1),(COLUMN()-COLUMN(rw_LoadOrigin)-1))),"")</f>
        <v>0</v>
      </c>
      <c r="AB42" s="60" t="n">
        <f aca="false">IFERROR(IF(INDEX(res_Name,(ROW()-ROW(rw_LoadOrigin)-1))="","",INDEX(rw_Cum,(ROW()-ROW(rw_LoadOrigin)-1),(COLUMN()-COLUMN(rw_LoadOrigin)-1)+1)-INDEX(rw_Cum,(ROW()-ROW(rw_LoadOrigin)-1),(COLUMN()-COLUMN(rw_LoadOrigin)-1))),"")</f>
        <v>0</v>
      </c>
      <c r="AC42" s="60" t="n">
        <f aca="false">IFERROR(IF(INDEX(res_Name,(ROW()-ROW(rw_LoadOrigin)-1))="","",INDEX(rw_Cum,(ROW()-ROW(rw_LoadOrigin)-1),(COLUMN()-COLUMN(rw_LoadOrigin)-1)+1)-INDEX(rw_Cum,(ROW()-ROW(rw_LoadOrigin)-1),(COLUMN()-COLUMN(rw_LoadOrigin)-1))),"")</f>
        <v>0</v>
      </c>
    </row>
    <row r="43" customFormat="false" ht="15" hidden="false" customHeight="false" outlineLevel="0" collapsed="false">
      <c r="B43" s="31" t="str">
        <f aca="false">IFERROR(INDEX(res_Name,(ROW()-ROW(rw_LoadOrigin)-1))&amp;"","")</f>
        <v/>
      </c>
      <c r="C43" s="59" t="str">
        <f aca="false">IFERROR(IF(INDEX(res_Name,(ROW()-ROW(rw_LoadOrigin)-1))="","",INDEX(res_MaxUnits,(ROW()-ROW(rw_LoadOrigin)-1))),"")</f>
        <v/>
      </c>
      <c r="D43" s="60" t="str">
        <f aca="false">IFERROR(IF(INDEX(res_Name,(ROW()-ROW(rw_LoadOrigin)-1))="","",INDEX(rw_Cum,(ROW()-ROW(rw_LoadOrigin)-1),(COLUMN()-COLUMN(rw_LoadOrigin)-1)+1)-INDEX(rw_Cum,(ROW()-ROW(rw_LoadOrigin)-1),(COLUMN()-COLUMN(rw_LoadOrigin)-1))),"")</f>
        <v/>
      </c>
      <c r="E43" s="60" t="str">
        <f aca="false">IFERROR(IF(INDEX(res_Name,(ROW()-ROW(rw_LoadOrigin)-1))="","",INDEX(rw_Cum,(ROW()-ROW(rw_LoadOrigin)-1),(COLUMN()-COLUMN(rw_LoadOrigin)-1)+1)-INDEX(rw_Cum,(ROW()-ROW(rw_LoadOrigin)-1),(COLUMN()-COLUMN(rw_LoadOrigin)-1))),"")</f>
        <v/>
      </c>
      <c r="F43" s="60" t="str">
        <f aca="false">IFERROR(IF(INDEX(res_Name,(ROW()-ROW(rw_LoadOrigin)-1))="","",INDEX(rw_Cum,(ROW()-ROW(rw_LoadOrigin)-1),(COLUMN()-COLUMN(rw_LoadOrigin)-1)+1)-INDEX(rw_Cum,(ROW()-ROW(rw_LoadOrigin)-1),(COLUMN()-COLUMN(rw_LoadOrigin)-1))),"")</f>
        <v/>
      </c>
      <c r="G43" s="60" t="str">
        <f aca="false">IFERROR(IF(INDEX(res_Name,(ROW()-ROW(rw_LoadOrigin)-1))="","",INDEX(rw_Cum,(ROW()-ROW(rw_LoadOrigin)-1),(COLUMN()-COLUMN(rw_LoadOrigin)-1)+1)-INDEX(rw_Cum,(ROW()-ROW(rw_LoadOrigin)-1),(COLUMN()-COLUMN(rw_LoadOrigin)-1))),"")</f>
        <v/>
      </c>
      <c r="H43" s="60" t="str">
        <f aca="false">IFERROR(IF(INDEX(res_Name,(ROW()-ROW(rw_LoadOrigin)-1))="","",INDEX(rw_Cum,(ROW()-ROW(rw_LoadOrigin)-1),(COLUMN()-COLUMN(rw_LoadOrigin)-1)+1)-INDEX(rw_Cum,(ROW()-ROW(rw_LoadOrigin)-1),(COLUMN()-COLUMN(rw_LoadOrigin)-1))),"")</f>
        <v/>
      </c>
      <c r="I43" s="60" t="str">
        <f aca="false">IFERROR(IF(INDEX(res_Name,(ROW()-ROW(rw_LoadOrigin)-1))="","",INDEX(rw_Cum,(ROW()-ROW(rw_LoadOrigin)-1),(COLUMN()-COLUMN(rw_LoadOrigin)-1)+1)-INDEX(rw_Cum,(ROW()-ROW(rw_LoadOrigin)-1),(COLUMN()-COLUMN(rw_LoadOrigin)-1))),"")</f>
        <v/>
      </c>
      <c r="J43" s="60" t="str">
        <f aca="false">IFERROR(IF(INDEX(res_Name,(ROW()-ROW(rw_LoadOrigin)-1))="","",INDEX(rw_Cum,(ROW()-ROW(rw_LoadOrigin)-1),(COLUMN()-COLUMN(rw_LoadOrigin)-1)+1)-INDEX(rw_Cum,(ROW()-ROW(rw_LoadOrigin)-1),(COLUMN()-COLUMN(rw_LoadOrigin)-1))),"")</f>
        <v/>
      </c>
      <c r="K43" s="60" t="str">
        <f aca="false">IFERROR(IF(INDEX(res_Name,(ROW()-ROW(rw_LoadOrigin)-1))="","",INDEX(rw_Cum,(ROW()-ROW(rw_LoadOrigin)-1),(COLUMN()-COLUMN(rw_LoadOrigin)-1)+1)-INDEX(rw_Cum,(ROW()-ROW(rw_LoadOrigin)-1),(COLUMN()-COLUMN(rw_LoadOrigin)-1))),"")</f>
        <v/>
      </c>
      <c r="L43" s="60" t="str">
        <f aca="false">IFERROR(IF(INDEX(res_Name,(ROW()-ROW(rw_LoadOrigin)-1))="","",INDEX(rw_Cum,(ROW()-ROW(rw_LoadOrigin)-1),(COLUMN()-COLUMN(rw_LoadOrigin)-1)+1)-INDEX(rw_Cum,(ROW()-ROW(rw_LoadOrigin)-1),(COLUMN()-COLUMN(rw_LoadOrigin)-1))),"")</f>
        <v/>
      </c>
      <c r="M43" s="60" t="str">
        <f aca="false">IFERROR(IF(INDEX(res_Name,(ROW()-ROW(rw_LoadOrigin)-1))="","",INDEX(rw_Cum,(ROW()-ROW(rw_LoadOrigin)-1),(COLUMN()-COLUMN(rw_LoadOrigin)-1)+1)-INDEX(rw_Cum,(ROW()-ROW(rw_LoadOrigin)-1),(COLUMN()-COLUMN(rw_LoadOrigin)-1))),"")</f>
        <v/>
      </c>
      <c r="N43" s="60" t="str">
        <f aca="false">IFERROR(IF(INDEX(res_Name,(ROW()-ROW(rw_LoadOrigin)-1))="","",INDEX(rw_Cum,(ROW()-ROW(rw_LoadOrigin)-1),(COLUMN()-COLUMN(rw_LoadOrigin)-1)+1)-INDEX(rw_Cum,(ROW()-ROW(rw_LoadOrigin)-1),(COLUMN()-COLUMN(rw_LoadOrigin)-1))),"")</f>
        <v/>
      </c>
      <c r="O43" s="60" t="str">
        <f aca="false">IFERROR(IF(INDEX(res_Name,(ROW()-ROW(rw_LoadOrigin)-1))="","",INDEX(rw_Cum,(ROW()-ROW(rw_LoadOrigin)-1),(COLUMN()-COLUMN(rw_LoadOrigin)-1)+1)-INDEX(rw_Cum,(ROW()-ROW(rw_LoadOrigin)-1),(COLUMN()-COLUMN(rw_LoadOrigin)-1))),"")</f>
        <v/>
      </c>
      <c r="P43" s="60" t="str">
        <f aca="false">IFERROR(IF(INDEX(res_Name,(ROW()-ROW(rw_LoadOrigin)-1))="","",INDEX(rw_Cum,(ROW()-ROW(rw_LoadOrigin)-1),(COLUMN()-COLUMN(rw_LoadOrigin)-1)+1)-INDEX(rw_Cum,(ROW()-ROW(rw_LoadOrigin)-1),(COLUMN()-COLUMN(rw_LoadOrigin)-1))),"")</f>
        <v/>
      </c>
      <c r="Q43" s="60" t="str">
        <f aca="false">IFERROR(IF(INDEX(res_Name,(ROW()-ROW(rw_LoadOrigin)-1))="","",INDEX(rw_Cum,(ROW()-ROW(rw_LoadOrigin)-1),(COLUMN()-COLUMN(rw_LoadOrigin)-1)+1)-INDEX(rw_Cum,(ROW()-ROW(rw_LoadOrigin)-1),(COLUMN()-COLUMN(rw_LoadOrigin)-1))),"")</f>
        <v/>
      </c>
      <c r="R43" s="60" t="str">
        <f aca="false">IFERROR(IF(INDEX(res_Name,(ROW()-ROW(rw_LoadOrigin)-1))="","",INDEX(rw_Cum,(ROW()-ROW(rw_LoadOrigin)-1),(COLUMN()-COLUMN(rw_LoadOrigin)-1)+1)-INDEX(rw_Cum,(ROW()-ROW(rw_LoadOrigin)-1),(COLUMN()-COLUMN(rw_LoadOrigin)-1))),"")</f>
        <v/>
      </c>
      <c r="S43" s="60" t="str">
        <f aca="false">IFERROR(IF(INDEX(res_Name,(ROW()-ROW(rw_LoadOrigin)-1))="","",INDEX(rw_Cum,(ROW()-ROW(rw_LoadOrigin)-1),(COLUMN()-COLUMN(rw_LoadOrigin)-1)+1)-INDEX(rw_Cum,(ROW()-ROW(rw_LoadOrigin)-1),(COLUMN()-COLUMN(rw_LoadOrigin)-1))),"")</f>
        <v/>
      </c>
      <c r="T43" s="60" t="str">
        <f aca="false">IFERROR(IF(INDEX(res_Name,(ROW()-ROW(rw_LoadOrigin)-1))="","",INDEX(rw_Cum,(ROW()-ROW(rw_LoadOrigin)-1),(COLUMN()-COLUMN(rw_LoadOrigin)-1)+1)-INDEX(rw_Cum,(ROW()-ROW(rw_LoadOrigin)-1),(COLUMN()-COLUMN(rw_LoadOrigin)-1))),"")</f>
        <v/>
      </c>
      <c r="U43" s="60" t="str">
        <f aca="false">IFERROR(IF(INDEX(res_Name,(ROW()-ROW(rw_LoadOrigin)-1))="","",INDEX(rw_Cum,(ROW()-ROW(rw_LoadOrigin)-1),(COLUMN()-COLUMN(rw_LoadOrigin)-1)+1)-INDEX(rw_Cum,(ROW()-ROW(rw_LoadOrigin)-1),(COLUMN()-COLUMN(rw_LoadOrigin)-1))),"")</f>
        <v/>
      </c>
      <c r="V43" s="60" t="str">
        <f aca="false">IFERROR(IF(INDEX(res_Name,(ROW()-ROW(rw_LoadOrigin)-1))="","",INDEX(rw_Cum,(ROW()-ROW(rw_LoadOrigin)-1),(COLUMN()-COLUMN(rw_LoadOrigin)-1)+1)-INDEX(rw_Cum,(ROW()-ROW(rw_LoadOrigin)-1),(COLUMN()-COLUMN(rw_LoadOrigin)-1))),"")</f>
        <v/>
      </c>
      <c r="W43" s="60" t="str">
        <f aca="false">IFERROR(IF(INDEX(res_Name,(ROW()-ROW(rw_LoadOrigin)-1))="","",INDEX(rw_Cum,(ROW()-ROW(rw_LoadOrigin)-1),(COLUMN()-COLUMN(rw_LoadOrigin)-1)+1)-INDEX(rw_Cum,(ROW()-ROW(rw_LoadOrigin)-1),(COLUMN()-COLUMN(rw_LoadOrigin)-1))),"")</f>
        <v/>
      </c>
      <c r="X43" s="60" t="str">
        <f aca="false">IFERROR(IF(INDEX(res_Name,(ROW()-ROW(rw_LoadOrigin)-1))="","",INDEX(rw_Cum,(ROW()-ROW(rw_LoadOrigin)-1),(COLUMN()-COLUMN(rw_LoadOrigin)-1)+1)-INDEX(rw_Cum,(ROW()-ROW(rw_LoadOrigin)-1),(COLUMN()-COLUMN(rw_LoadOrigin)-1))),"")</f>
        <v/>
      </c>
      <c r="Y43" s="60" t="str">
        <f aca="false">IFERROR(IF(INDEX(res_Name,(ROW()-ROW(rw_LoadOrigin)-1))="","",INDEX(rw_Cum,(ROW()-ROW(rw_LoadOrigin)-1),(COLUMN()-COLUMN(rw_LoadOrigin)-1)+1)-INDEX(rw_Cum,(ROW()-ROW(rw_LoadOrigin)-1),(COLUMN()-COLUMN(rw_LoadOrigin)-1))),"")</f>
        <v/>
      </c>
      <c r="Z43" s="60" t="str">
        <f aca="false">IFERROR(IF(INDEX(res_Name,(ROW()-ROW(rw_LoadOrigin)-1))="","",INDEX(rw_Cum,(ROW()-ROW(rw_LoadOrigin)-1),(COLUMN()-COLUMN(rw_LoadOrigin)-1)+1)-INDEX(rw_Cum,(ROW()-ROW(rw_LoadOrigin)-1),(COLUMN()-COLUMN(rw_LoadOrigin)-1))),"")</f>
        <v/>
      </c>
      <c r="AA43" s="60" t="str">
        <f aca="false">IFERROR(IF(INDEX(res_Name,(ROW()-ROW(rw_LoadOrigin)-1))="","",INDEX(rw_Cum,(ROW()-ROW(rw_LoadOrigin)-1),(COLUMN()-COLUMN(rw_LoadOrigin)-1)+1)-INDEX(rw_Cum,(ROW()-ROW(rw_LoadOrigin)-1),(COLUMN()-COLUMN(rw_LoadOrigin)-1))),"")</f>
        <v/>
      </c>
      <c r="AB43" s="60" t="str">
        <f aca="false">IFERROR(IF(INDEX(res_Name,(ROW()-ROW(rw_LoadOrigin)-1))="","",INDEX(rw_Cum,(ROW()-ROW(rw_LoadOrigin)-1),(COLUMN()-COLUMN(rw_LoadOrigin)-1)+1)-INDEX(rw_Cum,(ROW()-ROW(rw_LoadOrigin)-1),(COLUMN()-COLUMN(rw_LoadOrigin)-1))),"")</f>
        <v/>
      </c>
      <c r="AC43" s="60" t="str">
        <f aca="false">IFERROR(IF(INDEX(res_Name,(ROW()-ROW(rw_LoadOrigin)-1))="","",INDEX(rw_Cum,(ROW()-ROW(rw_LoadOrigin)-1),(COLUMN()-COLUMN(rw_LoadOrigin)-1)+1)-INDEX(rw_Cum,(ROW()-ROW(rw_LoadOrigin)-1),(COLUMN()-COLUMN(rw_LoadOrigin)-1))),"")</f>
        <v/>
      </c>
    </row>
    <row r="44" customFormat="false" ht="15" hidden="false" customHeight="false" outlineLevel="0" collapsed="false">
      <c r="B44" s="31" t="str">
        <f aca="false">IFERROR(INDEX(res_Name,(ROW()-ROW(rw_LoadOrigin)-1))&amp;"","")</f>
        <v/>
      </c>
      <c r="C44" s="59" t="str">
        <f aca="false">IFERROR(IF(INDEX(res_Name,(ROW()-ROW(rw_LoadOrigin)-1))="","",INDEX(res_MaxUnits,(ROW()-ROW(rw_LoadOrigin)-1))),"")</f>
        <v/>
      </c>
      <c r="D44" s="60" t="str">
        <f aca="false">IFERROR(IF(INDEX(res_Name,(ROW()-ROW(rw_LoadOrigin)-1))="","",INDEX(rw_Cum,(ROW()-ROW(rw_LoadOrigin)-1),(COLUMN()-COLUMN(rw_LoadOrigin)-1)+1)-INDEX(rw_Cum,(ROW()-ROW(rw_LoadOrigin)-1),(COLUMN()-COLUMN(rw_LoadOrigin)-1))),"")</f>
        <v/>
      </c>
      <c r="E44" s="60" t="str">
        <f aca="false">IFERROR(IF(INDEX(res_Name,(ROW()-ROW(rw_LoadOrigin)-1))="","",INDEX(rw_Cum,(ROW()-ROW(rw_LoadOrigin)-1),(COLUMN()-COLUMN(rw_LoadOrigin)-1)+1)-INDEX(rw_Cum,(ROW()-ROW(rw_LoadOrigin)-1),(COLUMN()-COLUMN(rw_LoadOrigin)-1))),"")</f>
        <v/>
      </c>
      <c r="F44" s="60" t="str">
        <f aca="false">IFERROR(IF(INDEX(res_Name,(ROW()-ROW(rw_LoadOrigin)-1))="","",INDEX(rw_Cum,(ROW()-ROW(rw_LoadOrigin)-1),(COLUMN()-COLUMN(rw_LoadOrigin)-1)+1)-INDEX(rw_Cum,(ROW()-ROW(rw_LoadOrigin)-1),(COLUMN()-COLUMN(rw_LoadOrigin)-1))),"")</f>
        <v/>
      </c>
      <c r="G44" s="60" t="str">
        <f aca="false">IFERROR(IF(INDEX(res_Name,(ROW()-ROW(rw_LoadOrigin)-1))="","",INDEX(rw_Cum,(ROW()-ROW(rw_LoadOrigin)-1),(COLUMN()-COLUMN(rw_LoadOrigin)-1)+1)-INDEX(rw_Cum,(ROW()-ROW(rw_LoadOrigin)-1),(COLUMN()-COLUMN(rw_LoadOrigin)-1))),"")</f>
        <v/>
      </c>
      <c r="H44" s="60" t="str">
        <f aca="false">IFERROR(IF(INDEX(res_Name,(ROW()-ROW(rw_LoadOrigin)-1))="","",INDEX(rw_Cum,(ROW()-ROW(rw_LoadOrigin)-1),(COLUMN()-COLUMN(rw_LoadOrigin)-1)+1)-INDEX(rw_Cum,(ROW()-ROW(rw_LoadOrigin)-1),(COLUMN()-COLUMN(rw_LoadOrigin)-1))),"")</f>
        <v/>
      </c>
      <c r="I44" s="60" t="str">
        <f aca="false">IFERROR(IF(INDEX(res_Name,(ROW()-ROW(rw_LoadOrigin)-1))="","",INDEX(rw_Cum,(ROW()-ROW(rw_LoadOrigin)-1),(COLUMN()-COLUMN(rw_LoadOrigin)-1)+1)-INDEX(rw_Cum,(ROW()-ROW(rw_LoadOrigin)-1),(COLUMN()-COLUMN(rw_LoadOrigin)-1))),"")</f>
        <v/>
      </c>
      <c r="J44" s="60" t="str">
        <f aca="false">IFERROR(IF(INDEX(res_Name,(ROW()-ROW(rw_LoadOrigin)-1))="","",INDEX(rw_Cum,(ROW()-ROW(rw_LoadOrigin)-1),(COLUMN()-COLUMN(rw_LoadOrigin)-1)+1)-INDEX(rw_Cum,(ROW()-ROW(rw_LoadOrigin)-1),(COLUMN()-COLUMN(rw_LoadOrigin)-1))),"")</f>
        <v/>
      </c>
      <c r="K44" s="60" t="str">
        <f aca="false">IFERROR(IF(INDEX(res_Name,(ROW()-ROW(rw_LoadOrigin)-1))="","",INDEX(rw_Cum,(ROW()-ROW(rw_LoadOrigin)-1),(COLUMN()-COLUMN(rw_LoadOrigin)-1)+1)-INDEX(rw_Cum,(ROW()-ROW(rw_LoadOrigin)-1),(COLUMN()-COLUMN(rw_LoadOrigin)-1))),"")</f>
        <v/>
      </c>
      <c r="L44" s="60" t="str">
        <f aca="false">IFERROR(IF(INDEX(res_Name,(ROW()-ROW(rw_LoadOrigin)-1))="","",INDEX(rw_Cum,(ROW()-ROW(rw_LoadOrigin)-1),(COLUMN()-COLUMN(rw_LoadOrigin)-1)+1)-INDEX(rw_Cum,(ROW()-ROW(rw_LoadOrigin)-1),(COLUMN()-COLUMN(rw_LoadOrigin)-1))),"")</f>
        <v/>
      </c>
      <c r="M44" s="60" t="str">
        <f aca="false">IFERROR(IF(INDEX(res_Name,(ROW()-ROW(rw_LoadOrigin)-1))="","",INDEX(rw_Cum,(ROW()-ROW(rw_LoadOrigin)-1),(COLUMN()-COLUMN(rw_LoadOrigin)-1)+1)-INDEX(rw_Cum,(ROW()-ROW(rw_LoadOrigin)-1),(COLUMN()-COLUMN(rw_LoadOrigin)-1))),"")</f>
        <v/>
      </c>
      <c r="N44" s="60" t="str">
        <f aca="false">IFERROR(IF(INDEX(res_Name,(ROW()-ROW(rw_LoadOrigin)-1))="","",INDEX(rw_Cum,(ROW()-ROW(rw_LoadOrigin)-1),(COLUMN()-COLUMN(rw_LoadOrigin)-1)+1)-INDEX(rw_Cum,(ROW()-ROW(rw_LoadOrigin)-1),(COLUMN()-COLUMN(rw_LoadOrigin)-1))),"")</f>
        <v/>
      </c>
      <c r="O44" s="60" t="str">
        <f aca="false">IFERROR(IF(INDEX(res_Name,(ROW()-ROW(rw_LoadOrigin)-1))="","",INDEX(rw_Cum,(ROW()-ROW(rw_LoadOrigin)-1),(COLUMN()-COLUMN(rw_LoadOrigin)-1)+1)-INDEX(rw_Cum,(ROW()-ROW(rw_LoadOrigin)-1),(COLUMN()-COLUMN(rw_LoadOrigin)-1))),"")</f>
        <v/>
      </c>
      <c r="P44" s="60" t="str">
        <f aca="false">IFERROR(IF(INDEX(res_Name,(ROW()-ROW(rw_LoadOrigin)-1))="","",INDEX(rw_Cum,(ROW()-ROW(rw_LoadOrigin)-1),(COLUMN()-COLUMN(rw_LoadOrigin)-1)+1)-INDEX(rw_Cum,(ROW()-ROW(rw_LoadOrigin)-1),(COLUMN()-COLUMN(rw_LoadOrigin)-1))),"")</f>
        <v/>
      </c>
      <c r="Q44" s="60" t="str">
        <f aca="false">IFERROR(IF(INDEX(res_Name,(ROW()-ROW(rw_LoadOrigin)-1))="","",INDEX(rw_Cum,(ROW()-ROW(rw_LoadOrigin)-1),(COLUMN()-COLUMN(rw_LoadOrigin)-1)+1)-INDEX(rw_Cum,(ROW()-ROW(rw_LoadOrigin)-1),(COLUMN()-COLUMN(rw_LoadOrigin)-1))),"")</f>
        <v/>
      </c>
      <c r="R44" s="60" t="str">
        <f aca="false">IFERROR(IF(INDEX(res_Name,(ROW()-ROW(rw_LoadOrigin)-1))="","",INDEX(rw_Cum,(ROW()-ROW(rw_LoadOrigin)-1),(COLUMN()-COLUMN(rw_LoadOrigin)-1)+1)-INDEX(rw_Cum,(ROW()-ROW(rw_LoadOrigin)-1),(COLUMN()-COLUMN(rw_LoadOrigin)-1))),"")</f>
        <v/>
      </c>
      <c r="S44" s="60" t="str">
        <f aca="false">IFERROR(IF(INDEX(res_Name,(ROW()-ROW(rw_LoadOrigin)-1))="","",INDEX(rw_Cum,(ROW()-ROW(rw_LoadOrigin)-1),(COLUMN()-COLUMN(rw_LoadOrigin)-1)+1)-INDEX(rw_Cum,(ROW()-ROW(rw_LoadOrigin)-1),(COLUMN()-COLUMN(rw_LoadOrigin)-1))),"")</f>
        <v/>
      </c>
      <c r="T44" s="60" t="str">
        <f aca="false">IFERROR(IF(INDEX(res_Name,(ROW()-ROW(rw_LoadOrigin)-1))="","",INDEX(rw_Cum,(ROW()-ROW(rw_LoadOrigin)-1),(COLUMN()-COLUMN(rw_LoadOrigin)-1)+1)-INDEX(rw_Cum,(ROW()-ROW(rw_LoadOrigin)-1),(COLUMN()-COLUMN(rw_LoadOrigin)-1))),"")</f>
        <v/>
      </c>
      <c r="U44" s="60" t="str">
        <f aca="false">IFERROR(IF(INDEX(res_Name,(ROW()-ROW(rw_LoadOrigin)-1))="","",INDEX(rw_Cum,(ROW()-ROW(rw_LoadOrigin)-1),(COLUMN()-COLUMN(rw_LoadOrigin)-1)+1)-INDEX(rw_Cum,(ROW()-ROW(rw_LoadOrigin)-1),(COLUMN()-COLUMN(rw_LoadOrigin)-1))),"")</f>
        <v/>
      </c>
      <c r="V44" s="60" t="str">
        <f aca="false">IFERROR(IF(INDEX(res_Name,(ROW()-ROW(rw_LoadOrigin)-1))="","",INDEX(rw_Cum,(ROW()-ROW(rw_LoadOrigin)-1),(COLUMN()-COLUMN(rw_LoadOrigin)-1)+1)-INDEX(rw_Cum,(ROW()-ROW(rw_LoadOrigin)-1),(COLUMN()-COLUMN(rw_LoadOrigin)-1))),"")</f>
        <v/>
      </c>
      <c r="W44" s="60" t="str">
        <f aca="false">IFERROR(IF(INDEX(res_Name,(ROW()-ROW(rw_LoadOrigin)-1))="","",INDEX(rw_Cum,(ROW()-ROW(rw_LoadOrigin)-1),(COLUMN()-COLUMN(rw_LoadOrigin)-1)+1)-INDEX(rw_Cum,(ROW()-ROW(rw_LoadOrigin)-1),(COLUMN()-COLUMN(rw_LoadOrigin)-1))),"")</f>
        <v/>
      </c>
      <c r="X44" s="60" t="str">
        <f aca="false">IFERROR(IF(INDEX(res_Name,(ROW()-ROW(rw_LoadOrigin)-1))="","",INDEX(rw_Cum,(ROW()-ROW(rw_LoadOrigin)-1),(COLUMN()-COLUMN(rw_LoadOrigin)-1)+1)-INDEX(rw_Cum,(ROW()-ROW(rw_LoadOrigin)-1),(COLUMN()-COLUMN(rw_LoadOrigin)-1))),"")</f>
        <v/>
      </c>
      <c r="Y44" s="60" t="str">
        <f aca="false">IFERROR(IF(INDEX(res_Name,(ROW()-ROW(rw_LoadOrigin)-1))="","",INDEX(rw_Cum,(ROW()-ROW(rw_LoadOrigin)-1),(COLUMN()-COLUMN(rw_LoadOrigin)-1)+1)-INDEX(rw_Cum,(ROW()-ROW(rw_LoadOrigin)-1),(COLUMN()-COLUMN(rw_LoadOrigin)-1))),"")</f>
        <v/>
      </c>
      <c r="Z44" s="60" t="str">
        <f aca="false">IFERROR(IF(INDEX(res_Name,(ROW()-ROW(rw_LoadOrigin)-1))="","",INDEX(rw_Cum,(ROW()-ROW(rw_LoadOrigin)-1),(COLUMN()-COLUMN(rw_LoadOrigin)-1)+1)-INDEX(rw_Cum,(ROW()-ROW(rw_LoadOrigin)-1),(COLUMN()-COLUMN(rw_LoadOrigin)-1))),"")</f>
        <v/>
      </c>
      <c r="AA44" s="60" t="str">
        <f aca="false">IFERROR(IF(INDEX(res_Name,(ROW()-ROW(rw_LoadOrigin)-1))="","",INDEX(rw_Cum,(ROW()-ROW(rw_LoadOrigin)-1),(COLUMN()-COLUMN(rw_LoadOrigin)-1)+1)-INDEX(rw_Cum,(ROW()-ROW(rw_LoadOrigin)-1),(COLUMN()-COLUMN(rw_LoadOrigin)-1))),"")</f>
        <v/>
      </c>
      <c r="AB44" s="60" t="str">
        <f aca="false">IFERROR(IF(INDEX(res_Name,(ROW()-ROW(rw_LoadOrigin)-1))="","",INDEX(rw_Cum,(ROW()-ROW(rw_LoadOrigin)-1),(COLUMN()-COLUMN(rw_LoadOrigin)-1)+1)-INDEX(rw_Cum,(ROW()-ROW(rw_LoadOrigin)-1),(COLUMN()-COLUMN(rw_LoadOrigin)-1))),"")</f>
        <v/>
      </c>
      <c r="AC44" s="60" t="str">
        <f aca="false">IFERROR(IF(INDEX(res_Name,(ROW()-ROW(rw_LoadOrigin)-1))="","",INDEX(rw_Cum,(ROW()-ROW(rw_LoadOrigin)-1),(COLUMN()-COLUMN(rw_LoadOrigin)-1)+1)-INDEX(rw_Cum,(ROW()-ROW(rw_LoadOrigin)-1),(COLUMN()-COLUMN(rw_LoadOrigin)-1))),"")</f>
        <v/>
      </c>
    </row>
    <row r="45" customFormat="false" ht="15" hidden="false" customHeight="false" outlineLevel="0" collapsed="false">
      <c r="B45" s="31" t="str">
        <f aca="false">IFERROR(INDEX(res_Name,(ROW()-ROW(rw_LoadOrigin)-1))&amp;"","")</f>
        <v/>
      </c>
      <c r="C45" s="59" t="str">
        <f aca="false">IFERROR(IF(INDEX(res_Name,(ROW()-ROW(rw_LoadOrigin)-1))="","",INDEX(res_MaxUnits,(ROW()-ROW(rw_LoadOrigin)-1))),"")</f>
        <v/>
      </c>
      <c r="D45" s="60" t="str">
        <f aca="false">IFERROR(IF(INDEX(res_Name,(ROW()-ROW(rw_LoadOrigin)-1))="","",INDEX(rw_Cum,(ROW()-ROW(rw_LoadOrigin)-1),(COLUMN()-COLUMN(rw_LoadOrigin)-1)+1)-INDEX(rw_Cum,(ROW()-ROW(rw_LoadOrigin)-1),(COLUMN()-COLUMN(rw_LoadOrigin)-1))),"")</f>
        <v/>
      </c>
      <c r="E45" s="60" t="str">
        <f aca="false">IFERROR(IF(INDEX(res_Name,(ROW()-ROW(rw_LoadOrigin)-1))="","",INDEX(rw_Cum,(ROW()-ROW(rw_LoadOrigin)-1),(COLUMN()-COLUMN(rw_LoadOrigin)-1)+1)-INDEX(rw_Cum,(ROW()-ROW(rw_LoadOrigin)-1),(COLUMN()-COLUMN(rw_LoadOrigin)-1))),"")</f>
        <v/>
      </c>
      <c r="F45" s="60" t="str">
        <f aca="false">IFERROR(IF(INDEX(res_Name,(ROW()-ROW(rw_LoadOrigin)-1))="","",INDEX(rw_Cum,(ROW()-ROW(rw_LoadOrigin)-1),(COLUMN()-COLUMN(rw_LoadOrigin)-1)+1)-INDEX(rw_Cum,(ROW()-ROW(rw_LoadOrigin)-1),(COLUMN()-COLUMN(rw_LoadOrigin)-1))),"")</f>
        <v/>
      </c>
      <c r="G45" s="60" t="str">
        <f aca="false">IFERROR(IF(INDEX(res_Name,(ROW()-ROW(rw_LoadOrigin)-1))="","",INDEX(rw_Cum,(ROW()-ROW(rw_LoadOrigin)-1),(COLUMN()-COLUMN(rw_LoadOrigin)-1)+1)-INDEX(rw_Cum,(ROW()-ROW(rw_LoadOrigin)-1),(COLUMN()-COLUMN(rw_LoadOrigin)-1))),"")</f>
        <v/>
      </c>
      <c r="H45" s="60" t="str">
        <f aca="false">IFERROR(IF(INDEX(res_Name,(ROW()-ROW(rw_LoadOrigin)-1))="","",INDEX(rw_Cum,(ROW()-ROW(rw_LoadOrigin)-1),(COLUMN()-COLUMN(rw_LoadOrigin)-1)+1)-INDEX(rw_Cum,(ROW()-ROW(rw_LoadOrigin)-1),(COLUMN()-COLUMN(rw_LoadOrigin)-1))),"")</f>
        <v/>
      </c>
      <c r="I45" s="60" t="str">
        <f aca="false">IFERROR(IF(INDEX(res_Name,(ROW()-ROW(rw_LoadOrigin)-1))="","",INDEX(rw_Cum,(ROW()-ROW(rw_LoadOrigin)-1),(COLUMN()-COLUMN(rw_LoadOrigin)-1)+1)-INDEX(rw_Cum,(ROW()-ROW(rw_LoadOrigin)-1),(COLUMN()-COLUMN(rw_LoadOrigin)-1))),"")</f>
        <v/>
      </c>
      <c r="J45" s="60" t="str">
        <f aca="false">IFERROR(IF(INDEX(res_Name,(ROW()-ROW(rw_LoadOrigin)-1))="","",INDEX(rw_Cum,(ROW()-ROW(rw_LoadOrigin)-1),(COLUMN()-COLUMN(rw_LoadOrigin)-1)+1)-INDEX(rw_Cum,(ROW()-ROW(rw_LoadOrigin)-1),(COLUMN()-COLUMN(rw_LoadOrigin)-1))),"")</f>
        <v/>
      </c>
      <c r="K45" s="60" t="str">
        <f aca="false">IFERROR(IF(INDEX(res_Name,(ROW()-ROW(rw_LoadOrigin)-1))="","",INDEX(rw_Cum,(ROW()-ROW(rw_LoadOrigin)-1),(COLUMN()-COLUMN(rw_LoadOrigin)-1)+1)-INDEX(rw_Cum,(ROW()-ROW(rw_LoadOrigin)-1),(COLUMN()-COLUMN(rw_LoadOrigin)-1))),"")</f>
        <v/>
      </c>
      <c r="L45" s="60" t="str">
        <f aca="false">IFERROR(IF(INDEX(res_Name,(ROW()-ROW(rw_LoadOrigin)-1))="","",INDEX(rw_Cum,(ROW()-ROW(rw_LoadOrigin)-1),(COLUMN()-COLUMN(rw_LoadOrigin)-1)+1)-INDEX(rw_Cum,(ROW()-ROW(rw_LoadOrigin)-1),(COLUMN()-COLUMN(rw_LoadOrigin)-1))),"")</f>
        <v/>
      </c>
      <c r="M45" s="60" t="str">
        <f aca="false">IFERROR(IF(INDEX(res_Name,(ROW()-ROW(rw_LoadOrigin)-1))="","",INDEX(rw_Cum,(ROW()-ROW(rw_LoadOrigin)-1),(COLUMN()-COLUMN(rw_LoadOrigin)-1)+1)-INDEX(rw_Cum,(ROW()-ROW(rw_LoadOrigin)-1),(COLUMN()-COLUMN(rw_LoadOrigin)-1))),"")</f>
        <v/>
      </c>
      <c r="N45" s="60" t="str">
        <f aca="false">IFERROR(IF(INDEX(res_Name,(ROW()-ROW(rw_LoadOrigin)-1))="","",INDEX(rw_Cum,(ROW()-ROW(rw_LoadOrigin)-1),(COLUMN()-COLUMN(rw_LoadOrigin)-1)+1)-INDEX(rw_Cum,(ROW()-ROW(rw_LoadOrigin)-1),(COLUMN()-COLUMN(rw_LoadOrigin)-1))),"")</f>
        <v/>
      </c>
      <c r="O45" s="60" t="str">
        <f aca="false">IFERROR(IF(INDEX(res_Name,(ROW()-ROW(rw_LoadOrigin)-1))="","",INDEX(rw_Cum,(ROW()-ROW(rw_LoadOrigin)-1),(COLUMN()-COLUMN(rw_LoadOrigin)-1)+1)-INDEX(rw_Cum,(ROW()-ROW(rw_LoadOrigin)-1),(COLUMN()-COLUMN(rw_LoadOrigin)-1))),"")</f>
        <v/>
      </c>
      <c r="P45" s="60" t="str">
        <f aca="false">IFERROR(IF(INDEX(res_Name,(ROW()-ROW(rw_LoadOrigin)-1))="","",INDEX(rw_Cum,(ROW()-ROW(rw_LoadOrigin)-1),(COLUMN()-COLUMN(rw_LoadOrigin)-1)+1)-INDEX(rw_Cum,(ROW()-ROW(rw_LoadOrigin)-1),(COLUMN()-COLUMN(rw_LoadOrigin)-1))),"")</f>
        <v/>
      </c>
      <c r="Q45" s="60" t="str">
        <f aca="false">IFERROR(IF(INDEX(res_Name,(ROW()-ROW(rw_LoadOrigin)-1))="","",INDEX(rw_Cum,(ROW()-ROW(rw_LoadOrigin)-1),(COLUMN()-COLUMN(rw_LoadOrigin)-1)+1)-INDEX(rw_Cum,(ROW()-ROW(rw_LoadOrigin)-1),(COLUMN()-COLUMN(rw_LoadOrigin)-1))),"")</f>
        <v/>
      </c>
      <c r="R45" s="60" t="str">
        <f aca="false">IFERROR(IF(INDEX(res_Name,(ROW()-ROW(rw_LoadOrigin)-1))="","",INDEX(rw_Cum,(ROW()-ROW(rw_LoadOrigin)-1),(COLUMN()-COLUMN(rw_LoadOrigin)-1)+1)-INDEX(rw_Cum,(ROW()-ROW(rw_LoadOrigin)-1),(COLUMN()-COLUMN(rw_LoadOrigin)-1))),"")</f>
        <v/>
      </c>
      <c r="S45" s="60" t="str">
        <f aca="false">IFERROR(IF(INDEX(res_Name,(ROW()-ROW(rw_LoadOrigin)-1))="","",INDEX(rw_Cum,(ROW()-ROW(rw_LoadOrigin)-1),(COLUMN()-COLUMN(rw_LoadOrigin)-1)+1)-INDEX(rw_Cum,(ROW()-ROW(rw_LoadOrigin)-1),(COLUMN()-COLUMN(rw_LoadOrigin)-1))),"")</f>
        <v/>
      </c>
      <c r="T45" s="60" t="str">
        <f aca="false">IFERROR(IF(INDEX(res_Name,(ROW()-ROW(rw_LoadOrigin)-1))="","",INDEX(rw_Cum,(ROW()-ROW(rw_LoadOrigin)-1),(COLUMN()-COLUMN(rw_LoadOrigin)-1)+1)-INDEX(rw_Cum,(ROW()-ROW(rw_LoadOrigin)-1),(COLUMN()-COLUMN(rw_LoadOrigin)-1))),"")</f>
        <v/>
      </c>
      <c r="U45" s="60" t="str">
        <f aca="false">IFERROR(IF(INDEX(res_Name,(ROW()-ROW(rw_LoadOrigin)-1))="","",INDEX(rw_Cum,(ROW()-ROW(rw_LoadOrigin)-1),(COLUMN()-COLUMN(rw_LoadOrigin)-1)+1)-INDEX(rw_Cum,(ROW()-ROW(rw_LoadOrigin)-1),(COLUMN()-COLUMN(rw_LoadOrigin)-1))),"")</f>
        <v/>
      </c>
      <c r="V45" s="60" t="str">
        <f aca="false">IFERROR(IF(INDEX(res_Name,(ROW()-ROW(rw_LoadOrigin)-1))="","",INDEX(rw_Cum,(ROW()-ROW(rw_LoadOrigin)-1),(COLUMN()-COLUMN(rw_LoadOrigin)-1)+1)-INDEX(rw_Cum,(ROW()-ROW(rw_LoadOrigin)-1),(COLUMN()-COLUMN(rw_LoadOrigin)-1))),"")</f>
        <v/>
      </c>
      <c r="W45" s="60" t="str">
        <f aca="false">IFERROR(IF(INDEX(res_Name,(ROW()-ROW(rw_LoadOrigin)-1))="","",INDEX(rw_Cum,(ROW()-ROW(rw_LoadOrigin)-1),(COLUMN()-COLUMN(rw_LoadOrigin)-1)+1)-INDEX(rw_Cum,(ROW()-ROW(rw_LoadOrigin)-1),(COLUMN()-COLUMN(rw_LoadOrigin)-1))),"")</f>
        <v/>
      </c>
      <c r="X45" s="60" t="str">
        <f aca="false">IFERROR(IF(INDEX(res_Name,(ROW()-ROW(rw_LoadOrigin)-1))="","",INDEX(rw_Cum,(ROW()-ROW(rw_LoadOrigin)-1),(COLUMN()-COLUMN(rw_LoadOrigin)-1)+1)-INDEX(rw_Cum,(ROW()-ROW(rw_LoadOrigin)-1),(COLUMN()-COLUMN(rw_LoadOrigin)-1))),"")</f>
        <v/>
      </c>
      <c r="Y45" s="60" t="str">
        <f aca="false">IFERROR(IF(INDEX(res_Name,(ROW()-ROW(rw_LoadOrigin)-1))="","",INDEX(rw_Cum,(ROW()-ROW(rw_LoadOrigin)-1),(COLUMN()-COLUMN(rw_LoadOrigin)-1)+1)-INDEX(rw_Cum,(ROW()-ROW(rw_LoadOrigin)-1),(COLUMN()-COLUMN(rw_LoadOrigin)-1))),"")</f>
        <v/>
      </c>
      <c r="Z45" s="60" t="str">
        <f aca="false">IFERROR(IF(INDEX(res_Name,(ROW()-ROW(rw_LoadOrigin)-1))="","",INDEX(rw_Cum,(ROW()-ROW(rw_LoadOrigin)-1),(COLUMN()-COLUMN(rw_LoadOrigin)-1)+1)-INDEX(rw_Cum,(ROW()-ROW(rw_LoadOrigin)-1),(COLUMN()-COLUMN(rw_LoadOrigin)-1))),"")</f>
        <v/>
      </c>
      <c r="AA45" s="60" t="str">
        <f aca="false">IFERROR(IF(INDEX(res_Name,(ROW()-ROW(rw_LoadOrigin)-1))="","",INDEX(rw_Cum,(ROW()-ROW(rw_LoadOrigin)-1),(COLUMN()-COLUMN(rw_LoadOrigin)-1)+1)-INDEX(rw_Cum,(ROW()-ROW(rw_LoadOrigin)-1),(COLUMN()-COLUMN(rw_LoadOrigin)-1))),"")</f>
        <v/>
      </c>
      <c r="AB45" s="60" t="str">
        <f aca="false">IFERROR(IF(INDEX(res_Name,(ROW()-ROW(rw_LoadOrigin)-1))="","",INDEX(rw_Cum,(ROW()-ROW(rw_LoadOrigin)-1),(COLUMN()-COLUMN(rw_LoadOrigin)-1)+1)-INDEX(rw_Cum,(ROW()-ROW(rw_LoadOrigin)-1),(COLUMN()-COLUMN(rw_LoadOrigin)-1))),"")</f>
        <v/>
      </c>
      <c r="AC45" s="60" t="str">
        <f aca="false">IFERROR(IF(INDEX(res_Name,(ROW()-ROW(rw_LoadOrigin)-1))="","",INDEX(rw_Cum,(ROW()-ROW(rw_LoadOrigin)-1),(COLUMN()-COLUMN(rw_LoadOrigin)-1)+1)-INDEX(rw_Cum,(ROW()-ROW(rw_LoadOrigin)-1),(COLUMN()-COLUMN(rw_LoadOrigin)-1))),"")</f>
        <v/>
      </c>
    </row>
    <row r="46" customFormat="false" ht="15" hidden="false" customHeight="false" outlineLevel="0" collapsed="false">
      <c r="B46" s="31" t="str">
        <f aca="false">IFERROR(INDEX(res_Name,(ROW()-ROW(rw_LoadOrigin)-1))&amp;"","")</f>
        <v/>
      </c>
      <c r="C46" s="59" t="str">
        <f aca="false">IFERROR(IF(INDEX(res_Name,(ROW()-ROW(rw_LoadOrigin)-1))="","",INDEX(res_MaxUnits,(ROW()-ROW(rw_LoadOrigin)-1))),"")</f>
        <v/>
      </c>
      <c r="D46" s="60" t="str">
        <f aca="false">IFERROR(IF(INDEX(res_Name,(ROW()-ROW(rw_LoadOrigin)-1))="","",INDEX(rw_Cum,(ROW()-ROW(rw_LoadOrigin)-1),(COLUMN()-COLUMN(rw_LoadOrigin)-1)+1)-INDEX(rw_Cum,(ROW()-ROW(rw_LoadOrigin)-1),(COLUMN()-COLUMN(rw_LoadOrigin)-1))),"")</f>
        <v/>
      </c>
      <c r="E46" s="60" t="str">
        <f aca="false">IFERROR(IF(INDEX(res_Name,(ROW()-ROW(rw_LoadOrigin)-1))="","",INDEX(rw_Cum,(ROW()-ROW(rw_LoadOrigin)-1),(COLUMN()-COLUMN(rw_LoadOrigin)-1)+1)-INDEX(rw_Cum,(ROW()-ROW(rw_LoadOrigin)-1),(COLUMN()-COLUMN(rw_LoadOrigin)-1))),"")</f>
        <v/>
      </c>
      <c r="F46" s="60" t="str">
        <f aca="false">IFERROR(IF(INDEX(res_Name,(ROW()-ROW(rw_LoadOrigin)-1))="","",INDEX(rw_Cum,(ROW()-ROW(rw_LoadOrigin)-1),(COLUMN()-COLUMN(rw_LoadOrigin)-1)+1)-INDEX(rw_Cum,(ROW()-ROW(rw_LoadOrigin)-1),(COLUMN()-COLUMN(rw_LoadOrigin)-1))),"")</f>
        <v/>
      </c>
      <c r="G46" s="60" t="str">
        <f aca="false">IFERROR(IF(INDEX(res_Name,(ROW()-ROW(rw_LoadOrigin)-1))="","",INDEX(rw_Cum,(ROW()-ROW(rw_LoadOrigin)-1),(COLUMN()-COLUMN(rw_LoadOrigin)-1)+1)-INDEX(rw_Cum,(ROW()-ROW(rw_LoadOrigin)-1),(COLUMN()-COLUMN(rw_LoadOrigin)-1))),"")</f>
        <v/>
      </c>
      <c r="H46" s="60" t="str">
        <f aca="false">IFERROR(IF(INDEX(res_Name,(ROW()-ROW(rw_LoadOrigin)-1))="","",INDEX(rw_Cum,(ROW()-ROW(rw_LoadOrigin)-1),(COLUMN()-COLUMN(rw_LoadOrigin)-1)+1)-INDEX(rw_Cum,(ROW()-ROW(rw_LoadOrigin)-1),(COLUMN()-COLUMN(rw_LoadOrigin)-1))),"")</f>
        <v/>
      </c>
      <c r="I46" s="60" t="str">
        <f aca="false">IFERROR(IF(INDEX(res_Name,(ROW()-ROW(rw_LoadOrigin)-1))="","",INDEX(rw_Cum,(ROW()-ROW(rw_LoadOrigin)-1),(COLUMN()-COLUMN(rw_LoadOrigin)-1)+1)-INDEX(rw_Cum,(ROW()-ROW(rw_LoadOrigin)-1),(COLUMN()-COLUMN(rw_LoadOrigin)-1))),"")</f>
        <v/>
      </c>
      <c r="J46" s="60" t="str">
        <f aca="false">IFERROR(IF(INDEX(res_Name,(ROW()-ROW(rw_LoadOrigin)-1))="","",INDEX(rw_Cum,(ROW()-ROW(rw_LoadOrigin)-1),(COLUMN()-COLUMN(rw_LoadOrigin)-1)+1)-INDEX(rw_Cum,(ROW()-ROW(rw_LoadOrigin)-1),(COLUMN()-COLUMN(rw_LoadOrigin)-1))),"")</f>
        <v/>
      </c>
      <c r="K46" s="60" t="str">
        <f aca="false">IFERROR(IF(INDEX(res_Name,(ROW()-ROW(rw_LoadOrigin)-1))="","",INDEX(rw_Cum,(ROW()-ROW(rw_LoadOrigin)-1),(COLUMN()-COLUMN(rw_LoadOrigin)-1)+1)-INDEX(rw_Cum,(ROW()-ROW(rw_LoadOrigin)-1),(COLUMN()-COLUMN(rw_LoadOrigin)-1))),"")</f>
        <v/>
      </c>
      <c r="L46" s="60" t="str">
        <f aca="false">IFERROR(IF(INDEX(res_Name,(ROW()-ROW(rw_LoadOrigin)-1))="","",INDEX(rw_Cum,(ROW()-ROW(rw_LoadOrigin)-1),(COLUMN()-COLUMN(rw_LoadOrigin)-1)+1)-INDEX(rw_Cum,(ROW()-ROW(rw_LoadOrigin)-1),(COLUMN()-COLUMN(rw_LoadOrigin)-1))),"")</f>
        <v/>
      </c>
      <c r="M46" s="60" t="str">
        <f aca="false">IFERROR(IF(INDEX(res_Name,(ROW()-ROW(rw_LoadOrigin)-1))="","",INDEX(rw_Cum,(ROW()-ROW(rw_LoadOrigin)-1),(COLUMN()-COLUMN(rw_LoadOrigin)-1)+1)-INDEX(rw_Cum,(ROW()-ROW(rw_LoadOrigin)-1),(COLUMN()-COLUMN(rw_LoadOrigin)-1))),"")</f>
        <v/>
      </c>
      <c r="N46" s="60" t="str">
        <f aca="false">IFERROR(IF(INDEX(res_Name,(ROW()-ROW(rw_LoadOrigin)-1))="","",INDEX(rw_Cum,(ROW()-ROW(rw_LoadOrigin)-1),(COLUMN()-COLUMN(rw_LoadOrigin)-1)+1)-INDEX(rw_Cum,(ROW()-ROW(rw_LoadOrigin)-1),(COLUMN()-COLUMN(rw_LoadOrigin)-1))),"")</f>
        <v/>
      </c>
      <c r="O46" s="60" t="str">
        <f aca="false">IFERROR(IF(INDEX(res_Name,(ROW()-ROW(rw_LoadOrigin)-1))="","",INDEX(rw_Cum,(ROW()-ROW(rw_LoadOrigin)-1),(COLUMN()-COLUMN(rw_LoadOrigin)-1)+1)-INDEX(rw_Cum,(ROW()-ROW(rw_LoadOrigin)-1),(COLUMN()-COLUMN(rw_LoadOrigin)-1))),"")</f>
        <v/>
      </c>
      <c r="P46" s="60" t="str">
        <f aca="false">IFERROR(IF(INDEX(res_Name,(ROW()-ROW(rw_LoadOrigin)-1))="","",INDEX(rw_Cum,(ROW()-ROW(rw_LoadOrigin)-1),(COLUMN()-COLUMN(rw_LoadOrigin)-1)+1)-INDEX(rw_Cum,(ROW()-ROW(rw_LoadOrigin)-1),(COLUMN()-COLUMN(rw_LoadOrigin)-1))),"")</f>
        <v/>
      </c>
      <c r="Q46" s="60" t="str">
        <f aca="false">IFERROR(IF(INDEX(res_Name,(ROW()-ROW(rw_LoadOrigin)-1))="","",INDEX(rw_Cum,(ROW()-ROW(rw_LoadOrigin)-1),(COLUMN()-COLUMN(rw_LoadOrigin)-1)+1)-INDEX(rw_Cum,(ROW()-ROW(rw_LoadOrigin)-1),(COLUMN()-COLUMN(rw_LoadOrigin)-1))),"")</f>
        <v/>
      </c>
      <c r="R46" s="60" t="str">
        <f aca="false">IFERROR(IF(INDEX(res_Name,(ROW()-ROW(rw_LoadOrigin)-1))="","",INDEX(rw_Cum,(ROW()-ROW(rw_LoadOrigin)-1),(COLUMN()-COLUMN(rw_LoadOrigin)-1)+1)-INDEX(rw_Cum,(ROW()-ROW(rw_LoadOrigin)-1),(COLUMN()-COLUMN(rw_LoadOrigin)-1))),"")</f>
        <v/>
      </c>
      <c r="S46" s="60" t="str">
        <f aca="false">IFERROR(IF(INDEX(res_Name,(ROW()-ROW(rw_LoadOrigin)-1))="","",INDEX(rw_Cum,(ROW()-ROW(rw_LoadOrigin)-1),(COLUMN()-COLUMN(rw_LoadOrigin)-1)+1)-INDEX(rw_Cum,(ROW()-ROW(rw_LoadOrigin)-1),(COLUMN()-COLUMN(rw_LoadOrigin)-1))),"")</f>
        <v/>
      </c>
      <c r="T46" s="60" t="str">
        <f aca="false">IFERROR(IF(INDEX(res_Name,(ROW()-ROW(rw_LoadOrigin)-1))="","",INDEX(rw_Cum,(ROW()-ROW(rw_LoadOrigin)-1),(COLUMN()-COLUMN(rw_LoadOrigin)-1)+1)-INDEX(rw_Cum,(ROW()-ROW(rw_LoadOrigin)-1),(COLUMN()-COLUMN(rw_LoadOrigin)-1))),"")</f>
        <v/>
      </c>
      <c r="U46" s="60" t="str">
        <f aca="false">IFERROR(IF(INDEX(res_Name,(ROW()-ROW(rw_LoadOrigin)-1))="","",INDEX(rw_Cum,(ROW()-ROW(rw_LoadOrigin)-1),(COLUMN()-COLUMN(rw_LoadOrigin)-1)+1)-INDEX(rw_Cum,(ROW()-ROW(rw_LoadOrigin)-1),(COLUMN()-COLUMN(rw_LoadOrigin)-1))),"")</f>
        <v/>
      </c>
      <c r="V46" s="60" t="str">
        <f aca="false">IFERROR(IF(INDEX(res_Name,(ROW()-ROW(rw_LoadOrigin)-1))="","",INDEX(rw_Cum,(ROW()-ROW(rw_LoadOrigin)-1),(COLUMN()-COLUMN(rw_LoadOrigin)-1)+1)-INDEX(rw_Cum,(ROW()-ROW(rw_LoadOrigin)-1),(COLUMN()-COLUMN(rw_LoadOrigin)-1))),"")</f>
        <v/>
      </c>
      <c r="W46" s="60" t="str">
        <f aca="false">IFERROR(IF(INDEX(res_Name,(ROW()-ROW(rw_LoadOrigin)-1))="","",INDEX(rw_Cum,(ROW()-ROW(rw_LoadOrigin)-1),(COLUMN()-COLUMN(rw_LoadOrigin)-1)+1)-INDEX(rw_Cum,(ROW()-ROW(rw_LoadOrigin)-1),(COLUMN()-COLUMN(rw_LoadOrigin)-1))),"")</f>
        <v/>
      </c>
      <c r="X46" s="60" t="str">
        <f aca="false">IFERROR(IF(INDEX(res_Name,(ROW()-ROW(rw_LoadOrigin)-1))="","",INDEX(rw_Cum,(ROW()-ROW(rw_LoadOrigin)-1),(COLUMN()-COLUMN(rw_LoadOrigin)-1)+1)-INDEX(rw_Cum,(ROW()-ROW(rw_LoadOrigin)-1),(COLUMN()-COLUMN(rw_LoadOrigin)-1))),"")</f>
        <v/>
      </c>
      <c r="Y46" s="60" t="str">
        <f aca="false">IFERROR(IF(INDEX(res_Name,(ROW()-ROW(rw_LoadOrigin)-1))="","",INDEX(rw_Cum,(ROW()-ROW(rw_LoadOrigin)-1),(COLUMN()-COLUMN(rw_LoadOrigin)-1)+1)-INDEX(rw_Cum,(ROW()-ROW(rw_LoadOrigin)-1),(COLUMN()-COLUMN(rw_LoadOrigin)-1))),"")</f>
        <v/>
      </c>
      <c r="Z46" s="60" t="str">
        <f aca="false">IFERROR(IF(INDEX(res_Name,(ROW()-ROW(rw_LoadOrigin)-1))="","",INDEX(rw_Cum,(ROW()-ROW(rw_LoadOrigin)-1),(COLUMN()-COLUMN(rw_LoadOrigin)-1)+1)-INDEX(rw_Cum,(ROW()-ROW(rw_LoadOrigin)-1),(COLUMN()-COLUMN(rw_LoadOrigin)-1))),"")</f>
        <v/>
      </c>
      <c r="AA46" s="60" t="str">
        <f aca="false">IFERROR(IF(INDEX(res_Name,(ROW()-ROW(rw_LoadOrigin)-1))="","",INDEX(rw_Cum,(ROW()-ROW(rw_LoadOrigin)-1),(COLUMN()-COLUMN(rw_LoadOrigin)-1)+1)-INDEX(rw_Cum,(ROW()-ROW(rw_LoadOrigin)-1),(COLUMN()-COLUMN(rw_LoadOrigin)-1))),"")</f>
        <v/>
      </c>
      <c r="AB46" s="60" t="str">
        <f aca="false">IFERROR(IF(INDEX(res_Name,(ROW()-ROW(rw_LoadOrigin)-1))="","",INDEX(rw_Cum,(ROW()-ROW(rw_LoadOrigin)-1),(COLUMN()-COLUMN(rw_LoadOrigin)-1)+1)-INDEX(rw_Cum,(ROW()-ROW(rw_LoadOrigin)-1),(COLUMN()-COLUMN(rw_LoadOrigin)-1))),"")</f>
        <v/>
      </c>
      <c r="AC46" s="60" t="str">
        <f aca="false">IFERROR(IF(INDEX(res_Name,(ROW()-ROW(rw_LoadOrigin)-1))="","",INDEX(rw_Cum,(ROW()-ROW(rw_LoadOrigin)-1),(COLUMN()-COLUMN(rw_LoadOrigin)-1)+1)-INDEX(rw_Cum,(ROW()-ROW(rw_LoadOrigin)-1),(COLUMN()-COLUMN(rw_LoadOrigin)-1))),"")</f>
        <v/>
      </c>
    </row>
    <row r="47" customFormat="false" ht="15" hidden="false" customHeight="false" outlineLevel="0" collapsed="false">
      <c r="B47" s="31" t="str">
        <f aca="false">IFERROR(INDEX(res_Name,(ROW()-ROW(rw_LoadOrigin)-1))&amp;"","")</f>
        <v/>
      </c>
      <c r="C47" s="59" t="str">
        <f aca="false">IFERROR(IF(INDEX(res_Name,(ROW()-ROW(rw_LoadOrigin)-1))="","",INDEX(res_MaxUnits,(ROW()-ROW(rw_LoadOrigin)-1))),"")</f>
        <v/>
      </c>
      <c r="D47" s="60" t="str">
        <f aca="false">IFERROR(IF(INDEX(res_Name,(ROW()-ROW(rw_LoadOrigin)-1))="","",INDEX(rw_Cum,(ROW()-ROW(rw_LoadOrigin)-1),(COLUMN()-COLUMN(rw_LoadOrigin)-1)+1)-INDEX(rw_Cum,(ROW()-ROW(rw_LoadOrigin)-1),(COLUMN()-COLUMN(rw_LoadOrigin)-1))),"")</f>
        <v/>
      </c>
      <c r="E47" s="60" t="str">
        <f aca="false">IFERROR(IF(INDEX(res_Name,(ROW()-ROW(rw_LoadOrigin)-1))="","",INDEX(rw_Cum,(ROW()-ROW(rw_LoadOrigin)-1),(COLUMN()-COLUMN(rw_LoadOrigin)-1)+1)-INDEX(rw_Cum,(ROW()-ROW(rw_LoadOrigin)-1),(COLUMN()-COLUMN(rw_LoadOrigin)-1))),"")</f>
        <v/>
      </c>
      <c r="F47" s="60" t="str">
        <f aca="false">IFERROR(IF(INDEX(res_Name,(ROW()-ROW(rw_LoadOrigin)-1))="","",INDEX(rw_Cum,(ROW()-ROW(rw_LoadOrigin)-1),(COLUMN()-COLUMN(rw_LoadOrigin)-1)+1)-INDEX(rw_Cum,(ROW()-ROW(rw_LoadOrigin)-1),(COLUMN()-COLUMN(rw_LoadOrigin)-1))),"")</f>
        <v/>
      </c>
      <c r="G47" s="60" t="str">
        <f aca="false">IFERROR(IF(INDEX(res_Name,(ROW()-ROW(rw_LoadOrigin)-1))="","",INDEX(rw_Cum,(ROW()-ROW(rw_LoadOrigin)-1),(COLUMN()-COLUMN(rw_LoadOrigin)-1)+1)-INDEX(rw_Cum,(ROW()-ROW(rw_LoadOrigin)-1),(COLUMN()-COLUMN(rw_LoadOrigin)-1))),"")</f>
        <v/>
      </c>
      <c r="H47" s="60" t="str">
        <f aca="false">IFERROR(IF(INDEX(res_Name,(ROW()-ROW(rw_LoadOrigin)-1))="","",INDEX(rw_Cum,(ROW()-ROW(rw_LoadOrigin)-1),(COLUMN()-COLUMN(rw_LoadOrigin)-1)+1)-INDEX(rw_Cum,(ROW()-ROW(rw_LoadOrigin)-1),(COLUMN()-COLUMN(rw_LoadOrigin)-1))),"")</f>
        <v/>
      </c>
      <c r="I47" s="60" t="str">
        <f aca="false">IFERROR(IF(INDEX(res_Name,(ROW()-ROW(rw_LoadOrigin)-1))="","",INDEX(rw_Cum,(ROW()-ROW(rw_LoadOrigin)-1),(COLUMN()-COLUMN(rw_LoadOrigin)-1)+1)-INDEX(rw_Cum,(ROW()-ROW(rw_LoadOrigin)-1),(COLUMN()-COLUMN(rw_LoadOrigin)-1))),"")</f>
        <v/>
      </c>
      <c r="J47" s="60" t="str">
        <f aca="false">IFERROR(IF(INDEX(res_Name,(ROW()-ROW(rw_LoadOrigin)-1))="","",INDEX(rw_Cum,(ROW()-ROW(rw_LoadOrigin)-1),(COLUMN()-COLUMN(rw_LoadOrigin)-1)+1)-INDEX(rw_Cum,(ROW()-ROW(rw_LoadOrigin)-1),(COLUMN()-COLUMN(rw_LoadOrigin)-1))),"")</f>
        <v/>
      </c>
      <c r="K47" s="60" t="str">
        <f aca="false">IFERROR(IF(INDEX(res_Name,(ROW()-ROW(rw_LoadOrigin)-1))="","",INDEX(rw_Cum,(ROW()-ROW(rw_LoadOrigin)-1),(COLUMN()-COLUMN(rw_LoadOrigin)-1)+1)-INDEX(rw_Cum,(ROW()-ROW(rw_LoadOrigin)-1),(COLUMN()-COLUMN(rw_LoadOrigin)-1))),"")</f>
        <v/>
      </c>
      <c r="L47" s="60" t="str">
        <f aca="false">IFERROR(IF(INDEX(res_Name,(ROW()-ROW(rw_LoadOrigin)-1))="","",INDEX(rw_Cum,(ROW()-ROW(rw_LoadOrigin)-1),(COLUMN()-COLUMN(rw_LoadOrigin)-1)+1)-INDEX(rw_Cum,(ROW()-ROW(rw_LoadOrigin)-1),(COLUMN()-COLUMN(rw_LoadOrigin)-1))),"")</f>
        <v/>
      </c>
      <c r="M47" s="60" t="str">
        <f aca="false">IFERROR(IF(INDEX(res_Name,(ROW()-ROW(rw_LoadOrigin)-1))="","",INDEX(rw_Cum,(ROW()-ROW(rw_LoadOrigin)-1),(COLUMN()-COLUMN(rw_LoadOrigin)-1)+1)-INDEX(rw_Cum,(ROW()-ROW(rw_LoadOrigin)-1),(COLUMN()-COLUMN(rw_LoadOrigin)-1))),"")</f>
        <v/>
      </c>
      <c r="N47" s="60" t="str">
        <f aca="false">IFERROR(IF(INDEX(res_Name,(ROW()-ROW(rw_LoadOrigin)-1))="","",INDEX(rw_Cum,(ROW()-ROW(rw_LoadOrigin)-1),(COLUMN()-COLUMN(rw_LoadOrigin)-1)+1)-INDEX(rw_Cum,(ROW()-ROW(rw_LoadOrigin)-1),(COLUMN()-COLUMN(rw_LoadOrigin)-1))),"")</f>
        <v/>
      </c>
      <c r="O47" s="60" t="str">
        <f aca="false">IFERROR(IF(INDEX(res_Name,(ROW()-ROW(rw_LoadOrigin)-1))="","",INDEX(rw_Cum,(ROW()-ROW(rw_LoadOrigin)-1),(COLUMN()-COLUMN(rw_LoadOrigin)-1)+1)-INDEX(rw_Cum,(ROW()-ROW(rw_LoadOrigin)-1),(COLUMN()-COLUMN(rw_LoadOrigin)-1))),"")</f>
        <v/>
      </c>
      <c r="P47" s="60" t="str">
        <f aca="false">IFERROR(IF(INDEX(res_Name,(ROW()-ROW(rw_LoadOrigin)-1))="","",INDEX(rw_Cum,(ROW()-ROW(rw_LoadOrigin)-1),(COLUMN()-COLUMN(rw_LoadOrigin)-1)+1)-INDEX(rw_Cum,(ROW()-ROW(rw_LoadOrigin)-1),(COLUMN()-COLUMN(rw_LoadOrigin)-1))),"")</f>
        <v/>
      </c>
      <c r="Q47" s="60" t="str">
        <f aca="false">IFERROR(IF(INDEX(res_Name,(ROW()-ROW(rw_LoadOrigin)-1))="","",INDEX(rw_Cum,(ROW()-ROW(rw_LoadOrigin)-1),(COLUMN()-COLUMN(rw_LoadOrigin)-1)+1)-INDEX(rw_Cum,(ROW()-ROW(rw_LoadOrigin)-1),(COLUMN()-COLUMN(rw_LoadOrigin)-1))),"")</f>
        <v/>
      </c>
      <c r="R47" s="60" t="str">
        <f aca="false">IFERROR(IF(INDEX(res_Name,(ROW()-ROW(rw_LoadOrigin)-1))="","",INDEX(rw_Cum,(ROW()-ROW(rw_LoadOrigin)-1),(COLUMN()-COLUMN(rw_LoadOrigin)-1)+1)-INDEX(rw_Cum,(ROW()-ROW(rw_LoadOrigin)-1),(COLUMN()-COLUMN(rw_LoadOrigin)-1))),"")</f>
        <v/>
      </c>
      <c r="S47" s="60" t="str">
        <f aca="false">IFERROR(IF(INDEX(res_Name,(ROW()-ROW(rw_LoadOrigin)-1))="","",INDEX(rw_Cum,(ROW()-ROW(rw_LoadOrigin)-1),(COLUMN()-COLUMN(rw_LoadOrigin)-1)+1)-INDEX(rw_Cum,(ROW()-ROW(rw_LoadOrigin)-1),(COLUMN()-COLUMN(rw_LoadOrigin)-1))),"")</f>
        <v/>
      </c>
      <c r="T47" s="60" t="str">
        <f aca="false">IFERROR(IF(INDEX(res_Name,(ROW()-ROW(rw_LoadOrigin)-1))="","",INDEX(rw_Cum,(ROW()-ROW(rw_LoadOrigin)-1),(COLUMN()-COLUMN(rw_LoadOrigin)-1)+1)-INDEX(rw_Cum,(ROW()-ROW(rw_LoadOrigin)-1),(COLUMN()-COLUMN(rw_LoadOrigin)-1))),"")</f>
        <v/>
      </c>
      <c r="U47" s="60" t="str">
        <f aca="false">IFERROR(IF(INDEX(res_Name,(ROW()-ROW(rw_LoadOrigin)-1))="","",INDEX(rw_Cum,(ROW()-ROW(rw_LoadOrigin)-1),(COLUMN()-COLUMN(rw_LoadOrigin)-1)+1)-INDEX(rw_Cum,(ROW()-ROW(rw_LoadOrigin)-1),(COLUMN()-COLUMN(rw_LoadOrigin)-1))),"")</f>
        <v/>
      </c>
      <c r="V47" s="60" t="str">
        <f aca="false">IFERROR(IF(INDEX(res_Name,(ROW()-ROW(rw_LoadOrigin)-1))="","",INDEX(rw_Cum,(ROW()-ROW(rw_LoadOrigin)-1),(COLUMN()-COLUMN(rw_LoadOrigin)-1)+1)-INDEX(rw_Cum,(ROW()-ROW(rw_LoadOrigin)-1),(COLUMN()-COLUMN(rw_LoadOrigin)-1))),"")</f>
        <v/>
      </c>
      <c r="W47" s="60" t="str">
        <f aca="false">IFERROR(IF(INDEX(res_Name,(ROW()-ROW(rw_LoadOrigin)-1))="","",INDEX(rw_Cum,(ROW()-ROW(rw_LoadOrigin)-1),(COLUMN()-COLUMN(rw_LoadOrigin)-1)+1)-INDEX(rw_Cum,(ROW()-ROW(rw_LoadOrigin)-1),(COLUMN()-COLUMN(rw_LoadOrigin)-1))),"")</f>
        <v/>
      </c>
      <c r="X47" s="60" t="str">
        <f aca="false">IFERROR(IF(INDEX(res_Name,(ROW()-ROW(rw_LoadOrigin)-1))="","",INDEX(rw_Cum,(ROW()-ROW(rw_LoadOrigin)-1),(COLUMN()-COLUMN(rw_LoadOrigin)-1)+1)-INDEX(rw_Cum,(ROW()-ROW(rw_LoadOrigin)-1),(COLUMN()-COLUMN(rw_LoadOrigin)-1))),"")</f>
        <v/>
      </c>
      <c r="Y47" s="60" t="str">
        <f aca="false">IFERROR(IF(INDEX(res_Name,(ROW()-ROW(rw_LoadOrigin)-1))="","",INDEX(rw_Cum,(ROW()-ROW(rw_LoadOrigin)-1),(COLUMN()-COLUMN(rw_LoadOrigin)-1)+1)-INDEX(rw_Cum,(ROW()-ROW(rw_LoadOrigin)-1),(COLUMN()-COLUMN(rw_LoadOrigin)-1))),"")</f>
        <v/>
      </c>
      <c r="Z47" s="60" t="str">
        <f aca="false">IFERROR(IF(INDEX(res_Name,(ROW()-ROW(rw_LoadOrigin)-1))="","",INDEX(rw_Cum,(ROW()-ROW(rw_LoadOrigin)-1),(COLUMN()-COLUMN(rw_LoadOrigin)-1)+1)-INDEX(rw_Cum,(ROW()-ROW(rw_LoadOrigin)-1),(COLUMN()-COLUMN(rw_LoadOrigin)-1))),"")</f>
        <v/>
      </c>
      <c r="AA47" s="60" t="str">
        <f aca="false">IFERROR(IF(INDEX(res_Name,(ROW()-ROW(rw_LoadOrigin)-1))="","",INDEX(rw_Cum,(ROW()-ROW(rw_LoadOrigin)-1),(COLUMN()-COLUMN(rw_LoadOrigin)-1)+1)-INDEX(rw_Cum,(ROW()-ROW(rw_LoadOrigin)-1),(COLUMN()-COLUMN(rw_LoadOrigin)-1))),"")</f>
        <v/>
      </c>
      <c r="AB47" s="60" t="str">
        <f aca="false">IFERROR(IF(INDEX(res_Name,(ROW()-ROW(rw_LoadOrigin)-1))="","",INDEX(rw_Cum,(ROW()-ROW(rw_LoadOrigin)-1),(COLUMN()-COLUMN(rw_LoadOrigin)-1)+1)-INDEX(rw_Cum,(ROW()-ROW(rw_LoadOrigin)-1),(COLUMN()-COLUMN(rw_LoadOrigin)-1))),"")</f>
        <v/>
      </c>
      <c r="AC47" s="60" t="str">
        <f aca="false">IFERROR(IF(INDEX(res_Name,(ROW()-ROW(rw_LoadOrigin)-1))="","",INDEX(rw_Cum,(ROW()-ROW(rw_LoadOrigin)-1),(COLUMN()-COLUMN(rw_LoadOrigin)-1)+1)-INDEX(rw_Cum,(ROW()-ROW(rw_LoadOrigin)-1),(COLUMN()-COLUMN(rw_LoadOrigin)-1))),"")</f>
        <v/>
      </c>
    </row>
    <row r="48" customFormat="false" ht="15" hidden="false" customHeight="false" outlineLevel="0" collapsed="false">
      <c r="B48" s="31" t="str">
        <f aca="false">IFERROR(INDEX(res_Name,(ROW()-ROW(rw_LoadOrigin)-1))&amp;"","")</f>
        <v/>
      </c>
      <c r="C48" s="59" t="str">
        <f aca="false">IFERROR(IF(INDEX(res_Name,(ROW()-ROW(rw_LoadOrigin)-1))="","",INDEX(res_MaxUnits,(ROW()-ROW(rw_LoadOrigin)-1))),"")</f>
        <v/>
      </c>
      <c r="D48" s="60" t="str">
        <f aca="false">IFERROR(IF(INDEX(res_Name,(ROW()-ROW(rw_LoadOrigin)-1))="","",INDEX(rw_Cum,(ROW()-ROW(rw_LoadOrigin)-1),(COLUMN()-COLUMN(rw_LoadOrigin)-1)+1)-INDEX(rw_Cum,(ROW()-ROW(rw_LoadOrigin)-1),(COLUMN()-COLUMN(rw_LoadOrigin)-1))),"")</f>
        <v/>
      </c>
      <c r="E48" s="60" t="str">
        <f aca="false">IFERROR(IF(INDEX(res_Name,(ROW()-ROW(rw_LoadOrigin)-1))="","",INDEX(rw_Cum,(ROW()-ROW(rw_LoadOrigin)-1),(COLUMN()-COLUMN(rw_LoadOrigin)-1)+1)-INDEX(rw_Cum,(ROW()-ROW(rw_LoadOrigin)-1),(COLUMN()-COLUMN(rw_LoadOrigin)-1))),"")</f>
        <v/>
      </c>
      <c r="F48" s="60" t="str">
        <f aca="false">IFERROR(IF(INDEX(res_Name,(ROW()-ROW(rw_LoadOrigin)-1))="","",INDEX(rw_Cum,(ROW()-ROW(rw_LoadOrigin)-1),(COLUMN()-COLUMN(rw_LoadOrigin)-1)+1)-INDEX(rw_Cum,(ROW()-ROW(rw_LoadOrigin)-1),(COLUMN()-COLUMN(rw_LoadOrigin)-1))),"")</f>
        <v/>
      </c>
      <c r="G48" s="60" t="str">
        <f aca="false">IFERROR(IF(INDEX(res_Name,(ROW()-ROW(rw_LoadOrigin)-1))="","",INDEX(rw_Cum,(ROW()-ROW(rw_LoadOrigin)-1),(COLUMN()-COLUMN(rw_LoadOrigin)-1)+1)-INDEX(rw_Cum,(ROW()-ROW(rw_LoadOrigin)-1),(COLUMN()-COLUMN(rw_LoadOrigin)-1))),"")</f>
        <v/>
      </c>
      <c r="H48" s="60" t="str">
        <f aca="false">IFERROR(IF(INDEX(res_Name,(ROW()-ROW(rw_LoadOrigin)-1))="","",INDEX(rw_Cum,(ROW()-ROW(rw_LoadOrigin)-1),(COLUMN()-COLUMN(rw_LoadOrigin)-1)+1)-INDEX(rw_Cum,(ROW()-ROW(rw_LoadOrigin)-1),(COLUMN()-COLUMN(rw_LoadOrigin)-1))),"")</f>
        <v/>
      </c>
      <c r="I48" s="60" t="str">
        <f aca="false">IFERROR(IF(INDEX(res_Name,(ROW()-ROW(rw_LoadOrigin)-1))="","",INDEX(rw_Cum,(ROW()-ROW(rw_LoadOrigin)-1),(COLUMN()-COLUMN(rw_LoadOrigin)-1)+1)-INDEX(rw_Cum,(ROW()-ROW(rw_LoadOrigin)-1),(COLUMN()-COLUMN(rw_LoadOrigin)-1))),"")</f>
        <v/>
      </c>
      <c r="J48" s="60" t="str">
        <f aca="false">IFERROR(IF(INDEX(res_Name,(ROW()-ROW(rw_LoadOrigin)-1))="","",INDEX(rw_Cum,(ROW()-ROW(rw_LoadOrigin)-1),(COLUMN()-COLUMN(rw_LoadOrigin)-1)+1)-INDEX(rw_Cum,(ROW()-ROW(rw_LoadOrigin)-1),(COLUMN()-COLUMN(rw_LoadOrigin)-1))),"")</f>
        <v/>
      </c>
      <c r="K48" s="60" t="str">
        <f aca="false">IFERROR(IF(INDEX(res_Name,(ROW()-ROW(rw_LoadOrigin)-1))="","",INDEX(rw_Cum,(ROW()-ROW(rw_LoadOrigin)-1),(COLUMN()-COLUMN(rw_LoadOrigin)-1)+1)-INDEX(rw_Cum,(ROW()-ROW(rw_LoadOrigin)-1),(COLUMN()-COLUMN(rw_LoadOrigin)-1))),"")</f>
        <v/>
      </c>
      <c r="L48" s="60" t="str">
        <f aca="false">IFERROR(IF(INDEX(res_Name,(ROW()-ROW(rw_LoadOrigin)-1))="","",INDEX(rw_Cum,(ROW()-ROW(rw_LoadOrigin)-1),(COLUMN()-COLUMN(rw_LoadOrigin)-1)+1)-INDEX(rw_Cum,(ROW()-ROW(rw_LoadOrigin)-1),(COLUMN()-COLUMN(rw_LoadOrigin)-1))),"")</f>
        <v/>
      </c>
      <c r="M48" s="60" t="str">
        <f aca="false">IFERROR(IF(INDEX(res_Name,(ROW()-ROW(rw_LoadOrigin)-1))="","",INDEX(rw_Cum,(ROW()-ROW(rw_LoadOrigin)-1),(COLUMN()-COLUMN(rw_LoadOrigin)-1)+1)-INDEX(rw_Cum,(ROW()-ROW(rw_LoadOrigin)-1),(COLUMN()-COLUMN(rw_LoadOrigin)-1))),"")</f>
        <v/>
      </c>
      <c r="N48" s="60" t="str">
        <f aca="false">IFERROR(IF(INDEX(res_Name,(ROW()-ROW(rw_LoadOrigin)-1))="","",INDEX(rw_Cum,(ROW()-ROW(rw_LoadOrigin)-1),(COLUMN()-COLUMN(rw_LoadOrigin)-1)+1)-INDEX(rw_Cum,(ROW()-ROW(rw_LoadOrigin)-1),(COLUMN()-COLUMN(rw_LoadOrigin)-1))),"")</f>
        <v/>
      </c>
      <c r="O48" s="60" t="str">
        <f aca="false">IFERROR(IF(INDEX(res_Name,(ROW()-ROW(rw_LoadOrigin)-1))="","",INDEX(rw_Cum,(ROW()-ROW(rw_LoadOrigin)-1),(COLUMN()-COLUMN(rw_LoadOrigin)-1)+1)-INDEX(rw_Cum,(ROW()-ROW(rw_LoadOrigin)-1),(COLUMN()-COLUMN(rw_LoadOrigin)-1))),"")</f>
        <v/>
      </c>
      <c r="P48" s="60" t="str">
        <f aca="false">IFERROR(IF(INDEX(res_Name,(ROW()-ROW(rw_LoadOrigin)-1))="","",INDEX(rw_Cum,(ROW()-ROW(rw_LoadOrigin)-1),(COLUMN()-COLUMN(rw_LoadOrigin)-1)+1)-INDEX(rw_Cum,(ROW()-ROW(rw_LoadOrigin)-1),(COLUMN()-COLUMN(rw_LoadOrigin)-1))),"")</f>
        <v/>
      </c>
      <c r="Q48" s="60" t="str">
        <f aca="false">IFERROR(IF(INDEX(res_Name,(ROW()-ROW(rw_LoadOrigin)-1))="","",INDEX(rw_Cum,(ROW()-ROW(rw_LoadOrigin)-1),(COLUMN()-COLUMN(rw_LoadOrigin)-1)+1)-INDEX(rw_Cum,(ROW()-ROW(rw_LoadOrigin)-1),(COLUMN()-COLUMN(rw_LoadOrigin)-1))),"")</f>
        <v/>
      </c>
      <c r="R48" s="60" t="str">
        <f aca="false">IFERROR(IF(INDEX(res_Name,(ROW()-ROW(rw_LoadOrigin)-1))="","",INDEX(rw_Cum,(ROW()-ROW(rw_LoadOrigin)-1),(COLUMN()-COLUMN(rw_LoadOrigin)-1)+1)-INDEX(rw_Cum,(ROW()-ROW(rw_LoadOrigin)-1),(COLUMN()-COLUMN(rw_LoadOrigin)-1))),"")</f>
        <v/>
      </c>
      <c r="S48" s="60" t="str">
        <f aca="false">IFERROR(IF(INDEX(res_Name,(ROW()-ROW(rw_LoadOrigin)-1))="","",INDEX(rw_Cum,(ROW()-ROW(rw_LoadOrigin)-1),(COLUMN()-COLUMN(rw_LoadOrigin)-1)+1)-INDEX(rw_Cum,(ROW()-ROW(rw_LoadOrigin)-1),(COLUMN()-COLUMN(rw_LoadOrigin)-1))),"")</f>
        <v/>
      </c>
      <c r="T48" s="60" t="str">
        <f aca="false">IFERROR(IF(INDEX(res_Name,(ROW()-ROW(rw_LoadOrigin)-1))="","",INDEX(rw_Cum,(ROW()-ROW(rw_LoadOrigin)-1),(COLUMN()-COLUMN(rw_LoadOrigin)-1)+1)-INDEX(rw_Cum,(ROW()-ROW(rw_LoadOrigin)-1),(COLUMN()-COLUMN(rw_LoadOrigin)-1))),"")</f>
        <v/>
      </c>
      <c r="U48" s="60" t="str">
        <f aca="false">IFERROR(IF(INDEX(res_Name,(ROW()-ROW(rw_LoadOrigin)-1))="","",INDEX(rw_Cum,(ROW()-ROW(rw_LoadOrigin)-1),(COLUMN()-COLUMN(rw_LoadOrigin)-1)+1)-INDEX(rw_Cum,(ROW()-ROW(rw_LoadOrigin)-1),(COLUMN()-COLUMN(rw_LoadOrigin)-1))),"")</f>
        <v/>
      </c>
      <c r="V48" s="60" t="str">
        <f aca="false">IFERROR(IF(INDEX(res_Name,(ROW()-ROW(rw_LoadOrigin)-1))="","",INDEX(rw_Cum,(ROW()-ROW(rw_LoadOrigin)-1),(COLUMN()-COLUMN(rw_LoadOrigin)-1)+1)-INDEX(rw_Cum,(ROW()-ROW(rw_LoadOrigin)-1),(COLUMN()-COLUMN(rw_LoadOrigin)-1))),"")</f>
        <v/>
      </c>
      <c r="W48" s="60" t="str">
        <f aca="false">IFERROR(IF(INDEX(res_Name,(ROW()-ROW(rw_LoadOrigin)-1))="","",INDEX(rw_Cum,(ROW()-ROW(rw_LoadOrigin)-1),(COLUMN()-COLUMN(rw_LoadOrigin)-1)+1)-INDEX(rw_Cum,(ROW()-ROW(rw_LoadOrigin)-1),(COLUMN()-COLUMN(rw_LoadOrigin)-1))),"")</f>
        <v/>
      </c>
      <c r="X48" s="60" t="str">
        <f aca="false">IFERROR(IF(INDEX(res_Name,(ROW()-ROW(rw_LoadOrigin)-1))="","",INDEX(rw_Cum,(ROW()-ROW(rw_LoadOrigin)-1),(COLUMN()-COLUMN(rw_LoadOrigin)-1)+1)-INDEX(rw_Cum,(ROW()-ROW(rw_LoadOrigin)-1),(COLUMN()-COLUMN(rw_LoadOrigin)-1))),"")</f>
        <v/>
      </c>
      <c r="Y48" s="60" t="str">
        <f aca="false">IFERROR(IF(INDEX(res_Name,(ROW()-ROW(rw_LoadOrigin)-1))="","",INDEX(rw_Cum,(ROW()-ROW(rw_LoadOrigin)-1),(COLUMN()-COLUMN(rw_LoadOrigin)-1)+1)-INDEX(rw_Cum,(ROW()-ROW(rw_LoadOrigin)-1),(COLUMN()-COLUMN(rw_LoadOrigin)-1))),"")</f>
        <v/>
      </c>
      <c r="Z48" s="60" t="str">
        <f aca="false">IFERROR(IF(INDEX(res_Name,(ROW()-ROW(rw_LoadOrigin)-1))="","",INDEX(rw_Cum,(ROW()-ROW(rw_LoadOrigin)-1),(COLUMN()-COLUMN(rw_LoadOrigin)-1)+1)-INDEX(rw_Cum,(ROW()-ROW(rw_LoadOrigin)-1),(COLUMN()-COLUMN(rw_LoadOrigin)-1))),"")</f>
        <v/>
      </c>
      <c r="AA48" s="60" t="str">
        <f aca="false">IFERROR(IF(INDEX(res_Name,(ROW()-ROW(rw_LoadOrigin)-1))="","",INDEX(rw_Cum,(ROW()-ROW(rw_LoadOrigin)-1),(COLUMN()-COLUMN(rw_LoadOrigin)-1)+1)-INDEX(rw_Cum,(ROW()-ROW(rw_LoadOrigin)-1),(COLUMN()-COLUMN(rw_LoadOrigin)-1))),"")</f>
        <v/>
      </c>
      <c r="AB48" s="60" t="str">
        <f aca="false">IFERROR(IF(INDEX(res_Name,(ROW()-ROW(rw_LoadOrigin)-1))="","",INDEX(rw_Cum,(ROW()-ROW(rw_LoadOrigin)-1),(COLUMN()-COLUMN(rw_LoadOrigin)-1)+1)-INDEX(rw_Cum,(ROW()-ROW(rw_LoadOrigin)-1),(COLUMN()-COLUMN(rw_LoadOrigin)-1))),"")</f>
        <v/>
      </c>
      <c r="AC48" s="60" t="str">
        <f aca="false">IFERROR(IF(INDEX(res_Name,(ROW()-ROW(rw_LoadOrigin)-1))="","",INDEX(rw_Cum,(ROW()-ROW(rw_LoadOrigin)-1),(COLUMN()-COLUMN(rw_LoadOrigin)-1)+1)-INDEX(rw_Cum,(ROW()-ROW(rw_LoadOrigin)-1),(COLUMN()-COLUMN(rw_LoadOrigin)-1))),"")</f>
        <v/>
      </c>
    </row>
    <row r="49" customFormat="false" ht="15" hidden="false" customHeight="false" outlineLevel="0" collapsed="false">
      <c r="B49" s="31" t="str">
        <f aca="false">IFERROR(INDEX(res_Name,(ROW()-ROW(rw_LoadOrigin)-1))&amp;"","")</f>
        <v/>
      </c>
      <c r="C49" s="59" t="str">
        <f aca="false">IFERROR(IF(INDEX(res_Name,(ROW()-ROW(rw_LoadOrigin)-1))="","",INDEX(res_MaxUnits,(ROW()-ROW(rw_LoadOrigin)-1))),"")</f>
        <v/>
      </c>
      <c r="D49" s="60" t="str">
        <f aca="false">IFERROR(IF(INDEX(res_Name,(ROW()-ROW(rw_LoadOrigin)-1))="","",INDEX(rw_Cum,(ROW()-ROW(rw_LoadOrigin)-1),(COLUMN()-COLUMN(rw_LoadOrigin)-1)+1)-INDEX(rw_Cum,(ROW()-ROW(rw_LoadOrigin)-1),(COLUMN()-COLUMN(rw_LoadOrigin)-1))),"")</f>
        <v/>
      </c>
      <c r="E49" s="60" t="str">
        <f aca="false">IFERROR(IF(INDEX(res_Name,(ROW()-ROW(rw_LoadOrigin)-1))="","",INDEX(rw_Cum,(ROW()-ROW(rw_LoadOrigin)-1),(COLUMN()-COLUMN(rw_LoadOrigin)-1)+1)-INDEX(rw_Cum,(ROW()-ROW(rw_LoadOrigin)-1),(COLUMN()-COLUMN(rw_LoadOrigin)-1))),"")</f>
        <v/>
      </c>
      <c r="F49" s="60" t="str">
        <f aca="false">IFERROR(IF(INDEX(res_Name,(ROW()-ROW(rw_LoadOrigin)-1))="","",INDEX(rw_Cum,(ROW()-ROW(rw_LoadOrigin)-1),(COLUMN()-COLUMN(rw_LoadOrigin)-1)+1)-INDEX(rw_Cum,(ROW()-ROW(rw_LoadOrigin)-1),(COLUMN()-COLUMN(rw_LoadOrigin)-1))),"")</f>
        <v/>
      </c>
      <c r="G49" s="60" t="str">
        <f aca="false">IFERROR(IF(INDEX(res_Name,(ROW()-ROW(rw_LoadOrigin)-1))="","",INDEX(rw_Cum,(ROW()-ROW(rw_LoadOrigin)-1),(COLUMN()-COLUMN(rw_LoadOrigin)-1)+1)-INDEX(rw_Cum,(ROW()-ROW(rw_LoadOrigin)-1),(COLUMN()-COLUMN(rw_LoadOrigin)-1))),"")</f>
        <v/>
      </c>
      <c r="H49" s="60" t="str">
        <f aca="false">IFERROR(IF(INDEX(res_Name,(ROW()-ROW(rw_LoadOrigin)-1))="","",INDEX(rw_Cum,(ROW()-ROW(rw_LoadOrigin)-1),(COLUMN()-COLUMN(rw_LoadOrigin)-1)+1)-INDEX(rw_Cum,(ROW()-ROW(rw_LoadOrigin)-1),(COLUMN()-COLUMN(rw_LoadOrigin)-1))),"")</f>
        <v/>
      </c>
      <c r="I49" s="60" t="str">
        <f aca="false">IFERROR(IF(INDEX(res_Name,(ROW()-ROW(rw_LoadOrigin)-1))="","",INDEX(rw_Cum,(ROW()-ROW(rw_LoadOrigin)-1),(COLUMN()-COLUMN(rw_LoadOrigin)-1)+1)-INDEX(rw_Cum,(ROW()-ROW(rw_LoadOrigin)-1),(COLUMN()-COLUMN(rw_LoadOrigin)-1))),"")</f>
        <v/>
      </c>
      <c r="J49" s="60" t="str">
        <f aca="false">IFERROR(IF(INDEX(res_Name,(ROW()-ROW(rw_LoadOrigin)-1))="","",INDEX(rw_Cum,(ROW()-ROW(rw_LoadOrigin)-1),(COLUMN()-COLUMN(rw_LoadOrigin)-1)+1)-INDEX(rw_Cum,(ROW()-ROW(rw_LoadOrigin)-1),(COLUMN()-COLUMN(rw_LoadOrigin)-1))),"")</f>
        <v/>
      </c>
      <c r="K49" s="60" t="str">
        <f aca="false">IFERROR(IF(INDEX(res_Name,(ROW()-ROW(rw_LoadOrigin)-1))="","",INDEX(rw_Cum,(ROW()-ROW(rw_LoadOrigin)-1),(COLUMN()-COLUMN(rw_LoadOrigin)-1)+1)-INDEX(rw_Cum,(ROW()-ROW(rw_LoadOrigin)-1),(COLUMN()-COLUMN(rw_LoadOrigin)-1))),"")</f>
        <v/>
      </c>
      <c r="L49" s="60" t="str">
        <f aca="false">IFERROR(IF(INDEX(res_Name,(ROW()-ROW(rw_LoadOrigin)-1))="","",INDEX(rw_Cum,(ROW()-ROW(rw_LoadOrigin)-1),(COLUMN()-COLUMN(rw_LoadOrigin)-1)+1)-INDEX(rw_Cum,(ROW()-ROW(rw_LoadOrigin)-1),(COLUMN()-COLUMN(rw_LoadOrigin)-1))),"")</f>
        <v/>
      </c>
      <c r="M49" s="60" t="str">
        <f aca="false">IFERROR(IF(INDEX(res_Name,(ROW()-ROW(rw_LoadOrigin)-1))="","",INDEX(rw_Cum,(ROW()-ROW(rw_LoadOrigin)-1),(COLUMN()-COLUMN(rw_LoadOrigin)-1)+1)-INDEX(rw_Cum,(ROW()-ROW(rw_LoadOrigin)-1),(COLUMN()-COLUMN(rw_LoadOrigin)-1))),"")</f>
        <v/>
      </c>
      <c r="N49" s="60" t="str">
        <f aca="false">IFERROR(IF(INDEX(res_Name,(ROW()-ROW(rw_LoadOrigin)-1))="","",INDEX(rw_Cum,(ROW()-ROW(rw_LoadOrigin)-1),(COLUMN()-COLUMN(rw_LoadOrigin)-1)+1)-INDEX(rw_Cum,(ROW()-ROW(rw_LoadOrigin)-1),(COLUMN()-COLUMN(rw_LoadOrigin)-1))),"")</f>
        <v/>
      </c>
      <c r="O49" s="60" t="str">
        <f aca="false">IFERROR(IF(INDEX(res_Name,(ROW()-ROW(rw_LoadOrigin)-1))="","",INDEX(rw_Cum,(ROW()-ROW(rw_LoadOrigin)-1),(COLUMN()-COLUMN(rw_LoadOrigin)-1)+1)-INDEX(rw_Cum,(ROW()-ROW(rw_LoadOrigin)-1),(COLUMN()-COLUMN(rw_LoadOrigin)-1))),"")</f>
        <v/>
      </c>
      <c r="P49" s="60" t="str">
        <f aca="false">IFERROR(IF(INDEX(res_Name,(ROW()-ROW(rw_LoadOrigin)-1))="","",INDEX(rw_Cum,(ROW()-ROW(rw_LoadOrigin)-1),(COLUMN()-COLUMN(rw_LoadOrigin)-1)+1)-INDEX(rw_Cum,(ROW()-ROW(rw_LoadOrigin)-1),(COLUMN()-COLUMN(rw_LoadOrigin)-1))),"")</f>
        <v/>
      </c>
      <c r="Q49" s="60" t="str">
        <f aca="false">IFERROR(IF(INDEX(res_Name,(ROW()-ROW(rw_LoadOrigin)-1))="","",INDEX(rw_Cum,(ROW()-ROW(rw_LoadOrigin)-1),(COLUMN()-COLUMN(rw_LoadOrigin)-1)+1)-INDEX(rw_Cum,(ROW()-ROW(rw_LoadOrigin)-1),(COLUMN()-COLUMN(rw_LoadOrigin)-1))),"")</f>
        <v/>
      </c>
      <c r="R49" s="60" t="str">
        <f aca="false">IFERROR(IF(INDEX(res_Name,(ROW()-ROW(rw_LoadOrigin)-1))="","",INDEX(rw_Cum,(ROW()-ROW(rw_LoadOrigin)-1),(COLUMN()-COLUMN(rw_LoadOrigin)-1)+1)-INDEX(rw_Cum,(ROW()-ROW(rw_LoadOrigin)-1),(COLUMN()-COLUMN(rw_LoadOrigin)-1))),"")</f>
        <v/>
      </c>
      <c r="S49" s="60" t="str">
        <f aca="false">IFERROR(IF(INDEX(res_Name,(ROW()-ROW(rw_LoadOrigin)-1))="","",INDEX(rw_Cum,(ROW()-ROW(rw_LoadOrigin)-1),(COLUMN()-COLUMN(rw_LoadOrigin)-1)+1)-INDEX(rw_Cum,(ROW()-ROW(rw_LoadOrigin)-1),(COLUMN()-COLUMN(rw_LoadOrigin)-1))),"")</f>
        <v/>
      </c>
      <c r="T49" s="60" t="str">
        <f aca="false">IFERROR(IF(INDEX(res_Name,(ROW()-ROW(rw_LoadOrigin)-1))="","",INDEX(rw_Cum,(ROW()-ROW(rw_LoadOrigin)-1),(COLUMN()-COLUMN(rw_LoadOrigin)-1)+1)-INDEX(rw_Cum,(ROW()-ROW(rw_LoadOrigin)-1),(COLUMN()-COLUMN(rw_LoadOrigin)-1))),"")</f>
        <v/>
      </c>
      <c r="U49" s="60" t="str">
        <f aca="false">IFERROR(IF(INDEX(res_Name,(ROW()-ROW(rw_LoadOrigin)-1))="","",INDEX(rw_Cum,(ROW()-ROW(rw_LoadOrigin)-1),(COLUMN()-COLUMN(rw_LoadOrigin)-1)+1)-INDEX(rw_Cum,(ROW()-ROW(rw_LoadOrigin)-1),(COLUMN()-COLUMN(rw_LoadOrigin)-1))),"")</f>
        <v/>
      </c>
      <c r="V49" s="60" t="str">
        <f aca="false">IFERROR(IF(INDEX(res_Name,(ROW()-ROW(rw_LoadOrigin)-1))="","",INDEX(rw_Cum,(ROW()-ROW(rw_LoadOrigin)-1),(COLUMN()-COLUMN(rw_LoadOrigin)-1)+1)-INDEX(rw_Cum,(ROW()-ROW(rw_LoadOrigin)-1),(COLUMN()-COLUMN(rw_LoadOrigin)-1))),"")</f>
        <v/>
      </c>
      <c r="W49" s="60" t="str">
        <f aca="false">IFERROR(IF(INDEX(res_Name,(ROW()-ROW(rw_LoadOrigin)-1))="","",INDEX(rw_Cum,(ROW()-ROW(rw_LoadOrigin)-1),(COLUMN()-COLUMN(rw_LoadOrigin)-1)+1)-INDEX(rw_Cum,(ROW()-ROW(rw_LoadOrigin)-1),(COLUMN()-COLUMN(rw_LoadOrigin)-1))),"")</f>
        <v/>
      </c>
      <c r="X49" s="60" t="str">
        <f aca="false">IFERROR(IF(INDEX(res_Name,(ROW()-ROW(rw_LoadOrigin)-1))="","",INDEX(rw_Cum,(ROW()-ROW(rw_LoadOrigin)-1),(COLUMN()-COLUMN(rw_LoadOrigin)-1)+1)-INDEX(rw_Cum,(ROW()-ROW(rw_LoadOrigin)-1),(COLUMN()-COLUMN(rw_LoadOrigin)-1))),"")</f>
        <v/>
      </c>
      <c r="Y49" s="60" t="str">
        <f aca="false">IFERROR(IF(INDEX(res_Name,(ROW()-ROW(rw_LoadOrigin)-1))="","",INDEX(rw_Cum,(ROW()-ROW(rw_LoadOrigin)-1),(COLUMN()-COLUMN(rw_LoadOrigin)-1)+1)-INDEX(rw_Cum,(ROW()-ROW(rw_LoadOrigin)-1),(COLUMN()-COLUMN(rw_LoadOrigin)-1))),"")</f>
        <v/>
      </c>
      <c r="Z49" s="60" t="str">
        <f aca="false">IFERROR(IF(INDEX(res_Name,(ROW()-ROW(rw_LoadOrigin)-1))="","",INDEX(rw_Cum,(ROW()-ROW(rw_LoadOrigin)-1),(COLUMN()-COLUMN(rw_LoadOrigin)-1)+1)-INDEX(rw_Cum,(ROW()-ROW(rw_LoadOrigin)-1),(COLUMN()-COLUMN(rw_LoadOrigin)-1))),"")</f>
        <v/>
      </c>
      <c r="AA49" s="60" t="str">
        <f aca="false">IFERROR(IF(INDEX(res_Name,(ROW()-ROW(rw_LoadOrigin)-1))="","",INDEX(rw_Cum,(ROW()-ROW(rw_LoadOrigin)-1),(COLUMN()-COLUMN(rw_LoadOrigin)-1)+1)-INDEX(rw_Cum,(ROW()-ROW(rw_LoadOrigin)-1),(COLUMN()-COLUMN(rw_LoadOrigin)-1))),"")</f>
        <v/>
      </c>
      <c r="AB49" s="60" t="str">
        <f aca="false">IFERROR(IF(INDEX(res_Name,(ROW()-ROW(rw_LoadOrigin)-1))="","",INDEX(rw_Cum,(ROW()-ROW(rw_LoadOrigin)-1),(COLUMN()-COLUMN(rw_LoadOrigin)-1)+1)-INDEX(rw_Cum,(ROW()-ROW(rw_LoadOrigin)-1),(COLUMN()-COLUMN(rw_LoadOrigin)-1))),"")</f>
        <v/>
      </c>
      <c r="AC49" s="60" t="str">
        <f aca="false">IFERROR(IF(INDEX(res_Name,(ROW()-ROW(rw_LoadOrigin)-1))="","",INDEX(rw_Cum,(ROW()-ROW(rw_LoadOrigin)-1),(COLUMN()-COLUMN(rw_LoadOrigin)-1)+1)-INDEX(rw_Cum,(ROW()-ROW(rw_LoadOrigin)-1),(COLUMN()-COLUMN(rw_LoadOrigin)-1))),"")</f>
        <v/>
      </c>
    </row>
    <row r="50" customFormat="false" ht="15" hidden="false" customHeight="false" outlineLevel="0" collapsed="false">
      <c r="B50" s="31" t="str">
        <f aca="false">IFERROR(INDEX(res_Name,(ROW()-ROW(rw_LoadOrigin)-1))&amp;"","")</f>
        <v/>
      </c>
      <c r="C50" s="59" t="str">
        <f aca="false">IFERROR(IF(INDEX(res_Name,(ROW()-ROW(rw_LoadOrigin)-1))="","",INDEX(res_MaxUnits,(ROW()-ROW(rw_LoadOrigin)-1))),"")</f>
        <v/>
      </c>
      <c r="D50" s="60" t="str">
        <f aca="false">IFERROR(IF(INDEX(res_Name,(ROW()-ROW(rw_LoadOrigin)-1))="","",INDEX(rw_Cum,(ROW()-ROW(rw_LoadOrigin)-1),(COLUMN()-COLUMN(rw_LoadOrigin)-1)+1)-INDEX(rw_Cum,(ROW()-ROW(rw_LoadOrigin)-1),(COLUMN()-COLUMN(rw_LoadOrigin)-1))),"")</f>
        <v/>
      </c>
      <c r="E50" s="60" t="str">
        <f aca="false">IFERROR(IF(INDEX(res_Name,(ROW()-ROW(rw_LoadOrigin)-1))="","",INDEX(rw_Cum,(ROW()-ROW(rw_LoadOrigin)-1),(COLUMN()-COLUMN(rw_LoadOrigin)-1)+1)-INDEX(rw_Cum,(ROW()-ROW(rw_LoadOrigin)-1),(COLUMN()-COLUMN(rw_LoadOrigin)-1))),"")</f>
        <v/>
      </c>
      <c r="F50" s="60" t="str">
        <f aca="false">IFERROR(IF(INDEX(res_Name,(ROW()-ROW(rw_LoadOrigin)-1))="","",INDEX(rw_Cum,(ROW()-ROW(rw_LoadOrigin)-1),(COLUMN()-COLUMN(rw_LoadOrigin)-1)+1)-INDEX(rw_Cum,(ROW()-ROW(rw_LoadOrigin)-1),(COLUMN()-COLUMN(rw_LoadOrigin)-1))),"")</f>
        <v/>
      </c>
      <c r="G50" s="60" t="str">
        <f aca="false">IFERROR(IF(INDEX(res_Name,(ROW()-ROW(rw_LoadOrigin)-1))="","",INDEX(rw_Cum,(ROW()-ROW(rw_LoadOrigin)-1),(COLUMN()-COLUMN(rw_LoadOrigin)-1)+1)-INDEX(rw_Cum,(ROW()-ROW(rw_LoadOrigin)-1),(COLUMN()-COLUMN(rw_LoadOrigin)-1))),"")</f>
        <v/>
      </c>
      <c r="H50" s="60" t="str">
        <f aca="false">IFERROR(IF(INDEX(res_Name,(ROW()-ROW(rw_LoadOrigin)-1))="","",INDEX(rw_Cum,(ROW()-ROW(rw_LoadOrigin)-1),(COLUMN()-COLUMN(rw_LoadOrigin)-1)+1)-INDEX(rw_Cum,(ROW()-ROW(rw_LoadOrigin)-1),(COLUMN()-COLUMN(rw_LoadOrigin)-1))),"")</f>
        <v/>
      </c>
      <c r="I50" s="60" t="str">
        <f aca="false">IFERROR(IF(INDEX(res_Name,(ROW()-ROW(rw_LoadOrigin)-1))="","",INDEX(rw_Cum,(ROW()-ROW(rw_LoadOrigin)-1),(COLUMN()-COLUMN(rw_LoadOrigin)-1)+1)-INDEX(rw_Cum,(ROW()-ROW(rw_LoadOrigin)-1),(COLUMN()-COLUMN(rw_LoadOrigin)-1))),"")</f>
        <v/>
      </c>
      <c r="J50" s="60" t="str">
        <f aca="false">IFERROR(IF(INDEX(res_Name,(ROW()-ROW(rw_LoadOrigin)-1))="","",INDEX(rw_Cum,(ROW()-ROW(rw_LoadOrigin)-1),(COLUMN()-COLUMN(rw_LoadOrigin)-1)+1)-INDEX(rw_Cum,(ROW()-ROW(rw_LoadOrigin)-1),(COLUMN()-COLUMN(rw_LoadOrigin)-1))),"")</f>
        <v/>
      </c>
      <c r="K50" s="60" t="str">
        <f aca="false">IFERROR(IF(INDEX(res_Name,(ROW()-ROW(rw_LoadOrigin)-1))="","",INDEX(rw_Cum,(ROW()-ROW(rw_LoadOrigin)-1),(COLUMN()-COLUMN(rw_LoadOrigin)-1)+1)-INDEX(rw_Cum,(ROW()-ROW(rw_LoadOrigin)-1),(COLUMN()-COLUMN(rw_LoadOrigin)-1))),"")</f>
        <v/>
      </c>
      <c r="L50" s="60" t="str">
        <f aca="false">IFERROR(IF(INDEX(res_Name,(ROW()-ROW(rw_LoadOrigin)-1))="","",INDEX(rw_Cum,(ROW()-ROW(rw_LoadOrigin)-1),(COLUMN()-COLUMN(rw_LoadOrigin)-1)+1)-INDEX(rw_Cum,(ROW()-ROW(rw_LoadOrigin)-1),(COLUMN()-COLUMN(rw_LoadOrigin)-1))),"")</f>
        <v/>
      </c>
      <c r="M50" s="60" t="str">
        <f aca="false">IFERROR(IF(INDEX(res_Name,(ROW()-ROW(rw_LoadOrigin)-1))="","",INDEX(rw_Cum,(ROW()-ROW(rw_LoadOrigin)-1),(COLUMN()-COLUMN(rw_LoadOrigin)-1)+1)-INDEX(rw_Cum,(ROW()-ROW(rw_LoadOrigin)-1),(COLUMN()-COLUMN(rw_LoadOrigin)-1))),"")</f>
        <v/>
      </c>
      <c r="N50" s="60" t="str">
        <f aca="false">IFERROR(IF(INDEX(res_Name,(ROW()-ROW(rw_LoadOrigin)-1))="","",INDEX(rw_Cum,(ROW()-ROW(rw_LoadOrigin)-1),(COLUMN()-COLUMN(rw_LoadOrigin)-1)+1)-INDEX(rw_Cum,(ROW()-ROW(rw_LoadOrigin)-1),(COLUMN()-COLUMN(rw_LoadOrigin)-1))),"")</f>
        <v/>
      </c>
      <c r="O50" s="60" t="str">
        <f aca="false">IFERROR(IF(INDEX(res_Name,(ROW()-ROW(rw_LoadOrigin)-1))="","",INDEX(rw_Cum,(ROW()-ROW(rw_LoadOrigin)-1),(COLUMN()-COLUMN(rw_LoadOrigin)-1)+1)-INDEX(rw_Cum,(ROW()-ROW(rw_LoadOrigin)-1),(COLUMN()-COLUMN(rw_LoadOrigin)-1))),"")</f>
        <v/>
      </c>
      <c r="P50" s="60" t="str">
        <f aca="false">IFERROR(IF(INDEX(res_Name,(ROW()-ROW(rw_LoadOrigin)-1))="","",INDEX(rw_Cum,(ROW()-ROW(rw_LoadOrigin)-1),(COLUMN()-COLUMN(rw_LoadOrigin)-1)+1)-INDEX(rw_Cum,(ROW()-ROW(rw_LoadOrigin)-1),(COLUMN()-COLUMN(rw_LoadOrigin)-1))),"")</f>
        <v/>
      </c>
      <c r="Q50" s="60" t="str">
        <f aca="false">IFERROR(IF(INDEX(res_Name,(ROW()-ROW(rw_LoadOrigin)-1))="","",INDEX(rw_Cum,(ROW()-ROW(rw_LoadOrigin)-1),(COLUMN()-COLUMN(rw_LoadOrigin)-1)+1)-INDEX(rw_Cum,(ROW()-ROW(rw_LoadOrigin)-1),(COLUMN()-COLUMN(rw_LoadOrigin)-1))),"")</f>
        <v/>
      </c>
      <c r="R50" s="60" t="str">
        <f aca="false">IFERROR(IF(INDEX(res_Name,(ROW()-ROW(rw_LoadOrigin)-1))="","",INDEX(rw_Cum,(ROW()-ROW(rw_LoadOrigin)-1),(COLUMN()-COLUMN(rw_LoadOrigin)-1)+1)-INDEX(rw_Cum,(ROW()-ROW(rw_LoadOrigin)-1),(COLUMN()-COLUMN(rw_LoadOrigin)-1))),"")</f>
        <v/>
      </c>
      <c r="S50" s="60" t="str">
        <f aca="false">IFERROR(IF(INDEX(res_Name,(ROW()-ROW(rw_LoadOrigin)-1))="","",INDEX(rw_Cum,(ROW()-ROW(rw_LoadOrigin)-1),(COLUMN()-COLUMN(rw_LoadOrigin)-1)+1)-INDEX(rw_Cum,(ROW()-ROW(rw_LoadOrigin)-1),(COLUMN()-COLUMN(rw_LoadOrigin)-1))),"")</f>
        <v/>
      </c>
      <c r="T50" s="60" t="str">
        <f aca="false">IFERROR(IF(INDEX(res_Name,(ROW()-ROW(rw_LoadOrigin)-1))="","",INDEX(rw_Cum,(ROW()-ROW(rw_LoadOrigin)-1),(COLUMN()-COLUMN(rw_LoadOrigin)-1)+1)-INDEX(rw_Cum,(ROW()-ROW(rw_LoadOrigin)-1),(COLUMN()-COLUMN(rw_LoadOrigin)-1))),"")</f>
        <v/>
      </c>
      <c r="U50" s="60" t="str">
        <f aca="false">IFERROR(IF(INDEX(res_Name,(ROW()-ROW(rw_LoadOrigin)-1))="","",INDEX(rw_Cum,(ROW()-ROW(rw_LoadOrigin)-1),(COLUMN()-COLUMN(rw_LoadOrigin)-1)+1)-INDEX(rw_Cum,(ROW()-ROW(rw_LoadOrigin)-1),(COLUMN()-COLUMN(rw_LoadOrigin)-1))),"")</f>
        <v/>
      </c>
      <c r="V50" s="60" t="str">
        <f aca="false">IFERROR(IF(INDEX(res_Name,(ROW()-ROW(rw_LoadOrigin)-1))="","",INDEX(rw_Cum,(ROW()-ROW(rw_LoadOrigin)-1),(COLUMN()-COLUMN(rw_LoadOrigin)-1)+1)-INDEX(rw_Cum,(ROW()-ROW(rw_LoadOrigin)-1),(COLUMN()-COLUMN(rw_LoadOrigin)-1))),"")</f>
        <v/>
      </c>
      <c r="W50" s="60" t="str">
        <f aca="false">IFERROR(IF(INDEX(res_Name,(ROW()-ROW(rw_LoadOrigin)-1))="","",INDEX(rw_Cum,(ROW()-ROW(rw_LoadOrigin)-1),(COLUMN()-COLUMN(rw_LoadOrigin)-1)+1)-INDEX(rw_Cum,(ROW()-ROW(rw_LoadOrigin)-1),(COLUMN()-COLUMN(rw_LoadOrigin)-1))),"")</f>
        <v/>
      </c>
      <c r="X50" s="60" t="str">
        <f aca="false">IFERROR(IF(INDEX(res_Name,(ROW()-ROW(rw_LoadOrigin)-1))="","",INDEX(rw_Cum,(ROW()-ROW(rw_LoadOrigin)-1),(COLUMN()-COLUMN(rw_LoadOrigin)-1)+1)-INDEX(rw_Cum,(ROW()-ROW(rw_LoadOrigin)-1),(COLUMN()-COLUMN(rw_LoadOrigin)-1))),"")</f>
        <v/>
      </c>
      <c r="Y50" s="60" t="str">
        <f aca="false">IFERROR(IF(INDEX(res_Name,(ROW()-ROW(rw_LoadOrigin)-1))="","",INDEX(rw_Cum,(ROW()-ROW(rw_LoadOrigin)-1),(COLUMN()-COLUMN(rw_LoadOrigin)-1)+1)-INDEX(rw_Cum,(ROW()-ROW(rw_LoadOrigin)-1),(COLUMN()-COLUMN(rw_LoadOrigin)-1))),"")</f>
        <v/>
      </c>
      <c r="Z50" s="60" t="str">
        <f aca="false">IFERROR(IF(INDEX(res_Name,(ROW()-ROW(rw_LoadOrigin)-1))="","",INDEX(rw_Cum,(ROW()-ROW(rw_LoadOrigin)-1),(COLUMN()-COLUMN(rw_LoadOrigin)-1)+1)-INDEX(rw_Cum,(ROW()-ROW(rw_LoadOrigin)-1),(COLUMN()-COLUMN(rw_LoadOrigin)-1))),"")</f>
        <v/>
      </c>
      <c r="AA50" s="60" t="str">
        <f aca="false">IFERROR(IF(INDEX(res_Name,(ROW()-ROW(rw_LoadOrigin)-1))="","",INDEX(rw_Cum,(ROW()-ROW(rw_LoadOrigin)-1),(COLUMN()-COLUMN(rw_LoadOrigin)-1)+1)-INDEX(rw_Cum,(ROW()-ROW(rw_LoadOrigin)-1),(COLUMN()-COLUMN(rw_LoadOrigin)-1))),"")</f>
        <v/>
      </c>
      <c r="AB50" s="60" t="str">
        <f aca="false">IFERROR(IF(INDEX(res_Name,(ROW()-ROW(rw_LoadOrigin)-1))="","",INDEX(rw_Cum,(ROW()-ROW(rw_LoadOrigin)-1),(COLUMN()-COLUMN(rw_LoadOrigin)-1)+1)-INDEX(rw_Cum,(ROW()-ROW(rw_LoadOrigin)-1),(COLUMN()-COLUMN(rw_LoadOrigin)-1))),"")</f>
        <v/>
      </c>
      <c r="AC50" s="60" t="str">
        <f aca="false">IFERROR(IF(INDEX(res_Name,(ROW()-ROW(rw_LoadOrigin)-1))="","",INDEX(rw_Cum,(ROW()-ROW(rw_LoadOrigin)-1),(COLUMN()-COLUMN(rw_LoadOrigin)-1)+1)-INDEX(rw_Cum,(ROW()-ROW(rw_LoadOrigin)-1),(COLUMN()-COLUMN(rw_LoadOrigin)-1))),"")</f>
        <v/>
      </c>
    </row>
    <row r="51" customFormat="false" ht="15" hidden="false" customHeight="false" outlineLevel="0" collapsed="false">
      <c r="B51" s="31" t="str">
        <f aca="false">IFERROR(INDEX(res_Name,(ROW()-ROW(rw_LoadOrigin)-1))&amp;"","")</f>
        <v/>
      </c>
      <c r="C51" s="59" t="str">
        <f aca="false">IFERROR(IF(INDEX(res_Name,(ROW()-ROW(rw_LoadOrigin)-1))="","",INDEX(res_MaxUnits,(ROW()-ROW(rw_LoadOrigin)-1))),"")</f>
        <v/>
      </c>
      <c r="D51" s="60" t="str">
        <f aca="false">IFERROR(IF(INDEX(res_Name,(ROW()-ROW(rw_LoadOrigin)-1))="","",INDEX(rw_Cum,(ROW()-ROW(rw_LoadOrigin)-1),(COLUMN()-COLUMN(rw_LoadOrigin)-1)+1)-INDEX(rw_Cum,(ROW()-ROW(rw_LoadOrigin)-1),(COLUMN()-COLUMN(rw_LoadOrigin)-1))),"")</f>
        <v/>
      </c>
      <c r="E51" s="60" t="str">
        <f aca="false">IFERROR(IF(INDEX(res_Name,(ROW()-ROW(rw_LoadOrigin)-1))="","",INDEX(rw_Cum,(ROW()-ROW(rw_LoadOrigin)-1),(COLUMN()-COLUMN(rw_LoadOrigin)-1)+1)-INDEX(rw_Cum,(ROW()-ROW(rw_LoadOrigin)-1),(COLUMN()-COLUMN(rw_LoadOrigin)-1))),"")</f>
        <v/>
      </c>
      <c r="F51" s="60" t="str">
        <f aca="false">IFERROR(IF(INDEX(res_Name,(ROW()-ROW(rw_LoadOrigin)-1))="","",INDEX(rw_Cum,(ROW()-ROW(rw_LoadOrigin)-1),(COLUMN()-COLUMN(rw_LoadOrigin)-1)+1)-INDEX(rw_Cum,(ROW()-ROW(rw_LoadOrigin)-1),(COLUMN()-COLUMN(rw_LoadOrigin)-1))),"")</f>
        <v/>
      </c>
      <c r="G51" s="60" t="str">
        <f aca="false">IFERROR(IF(INDEX(res_Name,(ROW()-ROW(rw_LoadOrigin)-1))="","",INDEX(rw_Cum,(ROW()-ROW(rw_LoadOrigin)-1),(COLUMN()-COLUMN(rw_LoadOrigin)-1)+1)-INDEX(rw_Cum,(ROW()-ROW(rw_LoadOrigin)-1),(COLUMN()-COLUMN(rw_LoadOrigin)-1))),"")</f>
        <v/>
      </c>
      <c r="H51" s="60" t="str">
        <f aca="false">IFERROR(IF(INDEX(res_Name,(ROW()-ROW(rw_LoadOrigin)-1))="","",INDEX(rw_Cum,(ROW()-ROW(rw_LoadOrigin)-1),(COLUMN()-COLUMN(rw_LoadOrigin)-1)+1)-INDEX(rw_Cum,(ROW()-ROW(rw_LoadOrigin)-1),(COLUMN()-COLUMN(rw_LoadOrigin)-1))),"")</f>
        <v/>
      </c>
      <c r="I51" s="60" t="str">
        <f aca="false">IFERROR(IF(INDEX(res_Name,(ROW()-ROW(rw_LoadOrigin)-1))="","",INDEX(rw_Cum,(ROW()-ROW(rw_LoadOrigin)-1),(COLUMN()-COLUMN(rw_LoadOrigin)-1)+1)-INDEX(rw_Cum,(ROW()-ROW(rw_LoadOrigin)-1),(COLUMN()-COLUMN(rw_LoadOrigin)-1))),"")</f>
        <v/>
      </c>
      <c r="J51" s="60" t="str">
        <f aca="false">IFERROR(IF(INDEX(res_Name,(ROW()-ROW(rw_LoadOrigin)-1))="","",INDEX(rw_Cum,(ROW()-ROW(rw_LoadOrigin)-1),(COLUMN()-COLUMN(rw_LoadOrigin)-1)+1)-INDEX(rw_Cum,(ROW()-ROW(rw_LoadOrigin)-1),(COLUMN()-COLUMN(rw_LoadOrigin)-1))),"")</f>
        <v/>
      </c>
      <c r="K51" s="60" t="str">
        <f aca="false">IFERROR(IF(INDEX(res_Name,(ROW()-ROW(rw_LoadOrigin)-1))="","",INDEX(rw_Cum,(ROW()-ROW(rw_LoadOrigin)-1),(COLUMN()-COLUMN(rw_LoadOrigin)-1)+1)-INDEX(rw_Cum,(ROW()-ROW(rw_LoadOrigin)-1),(COLUMN()-COLUMN(rw_LoadOrigin)-1))),"")</f>
        <v/>
      </c>
      <c r="L51" s="60" t="str">
        <f aca="false">IFERROR(IF(INDEX(res_Name,(ROW()-ROW(rw_LoadOrigin)-1))="","",INDEX(rw_Cum,(ROW()-ROW(rw_LoadOrigin)-1),(COLUMN()-COLUMN(rw_LoadOrigin)-1)+1)-INDEX(rw_Cum,(ROW()-ROW(rw_LoadOrigin)-1),(COLUMN()-COLUMN(rw_LoadOrigin)-1))),"")</f>
        <v/>
      </c>
      <c r="M51" s="60" t="str">
        <f aca="false">IFERROR(IF(INDEX(res_Name,(ROW()-ROW(rw_LoadOrigin)-1))="","",INDEX(rw_Cum,(ROW()-ROW(rw_LoadOrigin)-1),(COLUMN()-COLUMN(rw_LoadOrigin)-1)+1)-INDEX(rw_Cum,(ROW()-ROW(rw_LoadOrigin)-1),(COLUMN()-COLUMN(rw_LoadOrigin)-1))),"")</f>
        <v/>
      </c>
      <c r="N51" s="60" t="str">
        <f aca="false">IFERROR(IF(INDEX(res_Name,(ROW()-ROW(rw_LoadOrigin)-1))="","",INDEX(rw_Cum,(ROW()-ROW(rw_LoadOrigin)-1),(COLUMN()-COLUMN(rw_LoadOrigin)-1)+1)-INDEX(rw_Cum,(ROW()-ROW(rw_LoadOrigin)-1),(COLUMN()-COLUMN(rw_LoadOrigin)-1))),"")</f>
        <v/>
      </c>
      <c r="O51" s="60" t="str">
        <f aca="false">IFERROR(IF(INDEX(res_Name,(ROW()-ROW(rw_LoadOrigin)-1))="","",INDEX(rw_Cum,(ROW()-ROW(rw_LoadOrigin)-1),(COLUMN()-COLUMN(rw_LoadOrigin)-1)+1)-INDEX(rw_Cum,(ROW()-ROW(rw_LoadOrigin)-1),(COLUMN()-COLUMN(rw_LoadOrigin)-1))),"")</f>
        <v/>
      </c>
      <c r="P51" s="60" t="str">
        <f aca="false">IFERROR(IF(INDEX(res_Name,(ROW()-ROW(rw_LoadOrigin)-1))="","",INDEX(rw_Cum,(ROW()-ROW(rw_LoadOrigin)-1),(COLUMN()-COLUMN(rw_LoadOrigin)-1)+1)-INDEX(rw_Cum,(ROW()-ROW(rw_LoadOrigin)-1),(COLUMN()-COLUMN(rw_LoadOrigin)-1))),"")</f>
        <v/>
      </c>
      <c r="Q51" s="60" t="str">
        <f aca="false">IFERROR(IF(INDEX(res_Name,(ROW()-ROW(rw_LoadOrigin)-1))="","",INDEX(rw_Cum,(ROW()-ROW(rw_LoadOrigin)-1),(COLUMN()-COLUMN(rw_LoadOrigin)-1)+1)-INDEX(rw_Cum,(ROW()-ROW(rw_LoadOrigin)-1),(COLUMN()-COLUMN(rw_LoadOrigin)-1))),"")</f>
        <v/>
      </c>
      <c r="R51" s="60" t="str">
        <f aca="false">IFERROR(IF(INDEX(res_Name,(ROW()-ROW(rw_LoadOrigin)-1))="","",INDEX(rw_Cum,(ROW()-ROW(rw_LoadOrigin)-1),(COLUMN()-COLUMN(rw_LoadOrigin)-1)+1)-INDEX(rw_Cum,(ROW()-ROW(rw_LoadOrigin)-1),(COLUMN()-COLUMN(rw_LoadOrigin)-1))),"")</f>
        <v/>
      </c>
      <c r="S51" s="60" t="str">
        <f aca="false">IFERROR(IF(INDEX(res_Name,(ROW()-ROW(rw_LoadOrigin)-1))="","",INDEX(rw_Cum,(ROW()-ROW(rw_LoadOrigin)-1),(COLUMN()-COLUMN(rw_LoadOrigin)-1)+1)-INDEX(rw_Cum,(ROW()-ROW(rw_LoadOrigin)-1),(COLUMN()-COLUMN(rw_LoadOrigin)-1))),"")</f>
        <v/>
      </c>
      <c r="T51" s="60" t="str">
        <f aca="false">IFERROR(IF(INDEX(res_Name,(ROW()-ROW(rw_LoadOrigin)-1))="","",INDEX(rw_Cum,(ROW()-ROW(rw_LoadOrigin)-1),(COLUMN()-COLUMN(rw_LoadOrigin)-1)+1)-INDEX(rw_Cum,(ROW()-ROW(rw_LoadOrigin)-1),(COLUMN()-COLUMN(rw_LoadOrigin)-1))),"")</f>
        <v/>
      </c>
      <c r="U51" s="60" t="str">
        <f aca="false">IFERROR(IF(INDEX(res_Name,(ROW()-ROW(rw_LoadOrigin)-1))="","",INDEX(rw_Cum,(ROW()-ROW(rw_LoadOrigin)-1),(COLUMN()-COLUMN(rw_LoadOrigin)-1)+1)-INDEX(rw_Cum,(ROW()-ROW(rw_LoadOrigin)-1),(COLUMN()-COLUMN(rw_LoadOrigin)-1))),"")</f>
        <v/>
      </c>
      <c r="V51" s="60" t="str">
        <f aca="false">IFERROR(IF(INDEX(res_Name,(ROW()-ROW(rw_LoadOrigin)-1))="","",INDEX(rw_Cum,(ROW()-ROW(rw_LoadOrigin)-1),(COLUMN()-COLUMN(rw_LoadOrigin)-1)+1)-INDEX(rw_Cum,(ROW()-ROW(rw_LoadOrigin)-1),(COLUMN()-COLUMN(rw_LoadOrigin)-1))),"")</f>
        <v/>
      </c>
      <c r="W51" s="60" t="str">
        <f aca="false">IFERROR(IF(INDEX(res_Name,(ROW()-ROW(rw_LoadOrigin)-1))="","",INDEX(rw_Cum,(ROW()-ROW(rw_LoadOrigin)-1),(COLUMN()-COLUMN(rw_LoadOrigin)-1)+1)-INDEX(rw_Cum,(ROW()-ROW(rw_LoadOrigin)-1),(COLUMN()-COLUMN(rw_LoadOrigin)-1))),"")</f>
        <v/>
      </c>
      <c r="X51" s="60" t="str">
        <f aca="false">IFERROR(IF(INDEX(res_Name,(ROW()-ROW(rw_LoadOrigin)-1))="","",INDEX(rw_Cum,(ROW()-ROW(rw_LoadOrigin)-1),(COLUMN()-COLUMN(rw_LoadOrigin)-1)+1)-INDEX(rw_Cum,(ROW()-ROW(rw_LoadOrigin)-1),(COLUMN()-COLUMN(rw_LoadOrigin)-1))),"")</f>
        <v/>
      </c>
      <c r="Y51" s="60" t="str">
        <f aca="false">IFERROR(IF(INDEX(res_Name,(ROW()-ROW(rw_LoadOrigin)-1))="","",INDEX(rw_Cum,(ROW()-ROW(rw_LoadOrigin)-1),(COLUMN()-COLUMN(rw_LoadOrigin)-1)+1)-INDEX(rw_Cum,(ROW()-ROW(rw_LoadOrigin)-1),(COLUMN()-COLUMN(rw_LoadOrigin)-1))),"")</f>
        <v/>
      </c>
      <c r="Z51" s="60" t="str">
        <f aca="false">IFERROR(IF(INDEX(res_Name,(ROW()-ROW(rw_LoadOrigin)-1))="","",INDEX(rw_Cum,(ROW()-ROW(rw_LoadOrigin)-1),(COLUMN()-COLUMN(rw_LoadOrigin)-1)+1)-INDEX(rw_Cum,(ROW()-ROW(rw_LoadOrigin)-1),(COLUMN()-COLUMN(rw_LoadOrigin)-1))),"")</f>
        <v/>
      </c>
      <c r="AA51" s="60" t="str">
        <f aca="false">IFERROR(IF(INDEX(res_Name,(ROW()-ROW(rw_LoadOrigin)-1))="","",INDEX(rw_Cum,(ROW()-ROW(rw_LoadOrigin)-1),(COLUMN()-COLUMN(rw_LoadOrigin)-1)+1)-INDEX(rw_Cum,(ROW()-ROW(rw_LoadOrigin)-1),(COLUMN()-COLUMN(rw_LoadOrigin)-1))),"")</f>
        <v/>
      </c>
      <c r="AB51" s="60" t="str">
        <f aca="false">IFERROR(IF(INDEX(res_Name,(ROW()-ROW(rw_LoadOrigin)-1))="","",INDEX(rw_Cum,(ROW()-ROW(rw_LoadOrigin)-1),(COLUMN()-COLUMN(rw_LoadOrigin)-1)+1)-INDEX(rw_Cum,(ROW()-ROW(rw_LoadOrigin)-1),(COLUMN()-COLUMN(rw_LoadOrigin)-1))),"")</f>
        <v/>
      </c>
      <c r="AC51" s="60" t="str">
        <f aca="false">IFERROR(IF(INDEX(res_Name,(ROW()-ROW(rw_LoadOrigin)-1))="","",INDEX(rw_Cum,(ROW()-ROW(rw_LoadOrigin)-1),(COLUMN()-COLUMN(rw_LoadOrigin)-1)+1)-INDEX(rw_Cum,(ROW()-ROW(rw_LoadOrigin)-1),(COLUMN()-COLUMN(rw_LoadOrigin)-1))),"")</f>
        <v/>
      </c>
    </row>
    <row r="52" customFormat="false" ht="15" hidden="false" customHeight="false" outlineLevel="0" collapsed="false">
      <c r="B52" s="31" t="str">
        <f aca="false">IFERROR(INDEX(res_Name,(ROW()-ROW(rw_LoadOrigin)-1))&amp;"","")</f>
        <v/>
      </c>
      <c r="C52" s="59" t="str">
        <f aca="false">IFERROR(IF(INDEX(res_Name,(ROW()-ROW(rw_LoadOrigin)-1))="","",INDEX(res_MaxUnits,(ROW()-ROW(rw_LoadOrigin)-1))),"")</f>
        <v/>
      </c>
      <c r="D52" s="60" t="str">
        <f aca="false">IFERROR(IF(INDEX(res_Name,(ROW()-ROW(rw_LoadOrigin)-1))="","",INDEX(rw_Cum,(ROW()-ROW(rw_LoadOrigin)-1),(COLUMN()-COLUMN(rw_LoadOrigin)-1)+1)-INDEX(rw_Cum,(ROW()-ROW(rw_LoadOrigin)-1),(COLUMN()-COLUMN(rw_LoadOrigin)-1))),"")</f>
        <v/>
      </c>
      <c r="E52" s="60" t="str">
        <f aca="false">IFERROR(IF(INDEX(res_Name,(ROW()-ROW(rw_LoadOrigin)-1))="","",INDEX(rw_Cum,(ROW()-ROW(rw_LoadOrigin)-1),(COLUMN()-COLUMN(rw_LoadOrigin)-1)+1)-INDEX(rw_Cum,(ROW()-ROW(rw_LoadOrigin)-1),(COLUMN()-COLUMN(rw_LoadOrigin)-1))),"")</f>
        <v/>
      </c>
      <c r="F52" s="60" t="str">
        <f aca="false">IFERROR(IF(INDEX(res_Name,(ROW()-ROW(rw_LoadOrigin)-1))="","",INDEX(rw_Cum,(ROW()-ROW(rw_LoadOrigin)-1),(COLUMN()-COLUMN(rw_LoadOrigin)-1)+1)-INDEX(rw_Cum,(ROW()-ROW(rw_LoadOrigin)-1),(COLUMN()-COLUMN(rw_LoadOrigin)-1))),"")</f>
        <v/>
      </c>
      <c r="G52" s="60" t="str">
        <f aca="false">IFERROR(IF(INDEX(res_Name,(ROW()-ROW(rw_LoadOrigin)-1))="","",INDEX(rw_Cum,(ROW()-ROW(rw_LoadOrigin)-1),(COLUMN()-COLUMN(rw_LoadOrigin)-1)+1)-INDEX(rw_Cum,(ROW()-ROW(rw_LoadOrigin)-1),(COLUMN()-COLUMN(rw_LoadOrigin)-1))),"")</f>
        <v/>
      </c>
      <c r="H52" s="60" t="str">
        <f aca="false">IFERROR(IF(INDEX(res_Name,(ROW()-ROW(rw_LoadOrigin)-1))="","",INDEX(rw_Cum,(ROW()-ROW(rw_LoadOrigin)-1),(COLUMN()-COLUMN(rw_LoadOrigin)-1)+1)-INDEX(rw_Cum,(ROW()-ROW(rw_LoadOrigin)-1),(COLUMN()-COLUMN(rw_LoadOrigin)-1))),"")</f>
        <v/>
      </c>
      <c r="I52" s="60" t="str">
        <f aca="false">IFERROR(IF(INDEX(res_Name,(ROW()-ROW(rw_LoadOrigin)-1))="","",INDEX(rw_Cum,(ROW()-ROW(rw_LoadOrigin)-1),(COLUMN()-COLUMN(rw_LoadOrigin)-1)+1)-INDEX(rw_Cum,(ROW()-ROW(rw_LoadOrigin)-1),(COLUMN()-COLUMN(rw_LoadOrigin)-1))),"")</f>
        <v/>
      </c>
      <c r="J52" s="60" t="str">
        <f aca="false">IFERROR(IF(INDEX(res_Name,(ROW()-ROW(rw_LoadOrigin)-1))="","",INDEX(rw_Cum,(ROW()-ROW(rw_LoadOrigin)-1),(COLUMN()-COLUMN(rw_LoadOrigin)-1)+1)-INDEX(rw_Cum,(ROW()-ROW(rw_LoadOrigin)-1),(COLUMN()-COLUMN(rw_LoadOrigin)-1))),"")</f>
        <v/>
      </c>
      <c r="K52" s="60" t="str">
        <f aca="false">IFERROR(IF(INDEX(res_Name,(ROW()-ROW(rw_LoadOrigin)-1))="","",INDEX(rw_Cum,(ROW()-ROW(rw_LoadOrigin)-1),(COLUMN()-COLUMN(rw_LoadOrigin)-1)+1)-INDEX(rw_Cum,(ROW()-ROW(rw_LoadOrigin)-1),(COLUMN()-COLUMN(rw_LoadOrigin)-1))),"")</f>
        <v/>
      </c>
      <c r="L52" s="60" t="str">
        <f aca="false">IFERROR(IF(INDEX(res_Name,(ROW()-ROW(rw_LoadOrigin)-1))="","",INDEX(rw_Cum,(ROW()-ROW(rw_LoadOrigin)-1),(COLUMN()-COLUMN(rw_LoadOrigin)-1)+1)-INDEX(rw_Cum,(ROW()-ROW(rw_LoadOrigin)-1),(COLUMN()-COLUMN(rw_LoadOrigin)-1))),"")</f>
        <v/>
      </c>
      <c r="M52" s="60" t="str">
        <f aca="false">IFERROR(IF(INDEX(res_Name,(ROW()-ROW(rw_LoadOrigin)-1))="","",INDEX(rw_Cum,(ROW()-ROW(rw_LoadOrigin)-1),(COLUMN()-COLUMN(rw_LoadOrigin)-1)+1)-INDEX(rw_Cum,(ROW()-ROW(rw_LoadOrigin)-1),(COLUMN()-COLUMN(rw_LoadOrigin)-1))),"")</f>
        <v/>
      </c>
      <c r="N52" s="60" t="str">
        <f aca="false">IFERROR(IF(INDEX(res_Name,(ROW()-ROW(rw_LoadOrigin)-1))="","",INDEX(rw_Cum,(ROW()-ROW(rw_LoadOrigin)-1),(COLUMN()-COLUMN(rw_LoadOrigin)-1)+1)-INDEX(rw_Cum,(ROW()-ROW(rw_LoadOrigin)-1),(COLUMN()-COLUMN(rw_LoadOrigin)-1))),"")</f>
        <v/>
      </c>
      <c r="O52" s="60" t="str">
        <f aca="false">IFERROR(IF(INDEX(res_Name,(ROW()-ROW(rw_LoadOrigin)-1))="","",INDEX(rw_Cum,(ROW()-ROW(rw_LoadOrigin)-1),(COLUMN()-COLUMN(rw_LoadOrigin)-1)+1)-INDEX(rw_Cum,(ROW()-ROW(rw_LoadOrigin)-1),(COLUMN()-COLUMN(rw_LoadOrigin)-1))),"")</f>
        <v/>
      </c>
      <c r="P52" s="60" t="str">
        <f aca="false">IFERROR(IF(INDEX(res_Name,(ROW()-ROW(rw_LoadOrigin)-1))="","",INDEX(rw_Cum,(ROW()-ROW(rw_LoadOrigin)-1),(COLUMN()-COLUMN(rw_LoadOrigin)-1)+1)-INDEX(rw_Cum,(ROW()-ROW(rw_LoadOrigin)-1),(COLUMN()-COLUMN(rw_LoadOrigin)-1))),"")</f>
        <v/>
      </c>
      <c r="Q52" s="60" t="str">
        <f aca="false">IFERROR(IF(INDEX(res_Name,(ROW()-ROW(rw_LoadOrigin)-1))="","",INDEX(rw_Cum,(ROW()-ROW(rw_LoadOrigin)-1),(COLUMN()-COLUMN(rw_LoadOrigin)-1)+1)-INDEX(rw_Cum,(ROW()-ROW(rw_LoadOrigin)-1),(COLUMN()-COLUMN(rw_LoadOrigin)-1))),"")</f>
        <v/>
      </c>
      <c r="R52" s="60" t="str">
        <f aca="false">IFERROR(IF(INDEX(res_Name,(ROW()-ROW(rw_LoadOrigin)-1))="","",INDEX(rw_Cum,(ROW()-ROW(rw_LoadOrigin)-1),(COLUMN()-COLUMN(rw_LoadOrigin)-1)+1)-INDEX(rw_Cum,(ROW()-ROW(rw_LoadOrigin)-1),(COLUMN()-COLUMN(rw_LoadOrigin)-1))),"")</f>
        <v/>
      </c>
      <c r="S52" s="60" t="str">
        <f aca="false">IFERROR(IF(INDEX(res_Name,(ROW()-ROW(rw_LoadOrigin)-1))="","",INDEX(rw_Cum,(ROW()-ROW(rw_LoadOrigin)-1),(COLUMN()-COLUMN(rw_LoadOrigin)-1)+1)-INDEX(rw_Cum,(ROW()-ROW(rw_LoadOrigin)-1),(COLUMN()-COLUMN(rw_LoadOrigin)-1))),"")</f>
        <v/>
      </c>
      <c r="T52" s="60" t="str">
        <f aca="false">IFERROR(IF(INDEX(res_Name,(ROW()-ROW(rw_LoadOrigin)-1))="","",INDEX(rw_Cum,(ROW()-ROW(rw_LoadOrigin)-1),(COLUMN()-COLUMN(rw_LoadOrigin)-1)+1)-INDEX(rw_Cum,(ROW()-ROW(rw_LoadOrigin)-1),(COLUMN()-COLUMN(rw_LoadOrigin)-1))),"")</f>
        <v/>
      </c>
      <c r="U52" s="60" t="str">
        <f aca="false">IFERROR(IF(INDEX(res_Name,(ROW()-ROW(rw_LoadOrigin)-1))="","",INDEX(rw_Cum,(ROW()-ROW(rw_LoadOrigin)-1),(COLUMN()-COLUMN(rw_LoadOrigin)-1)+1)-INDEX(rw_Cum,(ROW()-ROW(rw_LoadOrigin)-1),(COLUMN()-COLUMN(rw_LoadOrigin)-1))),"")</f>
        <v/>
      </c>
      <c r="V52" s="60" t="str">
        <f aca="false">IFERROR(IF(INDEX(res_Name,(ROW()-ROW(rw_LoadOrigin)-1))="","",INDEX(rw_Cum,(ROW()-ROW(rw_LoadOrigin)-1),(COLUMN()-COLUMN(rw_LoadOrigin)-1)+1)-INDEX(rw_Cum,(ROW()-ROW(rw_LoadOrigin)-1),(COLUMN()-COLUMN(rw_LoadOrigin)-1))),"")</f>
        <v/>
      </c>
      <c r="W52" s="60" t="str">
        <f aca="false">IFERROR(IF(INDEX(res_Name,(ROW()-ROW(rw_LoadOrigin)-1))="","",INDEX(rw_Cum,(ROW()-ROW(rw_LoadOrigin)-1),(COLUMN()-COLUMN(rw_LoadOrigin)-1)+1)-INDEX(rw_Cum,(ROW()-ROW(rw_LoadOrigin)-1),(COLUMN()-COLUMN(rw_LoadOrigin)-1))),"")</f>
        <v/>
      </c>
      <c r="X52" s="60" t="str">
        <f aca="false">IFERROR(IF(INDEX(res_Name,(ROW()-ROW(rw_LoadOrigin)-1))="","",INDEX(rw_Cum,(ROW()-ROW(rw_LoadOrigin)-1),(COLUMN()-COLUMN(rw_LoadOrigin)-1)+1)-INDEX(rw_Cum,(ROW()-ROW(rw_LoadOrigin)-1),(COLUMN()-COLUMN(rw_LoadOrigin)-1))),"")</f>
        <v/>
      </c>
      <c r="Y52" s="60" t="str">
        <f aca="false">IFERROR(IF(INDEX(res_Name,(ROW()-ROW(rw_LoadOrigin)-1))="","",INDEX(rw_Cum,(ROW()-ROW(rw_LoadOrigin)-1),(COLUMN()-COLUMN(rw_LoadOrigin)-1)+1)-INDEX(rw_Cum,(ROW()-ROW(rw_LoadOrigin)-1),(COLUMN()-COLUMN(rw_LoadOrigin)-1))),"")</f>
        <v/>
      </c>
      <c r="Z52" s="60" t="str">
        <f aca="false">IFERROR(IF(INDEX(res_Name,(ROW()-ROW(rw_LoadOrigin)-1))="","",INDEX(rw_Cum,(ROW()-ROW(rw_LoadOrigin)-1),(COLUMN()-COLUMN(rw_LoadOrigin)-1)+1)-INDEX(rw_Cum,(ROW()-ROW(rw_LoadOrigin)-1),(COLUMN()-COLUMN(rw_LoadOrigin)-1))),"")</f>
        <v/>
      </c>
      <c r="AA52" s="60" t="str">
        <f aca="false">IFERROR(IF(INDEX(res_Name,(ROW()-ROW(rw_LoadOrigin)-1))="","",INDEX(rw_Cum,(ROW()-ROW(rw_LoadOrigin)-1),(COLUMN()-COLUMN(rw_LoadOrigin)-1)+1)-INDEX(rw_Cum,(ROW()-ROW(rw_LoadOrigin)-1),(COLUMN()-COLUMN(rw_LoadOrigin)-1))),"")</f>
        <v/>
      </c>
      <c r="AB52" s="60" t="str">
        <f aca="false">IFERROR(IF(INDEX(res_Name,(ROW()-ROW(rw_LoadOrigin)-1))="","",INDEX(rw_Cum,(ROW()-ROW(rw_LoadOrigin)-1),(COLUMN()-COLUMN(rw_LoadOrigin)-1)+1)-INDEX(rw_Cum,(ROW()-ROW(rw_LoadOrigin)-1),(COLUMN()-COLUMN(rw_LoadOrigin)-1))),"")</f>
        <v/>
      </c>
      <c r="AC52" s="60" t="str">
        <f aca="false">IFERROR(IF(INDEX(res_Name,(ROW()-ROW(rw_LoadOrigin)-1))="","",INDEX(rw_Cum,(ROW()-ROW(rw_LoadOrigin)-1),(COLUMN()-COLUMN(rw_LoadOrigin)-1)+1)-INDEX(rw_Cum,(ROW()-ROW(rw_LoadOrigin)-1),(COLUMN()-COLUMN(rw_LoadOrigin)-1))),"")</f>
        <v/>
      </c>
    </row>
    <row r="53" customFormat="false" ht="15" hidden="false" customHeight="false" outlineLevel="0" collapsed="false">
      <c r="B53" s="31" t="str">
        <f aca="false">IFERROR(INDEX(res_Name,(ROW()-ROW(rw_LoadOrigin)-1))&amp;"","")</f>
        <v/>
      </c>
      <c r="C53" s="59" t="str">
        <f aca="false">IFERROR(IF(INDEX(res_Name,(ROW()-ROW(rw_LoadOrigin)-1))="","",INDEX(res_MaxUnits,(ROW()-ROW(rw_LoadOrigin)-1))),"")</f>
        <v/>
      </c>
      <c r="D53" s="60" t="str">
        <f aca="false">IFERROR(IF(INDEX(res_Name,(ROW()-ROW(rw_LoadOrigin)-1))="","",INDEX(rw_Cum,(ROW()-ROW(rw_LoadOrigin)-1),(COLUMN()-COLUMN(rw_LoadOrigin)-1)+1)-INDEX(rw_Cum,(ROW()-ROW(rw_LoadOrigin)-1),(COLUMN()-COLUMN(rw_LoadOrigin)-1))),"")</f>
        <v/>
      </c>
      <c r="E53" s="60" t="str">
        <f aca="false">IFERROR(IF(INDEX(res_Name,(ROW()-ROW(rw_LoadOrigin)-1))="","",INDEX(rw_Cum,(ROW()-ROW(rw_LoadOrigin)-1),(COLUMN()-COLUMN(rw_LoadOrigin)-1)+1)-INDEX(rw_Cum,(ROW()-ROW(rw_LoadOrigin)-1),(COLUMN()-COLUMN(rw_LoadOrigin)-1))),"")</f>
        <v/>
      </c>
      <c r="F53" s="60" t="str">
        <f aca="false">IFERROR(IF(INDEX(res_Name,(ROW()-ROW(rw_LoadOrigin)-1))="","",INDEX(rw_Cum,(ROW()-ROW(rw_LoadOrigin)-1),(COLUMN()-COLUMN(rw_LoadOrigin)-1)+1)-INDEX(rw_Cum,(ROW()-ROW(rw_LoadOrigin)-1),(COLUMN()-COLUMN(rw_LoadOrigin)-1))),"")</f>
        <v/>
      </c>
      <c r="G53" s="60" t="str">
        <f aca="false">IFERROR(IF(INDEX(res_Name,(ROW()-ROW(rw_LoadOrigin)-1))="","",INDEX(rw_Cum,(ROW()-ROW(rw_LoadOrigin)-1),(COLUMN()-COLUMN(rw_LoadOrigin)-1)+1)-INDEX(rw_Cum,(ROW()-ROW(rw_LoadOrigin)-1),(COLUMN()-COLUMN(rw_LoadOrigin)-1))),"")</f>
        <v/>
      </c>
      <c r="H53" s="60" t="str">
        <f aca="false">IFERROR(IF(INDEX(res_Name,(ROW()-ROW(rw_LoadOrigin)-1))="","",INDEX(rw_Cum,(ROW()-ROW(rw_LoadOrigin)-1),(COLUMN()-COLUMN(rw_LoadOrigin)-1)+1)-INDEX(rw_Cum,(ROW()-ROW(rw_LoadOrigin)-1),(COLUMN()-COLUMN(rw_LoadOrigin)-1))),"")</f>
        <v/>
      </c>
      <c r="I53" s="60" t="str">
        <f aca="false">IFERROR(IF(INDEX(res_Name,(ROW()-ROW(rw_LoadOrigin)-1))="","",INDEX(rw_Cum,(ROW()-ROW(rw_LoadOrigin)-1),(COLUMN()-COLUMN(rw_LoadOrigin)-1)+1)-INDEX(rw_Cum,(ROW()-ROW(rw_LoadOrigin)-1),(COLUMN()-COLUMN(rw_LoadOrigin)-1))),"")</f>
        <v/>
      </c>
      <c r="J53" s="60" t="str">
        <f aca="false">IFERROR(IF(INDEX(res_Name,(ROW()-ROW(rw_LoadOrigin)-1))="","",INDEX(rw_Cum,(ROW()-ROW(rw_LoadOrigin)-1),(COLUMN()-COLUMN(rw_LoadOrigin)-1)+1)-INDEX(rw_Cum,(ROW()-ROW(rw_LoadOrigin)-1),(COLUMN()-COLUMN(rw_LoadOrigin)-1))),"")</f>
        <v/>
      </c>
      <c r="K53" s="60" t="str">
        <f aca="false">IFERROR(IF(INDEX(res_Name,(ROW()-ROW(rw_LoadOrigin)-1))="","",INDEX(rw_Cum,(ROW()-ROW(rw_LoadOrigin)-1),(COLUMN()-COLUMN(rw_LoadOrigin)-1)+1)-INDEX(rw_Cum,(ROW()-ROW(rw_LoadOrigin)-1),(COLUMN()-COLUMN(rw_LoadOrigin)-1))),"")</f>
        <v/>
      </c>
      <c r="L53" s="60" t="str">
        <f aca="false">IFERROR(IF(INDEX(res_Name,(ROW()-ROW(rw_LoadOrigin)-1))="","",INDEX(rw_Cum,(ROW()-ROW(rw_LoadOrigin)-1),(COLUMN()-COLUMN(rw_LoadOrigin)-1)+1)-INDEX(rw_Cum,(ROW()-ROW(rw_LoadOrigin)-1),(COLUMN()-COLUMN(rw_LoadOrigin)-1))),"")</f>
        <v/>
      </c>
      <c r="M53" s="60" t="str">
        <f aca="false">IFERROR(IF(INDEX(res_Name,(ROW()-ROW(rw_LoadOrigin)-1))="","",INDEX(rw_Cum,(ROW()-ROW(rw_LoadOrigin)-1),(COLUMN()-COLUMN(rw_LoadOrigin)-1)+1)-INDEX(rw_Cum,(ROW()-ROW(rw_LoadOrigin)-1),(COLUMN()-COLUMN(rw_LoadOrigin)-1))),"")</f>
        <v/>
      </c>
      <c r="N53" s="60" t="str">
        <f aca="false">IFERROR(IF(INDEX(res_Name,(ROW()-ROW(rw_LoadOrigin)-1))="","",INDEX(rw_Cum,(ROW()-ROW(rw_LoadOrigin)-1),(COLUMN()-COLUMN(rw_LoadOrigin)-1)+1)-INDEX(rw_Cum,(ROW()-ROW(rw_LoadOrigin)-1),(COLUMN()-COLUMN(rw_LoadOrigin)-1))),"")</f>
        <v/>
      </c>
      <c r="O53" s="60" t="str">
        <f aca="false">IFERROR(IF(INDEX(res_Name,(ROW()-ROW(rw_LoadOrigin)-1))="","",INDEX(rw_Cum,(ROW()-ROW(rw_LoadOrigin)-1),(COLUMN()-COLUMN(rw_LoadOrigin)-1)+1)-INDEX(rw_Cum,(ROW()-ROW(rw_LoadOrigin)-1),(COLUMN()-COLUMN(rw_LoadOrigin)-1))),"")</f>
        <v/>
      </c>
      <c r="P53" s="60" t="str">
        <f aca="false">IFERROR(IF(INDEX(res_Name,(ROW()-ROW(rw_LoadOrigin)-1))="","",INDEX(rw_Cum,(ROW()-ROW(rw_LoadOrigin)-1),(COLUMN()-COLUMN(rw_LoadOrigin)-1)+1)-INDEX(rw_Cum,(ROW()-ROW(rw_LoadOrigin)-1),(COLUMN()-COLUMN(rw_LoadOrigin)-1))),"")</f>
        <v/>
      </c>
      <c r="Q53" s="60" t="str">
        <f aca="false">IFERROR(IF(INDEX(res_Name,(ROW()-ROW(rw_LoadOrigin)-1))="","",INDEX(rw_Cum,(ROW()-ROW(rw_LoadOrigin)-1),(COLUMN()-COLUMN(rw_LoadOrigin)-1)+1)-INDEX(rw_Cum,(ROW()-ROW(rw_LoadOrigin)-1),(COLUMN()-COLUMN(rw_LoadOrigin)-1))),"")</f>
        <v/>
      </c>
      <c r="R53" s="60" t="str">
        <f aca="false">IFERROR(IF(INDEX(res_Name,(ROW()-ROW(rw_LoadOrigin)-1))="","",INDEX(rw_Cum,(ROW()-ROW(rw_LoadOrigin)-1),(COLUMN()-COLUMN(rw_LoadOrigin)-1)+1)-INDEX(rw_Cum,(ROW()-ROW(rw_LoadOrigin)-1),(COLUMN()-COLUMN(rw_LoadOrigin)-1))),"")</f>
        <v/>
      </c>
      <c r="S53" s="60" t="str">
        <f aca="false">IFERROR(IF(INDEX(res_Name,(ROW()-ROW(rw_LoadOrigin)-1))="","",INDEX(rw_Cum,(ROW()-ROW(rw_LoadOrigin)-1),(COLUMN()-COLUMN(rw_LoadOrigin)-1)+1)-INDEX(rw_Cum,(ROW()-ROW(rw_LoadOrigin)-1),(COLUMN()-COLUMN(rw_LoadOrigin)-1))),"")</f>
        <v/>
      </c>
      <c r="T53" s="60" t="str">
        <f aca="false">IFERROR(IF(INDEX(res_Name,(ROW()-ROW(rw_LoadOrigin)-1))="","",INDEX(rw_Cum,(ROW()-ROW(rw_LoadOrigin)-1),(COLUMN()-COLUMN(rw_LoadOrigin)-1)+1)-INDEX(rw_Cum,(ROW()-ROW(rw_LoadOrigin)-1),(COLUMN()-COLUMN(rw_LoadOrigin)-1))),"")</f>
        <v/>
      </c>
      <c r="U53" s="60" t="str">
        <f aca="false">IFERROR(IF(INDEX(res_Name,(ROW()-ROW(rw_LoadOrigin)-1))="","",INDEX(rw_Cum,(ROW()-ROW(rw_LoadOrigin)-1),(COLUMN()-COLUMN(rw_LoadOrigin)-1)+1)-INDEX(rw_Cum,(ROW()-ROW(rw_LoadOrigin)-1),(COLUMN()-COLUMN(rw_LoadOrigin)-1))),"")</f>
        <v/>
      </c>
      <c r="V53" s="60" t="str">
        <f aca="false">IFERROR(IF(INDEX(res_Name,(ROW()-ROW(rw_LoadOrigin)-1))="","",INDEX(rw_Cum,(ROW()-ROW(rw_LoadOrigin)-1),(COLUMN()-COLUMN(rw_LoadOrigin)-1)+1)-INDEX(rw_Cum,(ROW()-ROW(rw_LoadOrigin)-1),(COLUMN()-COLUMN(rw_LoadOrigin)-1))),"")</f>
        <v/>
      </c>
      <c r="W53" s="60" t="str">
        <f aca="false">IFERROR(IF(INDEX(res_Name,(ROW()-ROW(rw_LoadOrigin)-1))="","",INDEX(rw_Cum,(ROW()-ROW(rw_LoadOrigin)-1),(COLUMN()-COLUMN(rw_LoadOrigin)-1)+1)-INDEX(rw_Cum,(ROW()-ROW(rw_LoadOrigin)-1),(COLUMN()-COLUMN(rw_LoadOrigin)-1))),"")</f>
        <v/>
      </c>
      <c r="X53" s="60" t="str">
        <f aca="false">IFERROR(IF(INDEX(res_Name,(ROW()-ROW(rw_LoadOrigin)-1))="","",INDEX(rw_Cum,(ROW()-ROW(rw_LoadOrigin)-1),(COLUMN()-COLUMN(rw_LoadOrigin)-1)+1)-INDEX(rw_Cum,(ROW()-ROW(rw_LoadOrigin)-1),(COLUMN()-COLUMN(rw_LoadOrigin)-1))),"")</f>
        <v/>
      </c>
      <c r="Y53" s="60" t="str">
        <f aca="false">IFERROR(IF(INDEX(res_Name,(ROW()-ROW(rw_LoadOrigin)-1))="","",INDEX(rw_Cum,(ROW()-ROW(rw_LoadOrigin)-1),(COLUMN()-COLUMN(rw_LoadOrigin)-1)+1)-INDEX(rw_Cum,(ROW()-ROW(rw_LoadOrigin)-1),(COLUMN()-COLUMN(rw_LoadOrigin)-1))),"")</f>
        <v/>
      </c>
      <c r="Z53" s="60" t="str">
        <f aca="false">IFERROR(IF(INDEX(res_Name,(ROW()-ROW(rw_LoadOrigin)-1))="","",INDEX(rw_Cum,(ROW()-ROW(rw_LoadOrigin)-1),(COLUMN()-COLUMN(rw_LoadOrigin)-1)+1)-INDEX(rw_Cum,(ROW()-ROW(rw_LoadOrigin)-1),(COLUMN()-COLUMN(rw_LoadOrigin)-1))),"")</f>
        <v/>
      </c>
      <c r="AA53" s="60" t="str">
        <f aca="false">IFERROR(IF(INDEX(res_Name,(ROW()-ROW(rw_LoadOrigin)-1))="","",INDEX(rw_Cum,(ROW()-ROW(rw_LoadOrigin)-1),(COLUMN()-COLUMN(rw_LoadOrigin)-1)+1)-INDEX(rw_Cum,(ROW()-ROW(rw_LoadOrigin)-1),(COLUMN()-COLUMN(rw_LoadOrigin)-1))),"")</f>
        <v/>
      </c>
      <c r="AB53" s="60" t="str">
        <f aca="false">IFERROR(IF(INDEX(res_Name,(ROW()-ROW(rw_LoadOrigin)-1))="","",INDEX(rw_Cum,(ROW()-ROW(rw_LoadOrigin)-1),(COLUMN()-COLUMN(rw_LoadOrigin)-1)+1)-INDEX(rw_Cum,(ROW()-ROW(rw_LoadOrigin)-1),(COLUMN()-COLUMN(rw_LoadOrigin)-1))),"")</f>
        <v/>
      </c>
      <c r="AC53" s="60" t="str">
        <f aca="false">IFERROR(IF(INDEX(res_Name,(ROW()-ROW(rw_LoadOrigin)-1))="","",INDEX(rw_Cum,(ROW()-ROW(rw_LoadOrigin)-1),(COLUMN()-COLUMN(rw_LoadOrigin)-1)+1)-INDEX(rw_Cum,(ROW()-ROW(rw_LoadOrigin)-1),(COLUMN()-COLUMN(rw_LoadOrigin)-1))),"")</f>
        <v/>
      </c>
    </row>
    <row r="54" customFormat="false" ht="15" hidden="false" customHeight="false" outlineLevel="0" collapsed="false">
      <c r="B54" s="31" t="str">
        <f aca="false">IFERROR(INDEX(res_Name,(ROW()-ROW(rw_LoadOrigin)-1))&amp;"","")</f>
        <v/>
      </c>
      <c r="C54" s="59" t="str">
        <f aca="false">IFERROR(IF(INDEX(res_Name,(ROW()-ROW(rw_LoadOrigin)-1))="","",INDEX(res_MaxUnits,(ROW()-ROW(rw_LoadOrigin)-1))),"")</f>
        <v/>
      </c>
      <c r="D54" s="60" t="str">
        <f aca="false">IFERROR(IF(INDEX(res_Name,(ROW()-ROW(rw_LoadOrigin)-1))="","",INDEX(rw_Cum,(ROW()-ROW(rw_LoadOrigin)-1),(COLUMN()-COLUMN(rw_LoadOrigin)-1)+1)-INDEX(rw_Cum,(ROW()-ROW(rw_LoadOrigin)-1),(COLUMN()-COLUMN(rw_LoadOrigin)-1))),"")</f>
        <v/>
      </c>
      <c r="E54" s="60" t="str">
        <f aca="false">IFERROR(IF(INDEX(res_Name,(ROW()-ROW(rw_LoadOrigin)-1))="","",INDEX(rw_Cum,(ROW()-ROW(rw_LoadOrigin)-1),(COLUMN()-COLUMN(rw_LoadOrigin)-1)+1)-INDEX(rw_Cum,(ROW()-ROW(rw_LoadOrigin)-1),(COLUMN()-COLUMN(rw_LoadOrigin)-1))),"")</f>
        <v/>
      </c>
      <c r="F54" s="60" t="str">
        <f aca="false">IFERROR(IF(INDEX(res_Name,(ROW()-ROW(rw_LoadOrigin)-1))="","",INDEX(rw_Cum,(ROW()-ROW(rw_LoadOrigin)-1),(COLUMN()-COLUMN(rw_LoadOrigin)-1)+1)-INDEX(rw_Cum,(ROW()-ROW(rw_LoadOrigin)-1),(COLUMN()-COLUMN(rw_LoadOrigin)-1))),"")</f>
        <v/>
      </c>
      <c r="G54" s="60" t="str">
        <f aca="false">IFERROR(IF(INDEX(res_Name,(ROW()-ROW(rw_LoadOrigin)-1))="","",INDEX(rw_Cum,(ROW()-ROW(rw_LoadOrigin)-1),(COLUMN()-COLUMN(rw_LoadOrigin)-1)+1)-INDEX(rw_Cum,(ROW()-ROW(rw_LoadOrigin)-1),(COLUMN()-COLUMN(rw_LoadOrigin)-1))),"")</f>
        <v/>
      </c>
      <c r="H54" s="60" t="str">
        <f aca="false">IFERROR(IF(INDEX(res_Name,(ROW()-ROW(rw_LoadOrigin)-1))="","",INDEX(rw_Cum,(ROW()-ROW(rw_LoadOrigin)-1),(COLUMN()-COLUMN(rw_LoadOrigin)-1)+1)-INDEX(rw_Cum,(ROW()-ROW(rw_LoadOrigin)-1),(COLUMN()-COLUMN(rw_LoadOrigin)-1))),"")</f>
        <v/>
      </c>
      <c r="I54" s="60" t="str">
        <f aca="false">IFERROR(IF(INDEX(res_Name,(ROW()-ROW(rw_LoadOrigin)-1))="","",INDEX(rw_Cum,(ROW()-ROW(rw_LoadOrigin)-1),(COLUMN()-COLUMN(rw_LoadOrigin)-1)+1)-INDEX(rw_Cum,(ROW()-ROW(rw_LoadOrigin)-1),(COLUMN()-COLUMN(rw_LoadOrigin)-1))),"")</f>
        <v/>
      </c>
      <c r="J54" s="60" t="str">
        <f aca="false">IFERROR(IF(INDEX(res_Name,(ROW()-ROW(rw_LoadOrigin)-1))="","",INDEX(rw_Cum,(ROW()-ROW(rw_LoadOrigin)-1),(COLUMN()-COLUMN(rw_LoadOrigin)-1)+1)-INDEX(rw_Cum,(ROW()-ROW(rw_LoadOrigin)-1),(COLUMN()-COLUMN(rw_LoadOrigin)-1))),"")</f>
        <v/>
      </c>
      <c r="K54" s="60" t="str">
        <f aca="false">IFERROR(IF(INDEX(res_Name,(ROW()-ROW(rw_LoadOrigin)-1))="","",INDEX(rw_Cum,(ROW()-ROW(rw_LoadOrigin)-1),(COLUMN()-COLUMN(rw_LoadOrigin)-1)+1)-INDEX(rw_Cum,(ROW()-ROW(rw_LoadOrigin)-1),(COLUMN()-COLUMN(rw_LoadOrigin)-1))),"")</f>
        <v/>
      </c>
      <c r="L54" s="60" t="str">
        <f aca="false">IFERROR(IF(INDEX(res_Name,(ROW()-ROW(rw_LoadOrigin)-1))="","",INDEX(rw_Cum,(ROW()-ROW(rw_LoadOrigin)-1),(COLUMN()-COLUMN(rw_LoadOrigin)-1)+1)-INDEX(rw_Cum,(ROW()-ROW(rw_LoadOrigin)-1),(COLUMN()-COLUMN(rw_LoadOrigin)-1))),"")</f>
        <v/>
      </c>
      <c r="M54" s="60" t="str">
        <f aca="false">IFERROR(IF(INDEX(res_Name,(ROW()-ROW(rw_LoadOrigin)-1))="","",INDEX(rw_Cum,(ROW()-ROW(rw_LoadOrigin)-1),(COLUMN()-COLUMN(rw_LoadOrigin)-1)+1)-INDEX(rw_Cum,(ROW()-ROW(rw_LoadOrigin)-1),(COLUMN()-COLUMN(rw_LoadOrigin)-1))),"")</f>
        <v/>
      </c>
      <c r="N54" s="60" t="str">
        <f aca="false">IFERROR(IF(INDEX(res_Name,(ROW()-ROW(rw_LoadOrigin)-1))="","",INDEX(rw_Cum,(ROW()-ROW(rw_LoadOrigin)-1),(COLUMN()-COLUMN(rw_LoadOrigin)-1)+1)-INDEX(rw_Cum,(ROW()-ROW(rw_LoadOrigin)-1),(COLUMN()-COLUMN(rw_LoadOrigin)-1))),"")</f>
        <v/>
      </c>
      <c r="O54" s="60" t="str">
        <f aca="false">IFERROR(IF(INDEX(res_Name,(ROW()-ROW(rw_LoadOrigin)-1))="","",INDEX(rw_Cum,(ROW()-ROW(rw_LoadOrigin)-1),(COLUMN()-COLUMN(rw_LoadOrigin)-1)+1)-INDEX(rw_Cum,(ROW()-ROW(rw_LoadOrigin)-1),(COLUMN()-COLUMN(rw_LoadOrigin)-1))),"")</f>
        <v/>
      </c>
      <c r="P54" s="60" t="str">
        <f aca="false">IFERROR(IF(INDEX(res_Name,(ROW()-ROW(rw_LoadOrigin)-1))="","",INDEX(rw_Cum,(ROW()-ROW(rw_LoadOrigin)-1),(COLUMN()-COLUMN(rw_LoadOrigin)-1)+1)-INDEX(rw_Cum,(ROW()-ROW(rw_LoadOrigin)-1),(COLUMN()-COLUMN(rw_LoadOrigin)-1))),"")</f>
        <v/>
      </c>
      <c r="Q54" s="60" t="str">
        <f aca="false">IFERROR(IF(INDEX(res_Name,(ROW()-ROW(rw_LoadOrigin)-1))="","",INDEX(rw_Cum,(ROW()-ROW(rw_LoadOrigin)-1),(COLUMN()-COLUMN(rw_LoadOrigin)-1)+1)-INDEX(rw_Cum,(ROW()-ROW(rw_LoadOrigin)-1),(COLUMN()-COLUMN(rw_LoadOrigin)-1))),"")</f>
        <v/>
      </c>
      <c r="R54" s="60" t="str">
        <f aca="false">IFERROR(IF(INDEX(res_Name,(ROW()-ROW(rw_LoadOrigin)-1))="","",INDEX(rw_Cum,(ROW()-ROW(rw_LoadOrigin)-1),(COLUMN()-COLUMN(rw_LoadOrigin)-1)+1)-INDEX(rw_Cum,(ROW()-ROW(rw_LoadOrigin)-1),(COLUMN()-COLUMN(rw_LoadOrigin)-1))),"")</f>
        <v/>
      </c>
      <c r="S54" s="60" t="str">
        <f aca="false">IFERROR(IF(INDEX(res_Name,(ROW()-ROW(rw_LoadOrigin)-1))="","",INDEX(rw_Cum,(ROW()-ROW(rw_LoadOrigin)-1),(COLUMN()-COLUMN(rw_LoadOrigin)-1)+1)-INDEX(rw_Cum,(ROW()-ROW(rw_LoadOrigin)-1),(COLUMN()-COLUMN(rw_LoadOrigin)-1))),"")</f>
        <v/>
      </c>
      <c r="T54" s="60" t="str">
        <f aca="false">IFERROR(IF(INDEX(res_Name,(ROW()-ROW(rw_LoadOrigin)-1))="","",INDEX(rw_Cum,(ROW()-ROW(rw_LoadOrigin)-1),(COLUMN()-COLUMN(rw_LoadOrigin)-1)+1)-INDEX(rw_Cum,(ROW()-ROW(rw_LoadOrigin)-1),(COLUMN()-COLUMN(rw_LoadOrigin)-1))),"")</f>
        <v/>
      </c>
      <c r="U54" s="60" t="str">
        <f aca="false">IFERROR(IF(INDEX(res_Name,(ROW()-ROW(rw_LoadOrigin)-1))="","",INDEX(rw_Cum,(ROW()-ROW(rw_LoadOrigin)-1),(COLUMN()-COLUMN(rw_LoadOrigin)-1)+1)-INDEX(rw_Cum,(ROW()-ROW(rw_LoadOrigin)-1),(COLUMN()-COLUMN(rw_LoadOrigin)-1))),"")</f>
        <v/>
      </c>
      <c r="V54" s="60" t="str">
        <f aca="false">IFERROR(IF(INDEX(res_Name,(ROW()-ROW(rw_LoadOrigin)-1))="","",INDEX(rw_Cum,(ROW()-ROW(rw_LoadOrigin)-1),(COLUMN()-COLUMN(rw_LoadOrigin)-1)+1)-INDEX(rw_Cum,(ROW()-ROW(rw_LoadOrigin)-1),(COLUMN()-COLUMN(rw_LoadOrigin)-1))),"")</f>
        <v/>
      </c>
      <c r="W54" s="60" t="str">
        <f aca="false">IFERROR(IF(INDEX(res_Name,(ROW()-ROW(rw_LoadOrigin)-1))="","",INDEX(rw_Cum,(ROW()-ROW(rw_LoadOrigin)-1),(COLUMN()-COLUMN(rw_LoadOrigin)-1)+1)-INDEX(rw_Cum,(ROW()-ROW(rw_LoadOrigin)-1),(COLUMN()-COLUMN(rw_LoadOrigin)-1))),"")</f>
        <v/>
      </c>
      <c r="X54" s="60" t="str">
        <f aca="false">IFERROR(IF(INDEX(res_Name,(ROW()-ROW(rw_LoadOrigin)-1))="","",INDEX(rw_Cum,(ROW()-ROW(rw_LoadOrigin)-1),(COLUMN()-COLUMN(rw_LoadOrigin)-1)+1)-INDEX(rw_Cum,(ROW()-ROW(rw_LoadOrigin)-1),(COLUMN()-COLUMN(rw_LoadOrigin)-1))),"")</f>
        <v/>
      </c>
      <c r="Y54" s="60" t="str">
        <f aca="false">IFERROR(IF(INDEX(res_Name,(ROW()-ROW(rw_LoadOrigin)-1))="","",INDEX(rw_Cum,(ROW()-ROW(rw_LoadOrigin)-1),(COLUMN()-COLUMN(rw_LoadOrigin)-1)+1)-INDEX(rw_Cum,(ROW()-ROW(rw_LoadOrigin)-1),(COLUMN()-COLUMN(rw_LoadOrigin)-1))),"")</f>
        <v/>
      </c>
      <c r="Z54" s="60" t="str">
        <f aca="false">IFERROR(IF(INDEX(res_Name,(ROW()-ROW(rw_LoadOrigin)-1))="","",INDEX(rw_Cum,(ROW()-ROW(rw_LoadOrigin)-1),(COLUMN()-COLUMN(rw_LoadOrigin)-1)+1)-INDEX(rw_Cum,(ROW()-ROW(rw_LoadOrigin)-1),(COLUMN()-COLUMN(rw_LoadOrigin)-1))),"")</f>
        <v/>
      </c>
      <c r="AA54" s="60" t="str">
        <f aca="false">IFERROR(IF(INDEX(res_Name,(ROW()-ROW(rw_LoadOrigin)-1))="","",INDEX(rw_Cum,(ROW()-ROW(rw_LoadOrigin)-1),(COLUMN()-COLUMN(rw_LoadOrigin)-1)+1)-INDEX(rw_Cum,(ROW()-ROW(rw_LoadOrigin)-1),(COLUMN()-COLUMN(rw_LoadOrigin)-1))),"")</f>
        <v/>
      </c>
      <c r="AB54" s="60" t="str">
        <f aca="false">IFERROR(IF(INDEX(res_Name,(ROW()-ROW(rw_LoadOrigin)-1))="","",INDEX(rw_Cum,(ROW()-ROW(rw_LoadOrigin)-1),(COLUMN()-COLUMN(rw_LoadOrigin)-1)+1)-INDEX(rw_Cum,(ROW()-ROW(rw_LoadOrigin)-1),(COLUMN()-COLUMN(rw_LoadOrigin)-1))),"")</f>
        <v/>
      </c>
      <c r="AC54" s="60" t="str">
        <f aca="false">IFERROR(IF(INDEX(res_Name,(ROW()-ROW(rw_LoadOrigin)-1))="","",INDEX(rw_Cum,(ROW()-ROW(rw_LoadOrigin)-1),(COLUMN()-COLUMN(rw_LoadOrigin)-1)+1)-INDEX(rw_Cum,(ROW()-ROW(rw_LoadOrigin)-1),(COLUMN()-COLUMN(rw_LoadOrigin)-1))),"")</f>
        <v/>
      </c>
    </row>
    <row r="55" customFormat="false" ht="15" hidden="false" customHeight="false" outlineLevel="0" collapsed="false">
      <c r="B55" s="31" t="str">
        <f aca="false">IFERROR(INDEX(res_Name,(ROW()-ROW(rw_LoadOrigin)-1))&amp;"","")</f>
        <v/>
      </c>
      <c r="C55" s="59" t="str">
        <f aca="false">IFERROR(IF(INDEX(res_Name,(ROW()-ROW(rw_LoadOrigin)-1))="","",INDEX(res_MaxUnits,(ROW()-ROW(rw_LoadOrigin)-1))),"")</f>
        <v/>
      </c>
      <c r="D55" s="60" t="str">
        <f aca="false">IFERROR(IF(INDEX(res_Name,(ROW()-ROW(rw_LoadOrigin)-1))="","",INDEX(rw_Cum,(ROW()-ROW(rw_LoadOrigin)-1),(COLUMN()-COLUMN(rw_LoadOrigin)-1)+1)-INDEX(rw_Cum,(ROW()-ROW(rw_LoadOrigin)-1),(COLUMN()-COLUMN(rw_LoadOrigin)-1))),"")</f>
        <v/>
      </c>
      <c r="E55" s="60" t="str">
        <f aca="false">IFERROR(IF(INDEX(res_Name,(ROW()-ROW(rw_LoadOrigin)-1))="","",INDEX(rw_Cum,(ROW()-ROW(rw_LoadOrigin)-1),(COLUMN()-COLUMN(rw_LoadOrigin)-1)+1)-INDEX(rw_Cum,(ROW()-ROW(rw_LoadOrigin)-1),(COLUMN()-COLUMN(rw_LoadOrigin)-1))),"")</f>
        <v/>
      </c>
      <c r="F55" s="60" t="str">
        <f aca="false">IFERROR(IF(INDEX(res_Name,(ROW()-ROW(rw_LoadOrigin)-1))="","",INDEX(rw_Cum,(ROW()-ROW(rw_LoadOrigin)-1),(COLUMN()-COLUMN(rw_LoadOrigin)-1)+1)-INDEX(rw_Cum,(ROW()-ROW(rw_LoadOrigin)-1),(COLUMN()-COLUMN(rw_LoadOrigin)-1))),"")</f>
        <v/>
      </c>
      <c r="G55" s="60" t="str">
        <f aca="false">IFERROR(IF(INDEX(res_Name,(ROW()-ROW(rw_LoadOrigin)-1))="","",INDEX(rw_Cum,(ROW()-ROW(rw_LoadOrigin)-1),(COLUMN()-COLUMN(rw_LoadOrigin)-1)+1)-INDEX(rw_Cum,(ROW()-ROW(rw_LoadOrigin)-1),(COLUMN()-COLUMN(rw_LoadOrigin)-1))),"")</f>
        <v/>
      </c>
      <c r="H55" s="60" t="str">
        <f aca="false">IFERROR(IF(INDEX(res_Name,(ROW()-ROW(rw_LoadOrigin)-1))="","",INDEX(rw_Cum,(ROW()-ROW(rw_LoadOrigin)-1),(COLUMN()-COLUMN(rw_LoadOrigin)-1)+1)-INDEX(rw_Cum,(ROW()-ROW(rw_LoadOrigin)-1),(COLUMN()-COLUMN(rw_LoadOrigin)-1))),"")</f>
        <v/>
      </c>
      <c r="I55" s="60" t="str">
        <f aca="false">IFERROR(IF(INDEX(res_Name,(ROW()-ROW(rw_LoadOrigin)-1))="","",INDEX(rw_Cum,(ROW()-ROW(rw_LoadOrigin)-1),(COLUMN()-COLUMN(rw_LoadOrigin)-1)+1)-INDEX(rw_Cum,(ROW()-ROW(rw_LoadOrigin)-1),(COLUMN()-COLUMN(rw_LoadOrigin)-1))),"")</f>
        <v/>
      </c>
      <c r="J55" s="60" t="str">
        <f aca="false">IFERROR(IF(INDEX(res_Name,(ROW()-ROW(rw_LoadOrigin)-1))="","",INDEX(rw_Cum,(ROW()-ROW(rw_LoadOrigin)-1),(COLUMN()-COLUMN(rw_LoadOrigin)-1)+1)-INDEX(rw_Cum,(ROW()-ROW(rw_LoadOrigin)-1),(COLUMN()-COLUMN(rw_LoadOrigin)-1))),"")</f>
        <v/>
      </c>
      <c r="K55" s="60" t="str">
        <f aca="false">IFERROR(IF(INDEX(res_Name,(ROW()-ROW(rw_LoadOrigin)-1))="","",INDEX(rw_Cum,(ROW()-ROW(rw_LoadOrigin)-1),(COLUMN()-COLUMN(rw_LoadOrigin)-1)+1)-INDEX(rw_Cum,(ROW()-ROW(rw_LoadOrigin)-1),(COLUMN()-COLUMN(rw_LoadOrigin)-1))),"")</f>
        <v/>
      </c>
      <c r="L55" s="60" t="str">
        <f aca="false">IFERROR(IF(INDEX(res_Name,(ROW()-ROW(rw_LoadOrigin)-1))="","",INDEX(rw_Cum,(ROW()-ROW(rw_LoadOrigin)-1),(COLUMN()-COLUMN(rw_LoadOrigin)-1)+1)-INDEX(rw_Cum,(ROW()-ROW(rw_LoadOrigin)-1),(COLUMN()-COLUMN(rw_LoadOrigin)-1))),"")</f>
        <v/>
      </c>
      <c r="M55" s="60" t="str">
        <f aca="false">IFERROR(IF(INDEX(res_Name,(ROW()-ROW(rw_LoadOrigin)-1))="","",INDEX(rw_Cum,(ROW()-ROW(rw_LoadOrigin)-1),(COLUMN()-COLUMN(rw_LoadOrigin)-1)+1)-INDEX(rw_Cum,(ROW()-ROW(rw_LoadOrigin)-1),(COLUMN()-COLUMN(rw_LoadOrigin)-1))),"")</f>
        <v/>
      </c>
      <c r="N55" s="60" t="str">
        <f aca="false">IFERROR(IF(INDEX(res_Name,(ROW()-ROW(rw_LoadOrigin)-1))="","",INDEX(rw_Cum,(ROW()-ROW(rw_LoadOrigin)-1),(COLUMN()-COLUMN(rw_LoadOrigin)-1)+1)-INDEX(rw_Cum,(ROW()-ROW(rw_LoadOrigin)-1),(COLUMN()-COLUMN(rw_LoadOrigin)-1))),"")</f>
        <v/>
      </c>
      <c r="O55" s="60" t="str">
        <f aca="false">IFERROR(IF(INDEX(res_Name,(ROW()-ROW(rw_LoadOrigin)-1))="","",INDEX(rw_Cum,(ROW()-ROW(rw_LoadOrigin)-1),(COLUMN()-COLUMN(rw_LoadOrigin)-1)+1)-INDEX(rw_Cum,(ROW()-ROW(rw_LoadOrigin)-1),(COLUMN()-COLUMN(rw_LoadOrigin)-1))),"")</f>
        <v/>
      </c>
      <c r="P55" s="60" t="str">
        <f aca="false">IFERROR(IF(INDEX(res_Name,(ROW()-ROW(rw_LoadOrigin)-1))="","",INDEX(rw_Cum,(ROW()-ROW(rw_LoadOrigin)-1),(COLUMN()-COLUMN(rw_LoadOrigin)-1)+1)-INDEX(rw_Cum,(ROW()-ROW(rw_LoadOrigin)-1),(COLUMN()-COLUMN(rw_LoadOrigin)-1))),"")</f>
        <v/>
      </c>
      <c r="Q55" s="60" t="str">
        <f aca="false">IFERROR(IF(INDEX(res_Name,(ROW()-ROW(rw_LoadOrigin)-1))="","",INDEX(rw_Cum,(ROW()-ROW(rw_LoadOrigin)-1),(COLUMN()-COLUMN(rw_LoadOrigin)-1)+1)-INDEX(rw_Cum,(ROW()-ROW(rw_LoadOrigin)-1),(COLUMN()-COLUMN(rw_LoadOrigin)-1))),"")</f>
        <v/>
      </c>
      <c r="R55" s="60" t="str">
        <f aca="false">IFERROR(IF(INDEX(res_Name,(ROW()-ROW(rw_LoadOrigin)-1))="","",INDEX(rw_Cum,(ROW()-ROW(rw_LoadOrigin)-1),(COLUMN()-COLUMN(rw_LoadOrigin)-1)+1)-INDEX(rw_Cum,(ROW()-ROW(rw_LoadOrigin)-1),(COLUMN()-COLUMN(rw_LoadOrigin)-1))),"")</f>
        <v/>
      </c>
      <c r="S55" s="60" t="str">
        <f aca="false">IFERROR(IF(INDEX(res_Name,(ROW()-ROW(rw_LoadOrigin)-1))="","",INDEX(rw_Cum,(ROW()-ROW(rw_LoadOrigin)-1),(COLUMN()-COLUMN(rw_LoadOrigin)-1)+1)-INDEX(rw_Cum,(ROW()-ROW(rw_LoadOrigin)-1),(COLUMN()-COLUMN(rw_LoadOrigin)-1))),"")</f>
        <v/>
      </c>
      <c r="T55" s="60" t="str">
        <f aca="false">IFERROR(IF(INDEX(res_Name,(ROW()-ROW(rw_LoadOrigin)-1))="","",INDEX(rw_Cum,(ROW()-ROW(rw_LoadOrigin)-1),(COLUMN()-COLUMN(rw_LoadOrigin)-1)+1)-INDEX(rw_Cum,(ROW()-ROW(rw_LoadOrigin)-1),(COLUMN()-COLUMN(rw_LoadOrigin)-1))),"")</f>
        <v/>
      </c>
      <c r="U55" s="60" t="str">
        <f aca="false">IFERROR(IF(INDEX(res_Name,(ROW()-ROW(rw_LoadOrigin)-1))="","",INDEX(rw_Cum,(ROW()-ROW(rw_LoadOrigin)-1),(COLUMN()-COLUMN(rw_LoadOrigin)-1)+1)-INDEX(rw_Cum,(ROW()-ROW(rw_LoadOrigin)-1),(COLUMN()-COLUMN(rw_LoadOrigin)-1))),"")</f>
        <v/>
      </c>
      <c r="V55" s="60" t="str">
        <f aca="false">IFERROR(IF(INDEX(res_Name,(ROW()-ROW(rw_LoadOrigin)-1))="","",INDEX(rw_Cum,(ROW()-ROW(rw_LoadOrigin)-1),(COLUMN()-COLUMN(rw_LoadOrigin)-1)+1)-INDEX(rw_Cum,(ROW()-ROW(rw_LoadOrigin)-1),(COLUMN()-COLUMN(rw_LoadOrigin)-1))),"")</f>
        <v/>
      </c>
      <c r="W55" s="60" t="str">
        <f aca="false">IFERROR(IF(INDEX(res_Name,(ROW()-ROW(rw_LoadOrigin)-1))="","",INDEX(rw_Cum,(ROW()-ROW(rw_LoadOrigin)-1),(COLUMN()-COLUMN(rw_LoadOrigin)-1)+1)-INDEX(rw_Cum,(ROW()-ROW(rw_LoadOrigin)-1),(COLUMN()-COLUMN(rw_LoadOrigin)-1))),"")</f>
        <v/>
      </c>
      <c r="X55" s="60" t="str">
        <f aca="false">IFERROR(IF(INDEX(res_Name,(ROW()-ROW(rw_LoadOrigin)-1))="","",INDEX(rw_Cum,(ROW()-ROW(rw_LoadOrigin)-1),(COLUMN()-COLUMN(rw_LoadOrigin)-1)+1)-INDEX(rw_Cum,(ROW()-ROW(rw_LoadOrigin)-1),(COLUMN()-COLUMN(rw_LoadOrigin)-1))),"")</f>
        <v/>
      </c>
      <c r="Y55" s="60" t="str">
        <f aca="false">IFERROR(IF(INDEX(res_Name,(ROW()-ROW(rw_LoadOrigin)-1))="","",INDEX(rw_Cum,(ROW()-ROW(rw_LoadOrigin)-1),(COLUMN()-COLUMN(rw_LoadOrigin)-1)+1)-INDEX(rw_Cum,(ROW()-ROW(rw_LoadOrigin)-1),(COLUMN()-COLUMN(rw_LoadOrigin)-1))),"")</f>
        <v/>
      </c>
      <c r="Z55" s="60" t="str">
        <f aca="false">IFERROR(IF(INDEX(res_Name,(ROW()-ROW(rw_LoadOrigin)-1))="","",INDEX(rw_Cum,(ROW()-ROW(rw_LoadOrigin)-1),(COLUMN()-COLUMN(rw_LoadOrigin)-1)+1)-INDEX(rw_Cum,(ROW()-ROW(rw_LoadOrigin)-1),(COLUMN()-COLUMN(rw_LoadOrigin)-1))),"")</f>
        <v/>
      </c>
      <c r="AA55" s="60" t="str">
        <f aca="false">IFERROR(IF(INDEX(res_Name,(ROW()-ROW(rw_LoadOrigin)-1))="","",INDEX(rw_Cum,(ROW()-ROW(rw_LoadOrigin)-1),(COLUMN()-COLUMN(rw_LoadOrigin)-1)+1)-INDEX(rw_Cum,(ROW()-ROW(rw_LoadOrigin)-1),(COLUMN()-COLUMN(rw_LoadOrigin)-1))),"")</f>
        <v/>
      </c>
      <c r="AB55" s="60" t="str">
        <f aca="false">IFERROR(IF(INDEX(res_Name,(ROW()-ROW(rw_LoadOrigin)-1))="","",INDEX(rw_Cum,(ROW()-ROW(rw_LoadOrigin)-1),(COLUMN()-COLUMN(rw_LoadOrigin)-1)+1)-INDEX(rw_Cum,(ROW()-ROW(rw_LoadOrigin)-1),(COLUMN()-COLUMN(rw_LoadOrigin)-1))),"")</f>
        <v/>
      </c>
      <c r="AC55" s="60" t="str">
        <f aca="false">IFERROR(IF(INDEX(res_Name,(ROW()-ROW(rw_LoadOrigin)-1))="","",INDEX(rw_Cum,(ROW()-ROW(rw_LoadOrigin)-1),(COLUMN()-COLUMN(rw_LoadOrigin)-1)+1)-INDEX(rw_Cum,(ROW()-ROW(rw_LoadOrigin)-1),(COLUMN()-COLUMN(rw_LoadOrigin)-1))),"")</f>
        <v/>
      </c>
    </row>
    <row r="56" customFormat="false" ht="15" hidden="false" customHeight="false" outlineLevel="0" collapsed="false">
      <c r="B56" s="31" t="str">
        <f aca="false">IFERROR(INDEX(res_Name,(ROW()-ROW(rw_LoadOrigin)-1))&amp;"","")</f>
        <v/>
      </c>
      <c r="C56" s="59" t="str">
        <f aca="false">IFERROR(IF(INDEX(res_Name,(ROW()-ROW(rw_LoadOrigin)-1))="","",INDEX(res_MaxUnits,(ROW()-ROW(rw_LoadOrigin)-1))),"")</f>
        <v/>
      </c>
      <c r="D56" s="60" t="str">
        <f aca="false">IFERROR(IF(INDEX(res_Name,(ROW()-ROW(rw_LoadOrigin)-1))="","",INDEX(rw_Cum,(ROW()-ROW(rw_LoadOrigin)-1),(COLUMN()-COLUMN(rw_LoadOrigin)-1)+1)-INDEX(rw_Cum,(ROW()-ROW(rw_LoadOrigin)-1),(COLUMN()-COLUMN(rw_LoadOrigin)-1))),"")</f>
        <v/>
      </c>
      <c r="E56" s="60" t="str">
        <f aca="false">IFERROR(IF(INDEX(res_Name,(ROW()-ROW(rw_LoadOrigin)-1))="","",INDEX(rw_Cum,(ROW()-ROW(rw_LoadOrigin)-1),(COLUMN()-COLUMN(rw_LoadOrigin)-1)+1)-INDEX(rw_Cum,(ROW()-ROW(rw_LoadOrigin)-1),(COLUMN()-COLUMN(rw_LoadOrigin)-1))),"")</f>
        <v/>
      </c>
      <c r="F56" s="60" t="str">
        <f aca="false">IFERROR(IF(INDEX(res_Name,(ROW()-ROW(rw_LoadOrigin)-1))="","",INDEX(rw_Cum,(ROW()-ROW(rw_LoadOrigin)-1),(COLUMN()-COLUMN(rw_LoadOrigin)-1)+1)-INDEX(rw_Cum,(ROW()-ROW(rw_LoadOrigin)-1),(COLUMN()-COLUMN(rw_LoadOrigin)-1))),"")</f>
        <v/>
      </c>
      <c r="G56" s="60" t="str">
        <f aca="false">IFERROR(IF(INDEX(res_Name,(ROW()-ROW(rw_LoadOrigin)-1))="","",INDEX(rw_Cum,(ROW()-ROW(rw_LoadOrigin)-1),(COLUMN()-COLUMN(rw_LoadOrigin)-1)+1)-INDEX(rw_Cum,(ROW()-ROW(rw_LoadOrigin)-1),(COLUMN()-COLUMN(rw_LoadOrigin)-1))),"")</f>
        <v/>
      </c>
      <c r="H56" s="60" t="str">
        <f aca="false">IFERROR(IF(INDEX(res_Name,(ROW()-ROW(rw_LoadOrigin)-1))="","",INDEX(rw_Cum,(ROW()-ROW(rw_LoadOrigin)-1),(COLUMN()-COLUMN(rw_LoadOrigin)-1)+1)-INDEX(rw_Cum,(ROW()-ROW(rw_LoadOrigin)-1),(COLUMN()-COLUMN(rw_LoadOrigin)-1))),"")</f>
        <v/>
      </c>
      <c r="I56" s="60" t="str">
        <f aca="false">IFERROR(IF(INDEX(res_Name,(ROW()-ROW(rw_LoadOrigin)-1))="","",INDEX(rw_Cum,(ROW()-ROW(rw_LoadOrigin)-1),(COLUMN()-COLUMN(rw_LoadOrigin)-1)+1)-INDEX(rw_Cum,(ROW()-ROW(rw_LoadOrigin)-1),(COLUMN()-COLUMN(rw_LoadOrigin)-1))),"")</f>
        <v/>
      </c>
      <c r="J56" s="60" t="str">
        <f aca="false">IFERROR(IF(INDEX(res_Name,(ROW()-ROW(rw_LoadOrigin)-1))="","",INDEX(rw_Cum,(ROW()-ROW(rw_LoadOrigin)-1),(COLUMN()-COLUMN(rw_LoadOrigin)-1)+1)-INDEX(rw_Cum,(ROW()-ROW(rw_LoadOrigin)-1),(COLUMN()-COLUMN(rw_LoadOrigin)-1))),"")</f>
        <v/>
      </c>
      <c r="K56" s="60" t="str">
        <f aca="false">IFERROR(IF(INDEX(res_Name,(ROW()-ROW(rw_LoadOrigin)-1))="","",INDEX(rw_Cum,(ROW()-ROW(rw_LoadOrigin)-1),(COLUMN()-COLUMN(rw_LoadOrigin)-1)+1)-INDEX(rw_Cum,(ROW()-ROW(rw_LoadOrigin)-1),(COLUMN()-COLUMN(rw_LoadOrigin)-1))),"")</f>
        <v/>
      </c>
      <c r="L56" s="60" t="str">
        <f aca="false">IFERROR(IF(INDEX(res_Name,(ROW()-ROW(rw_LoadOrigin)-1))="","",INDEX(rw_Cum,(ROW()-ROW(rw_LoadOrigin)-1),(COLUMN()-COLUMN(rw_LoadOrigin)-1)+1)-INDEX(rw_Cum,(ROW()-ROW(rw_LoadOrigin)-1),(COLUMN()-COLUMN(rw_LoadOrigin)-1))),"")</f>
        <v/>
      </c>
      <c r="M56" s="60" t="str">
        <f aca="false">IFERROR(IF(INDEX(res_Name,(ROW()-ROW(rw_LoadOrigin)-1))="","",INDEX(rw_Cum,(ROW()-ROW(rw_LoadOrigin)-1),(COLUMN()-COLUMN(rw_LoadOrigin)-1)+1)-INDEX(rw_Cum,(ROW()-ROW(rw_LoadOrigin)-1),(COLUMN()-COLUMN(rw_LoadOrigin)-1))),"")</f>
        <v/>
      </c>
      <c r="N56" s="60" t="str">
        <f aca="false">IFERROR(IF(INDEX(res_Name,(ROW()-ROW(rw_LoadOrigin)-1))="","",INDEX(rw_Cum,(ROW()-ROW(rw_LoadOrigin)-1),(COLUMN()-COLUMN(rw_LoadOrigin)-1)+1)-INDEX(rw_Cum,(ROW()-ROW(rw_LoadOrigin)-1),(COLUMN()-COLUMN(rw_LoadOrigin)-1))),"")</f>
        <v/>
      </c>
      <c r="O56" s="60" t="str">
        <f aca="false">IFERROR(IF(INDEX(res_Name,(ROW()-ROW(rw_LoadOrigin)-1))="","",INDEX(rw_Cum,(ROW()-ROW(rw_LoadOrigin)-1),(COLUMN()-COLUMN(rw_LoadOrigin)-1)+1)-INDEX(rw_Cum,(ROW()-ROW(rw_LoadOrigin)-1),(COLUMN()-COLUMN(rw_LoadOrigin)-1))),"")</f>
        <v/>
      </c>
      <c r="P56" s="60" t="str">
        <f aca="false">IFERROR(IF(INDEX(res_Name,(ROW()-ROW(rw_LoadOrigin)-1))="","",INDEX(rw_Cum,(ROW()-ROW(rw_LoadOrigin)-1),(COLUMN()-COLUMN(rw_LoadOrigin)-1)+1)-INDEX(rw_Cum,(ROW()-ROW(rw_LoadOrigin)-1),(COLUMN()-COLUMN(rw_LoadOrigin)-1))),"")</f>
        <v/>
      </c>
      <c r="Q56" s="60" t="str">
        <f aca="false">IFERROR(IF(INDEX(res_Name,(ROW()-ROW(rw_LoadOrigin)-1))="","",INDEX(rw_Cum,(ROW()-ROW(rw_LoadOrigin)-1),(COLUMN()-COLUMN(rw_LoadOrigin)-1)+1)-INDEX(rw_Cum,(ROW()-ROW(rw_LoadOrigin)-1),(COLUMN()-COLUMN(rw_LoadOrigin)-1))),"")</f>
        <v/>
      </c>
      <c r="R56" s="60" t="str">
        <f aca="false">IFERROR(IF(INDEX(res_Name,(ROW()-ROW(rw_LoadOrigin)-1))="","",INDEX(rw_Cum,(ROW()-ROW(rw_LoadOrigin)-1),(COLUMN()-COLUMN(rw_LoadOrigin)-1)+1)-INDEX(rw_Cum,(ROW()-ROW(rw_LoadOrigin)-1),(COLUMN()-COLUMN(rw_LoadOrigin)-1))),"")</f>
        <v/>
      </c>
      <c r="S56" s="60" t="str">
        <f aca="false">IFERROR(IF(INDEX(res_Name,(ROW()-ROW(rw_LoadOrigin)-1))="","",INDEX(rw_Cum,(ROW()-ROW(rw_LoadOrigin)-1),(COLUMN()-COLUMN(rw_LoadOrigin)-1)+1)-INDEX(rw_Cum,(ROW()-ROW(rw_LoadOrigin)-1),(COLUMN()-COLUMN(rw_LoadOrigin)-1))),"")</f>
        <v/>
      </c>
      <c r="T56" s="60" t="str">
        <f aca="false">IFERROR(IF(INDEX(res_Name,(ROW()-ROW(rw_LoadOrigin)-1))="","",INDEX(rw_Cum,(ROW()-ROW(rw_LoadOrigin)-1),(COLUMN()-COLUMN(rw_LoadOrigin)-1)+1)-INDEX(rw_Cum,(ROW()-ROW(rw_LoadOrigin)-1),(COLUMN()-COLUMN(rw_LoadOrigin)-1))),"")</f>
        <v/>
      </c>
      <c r="U56" s="60" t="str">
        <f aca="false">IFERROR(IF(INDEX(res_Name,(ROW()-ROW(rw_LoadOrigin)-1))="","",INDEX(rw_Cum,(ROW()-ROW(rw_LoadOrigin)-1),(COLUMN()-COLUMN(rw_LoadOrigin)-1)+1)-INDEX(rw_Cum,(ROW()-ROW(rw_LoadOrigin)-1),(COLUMN()-COLUMN(rw_LoadOrigin)-1))),"")</f>
        <v/>
      </c>
      <c r="V56" s="60" t="str">
        <f aca="false">IFERROR(IF(INDEX(res_Name,(ROW()-ROW(rw_LoadOrigin)-1))="","",INDEX(rw_Cum,(ROW()-ROW(rw_LoadOrigin)-1),(COLUMN()-COLUMN(rw_LoadOrigin)-1)+1)-INDEX(rw_Cum,(ROW()-ROW(rw_LoadOrigin)-1),(COLUMN()-COLUMN(rw_LoadOrigin)-1))),"")</f>
        <v/>
      </c>
      <c r="W56" s="60" t="str">
        <f aca="false">IFERROR(IF(INDEX(res_Name,(ROW()-ROW(rw_LoadOrigin)-1))="","",INDEX(rw_Cum,(ROW()-ROW(rw_LoadOrigin)-1),(COLUMN()-COLUMN(rw_LoadOrigin)-1)+1)-INDEX(rw_Cum,(ROW()-ROW(rw_LoadOrigin)-1),(COLUMN()-COLUMN(rw_LoadOrigin)-1))),"")</f>
        <v/>
      </c>
      <c r="X56" s="60" t="str">
        <f aca="false">IFERROR(IF(INDEX(res_Name,(ROW()-ROW(rw_LoadOrigin)-1))="","",INDEX(rw_Cum,(ROW()-ROW(rw_LoadOrigin)-1),(COLUMN()-COLUMN(rw_LoadOrigin)-1)+1)-INDEX(rw_Cum,(ROW()-ROW(rw_LoadOrigin)-1),(COLUMN()-COLUMN(rw_LoadOrigin)-1))),"")</f>
        <v/>
      </c>
      <c r="Y56" s="60" t="str">
        <f aca="false">IFERROR(IF(INDEX(res_Name,(ROW()-ROW(rw_LoadOrigin)-1))="","",INDEX(rw_Cum,(ROW()-ROW(rw_LoadOrigin)-1),(COLUMN()-COLUMN(rw_LoadOrigin)-1)+1)-INDEX(rw_Cum,(ROW()-ROW(rw_LoadOrigin)-1),(COLUMN()-COLUMN(rw_LoadOrigin)-1))),"")</f>
        <v/>
      </c>
      <c r="Z56" s="60" t="str">
        <f aca="false">IFERROR(IF(INDEX(res_Name,(ROW()-ROW(rw_LoadOrigin)-1))="","",INDEX(rw_Cum,(ROW()-ROW(rw_LoadOrigin)-1),(COLUMN()-COLUMN(rw_LoadOrigin)-1)+1)-INDEX(rw_Cum,(ROW()-ROW(rw_LoadOrigin)-1),(COLUMN()-COLUMN(rw_LoadOrigin)-1))),"")</f>
        <v/>
      </c>
      <c r="AA56" s="60" t="str">
        <f aca="false">IFERROR(IF(INDEX(res_Name,(ROW()-ROW(rw_LoadOrigin)-1))="","",INDEX(rw_Cum,(ROW()-ROW(rw_LoadOrigin)-1),(COLUMN()-COLUMN(rw_LoadOrigin)-1)+1)-INDEX(rw_Cum,(ROW()-ROW(rw_LoadOrigin)-1),(COLUMN()-COLUMN(rw_LoadOrigin)-1))),"")</f>
        <v/>
      </c>
      <c r="AB56" s="60" t="str">
        <f aca="false">IFERROR(IF(INDEX(res_Name,(ROW()-ROW(rw_LoadOrigin)-1))="","",INDEX(rw_Cum,(ROW()-ROW(rw_LoadOrigin)-1),(COLUMN()-COLUMN(rw_LoadOrigin)-1)+1)-INDEX(rw_Cum,(ROW()-ROW(rw_LoadOrigin)-1),(COLUMN()-COLUMN(rw_LoadOrigin)-1))),"")</f>
        <v/>
      </c>
      <c r="AC56" s="60" t="str">
        <f aca="false">IFERROR(IF(INDEX(res_Name,(ROW()-ROW(rw_LoadOrigin)-1))="","",INDEX(rw_Cum,(ROW()-ROW(rw_LoadOrigin)-1),(COLUMN()-COLUMN(rw_LoadOrigin)-1)+1)-INDEX(rw_Cum,(ROW()-ROW(rw_LoadOrigin)-1),(COLUMN()-COLUMN(rw_LoadOrigin)-1))),"")</f>
        <v/>
      </c>
    </row>
    <row r="57" customFormat="false" ht="15" hidden="false" customHeight="false" outlineLevel="0" collapsed="false">
      <c r="B57" s="31" t="str">
        <f aca="false">IFERROR(INDEX(res_Name,(ROW()-ROW(rw_LoadOrigin)-1))&amp;"","")</f>
        <v/>
      </c>
      <c r="C57" s="59" t="str">
        <f aca="false">IFERROR(IF(INDEX(res_Name,(ROW()-ROW(rw_LoadOrigin)-1))="","",INDEX(res_MaxUnits,(ROW()-ROW(rw_LoadOrigin)-1))),"")</f>
        <v/>
      </c>
      <c r="D57" s="60" t="str">
        <f aca="false">IFERROR(IF(INDEX(res_Name,(ROW()-ROW(rw_LoadOrigin)-1))="","",INDEX(rw_Cum,(ROW()-ROW(rw_LoadOrigin)-1),(COLUMN()-COLUMN(rw_LoadOrigin)-1)+1)-INDEX(rw_Cum,(ROW()-ROW(rw_LoadOrigin)-1),(COLUMN()-COLUMN(rw_LoadOrigin)-1))),"")</f>
        <v/>
      </c>
      <c r="E57" s="60" t="str">
        <f aca="false">IFERROR(IF(INDEX(res_Name,(ROW()-ROW(rw_LoadOrigin)-1))="","",INDEX(rw_Cum,(ROW()-ROW(rw_LoadOrigin)-1),(COLUMN()-COLUMN(rw_LoadOrigin)-1)+1)-INDEX(rw_Cum,(ROW()-ROW(rw_LoadOrigin)-1),(COLUMN()-COLUMN(rw_LoadOrigin)-1))),"")</f>
        <v/>
      </c>
      <c r="F57" s="60" t="str">
        <f aca="false">IFERROR(IF(INDEX(res_Name,(ROW()-ROW(rw_LoadOrigin)-1))="","",INDEX(rw_Cum,(ROW()-ROW(rw_LoadOrigin)-1),(COLUMN()-COLUMN(rw_LoadOrigin)-1)+1)-INDEX(rw_Cum,(ROW()-ROW(rw_LoadOrigin)-1),(COLUMN()-COLUMN(rw_LoadOrigin)-1))),"")</f>
        <v/>
      </c>
      <c r="G57" s="60" t="str">
        <f aca="false">IFERROR(IF(INDEX(res_Name,(ROW()-ROW(rw_LoadOrigin)-1))="","",INDEX(rw_Cum,(ROW()-ROW(rw_LoadOrigin)-1),(COLUMN()-COLUMN(rw_LoadOrigin)-1)+1)-INDEX(rw_Cum,(ROW()-ROW(rw_LoadOrigin)-1),(COLUMN()-COLUMN(rw_LoadOrigin)-1))),"")</f>
        <v/>
      </c>
      <c r="H57" s="60" t="str">
        <f aca="false">IFERROR(IF(INDEX(res_Name,(ROW()-ROW(rw_LoadOrigin)-1))="","",INDEX(rw_Cum,(ROW()-ROW(rw_LoadOrigin)-1),(COLUMN()-COLUMN(rw_LoadOrigin)-1)+1)-INDEX(rw_Cum,(ROW()-ROW(rw_LoadOrigin)-1),(COLUMN()-COLUMN(rw_LoadOrigin)-1))),"")</f>
        <v/>
      </c>
      <c r="I57" s="60" t="str">
        <f aca="false">IFERROR(IF(INDEX(res_Name,(ROW()-ROW(rw_LoadOrigin)-1))="","",INDEX(rw_Cum,(ROW()-ROW(rw_LoadOrigin)-1),(COLUMN()-COLUMN(rw_LoadOrigin)-1)+1)-INDEX(rw_Cum,(ROW()-ROW(rw_LoadOrigin)-1),(COLUMN()-COLUMN(rw_LoadOrigin)-1))),"")</f>
        <v/>
      </c>
      <c r="J57" s="60" t="str">
        <f aca="false">IFERROR(IF(INDEX(res_Name,(ROW()-ROW(rw_LoadOrigin)-1))="","",INDEX(rw_Cum,(ROW()-ROW(rw_LoadOrigin)-1),(COLUMN()-COLUMN(rw_LoadOrigin)-1)+1)-INDEX(rw_Cum,(ROW()-ROW(rw_LoadOrigin)-1),(COLUMN()-COLUMN(rw_LoadOrigin)-1))),"")</f>
        <v/>
      </c>
      <c r="K57" s="60" t="str">
        <f aca="false">IFERROR(IF(INDEX(res_Name,(ROW()-ROW(rw_LoadOrigin)-1))="","",INDEX(rw_Cum,(ROW()-ROW(rw_LoadOrigin)-1),(COLUMN()-COLUMN(rw_LoadOrigin)-1)+1)-INDEX(rw_Cum,(ROW()-ROW(rw_LoadOrigin)-1),(COLUMN()-COLUMN(rw_LoadOrigin)-1))),"")</f>
        <v/>
      </c>
      <c r="L57" s="60" t="str">
        <f aca="false">IFERROR(IF(INDEX(res_Name,(ROW()-ROW(rw_LoadOrigin)-1))="","",INDEX(rw_Cum,(ROW()-ROW(rw_LoadOrigin)-1),(COLUMN()-COLUMN(rw_LoadOrigin)-1)+1)-INDEX(rw_Cum,(ROW()-ROW(rw_LoadOrigin)-1),(COLUMN()-COLUMN(rw_LoadOrigin)-1))),"")</f>
        <v/>
      </c>
      <c r="M57" s="60" t="str">
        <f aca="false">IFERROR(IF(INDEX(res_Name,(ROW()-ROW(rw_LoadOrigin)-1))="","",INDEX(rw_Cum,(ROW()-ROW(rw_LoadOrigin)-1),(COLUMN()-COLUMN(rw_LoadOrigin)-1)+1)-INDEX(rw_Cum,(ROW()-ROW(rw_LoadOrigin)-1),(COLUMN()-COLUMN(rw_LoadOrigin)-1))),"")</f>
        <v/>
      </c>
      <c r="N57" s="60" t="str">
        <f aca="false">IFERROR(IF(INDEX(res_Name,(ROW()-ROW(rw_LoadOrigin)-1))="","",INDEX(rw_Cum,(ROW()-ROW(rw_LoadOrigin)-1),(COLUMN()-COLUMN(rw_LoadOrigin)-1)+1)-INDEX(rw_Cum,(ROW()-ROW(rw_LoadOrigin)-1),(COLUMN()-COLUMN(rw_LoadOrigin)-1))),"")</f>
        <v/>
      </c>
      <c r="O57" s="60" t="str">
        <f aca="false">IFERROR(IF(INDEX(res_Name,(ROW()-ROW(rw_LoadOrigin)-1))="","",INDEX(rw_Cum,(ROW()-ROW(rw_LoadOrigin)-1),(COLUMN()-COLUMN(rw_LoadOrigin)-1)+1)-INDEX(rw_Cum,(ROW()-ROW(rw_LoadOrigin)-1),(COLUMN()-COLUMN(rw_LoadOrigin)-1))),"")</f>
        <v/>
      </c>
      <c r="P57" s="60" t="str">
        <f aca="false">IFERROR(IF(INDEX(res_Name,(ROW()-ROW(rw_LoadOrigin)-1))="","",INDEX(rw_Cum,(ROW()-ROW(rw_LoadOrigin)-1),(COLUMN()-COLUMN(rw_LoadOrigin)-1)+1)-INDEX(rw_Cum,(ROW()-ROW(rw_LoadOrigin)-1),(COLUMN()-COLUMN(rw_LoadOrigin)-1))),"")</f>
        <v/>
      </c>
      <c r="Q57" s="60" t="str">
        <f aca="false">IFERROR(IF(INDEX(res_Name,(ROW()-ROW(rw_LoadOrigin)-1))="","",INDEX(rw_Cum,(ROW()-ROW(rw_LoadOrigin)-1),(COLUMN()-COLUMN(rw_LoadOrigin)-1)+1)-INDEX(rw_Cum,(ROW()-ROW(rw_LoadOrigin)-1),(COLUMN()-COLUMN(rw_LoadOrigin)-1))),"")</f>
        <v/>
      </c>
      <c r="R57" s="60" t="str">
        <f aca="false">IFERROR(IF(INDEX(res_Name,(ROW()-ROW(rw_LoadOrigin)-1))="","",INDEX(rw_Cum,(ROW()-ROW(rw_LoadOrigin)-1),(COLUMN()-COLUMN(rw_LoadOrigin)-1)+1)-INDEX(rw_Cum,(ROW()-ROW(rw_LoadOrigin)-1),(COLUMN()-COLUMN(rw_LoadOrigin)-1))),"")</f>
        <v/>
      </c>
      <c r="S57" s="60" t="str">
        <f aca="false">IFERROR(IF(INDEX(res_Name,(ROW()-ROW(rw_LoadOrigin)-1))="","",INDEX(rw_Cum,(ROW()-ROW(rw_LoadOrigin)-1),(COLUMN()-COLUMN(rw_LoadOrigin)-1)+1)-INDEX(rw_Cum,(ROW()-ROW(rw_LoadOrigin)-1),(COLUMN()-COLUMN(rw_LoadOrigin)-1))),"")</f>
        <v/>
      </c>
      <c r="T57" s="60" t="str">
        <f aca="false">IFERROR(IF(INDEX(res_Name,(ROW()-ROW(rw_LoadOrigin)-1))="","",INDEX(rw_Cum,(ROW()-ROW(rw_LoadOrigin)-1),(COLUMN()-COLUMN(rw_LoadOrigin)-1)+1)-INDEX(rw_Cum,(ROW()-ROW(rw_LoadOrigin)-1),(COLUMN()-COLUMN(rw_LoadOrigin)-1))),"")</f>
        <v/>
      </c>
      <c r="U57" s="60" t="str">
        <f aca="false">IFERROR(IF(INDEX(res_Name,(ROW()-ROW(rw_LoadOrigin)-1))="","",INDEX(rw_Cum,(ROW()-ROW(rw_LoadOrigin)-1),(COLUMN()-COLUMN(rw_LoadOrigin)-1)+1)-INDEX(rw_Cum,(ROW()-ROW(rw_LoadOrigin)-1),(COLUMN()-COLUMN(rw_LoadOrigin)-1))),"")</f>
        <v/>
      </c>
      <c r="V57" s="60" t="str">
        <f aca="false">IFERROR(IF(INDEX(res_Name,(ROW()-ROW(rw_LoadOrigin)-1))="","",INDEX(rw_Cum,(ROW()-ROW(rw_LoadOrigin)-1),(COLUMN()-COLUMN(rw_LoadOrigin)-1)+1)-INDEX(rw_Cum,(ROW()-ROW(rw_LoadOrigin)-1),(COLUMN()-COLUMN(rw_LoadOrigin)-1))),"")</f>
        <v/>
      </c>
      <c r="W57" s="60" t="str">
        <f aca="false">IFERROR(IF(INDEX(res_Name,(ROW()-ROW(rw_LoadOrigin)-1))="","",INDEX(rw_Cum,(ROW()-ROW(rw_LoadOrigin)-1),(COLUMN()-COLUMN(rw_LoadOrigin)-1)+1)-INDEX(rw_Cum,(ROW()-ROW(rw_LoadOrigin)-1),(COLUMN()-COLUMN(rw_LoadOrigin)-1))),"")</f>
        <v/>
      </c>
      <c r="X57" s="60" t="str">
        <f aca="false">IFERROR(IF(INDEX(res_Name,(ROW()-ROW(rw_LoadOrigin)-1))="","",INDEX(rw_Cum,(ROW()-ROW(rw_LoadOrigin)-1),(COLUMN()-COLUMN(rw_LoadOrigin)-1)+1)-INDEX(rw_Cum,(ROW()-ROW(rw_LoadOrigin)-1),(COLUMN()-COLUMN(rw_LoadOrigin)-1))),"")</f>
        <v/>
      </c>
      <c r="Y57" s="60" t="str">
        <f aca="false">IFERROR(IF(INDEX(res_Name,(ROW()-ROW(rw_LoadOrigin)-1))="","",INDEX(rw_Cum,(ROW()-ROW(rw_LoadOrigin)-1),(COLUMN()-COLUMN(rw_LoadOrigin)-1)+1)-INDEX(rw_Cum,(ROW()-ROW(rw_LoadOrigin)-1),(COLUMN()-COLUMN(rw_LoadOrigin)-1))),"")</f>
        <v/>
      </c>
      <c r="Z57" s="60" t="str">
        <f aca="false">IFERROR(IF(INDEX(res_Name,(ROW()-ROW(rw_LoadOrigin)-1))="","",INDEX(rw_Cum,(ROW()-ROW(rw_LoadOrigin)-1),(COLUMN()-COLUMN(rw_LoadOrigin)-1)+1)-INDEX(rw_Cum,(ROW()-ROW(rw_LoadOrigin)-1),(COLUMN()-COLUMN(rw_LoadOrigin)-1))),"")</f>
        <v/>
      </c>
      <c r="AA57" s="60" t="str">
        <f aca="false">IFERROR(IF(INDEX(res_Name,(ROW()-ROW(rw_LoadOrigin)-1))="","",INDEX(rw_Cum,(ROW()-ROW(rw_LoadOrigin)-1),(COLUMN()-COLUMN(rw_LoadOrigin)-1)+1)-INDEX(rw_Cum,(ROW()-ROW(rw_LoadOrigin)-1),(COLUMN()-COLUMN(rw_LoadOrigin)-1))),"")</f>
        <v/>
      </c>
      <c r="AB57" s="60" t="str">
        <f aca="false">IFERROR(IF(INDEX(res_Name,(ROW()-ROW(rw_LoadOrigin)-1))="","",INDEX(rw_Cum,(ROW()-ROW(rw_LoadOrigin)-1),(COLUMN()-COLUMN(rw_LoadOrigin)-1)+1)-INDEX(rw_Cum,(ROW()-ROW(rw_LoadOrigin)-1),(COLUMN()-COLUMN(rw_LoadOrigin)-1))),"")</f>
        <v/>
      </c>
      <c r="AC57" s="60" t="str">
        <f aca="false">IFERROR(IF(INDEX(res_Name,(ROW()-ROW(rw_LoadOrigin)-1))="","",INDEX(rw_Cum,(ROW()-ROW(rw_LoadOrigin)-1),(COLUMN()-COLUMN(rw_LoadOrigin)-1)+1)-INDEX(rw_Cum,(ROW()-ROW(rw_LoadOrigin)-1),(COLUMN()-COLUMN(rw_LoadOrigin)-1))),"")</f>
        <v/>
      </c>
    </row>
    <row r="58" customFormat="false" ht="15" hidden="false" customHeight="false" outlineLevel="0" collapsed="false">
      <c r="B58" s="31" t="str">
        <f aca="false">IFERROR(INDEX(res_Name,(ROW()-ROW(rw_LoadOrigin)-1))&amp;"","")</f>
        <v/>
      </c>
      <c r="C58" s="59" t="str">
        <f aca="false">IFERROR(IF(INDEX(res_Name,(ROW()-ROW(rw_LoadOrigin)-1))="","",INDEX(res_MaxUnits,(ROW()-ROW(rw_LoadOrigin)-1))),"")</f>
        <v/>
      </c>
      <c r="D58" s="60" t="str">
        <f aca="false">IFERROR(IF(INDEX(res_Name,(ROW()-ROW(rw_LoadOrigin)-1))="","",INDEX(rw_Cum,(ROW()-ROW(rw_LoadOrigin)-1),(COLUMN()-COLUMN(rw_LoadOrigin)-1)+1)-INDEX(rw_Cum,(ROW()-ROW(rw_LoadOrigin)-1),(COLUMN()-COLUMN(rw_LoadOrigin)-1))),"")</f>
        <v/>
      </c>
      <c r="E58" s="60" t="str">
        <f aca="false">IFERROR(IF(INDEX(res_Name,(ROW()-ROW(rw_LoadOrigin)-1))="","",INDEX(rw_Cum,(ROW()-ROW(rw_LoadOrigin)-1),(COLUMN()-COLUMN(rw_LoadOrigin)-1)+1)-INDEX(rw_Cum,(ROW()-ROW(rw_LoadOrigin)-1),(COLUMN()-COLUMN(rw_LoadOrigin)-1))),"")</f>
        <v/>
      </c>
      <c r="F58" s="60" t="str">
        <f aca="false">IFERROR(IF(INDEX(res_Name,(ROW()-ROW(rw_LoadOrigin)-1))="","",INDEX(rw_Cum,(ROW()-ROW(rw_LoadOrigin)-1),(COLUMN()-COLUMN(rw_LoadOrigin)-1)+1)-INDEX(rw_Cum,(ROW()-ROW(rw_LoadOrigin)-1),(COLUMN()-COLUMN(rw_LoadOrigin)-1))),"")</f>
        <v/>
      </c>
      <c r="G58" s="60" t="str">
        <f aca="false">IFERROR(IF(INDEX(res_Name,(ROW()-ROW(rw_LoadOrigin)-1))="","",INDEX(rw_Cum,(ROW()-ROW(rw_LoadOrigin)-1),(COLUMN()-COLUMN(rw_LoadOrigin)-1)+1)-INDEX(rw_Cum,(ROW()-ROW(rw_LoadOrigin)-1),(COLUMN()-COLUMN(rw_LoadOrigin)-1))),"")</f>
        <v/>
      </c>
      <c r="H58" s="60" t="str">
        <f aca="false">IFERROR(IF(INDEX(res_Name,(ROW()-ROW(rw_LoadOrigin)-1))="","",INDEX(rw_Cum,(ROW()-ROW(rw_LoadOrigin)-1),(COLUMN()-COLUMN(rw_LoadOrigin)-1)+1)-INDEX(rw_Cum,(ROW()-ROW(rw_LoadOrigin)-1),(COLUMN()-COLUMN(rw_LoadOrigin)-1))),"")</f>
        <v/>
      </c>
      <c r="I58" s="60" t="str">
        <f aca="false">IFERROR(IF(INDEX(res_Name,(ROW()-ROW(rw_LoadOrigin)-1))="","",INDEX(rw_Cum,(ROW()-ROW(rw_LoadOrigin)-1),(COLUMN()-COLUMN(rw_LoadOrigin)-1)+1)-INDEX(rw_Cum,(ROW()-ROW(rw_LoadOrigin)-1),(COLUMN()-COLUMN(rw_LoadOrigin)-1))),"")</f>
        <v/>
      </c>
      <c r="J58" s="60" t="str">
        <f aca="false">IFERROR(IF(INDEX(res_Name,(ROW()-ROW(rw_LoadOrigin)-1))="","",INDEX(rw_Cum,(ROW()-ROW(rw_LoadOrigin)-1),(COLUMN()-COLUMN(rw_LoadOrigin)-1)+1)-INDEX(rw_Cum,(ROW()-ROW(rw_LoadOrigin)-1),(COLUMN()-COLUMN(rw_LoadOrigin)-1))),"")</f>
        <v/>
      </c>
      <c r="K58" s="60" t="str">
        <f aca="false">IFERROR(IF(INDEX(res_Name,(ROW()-ROW(rw_LoadOrigin)-1))="","",INDEX(rw_Cum,(ROW()-ROW(rw_LoadOrigin)-1),(COLUMN()-COLUMN(rw_LoadOrigin)-1)+1)-INDEX(rw_Cum,(ROW()-ROW(rw_LoadOrigin)-1),(COLUMN()-COLUMN(rw_LoadOrigin)-1))),"")</f>
        <v/>
      </c>
      <c r="L58" s="60" t="str">
        <f aca="false">IFERROR(IF(INDEX(res_Name,(ROW()-ROW(rw_LoadOrigin)-1))="","",INDEX(rw_Cum,(ROW()-ROW(rw_LoadOrigin)-1),(COLUMN()-COLUMN(rw_LoadOrigin)-1)+1)-INDEX(rw_Cum,(ROW()-ROW(rw_LoadOrigin)-1),(COLUMN()-COLUMN(rw_LoadOrigin)-1))),"")</f>
        <v/>
      </c>
      <c r="M58" s="60" t="str">
        <f aca="false">IFERROR(IF(INDEX(res_Name,(ROW()-ROW(rw_LoadOrigin)-1))="","",INDEX(rw_Cum,(ROW()-ROW(rw_LoadOrigin)-1),(COLUMN()-COLUMN(rw_LoadOrigin)-1)+1)-INDEX(rw_Cum,(ROW()-ROW(rw_LoadOrigin)-1),(COLUMN()-COLUMN(rw_LoadOrigin)-1))),"")</f>
        <v/>
      </c>
      <c r="N58" s="60" t="str">
        <f aca="false">IFERROR(IF(INDEX(res_Name,(ROW()-ROW(rw_LoadOrigin)-1))="","",INDEX(rw_Cum,(ROW()-ROW(rw_LoadOrigin)-1),(COLUMN()-COLUMN(rw_LoadOrigin)-1)+1)-INDEX(rw_Cum,(ROW()-ROW(rw_LoadOrigin)-1),(COLUMN()-COLUMN(rw_LoadOrigin)-1))),"")</f>
        <v/>
      </c>
      <c r="O58" s="60" t="str">
        <f aca="false">IFERROR(IF(INDEX(res_Name,(ROW()-ROW(rw_LoadOrigin)-1))="","",INDEX(rw_Cum,(ROW()-ROW(rw_LoadOrigin)-1),(COLUMN()-COLUMN(rw_LoadOrigin)-1)+1)-INDEX(rw_Cum,(ROW()-ROW(rw_LoadOrigin)-1),(COLUMN()-COLUMN(rw_LoadOrigin)-1))),"")</f>
        <v/>
      </c>
      <c r="P58" s="60" t="str">
        <f aca="false">IFERROR(IF(INDEX(res_Name,(ROW()-ROW(rw_LoadOrigin)-1))="","",INDEX(rw_Cum,(ROW()-ROW(rw_LoadOrigin)-1),(COLUMN()-COLUMN(rw_LoadOrigin)-1)+1)-INDEX(rw_Cum,(ROW()-ROW(rw_LoadOrigin)-1),(COLUMN()-COLUMN(rw_LoadOrigin)-1))),"")</f>
        <v/>
      </c>
      <c r="Q58" s="60" t="str">
        <f aca="false">IFERROR(IF(INDEX(res_Name,(ROW()-ROW(rw_LoadOrigin)-1))="","",INDEX(rw_Cum,(ROW()-ROW(rw_LoadOrigin)-1),(COLUMN()-COLUMN(rw_LoadOrigin)-1)+1)-INDEX(rw_Cum,(ROW()-ROW(rw_LoadOrigin)-1),(COLUMN()-COLUMN(rw_LoadOrigin)-1))),"")</f>
        <v/>
      </c>
      <c r="R58" s="60" t="str">
        <f aca="false">IFERROR(IF(INDEX(res_Name,(ROW()-ROW(rw_LoadOrigin)-1))="","",INDEX(rw_Cum,(ROW()-ROW(rw_LoadOrigin)-1),(COLUMN()-COLUMN(rw_LoadOrigin)-1)+1)-INDEX(rw_Cum,(ROW()-ROW(rw_LoadOrigin)-1),(COLUMN()-COLUMN(rw_LoadOrigin)-1))),"")</f>
        <v/>
      </c>
      <c r="S58" s="60" t="str">
        <f aca="false">IFERROR(IF(INDEX(res_Name,(ROW()-ROW(rw_LoadOrigin)-1))="","",INDEX(rw_Cum,(ROW()-ROW(rw_LoadOrigin)-1),(COLUMN()-COLUMN(rw_LoadOrigin)-1)+1)-INDEX(rw_Cum,(ROW()-ROW(rw_LoadOrigin)-1),(COLUMN()-COLUMN(rw_LoadOrigin)-1))),"")</f>
        <v/>
      </c>
      <c r="T58" s="60" t="str">
        <f aca="false">IFERROR(IF(INDEX(res_Name,(ROW()-ROW(rw_LoadOrigin)-1))="","",INDEX(rw_Cum,(ROW()-ROW(rw_LoadOrigin)-1),(COLUMN()-COLUMN(rw_LoadOrigin)-1)+1)-INDEX(rw_Cum,(ROW()-ROW(rw_LoadOrigin)-1),(COLUMN()-COLUMN(rw_LoadOrigin)-1))),"")</f>
        <v/>
      </c>
      <c r="U58" s="60" t="str">
        <f aca="false">IFERROR(IF(INDEX(res_Name,(ROW()-ROW(rw_LoadOrigin)-1))="","",INDEX(rw_Cum,(ROW()-ROW(rw_LoadOrigin)-1),(COLUMN()-COLUMN(rw_LoadOrigin)-1)+1)-INDEX(rw_Cum,(ROW()-ROW(rw_LoadOrigin)-1),(COLUMN()-COLUMN(rw_LoadOrigin)-1))),"")</f>
        <v/>
      </c>
      <c r="V58" s="60" t="str">
        <f aca="false">IFERROR(IF(INDEX(res_Name,(ROW()-ROW(rw_LoadOrigin)-1))="","",INDEX(rw_Cum,(ROW()-ROW(rw_LoadOrigin)-1),(COLUMN()-COLUMN(rw_LoadOrigin)-1)+1)-INDEX(rw_Cum,(ROW()-ROW(rw_LoadOrigin)-1),(COLUMN()-COLUMN(rw_LoadOrigin)-1))),"")</f>
        <v/>
      </c>
      <c r="W58" s="60" t="str">
        <f aca="false">IFERROR(IF(INDEX(res_Name,(ROW()-ROW(rw_LoadOrigin)-1))="","",INDEX(rw_Cum,(ROW()-ROW(rw_LoadOrigin)-1),(COLUMN()-COLUMN(rw_LoadOrigin)-1)+1)-INDEX(rw_Cum,(ROW()-ROW(rw_LoadOrigin)-1),(COLUMN()-COLUMN(rw_LoadOrigin)-1))),"")</f>
        <v/>
      </c>
      <c r="X58" s="60" t="str">
        <f aca="false">IFERROR(IF(INDEX(res_Name,(ROW()-ROW(rw_LoadOrigin)-1))="","",INDEX(rw_Cum,(ROW()-ROW(rw_LoadOrigin)-1),(COLUMN()-COLUMN(rw_LoadOrigin)-1)+1)-INDEX(rw_Cum,(ROW()-ROW(rw_LoadOrigin)-1),(COLUMN()-COLUMN(rw_LoadOrigin)-1))),"")</f>
        <v/>
      </c>
      <c r="Y58" s="60" t="str">
        <f aca="false">IFERROR(IF(INDEX(res_Name,(ROW()-ROW(rw_LoadOrigin)-1))="","",INDEX(rw_Cum,(ROW()-ROW(rw_LoadOrigin)-1),(COLUMN()-COLUMN(rw_LoadOrigin)-1)+1)-INDEX(rw_Cum,(ROW()-ROW(rw_LoadOrigin)-1),(COLUMN()-COLUMN(rw_LoadOrigin)-1))),"")</f>
        <v/>
      </c>
      <c r="Z58" s="60" t="str">
        <f aca="false">IFERROR(IF(INDEX(res_Name,(ROW()-ROW(rw_LoadOrigin)-1))="","",INDEX(rw_Cum,(ROW()-ROW(rw_LoadOrigin)-1),(COLUMN()-COLUMN(rw_LoadOrigin)-1)+1)-INDEX(rw_Cum,(ROW()-ROW(rw_LoadOrigin)-1),(COLUMN()-COLUMN(rw_LoadOrigin)-1))),"")</f>
        <v/>
      </c>
      <c r="AA58" s="60" t="str">
        <f aca="false">IFERROR(IF(INDEX(res_Name,(ROW()-ROW(rw_LoadOrigin)-1))="","",INDEX(rw_Cum,(ROW()-ROW(rw_LoadOrigin)-1),(COLUMN()-COLUMN(rw_LoadOrigin)-1)+1)-INDEX(rw_Cum,(ROW()-ROW(rw_LoadOrigin)-1),(COLUMN()-COLUMN(rw_LoadOrigin)-1))),"")</f>
        <v/>
      </c>
      <c r="AB58" s="60" t="str">
        <f aca="false">IFERROR(IF(INDEX(res_Name,(ROW()-ROW(rw_LoadOrigin)-1))="","",INDEX(rw_Cum,(ROW()-ROW(rw_LoadOrigin)-1),(COLUMN()-COLUMN(rw_LoadOrigin)-1)+1)-INDEX(rw_Cum,(ROW()-ROW(rw_LoadOrigin)-1),(COLUMN()-COLUMN(rw_LoadOrigin)-1))),"")</f>
        <v/>
      </c>
      <c r="AC58" s="60" t="str">
        <f aca="false">IFERROR(IF(INDEX(res_Name,(ROW()-ROW(rw_LoadOrigin)-1))="","",INDEX(rw_Cum,(ROW()-ROW(rw_LoadOrigin)-1),(COLUMN()-COLUMN(rw_LoadOrigin)-1)+1)-INDEX(rw_Cum,(ROW()-ROW(rw_LoadOrigin)-1),(COLUMN()-COLUMN(rw_LoadOrigin)-1))),"")</f>
        <v/>
      </c>
    </row>
    <row r="59" customFormat="false" ht="15" hidden="false" customHeight="false" outlineLevel="0" collapsed="false">
      <c r="B59" s="31" t="str">
        <f aca="false">IFERROR(INDEX(res_Name,(ROW()-ROW(rw_LoadOrigin)-1))&amp;"","")</f>
        <v/>
      </c>
      <c r="C59" s="59" t="str">
        <f aca="false">IFERROR(IF(INDEX(res_Name,(ROW()-ROW(rw_LoadOrigin)-1))="","",INDEX(res_MaxUnits,(ROW()-ROW(rw_LoadOrigin)-1))),"")</f>
        <v/>
      </c>
      <c r="D59" s="60" t="str">
        <f aca="false">IFERROR(IF(INDEX(res_Name,(ROW()-ROW(rw_LoadOrigin)-1))="","",INDEX(rw_Cum,(ROW()-ROW(rw_LoadOrigin)-1),(COLUMN()-COLUMN(rw_LoadOrigin)-1)+1)-INDEX(rw_Cum,(ROW()-ROW(rw_LoadOrigin)-1),(COLUMN()-COLUMN(rw_LoadOrigin)-1))),"")</f>
        <v/>
      </c>
      <c r="E59" s="60" t="str">
        <f aca="false">IFERROR(IF(INDEX(res_Name,(ROW()-ROW(rw_LoadOrigin)-1))="","",INDEX(rw_Cum,(ROW()-ROW(rw_LoadOrigin)-1),(COLUMN()-COLUMN(rw_LoadOrigin)-1)+1)-INDEX(rw_Cum,(ROW()-ROW(rw_LoadOrigin)-1),(COLUMN()-COLUMN(rw_LoadOrigin)-1))),"")</f>
        <v/>
      </c>
      <c r="F59" s="60" t="str">
        <f aca="false">IFERROR(IF(INDEX(res_Name,(ROW()-ROW(rw_LoadOrigin)-1))="","",INDEX(rw_Cum,(ROW()-ROW(rw_LoadOrigin)-1),(COLUMN()-COLUMN(rw_LoadOrigin)-1)+1)-INDEX(rw_Cum,(ROW()-ROW(rw_LoadOrigin)-1),(COLUMN()-COLUMN(rw_LoadOrigin)-1))),"")</f>
        <v/>
      </c>
      <c r="G59" s="60" t="str">
        <f aca="false">IFERROR(IF(INDEX(res_Name,(ROW()-ROW(rw_LoadOrigin)-1))="","",INDEX(rw_Cum,(ROW()-ROW(rw_LoadOrigin)-1),(COLUMN()-COLUMN(rw_LoadOrigin)-1)+1)-INDEX(rw_Cum,(ROW()-ROW(rw_LoadOrigin)-1),(COLUMN()-COLUMN(rw_LoadOrigin)-1))),"")</f>
        <v/>
      </c>
      <c r="H59" s="60" t="str">
        <f aca="false">IFERROR(IF(INDEX(res_Name,(ROW()-ROW(rw_LoadOrigin)-1))="","",INDEX(rw_Cum,(ROW()-ROW(rw_LoadOrigin)-1),(COLUMN()-COLUMN(rw_LoadOrigin)-1)+1)-INDEX(rw_Cum,(ROW()-ROW(rw_LoadOrigin)-1),(COLUMN()-COLUMN(rw_LoadOrigin)-1))),"")</f>
        <v/>
      </c>
      <c r="I59" s="60" t="str">
        <f aca="false">IFERROR(IF(INDEX(res_Name,(ROW()-ROW(rw_LoadOrigin)-1))="","",INDEX(rw_Cum,(ROW()-ROW(rw_LoadOrigin)-1),(COLUMN()-COLUMN(rw_LoadOrigin)-1)+1)-INDEX(rw_Cum,(ROW()-ROW(rw_LoadOrigin)-1),(COLUMN()-COLUMN(rw_LoadOrigin)-1))),"")</f>
        <v/>
      </c>
      <c r="J59" s="60" t="str">
        <f aca="false">IFERROR(IF(INDEX(res_Name,(ROW()-ROW(rw_LoadOrigin)-1))="","",INDEX(rw_Cum,(ROW()-ROW(rw_LoadOrigin)-1),(COLUMN()-COLUMN(rw_LoadOrigin)-1)+1)-INDEX(rw_Cum,(ROW()-ROW(rw_LoadOrigin)-1),(COLUMN()-COLUMN(rw_LoadOrigin)-1))),"")</f>
        <v/>
      </c>
      <c r="K59" s="60" t="str">
        <f aca="false">IFERROR(IF(INDEX(res_Name,(ROW()-ROW(rw_LoadOrigin)-1))="","",INDEX(rw_Cum,(ROW()-ROW(rw_LoadOrigin)-1),(COLUMN()-COLUMN(rw_LoadOrigin)-1)+1)-INDEX(rw_Cum,(ROW()-ROW(rw_LoadOrigin)-1),(COLUMN()-COLUMN(rw_LoadOrigin)-1))),"")</f>
        <v/>
      </c>
      <c r="L59" s="60" t="str">
        <f aca="false">IFERROR(IF(INDEX(res_Name,(ROW()-ROW(rw_LoadOrigin)-1))="","",INDEX(rw_Cum,(ROW()-ROW(rw_LoadOrigin)-1),(COLUMN()-COLUMN(rw_LoadOrigin)-1)+1)-INDEX(rw_Cum,(ROW()-ROW(rw_LoadOrigin)-1),(COLUMN()-COLUMN(rw_LoadOrigin)-1))),"")</f>
        <v/>
      </c>
      <c r="M59" s="60" t="str">
        <f aca="false">IFERROR(IF(INDEX(res_Name,(ROW()-ROW(rw_LoadOrigin)-1))="","",INDEX(rw_Cum,(ROW()-ROW(rw_LoadOrigin)-1),(COLUMN()-COLUMN(rw_LoadOrigin)-1)+1)-INDEX(rw_Cum,(ROW()-ROW(rw_LoadOrigin)-1),(COLUMN()-COLUMN(rw_LoadOrigin)-1))),"")</f>
        <v/>
      </c>
      <c r="N59" s="60" t="str">
        <f aca="false">IFERROR(IF(INDEX(res_Name,(ROW()-ROW(rw_LoadOrigin)-1))="","",INDEX(rw_Cum,(ROW()-ROW(rw_LoadOrigin)-1),(COLUMN()-COLUMN(rw_LoadOrigin)-1)+1)-INDEX(rw_Cum,(ROW()-ROW(rw_LoadOrigin)-1),(COLUMN()-COLUMN(rw_LoadOrigin)-1))),"")</f>
        <v/>
      </c>
      <c r="O59" s="60" t="str">
        <f aca="false">IFERROR(IF(INDEX(res_Name,(ROW()-ROW(rw_LoadOrigin)-1))="","",INDEX(rw_Cum,(ROW()-ROW(rw_LoadOrigin)-1),(COLUMN()-COLUMN(rw_LoadOrigin)-1)+1)-INDEX(rw_Cum,(ROW()-ROW(rw_LoadOrigin)-1),(COLUMN()-COLUMN(rw_LoadOrigin)-1))),"")</f>
        <v/>
      </c>
      <c r="P59" s="60" t="str">
        <f aca="false">IFERROR(IF(INDEX(res_Name,(ROW()-ROW(rw_LoadOrigin)-1))="","",INDEX(rw_Cum,(ROW()-ROW(rw_LoadOrigin)-1),(COLUMN()-COLUMN(rw_LoadOrigin)-1)+1)-INDEX(rw_Cum,(ROW()-ROW(rw_LoadOrigin)-1),(COLUMN()-COLUMN(rw_LoadOrigin)-1))),"")</f>
        <v/>
      </c>
      <c r="Q59" s="60" t="str">
        <f aca="false">IFERROR(IF(INDEX(res_Name,(ROW()-ROW(rw_LoadOrigin)-1))="","",INDEX(rw_Cum,(ROW()-ROW(rw_LoadOrigin)-1),(COLUMN()-COLUMN(rw_LoadOrigin)-1)+1)-INDEX(rw_Cum,(ROW()-ROW(rw_LoadOrigin)-1),(COLUMN()-COLUMN(rw_LoadOrigin)-1))),"")</f>
        <v/>
      </c>
      <c r="R59" s="60" t="str">
        <f aca="false">IFERROR(IF(INDEX(res_Name,(ROW()-ROW(rw_LoadOrigin)-1))="","",INDEX(rw_Cum,(ROW()-ROW(rw_LoadOrigin)-1),(COLUMN()-COLUMN(rw_LoadOrigin)-1)+1)-INDEX(rw_Cum,(ROW()-ROW(rw_LoadOrigin)-1),(COLUMN()-COLUMN(rw_LoadOrigin)-1))),"")</f>
        <v/>
      </c>
      <c r="S59" s="60" t="str">
        <f aca="false">IFERROR(IF(INDEX(res_Name,(ROW()-ROW(rw_LoadOrigin)-1))="","",INDEX(rw_Cum,(ROW()-ROW(rw_LoadOrigin)-1),(COLUMN()-COLUMN(rw_LoadOrigin)-1)+1)-INDEX(rw_Cum,(ROW()-ROW(rw_LoadOrigin)-1),(COLUMN()-COLUMN(rw_LoadOrigin)-1))),"")</f>
        <v/>
      </c>
      <c r="T59" s="60" t="str">
        <f aca="false">IFERROR(IF(INDEX(res_Name,(ROW()-ROW(rw_LoadOrigin)-1))="","",INDEX(rw_Cum,(ROW()-ROW(rw_LoadOrigin)-1),(COLUMN()-COLUMN(rw_LoadOrigin)-1)+1)-INDEX(rw_Cum,(ROW()-ROW(rw_LoadOrigin)-1),(COLUMN()-COLUMN(rw_LoadOrigin)-1))),"")</f>
        <v/>
      </c>
      <c r="U59" s="60" t="str">
        <f aca="false">IFERROR(IF(INDEX(res_Name,(ROW()-ROW(rw_LoadOrigin)-1))="","",INDEX(rw_Cum,(ROW()-ROW(rw_LoadOrigin)-1),(COLUMN()-COLUMN(rw_LoadOrigin)-1)+1)-INDEX(rw_Cum,(ROW()-ROW(rw_LoadOrigin)-1),(COLUMN()-COLUMN(rw_LoadOrigin)-1))),"")</f>
        <v/>
      </c>
      <c r="V59" s="60" t="str">
        <f aca="false">IFERROR(IF(INDEX(res_Name,(ROW()-ROW(rw_LoadOrigin)-1))="","",INDEX(rw_Cum,(ROW()-ROW(rw_LoadOrigin)-1),(COLUMN()-COLUMN(rw_LoadOrigin)-1)+1)-INDEX(rw_Cum,(ROW()-ROW(rw_LoadOrigin)-1),(COLUMN()-COLUMN(rw_LoadOrigin)-1))),"")</f>
        <v/>
      </c>
      <c r="W59" s="60" t="str">
        <f aca="false">IFERROR(IF(INDEX(res_Name,(ROW()-ROW(rw_LoadOrigin)-1))="","",INDEX(rw_Cum,(ROW()-ROW(rw_LoadOrigin)-1),(COLUMN()-COLUMN(rw_LoadOrigin)-1)+1)-INDEX(rw_Cum,(ROW()-ROW(rw_LoadOrigin)-1),(COLUMN()-COLUMN(rw_LoadOrigin)-1))),"")</f>
        <v/>
      </c>
      <c r="X59" s="60" t="str">
        <f aca="false">IFERROR(IF(INDEX(res_Name,(ROW()-ROW(rw_LoadOrigin)-1))="","",INDEX(rw_Cum,(ROW()-ROW(rw_LoadOrigin)-1),(COLUMN()-COLUMN(rw_LoadOrigin)-1)+1)-INDEX(rw_Cum,(ROW()-ROW(rw_LoadOrigin)-1),(COLUMN()-COLUMN(rw_LoadOrigin)-1))),"")</f>
        <v/>
      </c>
      <c r="Y59" s="60" t="str">
        <f aca="false">IFERROR(IF(INDEX(res_Name,(ROW()-ROW(rw_LoadOrigin)-1))="","",INDEX(rw_Cum,(ROW()-ROW(rw_LoadOrigin)-1),(COLUMN()-COLUMN(rw_LoadOrigin)-1)+1)-INDEX(rw_Cum,(ROW()-ROW(rw_LoadOrigin)-1),(COLUMN()-COLUMN(rw_LoadOrigin)-1))),"")</f>
        <v/>
      </c>
      <c r="Z59" s="60" t="str">
        <f aca="false">IFERROR(IF(INDEX(res_Name,(ROW()-ROW(rw_LoadOrigin)-1))="","",INDEX(rw_Cum,(ROW()-ROW(rw_LoadOrigin)-1),(COLUMN()-COLUMN(rw_LoadOrigin)-1)+1)-INDEX(rw_Cum,(ROW()-ROW(rw_LoadOrigin)-1),(COLUMN()-COLUMN(rw_LoadOrigin)-1))),"")</f>
        <v/>
      </c>
      <c r="AA59" s="60" t="str">
        <f aca="false">IFERROR(IF(INDEX(res_Name,(ROW()-ROW(rw_LoadOrigin)-1))="","",INDEX(rw_Cum,(ROW()-ROW(rw_LoadOrigin)-1),(COLUMN()-COLUMN(rw_LoadOrigin)-1)+1)-INDEX(rw_Cum,(ROW()-ROW(rw_LoadOrigin)-1),(COLUMN()-COLUMN(rw_LoadOrigin)-1))),"")</f>
        <v/>
      </c>
      <c r="AB59" s="60" t="str">
        <f aca="false">IFERROR(IF(INDEX(res_Name,(ROW()-ROW(rw_LoadOrigin)-1))="","",INDEX(rw_Cum,(ROW()-ROW(rw_LoadOrigin)-1),(COLUMN()-COLUMN(rw_LoadOrigin)-1)+1)-INDEX(rw_Cum,(ROW()-ROW(rw_LoadOrigin)-1),(COLUMN()-COLUMN(rw_LoadOrigin)-1))),"")</f>
        <v/>
      </c>
      <c r="AC59" s="60" t="str">
        <f aca="false">IFERROR(IF(INDEX(res_Name,(ROW()-ROW(rw_LoadOrigin)-1))="","",INDEX(rw_Cum,(ROW()-ROW(rw_LoadOrigin)-1),(COLUMN()-COLUMN(rw_LoadOrigin)-1)+1)-INDEX(rw_Cum,(ROW()-ROW(rw_LoadOrigin)-1),(COLUMN()-COLUMN(rw_LoadOrigin)-1))),"")</f>
        <v/>
      </c>
    </row>
    <row r="60" customFormat="false" ht="15" hidden="false" customHeight="false" outlineLevel="0" collapsed="false">
      <c r="B60" s="31" t="str">
        <f aca="false">IFERROR(INDEX(res_Name,(ROW()-ROW(rw_LoadOrigin)-1))&amp;"","")</f>
        <v/>
      </c>
      <c r="C60" s="59" t="str">
        <f aca="false">IFERROR(IF(INDEX(res_Name,(ROW()-ROW(rw_LoadOrigin)-1))="","",INDEX(res_MaxUnits,(ROW()-ROW(rw_LoadOrigin)-1))),"")</f>
        <v/>
      </c>
      <c r="D60" s="60" t="str">
        <f aca="false">IFERROR(IF(INDEX(res_Name,(ROW()-ROW(rw_LoadOrigin)-1))="","",INDEX(rw_Cum,(ROW()-ROW(rw_LoadOrigin)-1),(COLUMN()-COLUMN(rw_LoadOrigin)-1)+1)-INDEX(rw_Cum,(ROW()-ROW(rw_LoadOrigin)-1),(COLUMN()-COLUMN(rw_LoadOrigin)-1))),"")</f>
        <v/>
      </c>
      <c r="E60" s="60" t="str">
        <f aca="false">IFERROR(IF(INDEX(res_Name,(ROW()-ROW(rw_LoadOrigin)-1))="","",INDEX(rw_Cum,(ROW()-ROW(rw_LoadOrigin)-1),(COLUMN()-COLUMN(rw_LoadOrigin)-1)+1)-INDEX(rw_Cum,(ROW()-ROW(rw_LoadOrigin)-1),(COLUMN()-COLUMN(rw_LoadOrigin)-1))),"")</f>
        <v/>
      </c>
      <c r="F60" s="60" t="str">
        <f aca="false">IFERROR(IF(INDEX(res_Name,(ROW()-ROW(rw_LoadOrigin)-1))="","",INDEX(rw_Cum,(ROW()-ROW(rw_LoadOrigin)-1),(COLUMN()-COLUMN(rw_LoadOrigin)-1)+1)-INDEX(rw_Cum,(ROW()-ROW(rw_LoadOrigin)-1),(COLUMN()-COLUMN(rw_LoadOrigin)-1))),"")</f>
        <v/>
      </c>
      <c r="G60" s="60" t="str">
        <f aca="false">IFERROR(IF(INDEX(res_Name,(ROW()-ROW(rw_LoadOrigin)-1))="","",INDEX(rw_Cum,(ROW()-ROW(rw_LoadOrigin)-1),(COLUMN()-COLUMN(rw_LoadOrigin)-1)+1)-INDEX(rw_Cum,(ROW()-ROW(rw_LoadOrigin)-1),(COLUMN()-COLUMN(rw_LoadOrigin)-1))),"")</f>
        <v/>
      </c>
      <c r="H60" s="60" t="str">
        <f aca="false">IFERROR(IF(INDEX(res_Name,(ROW()-ROW(rw_LoadOrigin)-1))="","",INDEX(rw_Cum,(ROW()-ROW(rw_LoadOrigin)-1),(COLUMN()-COLUMN(rw_LoadOrigin)-1)+1)-INDEX(rw_Cum,(ROW()-ROW(rw_LoadOrigin)-1),(COLUMN()-COLUMN(rw_LoadOrigin)-1))),"")</f>
        <v/>
      </c>
      <c r="I60" s="60" t="str">
        <f aca="false">IFERROR(IF(INDEX(res_Name,(ROW()-ROW(rw_LoadOrigin)-1))="","",INDEX(rw_Cum,(ROW()-ROW(rw_LoadOrigin)-1),(COLUMN()-COLUMN(rw_LoadOrigin)-1)+1)-INDEX(rw_Cum,(ROW()-ROW(rw_LoadOrigin)-1),(COLUMN()-COLUMN(rw_LoadOrigin)-1))),"")</f>
        <v/>
      </c>
      <c r="J60" s="60" t="str">
        <f aca="false">IFERROR(IF(INDEX(res_Name,(ROW()-ROW(rw_LoadOrigin)-1))="","",INDEX(rw_Cum,(ROW()-ROW(rw_LoadOrigin)-1),(COLUMN()-COLUMN(rw_LoadOrigin)-1)+1)-INDEX(rw_Cum,(ROW()-ROW(rw_LoadOrigin)-1),(COLUMN()-COLUMN(rw_LoadOrigin)-1))),"")</f>
        <v/>
      </c>
      <c r="K60" s="60" t="str">
        <f aca="false">IFERROR(IF(INDEX(res_Name,(ROW()-ROW(rw_LoadOrigin)-1))="","",INDEX(rw_Cum,(ROW()-ROW(rw_LoadOrigin)-1),(COLUMN()-COLUMN(rw_LoadOrigin)-1)+1)-INDEX(rw_Cum,(ROW()-ROW(rw_LoadOrigin)-1),(COLUMN()-COLUMN(rw_LoadOrigin)-1))),"")</f>
        <v/>
      </c>
      <c r="L60" s="60" t="str">
        <f aca="false">IFERROR(IF(INDEX(res_Name,(ROW()-ROW(rw_LoadOrigin)-1))="","",INDEX(rw_Cum,(ROW()-ROW(rw_LoadOrigin)-1),(COLUMN()-COLUMN(rw_LoadOrigin)-1)+1)-INDEX(rw_Cum,(ROW()-ROW(rw_LoadOrigin)-1),(COLUMN()-COLUMN(rw_LoadOrigin)-1))),"")</f>
        <v/>
      </c>
      <c r="M60" s="60" t="str">
        <f aca="false">IFERROR(IF(INDEX(res_Name,(ROW()-ROW(rw_LoadOrigin)-1))="","",INDEX(rw_Cum,(ROW()-ROW(rw_LoadOrigin)-1),(COLUMN()-COLUMN(rw_LoadOrigin)-1)+1)-INDEX(rw_Cum,(ROW()-ROW(rw_LoadOrigin)-1),(COLUMN()-COLUMN(rw_LoadOrigin)-1))),"")</f>
        <v/>
      </c>
      <c r="N60" s="60" t="str">
        <f aca="false">IFERROR(IF(INDEX(res_Name,(ROW()-ROW(rw_LoadOrigin)-1))="","",INDEX(rw_Cum,(ROW()-ROW(rw_LoadOrigin)-1),(COLUMN()-COLUMN(rw_LoadOrigin)-1)+1)-INDEX(rw_Cum,(ROW()-ROW(rw_LoadOrigin)-1),(COLUMN()-COLUMN(rw_LoadOrigin)-1))),"")</f>
        <v/>
      </c>
      <c r="O60" s="60" t="str">
        <f aca="false">IFERROR(IF(INDEX(res_Name,(ROW()-ROW(rw_LoadOrigin)-1))="","",INDEX(rw_Cum,(ROW()-ROW(rw_LoadOrigin)-1),(COLUMN()-COLUMN(rw_LoadOrigin)-1)+1)-INDEX(rw_Cum,(ROW()-ROW(rw_LoadOrigin)-1),(COLUMN()-COLUMN(rw_LoadOrigin)-1))),"")</f>
        <v/>
      </c>
      <c r="P60" s="60" t="str">
        <f aca="false">IFERROR(IF(INDEX(res_Name,(ROW()-ROW(rw_LoadOrigin)-1))="","",INDEX(rw_Cum,(ROW()-ROW(rw_LoadOrigin)-1),(COLUMN()-COLUMN(rw_LoadOrigin)-1)+1)-INDEX(rw_Cum,(ROW()-ROW(rw_LoadOrigin)-1),(COLUMN()-COLUMN(rw_LoadOrigin)-1))),"")</f>
        <v/>
      </c>
      <c r="Q60" s="60" t="str">
        <f aca="false">IFERROR(IF(INDEX(res_Name,(ROW()-ROW(rw_LoadOrigin)-1))="","",INDEX(rw_Cum,(ROW()-ROW(rw_LoadOrigin)-1),(COLUMN()-COLUMN(rw_LoadOrigin)-1)+1)-INDEX(rw_Cum,(ROW()-ROW(rw_LoadOrigin)-1),(COLUMN()-COLUMN(rw_LoadOrigin)-1))),"")</f>
        <v/>
      </c>
      <c r="R60" s="60" t="str">
        <f aca="false">IFERROR(IF(INDEX(res_Name,(ROW()-ROW(rw_LoadOrigin)-1))="","",INDEX(rw_Cum,(ROW()-ROW(rw_LoadOrigin)-1),(COLUMN()-COLUMN(rw_LoadOrigin)-1)+1)-INDEX(rw_Cum,(ROW()-ROW(rw_LoadOrigin)-1),(COLUMN()-COLUMN(rw_LoadOrigin)-1))),"")</f>
        <v/>
      </c>
      <c r="S60" s="60" t="str">
        <f aca="false">IFERROR(IF(INDEX(res_Name,(ROW()-ROW(rw_LoadOrigin)-1))="","",INDEX(rw_Cum,(ROW()-ROW(rw_LoadOrigin)-1),(COLUMN()-COLUMN(rw_LoadOrigin)-1)+1)-INDEX(rw_Cum,(ROW()-ROW(rw_LoadOrigin)-1),(COLUMN()-COLUMN(rw_LoadOrigin)-1))),"")</f>
        <v/>
      </c>
      <c r="T60" s="60" t="str">
        <f aca="false">IFERROR(IF(INDEX(res_Name,(ROW()-ROW(rw_LoadOrigin)-1))="","",INDEX(rw_Cum,(ROW()-ROW(rw_LoadOrigin)-1),(COLUMN()-COLUMN(rw_LoadOrigin)-1)+1)-INDEX(rw_Cum,(ROW()-ROW(rw_LoadOrigin)-1),(COLUMN()-COLUMN(rw_LoadOrigin)-1))),"")</f>
        <v/>
      </c>
      <c r="U60" s="60" t="str">
        <f aca="false">IFERROR(IF(INDEX(res_Name,(ROW()-ROW(rw_LoadOrigin)-1))="","",INDEX(rw_Cum,(ROW()-ROW(rw_LoadOrigin)-1),(COLUMN()-COLUMN(rw_LoadOrigin)-1)+1)-INDEX(rw_Cum,(ROW()-ROW(rw_LoadOrigin)-1),(COLUMN()-COLUMN(rw_LoadOrigin)-1))),"")</f>
        <v/>
      </c>
      <c r="V60" s="60" t="str">
        <f aca="false">IFERROR(IF(INDEX(res_Name,(ROW()-ROW(rw_LoadOrigin)-1))="","",INDEX(rw_Cum,(ROW()-ROW(rw_LoadOrigin)-1),(COLUMN()-COLUMN(rw_LoadOrigin)-1)+1)-INDEX(rw_Cum,(ROW()-ROW(rw_LoadOrigin)-1),(COLUMN()-COLUMN(rw_LoadOrigin)-1))),"")</f>
        <v/>
      </c>
      <c r="W60" s="60" t="str">
        <f aca="false">IFERROR(IF(INDEX(res_Name,(ROW()-ROW(rw_LoadOrigin)-1))="","",INDEX(rw_Cum,(ROW()-ROW(rw_LoadOrigin)-1),(COLUMN()-COLUMN(rw_LoadOrigin)-1)+1)-INDEX(rw_Cum,(ROW()-ROW(rw_LoadOrigin)-1),(COLUMN()-COLUMN(rw_LoadOrigin)-1))),"")</f>
        <v/>
      </c>
      <c r="X60" s="60" t="str">
        <f aca="false">IFERROR(IF(INDEX(res_Name,(ROW()-ROW(rw_LoadOrigin)-1))="","",INDEX(rw_Cum,(ROW()-ROW(rw_LoadOrigin)-1),(COLUMN()-COLUMN(rw_LoadOrigin)-1)+1)-INDEX(rw_Cum,(ROW()-ROW(rw_LoadOrigin)-1),(COLUMN()-COLUMN(rw_LoadOrigin)-1))),"")</f>
        <v/>
      </c>
      <c r="Y60" s="60" t="str">
        <f aca="false">IFERROR(IF(INDEX(res_Name,(ROW()-ROW(rw_LoadOrigin)-1))="","",INDEX(rw_Cum,(ROW()-ROW(rw_LoadOrigin)-1),(COLUMN()-COLUMN(rw_LoadOrigin)-1)+1)-INDEX(rw_Cum,(ROW()-ROW(rw_LoadOrigin)-1),(COLUMN()-COLUMN(rw_LoadOrigin)-1))),"")</f>
        <v/>
      </c>
      <c r="Z60" s="60" t="str">
        <f aca="false">IFERROR(IF(INDEX(res_Name,(ROW()-ROW(rw_LoadOrigin)-1))="","",INDEX(rw_Cum,(ROW()-ROW(rw_LoadOrigin)-1),(COLUMN()-COLUMN(rw_LoadOrigin)-1)+1)-INDEX(rw_Cum,(ROW()-ROW(rw_LoadOrigin)-1),(COLUMN()-COLUMN(rw_LoadOrigin)-1))),"")</f>
        <v/>
      </c>
      <c r="AA60" s="60" t="str">
        <f aca="false">IFERROR(IF(INDEX(res_Name,(ROW()-ROW(rw_LoadOrigin)-1))="","",INDEX(rw_Cum,(ROW()-ROW(rw_LoadOrigin)-1),(COLUMN()-COLUMN(rw_LoadOrigin)-1)+1)-INDEX(rw_Cum,(ROW()-ROW(rw_LoadOrigin)-1),(COLUMN()-COLUMN(rw_LoadOrigin)-1))),"")</f>
        <v/>
      </c>
      <c r="AB60" s="60" t="str">
        <f aca="false">IFERROR(IF(INDEX(res_Name,(ROW()-ROW(rw_LoadOrigin)-1))="","",INDEX(rw_Cum,(ROW()-ROW(rw_LoadOrigin)-1),(COLUMN()-COLUMN(rw_LoadOrigin)-1)+1)-INDEX(rw_Cum,(ROW()-ROW(rw_LoadOrigin)-1),(COLUMN()-COLUMN(rw_LoadOrigin)-1))),"")</f>
        <v/>
      </c>
      <c r="AC60" s="60" t="str">
        <f aca="false">IFERROR(IF(INDEX(res_Name,(ROW()-ROW(rw_LoadOrigin)-1))="","",INDEX(rw_Cum,(ROW()-ROW(rw_LoadOrigin)-1),(COLUMN()-COLUMN(rw_LoadOrigin)-1)+1)-INDEX(rw_Cum,(ROW()-ROW(rw_LoadOrigin)-1),(COLUMN()-COLUMN(rw_LoadOrigin)-1))),"")</f>
        <v/>
      </c>
    </row>
    <row r="61" customFormat="false" ht="15" hidden="false" customHeight="false" outlineLevel="0" collapsed="false">
      <c r="B61" s="31" t="s">
        <v>237</v>
      </c>
      <c r="D61" s="61" t="n">
        <f aca="false">SUM(INDEX(rw_Load,0,(COLUMN()-COLUMN(rw_LoadOrigin)-1)))</f>
        <v>51.7142857142857</v>
      </c>
      <c r="E61" s="61" t="n">
        <f aca="false">SUM(INDEX(rw_Load,0,(COLUMN()-COLUMN(rw_LoadOrigin)-1)))</f>
        <v>63.3333333333333</v>
      </c>
      <c r="F61" s="61" t="n">
        <f aca="false">SUM(INDEX(rw_Load,0,(COLUMN()-COLUMN(rw_LoadOrigin)-1)))</f>
        <v>67.6190476190477</v>
      </c>
      <c r="G61" s="61" t="n">
        <f aca="false">SUM(INDEX(rw_Load,0,(COLUMN()-COLUMN(rw_LoadOrigin)-1)))</f>
        <v>67.6190476190476</v>
      </c>
      <c r="H61" s="61" t="n">
        <f aca="false">SUM(INDEX(rw_Load,0,(COLUMN()-COLUMN(rw_LoadOrigin)-1)))</f>
        <v>79.4285714285714</v>
      </c>
      <c r="I61" s="61" t="n">
        <f aca="false">SUM(INDEX(rw_Load,0,(COLUMN()-COLUMN(rw_LoadOrigin)-1)))</f>
        <v>48</v>
      </c>
      <c r="J61" s="61" t="n">
        <f aca="false">SUM(INDEX(rw_Load,0,(COLUMN()-COLUMN(rw_LoadOrigin)-1)))</f>
        <v>52</v>
      </c>
      <c r="K61" s="61" t="n">
        <f aca="false">SUM(INDEX(rw_Load,0,(COLUMN()-COLUMN(rw_LoadOrigin)-1)))</f>
        <v>0</v>
      </c>
      <c r="L61" s="61" t="n">
        <f aca="false">SUM(INDEX(rw_Load,0,(COLUMN()-COLUMN(rw_LoadOrigin)-1)))</f>
        <v>0</v>
      </c>
      <c r="M61" s="61" t="n">
        <f aca="false">SUM(INDEX(rw_Load,0,(COLUMN()-COLUMN(rw_LoadOrigin)-1)))</f>
        <v>40</v>
      </c>
      <c r="N61" s="61" t="n">
        <f aca="false">SUM(INDEX(rw_Load,0,(COLUMN()-COLUMN(rw_LoadOrigin)-1)))</f>
        <v>28</v>
      </c>
      <c r="O61" s="61" t="n">
        <f aca="false">SUM(INDEX(rw_Load,0,(COLUMN()-COLUMN(rw_LoadOrigin)-1)))</f>
        <v>12</v>
      </c>
      <c r="P61" s="61" t="n">
        <f aca="false">SUM(INDEX(rw_Load,0,(COLUMN()-COLUMN(rw_LoadOrigin)-1)))</f>
        <v>12</v>
      </c>
      <c r="Q61" s="61" t="n">
        <f aca="false">SUM(INDEX(rw_Load,0,(COLUMN()-COLUMN(rw_LoadOrigin)-1)))</f>
        <v>20</v>
      </c>
      <c r="R61" s="61" t="n">
        <f aca="false">SUM(INDEX(rw_Load,0,(COLUMN()-COLUMN(rw_LoadOrigin)-1)))</f>
        <v>0</v>
      </c>
      <c r="S61" s="61" t="n">
        <f aca="false">SUM(INDEX(rw_Load,0,(COLUMN()-COLUMN(rw_LoadOrigin)-1)))</f>
        <v>0</v>
      </c>
      <c r="T61" s="61" t="n">
        <f aca="false">SUM(INDEX(rw_Load,0,(COLUMN()-COLUMN(rw_LoadOrigin)-1)))</f>
        <v>0</v>
      </c>
      <c r="U61" s="61" t="n">
        <f aca="false">SUM(INDEX(rw_Load,0,(COLUMN()-COLUMN(rw_LoadOrigin)-1)))</f>
        <v>0</v>
      </c>
      <c r="V61" s="61" t="n">
        <f aca="false">SUM(INDEX(rw_Load,0,(COLUMN()-COLUMN(rw_LoadOrigin)-1)))</f>
        <v>0</v>
      </c>
      <c r="W61" s="61" t="n">
        <f aca="false">SUM(INDEX(rw_Load,0,(COLUMN()-COLUMN(rw_LoadOrigin)-1)))</f>
        <v>0</v>
      </c>
      <c r="X61" s="61" t="n">
        <f aca="false">SUM(INDEX(rw_Load,0,(COLUMN()-COLUMN(rw_LoadOrigin)-1)))</f>
        <v>0</v>
      </c>
      <c r="Y61" s="61" t="n">
        <f aca="false">SUM(INDEX(rw_Load,0,(COLUMN()-COLUMN(rw_LoadOrigin)-1)))</f>
        <v>0</v>
      </c>
      <c r="Z61" s="61" t="n">
        <f aca="false">SUM(INDEX(rw_Load,0,(COLUMN()-COLUMN(rw_LoadOrigin)-1)))</f>
        <v>0</v>
      </c>
      <c r="AA61" s="61" t="n">
        <f aca="false">SUM(INDEX(rw_Load,0,(COLUMN()-COLUMN(rw_LoadOrigin)-1)))</f>
        <v>0</v>
      </c>
      <c r="AB61" s="61" t="n">
        <f aca="false">SUM(INDEX(rw_Load,0,(COLUMN()-COLUMN(rw_LoadOrigin)-1)))</f>
        <v>0</v>
      </c>
      <c r="AC61" s="61" t="n">
        <f aca="false">SUM(INDEX(rw_Load,0,(COLUMN()-COLUMN(rw_LoadOrigin)-1)))</f>
        <v>0</v>
      </c>
    </row>
    <row r="62" customFormat="false" ht="15" hidden="false" customHeight="false" outlineLevel="0" collapsed="false">
      <c r="B62" s="31" t="s">
        <v>238</v>
      </c>
      <c r="D62" s="61" t="n">
        <f aca="false">SUMIFS(res_MaxUnits,res_Type,"Work")*HoursPerDay*INDEX(rw_WeekDays,(COLUMN()-COLUMN(rw_LoadOrigin)-1))</f>
        <v>240</v>
      </c>
      <c r="E62" s="61" t="n">
        <f aca="false">SUMIFS(res_MaxUnits,res_Type,"Work")*HoursPerDay*INDEX(rw_WeekDays,(COLUMN()-COLUMN(rw_LoadOrigin)-1))</f>
        <v>240</v>
      </c>
      <c r="F62" s="61" t="n">
        <f aca="false">SUMIFS(res_MaxUnits,res_Type,"Work")*HoursPerDay*INDEX(rw_WeekDays,(COLUMN()-COLUMN(rw_LoadOrigin)-1))</f>
        <v>240</v>
      </c>
      <c r="G62" s="61" t="n">
        <f aca="false">SUMIFS(res_MaxUnits,res_Type,"Work")*HoursPerDay*INDEX(rw_WeekDays,(COLUMN()-COLUMN(rw_LoadOrigin)-1))</f>
        <v>240</v>
      </c>
      <c r="H62" s="61" t="n">
        <f aca="false">SUMIFS(res_MaxUnits,res_Type,"Work")*HoursPerDay*INDEX(rw_WeekDays,(COLUMN()-COLUMN(rw_LoadOrigin)-1))</f>
        <v>240</v>
      </c>
      <c r="I62" s="61" t="n">
        <f aca="false">SUMIFS(res_MaxUnits,res_Type,"Work")*HoursPerDay*INDEX(rw_WeekDays,(COLUMN()-COLUMN(rw_LoadOrigin)-1))</f>
        <v>240</v>
      </c>
      <c r="J62" s="61" t="n">
        <f aca="false">SUMIFS(res_MaxUnits,res_Type,"Work")*HoursPerDay*INDEX(rw_WeekDays,(COLUMN()-COLUMN(rw_LoadOrigin)-1))</f>
        <v>240</v>
      </c>
      <c r="K62" s="61" t="n">
        <f aca="false">SUMIFS(res_MaxUnits,res_Type,"Work")*HoursPerDay*INDEX(rw_WeekDays,(COLUMN()-COLUMN(rw_LoadOrigin)-1))</f>
        <v>240</v>
      </c>
      <c r="L62" s="61" t="n">
        <f aca="false">SUMIFS(res_MaxUnits,res_Type,"Work")*HoursPerDay*INDEX(rw_WeekDays,(COLUMN()-COLUMN(rw_LoadOrigin)-1))</f>
        <v>240</v>
      </c>
      <c r="M62" s="61" t="n">
        <f aca="false">SUMIFS(res_MaxUnits,res_Type,"Work")*HoursPerDay*INDEX(rw_WeekDays,(COLUMN()-COLUMN(rw_LoadOrigin)-1))</f>
        <v>240</v>
      </c>
      <c r="N62" s="61" t="n">
        <f aca="false">SUMIFS(res_MaxUnits,res_Type,"Work")*HoursPerDay*INDEX(rw_WeekDays,(COLUMN()-COLUMN(rw_LoadOrigin)-1))</f>
        <v>240</v>
      </c>
      <c r="O62" s="61" t="n">
        <f aca="false">SUMIFS(res_MaxUnits,res_Type,"Work")*HoursPerDay*INDEX(rw_WeekDays,(COLUMN()-COLUMN(rw_LoadOrigin)-1))</f>
        <v>144</v>
      </c>
      <c r="P62" s="61" t="n">
        <f aca="false">SUMIFS(res_MaxUnits,res_Type,"Work")*HoursPerDay*INDEX(rw_WeekDays,(COLUMN()-COLUMN(rw_LoadOrigin)-1))</f>
        <v>144</v>
      </c>
      <c r="Q62" s="61" t="n">
        <f aca="false">SUMIFS(res_MaxUnits,res_Type,"Work")*HoursPerDay*INDEX(rw_WeekDays,(COLUMN()-COLUMN(rw_LoadOrigin)-1))</f>
        <v>240</v>
      </c>
      <c r="R62" s="61" t="n">
        <f aca="false">SUMIFS(res_MaxUnits,res_Type,"Work")*HoursPerDay*INDEX(rw_WeekDays,(COLUMN()-COLUMN(rw_LoadOrigin)-1))</f>
        <v>240</v>
      </c>
      <c r="S62" s="61" t="n">
        <f aca="false">SUMIFS(res_MaxUnits,res_Type,"Work")*HoursPerDay*INDEX(rw_WeekDays,(COLUMN()-COLUMN(rw_LoadOrigin)-1))</f>
        <v>240</v>
      </c>
      <c r="T62" s="61" t="n">
        <f aca="false">SUMIFS(res_MaxUnits,res_Type,"Work")*HoursPerDay*INDEX(rw_WeekDays,(COLUMN()-COLUMN(rw_LoadOrigin)-1))</f>
        <v>240</v>
      </c>
      <c r="U62" s="61" t="n">
        <f aca="false">SUMIFS(res_MaxUnits,res_Type,"Work")*HoursPerDay*INDEX(rw_WeekDays,(COLUMN()-COLUMN(rw_LoadOrigin)-1))</f>
        <v>240</v>
      </c>
      <c r="V62" s="61" t="n">
        <f aca="false">SUMIFS(res_MaxUnits,res_Type,"Work")*HoursPerDay*INDEX(rw_WeekDays,(COLUMN()-COLUMN(rw_LoadOrigin)-1))</f>
        <v>240</v>
      </c>
      <c r="W62" s="61" t="n">
        <f aca="false">SUMIFS(res_MaxUnits,res_Type,"Work")*HoursPerDay*INDEX(rw_WeekDays,(COLUMN()-COLUMN(rw_LoadOrigin)-1))</f>
        <v>240</v>
      </c>
      <c r="X62" s="61" t="n">
        <f aca="false">SUMIFS(res_MaxUnits,res_Type,"Work")*HoursPerDay*INDEX(rw_WeekDays,(COLUMN()-COLUMN(rw_LoadOrigin)-1))</f>
        <v>240</v>
      </c>
      <c r="Y62" s="61" t="n">
        <f aca="false">SUMIFS(res_MaxUnits,res_Type,"Work")*HoursPerDay*INDEX(rw_WeekDays,(COLUMN()-COLUMN(rw_LoadOrigin)-1))</f>
        <v>240</v>
      </c>
      <c r="Z62" s="61" t="n">
        <f aca="false">SUMIFS(res_MaxUnits,res_Type,"Work")*HoursPerDay*INDEX(rw_WeekDays,(COLUMN()-COLUMN(rw_LoadOrigin)-1))</f>
        <v>240</v>
      </c>
      <c r="AA62" s="61" t="n">
        <f aca="false">SUMIFS(res_MaxUnits,res_Type,"Work")*HoursPerDay*INDEX(rw_WeekDays,(COLUMN()-COLUMN(rw_LoadOrigin)-1))</f>
        <v>240</v>
      </c>
      <c r="AB62" s="61" t="n">
        <f aca="false">SUMIFS(res_MaxUnits,res_Type,"Work")*HoursPerDay*INDEX(rw_WeekDays,(COLUMN()-COLUMN(rw_LoadOrigin)-1))</f>
        <v>240</v>
      </c>
      <c r="AC62" s="61" t="n">
        <f aca="false">SUMIFS(res_MaxUnits,res_Type,"Work")*HoursPerDay*INDEX(rw_WeekDays,(COLUMN()-COLUMN(rw_LoadOrigin)-1))</f>
        <v>240</v>
      </c>
    </row>
    <row r="64" customFormat="false" ht="15" hidden="false" customHeight="false" outlineLevel="0" collapsed="false">
      <c r="B64" s="55" t="s">
        <v>239</v>
      </c>
    </row>
    <row r="66" customFormat="false" ht="15" hidden="false" customHeight="false" outlineLevel="0" collapsed="false">
      <c r="B66" s="9" t="s">
        <v>218</v>
      </c>
      <c r="C66" s="9" t="s">
        <v>224</v>
      </c>
      <c r="D66" s="56" t="n">
        <f aca="false">(ResourceWeekStart+7*((COLUMN()-COLUMN(rw_UtilOrigin)-1)-1))</f>
        <v>46300</v>
      </c>
      <c r="E66" s="56" t="n">
        <f aca="false">(ResourceWeekStart+7*((COLUMN()-COLUMN(rw_UtilOrigin)-1)-1))</f>
        <v>46307</v>
      </c>
      <c r="F66" s="56" t="n">
        <f aca="false">(ResourceWeekStart+7*((COLUMN()-COLUMN(rw_UtilOrigin)-1)-1))</f>
        <v>46314</v>
      </c>
      <c r="G66" s="56" t="n">
        <f aca="false">(ResourceWeekStart+7*((COLUMN()-COLUMN(rw_UtilOrigin)-1)-1))</f>
        <v>46321</v>
      </c>
      <c r="H66" s="56" t="n">
        <f aca="false">(ResourceWeekStart+7*((COLUMN()-COLUMN(rw_UtilOrigin)-1)-1))</f>
        <v>46328</v>
      </c>
      <c r="I66" s="56" t="n">
        <f aca="false">(ResourceWeekStart+7*((COLUMN()-COLUMN(rw_UtilOrigin)-1)-1))</f>
        <v>46335</v>
      </c>
      <c r="J66" s="56" t="n">
        <f aca="false">(ResourceWeekStart+7*((COLUMN()-COLUMN(rw_UtilOrigin)-1)-1))</f>
        <v>46342</v>
      </c>
      <c r="K66" s="56" t="n">
        <f aca="false">(ResourceWeekStart+7*((COLUMN()-COLUMN(rw_UtilOrigin)-1)-1))</f>
        <v>46349</v>
      </c>
      <c r="L66" s="56" t="n">
        <f aca="false">(ResourceWeekStart+7*((COLUMN()-COLUMN(rw_UtilOrigin)-1)-1))</f>
        <v>46356</v>
      </c>
      <c r="M66" s="56" t="n">
        <f aca="false">(ResourceWeekStart+7*((COLUMN()-COLUMN(rw_UtilOrigin)-1)-1))</f>
        <v>46363</v>
      </c>
      <c r="N66" s="56" t="n">
        <f aca="false">(ResourceWeekStart+7*((COLUMN()-COLUMN(rw_UtilOrigin)-1)-1))</f>
        <v>46370</v>
      </c>
      <c r="O66" s="56" t="n">
        <f aca="false">(ResourceWeekStart+7*((COLUMN()-COLUMN(rw_UtilOrigin)-1)-1))</f>
        <v>46377</v>
      </c>
      <c r="P66" s="56" t="n">
        <f aca="false">(ResourceWeekStart+7*((COLUMN()-COLUMN(rw_UtilOrigin)-1)-1))</f>
        <v>46384</v>
      </c>
      <c r="Q66" s="56" t="n">
        <f aca="false">(ResourceWeekStart+7*((COLUMN()-COLUMN(rw_UtilOrigin)-1)-1))</f>
        <v>46391</v>
      </c>
      <c r="R66" s="56" t="n">
        <f aca="false">(ResourceWeekStart+7*((COLUMN()-COLUMN(rw_UtilOrigin)-1)-1))</f>
        <v>46398</v>
      </c>
      <c r="S66" s="56" t="n">
        <f aca="false">(ResourceWeekStart+7*((COLUMN()-COLUMN(rw_UtilOrigin)-1)-1))</f>
        <v>46405</v>
      </c>
      <c r="T66" s="56" t="n">
        <f aca="false">(ResourceWeekStart+7*((COLUMN()-COLUMN(rw_UtilOrigin)-1)-1))</f>
        <v>46412</v>
      </c>
      <c r="U66" s="56" t="n">
        <f aca="false">(ResourceWeekStart+7*((COLUMN()-COLUMN(rw_UtilOrigin)-1)-1))</f>
        <v>46419</v>
      </c>
      <c r="V66" s="56" t="n">
        <f aca="false">(ResourceWeekStart+7*((COLUMN()-COLUMN(rw_UtilOrigin)-1)-1))</f>
        <v>46426</v>
      </c>
      <c r="W66" s="56" t="n">
        <f aca="false">(ResourceWeekStart+7*((COLUMN()-COLUMN(rw_UtilOrigin)-1)-1))</f>
        <v>46433</v>
      </c>
      <c r="X66" s="56" t="n">
        <f aca="false">(ResourceWeekStart+7*((COLUMN()-COLUMN(rw_UtilOrigin)-1)-1))</f>
        <v>46440</v>
      </c>
      <c r="Y66" s="56" t="n">
        <f aca="false">(ResourceWeekStart+7*((COLUMN()-COLUMN(rw_UtilOrigin)-1)-1))</f>
        <v>46447</v>
      </c>
      <c r="Z66" s="56" t="n">
        <f aca="false">(ResourceWeekStart+7*((COLUMN()-COLUMN(rw_UtilOrigin)-1)-1))</f>
        <v>46454</v>
      </c>
      <c r="AA66" s="56" t="n">
        <f aca="false">(ResourceWeekStart+7*((COLUMN()-COLUMN(rw_UtilOrigin)-1)-1))</f>
        <v>46461</v>
      </c>
      <c r="AB66" s="56" t="n">
        <f aca="false">(ResourceWeekStart+7*((COLUMN()-COLUMN(rw_UtilOrigin)-1)-1))</f>
        <v>46468</v>
      </c>
      <c r="AC66" s="56" t="n">
        <f aca="false">(ResourceWeekStart+7*((COLUMN()-COLUMN(rw_UtilOrigin)-1)-1))</f>
        <v>46475</v>
      </c>
    </row>
    <row r="67" customFormat="false" ht="15" hidden="false" customHeight="false" outlineLevel="0" collapsed="false">
      <c r="B67" s="57" t="s">
        <v>236</v>
      </c>
      <c r="D67" s="58" t="n">
        <f aca="false">NETWORKDAYS.INTL((ResourceWeekStart+7*((COLUMN()-COLUMN(rw_UtilOrigin)-1)-1)),(ResourceWeekStart+7*((COLUMN()-COLUMN(rw_UtilOrigin)-1)-1))+6,WorkWeek,Holidays)</f>
        <v>5</v>
      </c>
      <c r="E67" s="58" t="n">
        <f aca="false">NETWORKDAYS.INTL((ResourceWeekStart+7*((COLUMN()-COLUMN(rw_UtilOrigin)-1)-1)),(ResourceWeekStart+7*((COLUMN()-COLUMN(rw_UtilOrigin)-1)-1))+6,WorkWeek,Holidays)</f>
        <v>5</v>
      </c>
      <c r="F67" s="58" t="n">
        <f aca="false">NETWORKDAYS.INTL((ResourceWeekStart+7*((COLUMN()-COLUMN(rw_UtilOrigin)-1)-1)),(ResourceWeekStart+7*((COLUMN()-COLUMN(rw_UtilOrigin)-1)-1))+6,WorkWeek,Holidays)</f>
        <v>5</v>
      </c>
      <c r="G67" s="58" t="n">
        <f aca="false">NETWORKDAYS.INTL((ResourceWeekStart+7*((COLUMN()-COLUMN(rw_UtilOrigin)-1)-1)),(ResourceWeekStart+7*((COLUMN()-COLUMN(rw_UtilOrigin)-1)-1))+6,WorkWeek,Holidays)</f>
        <v>5</v>
      </c>
      <c r="H67" s="58" t="n">
        <f aca="false">NETWORKDAYS.INTL((ResourceWeekStart+7*((COLUMN()-COLUMN(rw_UtilOrigin)-1)-1)),(ResourceWeekStart+7*((COLUMN()-COLUMN(rw_UtilOrigin)-1)-1))+6,WorkWeek,Holidays)</f>
        <v>5</v>
      </c>
      <c r="I67" s="58" t="n">
        <f aca="false">NETWORKDAYS.INTL((ResourceWeekStart+7*((COLUMN()-COLUMN(rw_UtilOrigin)-1)-1)),(ResourceWeekStart+7*((COLUMN()-COLUMN(rw_UtilOrigin)-1)-1))+6,WorkWeek,Holidays)</f>
        <v>5</v>
      </c>
      <c r="J67" s="58" t="n">
        <f aca="false">NETWORKDAYS.INTL((ResourceWeekStart+7*((COLUMN()-COLUMN(rw_UtilOrigin)-1)-1)),(ResourceWeekStart+7*((COLUMN()-COLUMN(rw_UtilOrigin)-1)-1))+6,WorkWeek,Holidays)</f>
        <v>5</v>
      </c>
      <c r="K67" s="58" t="n">
        <f aca="false">NETWORKDAYS.INTL((ResourceWeekStart+7*((COLUMN()-COLUMN(rw_UtilOrigin)-1)-1)),(ResourceWeekStart+7*((COLUMN()-COLUMN(rw_UtilOrigin)-1)-1))+6,WorkWeek,Holidays)</f>
        <v>5</v>
      </c>
      <c r="L67" s="58" t="n">
        <f aca="false">NETWORKDAYS.INTL((ResourceWeekStart+7*((COLUMN()-COLUMN(rw_UtilOrigin)-1)-1)),(ResourceWeekStart+7*((COLUMN()-COLUMN(rw_UtilOrigin)-1)-1))+6,WorkWeek,Holidays)</f>
        <v>5</v>
      </c>
      <c r="M67" s="58" t="n">
        <f aca="false">NETWORKDAYS.INTL((ResourceWeekStart+7*((COLUMN()-COLUMN(rw_UtilOrigin)-1)-1)),(ResourceWeekStart+7*((COLUMN()-COLUMN(rw_UtilOrigin)-1)-1))+6,WorkWeek,Holidays)</f>
        <v>5</v>
      </c>
      <c r="N67" s="58" t="n">
        <f aca="false">NETWORKDAYS.INTL((ResourceWeekStart+7*((COLUMN()-COLUMN(rw_UtilOrigin)-1)-1)),(ResourceWeekStart+7*((COLUMN()-COLUMN(rw_UtilOrigin)-1)-1))+6,WorkWeek,Holidays)</f>
        <v>5</v>
      </c>
      <c r="O67" s="58" t="n">
        <f aca="false">NETWORKDAYS.INTL((ResourceWeekStart+7*((COLUMN()-COLUMN(rw_UtilOrigin)-1)-1)),(ResourceWeekStart+7*((COLUMN()-COLUMN(rw_UtilOrigin)-1)-1))+6,WorkWeek,Holidays)</f>
        <v>3</v>
      </c>
      <c r="P67" s="58" t="n">
        <f aca="false">NETWORKDAYS.INTL((ResourceWeekStart+7*((COLUMN()-COLUMN(rw_UtilOrigin)-1)-1)),(ResourceWeekStart+7*((COLUMN()-COLUMN(rw_UtilOrigin)-1)-1))+6,WorkWeek,Holidays)</f>
        <v>3</v>
      </c>
      <c r="Q67" s="58" t="n">
        <f aca="false">NETWORKDAYS.INTL((ResourceWeekStart+7*((COLUMN()-COLUMN(rw_UtilOrigin)-1)-1)),(ResourceWeekStart+7*((COLUMN()-COLUMN(rw_UtilOrigin)-1)-1))+6,WorkWeek,Holidays)</f>
        <v>5</v>
      </c>
      <c r="R67" s="58" t="n">
        <f aca="false">NETWORKDAYS.INTL((ResourceWeekStart+7*((COLUMN()-COLUMN(rw_UtilOrigin)-1)-1)),(ResourceWeekStart+7*((COLUMN()-COLUMN(rw_UtilOrigin)-1)-1))+6,WorkWeek,Holidays)</f>
        <v>5</v>
      </c>
      <c r="S67" s="58" t="n">
        <f aca="false">NETWORKDAYS.INTL((ResourceWeekStart+7*((COLUMN()-COLUMN(rw_UtilOrigin)-1)-1)),(ResourceWeekStart+7*((COLUMN()-COLUMN(rw_UtilOrigin)-1)-1))+6,WorkWeek,Holidays)</f>
        <v>5</v>
      </c>
      <c r="T67" s="58" t="n">
        <f aca="false">NETWORKDAYS.INTL((ResourceWeekStart+7*((COLUMN()-COLUMN(rw_UtilOrigin)-1)-1)),(ResourceWeekStart+7*((COLUMN()-COLUMN(rw_UtilOrigin)-1)-1))+6,WorkWeek,Holidays)</f>
        <v>5</v>
      </c>
      <c r="U67" s="58" t="n">
        <f aca="false">NETWORKDAYS.INTL((ResourceWeekStart+7*((COLUMN()-COLUMN(rw_UtilOrigin)-1)-1)),(ResourceWeekStart+7*((COLUMN()-COLUMN(rw_UtilOrigin)-1)-1))+6,WorkWeek,Holidays)</f>
        <v>5</v>
      </c>
      <c r="V67" s="58" t="n">
        <f aca="false">NETWORKDAYS.INTL((ResourceWeekStart+7*((COLUMN()-COLUMN(rw_UtilOrigin)-1)-1)),(ResourceWeekStart+7*((COLUMN()-COLUMN(rw_UtilOrigin)-1)-1))+6,WorkWeek,Holidays)</f>
        <v>5</v>
      </c>
      <c r="W67" s="58" t="n">
        <f aca="false">NETWORKDAYS.INTL((ResourceWeekStart+7*((COLUMN()-COLUMN(rw_UtilOrigin)-1)-1)),(ResourceWeekStart+7*((COLUMN()-COLUMN(rw_UtilOrigin)-1)-1))+6,WorkWeek,Holidays)</f>
        <v>5</v>
      </c>
      <c r="X67" s="58" t="n">
        <f aca="false">NETWORKDAYS.INTL((ResourceWeekStart+7*((COLUMN()-COLUMN(rw_UtilOrigin)-1)-1)),(ResourceWeekStart+7*((COLUMN()-COLUMN(rw_UtilOrigin)-1)-1))+6,WorkWeek,Holidays)</f>
        <v>5</v>
      </c>
      <c r="Y67" s="58" t="n">
        <f aca="false">NETWORKDAYS.INTL((ResourceWeekStart+7*((COLUMN()-COLUMN(rw_UtilOrigin)-1)-1)),(ResourceWeekStart+7*((COLUMN()-COLUMN(rw_UtilOrigin)-1)-1))+6,WorkWeek,Holidays)</f>
        <v>5</v>
      </c>
      <c r="Z67" s="58" t="n">
        <f aca="false">NETWORKDAYS.INTL((ResourceWeekStart+7*((COLUMN()-COLUMN(rw_UtilOrigin)-1)-1)),(ResourceWeekStart+7*((COLUMN()-COLUMN(rw_UtilOrigin)-1)-1))+6,WorkWeek,Holidays)</f>
        <v>5</v>
      </c>
      <c r="AA67" s="58" t="n">
        <f aca="false">NETWORKDAYS.INTL((ResourceWeekStart+7*((COLUMN()-COLUMN(rw_UtilOrigin)-1)-1)),(ResourceWeekStart+7*((COLUMN()-COLUMN(rw_UtilOrigin)-1)-1))+6,WorkWeek,Holidays)</f>
        <v>5</v>
      </c>
      <c r="AB67" s="58" t="n">
        <f aca="false">NETWORKDAYS.INTL((ResourceWeekStart+7*((COLUMN()-COLUMN(rw_UtilOrigin)-1)-1)),(ResourceWeekStart+7*((COLUMN()-COLUMN(rw_UtilOrigin)-1)-1))+6,WorkWeek,Holidays)</f>
        <v>5</v>
      </c>
      <c r="AC67" s="58" t="n">
        <f aca="false">NETWORKDAYS.INTL((ResourceWeekStart+7*((COLUMN()-COLUMN(rw_UtilOrigin)-1)-1)),(ResourceWeekStart+7*((COLUMN()-COLUMN(rw_UtilOrigin)-1)-1))+6,WorkWeek,Holidays)</f>
        <v>5</v>
      </c>
    </row>
    <row r="68" customFormat="false" ht="15" hidden="false" customHeight="false" outlineLevel="0" collapsed="false">
      <c r="B68" s="31" t="str">
        <f aca="false">IFERROR(INDEX(res_Name,(ROW()-ROW(rw_UtilOrigin)-1))&amp;"","")</f>
        <v>Priya Sharma</v>
      </c>
      <c r="C68" s="59" t="n">
        <f aca="false">IFERROR(IF(INDEX(res_Name,(ROW()-ROW(rw_UtilOrigin)-1))="","",INDEX(res_MaxUnits,(ROW()-ROW(rw_UtilOrigin)-1))),"")</f>
        <v>0.5</v>
      </c>
      <c r="D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E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F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G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H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I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J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0.4</v>
      </c>
      <c r="K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L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M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N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0.4</v>
      </c>
      <c r="O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P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Q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0.8</v>
      </c>
      <c r="R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S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T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U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V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W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X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Y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Z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AA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AB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AC68"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row>
    <row r="69" customFormat="false" ht="15" hidden="false" customHeight="false" outlineLevel="0" collapsed="false">
      <c r="B69" s="31" t="str">
        <f aca="false">IFERROR(INDEX(res_Name,(ROW()-ROW(rw_UtilOrigin)-1))&amp;"","")</f>
        <v>Morgan Patel</v>
      </c>
      <c r="C69" s="59" t="n">
        <f aca="false">IFERROR(IF(INDEX(res_Name,(ROW()-ROW(rw_UtilOrigin)-1))="","",INDEX(res_MaxUnits,(ROW()-ROW(rw_UtilOrigin)-1))),"")</f>
        <v>1</v>
      </c>
      <c r="D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E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F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G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H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I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J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K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L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M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1</v>
      </c>
      <c r="N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0.2</v>
      </c>
      <c r="O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P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Q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R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S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T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U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V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W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X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Y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Z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AA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AB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AC69"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row>
    <row r="70" customFormat="false" ht="15" hidden="false" customHeight="false" outlineLevel="0" collapsed="false">
      <c r="B70" s="31" t="str">
        <f aca="false">IFERROR(INDEX(res_Name,(ROW()-ROW(rw_UtilOrigin)-1))&amp;"","")</f>
        <v>Alex Chen</v>
      </c>
      <c r="C70" s="59" t="n">
        <f aca="false">IFERROR(IF(INDEX(res_Name,(ROW()-ROW(rw_UtilOrigin)-1))="","",INDEX(res_MaxUnits,(ROW()-ROW(rw_UtilOrigin)-1))),"")</f>
        <v>0.5</v>
      </c>
      <c r="D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E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F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G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H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I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J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K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L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M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N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O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P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Q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R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S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T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U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V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W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X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Y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Z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AA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AB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AC70"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row>
    <row r="71" customFormat="false" ht="15" hidden="false" customHeight="false" outlineLevel="0" collapsed="false">
      <c r="B71" s="31" t="str">
        <f aca="false">IFERROR(INDEX(res_Name,(ROW()-ROW(rw_UtilOrigin)-1))&amp;"","")</f>
        <v>Casey Kim</v>
      </c>
      <c r="C71" s="59" t="n">
        <f aca="false">IFERROR(IF(INDEX(res_Name,(ROW()-ROW(rw_UtilOrigin)-1))="","",INDEX(res_MaxUnits,(ROW()-ROW(rw_UtilOrigin)-1))),"")</f>
        <v>1</v>
      </c>
      <c r="D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0.342857142857143</v>
      </c>
      <c r="E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F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G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H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0.3</v>
      </c>
      <c r="I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0.2</v>
      </c>
      <c r="J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0.3</v>
      </c>
      <c r="K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L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M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N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O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P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Q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R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S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T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U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V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W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X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Y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Z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AA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AB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AC71"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row>
    <row r="72" customFormat="false" ht="15" hidden="false" customHeight="false" outlineLevel="0" collapsed="false">
      <c r="B72" s="31" t="str">
        <f aca="false">IFERROR(INDEX(res_Name,(ROW()-ROW(rw_UtilOrigin)-1))&amp;"","")</f>
        <v>Jordan Lee</v>
      </c>
      <c r="C72" s="59" t="n">
        <f aca="false">IFERROR(IF(INDEX(res_Name,(ROW()-ROW(rw_UtilOrigin)-1))="","",INDEX(res_MaxUnits,(ROW()-ROW(rw_UtilOrigin)-1))),"")</f>
        <v>1</v>
      </c>
      <c r="D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0.5</v>
      </c>
      <c r="E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0.833333333333333</v>
      </c>
      <c r="F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0.833333333333334</v>
      </c>
      <c r="G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0.833333333333333</v>
      </c>
      <c r="H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1</v>
      </c>
      <c r="I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0.2</v>
      </c>
      <c r="J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K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L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M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N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0.3</v>
      </c>
      <c r="O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0.5</v>
      </c>
      <c r="P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0.5</v>
      </c>
      <c r="Q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0.1</v>
      </c>
      <c r="R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S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T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U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V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W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X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Y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Z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AA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AB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AC72"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row>
    <row r="73" customFormat="false" ht="15" hidden="false" customHeight="false" outlineLevel="0" collapsed="false">
      <c r="B73" s="31" t="str">
        <f aca="false">IFERROR(INDEX(res_Name,(ROW()-ROW(rw_UtilOrigin)-1))&amp;"","")</f>
        <v>Sam Rivera</v>
      </c>
      <c r="C73" s="59" t="n">
        <f aca="false">IFERROR(IF(INDEX(res_Name,(ROW()-ROW(rw_UtilOrigin)-1))="","",INDEX(res_MaxUnits,(ROW()-ROW(rw_UtilOrigin)-1))),"")</f>
        <v>1</v>
      </c>
      <c r="D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0.45</v>
      </c>
      <c r="E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0.75</v>
      </c>
      <c r="F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0.857142857142858</v>
      </c>
      <c r="G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0.857142857142857</v>
      </c>
      <c r="H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0.685714285714285</v>
      </c>
      <c r="I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J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K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L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M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N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O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P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Q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R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S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T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U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V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W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X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Y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Z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AA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AB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AC73"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row>
    <row r="74" customFormat="false" ht="15" hidden="false" customHeight="false" outlineLevel="0" collapsed="false">
      <c r="B74" s="31" t="str">
        <f aca="false">IFERROR(INDEX(res_Name,(ROW()-ROW(rw_UtilOrigin)-1))&amp;"","")</f>
        <v>Taylor Morgan</v>
      </c>
      <c r="C74" s="59" t="n">
        <f aca="false">IFERROR(IF(INDEX(res_Name,(ROW()-ROW(rw_UtilOrigin)-1))="","",INDEX(res_MaxUnits,(ROW()-ROW(rw_UtilOrigin)-1))),"")</f>
        <v>1</v>
      </c>
      <c r="D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E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F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G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H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I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0.8</v>
      </c>
      <c r="J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0.8</v>
      </c>
      <c r="K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L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M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N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O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P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Q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R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S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T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U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V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W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X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Y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Z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AA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AB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c r="AC74" s="62" t="n">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0</v>
      </c>
    </row>
    <row r="75" customFormat="false" ht="15" hidden="false" customHeight="false" outlineLevel="0" collapsed="false">
      <c r="B75" s="31" t="str">
        <f aca="false">IFERROR(INDEX(res_Name,(ROW()-ROW(rw_UtilOrigin)-1))&amp;"","")</f>
        <v/>
      </c>
      <c r="C75" s="59" t="str">
        <f aca="false">IFERROR(IF(INDEX(res_Name,(ROW()-ROW(rw_UtilOrigin)-1))="","",INDEX(res_MaxUnits,(ROW()-ROW(rw_UtilOrigin)-1))),"")</f>
        <v/>
      </c>
      <c r="D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7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76" customFormat="false" ht="15" hidden="false" customHeight="false" outlineLevel="0" collapsed="false">
      <c r="B76" s="31" t="str">
        <f aca="false">IFERROR(INDEX(res_Name,(ROW()-ROW(rw_UtilOrigin)-1))&amp;"","")</f>
        <v/>
      </c>
      <c r="C76" s="59" t="str">
        <f aca="false">IFERROR(IF(INDEX(res_Name,(ROW()-ROW(rw_UtilOrigin)-1))="","",INDEX(res_MaxUnits,(ROW()-ROW(rw_UtilOrigin)-1))),"")</f>
        <v/>
      </c>
      <c r="D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7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77" customFormat="false" ht="15" hidden="false" customHeight="false" outlineLevel="0" collapsed="false">
      <c r="B77" s="31" t="str">
        <f aca="false">IFERROR(INDEX(res_Name,(ROW()-ROW(rw_UtilOrigin)-1))&amp;"","")</f>
        <v/>
      </c>
      <c r="C77" s="59" t="str">
        <f aca="false">IFERROR(IF(INDEX(res_Name,(ROW()-ROW(rw_UtilOrigin)-1))="","",INDEX(res_MaxUnits,(ROW()-ROW(rw_UtilOrigin)-1))),"")</f>
        <v/>
      </c>
      <c r="D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7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78" customFormat="false" ht="15" hidden="false" customHeight="false" outlineLevel="0" collapsed="false">
      <c r="B78" s="31" t="str">
        <f aca="false">IFERROR(INDEX(res_Name,(ROW()-ROW(rw_UtilOrigin)-1))&amp;"","")</f>
        <v/>
      </c>
      <c r="C78" s="59" t="str">
        <f aca="false">IFERROR(IF(INDEX(res_Name,(ROW()-ROW(rw_UtilOrigin)-1))="","",INDEX(res_MaxUnits,(ROW()-ROW(rw_UtilOrigin)-1))),"")</f>
        <v/>
      </c>
      <c r="D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7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79" customFormat="false" ht="15" hidden="false" customHeight="false" outlineLevel="0" collapsed="false">
      <c r="B79" s="31" t="str">
        <f aca="false">IFERROR(INDEX(res_Name,(ROW()-ROW(rw_UtilOrigin)-1))&amp;"","")</f>
        <v/>
      </c>
      <c r="C79" s="59" t="str">
        <f aca="false">IFERROR(IF(INDEX(res_Name,(ROW()-ROW(rw_UtilOrigin)-1))="","",INDEX(res_MaxUnits,(ROW()-ROW(rw_UtilOrigin)-1))),"")</f>
        <v/>
      </c>
      <c r="D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7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80" customFormat="false" ht="15" hidden="false" customHeight="false" outlineLevel="0" collapsed="false">
      <c r="B80" s="31" t="str">
        <f aca="false">IFERROR(INDEX(res_Name,(ROW()-ROW(rw_UtilOrigin)-1))&amp;"","")</f>
        <v/>
      </c>
      <c r="C80" s="59" t="str">
        <f aca="false">IFERROR(IF(INDEX(res_Name,(ROW()-ROW(rw_UtilOrigin)-1))="","",INDEX(res_MaxUnits,(ROW()-ROW(rw_UtilOrigin)-1))),"")</f>
        <v/>
      </c>
      <c r="D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8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81" customFormat="false" ht="15" hidden="false" customHeight="false" outlineLevel="0" collapsed="false">
      <c r="B81" s="31" t="str">
        <f aca="false">IFERROR(INDEX(res_Name,(ROW()-ROW(rw_UtilOrigin)-1))&amp;"","")</f>
        <v/>
      </c>
      <c r="C81" s="59" t="str">
        <f aca="false">IFERROR(IF(INDEX(res_Name,(ROW()-ROW(rw_UtilOrigin)-1))="","",INDEX(res_MaxUnits,(ROW()-ROW(rw_UtilOrigin)-1))),"")</f>
        <v/>
      </c>
      <c r="D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8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82" customFormat="false" ht="15" hidden="false" customHeight="false" outlineLevel="0" collapsed="false">
      <c r="B82" s="31" t="str">
        <f aca="false">IFERROR(INDEX(res_Name,(ROW()-ROW(rw_UtilOrigin)-1))&amp;"","")</f>
        <v/>
      </c>
      <c r="C82" s="59" t="str">
        <f aca="false">IFERROR(IF(INDEX(res_Name,(ROW()-ROW(rw_UtilOrigin)-1))="","",INDEX(res_MaxUnits,(ROW()-ROW(rw_UtilOrigin)-1))),"")</f>
        <v/>
      </c>
      <c r="D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8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83" customFormat="false" ht="15" hidden="false" customHeight="false" outlineLevel="0" collapsed="false">
      <c r="B83" s="31" t="str">
        <f aca="false">IFERROR(INDEX(res_Name,(ROW()-ROW(rw_UtilOrigin)-1))&amp;"","")</f>
        <v/>
      </c>
      <c r="C83" s="59" t="str">
        <f aca="false">IFERROR(IF(INDEX(res_Name,(ROW()-ROW(rw_UtilOrigin)-1))="","",INDEX(res_MaxUnits,(ROW()-ROW(rw_UtilOrigin)-1))),"")</f>
        <v/>
      </c>
      <c r="D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83"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84" customFormat="false" ht="15" hidden="false" customHeight="false" outlineLevel="0" collapsed="false">
      <c r="B84" s="31" t="str">
        <f aca="false">IFERROR(INDEX(res_Name,(ROW()-ROW(rw_UtilOrigin)-1))&amp;"","")</f>
        <v/>
      </c>
      <c r="C84" s="59" t="str">
        <f aca="false">IFERROR(IF(INDEX(res_Name,(ROW()-ROW(rw_UtilOrigin)-1))="","",INDEX(res_MaxUnits,(ROW()-ROW(rw_UtilOrigin)-1))),"")</f>
        <v/>
      </c>
      <c r="D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84"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85" customFormat="false" ht="15" hidden="false" customHeight="false" outlineLevel="0" collapsed="false">
      <c r="B85" s="31" t="str">
        <f aca="false">IFERROR(INDEX(res_Name,(ROW()-ROW(rw_UtilOrigin)-1))&amp;"","")</f>
        <v/>
      </c>
      <c r="C85" s="59" t="str">
        <f aca="false">IFERROR(IF(INDEX(res_Name,(ROW()-ROW(rw_UtilOrigin)-1))="","",INDEX(res_MaxUnits,(ROW()-ROW(rw_UtilOrigin)-1))),"")</f>
        <v/>
      </c>
      <c r="D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85"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86" customFormat="false" ht="15" hidden="false" customHeight="false" outlineLevel="0" collapsed="false">
      <c r="B86" s="31" t="str">
        <f aca="false">IFERROR(INDEX(res_Name,(ROW()-ROW(rw_UtilOrigin)-1))&amp;"","")</f>
        <v/>
      </c>
      <c r="C86" s="59" t="str">
        <f aca="false">IFERROR(IF(INDEX(res_Name,(ROW()-ROW(rw_UtilOrigin)-1))="","",INDEX(res_MaxUnits,(ROW()-ROW(rw_UtilOrigin)-1))),"")</f>
        <v/>
      </c>
      <c r="D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86"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87" customFormat="false" ht="15" hidden="false" customHeight="false" outlineLevel="0" collapsed="false">
      <c r="B87" s="31" t="str">
        <f aca="false">IFERROR(INDEX(res_Name,(ROW()-ROW(rw_UtilOrigin)-1))&amp;"","")</f>
        <v/>
      </c>
      <c r="C87" s="59" t="str">
        <f aca="false">IFERROR(IF(INDEX(res_Name,(ROW()-ROW(rw_UtilOrigin)-1))="","",INDEX(res_MaxUnits,(ROW()-ROW(rw_UtilOrigin)-1))),"")</f>
        <v/>
      </c>
      <c r="D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87"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88" customFormat="false" ht="15" hidden="false" customHeight="false" outlineLevel="0" collapsed="false">
      <c r="B88" s="31" t="str">
        <f aca="false">IFERROR(INDEX(res_Name,(ROW()-ROW(rw_UtilOrigin)-1))&amp;"","")</f>
        <v/>
      </c>
      <c r="C88" s="59" t="str">
        <f aca="false">IFERROR(IF(INDEX(res_Name,(ROW()-ROW(rw_UtilOrigin)-1))="","",INDEX(res_MaxUnits,(ROW()-ROW(rw_UtilOrigin)-1))),"")</f>
        <v/>
      </c>
      <c r="D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88"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89" customFormat="false" ht="15" hidden="false" customHeight="false" outlineLevel="0" collapsed="false">
      <c r="B89" s="31" t="str">
        <f aca="false">IFERROR(INDEX(res_Name,(ROW()-ROW(rw_UtilOrigin)-1))&amp;"","")</f>
        <v/>
      </c>
      <c r="C89" s="59" t="str">
        <f aca="false">IFERROR(IF(INDEX(res_Name,(ROW()-ROW(rw_UtilOrigin)-1))="","",INDEX(res_MaxUnits,(ROW()-ROW(rw_UtilOrigin)-1))),"")</f>
        <v/>
      </c>
      <c r="D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89"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90" customFormat="false" ht="15" hidden="false" customHeight="false" outlineLevel="0" collapsed="false">
      <c r="B90" s="31" t="str">
        <f aca="false">IFERROR(INDEX(res_Name,(ROW()-ROW(rw_UtilOrigin)-1))&amp;"","")</f>
        <v/>
      </c>
      <c r="C90" s="59" t="str">
        <f aca="false">IFERROR(IF(INDEX(res_Name,(ROW()-ROW(rw_UtilOrigin)-1))="","",INDEX(res_MaxUnits,(ROW()-ROW(rw_UtilOrigin)-1))),"")</f>
        <v/>
      </c>
      <c r="D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90"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91" customFormat="false" ht="15" hidden="false" customHeight="false" outlineLevel="0" collapsed="false">
      <c r="B91" s="31" t="str">
        <f aca="false">IFERROR(INDEX(res_Name,(ROW()-ROW(rw_UtilOrigin)-1))&amp;"","")</f>
        <v/>
      </c>
      <c r="C91" s="59" t="str">
        <f aca="false">IFERROR(IF(INDEX(res_Name,(ROW()-ROW(rw_UtilOrigin)-1))="","",INDEX(res_MaxUnits,(ROW()-ROW(rw_UtilOrigin)-1))),"")</f>
        <v/>
      </c>
      <c r="D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91"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92" customFormat="false" ht="15" hidden="false" customHeight="false" outlineLevel="0" collapsed="false">
      <c r="B92" s="31" t="str">
        <f aca="false">IFERROR(INDEX(res_Name,(ROW()-ROW(rw_UtilOrigin)-1))&amp;"","")</f>
        <v/>
      </c>
      <c r="C92" s="59" t="str">
        <f aca="false">IFERROR(IF(INDEX(res_Name,(ROW()-ROW(rw_UtilOrigin)-1))="","",INDEX(res_MaxUnits,(ROW()-ROW(rw_UtilOrigin)-1))),"")</f>
        <v/>
      </c>
      <c r="D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92" s="62"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95" customFormat="false" ht="15" hidden="true" customHeight="false" outlineLevel="0" collapsed="false">
      <c r="B95" s="63" t="s">
        <v>240</v>
      </c>
    </row>
    <row r="96" customFormat="false" ht="15" hidden="true" customHeight="false" outlineLevel="0" collapsed="false">
      <c r="D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24</v>
      </c>
      <c r="E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24</v>
      </c>
      <c r="F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24</v>
      </c>
      <c r="G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24</v>
      </c>
      <c r="H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24</v>
      </c>
      <c r="I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24</v>
      </c>
      <c r="J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24</v>
      </c>
      <c r="K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32</v>
      </c>
      <c r="L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32</v>
      </c>
      <c r="M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32</v>
      </c>
      <c r="N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32</v>
      </c>
      <c r="O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P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Q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R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S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T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U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V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W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X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Y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Z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AA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AB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AC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AD96"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row>
    <row r="97" customFormat="false" ht="15" hidden="true" customHeight="false" outlineLevel="0" collapsed="false">
      <c r="D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E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F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G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H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I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J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K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L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M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N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120</v>
      </c>
      <c r="O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P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Q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R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S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T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U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V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W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X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Y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Z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AA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AB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AC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AD97"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row>
    <row r="98" customFormat="false" ht="15" hidden="true" customHeight="false" outlineLevel="0" collapsed="false">
      <c r="D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E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F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G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H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I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J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K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L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M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N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O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P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Q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R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S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T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U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V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W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X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Y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Z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AA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AB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AC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AD98"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row>
    <row r="99" customFormat="false" ht="15" hidden="true" customHeight="false" outlineLevel="0" collapsed="false">
      <c r="D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34.2857142857143</v>
      </c>
      <c r="E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48</v>
      </c>
      <c r="F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48</v>
      </c>
      <c r="G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48</v>
      </c>
      <c r="H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48</v>
      </c>
      <c r="I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60</v>
      </c>
      <c r="J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68</v>
      </c>
      <c r="K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L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M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N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O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P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Q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R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S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T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U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V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W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X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Y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Z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AA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AB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AC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AD99"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row>
    <row r="100" customFormat="false" ht="15" hidden="true" customHeight="false" outlineLevel="0" collapsed="false">
      <c r="D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0</v>
      </c>
      <c r="E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v>
      </c>
      <c r="F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53.3333333333333</v>
      </c>
      <c r="G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86.6666666666667</v>
      </c>
      <c r="H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120</v>
      </c>
      <c r="I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160</v>
      </c>
      <c r="J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168</v>
      </c>
      <c r="K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168</v>
      </c>
      <c r="L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168</v>
      </c>
      <c r="M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168</v>
      </c>
      <c r="N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168</v>
      </c>
      <c r="O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180</v>
      </c>
      <c r="P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192</v>
      </c>
      <c r="Q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204</v>
      </c>
      <c r="R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S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T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U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V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W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X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Y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Z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AA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AB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AC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AD100"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row>
    <row r="101" customFormat="false" ht="15" hidden="true" customHeight="false" outlineLevel="0" collapsed="false">
      <c r="D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0</v>
      </c>
      <c r="E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18</v>
      </c>
      <c r="F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48</v>
      </c>
      <c r="G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82.2857142857143</v>
      </c>
      <c r="H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116.571428571429</v>
      </c>
      <c r="I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J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K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L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M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N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O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P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Q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R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S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T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U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V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W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X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Y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Z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AA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AB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AC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AD101"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row>
    <row r="102" customFormat="false" ht="15" hidden="true" customHeight="false" outlineLevel="0" collapsed="false">
      <c r="D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0</v>
      </c>
      <c r="E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0</v>
      </c>
      <c r="F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0</v>
      </c>
      <c r="G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0</v>
      </c>
      <c r="H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0</v>
      </c>
      <c r="I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0</v>
      </c>
      <c r="J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32</v>
      </c>
      <c r="K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L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M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N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O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P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Q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R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S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T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U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V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W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X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Y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Z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AA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AB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AC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AD102" s="64"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row>
    <row r="103" customFormat="false" ht="15" hidden="true" customHeight="false" outlineLevel="0" collapsed="false">
      <c r="D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0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04" customFormat="false" ht="15" hidden="true" customHeight="false" outlineLevel="0" collapsed="false">
      <c r="D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0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05" customFormat="false" ht="15" hidden="true" customHeight="false" outlineLevel="0" collapsed="false">
      <c r="D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0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06" customFormat="false" ht="15" hidden="true" customHeight="false" outlineLevel="0" collapsed="false">
      <c r="D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0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07" customFormat="false" ht="15" hidden="true" customHeight="false" outlineLevel="0" collapsed="false">
      <c r="D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0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08" customFormat="false" ht="15" hidden="true" customHeight="false" outlineLevel="0" collapsed="false">
      <c r="D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0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09" customFormat="false" ht="15" hidden="true" customHeight="false" outlineLevel="0" collapsed="false">
      <c r="D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0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10" customFormat="false" ht="15" hidden="true" customHeight="false" outlineLevel="0" collapsed="false">
      <c r="D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1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11" customFormat="false" ht="15" hidden="true" customHeight="false" outlineLevel="0" collapsed="false">
      <c r="D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11"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12" customFormat="false" ht="15" hidden="true" customHeight="false" outlineLevel="0" collapsed="false">
      <c r="D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12"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13" customFormat="false" ht="15" hidden="true" customHeight="false" outlineLevel="0" collapsed="false">
      <c r="D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13"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14" customFormat="false" ht="15" hidden="true" customHeight="false" outlineLevel="0" collapsed="false">
      <c r="D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14"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15" customFormat="false" ht="15" hidden="true" customHeight="false" outlineLevel="0" collapsed="false">
      <c r="D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15"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16" customFormat="false" ht="15" hidden="true" customHeight="false" outlineLevel="0" collapsed="false">
      <c r="D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16"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17" customFormat="false" ht="15" hidden="true" customHeight="false" outlineLevel="0" collapsed="false">
      <c r="D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17"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18" customFormat="false" ht="15" hidden="true" customHeight="false" outlineLevel="0" collapsed="false">
      <c r="D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18"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19" customFormat="false" ht="15" hidden="true" customHeight="false" outlineLevel="0" collapsed="false">
      <c r="D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19"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20" customFormat="false" ht="15" hidden="true" customHeight="false" outlineLevel="0" collapsed="false">
      <c r="D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20" s="64"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sheetData>
  <conditionalFormatting sqref="N6:N30">
    <cfRule type="expression" priority="2" aboveAverage="0" equalAverage="0" bottom="0" percent="0" rank="0" text="" dxfId="15">
      <formula>N(N6)&gt;0</formula>
    </cfRule>
  </conditionalFormatting>
  <conditionalFormatting sqref="M6:M30">
    <cfRule type="expression" priority="3" aboveAverage="0" equalAverage="0" bottom="0" percent="0" rank="0" text="" dxfId="26">
      <formula>AND(ISNUMBER(M6),M6&gt;1)</formula>
    </cfRule>
  </conditionalFormatting>
  <conditionalFormatting sqref="D36:AC60">
    <cfRule type="expression" priority="4" aboveAverage="0" equalAverage="0" bottom="0" percent="0" rank="0" text="" dxfId="15">
      <formula>AND(ISNUMBER(D36),D36&gt;$C36*HoursPerDay*D$35)</formula>
    </cfRule>
  </conditionalFormatting>
  <conditionalFormatting sqref="D68:AC92">
    <cfRule type="colorScale" priority="5">
      <colorScale>
        <cfvo type="num" val="0"/>
        <cfvo type="num" val="0.8"/>
        <cfvo type="num" val="1.2"/>
        <color rgb="FFFFFFFF"/>
        <color rgb="FFC6EFCE"/>
        <color rgb="FFF8696B"/>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tableParts>
    <tablePart r:id="rId4"/>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H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true" outlineLevel="0" max="2" min="2" style="0" width="4"/>
    <col collapsed="false" customWidth="true" hidden="false" outlineLevel="0" max="3" min="3" style="0" width="44"/>
    <col collapsed="false" customWidth="true" hidden="false" outlineLevel="0" max="4" min="4" style="0" width="16"/>
    <col collapsed="false" customWidth="true" hidden="false" outlineLevel="0" max="5" min="5" style="0" width="30"/>
    <col collapsed="false" customWidth="true" hidden="false" outlineLevel="0" max="8" min="6" style="0" width="14"/>
    <col collapsed="false" customWidth="true" hidden="false" outlineLevel="0" max="9" min="9" style="0" width="12"/>
  </cols>
  <sheetData>
    <row r="1" customFormat="false" ht="19.7" hidden="false" customHeight="false" outlineLevel="0" collapsed="false">
      <c r="A1" s="26" t="str">
        <f aca="false">ProjectName&amp;"  -  Agile Report"</f>
        <v>Customer Portal Implementation  -  Agile Report</v>
      </c>
    </row>
    <row r="2" customFormat="false" ht="15" hidden="false" customHeight="false" outlineLevel="0" collapsed="false">
      <c r="A2" s="0" t="str">
        <f aca="false">"Status date "&amp;TEXT(StatusDate,"ddd dd-mmm-yyyy")&amp;"   Sprint length "&amp;SprintLength&amp;" days. Per-sprint numbers: Sprints sheet. Enter Story Points (and optionally Planned Sprint) on Tasks."</f>
        <v>Status date Sun 25-Oct-2026   Sprint length 14 days. Per-sprint numbers: Sprints sheet. Enter Story Points (and optionally Planned Sprint) on Tasks.</v>
      </c>
    </row>
    <row r="3" customFormat="false" ht="15" hidden="false" customHeight="false" outlineLevel="0" collapsed="false">
      <c r="C3" s="36" t="s">
        <v>241</v>
      </c>
    </row>
    <row r="4" customFormat="false" ht="15" hidden="false" customHeight="false" outlineLevel="0" collapsed="false">
      <c r="C4" s="9" t="s">
        <v>123</v>
      </c>
      <c r="D4" s="9" t="s">
        <v>90</v>
      </c>
    </row>
    <row r="5" customFormat="false" ht="15" hidden="false" customHeight="false" outlineLevel="0" collapsed="false">
      <c r="C5" s="10" t="s">
        <v>242</v>
      </c>
      <c r="D5" s="65" t="n">
        <f aca="false">TotalPoints</f>
        <v>82</v>
      </c>
    </row>
    <row r="6" customFormat="false" ht="15" hidden="false" customHeight="false" outlineLevel="0" collapsed="false">
      <c r="C6" s="10" t="s">
        <v>243</v>
      </c>
      <c r="D6" s="65" t="n">
        <f aca="false">SUMIFS(tsk_LeafPoints,tsk_DoneDate,"&lt;="&amp;StatusDate)</f>
        <v>33</v>
      </c>
    </row>
    <row r="7" customFormat="false" ht="15" hidden="false" customHeight="false" outlineLevel="0" collapsed="false">
      <c r="C7" s="10" t="s">
        <v>228</v>
      </c>
      <c r="D7" s="65" t="n">
        <f aca="false">agl_Total-agl_Done</f>
        <v>49</v>
      </c>
    </row>
    <row r="8" customFormat="false" ht="15" hidden="false" customHeight="false" outlineLevel="0" collapsed="false">
      <c r="C8" s="10" t="s">
        <v>244</v>
      </c>
      <c r="D8" s="66" t="n">
        <f aca="false">IFERROR(LOOKUP(2,1/(spr_Velocity&lt;&gt;""),spr_Velocity),"")</f>
        <v>11</v>
      </c>
    </row>
    <row r="9" customFormat="false" ht="15" hidden="false" customHeight="false" outlineLevel="0" collapsed="false">
      <c r="C9" s="10" t="s">
        <v>245</v>
      </c>
      <c r="D9" s="35" t="n">
        <f aca="false">IF(N(agl_Velocity)&gt;0,ROUNDUP(agl_Remaining/agl_Velocity,0),"")</f>
        <v>5</v>
      </c>
    </row>
    <row r="10" customFormat="false" ht="15" hidden="false" customHeight="false" outlineLevel="0" collapsed="false">
      <c r="C10" s="10" t="s">
        <v>246</v>
      </c>
      <c r="D10" s="35" t="n">
        <f aca="false">COUNTIF(spr_Status,"Closed")</f>
        <v>3</v>
      </c>
    </row>
    <row r="11" customFormat="false" ht="15" hidden="false" customHeight="false" outlineLevel="0" collapsed="false">
      <c r="C11" s="10" t="s">
        <v>247</v>
      </c>
      <c r="D11" s="67" t="str">
        <f aca="false">IF(agl_SprintsLeft="","",IF(agl_LastClosed+agl_SprintsLeft&lt;=SprintCount,INDEX(spr_Name,agl_LastClosed+agl_SprintsLeft),"after "&amp;INDEX(spr_Name,SprintCount)))</f>
        <v>Sprint 8</v>
      </c>
    </row>
    <row r="12" customFormat="false" ht="15" hidden="false" customHeight="false" outlineLevel="0" collapsed="false">
      <c r="C12" s="10" t="s">
        <v>248</v>
      </c>
      <c r="D12" s="68" t="n">
        <f aca="false">IF(agl_SprintsLeft="","",IF(agl_LastClosed+agl_SprintsLeft&lt;=SprintCount,INDEX(spr_End,agl_LastClosed+agl_SprintsLeft),""))</f>
        <v>46383</v>
      </c>
    </row>
    <row r="13" customFormat="false" ht="15" hidden="false" customHeight="false" outlineLevel="0" collapsed="false">
      <c r="C13" s="10" t="s">
        <v>249</v>
      </c>
      <c r="D13" s="68" t="n">
        <f aca="false">ProjectFinish</f>
        <v>46393</v>
      </c>
    </row>
    <row r="14" customFormat="false" ht="15" hidden="false" customHeight="false" outlineLevel="0" collapsed="false">
      <c r="C14" s="10" t="s">
        <v>108</v>
      </c>
      <c r="D14" s="67" t="str">
        <f aca="false">IF(CurrentSprint="","(outside sprint range)",CurrentSprint)</f>
        <v>Sprint 4</v>
      </c>
    </row>
    <row r="15" customFormat="false" ht="15" hidden="false" customHeight="false" outlineLevel="0" collapsed="false">
      <c r="C15" s="10" t="s">
        <v>250</v>
      </c>
      <c r="D15" s="65" t="n">
        <f aca="false">SUMIFS(tsk_LeafPoints,tsk_Sprint,CurrentSprint)</f>
        <v>8</v>
      </c>
    </row>
    <row r="16" customFormat="false" ht="15" hidden="false" customHeight="false" outlineLevel="0" collapsed="false">
      <c r="C16" s="10" t="s">
        <v>251</v>
      </c>
      <c r="D16" s="65" t="n">
        <f aca="false">SUMIFS(tsk_LeafPoints,tsk_Sprint,CurrentSprint,tsk_DoneDate,"&lt;="&amp;StatusDate)</f>
        <v>0</v>
      </c>
    </row>
    <row r="17" customFormat="false" ht="15" hidden="false" customHeight="false" outlineLevel="0" collapsed="false">
      <c r="C17" s="10" t="s">
        <v>252</v>
      </c>
      <c r="D17" s="35" t="n">
        <f aca="false">COUNTIFS(tsk_IsLeaf,1,tsk_StoryPoints,"",tsk_Duration,"&gt;0")</f>
        <v>0</v>
      </c>
    </row>
    <row r="19" customFormat="false" ht="15" hidden="false" customHeight="false" outlineLevel="0" collapsed="false">
      <c r="C19" s="36" t="str">
        <f aca="false">"Current sprint backlog ("&amp;agl_Current&amp;")"&amp;": "&amp;COUNT(tsk_CurrentSprintKey)&amp;IF(COUNT(tsk_CurrentSprintKey)&gt;ROWS(SprintBacklog[_Task])," (showing the first "&amp;ROWS(SprintBacklog[_Task])&amp;")","")</f>
        <v>Current sprint backlog (Sprint 4): 1</v>
      </c>
    </row>
    <row r="20" customFormat="false" ht="23.85" hidden="false" customHeight="false" outlineLevel="0" collapsed="false">
      <c r="B20" s="40" t="s">
        <v>173</v>
      </c>
      <c r="C20" s="9" t="s">
        <v>180</v>
      </c>
      <c r="D20" s="9" t="s">
        <v>253</v>
      </c>
      <c r="E20" s="9" t="s">
        <v>218</v>
      </c>
      <c r="F20" s="9" t="s">
        <v>203</v>
      </c>
      <c r="G20" s="9" t="s">
        <v>205</v>
      </c>
      <c r="H20" s="9" t="s">
        <v>91</v>
      </c>
    </row>
    <row r="21" customFormat="false" ht="15" hidden="false" customHeight="false" outlineLevel="0" collapsed="false">
      <c r="B21" s="41" t="n">
        <f aca="false">IFERROR(MATCH(SMALL(tsk_CurrentSprintKey,ROW()-ROW(SprintBacklog[[#Headers],[_Task]])),tsk_CurrentSprintKey,0),"")</f>
        <v>17</v>
      </c>
      <c r="C21" s="24" t="str">
        <f aca="false">IF(SprintBacklog[[#This Row],[_Task]]="","",INDEX(tsk_Name,SprintBacklog[[#This Row],[_Task]])&amp;"")</f>
        <v>Feature screens</v>
      </c>
      <c r="D21" s="69" t="n">
        <f aca="false">IF(SprintBacklog[[#This Row],[_Task]]="","",INDEX(tsk_StoryPoints,SprintBacklog[[#This Row],[_Task]]))</f>
        <v>8</v>
      </c>
      <c r="E21" s="24" t="str">
        <f aca="false">IF(SprintBacklog[[#This Row],[_Task]]="","",INDEX(tsk_Resource,SprintBacklog[[#This Row],[_Task]])&amp;"")</f>
        <v>Sam Rivera</v>
      </c>
      <c r="F21" s="48" t="n">
        <f aca="false">IF(SprintBacklog[[#This Row],[_Task]]="","",IF(N(INDEX(tsk_FcFinish,SprintBacklog[[#This Row],[_Task]]))=0,"",INDEX(tsk_FcFinish,SprintBacklog[[#This Row],[_Task]])))</f>
        <v>46331</v>
      </c>
      <c r="G21" s="50" t="n">
        <f aca="false">IF(SprintBacklog[[#This Row],[_Task]]="","",INDEX(tsk_Progress,SprintBacklog[[#This Row],[_Task]]))</f>
        <v>0.25</v>
      </c>
      <c r="H21" s="24" t="str">
        <f aca="false">IF(SprintBacklog[[#This Row],[_Task]]="","",INDEX(tsk_Status,SprintBacklog[[#This Row],[_Task]])&amp;"")</f>
        <v>Behind</v>
      </c>
    </row>
    <row r="22" customFormat="false" ht="15" hidden="false" customHeight="false" outlineLevel="0" collapsed="false">
      <c r="B22" s="41" t="str">
        <f aca="false">IFERROR(MATCH(SMALL(tsk_CurrentSprintKey,ROW()-ROW(SprintBacklog[[#Headers],[_Task]])),tsk_CurrentSprintKey,0),"")</f>
        <v/>
      </c>
      <c r="C22" s="24" t="str">
        <f aca="false">IF(SprintBacklog[[#This Row],[_Task]]="","",INDEX(tsk_Name,SprintBacklog[[#This Row],[_Task]])&amp;"")</f>
        <v/>
      </c>
      <c r="D22" s="69" t="str">
        <f aca="false">IF(SprintBacklog[[#This Row],[_Task]]="","",INDEX(tsk_StoryPoints,SprintBacklog[[#This Row],[_Task]]))</f>
        <v/>
      </c>
      <c r="E22" s="24" t="str">
        <f aca="false">IF(SprintBacklog[[#This Row],[_Task]]="","",INDEX(tsk_Resource,SprintBacklog[[#This Row],[_Task]])&amp;"")</f>
        <v/>
      </c>
      <c r="F22" s="48" t="str">
        <f aca="false">IF(SprintBacklog[[#This Row],[_Task]]="","",IF(N(INDEX(tsk_FcFinish,SprintBacklog[[#This Row],[_Task]]))=0,"",INDEX(tsk_FcFinish,SprintBacklog[[#This Row],[_Task]])))</f>
        <v/>
      </c>
      <c r="G22" s="50" t="str">
        <f aca="false">IF(SprintBacklog[[#This Row],[_Task]]="","",INDEX(tsk_Progress,SprintBacklog[[#This Row],[_Task]]))</f>
        <v/>
      </c>
      <c r="H22" s="24" t="str">
        <f aca="false">IF(SprintBacklog[[#This Row],[_Task]]="","",INDEX(tsk_Status,SprintBacklog[[#This Row],[_Task]])&amp;"")</f>
        <v/>
      </c>
    </row>
    <row r="23" customFormat="false" ht="15" hidden="false" customHeight="false" outlineLevel="0" collapsed="false">
      <c r="B23" s="41" t="str">
        <f aca="false">IFERROR(MATCH(SMALL(tsk_CurrentSprintKey,ROW()-ROW(SprintBacklog[[#Headers],[_Task]])),tsk_CurrentSprintKey,0),"")</f>
        <v/>
      </c>
      <c r="C23" s="24" t="str">
        <f aca="false">IF(SprintBacklog[[#This Row],[_Task]]="","",INDEX(tsk_Name,SprintBacklog[[#This Row],[_Task]])&amp;"")</f>
        <v/>
      </c>
      <c r="D23" s="69" t="str">
        <f aca="false">IF(SprintBacklog[[#This Row],[_Task]]="","",INDEX(tsk_StoryPoints,SprintBacklog[[#This Row],[_Task]]))</f>
        <v/>
      </c>
      <c r="E23" s="24" t="str">
        <f aca="false">IF(SprintBacklog[[#This Row],[_Task]]="","",INDEX(tsk_Resource,SprintBacklog[[#This Row],[_Task]])&amp;"")</f>
        <v/>
      </c>
      <c r="F23" s="48" t="str">
        <f aca="false">IF(SprintBacklog[[#This Row],[_Task]]="","",IF(N(INDEX(tsk_FcFinish,SprintBacklog[[#This Row],[_Task]]))=0,"",INDEX(tsk_FcFinish,SprintBacklog[[#This Row],[_Task]])))</f>
        <v/>
      </c>
      <c r="G23" s="50" t="str">
        <f aca="false">IF(SprintBacklog[[#This Row],[_Task]]="","",INDEX(tsk_Progress,SprintBacklog[[#This Row],[_Task]]))</f>
        <v/>
      </c>
      <c r="H23" s="24" t="str">
        <f aca="false">IF(SprintBacklog[[#This Row],[_Task]]="","",INDEX(tsk_Status,SprintBacklog[[#This Row],[_Task]])&amp;"")</f>
        <v/>
      </c>
    </row>
    <row r="24" customFormat="false" ht="15" hidden="false" customHeight="false" outlineLevel="0" collapsed="false">
      <c r="B24" s="41" t="str">
        <f aca="false">IFERROR(MATCH(SMALL(tsk_CurrentSprintKey,ROW()-ROW(SprintBacklog[[#Headers],[_Task]])),tsk_CurrentSprintKey,0),"")</f>
        <v/>
      </c>
      <c r="C24" s="24" t="str">
        <f aca="false">IF(SprintBacklog[[#This Row],[_Task]]="","",INDEX(tsk_Name,SprintBacklog[[#This Row],[_Task]])&amp;"")</f>
        <v/>
      </c>
      <c r="D24" s="69" t="str">
        <f aca="false">IF(SprintBacklog[[#This Row],[_Task]]="","",INDEX(tsk_StoryPoints,SprintBacklog[[#This Row],[_Task]]))</f>
        <v/>
      </c>
      <c r="E24" s="24" t="str">
        <f aca="false">IF(SprintBacklog[[#This Row],[_Task]]="","",INDEX(tsk_Resource,SprintBacklog[[#This Row],[_Task]])&amp;"")</f>
        <v/>
      </c>
      <c r="F24" s="48" t="str">
        <f aca="false">IF(SprintBacklog[[#This Row],[_Task]]="","",IF(N(INDEX(tsk_FcFinish,SprintBacklog[[#This Row],[_Task]]))=0,"",INDEX(tsk_FcFinish,SprintBacklog[[#This Row],[_Task]])))</f>
        <v/>
      </c>
      <c r="G24" s="50" t="str">
        <f aca="false">IF(SprintBacklog[[#This Row],[_Task]]="","",INDEX(tsk_Progress,SprintBacklog[[#This Row],[_Task]]))</f>
        <v/>
      </c>
      <c r="H24" s="24" t="str">
        <f aca="false">IF(SprintBacklog[[#This Row],[_Task]]="","",INDEX(tsk_Status,SprintBacklog[[#This Row],[_Task]])&amp;"")</f>
        <v/>
      </c>
    </row>
    <row r="25" customFormat="false" ht="15" hidden="false" customHeight="false" outlineLevel="0" collapsed="false">
      <c r="B25" s="41" t="str">
        <f aca="false">IFERROR(MATCH(SMALL(tsk_CurrentSprintKey,ROW()-ROW(SprintBacklog[[#Headers],[_Task]])),tsk_CurrentSprintKey,0),"")</f>
        <v/>
      </c>
      <c r="C25" s="24" t="str">
        <f aca="false">IF(SprintBacklog[[#This Row],[_Task]]="","",INDEX(tsk_Name,SprintBacklog[[#This Row],[_Task]])&amp;"")</f>
        <v/>
      </c>
      <c r="D25" s="69" t="str">
        <f aca="false">IF(SprintBacklog[[#This Row],[_Task]]="","",INDEX(tsk_StoryPoints,SprintBacklog[[#This Row],[_Task]]))</f>
        <v/>
      </c>
      <c r="E25" s="24" t="str">
        <f aca="false">IF(SprintBacklog[[#This Row],[_Task]]="","",INDEX(tsk_Resource,SprintBacklog[[#This Row],[_Task]])&amp;"")</f>
        <v/>
      </c>
      <c r="F25" s="48" t="str">
        <f aca="false">IF(SprintBacklog[[#This Row],[_Task]]="","",IF(N(INDEX(tsk_FcFinish,SprintBacklog[[#This Row],[_Task]]))=0,"",INDEX(tsk_FcFinish,SprintBacklog[[#This Row],[_Task]])))</f>
        <v/>
      </c>
      <c r="G25" s="50" t="str">
        <f aca="false">IF(SprintBacklog[[#This Row],[_Task]]="","",INDEX(tsk_Progress,SprintBacklog[[#This Row],[_Task]]))</f>
        <v/>
      </c>
      <c r="H25" s="24" t="str">
        <f aca="false">IF(SprintBacklog[[#This Row],[_Task]]="","",INDEX(tsk_Status,SprintBacklog[[#This Row],[_Task]])&amp;"")</f>
        <v/>
      </c>
    </row>
    <row r="26" customFormat="false" ht="15" hidden="false" customHeight="false" outlineLevel="0" collapsed="false">
      <c r="B26" s="41" t="str">
        <f aca="false">IFERROR(MATCH(SMALL(tsk_CurrentSprintKey,ROW()-ROW(SprintBacklog[[#Headers],[_Task]])),tsk_CurrentSprintKey,0),"")</f>
        <v/>
      </c>
      <c r="C26" s="24" t="str">
        <f aca="false">IF(SprintBacklog[[#This Row],[_Task]]="","",INDEX(tsk_Name,SprintBacklog[[#This Row],[_Task]])&amp;"")</f>
        <v/>
      </c>
      <c r="D26" s="69" t="str">
        <f aca="false">IF(SprintBacklog[[#This Row],[_Task]]="","",INDEX(tsk_StoryPoints,SprintBacklog[[#This Row],[_Task]]))</f>
        <v/>
      </c>
      <c r="E26" s="24" t="str">
        <f aca="false">IF(SprintBacklog[[#This Row],[_Task]]="","",INDEX(tsk_Resource,SprintBacklog[[#This Row],[_Task]])&amp;"")</f>
        <v/>
      </c>
      <c r="F26" s="48" t="str">
        <f aca="false">IF(SprintBacklog[[#This Row],[_Task]]="","",IF(N(INDEX(tsk_FcFinish,SprintBacklog[[#This Row],[_Task]]))=0,"",INDEX(tsk_FcFinish,SprintBacklog[[#This Row],[_Task]])))</f>
        <v/>
      </c>
      <c r="G26" s="50" t="str">
        <f aca="false">IF(SprintBacklog[[#This Row],[_Task]]="","",INDEX(tsk_Progress,SprintBacklog[[#This Row],[_Task]]))</f>
        <v/>
      </c>
      <c r="H26" s="24" t="str">
        <f aca="false">IF(SprintBacklog[[#This Row],[_Task]]="","",INDEX(tsk_Status,SprintBacklog[[#This Row],[_Task]])&amp;"")</f>
        <v/>
      </c>
    </row>
    <row r="27" customFormat="false" ht="15" hidden="false" customHeight="false" outlineLevel="0" collapsed="false">
      <c r="B27" s="41" t="str">
        <f aca="false">IFERROR(MATCH(SMALL(tsk_CurrentSprintKey,ROW()-ROW(SprintBacklog[[#Headers],[_Task]])),tsk_CurrentSprintKey,0),"")</f>
        <v/>
      </c>
      <c r="C27" s="24" t="str">
        <f aca="false">IF(SprintBacklog[[#This Row],[_Task]]="","",INDEX(tsk_Name,SprintBacklog[[#This Row],[_Task]])&amp;"")</f>
        <v/>
      </c>
      <c r="D27" s="69" t="str">
        <f aca="false">IF(SprintBacklog[[#This Row],[_Task]]="","",INDEX(tsk_StoryPoints,SprintBacklog[[#This Row],[_Task]]))</f>
        <v/>
      </c>
      <c r="E27" s="24" t="str">
        <f aca="false">IF(SprintBacklog[[#This Row],[_Task]]="","",INDEX(tsk_Resource,SprintBacklog[[#This Row],[_Task]])&amp;"")</f>
        <v/>
      </c>
      <c r="F27" s="48" t="str">
        <f aca="false">IF(SprintBacklog[[#This Row],[_Task]]="","",IF(N(INDEX(tsk_FcFinish,SprintBacklog[[#This Row],[_Task]]))=0,"",INDEX(tsk_FcFinish,SprintBacklog[[#This Row],[_Task]])))</f>
        <v/>
      </c>
      <c r="G27" s="50" t="str">
        <f aca="false">IF(SprintBacklog[[#This Row],[_Task]]="","",INDEX(tsk_Progress,SprintBacklog[[#This Row],[_Task]]))</f>
        <v/>
      </c>
      <c r="H27" s="24" t="str">
        <f aca="false">IF(SprintBacklog[[#This Row],[_Task]]="","",INDEX(tsk_Status,SprintBacklog[[#This Row],[_Task]])&amp;"")</f>
        <v/>
      </c>
    </row>
    <row r="28" customFormat="false" ht="15" hidden="false" customHeight="false" outlineLevel="0" collapsed="false">
      <c r="B28" s="41" t="str">
        <f aca="false">IFERROR(MATCH(SMALL(tsk_CurrentSprintKey,ROW()-ROW(SprintBacklog[[#Headers],[_Task]])),tsk_CurrentSprintKey,0),"")</f>
        <v/>
      </c>
      <c r="C28" s="24" t="str">
        <f aca="false">IF(SprintBacklog[[#This Row],[_Task]]="","",INDEX(tsk_Name,SprintBacklog[[#This Row],[_Task]])&amp;"")</f>
        <v/>
      </c>
      <c r="D28" s="69" t="str">
        <f aca="false">IF(SprintBacklog[[#This Row],[_Task]]="","",INDEX(tsk_StoryPoints,SprintBacklog[[#This Row],[_Task]]))</f>
        <v/>
      </c>
      <c r="E28" s="24" t="str">
        <f aca="false">IF(SprintBacklog[[#This Row],[_Task]]="","",INDEX(tsk_Resource,SprintBacklog[[#This Row],[_Task]])&amp;"")</f>
        <v/>
      </c>
      <c r="F28" s="48" t="str">
        <f aca="false">IF(SprintBacklog[[#This Row],[_Task]]="","",IF(N(INDEX(tsk_FcFinish,SprintBacklog[[#This Row],[_Task]]))=0,"",INDEX(tsk_FcFinish,SprintBacklog[[#This Row],[_Task]])))</f>
        <v/>
      </c>
      <c r="G28" s="50" t="str">
        <f aca="false">IF(SprintBacklog[[#This Row],[_Task]]="","",INDEX(tsk_Progress,SprintBacklog[[#This Row],[_Task]]))</f>
        <v/>
      </c>
      <c r="H28" s="24" t="str">
        <f aca="false">IF(SprintBacklog[[#This Row],[_Task]]="","",INDEX(tsk_Status,SprintBacklog[[#This Row],[_Task]])&amp;"")</f>
        <v/>
      </c>
    </row>
    <row r="29" customFormat="false" ht="15" hidden="false" customHeight="false" outlineLevel="0" collapsed="false">
      <c r="B29" s="41" t="str">
        <f aca="false">IFERROR(MATCH(SMALL(tsk_CurrentSprintKey,ROW()-ROW(SprintBacklog[[#Headers],[_Task]])),tsk_CurrentSprintKey,0),"")</f>
        <v/>
      </c>
      <c r="C29" s="24" t="str">
        <f aca="false">IF(SprintBacklog[[#This Row],[_Task]]="","",INDEX(tsk_Name,SprintBacklog[[#This Row],[_Task]])&amp;"")</f>
        <v/>
      </c>
      <c r="D29" s="69" t="str">
        <f aca="false">IF(SprintBacklog[[#This Row],[_Task]]="","",INDEX(tsk_StoryPoints,SprintBacklog[[#This Row],[_Task]]))</f>
        <v/>
      </c>
      <c r="E29" s="24" t="str">
        <f aca="false">IF(SprintBacklog[[#This Row],[_Task]]="","",INDEX(tsk_Resource,SprintBacklog[[#This Row],[_Task]])&amp;"")</f>
        <v/>
      </c>
      <c r="F29" s="48" t="str">
        <f aca="false">IF(SprintBacklog[[#This Row],[_Task]]="","",IF(N(INDEX(tsk_FcFinish,SprintBacklog[[#This Row],[_Task]]))=0,"",INDEX(tsk_FcFinish,SprintBacklog[[#This Row],[_Task]])))</f>
        <v/>
      </c>
      <c r="G29" s="50" t="str">
        <f aca="false">IF(SprintBacklog[[#This Row],[_Task]]="","",INDEX(tsk_Progress,SprintBacklog[[#This Row],[_Task]]))</f>
        <v/>
      </c>
      <c r="H29" s="24" t="str">
        <f aca="false">IF(SprintBacklog[[#This Row],[_Task]]="","",INDEX(tsk_Status,SprintBacklog[[#This Row],[_Task]])&amp;"")</f>
        <v/>
      </c>
    </row>
    <row r="30" customFormat="false" ht="15" hidden="false" customHeight="false" outlineLevel="0" collapsed="false">
      <c r="B30" s="41" t="str">
        <f aca="false">IFERROR(MATCH(SMALL(tsk_CurrentSprintKey,ROW()-ROW(SprintBacklog[[#Headers],[_Task]])),tsk_CurrentSprintKey,0),"")</f>
        <v/>
      </c>
      <c r="C30" s="24" t="str">
        <f aca="false">IF(SprintBacklog[[#This Row],[_Task]]="","",INDEX(tsk_Name,SprintBacklog[[#This Row],[_Task]])&amp;"")</f>
        <v/>
      </c>
      <c r="D30" s="69" t="str">
        <f aca="false">IF(SprintBacklog[[#This Row],[_Task]]="","",INDEX(tsk_StoryPoints,SprintBacklog[[#This Row],[_Task]]))</f>
        <v/>
      </c>
      <c r="E30" s="24" t="str">
        <f aca="false">IF(SprintBacklog[[#This Row],[_Task]]="","",INDEX(tsk_Resource,SprintBacklog[[#This Row],[_Task]])&amp;"")</f>
        <v/>
      </c>
      <c r="F30" s="48" t="str">
        <f aca="false">IF(SprintBacklog[[#This Row],[_Task]]="","",IF(N(INDEX(tsk_FcFinish,SprintBacklog[[#This Row],[_Task]]))=0,"",INDEX(tsk_FcFinish,SprintBacklog[[#This Row],[_Task]])))</f>
        <v/>
      </c>
      <c r="G30" s="50" t="str">
        <f aca="false">IF(SprintBacklog[[#This Row],[_Task]]="","",INDEX(tsk_Progress,SprintBacklog[[#This Row],[_Task]]))</f>
        <v/>
      </c>
      <c r="H30" s="24" t="str">
        <f aca="false">IF(SprintBacklog[[#This Row],[_Task]]="","",INDEX(tsk_Status,SprintBacklog[[#This Row],[_Task]])&amp;"")</f>
        <v/>
      </c>
    </row>
    <row r="31" customFormat="false" ht="15" hidden="false" customHeight="false" outlineLevel="0" collapsed="false">
      <c r="B31" s="41" t="str">
        <f aca="false">IFERROR(MATCH(SMALL(tsk_CurrentSprintKey,ROW()-ROW(SprintBacklog[[#Headers],[_Task]])),tsk_CurrentSprintKey,0),"")</f>
        <v/>
      </c>
      <c r="C31" s="24" t="str">
        <f aca="false">IF(SprintBacklog[[#This Row],[_Task]]="","",INDEX(tsk_Name,SprintBacklog[[#This Row],[_Task]])&amp;"")</f>
        <v/>
      </c>
      <c r="D31" s="69" t="str">
        <f aca="false">IF(SprintBacklog[[#This Row],[_Task]]="","",INDEX(tsk_StoryPoints,SprintBacklog[[#This Row],[_Task]]))</f>
        <v/>
      </c>
      <c r="E31" s="24" t="str">
        <f aca="false">IF(SprintBacklog[[#This Row],[_Task]]="","",INDEX(tsk_Resource,SprintBacklog[[#This Row],[_Task]])&amp;"")</f>
        <v/>
      </c>
      <c r="F31" s="48" t="str">
        <f aca="false">IF(SprintBacklog[[#This Row],[_Task]]="","",IF(N(INDEX(tsk_FcFinish,SprintBacklog[[#This Row],[_Task]]))=0,"",INDEX(tsk_FcFinish,SprintBacklog[[#This Row],[_Task]])))</f>
        <v/>
      </c>
      <c r="G31" s="50" t="str">
        <f aca="false">IF(SprintBacklog[[#This Row],[_Task]]="","",INDEX(tsk_Progress,SprintBacklog[[#This Row],[_Task]]))</f>
        <v/>
      </c>
      <c r="H31" s="24" t="str">
        <f aca="false">IF(SprintBacklog[[#This Row],[_Task]]="","",INDEX(tsk_Status,SprintBacklog[[#This Row],[_Task]])&amp;"")</f>
        <v/>
      </c>
    </row>
    <row r="32" customFormat="false" ht="15" hidden="false" customHeight="false" outlineLevel="0" collapsed="false">
      <c r="B32" s="41" t="str">
        <f aca="false">IFERROR(MATCH(SMALL(tsk_CurrentSprintKey,ROW()-ROW(SprintBacklog[[#Headers],[_Task]])),tsk_CurrentSprintKey,0),"")</f>
        <v/>
      </c>
      <c r="C32" s="24" t="str">
        <f aca="false">IF(SprintBacklog[[#This Row],[_Task]]="","",INDEX(tsk_Name,SprintBacklog[[#This Row],[_Task]])&amp;"")</f>
        <v/>
      </c>
      <c r="D32" s="69" t="str">
        <f aca="false">IF(SprintBacklog[[#This Row],[_Task]]="","",INDEX(tsk_StoryPoints,SprintBacklog[[#This Row],[_Task]]))</f>
        <v/>
      </c>
      <c r="E32" s="24" t="str">
        <f aca="false">IF(SprintBacklog[[#This Row],[_Task]]="","",INDEX(tsk_Resource,SprintBacklog[[#This Row],[_Task]])&amp;"")</f>
        <v/>
      </c>
      <c r="F32" s="48" t="str">
        <f aca="false">IF(SprintBacklog[[#This Row],[_Task]]="","",IF(N(INDEX(tsk_FcFinish,SprintBacklog[[#This Row],[_Task]]))=0,"",INDEX(tsk_FcFinish,SprintBacklog[[#This Row],[_Task]])))</f>
        <v/>
      </c>
      <c r="G32" s="50" t="str">
        <f aca="false">IF(SprintBacklog[[#This Row],[_Task]]="","",INDEX(tsk_Progress,SprintBacklog[[#This Row],[_Task]]))</f>
        <v/>
      </c>
      <c r="H32" s="24" t="str">
        <f aca="false">IF(SprintBacklog[[#This Row],[_Task]]="","",INDEX(tsk_Status,SprintBacklog[[#This Row],[_Task]])&amp;"")</f>
        <v/>
      </c>
    </row>
    <row r="33" customFormat="false" ht="15" hidden="false" customHeight="false" outlineLevel="0" collapsed="false">
      <c r="B33" s="41" t="str">
        <f aca="false">IFERROR(MATCH(SMALL(tsk_CurrentSprintKey,ROW()-ROW(SprintBacklog[[#Headers],[_Task]])),tsk_CurrentSprintKey,0),"")</f>
        <v/>
      </c>
      <c r="C33" s="24" t="str">
        <f aca="false">IF(SprintBacklog[[#This Row],[_Task]]="","",INDEX(tsk_Name,SprintBacklog[[#This Row],[_Task]])&amp;"")</f>
        <v/>
      </c>
      <c r="D33" s="69" t="str">
        <f aca="false">IF(SprintBacklog[[#This Row],[_Task]]="","",INDEX(tsk_StoryPoints,SprintBacklog[[#This Row],[_Task]]))</f>
        <v/>
      </c>
      <c r="E33" s="24" t="str">
        <f aca="false">IF(SprintBacklog[[#This Row],[_Task]]="","",INDEX(tsk_Resource,SprintBacklog[[#This Row],[_Task]])&amp;"")</f>
        <v/>
      </c>
      <c r="F33" s="48" t="str">
        <f aca="false">IF(SprintBacklog[[#This Row],[_Task]]="","",IF(N(INDEX(tsk_FcFinish,SprintBacklog[[#This Row],[_Task]]))=0,"",INDEX(tsk_FcFinish,SprintBacklog[[#This Row],[_Task]])))</f>
        <v/>
      </c>
      <c r="G33" s="50" t="str">
        <f aca="false">IF(SprintBacklog[[#This Row],[_Task]]="","",INDEX(tsk_Progress,SprintBacklog[[#This Row],[_Task]]))</f>
        <v/>
      </c>
      <c r="H33" s="24" t="str">
        <f aca="false">IF(SprintBacklog[[#This Row],[_Task]]="","",INDEX(tsk_Status,SprintBacklog[[#This Row],[_Task]])&amp;"")</f>
        <v/>
      </c>
    </row>
    <row r="34" customFormat="false" ht="15" hidden="false" customHeight="false" outlineLevel="0" collapsed="false">
      <c r="B34" s="41" t="str">
        <f aca="false">IFERROR(MATCH(SMALL(tsk_CurrentSprintKey,ROW()-ROW(SprintBacklog[[#Headers],[_Task]])),tsk_CurrentSprintKey,0),"")</f>
        <v/>
      </c>
      <c r="C34" s="24" t="str">
        <f aca="false">IF(SprintBacklog[[#This Row],[_Task]]="","",INDEX(tsk_Name,SprintBacklog[[#This Row],[_Task]])&amp;"")</f>
        <v/>
      </c>
      <c r="D34" s="69" t="str">
        <f aca="false">IF(SprintBacklog[[#This Row],[_Task]]="","",INDEX(tsk_StoryPoints,SprintBacklog[[#This Row],[_Task]]))</f>
        <v/>
      </c>
      <c r="E34" s="24" t="str">
        <f aca="false">IF(SprintBacklog[[#This Row],[_Task]]="","",INDEX(tsk_Resource,SprintBacklog[[#This Row],[_Task]])&amp;"")</f>
        <v/>
      </c>
      <c r="F34" s="48" t="str">
        <f aca="false">IF(SprintBacklog[[#This Row],[_Task]]="","",IF(N(INDEX(tsk_FcFinish,SprintBacklog[[#This Row],[_Task]]))=0,"",INDEX(tsk_FcFinish,SprintBacklog[[#This Row],[_Task]])))</f>
        <v/>
      </c>
      <c r="G34" s="50" t="str">
        <f aca="false">IF(SprintBacklog[[#This Row],[_Task]]="","",INDEX(tsk_Progress,SprintBacklog[[#This Row],[_Task]]))</f>
        <v/>
      </c>
      <c r="H34" s="24" t="str">
        <f aca="false">IF(SprintBacklog[[#This Row],[_Task]]="","",INDEX(tsk_Status,SprintBacklog[[#This Row],[_Task]])&amp;"")</f>
        <v/>
      </c>
    </row>
    <row r="35" customFormat="false" ht="15" hidden="false" customHeight="false" outlineLevel="0" collapsed="false">
      <c r="B35" s="41" t="str">
        <f aca="false">IFERROR(MATCH(SMALL(tsk_CurrentSprintKey,ROW()-ROW(SprintBacklog[[#Headers],[_Task]])),tsk_CurrentSprintKey,0),"")</f>
        <v/>
      </c>
      <c r="C35" s="24" t="str">
        <f aca="false">IF(SprintBacklog[[#This Row],[_Task]]="","",INDEX(tsk_Name,SprintBacklog[[#This Row],[_Task]])&amp;"")</f>
        <v/>
      </c>
      <c r="D35" s="69" t="str">
        <f aca="false">IF(SprintBacklog[[#This Row],[_Task]]="","",INDEX(tsk_StoryPoints,SprintBacklog[[#This Row],[_Task]]))</f>
        <v/>
      </c>
      <c r="E35" s="24" t="str">
        <f aca="false">IF(SprintBacklog[[#This Row],[_Task]]="","",INDEX(tsk_Resource,SprintBacklog[[#This Row],[_Task]])&amp;"")</f>
        <v/>
      </c>
      <c r="F35" s="48" t="str">
        <f aca="false">IF(SprintBacklog[[#This Row],[_Task]]="","",IF(N(INDEX(tsk_FcFinish,SprintBacklog[[#This Row],[_Task]]))=0,"",INDEX(tsk_FcFinish,SprintBacklog[[#This Row],[_Task]])))</f>
        <v/>
      </c>
      <c r="G35" s="50" t="str">
        <f aca="false">IF(SprintBacklog[[#This Row],[_Task]]="","",INDEX(tsk_Progress,SprintBacklog[[#This Row],[_Task]]))</f>
        <v/>
      </c>
      <c r="H35" s="24" t="str">
        <f aca="false">IF(SprintBacklog[[#This Row],[_Task]]="","",INDEX(tsk_Status,SprintBacklog[[#This Row],[_Task]])&amp;"")</f>
        <v/>
      </c>
    </row>
    <row r="36" customFormat="false" ht="15" hidden="false" customHeight="false" outlineLevel="0" collapsed="false">
      <c r="B36" s="41" t="str">
        <f aca="false">IFERROR(MATCH(SMALL(tsk_CurrentSprintKey,ROW()-ROW(SprintBacklog[[#Headers],[_Task]])),tsk_CurrentSprintKey,0),"")</f>
        <v/>
      </c>
      <c r="C36" s="24" t="str">
        <f aca="false">IF(SprintBacklog[[#This Row],[_Task]]="","",INDEX(tsk_Name,SprintBacklog[[#This Row],[_Task]])&amp;"")</f>
        <v/>
      </c>
      <c r="D36" s="69" t="str">
        <f aca="false">IF(SprintBacklog[[#This Row],[_Task]]="","",INDEX(tsk_StoryPoints,SprintBacklog[[#This Row],[_Task]]))</f>
        <v/>
      </c>
      <c r="E36" s="24" t="str">
        <f aca="false">IF(SprintBacklog[[#This Row],[_Task]]="","",INDEX(tsk_Resource,SprintBacklog[[#This Row],[_Task]])&amp;"")</f>
        <v/>
      </c>
      <c r="F36" s="48" t="str">
        <f aca="false">IF(SprintBacklog[[#This Row],[_Task]]="","",IF(N(INDEX(tsk_FcFinish,SprintBacklog[[#This Row],[_Task]]))=0,"",INDEX(tsk_FcFinish,SprintBacklog[[#This Row],[_Task]])))</f>
        <v/>
      </c>
      <c r="G36" s="50" t="str">
        <f aca="false">IF(SprintBacklog[[#This Row],[_Task]]="","",INDEX(tsk_Progress,SprintBacklog[[#This Row],[_Task]]))</f>
        <v/>
      </c>
      <c r="H36" s="24" t="str">
        <f aca="false">IF(SprintBacklog[[#This Row],[_Task]]="","",INDEX(tsk_Status,SprintBacklog[[#This Row],[_Task]])&amp;"")</f>
        <v/>
      </c>
    </row>
    <row r="37" customFormat="false" ht="15" hidden="false" customHeight="false" outlineLevel="0" collapsed="false">
      <c r="B37" s="41" t="str">
        <f aca="false">IFERROR(MATCH(SMALL(tsk_CurrentSprintKey,ROW()-ROW(SprintBacklog[[#Headers],[_Task]])),tsk_CurrentSprintKey,0),"")</f>
        <v/>
      </c>
      <c r="C37" s="24" t="str">
        <f aca="false">IF(SprintBacklog[[#This Row],[_Task]]="","",INDEX(tsk_Name,SprintBacklog[[#This Row],[_Task]])&amp;"")</f>
        <v/>
      </c>
      <c r="D37" s="69" t="str">
        <f aca="false">IF(SprintBacklog[[#This Row],[_Task]]="","",INDEX(tsk_StoryPoints,SprintBacklog[[#This Row],[_Task]]))</f>
        <v/>
      </c>
      <c r="E37" s="24" t="str">
        <f aca="false">IF(SprintBacklog[[#This Row],[_Task]]="","",INDEX(tsk_Resource,SprintBacklog[[#This Row],[_Task]])&amp;"")</f>
        <v/>
      </c>
      <c r="F37" s="48" t="str">
        <f aca="false">IF(SprintBacklog[[#This Row],[_Task]]="","",IF(N(INDEX(tsk_FcFinish,SprintBacklog[[#This Row],[_Task]]))=0,"",INDEX(tsk_FcFinish,SprintBacklog[[#This Row],[_Task]])))</f>
        <v/>
      </c>
      <c r="G37" s="50" t="str">
        <f aca="false">IF(SprintBacklog[[#This Row],[_Task]]="","",INDEX(tsk_Progress,SprintBacklog[[#This Row],[_Task]]))</f>
        <v/>
      </c>
      <c r="H37" s="24" t="str">
        <f aca="false">IF(SprintBacklog[[#This Row],[_Task]]="","",INDEX(tsk_Status,SprintBacklog[[#This Row],[_Task]])&amp;"")</f>
        <v/>
      </c>
    </row>
    <row r="38" customFormat="false" ht="15" hidden="false" customHeight="false" outlineLevel="0" collapsed="false">
      <c r="B38" s="41" t="str">
        <f aca="false">IFERROR(MATCH(SMALL(tsk_CurrentSprintKey,ROW()-ROW(SprintBacklog[[#Headers],[_Task]])),tsk_CurrentSprintKey,0),"")</f>
        <v/>
      </c>
      <c r="C38" s="24" t="str">
        <f aca="false">IF(SprintBacklog[[#This Row],[_Task]]="","",INDEX(tsk_Name,SprintBacklog[[#This Row],[_Task]])&amp;"")</f>
        <v/>
      </c>
      <c r="D38" s="69" t="str">
        <f aca="false">IF(SprintBacklog[[#This Row],[_Task]]="","",INDEX(tsk_StoryPoints,SprintBacklog[[#This Row],[_Task]]))</f>
        <v/>
      </c>
      <c r="E38" s="24" t="str">
        <f aca="false">IF(SprintBacklog[[#This Row],[_Task]]="","",INDEX(tsk_Resource,SprintBacklog[[#This Row],[_Task]])&amp;"")</f>
        <v/>
      </c>
      <c r="F38" s="48" t="str">
        <f aca="false">IF(SprintBacklog[[#This Row],[_Task]]="","",IF(N(INDEX(tsk_FcFinish,SprintBacklog[[#This Row],[_Task]]))=0,"",INDEX(tsk_FcFinish,SprintBacklog[[#This Row],[_Task]])))</f>
        <v/>
      </c>
      <c r="G38" s="50" t="str">
        <f aca="false">IF(SprintBacklog[[#This Row],[_Task]]="","",INDEX(tsk_Progress,SprintBacklog[[#This Row],[_Task]]))</f>
        <v/>
      </c>
      <c r="H38" s="24" t="str">
        <f aca="false">IF(SprintBacklog[[#This Row],[_Task]]="","",INDEX(tsk_Status,SprintBacklog[[#This Row],[_Task]])&amp;"")</f>
        <v/>
      </c>
    </row>
    <row r="39" customFormat="false" ht="15" hidden="false" customHeight="false" outlineLevel="0" collapsed="false">
      <c r="B39" s="41" t="str">
        <f aca="false">IFERROR(MATCH(SMALL(tsk_CurrentSprintKey,ROW()-ROW(SprintBacklog[[#Headers],[_Task]])),tsk_CurrentSprintKey,0),"")</f>
        <v/>
      </c>
      <c r="C39" s="24" t="str">
        <f aca="false">IF(SprintBacklog[[#This Row],[_Task]]="","",INDEX(tsk_Name,SprintBacklog[[#This Row],[_Task]])&amp;"")</f>
        <v/>
      </c>
      <c r="D39" s="69" t="str">
        <f aca="false">IF(SprintBacklog[[#This Row],[_Task]]="","",INDEX(tsk_StoryPoints,SprintBacklog[[#This Row],[_Task]]))</f>
        <v/>
      </c>
      <c r="E39" s="24" t="str">
        <f aca="false">IF(SprintBacklog[[#This Row],[_Task]]="","",INDEX(tsk_Resource,SprintBacklog[[#This Row],[_Task]])&amp;"")</f>
        <v/>
      </c>
      <c r="F39" s="48" t="str">
        <f aca="false">IF(SprintBacklog[[#This Row],[_Task]]="","",IF(N(INDEX(tsk_FcFinish,SprintBacklog[[#This Row],[_Task]]))=0,"",INDEX(tsk_FcFinish,SprintBacklog[[#This Row],[_Task]])))</f>
        <v/>
      </c>
      <c r="G39" s="50" t="str">
        <f aca="false">IF(SprintBacklog[[#This Row],[_Task]]="","",INDEX(tsk_Progress,SprintBacklog[[#This Row],[_Task]]))</f>
        <v/>
      </c>
      <c r="H39" s="24" t="str">
        <f aca="false">IF(SprintBacklog[[#This Row],[_Task]]="","",INDEX(tsk_Status,SprintBacklog[[#This Row],[_Task]])&amp;"")</f>
        <v/>
      </c>
    </row>
    <row r="40" customFormat="false" ht="15" hidden="false" customHeight="false" outlineLevel="0" collapsed="false">
      <c r="B40" s="41" t="str">
        <f aca="false">IFERROR(MATCH(SMALL(tsk_CurrentSprintKey,ROW()-ROW(SprintBacklog[[#Headers],[_Task]])),tsk_CurrentSprintKey,0),"")</f>
        <v/>
      </c>
      <c r="C40" s="24" t="str">
        <f aca="false">IF(SprintBacklog[[#This Row],[_Task]]="","",INDEX(tsk_Name,SprintBacklog[[#This Row],[_Task]])&amp;"")</f>
        <v/>
      </c>
      <c r="D40" s="69" t="str">
        <f aca="false">IF(SprintBacklog[[#This Row],[_Task]]="","",INDEX(tsk_StoryPoints,SprintBacklog[[#This Row],[_Task]]))</f>
        <v/>
      </c>
      <c r="E40" s="24" t="str">
        <f aca="false">IF(SprintBacklog[[#This Row],[_Task]]="","",INDEX(tsk_Resource,SprintBacklog[[#This Row],[_Task]])&amp;"")</f>
        <v/>
      </c>
      <c r="F40" s="48" t="str">
        <f aca="false">IF(SprintBacklog[[#This Row],[_Task]]="","",IF(N(INDEX(tsk_FcFinish,SprintBacklog[[#This Row],[_Task]]))=0,"",INDEX(tsk_FcFinish,SprintBacklog[[#This Row],[_Task]])))</f>
        <v/>
      </c>
      <c r="G40" s="50" t="str">
        <f aca="false">IF(SprintBacklog[[#This Row],[_Task]]="","",INDEX(tsk_Progress,SprintBacklog[[#This Row],[_Task]]))</f>
        <v/>
      </c>
      <c r="H40" s="24" t="str">
        <f aca="false">IF(SprintBacklog[[#This Row],[_Task]]="","",INDEX(tsk_Status,SprintBacklog[[#This Row],[_Task]])&amp;"")</f>
        <v/>
      </c>
    </row>
    <row r="42" customFormat="false" ht="15" hidden="false" customHeight="false" outlineLevel="0" collapsed="false">
      <c r="C42" s="36" t="s">
        <v>254</v>
      </c>
    </row>
    <row r="43" customFormat="false" ht="23.85" hidden="false" customHeight="false" outlineLevel="0" collapsed="false">
      <c r="C43" s="9" t="s">
        <v>255</v>
      </c>
      <c r="D43" s="9" t="s">
        <v>228</v>
      </c>
      <c r="E43" s="9" t="s">
        <v>256</v>
      </c>
      <c r="F43" s="40" t="s">
        <v>257</v>
      </c>
      <c r="G43" s="40" t="s">
        <v>258</v>
      </c>
      <c r="H43" s="40" t="s">
        <v>259</v>
      </c>
    </row>
    <row r="44" customFormat="false" ht="15" hidden="false" customHeight="false" outlineLevel="0" collapsed="false">
      <c r="C44" s="25" t="n">
        <f aca="false">IF(OR(CurrentSprint="",ROW()-ROW(SprintBurndown[[#Headers],[Day]])&gt;SprintLength),"",CurrentSprintStart+ROW()-ROW(SprintBurndown[[#Headers],[Day]])-1)</f>
        <v>46314</v>
      </c>
      <c r="D44" s="70" t="n">
        <f aca="false">IF(OR(SprintBurndown[[#This Row],[Day]]="",SprintBurndown[[#This Row],[Day]]&gt;StatusDate),"",agl_CurCommitted-SUMIFS(tsk_LeafPoints,tsk_Sprint,CurrentSprint,tsk_DoneDate,"&lt;="&amp;SprintBurndown[[#This Row],[Day]]))</f>
        <v>8</v>
      </c>
      <c r="E44" s="70" t="n">
        <f aca="false">IF(SprintBurndown[[#This Row],[Day]]="","",agl_CurCommitted*MAX(0,1-NETWORKDAYS.INTL(CurrentSprintStart,SprintBurndown[[#This Row],[Day]],WorkWeek,Holidays)/MAX(1,NETWORKDAYS.INTL(CurrentSprintStart,CurrentSprintEnd,WorkWeek,Holidays))))</f>
        <v>7.2</v>
      </c>
      <c r="F44" s="71" t="str">
        <f aca="false">IF(SprintBurndown[[#This Row],[Day]]="","",TEXT(SprintBurndown[[#This Row],[Day]],"dd-mmm"))</f>
        <v>19-Oct</v>
      </c>
      <c r="G44" s="72" t="n">
        <f aca="false">IF(SprintBurndown[[#This Row],[Remaining]]="",NA(),SprintBurndown[[#This Row],[Remaining]])</f>
        <v>8</v>
      </c>
      <c r="H44" s="72" t="n">
        <f aca="false">IF(SprintBurndown[[#This Row],[Ideal]]="",NA(),SprintBurndown[[#This Row],[Ideal]])</f>
        <v>7.2</v>
      </c>
    </row>
    <row r="45" customFormat="false" ht="15" hidden="false" customHeight="false" outlineLevel="0" collapsed="false">
      <c r="C45" s="25" t="n">
        <f aca="false">IF(OR(CurrentSprint="",ROW()-ROW(SprintBurndown[[#Headers],[Day]])&gt;SprintLength),"",CurrentSprintStart+ROW()-ROW(SprintBurndown[[#Headers],[Day]])-1)</f>
        <v>46315</v>
      </c>
      <c r="D45" s="70" t="n">
        <f aca="false">IF(OR(SprintBurndown[[#This Row],[Day]]="",SprintBurndown[[#This Row],[Day]]&gt;StatusDate),"",agl_CurCommitted-SUMIFS(tsk_LeafPoints,tsk_Sprint,CurrentSprint,tsk_DoneDate,"&lt;="&amp;SprintBurndown[[#This Row],[Day]]))</f>
        <v>8</v>
      </c>
      <c r="E45" s="70" t="n">
        <f aca="false">IF(SprintBurndown[[#This Row],[Day]]="","",agl_CurCommitted*MAX(0,1-NETWORKDAYS.INTL(CurrentSprintStart,SprintBurndown[[#This Row],[Day]],WorkWeek,Holidays)/MAX(1,NETWORKDAYS.INTL(CurrentSprintStart,CurrentSprintEnd,WorkWeek,Holidays))))</f>
        <v>6.4</v>
      </c>
      <c r="F45" s="71" t="str">
        <f aca="false">IF(SprintBurndown[[#This Row],[Day]]="","",TEXT(SprintBurndown[[#This Row],[Day]],"dd-mmm"))</f>
        <v>20-Oct</v>
      </c>
      <c r="G45" s="72" t="n">
        <f aca="false">IF(SprintBurndown[[#This Row],[Remaining]]="",NA(),SprintBurndown[[#This Row],[Remaining]])</f>
        <v>8</v>
      </c>
      <c r="H45" s="72" t="n">
        <f aca="false">IF(SprintBurndown[[#This Row],[Ideal]]="",NA(),SprintBurndown[[#This Row],[Ideal]])</f>
        <v>6.4</v>
      </c>
    </row>
    <row r="46" customFormat="false" ht="15" hidden="false" customHeight="false" outlineLevel="0" collapsed="false">
      <c r="C46" s="25" t="n">
        <f aca="false">IF(OR(CurrentSprint="",ROW()-ROW(SprintBurndown[[#Headers],[Day]])&gt;SprintLength),"",CurrentSprintStart+ROW()-ROW(SprintBurndown[[#Headers],[Day]])-1)</f>
        <v>46316</v>
      </c>
      <c r="D46" s="70" t="n">
        <f aca="false">IF(OR(SprintBurndown[[#This Row],[Day]]="",SprintBurndown[[#This Row],[Day]]&gt;StatusDate),"",agl_CurCommitted-SUMIFS(tsk_LeafPoints,tsk_Sprint,CurrentSprint,tsk_DoneDate,"&lt;="&amp;SprintBurndown[[#This Row],[Day]]))</f>
        <v>8</v>
      </c>
      <c r="E46" s="70" t="n">
        <f aca="false">IF(SprintBurndown[[#This Row],[Day]]="","",agl_CurCommitted*MAX(0,1-NETWORKDAYS.INTL(CurrentSprintStart,SprintBurndown[[#This Row],[Day]],WorkWeek,Holidays)/MAX(1,NETWORKDAYS.INTL(CurrentSprintStart,CurrentSprintEnd,WorkWeek,Holidays))))</f>
        <v>5.6</v>
      </c>
      <c r="F46" s="71" t="str">
        <f aca="false">IF(SprintBurndown[[#This Row],[Day]]="","",TEXT(SprintBurndown[[#This Row],[Day]],"dd-mmm"))</f>
        <v>21-Oct</v>
      </c>
      <c r="G46" s="72" t="n">
        <f aca="false">IF(SprintBurndown[[#This Row],[Remaining]]="",NA(),SprintBurndown[[#This Row],[Remaining]])</f>
        <v>8</v>
      </c>
      <c r="H46" s="72" t="n">
        <f aca="false">IF(SprintBurndown[[#This Row],[Ideal]]="",NA(),SprintBurndown[[#This Row],[Ideal]])</f>
        <v>5.6</v>
      </c>
    </row>
    <row r="47" customFormat="false" ht="15" hidden="false" customHeight="false" outlineLevel="0" collapsed="false">
      <c r="C47" s="25" t="n">
        <f aca="false">IF(OR(CurrentSprint="",ROW()-ROW(SprintBurndown[[#Headers],[Day]])&gt;SprintLength),"",CurrentSprintStart+ROW()-ROW(SprintBurndown[[#Headers],[Day]])-1)</f>
        <v>46317</v>
      </c>
      <c r="D47" s="70" t="n">
        <f aca="false">IF(OR(SprintBurndown[[#This Row],[Day]]="",SprintBurndown[[#This Row],[Day]]&gt;StatusDate),"",agl_CurCommitted-SUMIFS(tsk_LeafPoints,tsk_Sprint,CurrentSprint,tsk_DoneDate,"&lt;="&amp;SprintBurndown[[#This Row],[Day]]))</f>
        <v>8</v>
      </c>
      <c r="E47" s="70" t="n">
        <f aca="false">IF(SprintBurndown[[#This Row],[Day]]="","",agl_CurCommitted*MAX(0,1-NETWORKDAYS.INTL(CurrentSprintStart,SprintBurndown[[#This Row],[Day]],WorkWeek,Holidays)/MAX(1,NETWORKDAYS.INTL(CurrentSprintStart,CurrentSprintEnd,WorkWeek,Holidays))))</f>
        <v>4.8</v>
      </c>
      <c r="F47" s="71" t="str">
        <f aca="false">IF(SprintBurndown[[#This Row],[Day]]="","",TEXT(SprintBurndown[[#This Row],[Day]],"dd-mmm"))</f>
        <v>22-Oct</v>
      </c>
      <c r="G47" s="72" t="n">
        <f aca="false">IF(SprintBurndown[[#This Row],[Remaining]]="",NA(),SprintBurndown[[#This Row],[Remaining]])</f>
        <v>8</v>
      </c>
      <c r="H47" s="72" t="n">
        <f aca="false">IF(SprintBurndown[[#This Row],[Ideal]]="",NA(),SprintBurndown[[#This Row],[Ideal]])</f>
        <v>4.8</v>
      </c>
    </row>
    <row r="48" customFormat="false" ht="15" hidden="false" customHeight="false" outlineLevel="0" collapsed="false">
      <c r="C48" s="25" t="n">
        <f aca="false">IF(OR(CurrentSprint="",ROW()-ROW(SprintBurndown[[#Headers],[Day]])&gt;SprintLength),"",CurrentSprintStart+ROW()-ROW(SprintBurndown[[#Headers],[Day]])-1)</f>
        <v>46318</v>
      </c>
      <c r="D48" s="70" t="n">
        <f aca="false">IF(OR(SprintBurndown[[#This Row],[Day]]="",SprintBurndown[[#This Row],[Day]]&gt;StatusDate),"",agl_CurCommitted-SUMIFS(tsk_LeafPoints,tsk_Sprint,CurrentSprint,tsk_DoneDate,"&lt;="&amp;SprintBurndown[[#This Row],[Day]]))</f>
        <v>8</v>
      </c>
      <c r="E48" s="70" t="n">
        <f aca="false">IF(SprintBurndown[[#This Row],[Day]]="","",agl_CurCommitted*MAX(0,1-NETWORKDAYS.INTL(CurrentSprintStart,SprintBurndown[[#This Row],[Day]],WorkWeek,Holidays)/MAX(1,NETWORKDAYS.INTL(CurrentSprintStart,CurrentSprintEnd,WorkWeek,Holidays))))</f>
        <v>4</v>
      </c>
      <c r="F48" s="71" t="str">
        <f aca="false">IF(SprintBurndown[[#This Row],[Day]]="","",TEXT(SprintBurndown[[#This Row],[Day]],"dd-mmm"))</f>
        <v>23-Oct</v>
      </c>
      <c r="G48" s="72" t="n">
        <f aca="false">IF(SprintBurndown[[#This Row],[Remaining]]="",NA(),SprintBurndown[[#This Row],[Remaining]])</f>
        <v>8</v>
      </c>
      <c r="H48" s="72" t="n">
        <f aca="false">IF(SprintBurndown[[#This Row],[Ideal]]="",NA(),SprintBurndown[[#This Row],[Ideal]])</f>
        <v>4</v>
      </c>
    </row>
    <row r="49" customFormat="false" ht="15" hidden="false" customHeight="false" outlineLevel="0" collapsed="false">
      <c r="C49" s="25" t="n">
        <f aca="false">IF(OR(CurrentSprint="",ROW()-ROW(SprintBurndown[[#Headers],[Day]])&gt;SprintLength),"",CurrentSprintStart+ROW()-ROW(SprintBurndown[[#Headers],[Day]])-1)</f>
        <v>46319</v>
      </c>
      <c r="D49" s="70" t="n">
        <f aca="false">IF(OR(SprintBurndown[[#This Row],[Day]]="",SprintBurndown[[#This Row],[Day]]&gt;StatusDate),"",agl_CurCommitted-SUMIFS(tsk_LeafPoints,tsk_Sprint,CurrentSprint,tsk_DoneDate,"&lt;="&amp;SprintBurndown[[#This Row],[Day]]))</f>
        <v>8</v>
      </c>
      <c r="E49" s="70" t="n">
        <f aca="false">IF(SprintBurndown[[#This Row],[Day]]="","",agl_CurCommitted*MAX(0,1-NETWORKDAYS.INTL(CurrentSprintStart,SprintBurndown[[#This Row],[Day]],WorkWeek,Holidays)/MAX(1,NETWORKDAYS.INTL(CurrentSprintStart,CurrentSprintEnd,WorkWeek,Holidays))))</f>
        <v>4</v>
      </c>
      <c r="F49" s="71" t="str">
        <f aca="false">IF(SprintBurndown[[#This Row],[Day]]="","",TEXT(SprintBurndown[[#This Row],[Day]],"dd-mmm"))</f>
        <v>24-Oct</v>
      </c>
      <c r="G49" s="72" t="n">
        <f aca="false">IF(SprintBurndown[[#This Row],[Remaining]]="",NA(),SprintBurndown[[#This Row],[Remaining]])</f>
        <v>8</v>
      </c>
      <c r="H49" s="72" t="n">
        <f aca="false">IF(SprintBurndown[[#This Row],[Ideal]]="",NA(),SprintBurndown[[#This Row],[Ideal]])</f>
        <v>4</v>
      </c>
    </row>
    <row r="50" customFormat="false" ht="15" hidden="false" customHeight="false" outlineLevel="0" collapsed="false">
      <c r="C50" s="25" t="n">
        <f aca="false">IF(OR(CurrentSprint="",ROW()-ROW(SprintBurndown[[#Headers],[Day]])&gt;SprintLength),"",CurrentSprintStart+ROW()-ROW(SprintBurndown[[#Headers],[Day]])-1)</f>
        <v>46320</v>
      </c>
      <c r="D50" s="70" t="n">
        <f aca="false">IF(OR(SprintBurndown[[#This Row],[Day]]="",SprintBurndown[[#This Row],[Day]]&gt;StatusDate),"",agl_CurCommitted-SUMIFS(tsk_LeafPoints,tsk_Sprint,CurrentSprint,tsk_DoneDate,"&lt;="&amp;SprintBurndown[[#This Row],[Day]]))</f>
        <v>8</v>
      </c>
      <c r="E50" s="70" t="n">
        <f aca="false">IF(SprintBurndown[[#This Row],[Day]]="","",agl_CurCommitted*MAX(0,1-NETWORKDAYS.INTL(CurrentSprintStart,SprintBurndown[[#This Row],[Day]],WorkWeek,Holidays)/MAX(1,NETWORKDAYS.INTL(CurrentSprintStart,CurrentSprintEnd,WorkWeek,Holidays))))</f>
        <v>4</v>
      </c>
      <c r="F50" s="71" t="str">
        <f aca="false">IF(SprintBurndown[[#This Row],[Day]]="","",TEXT(SprintBurndown[[#This Row],[Day]],"dd-mmm"))</f>
        <v>25-Oct</v>
      </c>
      <c r="G50" s="72" t="n">
        <f aca="false">IF(SprintBurndown[[#This Row],[Remaining]]="",NA(),SprintBurndown[[#This Row],[Remaining]])</f>
        <v>8</v>
      </c>
      <c r="H50" s="72" t="n">
        <f aca="false">IF(SprintBurndown[[#This Row],[Ideal]]="",NA(),SprintBurndown[[#This Row],[Ideal]])</f>
        <v>4</v>
      </c>
    </row>
    <row r="51" customFormat="false" ht="15" hidden="false" customHeight="false" outlineLevel="0" collapsed="false">
      <c r="C51" s="25" t="n">
        <f aca="false">IF(OR(CurrentSprint="",ROW()-ROW(SprintBurndown[[#Headers],[Day]])&gt;SprintLength),"",CurrentSprintStart+ROW()-ROW(SprintBurndown[[#Headers],[Day]])-1)</f>
        <v>46321</v>
      </c>
      <c r="D51" s="70" t="str">
        <f aca="false">IF(OR(SprintBurndown[[#This Row],[Day]]="",SprintBurndown[[#This Row],[Day]]&gt;StatusDate),"",agl_CurCommitted-SUMIFS(tsk_LeafPoints,tsk_Sprint,CurrentSprint,tsk_DoneDate,"&lt;="&amp;SprintBurndown[[#This Row],[Day]]))</f>
        <v/>
      </c>
      <c r="E51" s="70" t="n">
        <f aca="false">IF(SprintBurndown[[#This Row],[Day]]="","",agl_CurCommitted*MAX(0,1-NETWORKDAYS.INTL(CurrentSprintStart,SprintBurndown[[#This Row],[Day]],WorkWeek,Holidays)/MAX(1,NETWORKDAYS.INTL(CurrentSprintStart,CurrentSprintEnd,WorkWeek,Holidays))))</f>
        <v>3.2</v>
      </c>
      <c r="F51" s="71" t="str">
        <f aca="false">IF(SprintBurndown[[#This Row],[Day]]="","",TEXT(SprintBurndown[[#This Row],[Day]],"dd-mmm"))</f>
        <v>26-Oct</v>
      </c>
      <c r="G51" s="71" t="e">
        <f aca="false">IF(SprintBurndown[[#This Row],[Remaining]]="",NA(),SprintBurndown[[#This Row],[Remaining]])</f>
        <v>#N/A</v>
      </c>
      <c r="H51" s="72" t="n">
        <f aca="false">IF(SprintBurndown[[#This Row],[Ideal]]="",NA(),SprintBurndown[[#This Row],[Ideal]])</f>
        <v>3.2</v>
      </c>
    </row>
    <row r="52" customFormat="false" ht="15" hidden="false" customHeight="false" outlineLevel="0" collapsed="false">
      <c r="C52" s="25" t="n">
        <f aca="false">IF(OR(CurrentSprint="",ROW()-ROW(SprintBurndown[[#Headers],[Day]])&gt;SprintLength),"",CurrentSprintStart+ROW()-ROW(SprintBurndown[[#Headers],[Day]])-1)</f>
        <v>46322</v>
      </c>
      <c r="D52" s="70" t="str">
        <f aca="false">IF(OR(SprintBurndown[[#This Row],[Day]]="",SprintBurndown[[#This Row],[Day]]&gt;StatusDate),"",agl_CurCommitted-SUMIFS(tsk_LeafPoints,tsk_Sprint,CurrentSprint,tsk_DoneDate,"&lt;="&amp;SprintBurndown[[#This Row],[Day]]))</f>
        <v/>
      </c>
      <c r="E52" s="70" t="n">
        <f aca="false">IF(SprintBurndown[[#This Row],[Day]]="","",agl_CurCommitted*MAX(0,1-NETWORKDAYS.INTL(CurrentSprintStart,SprintBurndown[[#This Row],[Day]],WorkWeek,Holidays)/MAX(1,NETWORKDAYS.INTL(CurrentSprintStart,CurrentSprintEnd,WorkWeek,Holidays))))</f>
        <v>2.4</v>
      </c>
      <c r="F52" s="71" t="str">
        <f aca="false">IF(SprintBurndown[[#This Row],[Day]]="","",TEXT(SprintBurndown[[#This Row],[Day]],"dd-mmm"))</f>
        <v>27-Oct</v>
      </c>
      <c r="G52" s="71" t="e">
        <f aca="false">IF(SprintBurndown[[#This Row],[Remaining]]="",NA(),SprintBurndown[[#This Row],[Remaining]])</f>
        <v>#N/A</v>
      </c>
      <c r="H52" s="72" t="n">
        <f aca="false">IF(SprintBurndown[[#This Row],[Ideal]]="",NA(),SprintBurndown[[#This Row],[Ideal]])</f>
        <v>2.4</v>
      </c>
    </row>
    <row r="53" customFormat="false" ht="15" hidden="false" customHeight="false" outlineLevel="0" collapsed="false">
      <c r="C53" s="25" t="n">
        <f aca="false">IF(OR(CurrentSprint="",ROW()-ROW(SprintBurndown[[#Headers],[Day]])&gt;SprintLength),"",CurrentSprintStart+ROW()-ROW(SprintBurndown[[#Headers],[Day]])-1)</f>
        <v>46323</v>
      </c>
      <c r="D53" s="70" t="str">
        <f aca="false">IF(OR(SprintBurndown[[#This Row],[Day]]="",SprintBurndown[[#This Row],[Day]]&gt;StatusDate),"",agl_CurCommitted-SUMIFS(tsk_LeafPoints,tsk_Sprint,CurrentSprint,tsk_DoneDate,"&lt;="&amp;SprintBurndown[[#This Row],[Day]]))</f>
        <v/>
      </c>
      <c r="E53" s="70" t="n">
        <f aca="false">IF(SprintBurndown[[#This Row],[Day]]="","",agl_CurCommitted*MAX(0,1-NETWORKDAYS.INTL(CurrentSprintStart,SprintBurndown[[#This Row],[Day]],WorkWeek,Holidays)/MAX(1,NETWORKDAYS.INTL(CurrentSprintStart,CurrentSprintEnd,WorkWeek,Holidays))))</f>
        <v>1.6</v>
      </c>
      <c r="F53" s="71" t="str">
        <f aca="false">IF(SprintBurndown[[#This Row],[Day]]="","",TEXT(SprintBurndown[[#This Row],[Day]],"dd-mmm"))</f>
        <v>28-Oct</v>
      </c>
      <c r="G53" s="71" t="e">
        <f aca="false">IF(SprintBurndown[[#This Row],[Remaining]]="",NA(),SprintBurndown[[#This Row],[Remaining]])</f>
        <v>#N/A</v>
      </c>
      <c r="H53" s="72" t="n">
        <f aca="false">IF(SprintBurndown[[#This Row],[Ideal]]="",NA(),SprintBurndown[[#This Row],[Ideal]])</f>
        <v>1.6</v>
      </c>
    </row>
    <row r="54" customFormat="false" ht="15" hidden="false" customHeight="false" outlineLevel="0" collapsed="false">
      <c r="C54" s="25" t="n">
        <f aca="false">IF(OR(CurrentSprint="",ROW()-ROW(SprintBurndown[[#Headers],[Day]])&gt;SprintLength),"",CurrentSprintStart+ROW()-ROW(SprintBurndown[[#Headers],[Day]])-1)</f>
        <v>46324</v>
      </c>
      <c r="D54" s="70" t="str">
        <f aca="false">IF(OR(SprintBurndown[[#This Row],[Day]]="",SprintBurndown[[#This Row],[Day]]&gt;StatusDate),"",agl_CurCommitted-SUMIFS(tsk_LeafPoints,tsk_Sprint,CurrentSprint,tsk_DoneDate,"&lt;="&amp;SprintBurndown[[#This Row],[Day]]))</f>
        <v/>
      </c>
      <c r="E54" s="70" t="n">
        <f aca="false">IF(SprintBurndown[[#This Row],[Day]]="","",agl_CurCommitted*MAX(0,1-NETWORKDAYS.INTL(CurrentSprintStart,SprintBurndown[[#This Row],[Day]],WorkWeek,Holidays)/MAX(1,NETWORKDAYS.INTL(CurrentSprintStart,CurrentSprintEnd,WorkWeek,Holidays))))</f>
        <v>0.8</v>
      </c>
      <c r="F54" s="71" t="str">
        <f aca="false">IF(SprintBurndown[[#This Row],[Day]]="","",TEXT(SprintBurndown[[#This Row],[Day]],"dd-mmm"))</f>
        <v>29-Oct</v>
      </c>
      <c r="G54" s="71" t="e">
        <f aca="false">IF(SprintBurndown[[#This Row],[Remaining]]="",NA(),SprintBurndown[[#This Row],[Remaining]])</f>
        <v>#N/A</v>
      </c>
      <c r="H54" s="72" t="n">
        <f aca="false">IF(SprintBurndown[[#This Row],[Ideal]]="",NA(),SprintBurndown[[#This Row],[Ideal]])</f>
        <v>0.8</v>
      </c>
    </row>
    <row r="55" customFormat="false" ht="15" hidden="false" customHeight="false" outlineLevel="0" collapsed="false">
      <c r="C55" s="25" t="n">
        <f aca="false">IF(OR(CurrentSprint="",ROW()-ROW(SprintBurndown[[#Headers],[Day]])&gt;SprintLength),"",CurrentSprintStart+ROW()-ROW(SprintBurndown[[#Headers],[Day]])-1)</f>
        <v>46325</v>
      </c>
      <c r="D55" s="70" t="str">
        <f aca="false">IF(OR(SprintBurndown[[#This Row],[Day]]="",SprintBurndown[[#This Row],[Day]]&gt;StatusDate),"",agl_CurCommitted-SUMIFS(tsk_LeafPoints,tsk_Sprint,CurrentSprint,tsk_DoneDate,"&lt;="&amp;SprintBurndown[[#This Row],[Day]]))</f>
        <v/>
      </c>
      <c r="E55" s="70" t="n">
        <f aca="false">IF(SprintBurndown[[#This Row],[Day]]="","",agl_CurCommitted*MAX(0,1-NETWORKDAYS.INTL(CurrentSprintStart,SprintBurndown[[#This Row],[Day]],WorkWeek,Holidays)/MAX(1,NETWORKDAYS.INTL(CurrentSprintStart,CurrentSprintEnd,WorkWeek,Holidays))))</f>
        <v>0</v>
      </c>
      <c r="F55" s="71" t="str">
        <f aca="false">IF(SprintBurndown[[#This Row],[Day]]="","",TEXT(SprintBurndown[[#This Row],[Day]],"dd-mmm"))</f>
        <v>30-Oct</v>
      </c>
      <c r="G55" s="71" t="e">
        <f aca="false">IF(SprintBurndown[[#This Row],[Remaining]]="",NA(),SprintBurndown[[#This Row],[Remaining]])</f>
        <v>#N/A</v>
      </c>
      <c r="H55" s="72" t="n">
        <f aca="false">IF(SprintBurndown[[#This Row],[Ideal]]="",NA(),SprintBurndown[[#This Row],[Ideal]])</f>
        <v>0</v>
      </c>
    </row>
    <row r="56" customFormat="false" ht="15" hidden="false" customHeight="false" outlineLevel="0" collapsed="false">
      <c r="C56" s="25" t="n">
        <f aca="false">IF(OR(CurrentSprint="",ROW()-ROW(SprintBurndown[[#Headers],[Day]])&gt;SprintLength),"",CurrentSprintStart+ROW()-ROW(SprintBurndown[[#Headers],[Day]])-1)</f>
        <v>46326</v>
      </c>
      <c r="D56" s="70" t="str">
        <f aca="false">IF(OR(SprintBurndown[[#This Row],[Day]]="",SprintBurndown[[#This Row],[Day]]&gt;StatusDate),"",agl_CurCommitted-SUMIFS(tsk_LeafPoints,tsk_Sprint,CurrentSprint,tsk_DoneDate,"&lt;="&amp;SprintBurndown[[#This Row],[Day]]))</f>
        <v/>
      </c>
      <c r="E56" s="70" t="n">
        <f aca="false">IF(SprintBurndown[[#This Row],[Day]]="","",agl_CurCommitted*MAX(0,1-NETWORKDAYS.INTL(CurrentSprintStart,SprintBurndown[[#This Row],[Day]],WorkWeek,Holidays)/MAX(1,NETWORKDAYS.INTL(CurrentSprintStart,CurrentSprintEnd,WorkWeek,Holidays))))</f>
        <v>0</v>
      </c>
      <c r="F56" s="71" t="str">
        <f aca="false">IF(SprintBurndown[[#This Row],[Day]]="","",TEXT(SprintBurndown[[#This Row],[Day]],"dd-mmm"))</f>
        <v>31-Oct</v>
      </c>
      <c r="G56" s="71" t="e">
        <f aca="false">IF(SprintBurndown[[#This Row],[Remaining]]="",NA(),SprintBurndown[[#This Row],[Remaining]])</f>
        <v>#N/A</v>
      </c>
      <c r="H56" s="72" t="n">
        <f aca="false">IF(SprintBurndown[[#This Row],[Ideal]]="",NA(),SprintBurndown[[#This Row],[Ideal]])</f>
        <v>0</v>
      </c>
    </row>
    <row r="57" customFormat="false" ht="15" hidden="false" customHeight="false" outlineLevel="0" collapsed="false">
      <c r="C57" s="25" t="n">
        <f aca="false">IF(OR(CurrentSprint="",ROW()-ROW(SprintBurndown[[#Headers],[Day]])&gt;SprintLength),"",CurrentSprintStart+ROW()-ROW(SprintBurndown[[#Headers],[Day]])-1)</f>
        <v>46327</v>
      </c>
      <c r="D57" s="70" t="str">
        <f aca="false">IF(OR(SprintBurndown[[#This Row],[Day]]="",SprintBurndown[[#This Row],[Day]]&gt;StatusDate),"",agl_CurCommitted-SUMIFS(tsk_LeafPoints,tsk_Sprint,CurrentSprint,tsk_DoneDate,"&lt;="&amp;SprintBurndown[[#This Row],[Day]]))</f>
        <v/>
      </c>
      <c r="E57" s="70" t="n">
        <f aca="false">IF(SprintBurndown[[#This Row],[Day]]="","",agl_CurCommitted*MAX(0,1-NETWORKDAYS.INTL(CurrentSprintStart,SprintBurndown[[#This Row],[Day]],WorkWeek,Holidays)/MAX(1,NETWORKDAYS.INTL(CurrentSprintStart,CurrentSprintEnd,WorkWeek,Holidays))))</f>
        <v>0</v>
      </c>
      <c r="F57" s="71" t="str">
        <f aca="false">IF(SprintBurndown[[#This Row],[Day]]="","",TEXT(SprintBurndown[[#This Row],[Day]],"dd-mmm"))</f>
        <v>01-Nov</v>
      </c>
      <c r="G57" s="71" t="e">
        <f aca="false">IF(SprintBurndown[[#This Row],[Remaining]]="",NA(),SprintBurndown[[#This Row],[Remaining]])</f>
        <v>#N/A</v>
      </c>
      <c r="H57" s="72" t="n">
        <f aca="false">IF(SprintBurndown[[#This Row],[Ideal]]="",NA(),SprintBurndown[[#This Row],[Ideal]])</f>
        <v>0</v>
      </c>
    </row>
    <row r="58" customFormat="false" ht="15" hidden="false" customHeight="false" outlineLevel="0" collapsed="false">
      <c r="C58" s="25" t="str">
        <f aca="false">IF(OR(CurrentSprint="",ROW()-ROW(SprintBurndown[[#Headers],[Day]])&gt;SprintLength),"",CurrentSprintStart+ROW()-ROW(SprintBurndown[[#Headers],[Day]])-1)</f>
        <v/>
      </c>
      <c r="D58" s="70" t="str">
        <f aca="false">IF(OR(SprintBurndown[[#This Row],[Day]]="",SprintBurndown[[#This Row],[Day]]&gt;StatusDate),"",agl_CurCommitted-SUMIFS(tsk_LeafPoints,tsk_Sprint,CurrentSprint,tsk_DoneDate,"&lt;="&amp;SprintBurndown[[#This Row],[Day]]))</f>
        <v/>
      </c>
      <c r="E58" s="70" t="str">
        <f aca="false">IF(SprintBurndown[[#This Row],[Day]]="","",agl_CurCommitted*MAX(0,1-NETWORKDAYS.INTL(CurrentSprintStart,SprintBurndown[[#This Row],[Day]],WorkWeek,Holidays)/MAX(1,NETWORKDAYS.INTL(CurrentSprintStart,CurrentSprintEnd,WorkWeek,Holidays))))</f>
        <v/>
      </c>
      <c r="F58" s="71" t="str">
        <f aca="false">IF(SprintBurndown[[#This Row],[Day]]="","",TEXT(SprintBurndown[[#This Row],[Day]],"dd-mmm"))</f>
        <v/>
      </c>
      <c r="G58" s="71" t="e">
        <f aca="false">IF(SprintBurndown[[#This Row],[Remaining]]="",NA(),SprintBurndown[[#This Row],[Remaining]])</f>
        <v>#N/A</v>
      </c>
      <c r="H58" s="71" t="e">
        <f aca="false">IF(SprintBurndown[[#This Row],[Ideal]]="",NA(),SprintBurndown[[#This Row],[Ideal]])</f>
        <v>#N/A</v>
      </c>
    </row>
    <row r="59" customFormat="false" ht="15" hidden="false" customHeight="false" outlineLevel="0" collapsed="false">
      <c r="C59" s="25" t="str">
        <f aca="false">IF(OR(CurrentSprint="",ROW()-ROW(SprintBurndown[[#Headers],[Day]])&gt;SprintLength),"",CurrentSprintStart+ROW()-ROW(SprintBurndown[[#Headers],[Day]])-1)</f>
        <v/>
      </c>
      <c r="D59" s="70" t="str">
        <f aca="false">IF(OR(SprintBurndown[[#This Row],[Day]]="",SprintBurndown[[#This Row],[Day]]&gt;StatusDate),"",agl_CurCommitted-SUMIFS(tsk_LeafPoints,tsk_Sprint,CurrentSprint,tsk_DoneDate,"&lt;="&amp;SprintBurndown[[#This Row],[Day]]))</f>
        <v/>
      </c>
      <c r="E59" s="70" t="str">
        <f aca="false">IF(SprintBurndown[[#This Row],[Day]]="","",agl_CurCommitted*MAX(0,1-NETWORKDAYS.INTL(CurrentSprintStart,SprintBurndown[[#This Row],[Day]],WorkWeek,Holidays)/MAX(1,NETWORKDAYS.INTL(CurrentSprintStart,CurrentSprintEnd,WorkWeek,Holidays))))</f>
        <v/>
      </c>
      <c r="F59" s="71" t="str">
        <f aca="false">IF(SprintBurndown[[#This Row],[Day]]="","",TEXT(SprintBurndown[[#This Row],[Day]],"dd-mmm"))</f>
        <v/>
      </c>
      <c r="G59" s="71" t="e">
        <f aca="false">IF(SprintBurndown[[#This Row],[Remaining]]="",NA(),SprintBurndown[[#This Row],[Remaining]])</f>
        <v>#N/A</v>
      </c>
      <c r="H59" s="71" t="e">
        <f aca="false">IF(SprintBurndown[[#This Row],[Ideal]]="",NA(),SprintBurndown[[#This Row],[Ideal]])</f>
        <v>#N/A</v>
      </c>
    </row>
    <row r="60" customFormat="false" ht="15" hidden="false" customHeight="false" outlineLevel="0" collapsed="false">
      <c r="C60" s="25" t="str">
        <f aca="false">IF(OR(CurrentSprint="",ROW()-ROW(SprintBurndown[[#Headers],[Day]])&gt;SprintLength),"",CurrentSprintStart+ROW()-ROW(SprintBurndown[[#Headers],[Day]])-1)</f>
        <v/>
      </c>
      <c r="D60" s="70" t="str">
        <f aca="false">IF(OR(SprintBurndown[[#This Row],[Day]]="",SprintBurndown[[#This Row],[Day]]&gt;StatusDate),"",agl_CurCommitted-SUMIFS(tsk_LeafPoints,tsk_Sprint,CurrentSprint,tsk_DoneDate,"&lt;="&amp;SprintBurndown[[#This Row],[Day]]))</f>
        <v/>
      </c>
      <c r="E60" s="70" t="str">
        <f aca="false">IF(SprintBurndown[[#This Row],[Day]]="","",agl_CurCommitted*MAX(0,1-NETWORKDAYS.INTL(CurrentSprintStart,SprintBurndown[[#This Row],[Day]],WorkWeek,Holidays)/MAX(1,NETWORKDAYS.INTL(CurrentSprintStart,CurrentSprintEnd,WorkWeek,Holidays))))</f>
        <v/>
      </c>
      <c r="F60" s="71" t="str">
        <f aca="false">IF(SprintBurndown[[#This Row],[Day]]="","",TEXT(SprintBurndown[[#This Row],[Day]],"dd-mmm"))</f>
        <v/>
      </c>
      <c r="G60" s="71" t="e">
        <f aca="false">IF(SprintBurndown[[#This Row],[Remaining]]="",NA(),SprintBurndown[[#This Row],[Remaining]])</f>
        <v>#N/A</v>
      </c>
      <c r="H60" s="71" t="e">
        <f aca="false">IF(SprintBurndown[[#This Row],[Ideal]]="",NA(),SprintBurndown[[#This Row],[Ideal]])</f>
        <v>#N/A</v>
      </c>
    </row>
    <row r="61" customFormat="false" ht="15" hidden="false" customHeight="false" outlineLevel="0" collapsed="false">
      <c r="C61" s="25" t="str">
        <f aca="false">IF(OR(CurrentSprint="",ROW()-ROW(SprintBurndown[[#Headers],[Day]])&gt;SprintLength),"",CurrentSprintStart+ROW()-ROW(SprintBurndown[[#Headers],[Day]])-1)</f>
        <v/>
      </c>
      <c r="D61" s="70" t="str">
        <f aca="false">IF(OR(SprintBurndown[[#This Row],[Day]]="",SprintBurndown[[#This Row],[Day]]&gt;StatusDate),"",agl_CurCommitted-SUMIFS(tsk_LeafPoints,tsk_Sprint,CurrentSprint,tsk_DoneDate,"&lt;="&amp;SprintBurndown[[#This Row],[Day]]))</f>
        <v/>
      </c>
      <c r="E61" s="70" t="str">
        <f aca="false">IF(SprintBurndown[[#This Row],[Day]]="","",agl_CurCommitted*MAX(0,1-NETWORKDAYS.INTL(CurrentSprintStart,SprintBurndown[[#This Row],[Day]],WorkWeek,Holidays)/MAX(1,NETWORKDAYS.INTL(CurrentSprintStart,CurrentSprintEnd,WorkWeek,Holidays))))</f>
        <v/>
      </c>
      <c r="F61" s="71" t="str">
        <f aca="false">IF(SprintBurndown[[#This Row],[Day]]="","",TEXT(SprintBurndown[[#This Row],[Day]],"dd-mmm"))</f>
        <v/>
      </c>
      <c r="G61" s="71" t="e">
        <f aca="false">IF(SprintBurndown[[#This Row],[Remaining]]="",NA(),SprintBurndown[[#This Row],[Remaining]])</f>
        <v>#N/A</v>
      </c>
      <c r="H61" s="71" t="e">
        <f aca="false">IF(SprintBurndown[[#This Row],[Ideal]]="",NA(),SprintBurndown[[#This Row],[Ideal]])</f>
        <v>#N/A</v>
      </c>
    </row>
    <row r="62" customFormat="false" ht="15" hidden="false" customHeight="false" outlineLevel="0" collapsed="false">
      <c r="C62" s="25" t="str">
        <f aca="false">IF(OR(CurrentSprint="",ROW()-ROW(SprintBurndown[[#Headers],[Day]])&gt;SprintLength),"",CurrentSprintStart+ROW()-ROW(SprintBurndown[[#Headers],[Day]])-1)</f>
        <v/>
      </c>
      <c r="D62" s="70" t="str">
        <f aca="false">IF(OR(SprintBurndown[[#This Row],[Day]]="",SprintBurndown[[#This Row],[Day]]&gt;StatusDate),"",agl_CurCommitted-SUMIFS(tsk_LeafPoints,tsk_Sprint,CurrentSprint,tsk_DoneDate,"&lt;="&amp;SprintBurndown[[#This Row],[Day]]))</f>
        <v/>
      </c>
      <c r="E62" s="70" t="str">
        <f aca="false">IF(SprintBurndown[[#This Row],[Day]]="","",agl_CurCommitted*MAX(0,1-NETWORKDAYS.INTL(CurrentSprintStart,SprintBurndown[[#This Row],[Day]],WorkWeek,Holidays)/MAX(1,NETWORKDAYS.INTL(CurrentSprintStart,CurrentSprintEnd,WorkWeek,Holidays))))</f>
        <v/>
      </c>
      <c r="F62" s="71" t="str">
        <f aca="false">IF(SprintBurndown[[#This Row],[Day]]="","",TEXT(SprintBurndown[[#This Row],[Day]],"dd-mmm"))</f>
        <v/>
      </c>
      <c r="G62" s="71" t="e">
        <f aca="false">IF(SprintBurndown[[#This Row],[Remaining]]="",NA(),SprintBurndown[[#This Row],[Remaining]])</f>
        <v>#N/A</v>
      </c>
      <c r="H62" s="71" t="e">
        <f aca="false">IF(SprintBurndown[[#This Row],[Ideal]]="",NA(),SprintBurndown[[#This Row],[Ideal]])</f>
        <v>#N/A</v>
      </c>
    </row>
    <row r="63" customFormat="false" ht="15" hidden="false" customHeight="false" outlineLevel="0" collapsed="false">
      <c r="C63" s="25" t="str">
        <f aca="false">IF(OR(CurrentSprint="",ROW()-ROW(SprintBurndown[[#Headers],[Day]])&gt;SprintLength),"",CurrentSprintStart+ROW()-ROW(SprintBurndown[[#Headers],[Day]])-1)</f>
        <v/>
      </c>
      <c r="D63" s="70" t="str">
        <f aca="false">IF(OR(SprintBurndown[[#This Row],[Day]]="",SprintBurndown[[#This Row],[Day]]&gt;StatusDate),"",agl_CurCommitted-SUMIFS(tsk_LeafPoints,tsk_Sprint,CurrentSprint,tsk_DoneDate,"&lt;="&amp;SprintBurndown[[#This Row],[Day]]))</f>
        <v/>
      </c>
      <c r="E63" s="70" t="str">
        <f aca="false">IF(SprintBurndown[[#This Row],[Day]]="","",agl_CurCommitted*MAX(0,1-NETWORKDAYS.INTL(CurrentSprintStart,SprintBurndown[[#This Row],[Day]],WorkWeek,Holidays)/MAX(1,NETWORKDAYS.INTL(CurrentSprintStart,CurrentSprintEnd,WorkWeek,Holidays))))</f>
        <v/>
      </c>
      <c r="F63" s="71" t="str">
        <f aca="false">IF(SprintBurndown[[#This Row],[Day]]="","",TEXT(SprintBurndown[[#This Row],[Day]],"dd-mmm"))</f>
        <v/>
      </c>
      <c r="G63" s="71" t="e">
        <f aca="false">IF(SprintBurndown[[#This Row],[Remaining]]="",NA(),SprintBurndown[[#This Row],[Remaining]])</f>
        <v>#N/A</v>
      </c>
      <c r="H63" s="71" t="e">
        <f aca="false">IF(SprintBurndown[[#This Row],[Ideal]]="",NA(),SprintBurndown[[#This Row],[Ideal]])</f>
        <v>#N/A</v>
      </c>
    </row>
    <row r="64" customFormat="false" ht="15" hidden="false" customHeight="false" outlineLevel="0" collapsed="false">
      <c r="C64" s="25" t="str">
        <f aca="false">IF(OR(CurrentSprint="",ROW()-ROW(SprintBurndown[[#Headers],[Day]])&gt;SprintLength),"",CurrentSprintStart+ROW()-ROW(SprintBurndown[[#Headers],[Day]])-1)</f>
        <v/>
      </c>
      <c r="D64" s="70" t="str">
        <f aca="false">IF(OR(SprintBurndown[[#This Row],[Day]]="",SprintBurndown[[#This Row],[Day]]&gt;StatusDate),"",agl_CurCommitted-SUMIFS(tsk_LeafPoints,tsk_Sprint,CurrentSprint,tsk_DoneDate,"&lt;="&amp;SprintBurndown[[#This Row],[Day]]))</f>
        <v/>
      </c>
      <c r="E64" s="70" t="str">
        <f aca="false">IF(SprintBurndown[[#This Row],[Day]]="","",agl_CurCommitted*MAX(0,1-NETWORKDAYS.INTL(CurrentSprintStart,SprintBurndown[[#This Row],[Day]],WorkWeek,Holidays)/MAX(1,NETWORKDAYS.INTL(CurrentSprintStart,CurrentSprintEnd,WorkWeek,Holidays))))</f>
        <v/>
      </c>
      <c r="F64" s="71" t="str">
        <f aca="false">IF(SprintBurndown[[#This Row],[Day]]="","",TEXT(SprintBurndown[[#This Row],[Day]],"dd-mmm"))</f>
        <v/>
      </c>
      <c r="G64" s="71" t="e">
        <f aca="false">IF(SprintBurndown[[#This Row],[Remaining]]="",NA(),SprintBurndown[[#This Row],[Remaining]])</f>
        <v>#N/A</v>
      </c>
      <c r="H64" s="71" t="e">
        <f aca="false">IF(SprintBurndown[[#This Row],[Ideal]]="",NA(),SprintBurndown[[#This Row],[Ideal]])</f>
        <v>#N/A</v>
      </c>
    </row>
    <row r="65" customFormat="false" ht="15" hidden="false" customHeight="false" outlineLevel="0" collapsed="false">
      <c r="C65" s="25" t="str">
        <f aca="false">IF(OR(CurrentSprint="",ROW()-ROW(SprintBurndown[[#Headers],[Day]])&gt;SprintLength),"",CurrentSprintStart+ROW()-ROW(SprintBurndown[[#Headers],[Day]])-1)</f>
        <v/>
      </c>
      <c r="D65" s="70" t="str">
        <f aca="false">IF(OR(SprintBurndown[[#This Row],[Day]]="",SprintBurndown[[#This Row],[Day]]&gt;StatusDate),"",agl_CurCommitted-SUMIFS(tsk_LeafPoints,tsk_Sprint,CurrentSprint,tsk_DoneDate,"&lt;="&amp;SprintBurndown[[#This Row],[Day]]))</f>
        <v/>
      </c>
      <c r="E65" s="70" t="str">
        <f aca="false">IF(SprintBurndown[[#This Row],[Day]]="","",agl_CurCommitted*MAX(0,1-NETWORKDAYS.INTL(CurrentSprintStart,SprintBurndown[[#This Row],[Day]],WorkWeek,Holidays)/MAX(1,NETWORKDAYS.INTL(CurrentSprintStart,CurrentSprintEnd,WorkWeek,Holidays))))</f>
        <v/>
      </c>
      <c r="F65" s="71" t="str">
        <f aca="false">IF(SprintBurndown[[#This Row],[Day]]="","",TEXT(SprintBurndown[[#This Row],[Day]],"dd-mmm"))</f>
        <v/>
      </c>
      <c r="G65" s="71" t="e">
        <f aca="false">IF(SprintBurndown[[#This Row],[Remaining]]="",NA(),SprintBurndown[[#This Row],[Remaining]])</f>
        <v>#N/A</v>
      </c>
      <c r="H65" s="71" t="e">
        <f aca="false">IF(SprintBurndown[[#This Row],[Ideal]]="",NA(),SprintBurndown[[#This Row],[Ideal]])</f>
        <v>#N/A</v>
      </c>
    </row>
    <row r="66" customFormat="false" ht="15" hidden="false" customHeight="false" outlineLevel="0" collapsed="false">
      <c r="C66" s="25" t="str">
        <f aca="false">IF(OR(CurrentSprint="",ROW()-ROW(SprintBurndown[[#Headers],[Day]])&gt;SprintLength),"",CurrentSprintStart+ROW()-ROW(SprintBurndown[[#Headers],[Day]])-1)</f>
        <v/>
      </c>
      <c r="D66" s="70" t="str">
        <f aca="false">IF(OR(SprintBurndown[[#This Row],[Day]]="",SprintBurndown[[#This Row],[Day]]&gt;StatusDate),"",agl_CurCommitted-SUMIFS(tsk_LeafPoints,tsk_Sprint,CurrentSprint,tsk_DoneDate,"&lt;="&amp;SprintBurndown[[#This Row],[Day]]))</f>
        <v/>
      </c>
      <c r="E66" s="70" t="str">
        <f aca="false">IF(SprintBurndown[[#This Row],[Day]]="","",agl_CurCommitted*MAX(0,1-NETWORKDAYS.INTL(CurrentSprintStart,SprintBurndown[[#This Row],[Day]],WorkWeek,Holidays)/MAX(1,NETWORKDAYS.INTL(CurrentSprintStart,CurrentSprintEnd,WorkWeek,Holidays))))</f>
        <v/>
      </c>
      <c r="F66" s="71" t="str">
        <f aca="false">IF(SprintBurndown[[#This Row],[Day]]="","",TEXT(SprintBurndown[[#This Row],[Day]],"dd-mmm"))</f>
        <v/>
      </c>
      <c r="G66" s="71" t="e">
        <f aca="false">IF(SprintBurndown[[#This Row],[Remaining]]="",NA(),SprintBurndown[[#This Row],[Remaining]])</f>
        <v>#N/A</v>
      </c>
      <c r="H66" s="71" t="e">
        <f aca="false">IF(SprintBurndown[[#This Row],[Ideal]]="",NA(),SprintBurndown[[#This Row],[Ideal]])</f>
        <v>#N/A</v>
      </c>
    </row>
    <row r="67" customFormat="false" ht="15" hidden="false" customHeight="false" outlineLevel="0" collapsed="false">
      <c r="C67" s="25" t="str">
        <f aca="false">IF(OR(CurrentSprint="",ROW()-ROW(SprintBurndown[[#Headers],[Day]])&gt;SprintLength),"",CurrentSprintStart+ROW()-ROW(SprintBurndown[[#Headers],[Day]])-1)</f>
        <v/>
      </c>
      <c r="D67" s="70" t="str">
        <f aca="false">IF(OR(SprintBurndown[[#This Row],[Day]]="",SprintBurndown[[#This Row],[Day]]&gt;StatusDate),"",agl_CurCommitted-SUMIFS(tsk_LeafPoints,tsk_Sprint,CurrentSprint,tsk_DoneDate,"&lt;="&amp;SprintBurndown[[#This Row],[Day]]))</f>
        <v/>
      </c>
      <c r="E67" s="70" t="str">
        <f aca="false">IF(SprintBurndown[[#This Row],[Day]]="","",agl_CurCommitted*MAX(0,1-NETWORKDAYS.INTL(CurrentSprintStart,SprintBurndown[[#This Row],[Day]],WorkWeek,Holidays)/MAX(1,NETWORKDAYS.INTL(CurrentSprintStart,CurrentSprintEnd,WorkWeek,Holidays))))</f>
        <v/>
      </c>
      <c r="F67" s="71" t="str">
        <f aca="false">IF(SprintBurndown[[#This Row],[Day]]="","",TEXT(SprintBurndown[[#This Row],[Day]],"dd-mmm"))</f>
        <v/>
      </c>
      <c r="G67" s="71" t="e">
        <f aca="false">IF(SprintBurndown[[#This Row],[Remaining]]="",NA(),SprintBurndown[[#This Row],[Remaining]])</f>
        <v>#N/A</v>
      </c>
      <c r="H67" s="71" t="e">
        <f aca="false">IF(SprintBurndown[[#This Row],[Ideal]]="",NA(),SprintBurndown[[#This Row],[Ideal]])</f>
        <v>#N/A</v>
      </c>
    </row>
    <row r="68" customFormat="false" ht="15" hidden="false" customHeight="false" outlineLevel="0" collapsed="false">
      <c r="C68" s="25" t="str">
        <f aca="false">IF(OR(CurrentSprint="",ROW()-ROW(SprintBurndown[[#Headers],[Day]])&gt;SprintLength),"",CurrentSprintStart+ROW()-ROW(SprintBurndown[[#Headers],[Day]])-1)</f>
        <v/>
      </c>
      <c r="D68" s="70" t="str">
        <f aca="false">IF(OR(SprintBurndown[[#This Row],[Day]]="",SprintBurndown[[#This Row],[Day]]&gt;StatusDate),"",agl_CurCommitted-SUMIFS(tsk_LeafPoints,tsk_Sprint,CurrentSprint,tsk_DoneDate,"&lt;="&amp;SprintBurndown[[#This Row],[Day]]))</f>
        <v/>
      </c>
      <c r="E68" s="70" t="str">
        <f aca="false">IF(SprintBurndown[[#This Row],[Day]]="","",agl_CurCommitted*MAX(0,1-NETWORKDAYS.INTL(CurrentSprintStart,SprintBurndown[[#This Row],[Day]],WorkWeek,Holidays)/MAX(1,NETWORKDAYS.INTL(CurrentSprintStart,CurrentSprintEnd,WorkWeek,Holidays))))</f>
        <v/>
      </c>
      <c r="F68" s="71" t="str">
        <f aca="false">IF(SprintBurndown[[#This Row],[Day]]="","",TEXT(SprintBurndown[[#This Row],[Day]],"dd-mmm"))</f>
        <v/>
      </c>
      <c r="G68" s="71" t="e">
        <f aca="false">IF(SprintBurndown[[#This Row],[Remaining]]="",NA(),SprintBurndown[[#This Row],[Remaining]])</f>
        <v>#N/A</v>
      </c>
      <c r="H68" s="71" t="e">
        <f aca="false">IF(SprintBurndown[[#This Row],[Ideal]]="",NA(),SprintBurndown[[#This Row],[Ideal]])</f>
        <v>#N/A</v>
      </c>
    </row>
    <row r="69" customFormat="false" ht="15" hidden="false" customHeight="false" outlineLevel="0" collapsed="false">
      <c r="C69" s="25" t="str">
        <f aca="false">IF(OR(CurrentSprint="",ROW()-ROW(SprintBurndown[[#Headers],[Day]])&gt;SprintLength),"",CurrentSprintStart+ROW()-ROW(SprintBurndown[[#Headers],[Day]])-1)</f>
        <v/>
      </c>
      <c r="D69" s="70" t="str">
        <f aca="false">IF(OR(SprintBurndown[[#This Row],[Day]]="",SprintBurndown[[#This Row],[Day]]&gt;StatusDate),"",agl_CurCommitted-SUMIFS(tsk_LeafPoints,tsk_Sprint,CurrentSprint,tsk_DoneDate,"&lt;="&amp;SprintBurndown[[#This Row],[Day]]))</f>
        <v/>
      </c>
      <c r="E69" s="70" t="str">
        <f aca="false">IF(SprintBurndown[[#This Row],[Day]]="","",agl_CurCommitted*MAX(0,1-NETWORKDAYS.INTL(CurrentSprintStart,SprintBurndown[[#This Row],[Day]],WorkWeek,Holidays)/MAX(1,NETWORKDAYS.INTL(CurrentSprintStart,CurrentSprintEnd,WorkWeek,Holidays))))</f>
        <v/>
      </c>
      <c r="F69" s="71" t="str">
        <f aca="false">IF(SprintBurndown[[#This Row],[Day]]="","",TEXT(SprintBurndown[[#This Row],[Day]],"dd-mmm"))</f>
        <v/>
      </c>
      <c r="G69" s="71" t="e">
        <f aca="false">IF(SprintBurndown[[#This Row],[Remaining]]="",NA(),SprintBurndown[[#This Row],[Remaining]])</f>
        <v>#N/A</v>
      </c>
      <c r="H69" s="71" t="e">
        <f aca="false">IF(SprintBurndown[[#This Row],[Ideal]]="",NA(),SprintBurndown[[#This Row],[Ideal]])</f>
        <v>#N/A</v>
      </c>
    </row>
    <row r="70" customFormat="false" ht="15" hidden="false" customHeight="false" outlineLevel="0" collapsed="false">
      <c r="C70" s="25" t="str">
        <f aca="false">IF(OR(CurrentSprint="",ROW()-ROW(SprintBurndown[[#Headers],[Day]])&gt;SprintLength),"",CurrentSprintStart+ROW()-ROW(SprintBurndown[[#Headers],[Day]])-1)</f>
        <v/>
      </c>
      <c r="D70" s="70" t="str">
        <f aca="false">IF(OR(SprintBurndown[[#This Row],[Day]]="",SprintBurndown[[#This Row],[Day]]&gt;StatusDate),"",agl_CurCommitted-SUMIFS(tsk_LeafPoints,tsk_Sprint,CurrentSprint,tsk_DoneDate,"&lt;="&amp;SprintBurndown[[#This Row],[Day]]))</f>
        <v/>
      </c>
      <c r="E70" s="70" t="str">
        <f aca="false">IF(SprintBurndown[[#This Row],[Day]]="","",agl_CurCommitted*MAX(0,1-NETWORKDAYS.INTL(CurrentSprintStart,SprintBurndown[[#This Row],[Day]],WorkWeek,Holidays)/MAX(1,NETWORKDAYS.INTL(CurrentSprintStart,CurrentSprintEnd,WorkWeek,Holidays))))</f>
        <v/>
      </c>
      <c r="F70" s="71" t="str">
        <f aca="false">IF(SprintBurndown[[#This Row],[Day]]="","",TEXT(SprintBurndown[[#This Row],[Day]],"dd-mmm"))</f>
        <v/>
      </c>
      <c r="G70" s="71" t="e">
        <f aca="false">IF(SprintBurndown[[#This Row],[Remaining]]="",NA(),SprintBurndown[[#This Row],[Remaining]])</f>
        <v>#N/A</v>
      </c>
      <c r="H70" s="71" t="e">
        <f aca="false">IF(SprintBurndown[[#This Row],[Ideal]]="",NA(),SprintBurndown[[#This Row],[Ideal]])</f>
        <v>#N/A</v>
      </c>
    </row>
    <row r="71" customFormat="false" ht="15" hidden="false" customHeight="false" outlineLevel="0" collapsed="false">
      <c r="C71" s="25" t="str">
        <f aca="false">IF(OR(CurrentSprint="",ROW()-ROW(SprintBurndown[[#Headers],[Day]])&gt;SprintLength),"",CurrentSprintStart+ROW()-ROW(SprintBurndown[[#Headers],[Day]])-1)</f>
        <v/>
      </c>
      <c r="D71" s="70" t="str">
        <f aca="false">IF(OR(SprintBurndown[[#This Row],[Day]]="",SprintBurndown[[#This Row],[Day]]&gt;StatusDate),"",agl_CurCommitted-SUMIFS(tsk_LeafPoints,tsk_Sprint,CurrentSprint,tsk_DoneDate,"&lt;="&amp;SprintBurndown[[#This Row],[Day]]))</f>
        <v/>
      </c>
      <c r="E71" s="70" t="str">
        <f aca="false">IF(SprintBurndown[[#This Row],[Day]]="","",agl_CurCommitted*MAX(0,1-NETWORKDAYS.INTL(CurrentSprintStart,SprintBurndown[[#This Row],[Day]],WorkWeek,Holidays)/MAX(1,NETWORKDAYS.INTL(CurrentSprintStart,CurrentSprintEnd,WorkWeek,Holidays))))</f>
        <v/>
      </c>
      <c r="F71" s="71" t="str">
        <f aca="false">IF(SprintBurndown[[#This Row],[Day]]="","",TEXT(SprintBurndown[[#This Row],[Day]],"dd-mmm"))</f>
        <v/>
      </c>
      <c r="G71" s="71" t="e">
        <f aca="false">IF(SprintBurndown[[#This Row],[Remaining]]="",NA(),SprintBurndown[[#This Row],[Remaining]])</f>
        <v>#N/A</v>
      </c>
      <c r="H71" s="71" t="e">
        <f aca="false">IF(SprintBurndown[[#This Row],[Ideal]]="",NA(),SprintBurndown[[#This Row],[Ideal]])</f>
        <v>#N/A</v>
      </c>
    </row>
    <row r="72" customFormat="false" ht="15" hidden="false" customHeight="false" outlineLevel="0" collapsed="false">
      <c r="C72" s="25" t="str">
        <f aca="false">IF(OR(CurrentSprint="",ROW()-ROW(SprintBurndown[[#Headers],[Day]])&gt;SprintLength),"",CurrentSprintStart+ROW()-ROW(SprintBurndown[[#Headers],[Day]])-1)</f>
        <v/>
      </c>
      <c r="D72" s="70" t="str">
        <f aca="false">IF(OR(SprintBurndown[[#This Row],[Day]]="",SprintBurndown[[#This Row],[Day]]&gt;StatusDate),"",agl_CurCommitted-SUMIFS(tsk_LeafPoints,tsk_Sprint,CurrentSprint,tsk_DoneDate,"&lt;="&amp;SprintBurndown[[#This Row],[Day]]))</f>
        <v/>
      </c>
      <c r="E72" s="70" t="str">
        <f aca="false">IF(SprintBurndown[[#This Row],[Day]]="","",agl_CurCommitted*MAX(0,1-NETWORKDAYS.INTL(CurrentSprintStart,SprintBurndown[[#This Row],[Day]],WorkWeek,Holidays)/MAX(1,NETWORKDAYS.INTL(CurrentSprintStart,CurrentSprintEnd,WorkWeek,Holidays))))</f>
        <v/>
      </c>
      <c r="F72" s="71" t="str">
        <f aca="false">IF(SprintBurndown[[#This Row],[Day]]="","",TEXT(SprintBurndown[[#This Row],[Day]],"dd-mmm"))</f>
        <v/>
      </c>
      <c r="G72" s="71" t="e">
        <f aca="false">IF(SprintBurndown[[#This Row],[Remaining]]="",NA(),SprintBurndown[[#This Row],[Remaining]])</f>
        <v>#N/A</v>
      </c>
      <c r="H72" s="71" t="e">
        <f aca="false">IF(SprintBurndown[[#This Row],[Ideal]]="",NA(),SprintBurndown[[#This Row],[Ideal]])</f>
        <v>#N/A</v>
      </c>
    </row>
    <row r="73" customFormat="false" ht="15" hidden="false" customHeight="false" outlineLevel="0" collapsed="false">
      <c r="C73" s="25" t="str">
        <f aca="false">IF(OR(CurrentSprint="",ROW()-ROW(SprintBurndown[[#Headers],[Day]])&gt;SprintLength),"",CurrentSprintStart+ROW()-ROW(SprintBurndown[[#Headers],[Day]])-1)</f>
        <v/>
      </c>
      <c r="D73" s="70" t="str">
        <f aca="false">IF(OR(SprintBurndown[[#This Row],[Day]]="",SprintBurndown[[#This Row],[Day]]&gt;StatusDate),"",agl_CurCommitted-SUMIFS(tsk_LeafPoints,tsk_Sprint,CurrentSprint,tsk_DoneDate,"&lt;="&amp;SprintBurndown[[#This Row],[Day]]))</f>
        <v/>
      </c>
      <c r="E73" s="70" t="str">
        <f aca="false">IF(SprintBurndown[[#This Row],[Day]]="","",agl_CurCommitted*MAX(0,1-NETWORKDAYS.INTL(CurrentSprintStart,SprintBurndown[[#This Row],[Day]],WorkWeek,Holidays)/MAX(1,NETWORKDAYS.INTL(CurrentSprintStart,CurrentSprintEnd,WorkWeek,Holidays))))</f>
        <v/>
      </c>
      <c r="F73" s="71" t="str">
        <f aca="false">IF(SprintBurndown[[#This Row],[Day]]="","",TEXT(SprintBurndown[[#This Row],[Day]],"dd-mmm"))</f>
        <v/>
      </c>
      <c r="G73" s="71" t="e">
        <f aca="false">IF(SprintBurndown[[#This Row],[Remaining]]="",NA(),SprintBurndown[[#This Row],[Remaining]])</f>
        <v>#N/A</v>
      </c>
      <c r="H73" s="71" t="e">
        <f aca="false">IF(SprintBurndown[[#This Row],[Ideal]]="",NA(),SprintBurndown[[#This Row],[Ideal]])</f>
        <v>#N/A</v>
      </c>
    </row>
    <row r="74" customFormat="false" ht="15" hidden="false" customHeight="false" outlineLevel="0" collapsed="false">
      <c r="C74" s="25" t="str">
        <f aca="false">IF(OR(CurrentSprint="",ROW()-ROW(SprintBurndown[[#Headers],[Day]])&gt;SprintLength),"",CurrentSprintStart+ROW()-ROW(SprintBurndown[[#Headers],[Day]])-1)</f>
        <v/>
      </c>
      <c r="D74" s="70" t="str">
        <f aca="false">IF(OR(SprintBurndown[[#This Row],[Day]]="",SprintBurndown[[#This Row],[Day]]&gt;StatusDate),"",agl_CurCommitted-SUMIFS(tsk_LeafPoints,tsk_Sprint,CurrentSprint,tsk_DoneDate,"&lt;="&amp;SprintBurndown[[#This Row],[Day]]))</f>
        <v/>
      </c>
      <c r="E74" s="70" t="str">
        <f aca="false">IF(SprintBurndown[[#This Row],[Day]]="","",agl_CurCommitted*MAX(0,1-NETWORKDAYS.INTL(CurrentSprintStart,SprintBurndown[[#This Row],[Day]],WorkWeek,Holidays)/MAX(1,NETWORKDAYS.INTL(CurrentSprintStart,CurrentSprintEnd,WorkWeek,Holidays))))</f>
        <v/>
      </c>
      <c r="F74" s="71" t="str">
        <f aca="false">IF(SprintBurndown[[#This Row],[Day]]="","",TEXT(SprintBurndown[[#This Row],[Day]],"dd-mmm"))</f>
        <v/>
      </c>
      <c r="G74" s="71" t="e">
        <f aca="false">IF(SprintBurndown[[#This Row],[Remaining]]="",NA(),SprintBurndown[[#This Row],[Remaining]])</f>
        <v>#N/A</v>
      </c>
      <c r="H74" s="71" t="e">
        <f aca="false">IF(SprintBurndown[[#This Row],[Ideal]]="",NA(),SprintBurndown[[#This Row],[Ideal]])</f>
        <v>#N/A</v>
      </c>
    </row>
  </sheetData>
  <conditionalFormatting sqref="F44:H74">
    <cfRule type="expression" priority="2" aboveAverage="0" equalAverage="0" bottom="0" percent="0" rank="0" text="" dxfId="27">
      <formula>ISNA(F44)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tableParts>
    <tablePart r:id="rId4"/>
    <tablePart r:id="rId5"/>
    <tablePart r:id="rId6"/>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T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1"/>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44"/>
    <col collapsed="false" customWidth="true" hidden="false" outlineLevel="0" max="5" min="5" style="0" width="16"/>
    <col collapsed="false" customWidth="true" hidden="false" outlineLevel="0" max="7" min="6" style="0" width="12"/>
    <col collapsed="false" customWidth="true" hidden="false" outlineLevel="0" max="8" min="8" style="0" width="11"/>
    <col collapsed="false" customWidth="true" hidden="false" outlineLevel="0" max="9" min="9" style="0" width="9"/>
    <col collapsed="false" customWidth="true" hidden="false" outlineLevel="0" max="10" min="10" style="0" width="8"/>
    <col collapsed="false" customWidth="true" hidden="false" outlineLevel="0" max="11" min="11" style="0" width="7"/>
    <col collapsed="false" customWidth="true" hidden="false" outlineLevel="0" max="12" min="12" style="0" width="8"/>
    <col collapsed="false" customWidth="true" hidden="false" outlineLevel="0" max="13" min="13" style="0" width="9"/>
    <col collapsed="false" customWidth="true" hidden="false" outlineLevel="0" max="14" min="14" style="0" width="8"/>
    <col collapsed="false" customWidth="true" hidden="false" outlineLevel="0" max="15" min="15" style="0" width="28"/>
    <col collapsed="false" customWidth="true" hidden="false" outlineLevel="0" max="16" min="16" style="0" width="12"/>
    <col collapsed="false" customWidth="true" hidden="false" outlineLevel="0" max="17" min="17" style="0" width="44"/>
    <col collapsed="false" customWidth="true" hidden="false" outlineLevel="0" max="18" min="18" style="0" width="30"/>
    <col collapsed="false" customWidth="true" hidden="true" outlineLevel="1" max="20" min="19" style="0" width="8"/>
  </cols>
  <sheetData>
    <row r="1" customFormat="false" ht="19.7" hidden="false" customHeight="false" outlineLevel="0" collapsed="false">
      <c r="A1" s="26" t="s">
        <v>260</v>
      </c>
    </row>
    <row r="2" customFormat="false" ht="15" hidden="false" customHeight="false" outlineLevel="0" collapsed="false">
      <c r="A2" s="8" t="s">
        <v>261</v>
      </c>
    </row>
    <row r="4" customFormat="false" ht="23.85" hidden="false" customHeight="false" outlineLevel="0" collapsed="false">
      <c r="B4" s="27" t="s">
        <v>262</v>
      </c>
      <c r="C4" s="27" t="s">
        <v>263</v>
      </c>
      <c r="D4" s="27" t="s">
        <v>264</v>
      </c>
      <c r="E4" s="27" t="s">
        <v>176</v>
      </c>
      <c r="F4" s="27" t="s">
        <v>265</v>
      </c>
      <c r="G4" s="27" t="s">
        <v>177</v>
      </c>
      <c r="H4" s="27" t="s">
        <v>91</v>
      </c>
      <c r="I4" s="27" t="s">
        <v>266</v>
      </c>
      <c r="J4" s="27" t="s">
        <v>267</v>
      </c>
      <c r="K4" s="9" t="s">
        <v>178</v>
      </c>
      <c r="L4" s="9" t="s">
        <v>179</v>
      </c>
      <c r="M4" s="9" t="s">
        <v>268</v>
      </c>
      <c r="N4" s="27" t="s">
        <v>269</v>
      </c>
      <c r="O4" s="9" t="s">
        <v>180</v>
      </c>
      <c r="P4" s="9" t="s">
        <v>270</v>
      </c>
      <c r="Q4" s="27" t="s">
        <v>175</v>
      </c>
      <c r="R4" s="27" t="s">
        <v>271</v>
      </c>
      <c r="S4" s="40" t="s">
        <v>272</v>
      </c>
      <c r="T4" s="40" t="s">
        <v>273</v>
      </c>
    </row>
    <row r="5" customFormat="false" ht="15" hidden="false" customHeight="false" outlineLevel="0" collapsed="false">
      <c r="B5" s="29" t="n">
        <v>1</v>
      </c>
      <c r="C5" s="30" t="s">
        <v>274</v>
      </c>
      <c r="D5" s="30" t="s">
        <v>275</v>
      </c>
      <c r="E5" s="30" t="s">
        <v>276</v>
      </c>
      <c r="F5" s="73" t="n">
        <v>46296</v>
      </c>
      <c r="G5" s="73" t="n">
        <v>46325</v>
      </c>
      <c r="H5" s="29" t="s">
        <v>277</v>
      </c>
      <c r="I5" s="29" t="n">
        <v>4</v>
      </c>
      <c r="J5" s="29" t="n">
        <v>4</v>
      </c>
      <c r="K5" s="43" t="n">
        <f aca="false">IF(RAIDLog[[#This Row],[Title]]="","",IF(RAIDLog[[#This Row],[Type]]="Issue",5,N(RAIDLog[[#This Row],[Probability]]))*N(RAIDLog[[#This Row],[Impact]]))</f>
        <v>16</v>
      </c>
      <c r="L5" s="28" t="str">
        <f aca="false">IF(RAIDLog[[#This Row],[Title]]="","",IF(RAIDLog[[#This Row],[Score]]&gt;=RAIDHighScore,"High",IF(RAIDLog[[#This Row],[Score]]&gt;=RAIDMediumScore,"Medium","Low")))</f>
        <v>High</v>
      </c>
      <c r="M5" s="28" t="str">
        <f aca="false">IF(OR(RAIDLog[[#This Row],[Title]]="",N(RAIDLog[[#This Row],[Due]])=0),"",IF(AND(RAIDLog[[#This Row],[Status]]&lt;&gt;"Closed",RAIDLog[[#This Row],[Due]]&lt;StatusDate),"Overdue",""))</f>
        <v/>
      </c>
      <c r="N5" s="29" t="n">
        <v>14</v>
      </c>
      <c r="O5" s="24" t="str">
        <f aca="false">IF(N(RAIDLog[[#This Row],[Task UID]])=0,"",IFERROR(INDEX(tsk_Name,MATCH(RAIDLog[[#This Row],[Task UID]],tsk_UID,0)),"UID "&amp;RAIDLog[[#This Row],[Task UID]]&amp;" not found"))</f>
        <v>Payment gateway integration</v>
      </c>
      <c r="P5" s="25" t="n">
        <f aca="false">IF(N(RAIDLog[[#This Row],[Task UID]])=0,"",IFERROR(INDEX(tsk_FcFinish,MATCH(RAIDLog[[#This Row],[Task UID]],tsk_UID,0)),""))</f>
        <v>46335</v>
      </c>
      <c r="Q5" s="30" t="s">
        <v>278</v>
      </c>
      <c r="R5" s="30" t="s">
        <v>279</v>
      </c>
      <c r="S5" s="41" t="str">
        <f aca="false">IF(RAIDLog[[#This Row],[Title]]="","",RAIDLog[[#This Row],[Type]]&amp;" "&amp;RAIDLog[[#This Row],[Ref]]&amp;": "&amp;RAIDLog[[#This Row],[Title]])</f>
        <v>Risk 1: Payment provider certification takes longer than planned</v>
      </c>
      <c r="T5" s="41" t="n">
        <f aca="false">IF(AND(NOT(RAIDLog[[#This Row],[Title]]=""),RAIDLog[[#This Row],[Status]]&lt;&gt;"Closed"),RAIDLog[[#This Row],[Score]]+1-(ROW()-ROW(RAIDLog[[#Headers],[Ref]]))/100000,"")</f>
        <v>16.99999</v>
      </c>
    </row>
    <row r="6" customFormat="false" ht="15" hidden="false" customHeight="false" outlineLevel="0" collapsed="false">
      <c r="B6" s="29" t="n">
        <v>2</v>
      </c>
      <c r="C6" s="30" t="s">
        <v>274</v>
      </c>
      <c r="D6" s="30" t="s">
        <v>280</v>
      </c>
      <c r="E6" s="30" t="s">
        <v>281</v>
      </c>
      <c r="F6" s="73" t="n">
        <v>46300</v>
      </c>
      <c r="G6" s="73" t="n">
        <v>46328</v>
      </c>
      <c r="H6" s="29" t="s">
        <v>277</v>
      </c>
      <c r="I6" s="29" t="n">
        <v>3</v>
      </c>
      <c r="J6" s="29" t="n">
        <v>3</v>
      </c>
      <c r="K6" s="43" t="n">
        <f aca="false">IF(RAIDLog[[#This Row],[Title]]="","",IF(RAIDLog[[#This Row],[Type]]="Issue",5,N(RAIDLog[[#This Row],[Probability]]))*N(RAIDLog[[#This Row],[Impact]]))</f>
        <v>9</v>
      </c>
      <c r="L6" s="28" t="str">
        <f aca="false">IF(RAIDLog[[#This Row],[Title]]="","",IF(RAIDLog[[#This Row],[Score]]&gt;=RAIDHighScore,"High",IF(RAIDLog[[#This Row],[Score]]&gt;=RAIDMediumScore,"Medium","Low")))</f>
        <v>Medium</v>
      </c>
      <c r="M6" s="28" t="str">
        <f aca="false">IF(OR(RAIDLog[[#This Row],[Title]]="",N(RAIDLog[[#This Row],[Due]])=0),"",IF(AND(RAIDLog[[#This Row],[Status]]&lt;&gt;"Closed",RAIDLog[[#This Row],[Due]]&lt;StatusDate),"Overdue",""))</f>
        <v/>
      </c>
      <c r="N6" s="29" t="n">
        <v>18</v>
      </c>
      <c r="O6" s="24" t="str">
        <f aca="false">IF(N(RAIDLog[[#This Row],[Task UID]])=0,"",IFERROR(INDEX(tsk_Name,MATCH(RAIDLog[[#This Row],[Task UID]],tsk_UID,0)),"UID "&amp;RAIDLog[[#This Row],[Task UID]]&amp;" not found"))</f>
        <v>Accessibility review</v>
      </c>
      <c r="P6" s="25" t="n">
        <f aca="false">IF(N(RAIDLog[[#This Row],[Task UID]])=0,"",IFERROR(INDEX(tsk_FcFinish,MATCH(RAIDLog[[#This Row],[Task UID]],tsk_UID,0)),""))</f>
        <v>46332</v>
      </c>
      <c r="Q6" s="30" t="s">
        <v>282</v>
      </c>
      <c r="R6" s="30"/>
      <c r="S6" s="41" t="str">
        <f aca="false">IF(RAIDLog[[#This Row],[Title]]="","",RAIDLog[[#This Row],[Type]]&amp;" "&amp;RAIDLog[[#This Row],[Ref]]&amp;": "&amp;RAIDLog[[#This Row],[Title]])</f>
        <v>Risk 2: UX designer on leave for two weeks in November</v>
      </c>
      <c r="T6" s="41" t="n">
        <f aca="false">IF(AND(NOT(RAIDLog[[#This Row],[Title]]=""),RAIDLog[[#This Row],[Status]]&lt;&gt;"Closed"),RAIDLog[[#This Row],[Score]]+1-(ROW()-ROW(RAIDLog[[#Headers],[Ref]]))/100000,"")</f>
        <v>9.99998</v>
      </c>
    </row>
    <row r="7" customFormat="false" ht="15" hidden="false" customHeight="false" outlineLevel="0" collapsed="false">
      <c r="B7" s="29" t="n">
        <v>3</v>
      </c>
      <c r="C7" s="30" t="s">
        <v>283</v>
      </c>
      <c r="D7" s="30" t="s">
        <v>284</v>
      </c>
      <c r="E7" s="30" t="s">
        <v>285</v>
      </c>
      <c r="F7" s="73" t="n">
        <v>46315</v>
      </c>
      <c r="G7" s="73" t="n">
        <v>46318</v>
      </c>
      <c r="H7" s="29" t="s">
        <v>96</v>
      </c>
      <c r="I7" s="29"/>
      <c r="J7" s="29" t="n">
        <v>4</v>
      </c>
      <c r="K7" s="43" t="n">
        <f aca="false">IF(RAIDLog[[#This Row],[Title]]="","",IF(RAIDLog[[#This Row],[Type]]="Issue",5,N(RAIDLog[[#This Row],[Probability]]))*N(RAIDLog[[#This Row],[Impact]]))</f>
        <v>20</v>
      </c>
      <c r="L7" s="28" t="str">
        <f aca="false">IF(RAIDLog[[#This Row],[Title]]="","",IF(RAIDLog[[#This Row],[Score]]&gt;=RAIDHighScore,"High",IF(RAIDLog[[#This Row],[Score]]&gt;=RAIDMediumScore,"Medium","Low")))</f>
        <v>High</v>
      </c>
      <c r="M7" s="28" t="str">
        <f aca="false">IF(OR(RAIDLog[[#This Row],[Title]]="",N(RAIDLog[[#This Row],[Due]])=0),"",IF(AND(RAIDLog[[#This Row],[Status]]&lt;&gt;"Closed",RAIDLog[[#This Row],[Due]]&lt;StatusDate),"Overdue",""))</f>
        <v>Overdue</v>
      </c>
      <c r="N7" s="29" t="n">
        <v>13</v>
      </c>
      <c r="O7" s="24" t="str">
        <f aca="false">IF(N(RAIDLog[[#This Row],[Task UID]])=0,"",IFERROR(INDEX(tsk_Name,MATCH(RAIDLog[[#This Row],[Task UID]],tsk_UID,0)),"UID "&amp;RAIDLog[[#This Row],[Task UID]]&amp;" not found"))</f>
        <v>Core API endpoints</v>
      </c>
      <c r="P7" s="25" t="n">
        <f aca="false">IF(N(RAIDLog[[#This Row],[Task UID]])=0,"",IFERROR(INDEX(tsk_FcFinish,MATCH(RAIDLog[[#This Row],[Task UID]],tsk_UID,0)),""))</f>
        <v>46325</v>
      </c>
      <c r="Q7" s="30" t="s">
        <v>286</v>
      </c>
      <c r="R7" s="30" t="s">
        <v>287</v>
      </c>
      <c r="S7" s="41" t="str">
        <f aca="false">IF(RAIDLog[[#This Row],[Title]]="","",RAIDLog[[#This Row],[Type]]&amp;" "&amp;RAIDLog[[#This Row],[Ref]]&amp;": "&amp;RAIDLog[[#This Row],[Title]])</f>
        <v>Issue 3: Core API endpoints running 6 days behind plan</v>
      </c>
      <c r="T7" s="41" t="n">
        <f aca="false">IF(AND(NOT(RAIDLog[[#This Row],[Title]]=""),RAIDLog[[#This Row],[Status]]&lt;&gt;"Closed"),RAIDLog[[#This Row],[Score]]+1-(ROW()-ROW(RAIDLog[[#Headers],[Ref]]))/100000,"")</f>
        <v>20.99997</v>
      </c>
    </row>
    <row r="8" customFormat="false" ht="15" hidden="false" customHeight="false" outlineLevel="0" collapsed="false">
      <c r="B8" s="29" t="n">
        <v>4</v>
      </c>
      <c r="C8" s="30" t="s">
        <v>288</v>
      </c>
      <c r="D8" s="30" t="s">
        <v>289</v>
      </c>
      <c r="E8" s="30" t="s">
        <v>290</v>
      </c>
      <c r="F8" s="73" t="n">
        <v>46280</v>
      </c>
      <c r="G8" s="73" t="n">
        <v>46346</v>
      </c>
      <c r="H8" s="29" t="s">
        <v>277</v>
      </c>
      <c r="I8" s="29" t="n">
        <v>2</v>
      </c>
      <c r="J8" s="29" t="n">
        <v>4</v>
      </c>
      <c r="K8" s="43" t="n">
        <f aca="false">IF(RAIDLog[[#This Row],[Title]]="","",IF(RAIDLog[[#This Row],[Type]]="Issue",5,N(RAIDLog[[#This Row],[Probability]]))*N(RAIDLog[[#This Row],[Impact]]))</f>
        <v>8</v>
      </c>
      <c r="L8" s="28" t="str">
        <f aca="false">IF(RAIDLog[[#This Row],[Title]]="","",IF(RAIDLog[[#This Row],[Score]]&gt;=RAIDHighScore,"High",IF(RAIDLog[[#This Row],[Score]]&gt;=RAIDMediumScore,"Medium","Low")))</f>
        <v>Medium</v>
      </c>
      <c r="M8" s="28" t="str">
        <f aca="false">IF(OR(RAIDLog[[#This Row],[Title]]="",N(RAIDLog[[#This Row],[Due]])=0),"",IF(AND(RAIDLog[[#This Row],[Status]]&lt;&gt;"Closed",RAIDLog[[#This Row],[Due]]&lt;StatusDate),"Overdue",""))</f>
        <v/>
      </c>
      <c r="N8" s="29" t="n">
        <v>22</v>
      </c>
      <c r="O8" s="24" t="str">
        <f aca="false">IF(N(RAIDLog[[#This Row],[Task UID]])=0,"",IFERROR(INDEX(tsk_Name,MATCH(RAIDLog[[#This Row],[Task UID]],tsk_UID,0)),"UID "&amp;RAIDLog[[#This Row],[Task UID]]&amp;" not found"))</f>
        <v>User acceptance testing</v>
      </c>
      <c r="P8" s="25" t="n">
        <f aca="false">IF(N(RAIDLog[[#This Row],[Task UID]])=0,"",IFERROR(INDEX(tsk_FcFinish,MATCH(RAIDLog[[#This Row],[Task UID]],tsk_UID,0)),""))</f>
        <v>46370</v>
      </c>
      <c r="Q8" s="30" t="s">
        <v>291</v>
      </c>
      <c r="R8" s="30"/>
      <c r="S8" s="41" t="str">
        <f aca="false">IF(RAIDLog[[#This Row],[Title]]="","",RAIDLog[[#This Row],[Type]]&amp;" "&amp;RAIDLog[[#This Row],[Ref]]&amp;": "&amp;RAIDLog[[#This Row],[Title]])</f>
        <v>Assumption 4: Client UAT team available from 7 December</v>
      </c>
      <c r="T8" s="41" t="n">
        <f aca="false">IF(AND(NOT(RAIDLog[[#This Row],[Title]]=""),RAIDLog[[#This Row],[Status]]&lt;&gt;"Closed"),RAIDLog[[#This Row],[Score]]+1-(ROW()-ROW(RAIDLog[[#Headers],[Ref]]))/100000,"")</f>
        <v>8.99996</v>
      </c>
    </row>
    <row r="9" customFormat="false" ht="15" hidden="false" customHeight="false" outlineLevel="0" collapsed="false">
      <c r="B9" s="29" t="n">
        <v>5</v>
      </c>
      <c r="C9" s="30" t="s">
        <v>292</v>
      </c>
      <c r="D9" s="30" t="s">
        <v>293</v>
      </c>
      <c r="E9" s="30" t="s">
        <v>294</v>
      </c>
      <c r="F9" s="73" t="n">
        <v>46295</v>
      </c>
      <c r="G9" s="73" t="n">
        <v>46335</v>
      </c>
      <c r="H9" s="29" t="s">
        <v>277</v>
      </c>
      <c r="I9" s="29" t="n">
        <v>3</v>
      </c>
      <c r="J9" s="29" t="n">
        <v>5</v>
      </c>
      <c r="K9" s="43" t="n">
        <f aca="false">IF(RAIDLog[[#This Row],[Title]]="","",IF(RAIDLog[[#This Row],[Type]]="Issue",5,N(RAIDLog[[#This Row],[Probability]]))*N(RAIDLog[[#This Row],[Impact]]))</f>
        <v>15</v>
      </c>
      <c r="L9" s="28" t="str">
        <f aca="false">IF(RAIDLog[[#This Row],[Title]]="","",IF(RAIDLog[[#This Row],[Score]]&gt;=RAIDHighScore,"High",IF(RAIDLog[[#This Row],[Score]]&gt;=RAIDMediumScore,"Medium","Low")))</f>
        <v>High</v>
      </c>
      <c r="M9" s="28" t="str">
        <f aca="false">IF(OR(RAIDLog[[#This Row],[Title]]="",N(RAIDLog[[#This Row],[Due]])=0),"",IF(AND(RAIDLog[[#This Row],[Status]]&lt;&gt;"Closed",RAIDLog[[#This Row],[Due]]&lt;StatusDate),"Overdue",""))</f>
        <v/>
      </c>
      <c r="N9" s="29" t="n">
        <v>21</v>
      </c>
      <c r="O9" s="24" t="str">
        <f aca="false">IF(N(RAIDLog[[#This Row],[Task UID]])=0,"",IFERROR(INDEX(tsk_Name,MATCH(RAIDLog[[#This Row],[Task UID]],tsk_UID,0)),"UID "&amp;RAIDLog[[#This Row],[Task UID]]&amp;" not found"))</f>
        <v>System integration testing</v>
      </c>
      <c r="P9" s="25" t="n">
        <f aca="false">IF(N(RAIDLog[[#This Row],[Task UID]])=0,"",IFERROR(INDEX(tsk_FcFinish,MATCH(RAIDLog[[#This Row],[Task UID]],tsk_UID,0)),""))</f>
        <v>46345</v>
      </c>
      <c r="Q9" s="30" t="s">
        <v>295</v>
      </c>
      <c r="R9" s="30" t="s">
        <v>296</v>
      </c>
      <c r="S9" s="41" t="str">
        <f aca="false">IF(RAIDLog[[#This Row],[Title]]="","",RAIDLog[[#This Row],[Type]]&amp;" "&amp;RAIDLog[[#This Row],[Ref]]&amp;": "&amp;RAIDLog[[#This Row],[Title]])</f>
        <v>Dependency 5: Test environment delivered by IT operations by 9 November</v>
      </c>
      <c r="T9" s="41" t="n">
        <f aca="false">IF(AND(NOT(RAIDLog[[#This Row],[Title]]=""),RAIDLog[[#This Row],[Status]]&lt;&gt;"Closed"),RAIDLog[[#This Row],[Score]]+1-(ROW()-ROW(RAIDLog[[#Headers],[Ref]]))/100000,"")</f>
        <v>15.99995</v>
      </c>
    </row>
    <row r="10" customFormat="false" ht="15" hidden="false" customHeight="false" outlineLevel="0" collapsed="false">
      <c r="B10" s="29" t="n">
        <v>6</v>
      </c>
      <c r="C10" s="30" t="s">
        <v>274</v>
      </c>
      <c r="D10" s="30" t="s">
        <v>297</v>
      </c>
      <c r="E10" s="30" t="s">
        <v>285</v>
      </c>
      <c r="F10" s="73" t="n">
        <v>46275</v>
      </c>
      <c r="G10" s="73" t="n">
        <v>46304</v>
      </c>
      <c r="H10" s="29" t="s">
        <v>298</v>
      </c>
      <c r="I10" s="29" t="n">
        <v>2</v>
      </c>
      <c r="J10" s="29" t="n">
        <v>3</v>
      </c>
      <c r="K10" s="43" t="n">
        <f aca="false">IF(RAIDLog[[#This Row],[Title]]="","",IF(RAIDLog[[#This Row],[Type]]="Issue",5,N(RAIDLog[[#This Row],[Probability]]))*N(RAIDLog[[#This Row],[Impact]]))</f>
        <v>6</v>
      </c>
      <c r="L10" s="28" t="str">
        <f aca="false">IF(RAIDLog[[#This Row],[Title]]="","",IF(RAIDLog[[#This Row],[Score]]&gt;=RAIDHighScore,"High",IF(RAIDLog[[#This Row],[Score]]&gt;=RAIDMediumScore,"Medium","Low")))</f>
        <v>Low</v>
      </c>
      <c r="M10" s="28" t="str">
        <f aca="false">IF(OR(RAIDLog[[#This Row],[Title]]="",N(RAIDLog[[#This Row],[Due]])=0),"",IF(AND(RAIDLog[[#This Row],[Status]]&lt;&gt;"Closed",RAIDLog[[#This Row],[Due]]&lt;StatusDate),"Overdue",""))</f>
        <v/>
      </c>
      <c r="N10" s="29" t="n">
        <v>17</v>
      </c>
      <c r="O10" s="24" t="str">
        <f aca="false">IF(N(RAIDLog[[#This Row],[Task UID]])=0,"",IFERROR(INDEX(tsk_Name,MATCH(RAIDLog[[#This Row],[Task UID]],tsk_UID,0)),"UID "&amp;RAIDLog[[#This Row],[Task UID]]&amp;" not found"))</f>
        <v>Feature screens</v>
      </c>
      <c r="P10" s="25" t="n">
        <f aca="false">IF(N(RAIDLog[[#This Row],[Task UID]])=0,"",IFERROR(INDEX(tsk_FcFinish,MATCH(RAIDLog[[#This Row],[Task UID]],tsk_UID,0)),""))</f>
        <v>46331</v>
      </c>
      <c r="Q10" s="30" t="s">
        <v>299</v>
      </c>
      <c r="R10" s="30" t="s">
        <v>300</v>
      </c>
      <c r="S10" s="41" t="str">
        <f aca="false">IF(RAIDLog[[#This Row],[Title]]="","",RAIDLog[[#This Row],[Type]]&amp;" "&amp;RAIDLog[[#This Row],[Ref]]&amp;": "&amp;RAIDLog[[#This Row],[Title]])</f>
        <v>Risk 6: Scope creep on the reporting screens</v>
      </c>
      <c r="T10" s="41" t="str">
        <f aca="false">IF(AND(NOT(RAIDLog[[#This Row],[Title]]=""),RAIDLog[[#This Row],[Status]]&lt;&gt;"Closed"),RAIDLog[[#This Row],[Score]]+1-(ROW()-ROW(RAIDLog[[#Headers],[Ref]]))/100000,"")</f>
        <v/>
      </c>
    </row>
    <row r="11" customFormat="false" ht="15" hidden="false" customHeight="false" outlineLevel="0" collapsed="false">
      <c r="B11" s="29" t="n">
        <v>7</v>
      </c>
      <c r="C11" s="30"/>
      <c r="D11" s="30"/>
      <c r="E11" s="30"/>
      <c r="F11" s="73"/>
      <c r="G11" s="73"/>
      <c r="H11" s="29"/>
      <c r="I11" s="29"/>
      <c r="J11" s="29"/>
      <c r="K11" s="43" t="str">
        <f aca="false">IF(RAIDLog[[#This Row],[Title]]="","",IF(RAIDLog[[#This Row],[Type]]="Issue",5,N(RAIDLog[[#This Row],[Probability]]))*N(RAIDLog[[#This Row],[Impact]]))</f>
        <v/>
      </c>
      <c r="L11" s="28" t="str">
        <f aca="false">IF(RAIDLog[[#This Row],[Title]]="","",IF(RAIDLog[[#This Row],[Score]]&gt;=RAIDHighScore,"High",IF(RAIDLog[[#This Row],[Score]]&gt;=RAIDMediumScore,"Medium","Low")))</f>
        <v/>
      </c>
      <c r="M11" s="28" t="str">
        <f aca="false">IF(OR(RAIDLog[[#This Row],[Title]]="",N(RAIDLog[[#This Row],[Due]])=0),"",IF(AND(RAIDLog[[#This Row],[Status]]&lt;&gt;"Closed",RAIDLog[[#This Row],[Due]]&lt;StatusDate),"Overdue",""))</f>
        <v/>
      </c>
      <c r="N11" s="29"/>
      <c r="O11" s="24" t="str">
        <f aca="false">IF(N(RAIDLog[[#This Row],[Task UID]])=0,"",IFERROR(INDEX(tsk_Name,MATCH(RAIDLog[[#This Row],[Task UID]],tsk_UID,0)),"UID "&amp;RAIDLog[[#This Row],[Task UID]]&amp;" not found"))</f>
        <v/>
      </c>
      <c r="P11" s="25" t="str">
        <f aca="false">IF(N(RAIDLog[[#This Row],[Task UID]])=0,"",IFERROR(INDEX(tsk_FcFinish,MATCH(RAIDLog[[#This Row],[Task UID]],tsk_UID,0)),""))</f>
        <v/>
      </c>
      <c r="Q11" s="30"/>
      <c r="R11" s="30"/>
      <c r="S11" s="41" t="str">
        <f aca="false">IF(RAIDLog[[#This Row],[Title]]="","",RAIDLog[[#This Row],[Type]]&amp;" "&amp;RAIDLog[[#This Row],[Ref]]&amp;": "&amp;RAIDLog[[#This Row],[Title]])</f>
        <v/>
      </c>
      <c r="T11" s="41" t="str">
        <f aca="false">IF(AND(NOT(RAIDLog[[#This Row],[Title]]=""),RAIDLog[[#This Row],[Status]]&lt;&gt;"Closed"),RAIDLog[[#This Row],[Score]]+1-(ROW()-ROW(RAIDLog[[#Headers],[Ref]]))/100000,"")</f>
        <v/>
      </c>
    </row>
    <row r="12" customFormat="false" ht="15" hidden="false" customHeight="false" outlineLevel="0" collapsed="false">
      <c r="B12" s="29" t="n">
        <v>8</v>
      </c>
      <c r="C12" s="30"/>
      <c r="D12" s="30"/>
      <c r="E12" s="30"/>
      <c r="F12" s="73"/>
      <c r="G12" s="73"/>
      <c r="H12" s="29"/>
      <c r="I12" s="29"/>
      <c r="J12" s="29"/>
      <c r="K12" s="43" t="str">
        <f aca="false">IF(RAIDLog[[#This Row],[Title]]="","",IF(RAIDLog[[#This Row],[Type]]="Issue",5,N(RAIDLog[[#This Row],[Probability]]))*N(RAIDLog[[#This Row],[Impact]]))</f>
        <v/>
      </c>
      <c r="L12" s="28" t="str">
        <f aca="false">IF(RAIDLog[[#This Row],[Title]]="","",IF(RAIDLog[[#This Row],[Score]]&gt;=RAIDHighScore,"High",IF(RAIDLog[[#This Row],[Score]]&gt;=RAIDMediumScore,"Medium","Low")))</f>
        <v/>
      </c>
      <c r="M12" s="28" t="str">
        <f aca="false">IF(OR(RAIDLog[[#This Row],[Title]]="",N(RAIDLog[[#This Row],[Due]])=0),"",IF(AND(RAIDLog[[#This Row],[Status]]&lt;&gt;"Closed",RAIDLog[[#This Row],[Due]]&lt;StatusDate),"Overdue",""))</f>
        <v/>
      </c>
      <c r="N12" s="29"/>
      <c r="O12" s="24" t="str">
        <f aca="false">IF(N(RAIDLog[[#This Row],[Task UID]])=0,"",IFERROR(INDEX(tsk_Name,MATCH(RAIDLog[[#This Row],[Task UID]],tsk_UID,0)),"UID "&amp;RAIDLog[[#This Row],[Task UID]]&amp;" not found"))</f>
        <v/>
      </c>
      <c r="P12" s="25" t="str">
        <f aca="false">IF(N(RAIDLog[[#This Row],[Task UID]])=0,"",IFERROR(INDEX(tsk_FcFinish,MATCH(RAIDLog[[#This Row],[Task UID]],tsk_UID,0)),""))</f>
        <v/>
      </c>
      <c r="Q12" s="30"/>
      <c r="R12" s="30"/>
      <c r="S12" s="41" t="str">
        <f aca="false">IF(RAIDLog[[#This Row],[Title]]="","",RAIDLog[[#This Row],[Type]]&amp;" "&amp;RAIDLog[[#This Row],[Ref]]&amp;": "&amp;RAIDLog[[#This Row],[Title]])</f>
        <v/>
      </c>
      <c r="T12" s="41" t="str">
        <f aca="false">IF(AND(NOT(RAIDLog[[#This Row],[Title]]=""),RAIDLog[[#This Row],[Status]]&lt;&gt;"Closed"),RAIDLog[[#This Row],[Score]]+1-(ROW()-ROW(RAIDLog[[#Headers],[Ref]]))/100000,"")</f>
        <v/>
      </c>
    </row>
    <row r="13" customFormat="false" ht="15" hidden="false" customHeight="false" outlineLevel="0" collapsed="false">
      <c r="B13" s="29" t="n">
        <v>9</v>
      </c>
      <c r="C13" s="30"/>
      <c r="D13" s="30"/>
      <c r="E13" s="30"/>
      <c r="F13" s="73"/>
      <c r="G13" s="73"/>
      <c r="H13" s="29"/>
      <c r="I13" s="29"/>
      <c r="J13" s="29"/>
      <c r="K13" s="43" t="str">
        <f aca="false">IF(RAIDLog[[#This Row],[Title]]="","",IF(RAIDLog[[#This Row],[Type]]="Issue",5,N(RAIDLog[[#This Row],[Probability]]))*N(RAIDLog[[#This Row],[Impact]]))</f>
        <v/>
      </c>
      <c r="L13" s="28" t="str">
        <f aca="false">IF(RAIDLog[[#This Row],[Title]]="","",IF(RAIDLog[[#This Row],[Score]]&gt;=RAIDHighScore,"High",IF(RAIDLog[[#This Row],[Score]]&gt;=RAIDMediumScore,"Medium","Low")))</f>
        <v/>
      </c>
      <c r="M13" s="28" t="str">
        <f aca="false">IF(OR(RAIDLog[[#This Row],[Title]]="",N(RAIDLog[[#This Row],[Due]])=0),"",IF(AND(RAIDLog[[#This Row],[Status]]&lt;&gt;"Closed",RAIDLog[[#This Row],[Due]]&lt;StatusDate),"Overdue",""))</f>
        <v/>
      </c>
      <c r="N13" s="29"/>
      <c r="O13" s="24" t="str">
        <f aca="false">IF(N(RAIDLog[[#This Row],[Task UID]])=0,"",IFERROR(INDEX(tsk_Name,MATCH(RAIDLog[[#This Row],[Task UID]],tsk_UID,0)),"UID "&amp;RAIDLog[[#This Row],[Task UID]]&amp;" not found"))</f>
        <v/>
      </c>
      <c r="P13" s="25" t="str">
        <f aca="false">IF(N(RAIDLog[[#This Row],[Task UID]])=0,"",IFERROR(INDEX(tsk_FcFinish,MATCH(RAIDLog[[#This Row],[Task UID]],tsk_UID,0)),""))</f>
        <v/>
      </c>
      <c r="Q13" s="30"/>
      <c r="R13" s="30"/>
      <c r="S13" s="41" t="str">
        <f aca="false">IF(RAIDLog[[#This Row],[Title]]="","",RAIDLog[[#This Row],[Type]]&amp;" "&amp;RAIDLog[[#This Row],[Ref]]&amp;": "&amp;RAIDLog[[#This Row],[Title]])</f>
        <v/>
      </c>
      <c r="T13" s="41" t="str">
        <f aca="false">IF(AND(NOT(RAIDLog[[#This Row],[Title]]=""),RAIDLog[[#This Row],[Status]]&lt;&gt;"Closed"),RAIDLog[[#This Row],[Score]]+1-(ROW()-ROW(RAIDLog[[#Headers],[Ref]]))/100000,"")</f>
        <v/>
      </c>
    </row>
    <row r="14" customFormat="false" ht="15" hidden="false" customHeight="false" outlineLevel="0" collapsed="false">
      <c r="B14" s="29" t="n">
        <v>10</v>
      </c>
      <c r="C14" s="30"/>
      <c r="D14" s="30"/>
      <c r="E14" s="30"/>
      <c r="F14" s="73"/>
      <c r="G14" s="73"/>
      <c r="H14" s="29"/>
      <c r="I14" s="29"/>
      <c r="J14" s="29"/>
      <c r="K14" s="43" t="str">
        <f aca="false">IF(RAIDLog[[#This Row],[Title]]="","",IF(RAIDLog[[#This Row],[Type]]="Issue",5,N(RAIDLog[[#This Row],[Probability]]))*N(RAIDLog[[#This Row],[Impact]]))</f>
        <v/>
      </c>
      <c r="L14" s="28" t="str">
        <f aca="false">IF(RAIDLog[[#This Row],[Title]]="","",IF(RAIDLog[[#This Row],[Score]]&gt;=RAIDHighScore,"High",IF(RAIDLog[[#This Row],[Score]]&gt;=RAIDMediumScore,"Medium","Low")))</f>
        <v/>
      </c>
      <c r="M14" s="28" t="str">
        <f aca="false">IF(OR(RAIDLog[[#This Row],[Title]]="",N(RAIDLog[[#This Row],[Due]])=0),"",IF(AND(RAIDLog[[#This Row],[Status]]&lt;&gt;"Closed",RAIDLog[[#This Row],[Due]]&lt;StatusDate),"Overdue",""))</f>
        <v/>
      </c>
      <c r="N14" s="29"/>
      <c r="O14" s="24" t="str">
        <f aca="false">IF(N(RAIDLog[[#This Row],[Task UID]])=0,"",IFERROR(INDEX(tsk_Name,MATCH(RAIDLog[[#This Row],[Task UID]],tsk_UID,0)),"UID "&amp;RAIDLog[[#This Row],[Task UID]]&amp;" not found"))</f>
        <v/>
      </c>
      <c r="P14" s="25" t="str">
        <f aca="false">IF(N(RAIDLog[[#This Row],[Task UID]])=0,"",IFERROR(INDEX(tsk_FcFinish,MATCH(RAIDLog[[#This Row],[Task UID]],tsk_UID,0)),""))</f>
        <v/>
      </c>
      <c r="Q14" s="30"/>
      <c r="R14" s="30"/>
      <c r="S14" s="41" t="str">
        <f aca="false">IF(RAIDLog[[#This Row],[Title]]="","",RAIDLog[[#This Row],[Type]]&amp;" "&amp;RAIDLog[[#This Row],[Ref]]&amp;": "&amp;RAIDLog[[#This Row],[Title]])</f>
        <v/>
      </c>
      <c r="T14" s="41" t="str">
        <f aca="false">IF(AND(NOT(RAIDLog[[#This Row],[Title]]=""),RAIDLog[[#This Row],[Status]]&lt;&gt;"Closed"),RAIDLog[[#This Row],[Score]]+1-(ROW()-ROW(RAIDLog[[#Headers],[Ref]]))/100000,"")</f>
        <v/>
      </c>
    </row>
    <row r="15" customFormat="false" ht="15" hidden="false" customHeight="false" outlineLevel="0" collapsed="false">
      <c r="B15" s="29" t="n">
        <v>11</v>
      </c>
      <c r="C15" s="30"/>
      <c r="D15" s="30"/>
      <c r="E15" s="30"/>
      <c r="F15" s="73"/>
      <c r="G15" s="73"/>
      <c r="H15" s="29"/>
      <c r="I15" s="29"/>
      <c r="J15" s="29"/>
      <c r="K15" s="43" t="str">
        <f aca="false">IF(RAIDLog[[#This Row],[Title]]="","",IF(RAIDLog[[#This Row],[Type]]="Issue",5,N(RAIDLog[[#This Row],[Probability]]))*N(RAIDLog[[#This Row],[Impact]]))</f>
        <v/>
      </c>
      <c r="L15" s="28" t="str">
        <f aca="false">IF(RAIDLog[[#This Row],[Title]]="","",IF(RAIDLog[[#This Row],[Score]]&gt;=RAIDHighScore,"High",IF(RAIDLog[[#This Row],[Score]]&gt;=RAIDMediumScore,"Medium","Low")))</f>
        <v/>
      </c>
      <c r="M15" s="28" t="str">
        <f aca="false">IF(OR(RAIDLog[[#This Row],[Title]]="",N(RAIDLog[[#This Row],[Due]])=0),"",IF(AND(RAIDLog[[#This Row],[Status]]&lt;&gt;"Closed",RAIDLog[[#This Row],[Due]]&lt;StatusDate),"Overdue",""))</f>
        <v/>
      </c>
      <c r="N15" s="29"/>
      <c r="O15" s="24" t="str">
        <f aca="false">IF(N(RAIDLog[[#This Row],[Task UID]])=0,"",IFERROR(INDEX(tsk_Name,MATCH(RAIDLog[[#This Row],[Task UID]],tsk_UID,0)),"UID "&amp;RAIDLog[[#This Row],[Task UID]]&amp;" not found"))</f>
        <v/>
      </c>
      <c r="P15" s="25" t="str">
        <f aca="false">IF(N(RAIDLog[[#This Row],[Task UID]])=0,"",IFERROR(INDEX(tsk_FcFinish,MATCH(RAIDLog[[#This Row],[Task UID]],tsk_UID,0)),""))</f>
        <v/>
      </c>
      <c r="Q15" s="30"/>
      <c r="R15" s="30"/>
      <c r="S15" s="41" t="str">
        <f aca="false">IF(RAIDLog[[#This Row],[Title]]="","",RAIDLog[[#This Row],[Type]]&amp;" "&amp;RAIDLog[[#This Row],[Ref]]&amp;": "&amp;RAIDLog[[#This Row],[Title]])</f>
        <v/>
      </c>
      <c r="T15" s="41" t="str">
        <f aca="false">IF(AND(NOT(RAIDLog[[#This Row],[Title]]=""),RAIDLog[[#This Row],[Status]]&lt;&gt;"Closed"),RAIDLog[[#This Row],[Score]]+1-(ROW()-ROW(RAIDLog[[#Headers],[Ref]]))/100000,"")</f>
        <v/>
      </c>
    </row>
    <row r="16" customFormat="false" ht="15" hidden="false" customHeight="false" outlineLevel="0" collapsed="false">
      <c r="B16" s="29" t="n">
        <v>12</v>
      </c>
      <c r="C16" s="30"/>
      <c r="D16" s="30"/>
      <c r="E16" s="30"/>
      <c r="F16" s="73"/>
      <c r="G16" s="73"/>
      <c r="H16" s="29"/>
      <c r="I16" s="29"/>
      <c r="J16" s="29"/>
      <c r="K16" s="43" t="str">
        <f aca="false">IF(RAIDLog[[#This Row],[Title]]="","",IF(RAIDLog[[#This Row],[Type]]="Issue",5,N(RAIDLog[[#This Row],[Probability]]))*N(RAIDLog[[#This Row],[Impact]]))</f>
        <v/>
      </c>
      <c r="L16" s="28" t="str">
        <f aca="false">IF(RAIDLog[[#This Row],[Title]]="","",IF(RAIDLog[[#This Row],[Score]]&gt;=RAIDHighScore,"High",IF(RAIDLog[[#This Row],[Score]]&gt;=RAIDMediumScore,"Medium","Low")))</f>
        <v/>
      </c>
      <c r="M16" s="28" t="str">
        <f aca="false">IF(OR(RAIDLog[[#This Row],[Title]]="",N(RAIDLog[[#This Row],[Due]])=0),"",IF(AND(RAIDLog[[#This Row],[Status]]&lt;&gt;"Closed",RAIDLog[[#This Row],[Due]]&lt;StatusDate),"Overdue",""))</f>
        <v/>
      </c>
      <c r="N16" s="29"/>
      <c r="O16" s="24" t="str">
        <f aca="false">IF(N(RAIDLog[[#This Row],[Task UID]])=0,"",IFERROR(INDEX(tsk_Name,MATCH(RAIDLog[[#This Row],[Task UID]],tsk_UID,0)),"UID "&amp;RAIDLog[[#This Row],[Task UID]]&amp;" not found"))</f>
        <v/>
      </c>
      <c r="P16" s="25" t="str">
        <f aca="false">IF(N(RAIDLog[[#This Row],[Task UID]])=0,"",IFERROR(INDEX(tsk_FcFinish,MATCH(RAIDLog[[#This Row],[Task UID]],tsk_UID,0)),""))</f>
        <v/>
      </c>
      <c r="Q16" s="30"/>
      <c r="R16" s="30"/>
      <c r="S16" s="41" t="str">
        <f aca="false">IF(RAIDLog[[#This Row],[Title]]="","",RAIDLog[[#This Row],[Type]]&amp;" "&amp;RAIDLog[[#This Row],[Ref]]&amp;": "&amp;RAIDLog[[#This Row],[Title]])</f>
        <v/>
      </c>
      <c r="T16" s="41" t="str">
        <f aca="false">IF(AND(NOT(RAIDLog[[#This Row],[Title]]=""),RAIDLog[[#This Row],[Status]]&lt;&gt;"Closed"),RAIDLog[[#This Row],[Score]]+1-(ROW()-ROW(RAIDLog[[#Headers],[Ref]]))/100000,"")</f>
        <v/>
      </c>
    </row>
    <row r="17" customFormat="false" ht="15" hidden="false" customHeight="false" outlineLevel="0" collapsed="false">
      <c r="B17" s="29" t="n">
        <v>13</v>
      </c>
      <c r="C17" s="30"/>
      <c r="D17" s="30"/>
      <c r="E17" s="30"/>
      <c r="F17" s="73"/>
      <c r="G17" s="73"/>
      <c r="H17" s="29"/>
      <c r="I17" s="29"/>
      <c r="J17" s="29"/>
      <c r="K17" s="43" t="str">
        <f aca="false">IF(RAIDLog[[#This Row],[Title]]="","",IF(RAIDLog[[#This Row],[Type]]="Issue",5,N(RAIDLog[[#This Row],[Probability]]))*N(RAIDLog[[#This Row],[Impact]]))</f>
        <v/>
      </c>
      <c r="L17" s="28" t="str">
        <f aca="false">IF(RAIDLog[[#This Row],[Title]]="","",IF(RAIDLog[[#This Row],[Score]]&gt;=RAIDHighScore,"High",IF(RAIDLog[[#This Row],[Score]]&gt;=RAIDMediumScore,"Medium","Low")))</f>
        <v/>
      </c>
      <c r="M17" s="28" t="str">
        <f aca="false">IF(OR(RAIDLog[[#This Row],[Title]]="",N(RAIDLog[[#This Row],[Due]])=0),"",IF(AND(RAIDLog[[#This Row],[Status]]&lt;&gt;"Closed",RAIDLog[[#This Row],[Due]]&lt;StatusDate),"Overdue",""))</f>
        <v/>
      </c>
      <c r="N17" s="29"/>
      <c r="O17" s="24" t="str">
        <f aca="false">IF(N(RAIDLog[[#This Row],[Task UID]])=0,"",IFERROR(INDEX(tsk_Name,MATCH(RAIDLog[[#This Row],[Task UID]],tsk_UID,0)),"UID "&amp;RAIDLog[[#This Row],[Task UID]]&amp;" not found"))</f>
        <v/>
      </c>
      <c r="P17" s="25" t="str">
        <f aca="false">IF(N(RAIDLog[[#This Row],[Task UID]])=0,"",IFERROR(INDEX(tsk_FcFinish,MATCH(RAIDLog[[#This Row],[Task UID]],tsk_UID,0)),""))</f>
        <v/>
      </c>
      <c r="Q17" s="30"/>
      <c r="R17" s="30"/>
      <c r="S17" s="41" t="str">
        <f aca="false">IF(RAIDLog[[#This Row],[Title]]="","",RAIDLog[[#This Row],[Type]]&amp;" "&amp;RAIDLog[[#This Row],[Ref]]&amp;": "&amp;RAIDLog[[#This Row],[Title]])</f>
        <v/>
      </c>
      <c r="T17" s="41" t="str">
        <f aca="false">IF(AND(NOT(RAIDLog[[#This Row],[Title]]=""),RAIDLog[[#This Row],[Status]]&lt;&gt;"Closed"),RAIDLog[[#This Row],[Score]]+1-(ROW()-ROW(RAIDLog[[#Headers],[Ref]]))/100000,"")</f>
        <v/>
      </c>
    </row>
    <row r="18" customFormat="false" ht="15" hidden="false" customHeight="false" outlineLevel="0" collapsed="false">
      <c r="B18" s="29" t="n">
        <v>14</v>
      </c>
      <c r="C18" s="30"/>
      <c r="D18" s="30"/>
      <c r="E18" s="30"/>
      <c r="F18" s="73"/>
      <c r="G18" s="73"/>
      <c r="H18" s="29"/>
      <c r="I18" s="29"/>
      <c r="J18" s="29"/>
      <c r="K18" s="43" t="str">
        <f aca="false">IF(RAIDLog[[#This Row],[Title]]="","",IF(RAIDLog[[#This Row],[Type]]="Issue",5,N(RAIDLog[[#This Row],[Probability]]))*N(RAIDLog[[#This Row],[Impact]]))</f>
        <v/>
      </c>
      <c r="L18" s="28" t="str">
        <f aca="false">IF(RAIDLog[[#This Row],[Title]]="","",IF(RAIDLog[[#This Row],[Score]]&gt;=RAIDHighScore,"High",IF(RAIDLog[[#This Row],[Score]]&gt;=RAIDMediumScore,"Medium","Low")))</f>
        <v/>
      </c>
      <c r="M18" s="28" t="str">
        <f aca="false">IF(OR(RAIDLog[[#This Row],[Title]]="",N(RAIDLog[[#This Row],[Due]])=0),"",IF(AND(RAIDLog[[#This Row],[Status]]&lt;&gt;"Closed",RAIDLog[[#This Row],[Due]]&lt;StatusDate),"Overdue",""))</f>
        <v/>
      </c>
      <c r="N18" s="29"/>
      <c r="O18" s="24" t="str">
        <f aca="false">IF(N(RAIDLog[[#This Row],[Task UID]])=0,"",IFERROR(INDEX(tsk_Name,MATCH(RAIDLog[[#This Row],[Task UID]],tsk_UID,0)),"UID "&amp;RAIDLog[[#This Row],[Task UID]]&amp;" not found"))</f>
        <v/>
      </c>
      <c r="P18" s="25" t="str">
        <f aca="false">IF(N(RAIDLog[[#This Row],[Task UID]])=0,"",IFERROR(INDEX(tsk_FcFinish,MATCH(RAIDLog[[#This Row],[Task UID]],tsk_UID,0)),""))</f>
        <v/>
      </c>
      <c r="Q18" s="30"/>
      <c r="R18" s="30"/>
      <c r="S18" s="41" t="str">
        <f aca="false">IF(RAIDLog[[#This Row],[Title]]="","",RAIDLog[[#This Row],[Type]]&amp;" "&amp;RAIDLog[[#This Row],[Ref]]&amp;": "&amp;RAIDLog[[#This Row],[Title]])</f>
        <v/>
      </c>
      <c r="T18" s="41" t="str">
        <f aca="false">IF(AND(NOT(RAIDLog[[#This Row],[Title]]=""),RAIDLog[[#This Row],[Status]]&lt;&gt;"Closed"),RAIDLog[[#This Row],[Score]]+1-(ROW()-ROW(RAIDLog[[#Headers],[Ref]]))/100000,"")</f>
        <v/>
      </c>
    </row>
    <row r="19" customFormat="false" ht="15" hidden="false" customHeight="false" outlineLevel="0" collapsed="false">
      <c r="B19" s="29" t="n">
        <v>15</v>
      </c>
      <c r="C19" s="30"/>
      <c r="D19" s="30"/>
      <c r="E19" s="30"/>
      <c r="F19" s="73"/>
      <c r="G19" s="73"/>
      <c r="H19" s="29"/>
      <c r="I19" s="29"/>
      <c r="J19" s="29"/>
      <c r="K19" s="43" t="str">
        <f aca="false">IF(RAIDLog[[#This Row],[Title]]="","",IF(RAIDLog[[#This Row],[Type]]="Issue",5,N(RAIDLog[[#This Row],[Probability]]))*N(RAIDLog[[#This Row],[Impact]]))</f>
        <v/>
      </c>
      <c r="L19" s="28" t="str">
        <f aca="false">IF(RAIDLog[[#This Row],[Title]]="","",IF(RAIDLog[[#This Row],[Score]]&gt;=RAIDHighScore,"High",IF(RAIDLog[[#This Row],[Score]]&gt;=RAIDMediumScore,"Medium","Low")))</f>
        <v/>
      </c>
      <c r="M19" s="28" t="str">
        <f aca="false">IF(OR(RAIDLog[[#This Row],[Title]]="",N(RAIDLog[[#This Row],[Due]])=0),"",IF(AND(RAIDLog[[#This Row],[Status]]&lt;&gt;"Closed",RAIDLog[[#This Row],[Due]]&lt;StatusDate),"Overdue",""))</f>
        <v/>
      </c>
      <c r="N19" s="29"/>
      <c r="O19" s="24" t="str">
        <f aca="false">IF(N(RAIDLog[[#This Row],[Task UID]])=0,"",IFERROR(INDEX(tsk_Name,MATCH(RAIDLog[[#This Row],[Task UID]],tsk_UID,0)),"UID "&amp;RAIDLog[[#This Row],[Task UID]]&amp;" not found"))</f>
        <v/>
      </c>
      <c r="P19" s="25" t="str">
        <f aca="false">IF(N(RAIDLog[[#This Row],[Task UID]])=0,"",IFERROR(INDEX(tsk_FcFinish,MATCH(RAIDLog[[#This Row],[Task UID]],tsk_UID,0)),""))</f>
        <v/>
      </c>
      <c r="Q19" s="30"/>
      <c r="R19" s="30"/>
      <c r="S19" s="41" t="str">
        <f aca="false">IF(RAIDLog[[#This Row],[Title]]="","",RAIDLog[[#This Row],[Type]]&amp;" "&amp;RAIDLog[[#This Row],[Ref]]&amp;": "&amp;RAIDLog[[#This Row],[Title]])</f>
        <v/>
      </c>
      <c r="T19" s="41" t="str">
        <f aca="false">IF(AND(NOT(RAIDLog[[#This Row],[Title]]=""),RAIDLog[[#This Row],[Status]]&lt;&gt;"Closed"),RAIDLog[[#This Row],[Score]]+1-(ROW()-ROW(RAIDLog[[#Headers],[Ref]]))/100000,"")</f>
        <v/>
      </c>
    </row>
    <row r="20" customFormat="false" ht="15" hidden="false" customHeight="false" outlineLevel="0" collapsed="false">
      <c r="B20" s="29" t="n">
        <v>16</v>
      </c>
      <c r="C20" s="30"/>
      <c r="D20" s="30"/>
      <c r="E20" s="30"/>
      <c r="F20" s="73"/>
      <c r="G20" s="73"/>
      <c r="H20" s="29"/>
      <c r="I20" s="29"/>
      <c r="J20" s="29"/>
      <c r="K20" s="43" t="str">
        <f aca="false">IF(RAIDLog[[#This Row],[Title]]="","",IF(RAIDLog[[#This Row],[Type]]="Issue",5,N(RAIDLog[[#This Row],[Probability]]))*N(RAIDLog[[#This Row],[Impact]]))</f>
        <v/>
      </c>
      <c r="L20" s="28" t="str">
        <f aca="false">IF(RAIDLog[[#This Row],[Title]]="","",IF(RAIDLog[[#This Row],[Score]]&gt;=RAIDHighScore,"High",IF(RAIDLog[[#This Row],[Score]]&gt;=RAIDMediumScore,"Medium","Low")))</f>
        <v/>
      </c>
      <c r="M20" s="28" t="str">
        <f aca="false">IF(OR(RAIDLog[[#This Row],[Title]]="",N(RAIDLog[[#This Row],[Due]])=0),"",IF(AND(RAIDLog[[#This Row],[Status]]&lt;&gt;"Closed",RAIDLog[[#This Row],[Due]]&lt;StatusDate),"Overdue",""))</f>
        <v/>
      </c>
      <c r="N20" s="29"/>
      <c r="O20" s="24" t="str">
        <f aca="false">IF(N(RAIDLog[[#This Row],[Task UID]])=0,"",IFERROR(INDEX(tsk_Name,MATCH(RAIDLog[[#This Row],[Task UID]],tsk_UID,0)),"UID "&amp;RAIDLog[[#This Row],[Task UID]]&amp;" not found"))</f>
        <v/>
      </c>
      <c r="P20" s="25" t="str">
        <f aca="false">IF(N(RAIDLog[[#This Row],[Task UID]])=0,"",IFERROR(INDEX(tsk_FcFinish,MATCH(RAIDLog[[#This Row],[Task UID]],tsk_UID,0)),""))</f>
        <v/>
      </c>
      <c r="Q20" s="30"/>
      <c r="R20" s="30"/>
      <c r="S20" s="41" t="str">
        <f aca="false">IF(RAIDLog[[#This Row],[Title]]="","",RAIDLog[[#This Row],[Type]]&amp;" "&amp;RAIDLog[[#This Row],[Ref]]&amp;": "&amp;RAIDLog[[#This Row],[Title]])</f>
        <v/>
      </c>
      <c r="T20" s="41" t="str">
        <f aca="false">IF(AND(NOT(RAIDLog[[#This Row],[Title]]=""),RAIDLog[[#This Row],[Status]]&lt;&gt;"Closed"),RAIDLog[[#This Row],[Score]]+1-(ROW()-ROW(RAIDLog[[#Headers],[Ref]]))/100000,"")</f>
        <v/>
      </c>
    </row>
    <row r="21" customFormat="false" ht="15" hidden="false" customHeight="false" outlineLevel="0" collapsed="false">
      <c r="B21" s="29" t="n">
        <v>17</v>
      </c>
      <c r="C21" s="30"/>
      <c r="D21" s="30"/>
      <c r="E21" s="30"/>
      <c r="F21" s="73"/>
      <c r="G21" s="73"/>
      <c r="H21" s="29"/>
      <c r="I21" s="29"/>
      <c r="J21" s="29"/>
      <c r="K21" s="43" t="str">
        <f aca="false">IF(RAIDLog[[#This Row],[Title]]="","",IF(RAIDLog[[#This Row],[Type]]="Issue",5,N(RAIDLog[[#This Row],[Probability]]))*N(RAIDLog[[#This Row],[Impact]]))</f>
        <v/>
      </c>
      <c r="L21" s="28" t="str">
        <f aca="false">IF(RAIDLog[[#This Row],[Title]]="","",IF(RAIDLog[[#This Row],[Score]]&gt;=RAIDHighScore,"High",IF(RAIDLog[[#This Row],[Score]]&gt;=RAIDMediumScore,"Medium","Low")))</f>
        <v/>
      </c>
      <c r="M21" s="28" t="str">
        <f aca="false">IF(OR(RAIDLog[[#This Row],[Title]]="",N(RAIDLog[[#This Row],[Due]])=0),"",IF(AND(RAIDLog[[#This Row],[Status]]&lt;&gt;"Closed",RAIDLog[[#This Row],[Due]]&lt;StatusDate),"Overdue",""))</f>
        <v/>
      </c>
      <c r="N21" s="29"/>
      <c r="O21" s="24" t="str">
        <f aca="false">IF(N(RAIDLog[[#This Row],[Task UID]])=0,"",IFERROR(INDEX(tsk_Name,MATCH(RAIDLog[[#This Row],[Task UID]],tsk_UID,0)),"UID "&amp;RAIDLog[[#This Row],[Task UID]]&amp;" not found"))</f>
        <v/>
      </c>
      <c r="P21" s="25" t="str">
        <f aca="false">IF(N(RAIDLog[[#This Row],[Task UID]])=0,"",IFERROR(INDEX(tsk_FcFinish,MATCH(RAIDLog[[#This Row],[Task UID]],tsk_UID,0)),""))</f>
        <v/>
      </c>
      <c r="Q21" s="30"/>
      <c r="R21" s="30"/>
      <c r="S21" s="41" t="str">
        <f aca="false">IF(RAIDLog[[#This Row],[Title]]="","",RAIDLog[[#This Row],[Type]]&amp;" "&amp;RAIDLog[[#This Row],[Ref]]&amp;": "&amp;RAIDLog[[#This Row],[Title]])</f>
        <v/>
      </c>
      <c r="T21" s="41" t="str">
        <f aca="false">IF(AND(NOT(RAIDLog[[#This Row],[Title]]=""),RAIDLog[[#This Row],[Status]]&lt;&gt;"Closed"),RAIDLog[[#This Row],[Score]]+1-(ROW()-ROW(RAIDLog[[#Headers],[Ref]]))/100000,"")</f>
        <v/>
      </c>
    </row>
    <row r="22" customFormat="false" ht="15" hidden="false" customHeight="false" outlineLevel="0" collapsed="false">
      <c r="B22" s="29" t="n">
        <v>18</v>
      </c>
      <c r="C22" s="30"/>
      <c r="D22" s="30"/>
      <c r="E22" s="30"/>
      <c r="F22" s="73"/>
      <c r="G22" s="73"/>
      <c r="H22" s="29"/>
      <c r="I22" s="29"/>
      <c r="J22" s="29"/>
      <c r="K22" s="43" t="str">
        <f aca="false">IF(RAIDLog[[#This Row],[Title]]="","",IF(RAIDLog[[#This Row],[Type]]="Issue",5,N(RAIDLog[[#This Row],[Probability]]))*N(RAIDLog[[#This Row],[Impact]]))</f>
        <v/>
      </c>
      <c r="L22" s="28" t="str">
        <f aca="false">IF(RAIDLog[[#This Row],[Title]]="","",IF(RAIDLog[[#This Row],[Score]]&gt;=RAIDHighScore,"High",IF(RAIDLog[[#This Row],[Score]]&gt;=RAIDMediumScore,"Medium","Low")))</f>
        <v/>
      </c>
      <c r="M22" s="28" t="str">
        <f aca="false">IF(OR(RAIDLog[[#This Row],[Title]]="",N(RAIDLog[[#This Row],[Due]])=0),"",IF(AND(RAIDLog[[#This Row],[Status]]&lt;&gt;"Closed",RAIDLog[[#This Row],[Due]]&lt;StatusDate),"Overdue",""))</f>
        <v/>
      </c>
      <c r="N22" s="29"/>
      <c r="O22" s="24" t="str">
        <f aca="false">IF(N(RAIDLog[[#This Row],[Task UID]])=0,"",IFERROR(INDEX(tsk_Name,MATCH(RAIDLog[[#This Row],[Task UID]],tsk_UID,0)),"UID "&amp;RAIDLog[[#This Row],[Task UID]]&amp;" not found"))</f>
        <v/>
      </c>
      <c r="P22" s="25" t="str">
        <f aca="false">IF(N(RAIDLog[[#This Row],[Task UID]])=0,"",IFERROR(INDEX(tsk_FcFinish,MATCH(RAIDLog[[#This Row],[Task UID]],tsk_UID,0)),""))</f>
        <v/>
      </c>
      <c r="Q22" s="30"/>
      <c r="R22" s="30"/>
      <c r="S22" s="41" t="str">
        <f aca="false">IF(RAIDLog[[#This Row],[Title]]="","",RAIDLog[[#This Row],[Type]]&amp;" "&amp;RAIDLog[[#This Row],[Ref]]&amp;": "&amp;RAIDLog[[#This Row],[Title]])</f>
        <v/>
      </c>
      <c r="T22" s="41" t="str">
        <f aca="false">IF(AND(NOT(RAIDLog[[#This Row],[Title]]=""),RAIDLog[[#This Row],[Status]]&lt;&gt;"Closed"),RAIDLog[[#This Row],[Score]]+1-(ROW()-ROW(RAIDLog[[#Headers],[Ref]]))/100000,"")</f>
        <v/>
      </c>
    </row>
    <row r="23" customFormat="false" ht="15" hidden="false" customHeight="false" outlineLevel="0" collapsed="false">
      <c r="B23" s="29" t="n">
        <v>19</v>
      </c>
      <c r="C23" s="30"/>
      <c r="D23" s="30"/>
      <c r="E23" s="30"/>
      <c r="F23" s="73"/>
      <c r="G23" s="73"/>
      <c r="H23" s="29"/>
      <c r="I23" s="29"/>
      <c r="J23" s="29"/>
      <c r="K23" s="43" t="str">
        <f aca="false">IF(RAIDLog[[#This Row],[Title]]="","",IF(RAIDLog[[#This Row],[Type]]="Issue",5,N(RAIDLog[[#This Row],[Probability]]))*N(RAIDLog[[#This Row],[Impact]]))</f>
        <v/>
      </c>
      <c r="L23" s="28" t="str">
        <f aca="false">IF(RAIDLog[[#This Row],[Title]]="","",IF(RAIDLog[[#This Row],[Score]]&gt;=RAIDHighScore,"High",IF(RAIDLog[[#This Row],[Score]]&gt;=RAIDMediumScore,"Medium","Low")))</f>
        <v/>
      </c>
      <c r="M23" s="28" t="str">
        <f aca="false">IF(OR(RAIDLog[[#This Row],[Title]]="",N(RAIDLog[[#This Row],[Due]])=0),"",IF(AND(RAIDLog[[#This Row],[Status]]&lt;&gt;"Closed",RAIDLog[[#This Row],[Due]]&lt;StatusDate),"Overdue",""))</f>
        <v/>
      </c>
      <c r="N23" s="29"/>
      <c r="O23" s="24" t="str">
        <f aca="false">IF(N(RAIDLog[[#This Row],[Task UID]])=0,"",IFERROR(INDEX(tsk_Name,MATCH(RAIDLog[[#This Row],[Task UID]],tsk_UID,0)),"UID "&amp;RAIDLog[[#This Row],[Task UID]]&amp;" not found"))</f>
        <v/>
      </c>
      <c r="P23" s="25" t="str">
        <f aca="false">IF(N(RAIDLog[[#This Row],[Task UID]])=0,"",IFERROR(INDEX(tsk_FcFinish,MATCH(RAIDLog[[#This Row],[Task UID]],tsk_UID,0)),""))</f>
        <v/>
      </c>
      <c r="Q23" s="30"/>
      <c r="R23" s="30"/>
      <c r="S23" s="41" t="str">
        <f aca="false">IF(RAIDLog[[#This Row],[Title]]="","",RAIDLog[[#This Row],[Type]]&amp;" "&amp;RAIDLog[[#This Row],[Ref]]&amp;": "&amp;RAIDLog[[#This Row],[Title]])</f>
        <v/>
      </c>
      <c r="T23" s="41" t="str">
        <f aca="false">IF(AND(NOT(RAIDLog[[#This Row],[Title]]=""),RAIDLog[[#This Row],[Status]]&lt;&gt;"Closed"),RAIDLog[[#This Row],[Score]]+1-(ROW()-ROW(RAIDLog[[#Headers],[Ref]]))/100000,"")</f>
        <v/>
      </c>
    </row>
    <row r="24" customFormat="false" ht="15" hidden="false" customHeight="false" outlineLevel="0" collapsed="false">
      <c r="B24" s="29" t="n">
        <v>20</v>
      </c>
      <c r="C24" s="30"/>
      <c r="D24" s="30"/>
      <c r="E24" s="30"/>
      <c r="F24" s="73"/>
      <c r="G24" s="73"/>
      <c r="H24" s="29"/>
      <c r="I24" s="29"/>
      <c r="J24" s="29"/>
      <c r="K24" s="43" t="str">
        <f aca="false">IF(RAIDLog[[#This Row],[Title]]="","",IF(RAIDLog[[#This Row],[Type]]="Issue",5,N(RAIDLog[[#This Row],[Probability]]))*N(RAIDLog[[#This Row],[Impact]]))</f>
        <v/>
      </c>
      <c r="L24" s="28" t="str">
        <f aca="false">IF(RAIDLog[[#This Row],[Title]]="","",IF(RAIDLog[[#This Row],[Score]]&gt;=RAIDHighScore,"High",IF(RAIDLog[[#This Row],[Score]]&gt;=RAIDMediumScore,"Medium","Low")))</f>
        <v/>
      </c>
      <c r="M24" s="28" t="str">
        <f aca="false">IF(OR(RAIDLog[[#This Row],[Title]]="",N(RAIDLog[[#This Row],[Due]])=0),"",IF(AND(RAIDLog[[#This Row],[Status]]&lt;&gt;"Closed",RAIDLog[[#This Row],[Due]]&lt;StatusDate),"Overdue",""))</f>
        <v/>
      </c>
      <c r="N24" s="29"/>
      <c r="O24" s="24" t="str">
        <f aca="false">IF(N(RAIDLog[[#This Row],[Task UID]])=0,"",IFERROR(INDEX(tsk_Name,MATCH(RAIDLog[[#This Row],[Task UID]],tsk_UID,0)),"UID "&amp;RAIDLog[[#This Row],[Task UID]]&amp;" not found"))</f>
        <v/>
      </c>
      <c r="P24" s="25" t="str">
        <f aca="false">IF(N(RAIDLog[[#This Row],[Task UID]])=0,"",IFERROR(INDEX(tsk_FcFinish,MATCH(RAIDLog[[#This Row],[Task UID]],tsk_UID,0)),""))</f>
        <v/>
      </c>
      <c r="Q24" s="30"/>
      <c r="R24" s="30"/>
      <c r="S24" s="41" t="str">
        <f aca="false">IF(RAIDLog[[#This Row],[Title]]="","",RAIDLog[[#This Row],[Type]]&amp;" "&amp;RAIDLog[[#This Row],[Ref]]&amp;": "&amp;RAIDLog[[#This Row],[Title]])</f>
        <v/>
      </c>
      <c r="T24" s="41" t="str">
        <f aca="false">IF(AND(NOT(RAIDLog[[#This Row],[Title]]=""),RAIDLog[[#This Row],[Status]]&lt;&gt;"Closed"),RAIDLog[[#This Row],[Score]]+1-(ROW()-ROW(RAIDLog[[#Headers],[Ref]]))/100000,"")</f>
        <v/>
      </c>
    </row>
    <row r="25" customFormat="false" ht="15" hidden="false" customHeight="false" outlineLevel="0" collapsed="false">
      <c r="B25" s="29" t="n">
        <v>21</v>
      </c>
      <c r="C25" s="30"/>
      <c r="D25" s="30"/>
      <c r="E25" s="30"/>
      <c r="F25" s="73"/>
      <c r="G25" s="73"/>
      <c r="H25" s="29"/>
      <c r="I25" s="29"/>
      <c r="J25" s="29"/>
      <c r="K25" s="43" t="str">
        <f aca="false">IF(RAIDLog[[#This Row],[Title]]="","",IF(RAIDLog[[#This Row],[Type]]="Issue",5,N(RAIDLog[[#This Row],[Probability]]))*N(RAIDLog[[#This Row],[Impact]]))</f>
        <v/>
      </c>
      <c r="L25" s="28" t="str">
        <f aca="false">IF(RAIDLog[[#This Row],[Title]]="","",IF(RAIDLog[[#This Row],[Score]]&gt;=RAIDHighScore,"High",IF(RAIDLog[[#This Row],[Score]]&gt;=RAIDMediumScore,"Medium","Low")))</f>
        <v/>
      </c>
      <c r="M25" s="28" t="str">
        <f aca="false">IF(OR(RAIDLog[[#This Row],[Title]]="",N(RAIDLog[[#This Row],[Due]])=0),"",IF(AND(RAIDLog[[#This Row],[Status]]&lt;&gt;"Closed",RAIDLog[[#This Row],[Due]]&lt;StatusDate),"Overdue",""))</f>
        <v/>
      </c>
      <c r="N25" s="29"/>
      <c r="O25" s="24" t="str">
        <f aca="false">IF(N(RAIDLog[[#This Row],[Task UID]])=0,"",IFERROR(INDEX(tsk_Name,MATCH(RAIDLog[[#This Row],[Task UID]],tsk_UID,0)),"UID "&amp;RAIDLog[[#This Row],[Task UID]]&amp;" not found"))</f>
        <v/>
      </c>
      <c r="P25" s="25" t="str">
        <f aca="false">IF(N(RAIDLog[[#This Row],[Task UID]])=0,"",IFERROR(INDEX(tsk_FcFinish,MATCH(RAIDLog[[#This Row],[Task UID]],tsk_UID,0)),""))</f>
        <v/>
      </c>
      <c r="Q25" s="30"/>
      <c r="R25" s="30"/>
      <c r="S25" s="41" t="str">
        <f aca="false">IF(RAIDLog[[#This Row],[Title]]="","",RAIDLog[[#This Row],[Type]]&amp;" "&amp;RAIDLog[[#This Row],[Ref]]&amp;": "&amp;RAIDLog[[#This Row],[Title]])</f>
        <v/>
      </c>
      <c r="T25" s="41" t="str">
        <f aca="false">IF(AND(NOT(RAIDLog[[#This Row],[Title]]=""),RAIDLog[[#This Row],[Status]]&lt;&gt;"Closed"),RAIDLog[[#This Row],[Score]]+1-(ROW()-ROW(RAIDLog[[#Headers],[Ref]]))/100000,"")</f>
        <v/>
      </c>
    </row>
    <row r="26" customFormat="false" ht="15" hidden="false" customHeight="false" outlineLevel="0" collapsed="false">
      <c r="B26" s="29" t="n">
        <v>22</v>
      </c>
      <c r="C26" s="30"/>
      <c r="D26" s="30"/>
      <c r="E26" s="30"/>
      <c r="F26" s="73"/>
      <c r="G26" s="73"/>
      <c r="H26" s="29"/>
      <c r="I26" s="29"/>
      <c r="J26" s="29"/>
      <c r="K26" s="43" t="str">
        <f aca="false">IF(RAIDLog[[#This Row],[Title]]="","",IF(RAIDLog[[#This Row],[Type]]="Issue",5,N(RAIDLog[[#This Row],[Probability]]))*N(RAIDLog[[#This Row],[Impact]]))</f>
        <v/>
      </c>
      <c r="L26" s="28" t="str">
        <f aca="false">IF(RAIDLog[[#This Row],[Title]]="","",IF(RAIDLog[[#This Row],[Score]]&gt;=RAIDHighScore,"High",IF(RAIDLog[[#This Row],[Score]]&gt;=RAIDMediumScore,"Medium","Low")))</f>
        <v/>
      </c>
      <c r="M26" s="28" t="str">
        <f aca="false">IF(OR(RAIDLog[[#This Row],[Title]]="",N(RAIDLog[[#This Row],[Due]])=0),"",IF(AND(RAIDLog[[#This Row],[Status]]&lt;&gt;"Closed",RAIDLog[[#This Row],[Due]]&lt;StatusDate),"Overdue",""))</f>
        <v/>
      </c>
      <c r="N26" s="29"/>
      <c r="O26" s="24" t="str">
        <f aca="false">IF(N(RAIDLog[[#This Row],[Task UID]])=0,"",IFERROR(INDEX(tsk_Name,MATCH(RAIDLog[[#This Row],[Task UID]],tsk_UID,0)),"UID "&amp;RAIDLog[[#This Row],[Task UID]]&amp;" not found"))</f>
        <v/>
      </c>
      <c r="P26" s="25" t="str">
        <f aca="false">IF(N(RAIDLog[[#This Row],[Task UID]])=0,"",IFERROR(INDEX(tsk_FcFinish,MATCH(RAIDLog[[#This Row],[Task UID]],tsk_UID,0)),""))</f>
        <v/>
      </c>
      <c r="Q26" s="30"/>
      <c r="R26" s="30"/>
      <c r="S26" s="41" t="str">
        <f aca="false">IF(RAIDLog[[#This Row],[Title]]="","",RAIDLog[[#This Row],[Type]]&amp;" "&amp;RAIDLog[[#This Row],[Ref]]&amp;": "&amp;RAIDLog[[#This Row],[Title]])</f>
        <v/>
      </c>
      <c r="T26" s="41" t="str">
        <f aca="false">IF(AND(NOT(RAIDLog[[#This Row],[Title]]=""),RAIDLog[[#This Row],[Status]]&lt;&gt;"Closed"),RAIDLog[[#This Row],[Score]]+1-(ROW()-ROW(RAIDLog[[#Headers],[Ref]]))/100000,"")</f>
        <v/>
      </c>
    </row>
    <row r="27" customFormat="false" ht="15" hidden="false" customHeight="false" outlineLevel="0" collapsed="false">
      <c r="B27" s="29" t="n">
        <v>23</v>
      </c>
      <c r="C27" s="30"/>
      <c r="D27" s="30"/>
      <c r="E27" s="30"/>
      <c r="F27" s="73"/>
      <c r="G27" s="73"/>
      <c r="H27" s="29"/>
      <c r="I27" s="29"/>
      <c r="J27" s="29"/>
      <c r="K27" s="43" t="str">
        <f aca="false">IF(RAIDLog[[#This Row],[Title]]="","",IF(RAIDLog[[#This Row],[Type]]="Issue",5,N(RAIDLog[[#This Row],[Probability]]))*N(RAIDLog[[#This Row],[Impact]]))</f>
        <v/>
      </c>
      <c r="L27" s="28" t="str">
        <f aca="false">IF(RAIDLog[[#This Row],[Title]]="","",IF(RAIDLog[[#This Row],[Score]]&gt;=RAIDHighScore,"High",IF(RAIDLog[[#This Row],[Score]]&gt;=RAIDMediumScore,"Medium","Low")))</f>
        <v/>
      </c>
      <c r="M27" s="28" t="str">
        <f aca="false">IF(OR(RAIDLog[[#This Row],[Title]]="",N(RAIDLog[[#This Row],[Due]])=0),"",IF(AND(RAIDLog[[#This Row],[Status]]&lt;&gt;"Closed",RAIDLog[[#This Row],[Due]]&lt;StatusDate),"Overdue",""))</f>
        <v/>
      </c>
      <c r="N27" s="29"/>
      <c r="O27" s="24" t="str">
        <f aca="false">IF(N(RAIDLog[[#This Row],[Task UID]])=0,"",IFERROR(INDEX(tsk_Name,MATCH(RAIDLog[[#This Row],[Task UID]],tsk_UID,0)),"UID "&amp;RAIDLog[[#This Row],[Task UID]]&amp;" not found"))</f>
        <v/>
      </c>
      <c r="P27" s="25" t="str">
        <f aca="false">IF(N(RAIDLog[[#This Row],[Task UID]])=0,"",IFERROR(INDEX(tsk_FcFinish,MATCH(RAIDLog[[#This Row],[Task UID]],tsk_UID,0)),""))</f>
        <v/>
      </c>
      <c r="Q27" s="30"/>
      <c r="R27" s="30"/>
      <c r="S27" s="41" t="str">
        <f aca="false">IF(RAIDLog[[#This Row],[Title]]="","",RAIDLog[[#This Row],[Type]]&amp;" "&amp;RAIDLog[[#This Row],[Ref]]&amp;": "&amp;RAIDLog[[#This Row],[Title]])</f>
        <v/>
      </c>
      <c r="T27" s="41" t="str">
        <f aca="false">IF(AND(NOT(RAIDLog[[#This Row],[Title]]=""),RAIDLog[[#This Row],[Status]]&lt;&gt;"Closed"),RAIDLog[[#This Row],[Score]]+1-(ROW()-ROW(RAIDLog[[#Headers],[Ref]]))/100000,"")</f>
        <v/>
      </c>
    </row>
    <row r="28" customFormat="false" ht="15" hidden="false" customHeight="false" outlineLevel="0" collapsed="false">
      <c r="B28" s="29" t="n">
        <v>24</v>
      </c>
      <c r="C28" s="30"/>
      <c r="D28" s="30"/>
      <c r="E28" s="30"/>
      <c r="F28" s="73"/>
      <c r="G28" s="73"/>
      <c r="H28" s="29"/>
      <c r="I28" s="29"/>
      <c r="J28" s="29"/>
      <c r="K28" s="43" t="str">
        <f aca="false">IF(RAIDLog[[#This Row],[Title]]="","",IF(RAIDLog[[#This Row],[Type]]="Issue",5,N(RAIDLog[[#This Row],[Probability]]))*N(RAIDLog[[#This Row],[Impact]]))</f>
        <v/>
      </c>
      <c r="L28" s="28" t="str">
        <f aca="false">IF(RAIDLog[[#This Row],[Title]]="","",IF(RAIDLog[[#This Row],[Score]]&gt;=RAIDHighScore,"High",IF(RAIDLog[[#This Row],[Score]]&gt;=RAIDMediumScore,"Medium","Low")))</f>
        <v/>
      </c>
      <c r="M28" s="28" t="str">
        <f aca="false">IF(OR(RAIDLog[[#This Row],[Title]]="",N(RAIDLog[[#This Row],[Due]])=0),"",IF(AND(RAIDLog[[#This Row],[Status]]&lt;&gt;"Closed",RAIDLog[[#This Row],[Due]]&lt;StatusDate),"Overdue",""))</f>
        <v/>
      </c>
      <c r="N28" s="29"/>
      <c r="O28" s="24" t="str">
        <f aca="false">IF(N(RAIDLog[[#This Row],[Task UID]])=0,"",IFERROR(INDEX(tsk_Name,MATCH(RAIDLog[[#This Row],[Task UID]],tsk_UID,0)),"UID "&amp;RAIDLog[[#This Row],[Task UID]]&amp;" not found"))</f>
        <v/>
      </c>
      <c r="P28" s="25" t="str">
        <f aca="false">IF(N(RAIDLog[[#This Row],[Task UID]])=0,"",IFERROR(INDEX(tsk_FcFinish,MATCH(RAIDLog[[#This Row],[Task UID]],tsk_UID,0)),""))</f>
        <v/>
      </c>
      <c r="Q28" s="30"/>
      <c r="R28" s="30"/>
      <c r="S28" s="41" t="str">
        <f aca="false">IF(RAIDLog[[#This Row],[Title]]="","",RAIDLog[[#This Row],[Type]]&amp;" "&amp;RAIDLog[[#This Row],[Ref]]&amp;": "&amp;RAIDLog[[#This Row],[Title]])</f>
        <v/>
      </c>
      <c r="T28" s="41" t="str">
        <f aca="false">IF(AND(NOT(RAIDLog[[#This Row],[Title]]=""),RAIDLog[[#This Row],[Status]]&lt;&gt;"Closed"),RAIDLog[[#This Row],[Score]]+1-(ROW()-ROW(RAIDLog[[#Headers],[Ref]]))/100000,"")</f>
        <v/>
      </c>
    </row>
    <row r="29" customFormat="false" ht="15" hidden="false" customHeight="false" outlineLevel="0" collapsed="false">
      <c r="B29" s="29" t="n">
        <v>25</v>
      </c>
      <c r="C29" s="30"/>
      <c r="D29" s="30"/>
      <c r="E29" s="30"/>
      <c r="F29" s="73"/>
      <c r="G29" s="73"/>
      <c r="H29" s="29"/>
      <c r="I29" s="29"/>
      <c r="J29" s="29"/>
      <c r="K29" s="43" t="str">
        <f aca="false">IF(RAIDLog[[#This Row],[Title]]="","",IF(RAIDLog[[#This Row],[Type]]="Issue",5,N(RAIDLog[[#This Row],[Probability]]))*N(RAIDLog[[#This Row],[Impact]]))</f>
        <v/>
      </c>
      <c r="L29" s="28" t="str">
        <f aca="false">IF(RAIDLog[[#This Row],[Title]]="","",IF(RAIDLog[[#This Row],[Score]]&gt;=RAIDHighScore,"High",IF(RAIDLog[[#This Row],[Score]]&gt;=RAIDMediumScore,"Medium","Low")))</f>
        <v/>
      </c>
      <c r="M29" s="28" t="str">
        <f aca="false">IF(OR(RAIDLog[[#This Row],[Title]]="",N(RAIDLog[[#This Row],[Due]])=0),"",IF(AND(RAIDLog[[#This Row],[Status]]&lt;&gt;"Closed",RAIDLog[[#This Row],[Due]]&lt;StatusDate),"Overdue",""))</f>
        <v/>
      </c>
      <c r="N29" s="29"/>
      <c r="O29" s="24" t="str">
        <f aca="false">IF(N(RAIDLog[[#This Row],[Task UID]])=0,"",IFERROR(INDEX(tsk_Name,MATCH(RAIDLog[[#This Row],[Task UID]],tsk_UID,0)),"UID "&amp;RAIDLog[[#This Row],[Task UID]]&amp;" not found"))</f>
        <v/>
      </c>
      <c r="P29" s="25" t="str">
        <f aca="false">IF(N(RAIDLog[[#This Row],[Task UID]])=0,"",IFERROR(INDEX(tsk_FcFinish,MATCH(RAIDLog[[#This Row],[Task UID]],tsk_UID,0)),""))</f>
        <v/>
      </c>
      <c r="Q29" s="30"/>
      <c r="R29" s="30"/>
      <c r="S29" s="41" t="str">
        <f aca="false">IF(RAIDLog[[#This Row],[Title]]="","",RAIDLog[[#This Row],[Type]]&amp;" "&amp;RAIDLog[[#This Row],[Ref]]&amp;": "&amp;RAIDLog[[#This Row],[Title]])</f>
        <v/>
      </c>
      <c r="T29" s="41" t="str">
        <f aca="false">IF(AND(NOT(RAIDLog[[#This Row],[Title]]=""),RAIDLog[[#This Row],[Status]]&lt;&gt;"Closed"),RAIDLog[[#This Row],[Score]]+1-(ROW()-ROW(RAIDLog[[#Headers],[Ref]]))/100000,"")</f>
        <v/>
      </c>
    </row>
    <row r="30" customFormat="false" ht="15" hidden="false" customHeight="false" outlineLevel="0" collapsed="false">
      <c r="B30" s="29" t="n">
        <v>26</v>
      </c>
      <c r="C30" s="30"/>
      <c r="D30" s="30"/>
      <c r="E30" s="30"/>
      <c r="F30" s="73"/>
      <c r="G30" s="73"/>
      <c r="H30" s="29"/>
      <c r="I30" s="29"/>
      <c r="J30" s="29"/>
      <c r="K30" s="43" t="str">
        <f aca="false">IF(RAIDLog[[#This Row],[Title]]="","",IF(RAIDLog[[#This Row],[Type]]="Issue",5,N(RAIDLog[[#This Row],[Probability]]))*N(RAIDLog[[#This Row],[Impact]]))</f>
        <v/>
      </c>
      <c r="L30" s="28" t="str">
        <f aca="false">IF(RAIDLog[[#This Row],[Title]]="","",IF(RAIDLog[[#This Row],[Score]]&gt;=RAIDHighScore,"High",IF(RAIDLog[[#This Row],[Score]]&gt;=RAIDMediumScore,"Medium","Low")))</f>
        <v/>
      </c>
      <c r="M30" s="28" t="str">
        <f aca="false">IF(OR(RAIDLog[[#This Row],[Title]]="",N(RAIDLog[[#This Row],[Due]])=0),"",IF(AND(RAIDLog[[#This Row],[Status]]&lt;&gt;"Closed",RAIDLog[[#This Row],[Due]]&lt;StatusDate),"Overdue",""))</f>
        <v/>
      </c>
      <c r="N30" s="29"/>
      <c r="O30" s="24" t="str">
        <f aca="false">IF(N(RAIDLog[[#This Row],[Task UID]])=0,"",IFERROR(INDEX(tsk_Name,MATCH(RAIDLog[[#This Row],[Task UID]],tsk_UID,0)),"UID "&amp;RAIDLog[[#This Row],[Task UID]]&amp;" not found"))</f>
        <v/>
      </c>
      <c r="P30" s="25" t="str">
        <f aca="false">IF(N(RAIDLog[[#This Row],[Task UID]])=0,"",IFERROR(INDEX(tsk_FcFinish,MATCH(RAIDLog[[#This Row],[Task UID]],tsk_UID,0)),""))</f>
        <v/>
      </c>
      <c r="Q30" s="30"/>
      <c r="R30" s="30"/>
      <c r="S30" s="41" t="str">
        <f aca="false">IF(RAIDLog[[#This Row],[Title]]="","",RAIDLog[[#This Row],[Type]]&amp;" "&amp;RAIDLog[[#This Row],[Ref]]&amp;": "&amp;RAIDLog[[#This Row],[Title]])</f>
        <v/>
      </c>
      <c r="T30" s="41" t="str">
        <f aca="false">IF(AND(NOT(RAIDLog[[#This Row],[Title]]=""),RAIDLog[[#This Row],[Status]]&lt;&gt;"Closed"),RAIDLog[[#This Row],[Score]]+1-(ROW()-ROW(RAIDLog[[#Headers],[Ref]]))/100000,"")</f>
        <v/>
      </c>
    </row>
    <row r="31" customFormat="false" ht="15" hidden="false" customHeight="false" outlineLevel="0" collapsed="false">
      <c r="B31" s="29" t="n">
        <v>27</v>
      </c>
      <c r="C31" s="30"/>
      <c r="D31" s="30"/>
      <c r="E31" s="30"/>
      <c r="F31" s="73"/>
      <c r="G31" s="73"/>
      <c r="H31" s="29"/>
      <c r="I31" s="29"/>
      <c r="J31" s="29"/>
      <c r="K31" s="43" t="str">
        <f aca="false">IF(RAIDLog[[#This Row],[Title]]="","",IF(RAIDLog[[#This Row],[Type]]="Issue",5,N(RAIDLog[[#This Row],[Probability]]))*N(RAIDLog[[#This Row],[Impact]]))</f>
        <v/>
      </c>
      <c r="L31" s="28" t="str">
        <f aca="false">IF(RAIDLog[[#This Row],[Title]]="","",IF(RAIDLog[[#This Row],[Score]]&gt;=RAIDHighScore,"High",IF(RAIDLog[[#This Row],[Score]]&gt;=RAIDMediumScore,"Medium","Low")))</f>
        <v/>
      </c>
      <c r="M31" s="28" t="str">
        <f aca="false">IF(OR(RAIDLog[[#This Row],[Title]]="",N(RAIDLog[[#This Row],[Due]])=0),"",IF(AND(RAIDLog[[#This Row],[Status]]&lt;&gt;"Closed",RAIDLog[[#This Row],[Due]]&lt;StatusDate),"Overdue",""))</f>
        <v/>
      </c>
      <c r="N31" s="29"/>
      <c r="O31" s="24" t="str">
        <f aca="false">IF(N(RAIDLog[[#This Row],[Task UID]])=0,"",IFERROR(INDEX(tsk_Name,MATCH(RAIDLog[[#This Row],[Task UID]],tsk_UID,0)),"UID "&amp;RAIDLog[[#This Row],[Task UID]]&amp;" not found"))</f>
        <v/>
      </c>
      <c r="P31" s="25" t="str">
        <f aca="false">IF(N(RAIDLog[[#This Row],[Task UID]])=0,"",IFERROR(INDEX(tsk_FcFinish,MATCH(RAIDLog[[#This Row],[Task UID]],tsk_UID,0)),""))</f>
        <v/>
      </c>
      <c r="Q31" s="30"/>
      <c r="R31" s="30"/>
      <c r="S31" s="41" t="str">
        <f aca="false">IF(RAIDLog[[#This Row],[Title]]="","",RAIDLog[[#This Row],[Type]]&amp;" "&amp;RAIDLog[[#This Row],[Ref]]&amp;": "&amp;RAIDLog[[#This Row],[Title]])</f>
        <v/>
      </c>
      <c r="T31" s="41" t="str">
        <f aca="false">IF(AND(NOT(RAIDLog[[#This Row],[Title]]=""),RAIDLog[[#This Row],[Status]]&lt;&gt;"Closed"),RAIDLog[[#This Row],[Score]]+1-(ROW()-ROW(RAIDLog[[#Headers],[Ref]]))/100000,"")</f>
        <v/>
      </c>
    </row>
    <row r="32" customFormat="false" ht="15" hidden="false" customHeight="false" outlineLevel="0" collapsed="false">
      <c r="B32" s="29" t="n">
        <v>28</v>
      </c>
      <c r="C32" s="30"/>
      <c r="D32" s="30"/>
      <c r="E32" s="30"/>
      <c r="F32" s="73"/>
      <c r="G32" s="73"/>
      <c r="H32" s="29"/>
      <c r="I32" s="29"/>
      <c r="J32" s="29"/>
      <c r="K32" s="43" t="str">
        <f aca="false">IF(RAIDLog[[#This Row],[Title]]="","",IF(RAIDLog[[#This Row],[Type]]="Issue",5,N(RAIDLog[[#This Row],[Probability]]))*N(RAIDLog[[#This Row],[Impact]]))</f>
        <v/>
      </c>
      <c r="L32" s="28" t="str">
        <f aca="false">IF(RAIDLog[[#This Row],[Title]]="","",IF(RAIDLog[[#This Row],[Score]]&gt;=RAIDHighScore,"High",IF(RAIDLog[[#This Row],[Score]]&gt;=RAIDMediumScore,"Medium","Low")))</f>
        <v/>
      </c>
      <c r="M32" s="28" t="str">
        <f aca="false">IF(OR(RAIDLog[[#This Row],[Title]]="",N(RAIDLog[[#This Row],[Due]])=0),"",IF(AND(RAIDLog[[#This Row],[Status]]&lt;&gt;"Closed",RAIDLog[[#This Row],[Due]]&lt;StatusDate),"Overdue",""))</f>
        <v/>
      </c>
      <c r="N32" s="29"/>
      <c r="O32" s="24" t="str">
        <f aca="false">IF(N(RAIDLog[[#This Row],[Task UID]])=0,"",IFERROR(INDEX(tsk_Name,MATCH(RAIDLog[[#This Row],[Task UID]],tsk_UID,0)),"UID "&amp;RAIDLog[[#This Row],[Task UID]]&amp;" not found"))</f>
        <v/>
      </c>
      <c r="P32" s="25" t="str">
        <f aca="false">IF(N(RAIDLog[[#This Row],[Task UID]])=0,"",IFERROR(INDEX(tsk_FcFinish,MATCH(RAIDLog[[#This Row],[Task UID]],tsk_UID,0)),""))</f>
        <v/>
      </c>
      <c r="Q32" s="30"/>
      <c r="R32" s="30"/>
      <c r="S32" s="41" t="str">
        <f aca="false">IF(RAIDLog[[#This Row],[Title]]="","",RAIDLog[[#This Row],[Type]]&amp;" "&amp;RAIDLog[[#This Row],[Ref]]&amp;": "&amp;RAIDLog[[#This Row],[Title]])</f>
        <v/>
      </c>
      <c r="T32" s="41" t="str">
        <f aca="false">IF(AND(NOT(RAIDLog[[#This Row],[Title]]=""),RAIDLog[[#This Row],[Status]]&lt;&gt;"Closed"),RAIDLog[[#This Row],[Score]]+1-(ROW()-ROW(RAIDLog[[#Headers],[Ref]]))/100000,"")</f>
        <v/>
      </c>
    </row>
    <row r="33" customFormat="false" ht="15" hidden="false" customHeight="false" outlineLevel="0" collapsed="false">
      <c r="B33" s="29" t="n">
        <v>29</v>
      </c>
      <c r="C33" s="30"/>
      <c r="D33" s="30"/>
      <c r="E33" s="30"/>
      <c r="F33" s="73"/>
      <c r="G33" s="73"/>
      <c r="H33" s="29"/>
      <c r="I33" s="29"/>
      <c r="J33" s="29"/>
      <c r="K33" s="43" t="str">
        <f aca="false">IF(RAIDLog[[#This Row],[Title]]="","",IF(RAIDLog[[#This Row],[Type]]="Issue",5,N(RAIDLog[[#This Row],[Probability]]))*N(RAIDLog[[#This Row],[Impact]]))</f>
        <v/>
      </c>
      <c r="L33" s="28" t="str">
        <f aca="false">IF(RAIDLog[[#This Row],[Title]]="","",IF(RAIDLog[[#This Row],[Score]]&gt;=RAIDHighScore,"High",IF(RAIDLog[[#This Row],[Score]]&gt;=RAIDMediumScore,"Medium","Low")))</f>
        <v/>
      </c>
      <c r="M33" s="28" t="str">
        <f aca="false">IF(OR(RAIDLog[[#This Row],[Title]]="",N(RAIDLog[[#This Row],[Due]])=0),"",IF(AND(RAIDLog[[#This Row],[Status]]&lt;&gt;"Closed",RAIDLog[[#This Row],[Due]]&lt;StatusDate),"Overdue",""))</f>
        <v/>
      </c>
      <c r="N33" s="29"/>
      <c r="O33" s="24" t="str">
        <f aca="false">IF(N(RAIDLog[[#This Row],[Task UID]])=0,"",IFERROR(INDEX(tsk_Name,MATCH(RAIDLog[[#This Row],[Task UID]],tsk_UID,0)),"UID "&amp;RAIDLog[[#This Row],[Task UID]]&amp;" not found"))</f>
        <v/>
      </c>
      <c r="P33" s="25" t="str">
        <f aca="false">IF(N(RAIDLog[[#This Row],[Task UID]])=0,"",IFERROR(INDEX(tsk_FcFinish,MATCH(RAIDLog[[#This Row],[Task UID]],tsk_UID,0)),""))</f>
        <v/>
      </c>
      <c r="Q33" s="30"/>
      <c r="R33" s="30"/>
      <c r="S33" s="41" t="str">
        <f aca="false">IF(RAIDLog[[#This Row],[Title]]="","",RAIDLog[[#This Row],[Type]]&amp;" "&amp;RAIDLog[[#This Row],[Ref]]&amp;": "&amp;RAIDLog[[#This Row],[Title]])</f>
        <v/>
      </c>
      <c r="T33" s="41" t="str">
        <f aca="false">IF(AND(NOT(RAIDLog[[#This Row],[Title]]=""),RAIDLog[[#This Row],[Status]]&lt;&gt;"Closed"),RAIDLog[[#This Row],[Score]]+1-(ROW()-ROW(RAIDLog[[#Headers],[Ref]]))/100000,"")</f>
        <v/>
      </c>
    </row>
    <row r="34" customFormat="false" ht="15" hidden="false" customHeight="false" outlineLevel="0" collapsed="false">
      <c r="B34" s="29" t="n">
        <v>30</v>
      </c>
      <c r="C34" s="30"/>
      <c r="D34" s="30"/>
      <c r="E34" s="30"/>
      <c r="F34" s="73"/>
      <c r="G34" s="73"/>
      <c r="H34" s="29"/>
      <c r="I34" s="29"/>
      <c r="J34" s="29"/>
      <c r="K34" s="43" t="str">
        <f aca="false">IF(RAIDLog[[#This Row],[Title]]="","",IF(RAIDLog[[#This Row],[Type]]="Issue",5,N(RAIDLog[[#This Row],[Probability]]))*N(RAIDLog[[#This Row],[Impact]]))</f>
        <v/>
      </c>
      <c r="L34" s="28" t="str">
        <f aca="false">IF(RAIDLog[[#This Row],[Title]]="","",IF(RAIDLog[[#This Row],[Score]]&gt;=RAIDHighScore,"High",IF(RAIDLog[[#This Row],[Score]]&gt;=RAIDMediumScore,"Medium","Low")))</f>
        <v/>
      </c>
      <c r="M34" s="28" t="str">
        <f aca="false">IF(OR(RAIDLog[[#This Row],[Title]]="",N(RAIDLog[[#This Row],[Due]])=0),"",IF(AND(RAIDLog[[#This Row],[Status]]&lt;&gt;"Closed",RAIDLog[[#This Row],[Due]]&lt;StatusDate),"Overdue",""))</f>
        <v/>
      </c>
      <c r="N34" s="29"/>
      <c r="O34" s="24" t="str">
        <f aca="false">IF(N(RAIDLog[[#This Row],[Task UID]])=0,"",IFERROR(INDEX(tsk_Name,MATCH(RAIDLog[[#This Row],[Task UID]],tsk_UID,0)),"UID "&amp;RAIDLog[[#This Row],[Task UID]]&amp;" not found"))</f>
        <v/>
      </c>
      <c r="P34" s="25" t="str">
        <f aca="false">IF(N(RAIDLog[[#This Row],[Task UID]])=0,"",IFERROR(INDEX(tsk_FcFinish,MATCH(RAIDLog[[#This Row],[Task UID]],tsk_UID,0)),""))</f>
        <v/>
      </c>
      <c r="Q34" s="30"/>
      <c r="R34" s="30"/>
      <c r="S34" s="41" t="str">
        <f aca="false">IF(RAIDLog[[#This Row],[Title]]="","",RAIDLog[[#This Row],[Type]]&amp;" "&amp;RAIDLog[[#This Row],[Ref]]&amp;": "&amp;RAIDLog[[#This Row],[Title]])</f>
        <v/>
      </c>
      <c r="T34" s="41" t="str">
        <f aca="false">IF(AND(NOT(RAIDLog[[#This Row],[Title]]=""),RAIDLog[[#This Row],[Status]]&lt;&gt;"Closed"),RAIDLog[[#This Row],[Score]]+1-(ROW()-ROW(RAIDLog[[#Headers],[Ref]]))/100000,"")</f>
        <v/>
      </c>
    </row>
    <row r="35" customFormat="false" ht="15" hidden="false" customHeight="false" outlineLevel="0" collapsed="false">
      <c r="B35" s="29" t="n">
        <v>31</v>
      </c>
      <c r="C35" s="30"/>
      <c r="D35" s="30"/>
      <c r="E35" s="30"/>
      <c r="F35" s="73"/>
      <c r="G35" s="73"/>
      <c r="H35" s="29"/>
      <c r="I35" s="29"/>
      <c r="J35" s="29"/>
      <c r="K35" s="43" t="str">
        <f aca="false">IF(RAIDLog[[#This Row],[Title]]="","",IF(RAIDLog[[#This Row],[Type]]="Issue",5,N(RAIDLog[[#This Row],[Probability]]))*N(RAIDLog[[#This Row],[Impact]]))</f>
        <v/>
      </c>
      <c r="L35" s="28" t="str">
        <f aca="false">IF(RAIDLog[[#This Row],[Title]]="","",IF(RAIDLog[[#This Row],[Score]]&gt;=RAIDHighScore,"High",IF(RAIDLog[[#This Row],[Score]]&gt;=RAIDMediumScore,"Medium","Low")))</f>
        <v/>
      </c>
      <c r="M35" s="28" t="str">
        <f aca="false">IF(OR(RAIDLog[[#This Row],[Title]]="",N(RAIDLog[[#This Row],[Due]])=0),"",IF(AND(RAIDLog[[#This Row],[Status]]&lt;&gt;"Closed",RAIDLog[[#This Row],[Due]]&lt;StatusDate),"Overdue",""))</f>
        <v/>
      </c>
      <c r="N35" s="29"/>
      <c r="O35" s="24" t="str">
        <f aca="false">IF(N(RAIDLog[[#This Row],[Task UID]])=0,"",IFERROR(INDEX(tsk_Name,MATCH(RAIDLog[[#This Row],[Task UID]],tsk_UID,0)),"UID "&amp;RAIDLog[[#This Row],[Task UID]]&amp;" not found"))</f>
        <v/>
      </c>
      <c r="P35" s="25" t="str">
        <f aca="false">IF(N(RAIDLog[[#This Row],[Task UID]])=0,"",IFERROR(INDEX(tsk_FcFinish,MATCH(RAIDLog[[#This Row],[Task UID]],tsk_UID,0)),""))</f>
        <v/>
      </c>
      <c r="Q35" s="30"/>
      <c r="R35" s="30"/>
      <c r="S35" s="41" t="str">
        <f aca="false">IF(RAIDLog[[#This Row],[Title]]="","",RAIDLog[[#This Row],[Type]]&amp;" "&amp;RAIDLog[[#This Row],[Ref]]&amp;": "&amp;RAIDLog[[#This Row],[Title]])</f>
        <v/>
      </c>
      <c r="T35" s="41" t="str">
        <f aca="false">IF(AND(NOT(RAIDLog[[#This Row],[Title]]=""),RAIDLog[[#This Row],[Status]]&lt;&gt;"Closed"),RAIDLog[[#This Row],[Score]]+1-(ROW()-ROW(RAIDLog[[#Headers],[Ref]]))/100000,"")</f>
        <v/>
      </c>
    </row>
    <row r="36" customFormat="false" ht="15" hidden="false" customHeight="false" outlineLevel="0" collapsed="false">
      <c r="B36" s="29" t="n">
        <v>32</v>
      </c>
      <c r="C36" s="30"/>
      <c r="D36" s="30"/>
      <c r="E36" s="30"/>
      <c r="F36" s="73"/>
      <c r="G36" s="73"/>
      <c r="H36" s="29"/>
      <c r="I36" s="29"/>
      <c r="J36" s="29"/>
      <c r="K36" s="43" t="str">
        <f aca="false">IF(RAIDLog[[#This Row],[Title]]="","",IF(RAIDLog[[#This Row],[Type]]="Issue",5,N(RAIDLog[[#This Row],[Probability]]))*N(RAIDLog[[#This Row],[Impact]]))</f>
        <v/>
      </c>
      <c r="L36" s="28" t="str">
        <f aca="false">IF(RAIDLog[[#This Row],[Title]]="","",IF(RAIDLog[[#This Row],[Score]]&gt;=RAIDHighScore,"High",IF(RAIDLog[[#This Row],[Score]]&gt;=RAIDMediumScore,"Medium","Low")))</f>
        <v/>
      </c>
      <c r="M36" s="28" t="str">
        <f aca="false">IF(OR(RAIDLog[[#This Row],[Title]]="",N(RAIDLog[[#This Row],[Due]])=0),"",IF(AND(RAIDLog[[#This Row],[Status]]&lt;&gt;"Closed",RAIDLog[[#This Row],[Due]]&lt;StatusDate),"Overdue",""))</f>
        <v/>
      </c>
      <c r="N36" s="29"/>
      <c r="O36" s="24" t="str">
        <f aca="false">IF(N(RAIDLog[[#This Row],[Task UID]])=0,"",IFERROR(INDEX(tsk_Name,MATCH(RAIDLog[[#This Row],[Task UID]],tsk_UID,0)),"UID "&amp;RAIDLog[[#This Row],[Task UID]]&amp;" not found"))</f>
        <v/>
      </c>
      <c r="P36" s="25" t="str">
        <f aca="false">IF(N(RAIDLog[[#This Row],[Task UID]])=0,"",IFERROR(INDEX(tsk_FcFinish,MATCH(RAIDLog[[#This Row],[Task UID]],tsk_UID,0)),""))</f>
        <v/>
      </c>
      <c r="Q36" s="30"/>
      <c r="R36" s="30"/>
      <c r="S36" s="41" t="str">
        <f aca="false">IF(RAIDLog[[#This Row],[Title]]="","",RAIDLog[[#This Row],[Type]]&amp;" "&amp;RAIDLog[[#This Row],[Ref]]&amp;": "&amp;RAIDLog[[#This Row],[Title]])</f>
        <v/>
      </c>
      <c r="T36" s="41" t="str">
        <f aca="false">IF(AND(NOT(RAIDLog[[#This Row],[Title]]=""),RAIDLog[[#This Row],[Status]]&lt;&gt;"Closed"),RAIDLog[[#This Row],[Score]]+1-(ROW()-ROW(RAIDLog[[#Headers],[Ref]]))/100000,"")</f>
        <v/>
      </c>
    </row>
    <row r="37" customFormat="false" ht="15" hidden="false" customHeight="false" outlineLevel="0" collapsed="false">
      <c r="B37" s="29" t="n">
        <v>33</v>
      </c>
      <c r="C37" s="30"/>
      <c r="D37" s="30"/>
      <c r="E37" s="30"/>
      <c r="F37" s="73"/>
      <c r="G37" s="73"/>
      <c r="H37" s="29"/>
      <c r="I37" s="29"/>
      <c r="J37" s="29"/>
      <c r="K37" s="43" t="str">
        <f aca="false">IF(RAIDLog[[#This Row],[Title]]="","",IF(RAIDLog[[#This Row],[Type]]="Issue",5,N(RAIDLog[[#This Row],[Probability]]))*N(RAIDLog[[#This Row],[Impact]]))</f>
        <v/>
      </c>
      <c r="L37" s="28" t="str">
        <f aca="false">IF(RAIDLog[[#This Row],[Title]]="","",IF(RAIDLog[[#This Row],[Score]]&gt;=RAIDHighScore,"High",IF(RAIDLog[[#This Row],[Score]]&gt;=RAIDMediumScore,"Medium","Low")))</f>
        <v/>
      </c>
      <c r="M37" s="28" t="str">
        <f aca="false">IF(OR(RAIDLog[[#This Row],[Title]]="",N(RAIDLog[[#This Row],[Due]])=0),"",IF(AND(RAIDLog[[#This Row],[Status]]&lt;&gt;"Closed",RAIDLog[[#This Row],[Due]]&lt;StatusDate),"Overdue",""))</f>
        <v/>
      </c>
      <c r="N37" s="29"/>
      <c r="O37" s="24" t="str">
        <f aca="false">IF(N(RAIDLog[[#This Row],[Task UID]])=0,"",IFERROR(INDEX(tsk_Name,MATCH(RAIDLog[[#This Row],[Task UID]],tsk_UID,0)),"UID "&amp;RAIDLog[[#This Row],[Task UID]]&amp;" not found"))</f>
        <v/>
      </c>
      <c r="P37" s="25" t="str">
        <f aca="false">IF(N(RAIDLog[[#This Row],[Task UID]])=0,"",IFERROR(INDEX(tsk_FcFinish,MATCH(RAIDLog[[#This Row],[Task UID]],tsk_UID,0)),""))</f>
        <v/>
      </c>
      <c r="Q37" s="30"/>
      <c r="R37" s="30"/>
      <c r="S37" s="41" t="str">
        <f aca="false">IF(RAIDLog[[#This Row],[Title]]="","",RAIDLog[[#This Row],[Type]]&amp;" "&amp;RAIDLog[[#This Row],[Ref]]&amp;": "&amp;RAIDLog[[#This Row],[Title]])</f>
        <v/>
      </c>
      <c r="T37" s="41" t="str">
        <f aca="false">IF(AND(NOT(RAIDLog[[#This Row],[Title]]=""),RAIDLog[[#This Row],[Status]]&lt;&gt;"Closed"),RAIDLog[[#This Row],[Score]]+1-(ROW()-ROW(RAIDLog[[#Headers],[Ref]]))/100000,"")</f>
        <v/>
      </c>
    </row>
    <row r="38" customFormat="false" ht="15" hidden="false" customHeight="false" outlineLevel="0" collapsed="false">
      <c r="B38" s="29" t="n">
        <v>34</v>
      </c>
      <c r="C38" s="30"/>
      <c r="D38" s="30"/>
      <c r="E38" s="30"/>
      <c r="F38" s="73"/>
      <c r="G38" s="73"/>
      <c r="H38" s="29"/>
      <c r="I38" s="29"/>
      <c r="J38" s="29"/>
      <c r="K38" s="43" t="str">
        <f aca="false">IF(RAIDLog[[#This Row],[Title]]="","",IF(RAIDLog[[#This Row],[Type]]="Issue",5,N(RAIDLog[[#This Row],[Probability]]))*N(RAIDLog[[#This Row],[Impact]]))</f>
        <v/>
      </c>
      <c r="L38" s="28" t="str">
        <f aca="false">IF(RAIDLog[[#This Row],[Title]]="","",IF(RAIDLog[[#This Row],[Score]]&gt;=RAIDHighScore,"High",IF(RAIDLog[[#This Row],[Score]]&gt;=RAIDMediumScore,"Medium","Low")))</f>
        <v/>
      </c>
      <c r="M38" s="28" t="str">
        <f aca="false">IF(OR(RAIDLog[[#This Row],[Title]]="",N(RAIDLog[[#This Row],[Due]])=0),"",IF(AND(RAIDLog[[#This Row],[Status]]&lt;&gt;"Closed",RAIDLog[[#This Row],[Due]]&lt;StatusDate),"Overdue",""))</f>
        <v/>
      </c>
      <c r="N38" s="29"/>
      <c r="O38" s="24" t="str">
        <f aca="false">IF(N(RAIDLog[[#This Row],[Task UID]])=0,"",IFERROR(INDEX(tsk_Name,MATCH(RAIDLog[[#This Row],[Task UID]],tsk_UID,0)),"UID "&amp;RAIDLog[[#This Row],[Task UID]]&amp;" not found"))</f>
        <v/>
      </c>
      <c r="P38" s="25" t="str">
        <f aca="false">IF(N(RAIDLog[[#This Row],[Task UID]])=0,"",IFERROR(INDEX(tsk_FcFinish,MATCH(RAIDLog[[#This Row],[Task UID]],tsk_UID,0)),""))</f>
        <v/>
      </c>
      <c r="Q38" s="30"/>
      <c r="R38" s="30"/>
      <c r="S38" s="41" t="str">
        <f aca="false">IF(RAIDLog[[#This Row],[Title]]="","",RAIDLog[[#This Row],[Type]]&amp;" "&amp;RAIDLog[[#This Row],[Ref]]&amp;": "&amp;RAIDLog[[#This Row],[Title]])</f>
        <v/>
      </c>
      <c r="T38" s="41" t="str">
        <f aca="false">IF(AND(NOT(RAIDLog[[#This Row],[Title]]=""),RAIDLog[[#This Row],[Status]]&lt;&gt;"Closed"),RAIDLog[[#This Row],[Score]]+1-(ROW()-ROW(RAIDLog[[#Headers],[Ref]]))/100000,"")</f>
        <v/>
      </c>
    </row>
    <row r="39" customFormat="false" ht="15" hidden="false" customHeight="false" outlineLevel="0" collapsed="false">
      <c r="B39" s="29" t="n">
        <v>35</v>
      </c>
      <c r="C39" s="30"/>
      <c r="D39" s="30"/>
      <c r="E39" s="30"/>
      <c r="F39" s="73"/>
      <c r="G39" s="73"/>
      <c r="H39" s="29"/>
      <c r="I39" s="29"/>
      <c r="J39" s="29"/>
      <c r="K39" s="43" t="str">
        <f aca="false">IF(RAIDLog[[#This Row],[Title]]="","",IF(RAIDLog[[#This Row],[Type]]="Issue",5,N(RAIDLog[[#This Row],[Probability]]))*N(RAIDLog[[#This Row],[Impact]]))</f>
        <v/>
      </c>
      <c r="L39" s="28" t="str">
        <f aca="false">IF(RAIDLog[[#This Row],[Title]]="","",IF(RAIDLog[[#This Row],[Score]]&gt;=RAIDHighScore,"High",IF(RAIDLog[[#This Row],[Score]]&gt;=RAIDMediumScore,"Medium","Low")))</f>
        <v/>
      </c>
      <c r="M39" s="28" t="str">
        <f aca="false">IF(OR(RAIDLog[[#This Row],[Title]]="",N(RAIDLog[[#This Row],[Due]])=0),"",IF(AND(RAIDLog[[#This Row],[Status]]&lt;&gt;"Closed",RAIDLog[[#This Row],[Due]]&lt;StatusDate),"Overdue",""))</f>
        <v/>
      </c>
      <c r="N39" s="29"/>
      <c r="O39" s="24" t="str">
        <f aca="false">IF(N(RAIDLog[[#This Row],[Task UID]])=0,"",IFERROR(INDEX(tsk_Name,MATCH(RAIDLog[[#This Row],[Task UID]],tsk_UID,0)),"UID "&amp;RAIDLog[[#This Row],[Task UID]]&amp;" not found"))</f>
        <v/>
      </c>
      <c r="P39" s="25" t="str">
        <f aca="false">IF(N(RAIDLog[[#This Row],[Task UID]])=0,"",IFERROR(INDEX(tsk_FcFinish,MATCH(RAIDLog[[#This Row],[Task UID]],tsk_UID,0)),""))</f>
        <v/>
      </c>
      <c r="Q39" s="30"/>
      <c r="R39" s="30"/>
      <c r="S39" s="41" t="str">
        <f aca="false">IF(RAIDLog[[#This Row],[Title]]="","",RAIDLog[[#This Row],[Type]]&amp;" "&amp;RAIDLog[[#This Row],[Ref]]&amp;": "&amp;RAIDLog[[#This Row],[Title]])</f>
        <v/>
      </c>
      <c r="T39" s="41" t="str">
        <f aca="false">IF(AND(NOT(RAIDLog[[#This Row],[Title]]=""),RAIDLog[[#This Row],[Status]]&lt;&gt;"Closed"),RAIDLog[[#This Row],[Score]]+1-(ROW()-ROW(RAIDLog[[#Headers],[Ref]]))/100000,"")</f>
        <v/>
      </c>
    </row>
    <row r="40" customFormat="false" ht="15" hidden="false" customHeight="false" outlineLevel="0" collapsed="false">
      <c r="B40" s="29" t="n">
        <v>36</v>
      </c>
      <c r="C40" s="30"/>
      <c r="D40" s="30"/>
      <c r="E40" s="30"/>
      <c r="F40" s="73"/>
      <c r="G40" s="73"/>
      <c r="H40" s="29"/>
      <c r="I40" s="29"/>
      <c r="J40" s="29"/>
      <c r="K40" s="43" t="str">
        <f aca="false">IF(RAIDLog[[#This Row],[Title]]="","",IF(RAIDLog[[#This Row],[Type]]="Issue",5,N(RAIDLog[[#This Row],[Probability]]))*N(RAIDLog[[#This Row],[Impact]]))</f>
        <v/>
      </c>
      <c r="L40" s="28" t="str">
        <f aca="false">IF(RAIDLog[[#This Row],[Title]]="","",IF(RAIDLog[[#This Row],[Score]]&gt;=RAIDHighScore,"High",IF(RAIDLog[[#This Row],[Score]]&gt;=RAIDMediumScore,"Medium","Low")))</f>
        <v/>
      </c>
      <c r="M40" s="28" t="str">
        <f aca="false">IF(OR(RAIDLog[[#This Row],[Title]]="",N(RAIDLog[[#This Row],[Due]])=0),"",IF(AND(RAIDLog[[#This Row],[Status]]&lt;&gt;"Closed",RAIDLog[[#This Row],[Due]]&lt;StatusDate),"Overdue",""))</f>
        <v/>
      </c>
      <c r="N40" s="29"/>
      <c r="O40" s="24" t="str">
        <f aca="false">IF(N(RAIDLog[[#This Row],[Task UID]])=0,"",IFERROR(INDEX(tsk_Name,MATCH(RAIDLog[[#This Row],[Task UID]],tsk_UID,0)),"UID "&amp;RAIDLog[[#This Row],[Task UID]]&amp;" not found"))</f>
        <v/>
      </c>
      <c r="P40" s="25" t="str">
        <f aca="false">IF(N(RAIDLog[[#This Row],[Task UID]])=0,"",IFERROR(INDEX(tsk_FcFinish,MATCH(RAIDLog[[#This Row],[Task UID]],tsk_UID,0)),""))</f>
        <v/>
      </c>
      <c r="Q40" s="30"/>
      <c r="R40" s="30"/>
      <c r="S40" s="41" t="str">
        <f aca="false">IF(RAIDLog[[#This Row],[Title]]="","",RAIDLog[[#This Row],[Type]]&amp;" "&amp;RAIDLog[[#This Row],[Ref]]&amp;": "&amp;RAIDLog[[#This Row],[Title]])</f>
        <v/>
      </c>
      <c r="T40" s="41" t="str">
        <f aca="false">IF(AND(NOT(RAIDLog[[#This Row],[Title]]=""),RAIDLog[[#This Row],[Status]]&lt;&gt;"Closed"),RAIDLog[[#This Row],[Score]]+1-(ROW()-ROW(RAIDLog[[#Headers],[Ref]]))/100000,"")</f>
        <v/>
      </c>
    </row>
    <row r="41" customFormat="false" ht="15" hidden="false" customHeight="false" outlineLevel="0" collapsed="false">
      <c r="B41" s="29" t="n">
        <v>37</v>
      </c>
      <c r="C41" s="30"/>
      <c r="D41" s="30"/>
      <c r="E41" s="30"/>
      <c r="F41" s="73"/>
      <c r="G41" s="73"/>
      <c r="H41" s="29"/>
      <c r="I41" s="29"/>
      <c r="J41" s="29"/>
      <c r="K41" s="43" t="str">
        <f aca="false">IF(RAIDLog[[#This Row],[Title]]="","",IF(RAIDLog[[#This Row],[Type]]="Issue",5,N(RAIDLog[[#This Row],[Probability]]))*N(RAIDLog[[#This Row],[Impact]]))</f>
        <v/>
      </c>
      <c r="L41" s="28" t="str">
        <f aca="false">IF(RAIDLog[[#This Row],[Title]]="","",IF(RAIDLog[[#This Row],[Score]]&gt;=RAIDHighScore,"High",IF(RAIDLog[[#This Row],[Score]]&gt;=RAIDMediumScore,"Medium","Low")))</f>
        <v/>
      </c>
      <c r="M41" s="28" t="str">
        <f aca="false">IF(OR(RAIDLog[[#This Row],[Title]]="",N(RAIDLog[[#This Row],[Due]])=0),"",IF(AND(RAIDLog[[#This Row],[Status]]&lt;&gt;"Closed",RAIDLog[[#This Row],[Due]]&lt;StatusDate),"Overdue",""))</f>
        <v/>
      </c>
      <c r="N41" s="29"/>
      <c r="O41" s="24" t="str">
        <f aca="false">IF(N(RAIDLog[[#This Row],[Task UID]])=0,"",IFERROR(INDEX(tsk_Name,MATCH(RAIDLog[[#This Row],[Task UID]],tsk_UID,0)),"UID "&amp;RAIDLog[[#This Row],[Task UID]]&amp;" not found"))</f>
        <v/>
      </c>
      <c r="P41" s="25" t="str">
        <f aca="false">IF(N(RAIDLog[[#This Row],[Task UID]])=0,"",IFERROR(INDEX(tsk_FcFinish,MATCH(RAIDLog[[#This Row],[Task UID]],tsk_UID,0)),""))</f>
        <v/>
      </c>
      <c r="Q41" s="30"/>
      <c r="R41" s="30"/>
      <c r="S41" s="41" t="str">
        <f aca="false">IF(RAIDLog[[#This Row],[Title]]="","",RAIDLog[[#This Row],[Type]]&amp;" "&amp;RAIDLog[[#This Row],[Ref]]&amp;": "&amp;RAIDLog[[#This Row],[Title]])</f>
        <v/>
      </c>
      <c r="T41" s="41" t="str">
        <f aca="false">IF(AND(NOT(RAIDLog[[#This Row],[Title]]=""),RAIDLog[[#This Row],[Status]]&lt;&gt;"Closed"),RAIDLog[[#This Row],[Score]]+1-(ROW()-ROW(RAIDLog[[#Headers],[Ref]]))/100000,"")</f>
        <v/>
      </c>
    </row>
    <row r="42" customFormat="false" ht="15" hidden="false" customHeight="false" outlineLevel="0" collapsed="false">
      <c r="B42" s="29" t="n">
        <v>38</v>
      </c>
      <c r="C42" s="30"/>
      <c r="D42" s="30"/>
      <c r="E42" s="30"/>
      <c r="F42" s="73"/>
      <c r="G42" s="73"/>
      <c r="H42" s="29"/>
      <c r="I42" s="29"/>
      <c r="J42" s="29"/>
      <c r="K42" s="43" t="str">
        <f aca="false">IF(RAIDLog[[#This Row],[Title]]="","",IF(RAIDLog[[#This Row],[Type]]="Issue",5,N(RAIDLog[[#This Row],[Probability]]))*N(RAIDLog[[#This Row],[Impact]]))</f>
        <v/>
      </c>
      <c r="L42" s="28" t="str">
        <f aca="false">IF(RAIDLog[[#This Row],[Title]]="","",IF(RAIDLog[[#This Row],[Score]]&gt;=RAIDHighScore,"High",IF(RAIDLog[[#This Row],[Score]]&gt;=RAIDMediumScore,"Medium","Low")))</f>
        <v/>
      </c>
      <c r="M42" s="28" t="str">
        <f aca="false">IF(OR(RAIDLog[[#This Row],[Title]]="",N(RAIDLog[[#This Row],[Due]])=0),"",IF(AND(RAIDLog[[#This Row],[Status]]&lt;&gt;"Closed",RAIDLog[[#This Row],[Due]]&lt;StatusDate),"Overdue",""))</f>
        <v/>
      </c>
      <c r="N42" s="29"/>
      <c r="O42" s="24" t="str">
        <f aca="false">IF(N(RAIDLog[[#This Row],[Task UID]])=0,"",IFERROR(INDEX(tsk_Name,MATCH(RAIDLog[[#This Row],[Task UID]],tsk_UID,0)),"UID "&amp;RAIDLog[[#This Row],[Task UID]]&amp;" not found"))</f>
        <v/>
      </c>
      <c r="P42" s="25" t="str">
        <f aca="false">IF(N(RAIDLog[[#This Row],[Task UID]])=0,"",IFERROR(INDEX(tsk_FcFinish,MATCH(RAIDLog[[#This Row],[Task UID]],tsk_UID,0)),""))</f>
        <v/>
      </c>
      <c r="Q42" s="30"/>
      <c r="R42" s="30"/>
      <c r="S42" s="41" t="str">
        <f aca="false">IF(RAIDLog[[#This Row],[Title]]="","",RAIDLog[[#This Row],[Type]]&amp;" "&amp;RAIDLog[[#This Row],[Ref]]&amp;": "&amp;RAIDLog[[#This Row],[Title]])</f>
        <v/>
      </c>
      <c r="T42" s="41" t="str">
        <f aca="false">IF(AND(NOT(RAIDLog[[#This Row],[Title]]=""),RAIDLog[[#This Row],[Status]]&lt;&gt;"Closed"),RAIDLog[[#This Row],[Score]]+1-(ROW()-ROW(RAIDLog[[#Headers],[Ref]]))/100000,"")</f>
        <v/>
      </c>
    </row>
    <row r="43" customFormat="false" ht="15" hidden="false" customHeight="false" outlineLevel="0" collapsed="false">
      <c r="B43" s="29" t="n">
        <v>39</v>
      </c>
      <c r="C43" s="30"/>
      <c r="D43" s="30"/>
      <c r="E43" s="30"/>
      <c r="F43" s="73"/>
      <c r="G43" s="73"/>
      <c r="H43" s="29"/>
      <c r="I43" s="29"/>
      <c r="J43" s="29"/>
      <c r="K43" s="43" t="str">
        <f aca="false">IF(RAIDLog[[#This Row],[Title]]="","",IF(RAIDLog[[#This Row],[Type]]="Issue",5,N(RAIDLog[[#This Row],[Probability]]))*N(RAIDLog[[#This Row],[Impact]]))</f>
        <v/>
      </c>
      <c r="L43" s="28" t="str">
        <f aca="false">IF(RAIDLog[[#This Row],[Title]]="","",IF(RAIDLog[[#This Row],[Score]]&gt;=RAIDHighScore,"High",IF(RAIDLog[[#This Row],[Score]]&gt;=RAIDMediumScore,"Medium","Low")))</f>
        <v/>
      </c>
      <c r="M43" s="28" t="str">
        <f aca="false">IF(OR(RAIDLog[[#This Row],[Title]]="",N(RAIDLog[[#This Row],[Due]])=0),"",IF(AND(RAIDLog[[#This Row],[Status]]&lt;&gt;"Closed",RAIDLog[[#This Row],[Due]]&lt;StatusDate),"Overdue",""))</f>
        <v/>
      </c>
      <c r="N43" s="29"/>
      <c r="O43" s="24" t="str">
        <f aca="false">IF(N(RAIDLog[[#This Row],[Task UID]])=0,"",IFERROR(INDEX(tsk_Name,MATCH(RAIDLog[[#This Row],[Task UID]],tsk_UID,0)),"UID "&amp;RAIDLog[[#This Row],[Task UID]]&amp;" not found"))</f>
        <v/>
      </c>
      <c r="P43" s="25" t="str">
        <f aca="false">IF(N(RAIDLog[[#This Row],[Task UID]])=0,"",IFERROR(INDEX(tsk_FcFinish,MATCH(RAIDLog[[#This Row],[Task UID]],tsk_UID,0)),""))</f>
        <v/>
      </c>
      <c r="Q43" s="30"/>
      <c r="R43" s="30"/>
      <c r="S43" s="41" t="str">
        <f aca="false">IF(RAIDLog[[#This Row],[Title]]="","",RAIDLog[[#This Row],[Type]]&amp;" "&amp;RAIDLog[[#This Row],[Ref]]&amp;": "&amp;RAIDLog[[#This Row],[Title]])</f>
        <v/>
      </c>
      <c r="T43" s="41" t="str">
        <f aca="false">IF(AND(NOT(RAIDLog[[#This Row],[Title]]=""),RAIDLog[[#This Row],[Status]]&lt;&gt;"Closed"),RAIDLog[[#This Row],[Score]]+1-(ROW()-ROW(RAIDLog[[#Headers],[Ref]]))/100000,"")</f>
        <v/>
      </c>
    </row>
    <row r="44" customFormat="false" ht="15" hidden="false" customHeight="false" outlineLevel="0" collapsed="false">
      <c r="B44" s="29" t="n">
        <v>40</v>
      </c>
      <c r="C44" s="30"/>
      <c r="D44" s="30"/>
      <c r="E44" s="30"/>
      <c r="F44" s="73"/>
      <c r="G44" s="73"/>
      <c r="H44" s="29"/>
      <c r="I44" s="29"/>
      <c r="J44" s="29"/>
      <c r="K44" s="43" t="str">
        <f aca="false">IF(RAIDLog[[#This Row],[Title]]="","",IF(RAIDLog[[#This Row],[Type]]="Issue",5,N(RAIDLog[[#This Row],[Probability]]))*N(RAIDLog[[#This Row],[Impact]]))</f>
        <v/>
      </c>
      <c r="L44" s="28" t="str">
        <f aca="false">IF(RAIDLog[[#This Row],[Title]]="","",IF(RAIDLog[[#This Row],[Score]]&gt;=RAIDHighScore,"High",IF(RAIDLog[[#This Row],[Score]]&gt;=RAIDMediumScore,"Medium","Low")))</f>
        <v/>
      </c>
      <c r="M44" s="28" t="str">
        <f aca="false">IF(OR(RAIDLog[[#This Row],[Title]]="",N(RAIDLog[[#This Row],[Due]])=0),"",IF(AND(RAIDLog[[#This Row],[Status]]&lt;&gt;"Closed",RAIDLog[[#This Row],[Due]]&lt;StatusDate),"Overdue",""))</f>
        <v/>
      </c>
      <c r="N44" s="29"/>
      <c r="O44" s="24" t="str">
        <f aca="false">IF(N(RAIDLog[[#This Row],[Task UID]])=0,"",IFERROR(INDEX(tsk_Name,MATCH(RAIDLog[[#This Row],[Task UID]],tsk_UID,0)),"UID "&amp;RAIDLog[[#This Row],[Task UID]]&amp;" not found"))</f>
        <v/>
      </c>
      <c r="P44" s="25" t="str">
        <f aca="false">IF(N(RAIDLog[[#This Row],[Task UID]])=0,"",IFERROR(INDEX(tsk_FcFinish,MATCH(RAIDLog[[#This Row],[Task UID]],tsk_UID,0)),""))</f>
        <v/>
      </c>
      <c r="Q44" s="30"/>
      <c r="R44" s="30"/>
      <c r="S44" s="41" t="str">
        <f aca="false">IF(RAIDLog[[#This Row],[Title]]="","",RAIDLog[[#This Row],[Type]]&amp;" "&amp;RAIDLog[[#This Row],[Ref]]&amp;": "&amp;RAIDLog[[#This Row],[Title]])</f>
        <v/>
      </c>
      <c r="T44" s="41" t="str">
        <f aca="false">IF(AND(NOT(RAIDLog[[#This Row],[Title]]=""),RAIDLog[[#This Row],[Status]]&lt;&gt;"Closed"),RAIDLog[[#This Row],[Score]]+1-(ROW()-ROW(RAIDLog[[#Headers],[Ref]]))/100000,"")</f>
        <v/>
      </c>
    </row>
    <row r="45" customFormat="false" ht="15" hidden="false" customHeight="false" outlineLevel="0" collapsed="false">
      <c r="B45" s="29" t="n">
        <v>41</v>
      </c>
      <c r="C45" s="30"/>
      <c r="D45" s="30"/>
      <c r="E45" s="30"/>
      <c r="F45" s="73"/>
      <c r="G45" s="73"/>
      <c r="H45" s="29"/>
      <c r="I45" s="29"/>
      <c r="J45" s="29"/>
      <c r="K45" s="43" t="str">
        <f aca="false">IF(RAIDLog[[#This Row],[Title]]="","",IF(RAIDLog[[#This Row],[Type]]="Issue",5,N(RAIDLog[[#This Row],[Probability]]))*N(RAIDLog[[#This Row],[Impact]]))</f>
        <v/>
      </c>
      <c r="L45" s="28" t="str">
        <f aca="false">IF(RAIDLog[[#This Row],[Title]]="","",IF(RAIDLog[[#This Row],[Score]]&gt;=RAIDHighScore,"High",IF(RAIDLog[[#This Row],[Score]]&gt;=RAIDMediumScore,"Medium","Low")))</f>
        <v/>
      </c>
      <c r="M45" s="28" t="str">
        <f aca="false">IF(OR(RAIDLog[[#This Row],[Title]]="",N(RAIDLog[[#This Row],[Due]])=0),"",IF(AND(RAIDLog[[#This Row],[Status]]&lt;&gt;"Closed",RAIDLog[[#This Row],[Due]]&lt;StatusDate),"Overdue",""))</f>
        <v/>
      </c>
      <c r="N45" s="29"/>
      <c r="O45" s="24" t="str">
        <f aca="false">IF(N(RAIDLog[[#This Row],[Task UID]])=0,"",IFERROR(INDEX(tsk_Name,MATCH(RAIDLog[[#This Row],[Task UID]],tsk_UID,0)),"UID "&amp;RAIDLog[[#This Row],[Task UID]]&amp;" not found"))</f>
        <v/>
      </c>
      <c r="P45" s="25" t="str">
        <f aca="false">IF(N(RAIDLog[[#This Row],[Task UID]])=0,"",IFERROR(INDEX(tsk_FcFinish,MATCH(RAIDLog[[#This Row],[Task UID]],tsk_UID,0)),""))</f>
        <v/>
      </c>
      <c r="Q45" s="30"/>
      <c r="R45" s="30"/>
      <c r="S45" s="41" t="str">
        <f aca="false">IF(RAIDLog[[#This Row],[Title]]="","",RAIDLog[[#This Row],[Type]]&amp;" "&amp;RAIDLog[[#This Row],[Ref]]&amp;": "&amp;RAIDLog[[#This Row],[Title]])</f>
        <v/>
      </c>
      <c r="T45" s="41" t="str">
        <f aca="false">IF(AND(NOT(RAIDLog[[#This Row],[Title]]=""),RAIDLog[[#This Row],[Status]]&lt;&gt;"Closed"),RAIDLog[[#This Row],[Score]]+1-(ROW()-ROW(RAIDLog[[#Headers],[Ref]]))/100000,"")</f>
        <v/>
      </c>
    </row>
    <row r="46" customFormat="false" ht="15" hidden="false" customHeight="false" outlineLevel="0" collapsed="false">
      <c r="B46" s="29" t="n">
        <v>42</v>
      </c>
      <c r="C46" s="30"/>
      <c r="D46" s="30"/>
      <c r="E46" s="30"/>
      <c r="F46" s="73"/>
      <c r="G46" s="73"/>
      <c r="H46" s="29"/>
      <c r="I46" s="29"/>
      <c r="J46" s="29"/>
      <c r="K46" s="43" t="str">
        <f aca="false">IF(RAIDLog[[#This Row],[Title]]="","",IF(RAIDLog[[#This Row],[Type]]="Issue",5,N(RAIDLog[[#This Row],[Probability]]))*N(RAIDLog[[#This Row],[Impact]]))</f>
        <v/>
      </c>
      <c r="L46" s="28" t="str">
        <f aca="false">IF(RAIDLog[[#This Row],[Title]]="","",IF(RAIDLog[[#This Row],[Score]]&gt;=RAIDHighScore,"High",IF(RAIDLog[[#This Row],[Score]]&gt;=RAIDMediumScore,"Medium","Low")))</f>
        <v/>
      </c>
      <c r="M46" s="28" t="str">
        <f aca="false">IF(OR(RAIDLog[[#This Row],[Title]]="",N(RAIDLog[[#This Row],[Due]])=0),"",IF(AND(RAIDLog[[#This Row],[Status]]&lt;&gt;"Closed",RAIDLog[[#This Row],[Due]]&lt;StatusDate),"Overdue",""))</f>
        <v/>
      </c>
      <c r="N46" s="29"/>
      <c r="O46" s="24" t="str">
        <f aca="false">IF(N(RAIDLog[[#This Row],[Task UID]])=0,"",IFERROR(INDEX(tsk_Name,MATCH(RAIDLog[[#This Row],[Task UID]],tsk_UID,0)),"UID "&amp;RAIDLog[[#This Row],[Task UID]]&amp;" not found"))</f>
        <v/>
      </c>
      <c r="P46" s="25" t="str">
        <f aca="false">IF(N(RAIDLog[[#This Row],[Task UID]])=0,"",IFERROR(INDEX(tsk_FcFinish,MATCH(RAIDLog[[#This Row],[Task UID]],tsk_UID,0)),""))</f>
        <v/>
      </c>
      <c r="Q46" s="30"/>
      <c r="R46" s="30"/>
      <c r="S46" s="41" t="str">
        <f aca="false">IF(RAIDLog[[#This Row],[Title]]="","",RAIDLog[[#This Row],[Type]]&amp;" "&amp;RAIDLog[[#This Row],[Ref]]&amp;": "&amp;RAIDLog[[#This Row],[Title]])</f>
        <v/>
      </c>
      <c r="T46" s="41" t="str">
        <f aca="false">IF(AND(NOT(RAIDLog[[#This Row],[Title]]=""),RAIDLog[[#This Row],[Status]]&lt;&gt;"Closed"),RAIDLog[[#This Row],[Score]]+1-(ROW()-ROW(RAIDLog[[#Headers],[Ref]]))/100000,"")</f>
        <v/>
      </c>
    </row>
    <row r="47" customFormat="false" ht="15" hidden="false" customHeight="false" outlineLevel="0" collapsed="false">
      <c r="B47" s="29" t="n">
        <v>43</v>
      </c>
      <c r="C47" s="30"/>
      <c r="D47" s="30"/>
      <c r="E47" s="30"/>
      <c r="F47" s="73"/>
      <c r="G47" s="73"/>
      <c r="H47" s="29"/>
      <c r="I47" s="29"/>
      <c r="J47" s="29"/>
      <c r="K47" s="43" t="str">
        <f aca="false">IF(RAIDLog[[#This Row],[Title]]="","",IF(RAIDLog[[#This Row],[Type]]="Issue",5,N(RAIDLog[[#This Row],[Probability]]))*N(RAIDLog[[#This Row],[Impact]]))</f>
        <v/>
      </c>
      <c r="L47" s="28" t="str">
        <f aca="false">IF(RAIDLog[[#This Row],[Title]]="","",IF(RAIDLog[[#This Row],[Score]]&gt;=RAIDHighScore,"High",IF(RAIDLog[[#This Row],[Score]]&gt;=RAIDMediumScore,"Medium","Low")))</f>
        <v/>
      </c>
      <c r="M47" s="28" t="str">
        <f aca="false">IF(OR(RAIDLog[[#This Row],[Title]]="",N(RAIDLog[[#This Row],[Due]])=0),"",IF(AND(RAIDLog[[#This Row],[Status]]&lt;&gt;"Closed",RAIDLog[[#This Row],[Due]]&lt;StatusDate),"Overdue",""))</f>
        <v/>
      </c>
      <c r="N47" s="29"/>
      <c r="O47" s="24" t="str">
        <f aca="false">IF(N(RAIDLog[[#This Row],[Task UID]])=0,"",IFERROR(INDEX(tsk_Name,MATCH(RAIDLog[[#This Row],[Task UID]],tsk_UID,0)),"UID "&amp;RAIDLog[[#This Row],[Task UID]]&amp;" not found"))</f>
        <v/>
      </c>
      <c r="P47" s="25" t="str">
        <f aca="false">IF(N(RAIDLog[[#This Row],[Task UID]])=0,"",IFERROR(INDEX(tsk_FcFinish,MATCH(RAIDLog[[#This Row],[Task UID]],tsk_UID,0)),""))</f>
        <v/>
      </c>
      <c r="Q47" s="30"/>
      <c r="R47" s="30"/>
      <c r="S47" s="41" t="str">
        <f aca="false">IF(RAIDLog[[#This Row],[Title]]="","",RAIDLog[[#This Row],[Type]]&amp;" "&amp;RAIDLog[[#This Row],[Ref]]&amp;": "&amp;RAIDLog[[#This Row],[Title]])</f>
        <v/>
      </c>
      <c r="T47" s="41" t="str">
        <f aca="false">IF(AND(NOT(RAIDLog[[#This Row],[Title]]=""),RAIDLog[[#This Row],[Status]]&lt;&gt;"Closed"),RAIDLog[[#This Row],[Score]]+1-(ROW()-ROW(RAIDLog[[#Headers],[Ref]]))/100000,"")</f>
        <v/>
      </c>
    </row>
    <row r="48" customFormat="false" ht="15" hidden="false" customHeight="false" outlineLevel="0" collapsed="false">
      <c r="B48" s="29" t="n">
        <v>44</v>
      </c>
      <c r="C48" s="30"/>
      <c r="D48" s="30"/>
      <c r="E48" s="30"/>
      <c r="F48" s="73"/>
      <c r="G48" s="73"/>
      <c r="H48" s="29"/>
      <c r="I48" s="29"/>
      <c r="J48" s="29"/>
      <c r="K48" s="43" t="str">
        <f aca="false">IF(RAIDLog[[#This Row],[Title]]="","",IF(RAIDLog[[#This Row],[Type]]="Issue",5,N(RAIDLog[[#This Row],[Probability]]))*N(RAIDLog[[#This Row],[Impact]]))</f>
        <v/>
      </c>
      <c r="L48" s="28" t="str">
        <f aca="false">IF(RAIDLog[[#This Row],[Title]]="","",IF(RAIDLog[[#This Row],[Score]]&gt;=RAIDHighScore,"High",IF(RAIDLog[[#This Row],[Score]]&gt;=RAIDMediumScore,"Medium","Low")))</f>
        <v/>
      </c>
      <c r="M48" s="28" t="str">
        <f aca="false">IF(OR(RAIDLog[[#This Row],[Title]]="",N(RAIDLog[[#This Row],[Due]])=0),"",IF(AND(RAIDLog[[#This Row],[Status]]&lt;&gt;"Closed",RAIDLog[[#This Row],[Due]]&lt;StatusDate),"Overdue",""))</f>
        <v/>
      </c>
      <c r="N48" s="29"/>
      <c r="O48" s="24" t="str">
        <f aca="false">IF(N(RAIDLog[[#This Row],[Task UID]])=0,"",IFERROR(INDEX(tsk_Name,MATCH(RAIDLog[[#This Row],[Task UID]],tsk_UID,0)),"UID "&amp;RAIDLog[[#This Row],[Task UID]]&amp;" not found"))</f>
        <v/>
      </c>
      <c r="P48" s="25" t="str">
        <f aca="false">IF(N(RAIDLog[[#This Row],[Task UID]])=0,"",IFERROR(INDEX(tsk_FcFinish,MATCH(RAIDLog[[#This Row],[Task UID]],tsk_UID,0)),""))</f>
        <v/>
      </c>
      <c r="Q48" s="30"/>
      <c r="R48" s="30"/>
      <c r="S48" s="41" t="str">
        <f aca="false">IF(RAIDLog[[#This Row],[Title]]="","",RAIDLog[[#This Row],[Type]]&amp;" "&amp;RAIDLog[[#This Row],[Ref]]&amp;": "&amp;RAIDLog[[#This Row],[Title]])</f>
        <v/>
      </c>
      <c r="T48" s="41" t="str">
        <f aca="false">IF(AND(NOT(RAIDLog[[#This Row],[Title]]=""),RAIDLog[[#This Row],[Status]]&lt;&gt;"Closed"),RAIDLog[[#This Row],[Score]]+1-(ROW()-ROW(RAIDLog[[#Headers],[Ref]]))/100000,"")</f>
        <v/>
      </c>
    </row>
    <row r="49" customFormat="false" ht="15" hidden="false" customHeight="false" outlineLevel="0" collapsed="false">
      <c r="B49" s="29" t="n">
        <v>45</v>
      </c>
      <c r="C49" s="30"/>
      <c r="D49" s="30"/>
      <c r="E49" s="30"/>
      <c r="F49" s="73"/>
      <c r="G49" s="73"/>
      <c r="H49" s="29"/>
      <c r="I49" s="29"/>
      <c r="J49" s="29"/>
      <c r="K49" s="43" t="str">
        <f aca="false">IF(RAIDLog[[#This Row],[Title]]="","",IF(RAIDLog[[#This Row],[Type]]="Issue",5,N(RAIDLog[[#This Row],[Probability]]))*N(RAIDLog[[#This Row],[Impact]]))</f>
        <v/>
      </c>
      <c r="L49" s="28" t="str">
        <f aca="false">IF(RAIDLog[[#This Row],[Title]]="","",IF(RAIDLog[[#This Row],[Score]]&gt;=RAIDHighScore,"High",IF(RAIDLog[[#This Row],[Score]]&gt;=RAIDMediumScore,"Medium","Low")))</f>
        <v/>
      </c>
      <c r="M49" s="28" t="str">
        <f aca="false">IF(OR(RAIDLog[[#This Row],[Title]]="",N(RAIDLog[[#This Row],[Due]])=0),"",IF(AND(RAIDLog[[#This Row],[Status]]&lt;&gt;"Closed",RAIDLog[[#This Row],[Due]]&lt;StatusDate),"Overdue",""))</f>
        <v/>
      </c>
      <c r="N49" s="29"/>
      <c r="O49" s="24" t="str">
        <f aca="false">IF(N(RAIDLog[[#This Row],[Task UID]])=0,"",IFERROR(INDEX(tsk_Name,MATCH(RAIDLog[[#This Row],[Task UID]],tsk_UID,0)),"UID "&amp;RAIDLog[[#This Row],[Task UID]]&amp;" not found"))</f>
        <v/>
      </c>
      <c r="P49" s="25" t="str">
        <f aca="false">IF(N(RAIDLog[[#This Row],[Task UID]])=0,"",IFERROR(INDEX(tsk_FcFinish,MATCH(RAIDLog[[#This Row],[Task UID]],tsk_UID,0)),""))</f>
        <v/>
      </c>
      <c r="Q49" s="30"/>
      <c r="R49" s="30"/>
      <c r="S49" s="41" t="str">
        <f aca="false">IF(RAIDLog[[#This Row],[Title]]="","",RAIDLog[[#This Row],[Type]]&amp;" "&amp;RAIDLog[[#This Row],[Ref]]&amp;": "&amp;RAIDLog[[#This Row],[Title]])</f>
        <v/>
      </c>
      <c r="T49" s="41" t="str">
        <f aca="false">IF(AND(NOT(RAIDLog[[#This Row],[Title]]=""),RAIDLog[[#This Row],[Status]]&lt;&gt;"Closed"),RAIDLog[[#This Row],[Score]]+1-(ROW()-ROW(RAIDLog[[#Headers],[Ref]]))/100000,"")</f>
        <v/>
      </c>
    </row>
    <row r="50" customFormat="false" ht="15" hidden="false" customHeight="false" outlineLevel="0" collapsed="false">
      <c r="B50" s="29" t="n">
        <v>46</v>
      </c>
      <c r="C50" s="30"/>
      <c r="D50" s="30"/>
      <c r="E50" s="30"/>
      <c r="F50" s="73"/>
      <c r="G50" s="73"/>
      <c r="H50" s="29"/>
      <c r="I50" s="29"/>
      <c r="J50" s="29"/>
      <c r="K50" s="43" t="str">
        <f aca="false">IF(RAIDLog[[#This Row],[Title]]="","",IF(RAIDLog[[#This Row],[Type]]="Issue",5,N(RAIDLog[[#This Row],[Probability]]))*N(RAIDLog[[#This Row],[Impact]]))</f>
        <v/>
      </c>
      <c r="L50" s="28" t="str">
        <f aca="false">IF(RAIDLog[[#This Row],[Title]]="","",IF(RAIDLog[[#This Row],[Score]]&gt;=RAIDHighScore,"High",IF(RAIDLog[[#This Row],[Score]]&gt;=RAIDMediumScore,"Medium","Low")))</f>
        <v/>
      </c>
      <c r="M50" s="28" t="str">
        <f aca="false">IF(OR(RAIDLog[[#This Row],[Title]]="",N(RAIDLog[[#This Row],[Due]])=0),"",IF(AND(RAIDLog[[#This Row],[Status]]&lt;&gt;"Closed",RAIDLog[[#This Row],[Due]]&lt;StatusDate),"Overdue",""))</f>
        <v/>
      </c>
      <c r="N50" s="29"/>
      <c r="O50" s="24" t="str">
        <f aca="false">IF(N(RAIDLog[[#This Row],[Task UID]])=0,"",IFERROR(INDEX(tsk_Name,MATCH(RAIDLog[[#This Row],[Task UID]],tsk_UID,0)),"UID "&amp;RAIDLog[[#This Row],[Task UID]]&amp;" not found"))</f>
        <v/>
      </c>
      <c r="P50" s="25" t="str">
        <f aca="false">IF(N(RAIDLog[[#This Row],[Task UID]])=0,"",IFERROR(INDEX(tsk_FcFinish,MATCH(RAIDLog[[#This Row],[Task UID]],tsk_UID,0)),""))</f>
        <v/>
      </c>
      <c r="Q50" s="30"/>
      <c r="R50" s="30"/>
      <c r="S50" s="41" t="str">
        <f aca="false">IF(RAIDLog[[#This Row],[Title]]="","",RAIDLog[[#This Row],[Type]]&amp;" "&amp;RAIDLog[[#This Row],[Ref]]&amp;": "&amp;RAIDLog[[#This Row],[Title]])</f>
        <v/>
      </c>
      <c r="T50" s="41" t="str">
        <f aca="false">IF(AND(NOT(RAIDLog[[#This Row],[Title]]=""),RAIDLog[[#This Row],[Status]]&lt;&gt;"Closed"),RAIDLog[[#This Row],[Score]]+1-(ROW()-ROW(RAIDLog[[#Headers],[Ref]]))/100000,"")</f>
        <v/>
      </c>
    </row>
    <row r="51" customFormat="false" ht="15" hidden="false" customHeight="false" outlineLevel="0" collapsed="false">
      <c r="B51" s="29" t="n">
        <v>47</v>
      </c>
      <c r="C51" s="30"/>
      <c r="D51" s="30"/>
      <c r="E51" s="30"/>
      <c r="F51" s="73"/>
      <c r="G51" s="73"/>
      <c r="H51" s="29"/>
      <c r="I51" s="29"/>
      <c r="J51" s="29"/>
      <c r="K51" s="43" t="str">
        <f aca="false">IF(RAIDLog[[#This Row],[Title]]="","",IF(RAIDLog[[#This Row],[Type]]="Issue",5,N(RAIDLog[[#This Row],[Probability]]))*N(RAIDLog[[#This Row],[Impact]]))</f>
        <v/>
      </c>
      <c r="L51" s="28" t="str">
        <f aca="false">IF(RAIDLog[[#This Row],[Title]]="","",IF(RAIDLog[[#This Row],[Score]]&gt;=RAIDHighScore,"High",IF(RAIDLog[[#This Row],[Score]]&gt;=RAIDMediumScore,"Medium","Low")))</f>
        <v/>
      </c>
      <c r="M51" s="28" t="str">
        <f aca="false">IF(OR(RAIDLog[[#This Row],[Title]]="",N(RAIDLog[[#This Row],[Due]])=0),"",IF(AND(RAIDLog[[#This Row],[Status]]&lt;&gt;"Closed",RAIDLog[[#This Row],[Due]]&lt;StatusDate),"Overdue",""))</f>
        <v/>
      </c>
      <c r="N51" s="29"/>
      <c r="O51" s="24" t="str">
        <f aca="false">IF(N(RAIDLog[[#This Row],[Task UID]])=0,"",IFERROR(INDEX(tsk_Name,MATCH(RAIDLog[[#This Row],[Task UID]],tsk_UID,0)),"UID "&amp;RAIDLog[[#This Row],[Task UID]]&amp;" not found"))</f>
        <v/>
      </c>
      <c r="P51" s="25" t="str">
        <f aca="false">IF(N(RAIDLog[[#This Row],[Task UID]])=0,"",IFERROR(INDEX(tsk_FcFinish,MATCH(RAIDLog[[#This Row],[Task UID]],tsk_UID,0)),""))</f>
        <v/>
      </c>
      <c r="Q51" s="30"/>
      <c r="R51" s="30"/>
      <c r="S51" s="41" t="str">
        <f aca="false">IF(RAIDLog[[#This Row],[Title]]="","",RAIDLog[[#This Row],[Type]]&amp;" "&amp;RAIDLog[[#This Row],[Ref]]&amp;": "&amp;RAIDLog[[#This Row],[Title]])</f>
        <v/>
      </c>
      <c r="T51" s="41" t="str">
        <f aca="false">IF(AND(NOT(RAIDLog[[#This Row],[Title]]=""),RAIDLog[[#This Row],[Status]]&lt;&gt;"Closed"),RAIDLog[[#This Row],[Score]]+1-(ROW()-ROW(RAIDLog[[#Headers],[Ref]]))/100000,"")</f>
        <v/>
      </c>
    </row>
    <row r="52" customFormat="false" ht="15" hidden="false" customHeight="false" outlineLevel="0" collapsed="false">
      <c r="B52" s="29" t="n">
        <v>48</v>
      </c>
      <c r="C52" s="30"/>
      <c r="D52" s="30"/>
      <c r="E52" s="30"/>
      <c r="F52" s="73"/>
      <c r="G52" s="73"/>
      <c r="H52" s="29"/>
      <c r="I52" s="29"/>
      <c r="J52" s="29"/>
      <c r="K52" s="43" t="str">
        <f aca="false">IF(RAIDLog[[#This Row],[Title]]="","",IF(RAIDLog[[#This Row],[Type]]="Issue",5,N(RAIDLog[[#This Row],[Probability]]))*N(RAIDLog[[#This Row],[Impact]]))</f>
        <v/>
      </c>
      <c r="L52" s="28" t="str">
        <f aca="false">IF(RAIDLog[[#This Row],[Title]]="","",IF(RAIDLog[[#This Row],[Score]]&gt;=RAIDHighScore,"High",IF(RAIDLog[[#This Row],[Score]]&gt;=RAIDMediumScore,"Medium","Low")))</f>
        <v/>
      </c>
      <c r="M52" s="28" t="str">
        <f aca="false">IF(OR(RAIDLog[[#This Row],[Title]]="",N(RAIDLog[[#This Row],[Due]])=0),"",IF(AND(RAIDLog[[#This Row],[Status]]&lt;&gt;"Closed",RAIDLog[[#This Row],[Due]]&lt;StatusDate),"Overdue",""))</f>
        <v/>
      </c>
      <c r="N52" s="29"/>
      <c r="O52" s="24" t="str">
        <f aca="false">IF(N(RAIDLog[[#This Row],[Task UID]])=0,"",IFERROR(INDEX(tsk_Name,MATCH(RAIDLog[[#This Row],[Task UID]],tsk_UID,0)),"UID "&amp;RAIDLog[[#This Row],[Task UID]]&amp;" not found"))</f>
        <v/>
      </c>
      <c r="P52" s="25" t="str">
        <f aca="false">IF(N(RAIDLog[[#This Row],[Task UID]])=0,"",IFERROR(INDEX(tsk_FcFinish,MATCH(RAIDLog[[#This Row],[Task UID]],tsk_UID,0)),""))</f>
        <v/>
      </c>
      <c r="Q52" s="30"/>
      <c r="R52" s="30"/>
      <c r="S52" s="41" t="str">
        <f aca="false">IF(RAIDLog[[#This Row],[Title]]="","",RAIDLog[[#This Row],[Type]]&amp;" "&amp;RAIDLog[[#This Row],[Ref]]&amp;": "&amp;RAIDLog[[#This Row],[Title]])</f>
        <v/>
      </c>
      <c r="T52" s="41" t="str">
        <f aca="false">IF(AND(NOT(RAIDLog[[#This Row],[Title]]=""),RAIDLog[[#This Row],[Status]]&lt;&gt;"Closed"),RAIDLog[[#This Row],[Score]]+1-(ROW()-ROW(RAIDLog[[#Headers],[Ref]]))/100000,"")</f>
        <v/>
      </c>
    </row>
    <row r="53" customFormat="false" ht="15" hidden="false" customHeight="false" outlineLevel="0" collapsed="false">
      <c r="B53" s="29" t="n">
        <v>49</v>
      </c>
      <c r="C53" s="30"/>
      <c r="D53" s="30"/>
      <c r="E53" s="30"/>
      <c r="F53" s="73"/>
      <c r="G53" s="73"/>
      <c r="H53" s="29"/>
      <c r="I53" s="29"/>
      <c r="J53" s="29"/>
      <c r="K53" s="43" t="str">
        <f aca="false">IF(RAIDLog[[#This Row],[Title]]="","",IF(RAIDLog[[#This Row],[Type]]="Issue",5,N(RAIDLog[[#This Row],[Probability]]))*N(RAIDLog[[#This Row],[Impact]]))</f>
        <v/>
      </c>
      <c r="L53" s="28" t="str">
        <f aca="false">IF(RAIDLog[[#This Row],[Title]]="","",IF(RAIDLog[[#This Row],[Score]]&gt;=RAIDHighScore,"High",IF(RAIDLog[[#This Row],[Score]]&gt;=RAIDMediumScore,"Medium","Low")))</f>
        <v/>
      </c>
      <c r="M53" s="28" t="str">
        <f aca="false">IF(OR(RAIDLog[[#This Row],[Title]]="",N(RAIDLog[[#This Row],[Due]])=0),"",IF(AND(RAIDLog[[#This Row],[Status]]&lt;&gt;"Closed",RAIDLog[[#This Row],[Due]]&lt;StatusDate),"Overdue",""))</f>
        <v/>
      </c>
      <c r="N53" s="29"/>
      <c r="O53" s="24" t="str">
        <f aca="false">IF(N(RAIDLog[[#This Row],[Task UID]])=0,"",IFERROR(INDEX(tsk_Name,MATCH(RAIDLog[[#This Row],[Task UID]],tsk_UID,0)),"UID "&amp;RAIDLog[[#This Row],[Task UID]]&amp;" not found"))</f>
        <v/>
      </c>
      <c r="P53" s="25" t="str">
        <f aca="false">IF(N(RAIDLog[[#This Row],[Task UID]])=0,"",IFERROR(INDEX(tsk_FcFinish,MATCH(RAIDLog[[#This Row],[Task UID]],tsk_UID,0)),""))</f>
        <v/>
      </c>
      <c r="Q53" s="30"/>
      <c r="R53" s="30"/>
      <c r="S53" s="41" t="str">
        <f aca="false">IF(RAIDLog[[#This Row],[Title]]="","",RAIDLog[[#This Row],[Type]]&amp;" "&amp;RAIDLog[[#This Row],[Ref]]&amp;": "&amp;RAIDLog[[#This Row],[Title]])</f>
        <v/>
      </c>
      <c r="T53" s="41" t="str">
        <f aca="false">IF(AND(NOT(RAIDLog[[#This Row],[Title]]=""),RAIDLog[[#This Row],[Status]]&lt;&gt;"Closed"),RAIDLog[[#This Row],[Score]]+1-(ROW()-ROW(RAIDLog[[#Headers],[Ref]]))/100000,"")</f>
        <v/>
      </c>
    </row>
    <row r="54" customFormat="false" ht="15" hidden="false" customHeight="false" outlineLevel="0" collapsed="false">
      <c r="B54" s="29" t="n">
        <v>50</v>
      </c>
      <c r="C54" s="30"/>
      <c r="D54" s="30"/>
      <c r="E54" s="30"/>
      <c r="F54" s="73"/>
      <c r="G54" s="73"/>
      <c r="H54" s="29"/>
      <c r="I54" s="29"/>
      <c r="J54" s="29"/>
      <c r="K54" s="43" t="str">
        <f aca="false">IF(RAIDLog[[#This Row],[Title]]="","",IF(RAIDLog[[#This Row],[Type]]="Issue",5,N(RAIDLog[[#This Row],[Probability]]))*N(RAIDLog[[#This Row],[Impact]]))</f>
        <v/>
      </c>
      <c r="L54" s="28" t="str">
        <f aca="false">IF(RAIDLog[[#This Row],[Title]]="","",IF(RAIDLog[[#This Row],[Score]]&gt;=RAIDHighScore,"High",IF(RAIDLog[[#This Row],[Score]]&gt;=RAIDMediumScore,"Medium","Low")))</f>
        <v/>
      </c>
      <c r="M54" s="28" t="str">
        <f aca="false">IF(OR(RAIDLog[[#This Row],[Title]]="",N(RAIDLog[[#This Row],[Due]])=0),"",IF(AND(RAIDLog[[#This Row],[Status]]&lt;&gt;"Closed",RAIDLog[[#This Row],[Due]]&lt;StatusDate),"Overdue",""))</f>
        <v/>
      </c>
      <c r="N54" s="29"/>
      <c r="O54" s="24" t="str">
        <f aca="false">IF(N(RAIDLog[[#This Row],[Task UID]])=0,"",IFERROR(INDEX(tsk_Name,MATCH(RAIDLog[[#This Row],[Task UID]],tsk_UID,0)),"UID "&amp;RAIDLog[[#This Row],[Task UID]]&amp;" not found"))</f>
        <v/>
      </c>
      <c r="P54" s="25" t="str">
        <f aca="false">IF(N(RAIDLog[[#This Row],[Task UID]])=0,"",IFERROR(INDEX(tsk_FcFinish,MATCH(RAIDLog[[#This Row],[Task UID]],tsk_UID,0)),""))</f>
        <v/>
      </c>
      <c r="Q54" s="30"/>
      <c r="R54" s="30"/>
      <c r="S54" s="41" t="str">
        <f aca="false">IF(RAIDLog[[#This Row],[Title]]="","",RAIDLog[[#This Row],[Type]]&amp;" "&amp;RAIDLog[[#This Row],[Ref]]&amp;": "&amp;RAIDLog[[#This Row],[Title]])</f>
        <v/>
      </c>
      <c r="T54" s="41" t="str">
        <f aca="false">IF(AND(NOT(RAIDLog[[#This Row],[Title]]=""),RAIDLog[[#This Row],[Status]]&lt;&gt;"Closed"),RAIDLog[[#This Row],[Score]]+1-(ROW()-ROW(RAIDLog[[#Headers],[Ref]]))/100000,"")</f>
        <v/>
      </c>
    </row>
    <row r="55" customFormat="false" ht="15" hidden="false" customHeight="false" outlineLevel="0" collapsed="false">
      <c r="B55" s="29" t="n">
        <v>51</v>
      </c>
      <c r="C55" s="30"/>
      <c r="D55" s="30"/>
      <c r="E55" s="30"/>
      <c r="F55" s="73"/>
      <c r="G55" s="73"/>
      <c r="H55" s="29"/>
      <c r="I55" s="29"/>
      <c r="J55" s="29"/>
      <c r="K55" s="43" t="str">
        <f aca="false">IF(RAIDLog[[#This Row],[Title]]="","",IF(RAIDLog[[#This Row],[Type]]="Issue",5,N(RAIDLog[[#This Row],[Probability]]))*N(RAIDLog[[#This Row],[Impact]]))</f>
        <v/>
      </c>
      <c r="L55" s="28" t="str">
        <f aca="false">IF(RAIDLog[[#This Row],[Title]]="","",IF(RAIDLog[[#This Row],[Score]]&gt;=RAIDHighScore,"High",IF(RAIDLog[[#This Row],[Score]]&gt;=RAIDMediumScore,"Medium","Low")))</f>
        <v/>
      </c>
      <c r="M55" s="28" t="str">
        <f aca="false">IF(OR(RAIDLog[[#This Row],[Title]]="",N(RAIDLog[[#This Row],[Due]])=0),"",IF(AND(RAIDLog[[#This Row],[Status]]&lt;&gt;"Closed",RAIDLog[[#This Row],[Due]]&lt;StatusDate),"Overdue",""))</f>
        <v/>
      </c>
      <c r="N55" s="29"/>
      <c r="O55" s="24" t="str">
        <f aca="false">IF(N(RAIDLog[[#This Row],[Task UID]])=0,"",IFERROR(INDEX(tsk_Name,MATCH(RAIDLog[[#This Row],[Task UID]],tsk_UID,0)),"UID "&amp;RAIDLog[[#This Row],[Task UID]]&amp;" not found"))</f>
        <v/>
      </c>
      <c r="P55" s="25" t="str">
        <f aca="false">IF(N(RAIDLog[[#This Row],[Task UID]])=0,"",IFERROR(INDEX(tsk_FcFinish,MATCH(RAIDLog[[#This Row],[Task UID]],tsk_UID,0)),""))</f>
        <v/>
      </c>
      <c r="Q55" s="30"/>
      <c r="R55" s="30"/>
      <c r="S55" s="41" t="str">
        <f aca="false">IF(RAIDLog[[#This Row],[Title]]="","",RAIDLog[[#This Row],[Type]]&amp;" "&amp;RAIDLog[[#This Row],[Ref]]&amp;": "&amp;RAIDLog[[#This Row],[Title]])</f>
        <v/>
      </c>
      <c r="T55" s="41" t="str">
        <f aca="false">IF(AND(NOT(RAIDLog[[#This Row],[Title]]=""),RAIDLog[[#This Row],[Status]]&lt;&gt;"Closed"),RAIDLog[[#This Row],[Score]]+1-(ROW()-ROW(RAIDLog[[#Headers],[Ref]]))/100000,"")</f>
        <v/>
      </c>
    </row>
    <row r="56" customFormat="false" ht="15" hidden="false" customHeight="false" outlineLevel="0" collapsed="false">
      <c r="B56" s="29" t="n">
        <v>52</v>
      </c>
      <c r="C56" s="30"/>
      <c r="D56" s="30"/>
      <c r="E56" s="30"/>
      <c r="F56" s="73"/>
      <c r="G56" s="73"/>
      <c r="H56" s="29"/>
      <c r="I56" s="29"/>
      <c r="J56" s="29"/>
      <c r="K56" s="43" t="str">
        <f aca="false">IF(RAIDLog[[#This Row],[Title]]="","",IF(RAIDLog[[#This Row],[Type]]="Issue",5,N(RAIDLog[[#This Row],[Probability]]))*N(RAIDLog[[#This Row],[Impact]]))</f>
        <v/>
      </c>
      <c r="L56" s="28" t="str">
        <f aca="false">IF(RAIDLog[[#This Row],[Title]]="","",IF(RAIDLog[[#This Row],[Score]]&gt;=RAIDHighScore,"High",IF(RAIDLog[[#This Row],[Score]]&gt;=RAIDMediumScore,"Medium","Low")))</f>
        <v/>
      </c>
      <c r="M56" s="28" t="str">
        <f aca="false">IF(OR(RAIDLog[[#This Row],[Title]]="",N(RAIDLog[[#This Row],[Due]])=0),"",IF(AND(RAIDLog[[#This Row],[Status]]&lt;&gt;"Closed",RAIDLog[[#This Row],[Due]]&lt;StatusDate),"Overdue",""))</f>
        <v/>
      </c>
      <c r="N56" s="29"/>
      <c r="O56" s="24" t="str">
        <f aca="false">IF(N(RAIDLog[[#This Row],[Task UID]])=0,"",IFERROR(INDEX(tsk_Name,MATCH(RAIDLog[[#This Row],[Task UID]],tsk_UID,0)),"UID "&amp;RAIDLog[[#This Row],[Task UID]]&amp;" not found"))</f>
        <v/>
      </c>
      <c r="P56" s="25" t="str">
        <f aca="false">IF(N(RAIDLog[[#This Row],[Task UID]])=0,"",IFERROR(INDEX(tsk_FcFinish,MATCH(RAIDLog[[#This Row],[Task UID]],tsk_UID,0)),""))</f>
        <v/>
      </c>
      <c r="Q56" s="30"/>
      <c r="R56" s="30"/>
      <c r="S56" s="41" t="str">
        <f aca="false">IF(RAIDLog[[#This Row],[Title]]="","",RAIDLog[[#This Row],[Type]]&amp;" "&amp;RAIDLog[[#This Row],[Ref]]&amp;": "&amp;RAIDLog[[#This Row],[Title]])</f>
        <v/>
      </c>
      <c r="T56" s="41" t="str">
        <f aca="false">IF(AND(NOT(RAIDLog[[#This Row],[Title]]=""),RAIDLog[[#This Row],[Status]]&lt;&gt;"Closed"),RAIDLog[[#This Row],[Score]]+1-(ROW()-ROW(RAIDLog[[#Headers],[Ref]]))/100000,"")</f>
        <v/>
      </c>
    </row>
    <row r="57" customFormat="false" ht="15" hidden="false" customHeight="false" outlineLevel="0" collapsed="false">
      <c r="B57" s="29" t="n">
        <v>53</v>
      </c>
      <c r="C57" s="30"/>
      <c r="D57" s="30"/>
      <c r="E57" s="30"/>
      <c r="F57" s="73"/>
      <c r="G57" s="73"/>
      <c r="H57" s="29"/>
      <c r="I57" s="29"/>
      <c r="J57" s="29"/>
      <c r="K57" s="43" t="str">
        <f aca="false">IF(RAIDLog[[#This Row],[Title]]="","",IF(RAIDLog[[#This Row],[Type]]="Issue",5,N(RAIDLog[[#This Row],[Probability]]))*N(RAIDLog[[#This Row],[Impact]]))</f>
        <v/>
      </c>
      <c r="L57" s="28" t="str">
        <f aca="false">IF(RAIDLog[[#This Row],[Title]]="","",IF(RAIDLog[[#This Row],[Score]]&gt;=RAIDHighScore,"High",IF(RAIDLog[[#This Row],[Score]]&gt;=RAIDMediumScore,"Medium","Low")))</f>
        <v/>
      </c>
      <c r="M57" s="28" t="str">
        <f aca="false">IF(OR(RAIDLog[[#This Row],[Title]]="",N(RAIDLog[[#This Row],[Due]])=0),"",IF(AND(RAIDLog[[#This Row],[Status]]&lt;&gt;"Closed",RAIDLog[[#This Row],[Due]]&lt;StatusDate),"Overdue",""))</f>
        <v/>
      </c>
      <c r="N57" s="29"/>
      <c r="O57" s="24" t="str">
        <f aca="false">IF(N(RAIDLog[[#This Row],[Task UID]])=0,"",IFERROR(INDEX(tsk_Name,MATCH(RAIDLog[[#This Row],[Task UID]],tsk_UID,0)),"UID "&amp;RAIDLog[[#This Row],[Task UID]]&amp;" not found"))</f>
        <v/>
      </c>
      <c r="P57" s="25" t="str">
        <f aca="false">IF(N(RAIDLog[[#This Row],[Task UID]])=0,"",IFERROR(INDEX(tsk_FcFinish,MATCH(RAIDLog[[#This Row],[Task UID]],tsk_UID,0)),""))</f>
        <v/>
      </c>
      <c r="Q57" s="30"/>
      <c r="R57" s="30"/>
      <c r="S57" s="41" t="str">
        <f aca="false">IF(RAIDLog[[#This Row],[Title]]="","",RAIDLog[[#This Row],[Type]]&amp;" "&amp;RAIDLog[[#This Row],[Ref]]&amp;": "&amp;RAIDLog[[#This Row],[Title]])</f>
        <v/>
      </c>
      <c r="T57" s="41" t="str">
        <f aca="false">IF(AND(NOT(RAIDLog[[#This Row],[Title]]=""),RAIDLog[[#This Row],[Status]]&lt;&gt;"Closed"),RAIDLog[[#This Row],[Score]]+1-(ROW()-ROW(RAIDLog[[#Headers],[Ref]]))/100000,"")</f>
        <v/>
      </c>
    </row>
    <row r="58" customFormat="false" ht="15" hidden="false" customHeight="false" outlineLevel="0" collapsed="false">
      <c r="B58" s="29" t="n">
        <v>54</v>
      </c>
      <c r="C58" s="30"/>
      <c r="D58" s="30"/>
      <c r="E58" s="30"/>
      <c r="F58" s="73"/>
      <c r="G58" s="73"/>
      <c r="H58" s="29"/>
      <c r="I58" s="29"/>
      <c r="J58" s="29"/>
      <c r="K58" s="43" t="str">
        <f aca="false">IF(RAIDLog[[#This Row],[Title]]="","",IF(RAIDLog[[#This Row],[Type]]="Issue",5,N(RAIDLog[[#This Row],[Probability]]))*N(RAIDLog[[#This Row],[Impact]]))</f>
        <v/>
      </c>
      <c r="L58" s="28" t="str">
        <f aca="false">IF(RAIDLog[[#This Row],[Title]]="","",IF(RAIDLog[[#This Row],[Score]]&gt;=RAIDHighScore,"High",IF(RAIDLog[[#This Row],[Score]]&gt;=RAIDMediumScore,"Medium","Low")))</f>
        <v/>
      </c>
      <c r="M58" s="28" t="str">
        <f aca="false">IF(OR(RAIDLog[[#This Row],[Title]]="",N(RAIDLog[[#This Row],[Due]])=0),"",IF(AND(RAIDLog[[#This Row],[Status]]&lt;&gt;"Closed",RAIDLog[[#This Row],[Due]]&lt;StatusDate),"Overdue",""))</f>
        <v/>
      </c>
      <c r="N58" s="29"/>
      <c r="O58" s="24" t="str">
        <f aca="false">IF(N(RAIDLog[[#This Row],[Task UID]])=0,"",IFERROR(INDEX(tsk_Name,MATCH(RAIDLog[[#This Row],[Task UID]],tsk_UID,0)),"UID "&amp;RAIDLog[[#This Row],[Task UID]]&amp;" not found"))</f>
        <v/>
      </c>
      <c r="P58" s="25" t="str">
        <f aca="false">IF(N(RAIDLog[[#This Row],[Task UID]])=0,"",IFERROR(INDEX(tsk_FcFinish,MATCH(RAIDLog[[#This Row],[Task UID]],tsk_UID,0)),""))</f>
        <v/>
      </c>
      <c r="Q58" s="30"/>
      <c r="R58" s="30"/>
      <c r="S58" s="41" t="str">
        <f aca="false">IF(RAIDLog[[#This Row],[Title]]="","",RAIDLog[[#This Row],[Type]]&amp;" "&amp;RAIDLog[[#This Row],[Ref]]&amp;": "&amp;RAIDLog[[#This Row],[Title]])</f>
        <v/>
      </c>
      <c r="T58" s="41" t="str">
        <f aca="false">IF(AND(NOT(RAIDLog[[#This Row],[Title]]=""),RAIDLog[[#This Row],[Status]]&lt;&gt;"Closed"),RAIDLog[[#This Row],[Score]]+1-(ROW()-ROW(RAIDLog[[#Headers],[Ref]]))/100000,"")</f>
        <v/>
      </c>
    </row>
    <row r="59" customFormat="false" ht="15" hidden="false" customHeight="false" outlineLevel="0" collapsed="false">
      <c r="B59" s="29" t="n">
        <v>55</v>
      </c>
      <c r="C59" s="30"/>
      <c r="D59" s="30"/>
      <c r="E59" s="30"/>
      <c r="F59" s="73"/>
      <c r="G59" s="73"/>
      <c r="H59" s="29"/>
      <c r="I59" s="29"/>
      <c r="J59" s="29"/>
      <c r="K59" s="43" t="str">
        <f aca="false">IF(RAIDLog[[#This Row],[Title]]="","",IF(RAIDLog[[#This Row],[Type]]="Issue",5,N(RAIDLog[[#This Row],[Probability]]))*N(RAIDLog[[#This Row],[Impact]]))</f>
        <v/>
      </c>
      <c r="L59" s="28" t="str">
        <f aca="false">IF(RAIDLog[[#This Row],[Title]]="","",IF(RAIDLog[[#This Row],[Score]]&gt;=RAIDHighScore,"High",IF(RAIDLog[[#This Row],[Score]]&gt;=RAIDMediumScore,"Medium","Low")))</f>
        <v/>
      </c>
      <c r="M59" s="28" t="str">
        <f aca="false">IF(OR(RAIDLog[[#This Row],[Title]]="",N(RAIDLog[[#This Row],[Due]])=0),"",IF(AND(RAIDLog[[#This Row],[Status]]&lt;&gt;"Closed",RAIDLog[[#This Row],[Due]]&lt;StatusDate),"Overdue",""))</f>
        <v/>
      </c>
      <c r="N59" s="29"/>
      <c r="O59" s="24" t="str">
        <f aca="false">IF(N(RAIDLog[[#This Row],[Task UID]])=0,"",IFERROR(INDEX(tsk_Name,MATCH(RAIDLog[[#This Row],[Task UID]],tsk_UID,0)),"UID "&amp;RAIDLog[[#This Row],[Task UID]]&amp;" not found"))</f>
        <v/>
      </c>
      <c r="P59" s="25" t="str">
        <f aca="false">IF(N(RAIDLog[[#This Row],[Task UID]])=0,"",IFERROR(INDEX(tsk_FcFinish,MATCH(RAIDLog[[#This Row],[Task UID]],tsk_UID,0)),""))</f>
        <v/>
      </c>
      <c r="Q59" s="30"/>
      <c r="R59" s="30"/>
      <c r="S59" s="41" t="str">
        <f aca="false">IF(RAIDLog[[#This Row],[Title]]="","",RAIDLog[[#This Row],[Type]]&amp;" "&amp;RAIDLog[[#This Row],[Ref]]&amp;": "&amp;RAIDLog[[#This Row],[Title]])</f>
        <v/>
      </c>
      <c r="T59" s="41" t="str">
        <f aca="false">IF(AND(NOT(RAIDLog[[#This Row],[Title]]=""),RAIDLog[[#This Row],[Status]]&lt;&gt;"Closed"),RAIDLog[[#This Row],[Score]]+1-(ROW()-ROW(RAIDLog[[#Headers],[Ref]]))/100000,"")</f>
        <v/>
      </c>
    </row>
    <row r="60" customFormat="false" ht="15" hidden="false" customHeight="false" outlineLevel="0" collapsed="false">
      <c r="B60" s="29" t="n">
        <v>56</v>
      </c>
      <c r="C60" s="30"/>
      <c r="D60" s="30"/>
      <c r="E60" s="30"/>
      <c r="F60" s="73"/>
      <c r="G60" s="73"/>
      <c r="H60" s="29"/>
      <c r="I60" s="29"/>
      <c r="J60" s="29"/>
      <c r="K60" s="43" t="str">
        <f aca="false">IF(RAIDLog[[#This Row],[Title]]="","",IF(RAIDLog[[#This Row],[Type]]="Issue",5,N(RAIDLog[[#This Row],[Probability]]))*N(RAIDLog[[#This Row],[Impact]]))</f>
        <v/>
      </c>
      <c r="L60" s="28" t="str">
        <f aca="false">IF(RAIDLog[[#This Row],[Title]]="","",IF(RAIDLog[[#This Row],[Score]]&gt;=RAIDHighScore,"High",IF(RAIDLog[[#This Row],[Score]]&gt;=RAIDMediumScore,"Medium","Low")))</f>
        <v/>
      </c>
      <c r="M60" s="28" t="str">
        <f aca="false">IF(OR(RAIDLog[[#This Row],[Title]]="",N(RAIDLog[[#This Row],[Due]])=0),"",IF(AND(RAIDLog[[#This Row],[Status]]&lt;&gt;"Closed",RAIDLog[[#This Row],[Due]]&lt;StatusDate),"Overdue",""))</f>
        <v/>
      </c>
      <c r="N60" s="29"/>
      <c r="O60" s="24" t="str">
        <f aca="false">IF(N(RAIDLog[[#This Row],[Task UID]])=0,"",IFERROR(INDEX(tsk_Name,MATCH(RAIDLog[[#This Row],[Task UID]],tsk_UID,0)),"UID "&amp;RAIDLog[[#This Row],[Task UID]]&amp;" not found"))</f>
        <v/>
      </c>
      <c r="P60" s="25" t="str">
        <f aca="false">IF(N(RAIDLog[[#This Row],[Task UID]])=0,"",IFERROR(INDEX(tsk_FcFinish,MATCH(RAIDLog[[#This Row],[Task UID]],tsk_UID,0)),""))</f>
        <v/>
      </c>
      <c r="Q60" s="30"/>
      <c r="R60" s="30"/>
      <c r="S60" s="41" t="str">
        <f aca="false">IF(RAIDLog[[#This Row],[Title]]="","",RAIDLog[[#This Row],[Type]]&amp;" "&amp;RAIDLog[[#This Row],[Ref]]&amp;": "&amp;RAIDLog[[#This Row],[Title]])</f>
        <v/>
      </c>
      <c r="T60" s="41" t="str">
        <f aca="false">IF(AND(NOT(RAIDLog[[#This Row],[Title]]=""),RAIDLog[[#This Row],[Status]]&lt;&gt;"Closed"),RAIDLog[[#This Row],[Score]]+1-(ROW()-ROW(RAIDLog[[#Headers],[Ref]]))/100000,"")</f>
        <v/>
      </c>
    </row>
    <row r="61" customFormat="false" ht="15" hidden="false" customHeight="false" outlineLevel="0" collapsed="false">
      <c r="B61" s="29" t="n">
        <v>57</v>
      </c>
      <c r="C61" s="30"/>
      <c r="D61" s="30"/>
      <c r="E61" s="30"/>
      <c r="F61" s="73"/>
      <c r="G61" s="73"/>
      <c r="H61" s="29"/>
      <c r="I61" s="29"/>
      <c r="J61" s="29"/>
      <c r="K61" s="43" t="str">
        <f aca="false">IF(RAIDLog[[#This Row],[Title]]="","",IF(RAIDLog[[#This Row],[Type]]="Issue",5,N(RAIDLog[[#This Row],[Probability]]))*N(RAIDLog[[#This Row],[Impact]]))</f>
        <v/>
      </c>
      <c r="L61" s="28" t="str">
        <f aca="false">IF(RAIDLog[[#This Row],[Title]]="","",IF(RAIDLog[[#This Row],[Score]]&gt;=RAIDHighScore,"High",IF(RAIDLog[[#This Row],[Score]]&gt;=RAIDMediumScore,"Medium","Low")))</f>
        <v/>
      </c>
      <c r="M61" s="28" t="str">
        <f aca="false">IF(OR(RAIDLog[[#This Row],[Title]]="",N(RAIDLog[[#This Row],[Due]])=0),"",IF(AND(RAIDLog[[#This Row],[Status]]&lt;&gt;"Closed",RAIDLog[[#This Row],[Due]]&lt;StatusDate),"Overdue",""))</f>
        <v/>
      </c>
      <c r="N61" s="29"/>
      <c r="O61" s="24" t="str">
        <f aca="false">IF(N(RAIDLog[[#This Row],[Task UID]])=0,"",IFERROR(INDEX(tsk_Name,MATCH(RAIDLog[[#This Row],[Task UID]],tsk_UID,0)),"UID "&amp;RAIDLog[[#This Row],[Task UID]]&amp;" not found"))</f>
        <v/>
      </c>
      <c r="P61" s="25" t="str">
        <f aca="false">IF(N(RAIDLog[[#This Row],[Task UID]])=0,"",IFERROR(INDEX(tsk_FcFinish,MATCH(RAIDLog[[#This Row],[Task UID]],tsk_UID,0)),""))</f>
        <v/>
      </c>
      <c r="Q61" s="30"/>
      <c r="R61" s="30"/>
      <c r="S61" s="41" t="str">
        <f aca="false">IF(RAIDLog[[#This Row],[Title]]="","",RAIDLog[[#This Row],[Type]]&amp;" "&amp;RAIDLog[[#This Row],[Ref]]&amp;": "&amp;RAIDLog[[#This Row],[Title]])</f>
        <v/>
      </c>
      <c r="T61" s="41" t="str">
        <f aca="false">IF(AND(NOT(RAIDLog[[#This Row],[Title]]=""),RAIDLog[[#This Row],[Status]]&lt;&gt;"Closed"),RAIDLog[[#This Row],[Score]]+1-(ROW()-ROW(RAIDLog[[#Headers],[Ref]]))/100000,"")</f>
        <v/>
      </c>
    </row>
    <row r="62" customFormat="false" ht="15" hidden="false" customHeight="false" outlineLevel="0" collapsed="false">
      <c r="B62" s="29" t="n">
        <v>58</v>
      </c>
      <c r="C62" s="30"/>
      <c r="D62" s="30"/>
      <c r="E62" s="30"/>
      <c r="F62" s="73"/>
      <c r="G62" s="73"/>
      <c r="H62" s="29"/>
      <c r="I62" s="29"/>
      <c r="J62" s="29"/>
      <c r="K62" s="43" t="str">
        <f aca="false">IF(RAIDLog[[#This Row],[Title]]="","",IF(RAIDLog[[#This Row],[Type]]="Issue",5,N(RAIDLog[[#This Row],[Probability]]))*N(RAIDLog[[#This Row],[Impact]]))</f>
        <v/>
      </c>
      <c r="L62" s="28" t="str">
        <f aca="false">IF(RAIDLog[[#This Row],[Title]]="","",IF(RAIDLog[[#This Row],[Score]]&gt;=RAIDHighScore,"High",IF(RAIDLog[[#This Row],[Score]]&gt;=RAIDMediumScore,"Medium","Low")))</f>
        <v/>
      </c>
      <c r="M62" s="28" t="str">
        <f aca="false">IF(OR(RAIDLog[[#This Row],[Title]]="",N(RAIDLog[[#This Row],[Due]])=0),"",IF(AND(RAIDLog[[#This Row],[Status]]&lt;&gt;"Closed",RAIDLog[[#This Row],[Due]]&lt;StatusDate),"Overdue",""))</f>
        <v/>
      </c>
      <c r="N62" s="29"/>
      <c r="O62" s="24" t="str">
        <f aca="false">IF(N(RAIDLog[[#This Row],[Task UID]])=0,"",IFERROR(INDEX(tsk_Name,MATCH(RAIDLog[[#This Row],[Task UID]],tsk_UID,0)),"UID "&amp;RAIDLog[[#This Row],[Task UID]]&amp;" not found"))</f>
        <v/>
      </c>
      <c r="P62" s="25" t="str">
        <f aca="false">IF(N(RAIDLog[[#This Row],[Task UID]])=0,"",IFERROR(INDEX(tsk_FcFinish,MATCH(RAIDLog[[#This Row],[Task UID]],tsk_UID,0)),""))</f>
        <v/>
      </c>
      <c r="Q62" s="30"/>
      <c r="R62" s="30"/>
      <c r="S62" s="41" t="str">
        <f aca="false">IF(RAIDLog[[#This Row],[Title]]="","",RAIDLog[[#This Row],[Type]]&amp;" "&amp;RAIDLog[[#This Row],[Ref]]&amp;": "&amp;RAIDLog[[#This Row],[Title]])</f>
        <v/>
      </c>
      <c r="T62" s="41" t="str">
        <f aca="false">IF(AND(NOT(RAIDLog[[#This Row],[Title]]=""),RAIDLog[[#This Row],[Status]]&lt;&gt;"Closed"),RAIDLog[[#This Row],[Score]]+1-(ROW()-ROW(RAIDLog[[#Headers],[Ref]]))/100000,"")</f>
        <v/>
      </c>
    </row>
    <row r="63" customFormat="false" ht="15" hidden="false" customHeight="false" outlineLevel="0" collapsed="false">
      <c r="B63" s="29" t="n">
        <v>59</v>
      </c>
      <c r="C63" s="30"/>
      <c r="D63" s="30"/>
      <c r="E63" s="30"/>
      <c r="F63" s="73"/>
      <c r="G63" s="73"/>
      <c r="H63" s="29"/>
      <c r="I63" s="29"/>
      <c r="J63" s="29"/>
      <c r="K63" s="43" t="str">
        <f aca="false">IF(RAIDLog[[#This Row],[Title]]="","",IF(RAIDLog[[#This Row],[Type]]="Issue",5,N(RAIDLog[[#This Row],[Probability]]))*N(RAIDLog[[#This Row],[Impact]]))</f>
        <v/>
      </c>
      <c r="L63" s="28" t="str">
        <f aca="false">IF(RAIDLog[[#This Row],[Title]]="","",IF(RAIDLog[[#This Row],[Score]]&gt;=RAIDHighScore,"High",IF(RAIDLog[[#This Row],[Score]]&gt;=RAIDMediumScore,"Medium","Low")))</f>
        <v/>
      </c>
      <c r="M63" s="28" t="str">
        <f aca="false">IF(OR(RAIDLog[[#This Row],[Title]]="",N(RAIDLog[[#This Row],[Due]])=0),"",IF(AND(RAIDLog[[#This Row],[Status]]&lt;&gt;"Closed",RAIDLog[[#This Row],[Due]]&lt;StatusDate),"Overdue",""))</f>
        <v/>
      </c>
      <c r="N63" s="29"/>
      <c r="O63" s="24" t="str">
        <f aca="false">IF(N(RAIDLog[[#This Row],[Task UID]])=0,"",IFERROR(INDEX(tsk_Name,MATCH(RAIDLog[[#This Row],[Task UID]],tsk_UID,0)),"UID "&amp;RAIDLog[[#This Row],[Task UID]]&amp;" not found"))</f>
        <v/>
      </c>
      <c r="P63" s="25" t="str">
        <f aca="false">IF(N(RAIDLog[[#This Row],[Task UID]])=0,"",IFERROR(INDEX(tsk_FcFinish,MATCH(RAIDLog[[#This Row],[Task UID]],tsk_UID,0)),""))</f>
        <v/>
      </c>
      <c r="Q63" s="30"/>
      <c r="R63" s="30"/>
      <c r="S63" s="41" t="str">
        <f aca="false">IF(RAIDLog[[#This Row],[Title]]="","",RAIDLog[[#This Row],[Type]]&amp;" "&amp;RAIDLog[[#This Row],[Ref]]&amp;": "&amp;RAIDLog[[#This Row],[Title]])</f>
        <v/>
      </c>
      <c r="T63" s="41" t="str">
        <f aca="false">IF(AND(NOT(RAIDLog[[#This Row],[Title]]=""),RAIDLog[[#This Row],[Status]]&lt;&gt;"Closed"),RAIDLog[[#This Row],[Score]]+1-(ROW()-ROW(RAIDLog[[#Headers],[Ref]]))/100000,"")</f>
        <v/>
      </c>
    </row>
    <row r="64" customFormat="false" ht="15" hidden="false" customHeight="false" outlineLevel="0" collapsed="false">
      <c r="B64" s="29" t="n">
        <v>60</v>
      </c>
      <c r="C64" s="30"/>
      <c r="D64" s="30"/>
      <c r="E64" s="30"/>
      <c r="F64" s="73"/>
      <c r="G64" s="73"/>
      <c r="H64" s="29"/>
      <c r="I64" s="29"/>
      <c r="J64" s="29"/>
      <c r="K64" s="43" t="str">
        <f aca="false">IF(RAIDLog[[#This Row],[Title]]="","",IF(RAIDLog[[#This Row],[Type]]="Issue",5,N(RAIDLog[[#This Row],[Probability]]))*N(RAIDLog[[#This Row],[Impact]]))</f>
        <v/>
      </c>
      <c r="L64" s="28" t="str">
        <f aca="false">IF(RAIDLog[[#This Row],[Title]]="","",IF(RAIDLog[[#This Row],[Score]]&gt;=RAIDHighScore,"High",IF(RAIDLog[[#This Row],[Score]]&gt;=RAIDMediumScore,"Medium","Low")))</f>
        <v/>
      </c>
      <c r="M64" s="28" t="str">
        <f aca="false">IF(OR(RAIDLog[[#This Row],[Title]]="",N(RAIDLog[[#This Row],[Due]])=0),"",IF(AND(RAIDLog[[#This Row],[Status]]&lt;&gt;"Closed",RAIDLog[[#This Row],[Due]]&lt;StatusDate),"Overdue",""))</f>
        <v/>
      </c>
      <c r="N64" s="29"/>
      <c r="O64" s="24" t="str">
        <f aca="false">IF(N(RAIDLog[[#This Row],[Task UID]])=0,"",IFERROR(INDEX(tsk_Name,MATCH(RAIDLog[[#This Row],[Task UID]],tsk_UID,0)),"UID "&amp;RAIDLog[[#This Row],[Task UID]]&amp;" not found"))</f>
        <v/>
      </c>
      <c r="P64" s="25" t="str">
        <f aca="false">IF(N(RAIDLog[[#This Row],[Task UID]])=0,"",IFERROR(INDEX(tsk_FcFinish,MATCH(RAIDLog[[#This Row],[Task UID]],tsk_UID,0)),""))</f>
        <v/>
      </c>
      <c r="Q64" s="30"/>
      <c r="R64" s="30"/>
      <c r="S64" s="41" t="str">
        <f aca="false">IF(RAIDLog[[#This Row],[Title]]="","",RAIDLog[[#This Row],[Type]]&amp;" "&amp;RAIDLog[[#This Row],[Ref]]&amp;": "&amp;RAIDLog[[#This Row],[Title]])</f>
        <v/>
      </c>
      <c r="T64" s="41" t="str">
        <f aca="false">IF(AND(NOT(RAIDLog[[#This Row],[Title]]=""),RAIDLog[[#This Row],[Status]]&lt;&gt;"Closed"),RAIDLog[[#This Row],[Score]]+1-(ROW()-ROW(RAIDLog[[#Headers],[Ref]]))/100000,"")</f>
        <v/>
      </c>
    </row>
    <row r="65" customFormat="false" ht="15" hidden="false" customHeight="false" outlineLevel="0" collapsed="false">
      <c r="B65" s="29" t="n">
        <v>61</v>
      </c>
      <c r="C65" s="30"/>
      <c r="D65" s="30"/>
      <c r="E65" s="30"/>
      <c r="F65" s="73"/>
      <c r="G65" s="73"/>
      <c r="H65" s="29"/>
      <c r="I65" s="29"/>
      <c r="J65" s="29"/>
      <c r="K65" s="43" t="str">
        <f aca="false">IF(RAIDLog[[#This Row],[Title]]="","",IF(RAIDLog[[#This Row],[Type]]="Issue",5,N(RAIDLog[[#This Row],[Probability]]))*N(RAIDLog[[#This Row],[Impact]]))</f>
        <v/>
      </c>
      <c r="L65" s="28" t="str">
        <f aca="false">IF(RAIDLog[[#This Row],[Title]]="","",IF(RAIDLog[[#This Row],[Score]]&gt;=RAIDHighScore,"High",IF(RAIDLog[[#This Row],[Score]]&gt;=RAIDMediumScore,"Medium","Low")))</f>
        <v/>
      </c>
      <c r="M65" s="28" t="str">
        <f aca="false">IF(OR(RAIDLog[[#This Row],[Title]]="",N(RAIDLog[[#This Row],[Due]])=0),"",IF(AND(RAIDLog[[#This Row],[Status]]&lt;&gt;"Closed",RAIDLog[[#This Row],[Due]]&lt;StatusDate),"Overdue",""))</f>
        <v/>
      </c>
      <c r="N65" s="29"/>
      <c r="O65" s="24" t="str">
        <f aca="false">IF(N(RAIDLog[[#This Row],[Task UID]])=0,"",IFERROR(INDEX(tsk_Name,MATCH(RAIDLog[[#This Row],[Task UID]],tsk_UID,0)),"UID "&amp;RAIDLog[[#This Row],[Task UID]]&amp;" not found"))</f>
        <v/>
      </c>
      <c r="P65" s="25" t="str">
        <f aca="false">IF(N(RAIDLog[[#This Row],[Task UID]])=0,"",IFERROR(INDEX(tsk_FcFinish,MATCH(RAIDLog[[#This Row],[Task UID]],tsk_UID,0)),""))</f>
        <v/>
      </c>
      <c r="Q65" s="30"/>
      <c r="R65" s="30"/>
      <c r="S65" s="41" t="str">
        <f aca="false">IF(RAIDLog[[#This Row],[Title]]="","",RAIDLog[[#This Row],[Type]]&amp;" "&amp;RAIDLog[[#This Row],[Ref]]&amp;": "&amp;RAIDLog[[#This Row],[Title]])</f>
        <v/>
      </c>
      <c r="T65" s="41" t="str">
        <f aca="false">IF(AND(NOT(RAIDLog[[#This Row],[Title]]=""),RAIDLog[[#This Row],[Status]]&lt;&gt;"Closed"),RAIDLog[[#This Row],[Score]]+1-(ROW()-ROW(RAIDLog[[#Headers],[Ref]]))/100000,"")</f>
        <v/>
      </c>
    </row>
    <row r="66" customFormat="false" ht="15" hidden="false" customHeight="false" outlineLevel="0" collapsed="false">
      <c r="B66" s="29" t="n">
        <v>62</v>
      </c>
      <c r="C66" s="30"/>
      <c r="D66" s="30"/>
      <c r="E66" s="30"/>
      <c r="F66" s="73"/>
      <c r="G66" s="73"/>
      <c r="H66" s="29"/>
      <c r="I66" s="29"/>
      <c r="J66" s="29"/>
      <c r="K66" s="43" t="str">
        <f aca="false">IF(RAIDLog[[#This Row],[Title]]="","",IF(RAIDLog[[#This Row],[Type]]="Issue",5,N(RAIDLog[[#This Row],[Probability]]))*N(RAIDLog[[#This Row],[Impact]]))</f>
        <v/>
      </c>
      <c r="L66" s="28" t="str">
        <f aca="false">IF(RAIDLog[[#This Row],[Title]]="","",IF(RAIDLog[[#This Row],[Score]]&gt;=RAIDHighScore,"High",IF(RAIDLog[[#This Row],[Score]]&gt;=RAIDMediumScore,"Medium","Low")))</f>
        <v/>
      </c>
      <c r="M66" s="28" t="str">
        <f aca="false">IF(OR(RAIDLog[[#This Row],[Title]]="",N(RAIDLog[[#This Row],[Due]])=0),"",IF(AND(RAIDLog[[#This Row],[Status]]&lt;&gt;"Closed",RAIDLog[[#This Row],[Due]]&lt;StatusDate),"Overdue",""))</f>
        <v/>
      </c>
      <c r="N66" s="29"/>
      <c r="O66" s="24" t="str">
        <f aca="false">IF(N(RAIDLog[[#This Row],[Task UID]])=0,"",IFERROR(INDEX(tsk_Name,MATCH(RAIDLog[[#This Row],[Task UID]],tsk_UID,0)),"UID "&amp;RAIDLog[[#This Row],[Task UID]]&amp;" not found"))</f>
        <v/>
      </c>
      <c r="P66" s="25" t="str">
        <f aca="false">IF(N(RAIDLog[[#This Row],[Task UID]])=0,"",IFERROR(INDEX(tsk_FcFinish,MATCH(RAIDLog[[#This Row],[Task UID]],tsk_UID,0)),""))</f>
        <v/>
      </c>
      <c r="Q66" s="30"/>
      <c r="R66" s="30"/>
      <c r="S66" s="41" t="str">
        <f aca="false">IF(RAIDLog[[#This Row],[Title]]="","",RAIDLog[[#This Row],[Type]]&amp;" "&amp;RAIDLog[[#This Row],[Ref]]&amp;": "&amp;RAIDLog[[#This Row],[Title]])</f>
        <v/>
      </c>
      <c r="T66" s="41" t="str">
        <f aca="false">IF(AND(NOT(RAIDLog[[#This Row],[Title]]=""),RAIDLog[[#This Row],[Status]]&lt;&gt;"Closed"),RAIDLog[[#This Row],[Score]]+1-(ROW()-ROW(RAIDLog[[#Headers],[Ref]]))/100000,"")</f>
        <v/>
      </c>
    </row>
    <row r="67" customFormat="false" ht="15" hidden="false" customHeight="false" outlineLevel="0" collapsed="false">
      <c r="B67" s="29" t="n">
        <v>63</v>
      </c>
      <c r="C67" s="30"/>
      <c r="D67" s="30"/>
      <c r="E67" s="30"/>
      <c r="F67" s="73"/>
      <c r="G67" s="73"/>
      <c r="H67" s="29"/>
      <c r="I67" s="29"/>
      <c r="J67" s="29"/>
      <c r="K67" s="43" t="str">
        <f aca="false">IF(RAIDLog[[#This Row],[Title]]="","",IF(RAIDLog[[#This Row],[Type]]="Issue",5,N(RAIDLog[[#This Row],[Probability]]))*N(RAIDLog[[#This Row],[Impact]]))</f>
        <v/>
      </c>
      <c r="L67" s="28" t="str">
        <f aca="false">IF(RAIDLog[[#This Row],[Title]]="","",IF(RAIDLog[[#This Row],[Score]]&gt;=RAIDHighScore,"High",IF(RAIDLog[[#This Row],[Score]]&gt;=RAIDMediumScore,"Medium","Low")))</f>
        <v/>
      </c>
      <c r="M67" s="28" t="str">
        <f aca="false">IF(OR(RAIDLog[[#This Row],[Title]]="",N(RAIDLog[[#This Row],[Due]])=0),"",IF(AND(RAIDLog[[#This Row],[Status]]&lt;&gt;"Closed",RAIDLog[[#This Row],[Due]]&lt;StatusDate),"Overdue",""))</f>
        <v/>
      </c>
      <c r="N67" s="29"/>
      <c r="O67" s="24" t="str">
        <f aca="false">IF(N(RAIDLog[[#This Row],[Task UID]])=0,"",IFERROR(INDEX(tsk_Name,MATCH(RAIDLog[[#This Row],[Task UID]],tsk_UID,0)),"UID "&amp;RAIDLog[[#This Row],[Task UID]]&amp;" not found"))</f>
        <v/>
      </c>
      <c r="P67" s="25" t="str">
        <f aca="false">IF(N(RAIDLog[[#This Row],[Task UID]])=0,"",IFERROR(INDEX(tsk_FcFinish,MATCH(RAIDLog[[#This Row],[Task UID]],tsk_UID,0)),""))</f>
        <v/>
      </c>
      <c r="Q67" s="30"/>
      <c r="R67" s="30"/>
      <c r="S67" s="41" t="str">
        <f aca="false">IF(RAIDLog[[#This Row],[Title]]="","",RAIDLog[[#This Row],[Type]]&amp;" "&amp;RAIDLog[[#This Row],[Ref]]&amp;": "&amp;RAIDLog[[#This Row],[Title]])</f>
        <v/>
      </c>
      <c r="T67" s="41" t="str">
        <f aca="false">IF(AND(NOT(RAIDLog[[#This Row],[Title]]=""),RAIDLog[[#This Row],[Status]]&lt;&gt;"Closed"),RAIDLog[[#This Row],[Score]]+1-(ROW()-ROW(RAIDLog[[#Headers],[Ref]]))/100000,"")</f>
        <v/>
      </c>
    </row>
    <row r="68" customFormat="false" ht="15" hidden="false" customHeight="false" outlineLevel="0" collapsed="false">
      <c r="B68" s="29" t="n">
        <v>64</v>
      </c>
      <c r="C68" s="30"/>
      <c r="D68" s="30"/>
      <c r="E68" s="30"/>
      <c r="F68" s="73"/>
      <c r="G68" s="73"/>
      <c r="H68" s="29"/>
      <c r="I68" s="29"/>
      <c r="J68" s="29"/>
      <c r="K68" s="43" t="str">
        <f aca="false">IF(RAIDLog[[#This Row],[Title]]="","",IF(RAIDLog[[#This Row],[Type]]="Issue",5,N(RAIDLog[[#This Row],[Probability]]))*N(RAIDLog[[#This Row],[Impact]]))</f>
        <v/>
      </c>
      <c r="L68" s="28" t="str">
        <f aca="false">IF(RAIDLog[[#This Row],[Title]]="","",IF(RAIDLog[[#This Row],[Score]]&gt;=RAIDHighScore,"High",IF(RAIDLog[[#This Row],[Score]]&gt;=RAIDMediumScore,"Medium","Low")))</f>
        <v/>
      </c>
      <c r="M68" s="28" t="str">
        <f aca="false">IF(OR(RAIDLog[[#This Row],[Title]]="",N(RAIDLog[[#This Row],[Due]])=0),"",IF(AND(RAIDLog[[#This Row],[Status]]&lt;&gt;"Closed",RAIDLog[[#This Row],[Due]]&lt;StatusDate),"Overdue",""))</f>
        <v/>
      </c>
      <c r="N68" s="29"/>
      <c r="O68" s="24" t="str">
        <f aca="false">IF(N(RAIDLog[[#This Row],[Task UID]])=0,"",IFERROR(INDEX(tsk_Name,MATCH(RAIDLog[[#This Row],[Task UID]],tsk_UID,0)),"UID "&amp;RAIDLog[[#This Row],[Task UID]]&amp;" not found"))</f>
        <v/>
      </c>
      <c r="P68" s="25" t="str">
        <f aca="false">IF(N(RAIDLog[[#This Row],[Task UID]])=0,"",IFERROR(INDEX(tsk_FcFinish,MATCH(RAIDLog[[#This Row],[Task UID]],tsk_UID,0)),""))</f>
        <v/>
      </c>
      <c r="Q68" s="30"/>
      <c r="R68" s="30"/>
      <c r="S68" s="41" t="str">
        <f aca="false">IF(RAIDLog[[#This Row],[Title]]="","",RAIDLog[[#This Row],[Type]]&amp;" "&amp;RAIDLog[[#This Row],[Ref]]&amp;": "&amp;RAIDLog[[#This Row],[Title]])</f>
        <v/>
      </c>
      <c r="T68" s="41" t="str">
        <f aca="false">IF(AND(NOT(RAIDLog[[#This Row],[Title]]=""),RAIDLog[[#This Row],[Status]]&lt;&gt;"Closed"),RAIDLog[[#This Row],[Score]]+1-(ROW()-ROW(RAIDLog[[#Headers],[Ref]]))/100000,"")</f>
        <v/>
      </c>
    </row>
    <row r="69" customFormat="false" ht="15" hidden="false" customHeight="false" outlineLevel="0" collapsed="false">
      <c r="B69" s="29" t="n">
        <v>65</v>
      </c>
      <c r="C69" s="30"/>
      <c r="D69" s="30"/>
      <c r="E69" s="30"/>
      <c r="F69" s="73"/>
      <c r="G69" s="73"/>
      <c r="H69" s="29"/>
      <c r="I69" s="29"/>
      <c r="J69" s="29"/>
      <c r="K69" s="43" t="str">
        <f aca="false">IF(RAIDLog[[#This Row],[Title]]="","",IF(RAIDLog[[#This Row],[Type]]="Issue",5,N(RAIDLog[[#This Row],[Probability]]))*N(RAIDLog[[#This Row],[Impact]]))</f>
        <v/>
      </c>
      <c r="L69" s="28" t="str">
        <f aca="false">IF(RAIDLog[[#This Row],[Title]]="","",IF(RAIDLog[[#This Row],[Score]]&gt;=RAIDHighScore,"High",IF(RAIDLog[[#This Row],[Score]]&gt;=RAIDMediumScore,"Medium","Low")))</f>
        <v/>
      </c>
      <c r="M69" s="28" t="str">
        <f aca="false">IF(OR(RAIDLog[[#This Row],[Title]]="",N(RAIDLog[[#This Row],[Due]])=0),"",IF(AND(RAIDLog[[#This Row],[Status]]&lt;&gt;"Closed",RAIDLog[[#This Row],[Due]]&lt;StatusDate),"Overdue",""))</f>
        <v/>
      </c>
      <c r="N69" s="29"/>
      <c r="O69" s="24" t="str">
        <f aca="false">IF(N(RAIDLog[[#This Row],[Task UID]])=0,"",IFERROR(INDEX(tsk_Name,MATCH(RAIDLog[[#This Row],[Task UID]],tsk_UID,0)),"UID "&amp;RAIDLog[[#This Row],[Task UID]]&amp;" not found"))</f>
        <v/>
      </c>
      <c r="P69" s="25" t="str">
        <f aca="false">IF(N(RAIDLog[[#This Row],[Task UID]])=0,"",IFERROR(INDEX(tsk_FcFinish,MATCH(RAIDLog[[#This Row],[Task UID]],tsk_UID,0)),""))</f>
        <v/>
      </c>
      <c r="Q69" s="30"/>
      <c r="R69" s="30"/>
      <c r="S69" s="41" t="str">
        <f aca="false">IF(RAIDLog[[#This Row],[Title]]="","",RAIDLog[[#This Row],[Type]]&amp;" "&amp;RAIDLog[[#This Row],[Ref]]&amp;": "&amp;RAIDLog[[#This Row],[Title]])</f>
        <v/>
      </c>
      <c r="T69" s="41" t="str">
        <f aca="false">IF(AND(NOT(RAIDLog[[#This Row],[Title]]=""),RAIDLog[[#This Row],[Status]]&lt;&gt;"Closed"),RAIDLog[[#This Row],[Score]]+1-(ROW()-ROW(RAIDLog[[#Headers],[Ref]]))/100000,"")</f>
        <v/>
      </c>
    </row>
    <row r="70" customFormat="false" ht="15" hidden="false" customHeight="false" outlineLevel="0" collapsed="false">
      <c r="B70" s="29" t="n">
        <v>66</v>
      </c>
      <c r="C70" s="30"/>
      <c r="D70" s="30"/>
      <c r="E70" s="30"/>
      <c r="F70" s="73"/>
      <c r="G70" s="73"/>
      <c r="H70" s="29"/>
      <c r="I70" s="29"/>
      <c r="J70" s="29"/>
      <c r="K70" s="43" t="str">
        <f aca="false">IF(RAIDLog[[#This Row],[Title]]="","",IF(RAIDLog[[#This Row],[Type]]="Issue",5,N(RAIDLog[[#This Row],[Probability]]))*N(RAIDLog[[#This Row],[Impact]]))</f>
        <v/>
      </c>
      <c r="L70" s="28" t="str">
        <f aca="false">IF(RAIDLog[[#This Row],[Title]]="","",IF(RAIDLog[[#This Row],[Score]]&gt;=RAIDHighScore,"High",IF(RAIDLog[[#This Row],[Score]]&gt;=RAIDMediumScore,"Medium","Low")))</f>
        <v/>
      </c>
      <c r="M70" s="28" t="str">
        <f aca="false">IF(OR(RAIDLog[[#This Row],[Title]]="",N(RAIDLog[[#This Row],[Due]])=0),"",IF(AND(RAIDLog[[#This Row],[Status]]&lt;&gt;"Closed",RAIDLog[[#This Row],[Due]]&lt;StatusDate),"Overdue",""))</f>
        <v/>
      </c>
      <c r="N70" s="29"/>
      <c r="O70" s="24" t="str">
        <f aca="false">IF(N(RAIDLog[[#This Row],[Task UID]])=0,"",IFERROR(INDEX(tsk_Name,MATCH(RAIDLog[[#This Row],[Task UID]],tsk_UID,0)),"UID "&amp;RAIDLog[[#This Row],[Task UID]]&amp;" not found"))</f>
        <v/>
      </c>
      <c r="P70" s="25" t="str">
        <f aca="false">IF(N(RAIDLog[[#This Row],[Task UID]])=0,"",IFERROR(INDEX(tsk_FcFinish,MATCH(RAIDLog[[#This Row],[Task UID]],tsk_UID,0)),""))</f>
        <v/>
      </c>
      <c r="Q70" s="30"/>
      <c r="R70" s="30"/>
      <c r="S70" s="41" t="str">
        <f aca="false">IF(RAIDLog[[#This Row],[Title]]="","",RAIDLog[[#This Row],[Type]]&amp;" "&amp;RAIDLog[[#This Row],[Ref]]&amp;": "&amp;RAIDLog[[#This Row],[Title]])</f>
        <v/>
      </c>
      <c r="T70" s="41" t="str">
        <f aca="false">IF(AND(NOT(RAIDLog[[#This Row],[Title]]=""),RAIDLog[[#This Row],[Status]]&lt;&gt;"Closed"),RAIDLog[[#This Row],[Score]]+1-(ROW()-ROW(RAIDLog[[#Headers],[Ref]]))/100000,"")</f>
        <v/>
      </c>
    </row>
    <row r="71" customFormat="false" ht="15" hidden="false" customHeight="false" outlineLevel="0" collapsed="false">
      <c r="B71" s="29" t="n">
        <v>67</v>
      </c>
      <c r="C71" s="30"/>
      <c r="D71" s="30"/>
      <c r="E71" s="30"/>
      <c r="F71" s="73"/>
      <c r="G71" s="73"/>
      <c r="H71" s="29"/>
      <c r="I71" s="29"/>
      <c r="J71" s="29"/>
      <c r="K71" s="43" t="str">
        <f aca="false">IF(RAIDLog[[#This Row],[Title]]="","",IF(RAIDLog[[#This Row],[Type]]="Issue",5,N(RAIDLog[[#This Row],[Probability]]))*N(RAIDLog[[#This Row],[Impact]]))</f>
        <v/>
      </c>
      <c r="L71" s="28" t="str">
        <f aca="false">IF(RAIDLog[[#This Row],[Title]]="","",IF(RAIDLog[[#This Row],[Score]]&gt;=RAIDHighScore,"High",IF(RAIDLog[[#This Row],[Score]]&gt;=RAIDMediumScore,"Medium","Low")))</f>
        <v/>
      </c>
      <c r="M71" s="28" t="str">
        <f aca="false">IF(OR(RAIDLog[[#This Row],[Title]]="",N(RAIDLog[[#This Row],[Due]])=0),"",IF(AND(RAIDLog[[#This Row],[Status]]&lt;&gt;"Closed",RAIDLog[[#This Row],[Due]]&lt;StatusDate),"Overdue",""))</f>
        <v/>
      </c>
      <c r="N71" s="29"/>
      <c r="O71" s="24" t="str">
        <f aca="false">IF(N(RAIDLog[[#This Row],[Task UID]])=0,"",IFERROR(INDEX(tsk_Name,MATCH(RAIDLog[[#This Row],[Task UID]],tsk_UID,0)),"UID "&amp;RAIDLog[[#This Row],[Task UID]]&amp;" not found"))</f>
        <v/>
      </c>
      <c r="P71" s="25" t="str">
        <f aca="false">IF(N(RAIDLog[[#This Row],[Task UID]])=0,"",IFERROR(INDEX(tsk_FcFinish,MATCH(RAIDLog[[#This Row],[Task UID]],tsk_UID,0)),""))</f>
        <v/>
      </c>
      <c r="Q71" s="30"/>
      <c r="R71" s="30"/>
      <c r="S71" s="41" t="str">
        <f aca="false">IF(RAIDLog[[#This Row],[Title]]="","",RAIDLog[[#This Row],[Type]]&amp;" "&amp;RAIDLog[[#This Row],[Ref]]&amp;": "&amp;RAIDLog[[#This Row],[Title]])</f>
        <v/>
      </c>
      <c r="T71" s="41" t="str">
        <f aca="false">IF(AND(NOT(RAIDLog[[#This Row],[Title]]=""),RAIDLog[[#This Row],[Status]]&lt;&gt;"Closed"),RAIDLog[[#This Row],[Score]]+1-(ROW()-ROW(RAIDLog[[#Headers],[Ref]]))/100000,"")</f>
        <v/>
      </c>
    </row>
    <row r="72" customFormat="false" ht="15" hidden="false" customHeight="false" outlineLevel="0" collapsed="false">
      <c r="B72" s="29" t="n">
        <v>68</v>
      </c>
      <c r="C72" s="30"/>
      <c r="D72" s="30"/>
      <c r="E72" s="30"/>
      <c r="F72" s="73"/>
      <c r="G72" s="73"/>
      <c r="H72" s="29"/>
      <c r="I72" s="29"/>
      <c r="J72" s="29"/>
      <c r="K72" s="43" t="str">
        <f aca="false">IF(RAIDLog[[#This Row],[Title]]="","",IF(RAIDLog[[#This Row],[Type]]="Issue",5,N(RAIDLog[[#This Row],[Probability]]))*N(RAIDLog[[#This Row],[Impact]]))</f>
        <v/>
      </c>
      <c r="L72" s="28" t="str">
        <f aca="false">IF(RAIDLog[[#This Row],[Title]]="","",IF(RAIDLog[[#This Row],[Score]]&gt;=RAIDHighScore,"High",IF(RAIDLog[[#This Row],[Score]]&gt;=RAIDMediumScore,"Medium","Low")))</f>
        <v/>
      </c>
      <c r="M72" s="28" t="str">
        <f aca="false">IF(OR(RAIDLog[[#This Row],[Title]]="",N(RAIDLog[[#This Row],[Due]])=0),"",IF(AND(RAIDLog[[#This Row],[Status]]&lt;&gt;"Closed",RAIDLog[[#This Row],[Due]]&lt;StatusDate),"Overdue",""))</f>
        <v/>
      </c>
      <c r="N72" s="29"/>
      <c r="O72" s="24" t="str">
        <f aca="false">IF(N(RAIDLog[[#This Row],[Task UID]])=0,"",IFERROR(INDEX(tsk_Name,MATCH(RAIDLog[[#This Row],[Task UID]],tsk_UID,0)),"UID "&amp;RAIDLog[[#This Row],[Task UID]]&amp;" not found"))</f>
        <v/>
      </c>
      <c r="P72" s="25" t="str">
        <f aca="false">IF(N(RAIDLog[[#This Row],[Task UID]])=0,"",IFERROR(INDEX(tsk_FcFinish,MATCH(RAIDLog[[#This Row],[Task UID]],tsk_UID,0)),""))</f>
        <v/>
      </c>
      <c r="Q72" s="30"/>
      <c r="R72" s="30"/>
      <c r="S72" s="41" t="str">
        <f aca="false">IF(RAIDLog[[#This Row],[Title]]="","",RAIDLog[[#This Row],[Type]]&amp;" "&amp;RAIDLog[[#This Row],[Ref]]&amp;": "&amp;RAIDLog[[#This Row],[Title]])</f>
        <v/>
      </c>
      <c r="T72" s="41" t="str">
        <f aca="false">IF(AND(NOT(RAIDLog[[#This Row],[Title]]=""),RAIDLog[[#This Row],[Status]]&lt;&gt;"Closed"),RAIDLog[[#This Row],[Score]]+1-(ROW()-ROW(RAIDLog[[#Headers],[Ref]]))/100000,"")</f>
        <v/>
      </c>
    </row>
    <row r="73" customFormat="false" ht="15" hidden="false" customHeight="false" outlineLevel="0" collapsed="false">
      <c r="B73" s="29" t="n">
        <v>69</v>
      </c>
      <c r="C73" s="30"/>
      <c r="D73" s="30"/>
      <c r="E73" s="30"/>
      <c r="F73" s="73"/>
      <c r="G73" s="73"/>
      <c r="H73" s="29"/>
      <c r="I73" s="29"/>
      <c r="J73" s="29"/>
      <c r="K73" s="43" t="str">
        <f aca="false">IF(RAIDLog[[#This Row],[Title]]="","",IF(RAIDLog[[#This Row],[Type]]="Issue",5,N(RAIDLog[[#This Row],[Probability]]))*N(RAIDLog[[#This Row],[Impact]]))</f>
        <v/>
      </c>
      <c r="L73" s="28" t="str">
        <f aca="false">IF(RAIDLog[[#This Row],[Title]]="","",IF(RAIDLog[[#This Row],[Score]]&gt;=RAIDHighScore,"High",IF(RAIDLog[[#This Row],[Score]]&gt;=RAIDMediumScore,"Medium","Low")))</f>
        <v/>
      </c>
      <c r="M73" s="28" t="str">
        <f aca="false">IF(OR(RAIDLog[[#This Row],[Title]]="",N(RAIDLog[[#This Row],[Due]])=0),"",IF(AND(RAIDLog[[#This Row],[Status]]&lt;&gt;"Closed",RAIDLog[[#This Row],[Due]]&lt;StatusDate),"Overdue",""))</f>
        <v/>
      </c>
      <c r="N73" s="29"/>
      <c r="O73" s="24" t="str">
        <f aca="false">IF(N(RAIDLog[[#This Row],[Task UID]])=0,"",IFERROR(INDEX(tsk_Name,MATCH(RAIDLog[[#This Row],[Task UID]],tsk_UID,0)),"UID "&amp;RAIDLog[[#This Row],[Task UID]]&amp;" not found"))</f>
        <v/>
      </c>
      <c r="P73" s="25" t="str">
        <f aca="false">IF(N(RAIDLog[[#This Row],[Task UID]])=0,"",IFERROR(INDEX(tsk_FcFinish,MATCH(RAIDLog[[#This Row],[Task UID]],tsk_UID,0)),""))</f>
        <v/>
      </c>
      <c r="Q73" s="30"/>
      <c r="R73" s="30"/>
      <c r="S73" s="41" t="str">
        <f aca="false">IF(RAIDLog[[#This Row],[Title]]="","",RAIDLog[[#This Row],[Type]]&amp;" "&amp;RAIDLog[[#This Row],[Ref]]&amp;": "&amp;RAIDLog[[#This Row],[Title]])</f>
        <v/>
      </c>
      <c r="T73" s="41" t="str">
        <f aca="false">IF(AND(NOT(RAIDLog[[#This Row],[Title]]=""),RAIDLog[[#This Row],[Status]]&lt;&gt;"Closed"),RAIDLog[[#This Row],[Score]]+1-(ROW()-ROW(RAIDLog[[#Headers],[Ref]]))/100000,"")</f>
        <v/>
      </c>
    </row>
    <row r="74" customFormat="false" ht="15" hidden="false" customHeight="false" outlineLevel="0" collapsed="false">
      <c r="B74" s="29" t="n">
        <v>70</v>
      </c>
      <c r="C74" s="30"/>
      <c r="D74" s="30"/>
      <c r="E74" s="30"/>
      <c r="F74" s="73"/>
      <c r="G74" s="73"/>
      <c r="H74" s="29"/>
      <c r="I74" s="29"/>
      <c r="J74" s="29"/>
      <c r="K74" s="43" t="str">
        <f aca="false">IF(RAIDLog[[#This Row],[Title]]="","",IF(RAIDLog[[#This Row],[Type]]="Issue",5,N(RAIDLog[[#This Row],[Probability]]))*N(RAIDLog[[#This Row],[Impact]]))</f>
        <v/>
      </c>
      <c r="L74" s="28" t="str">
        <f aca="false">IF(RAIDLog[[#This Row],[Title]]="","",IF(RAIDLog[[#This Row],[Score]]&gt;=RAIDHighScore,"High",IF(RAIDLog[[#This Row],[Score]]&gt;=RAIDMediumScore,"Medium","Low")))</f>
        <v/>
      </c>
      <c r="M74" s="28" t="str">
        <f aca="false">IF(OR(RAIDLog[[#This Row],[Title]]="",N(RAIDLog[[#This Row],[Due]])=0),"",IF(AND(RAIDLog[[#This Row],[Status]]&lt;&gt;"Closed",RAIDLog[[#This Row],[Due]]&lt;StatusDate),"Overdue",""))</f>
        <v/>
      </c>
      <c r="N74" s="29"/>
      <c r="O74" s="24" t="str">
        <f aca="false">IF(N(RAIDLog[[#This Row],[Task UID]])=0,"",IFERROR(INDEX(tsk_Name,MATCH(RAIDLog[[#This Row],[Task UID]],tsk_UID,0)),"UID "&amp;RAIDLog[[#This Row],[Task UID]]&amp;" not found"))</f>
        <v/>
      </c>
      <c r="P74" s="25" t="str">
        <f aca="false">IF(N(RAIDLog[[#This Row],[Task UID]])=0,"",IFERROR(INDEX(tsk_FcFinish,MATCH(RAIDLog[[#This Row],[Task UID]],tsk_UID,0)),""))</f>
        <v/>
      </c>
      <c r="Q74" s="30"/>
      <c r="R74" s="30"/>
      <c r="S74" s="41" t="str">
        <f aca="false">IF(RAIDLog[[#This Row],[Title]]="","",RAIDLog[[#This Row],[Type]]&amp;" "&amp;RAIDLog[[#This Row],[Ref]]&amp;": "&amp;RAIDLog[[#This Row],[Title]])</f>
        <v/>
      </c>
      <c r="T74" s="41" t="str">
        <f aca="false">IF(AND(NOT(RAIDLog[[#This Row],[Title]]=""),RAIDLog[[#This Row],[Status]]&lt;&gt;"Closed"),RAIDLog[[#This Row],[Score]]+1-(ROW()-ROW(RAIDLog[[#Headers],[Ref]]))/100000,"")</f>
        <v/>
      </c>
    </row>
    <row r="75" customFormat="false" ht="15" hidden="false" customHeight="false" outlineLevel="0" collapsed="false">
      <c r="B75" s="29" t="n">
        <v>71</v>
      </c>
      <c r="C75" s="30"/>
      <c r="D75" s="30"/>
      <c r="E75" s="30"/>
      <c r="F75" s="73"/>
      <c r="G75" s="73"/>
      <c r="H75" s="29"/>
      <c r="I75" s="29"/>
      <c r="J75" s="29"/>
      <c r="K75" s="43" t="str">
        <f aca="false">IF(RAIDLog[[#This Row],[Title]]="","",IF(RAIDLog[[#This Row],[Type]]="Issue",5,N(RAIDLog[[#This Row],[Probability]]))*N(RAIDLog[[#This Row],[Impact]]))</f>
        <v/>
      </c>
      <c r="L75" s="28" t="str">
        <f aca="false">IF(RAIDLog[[#This Row],[Title]]="","",IF(RAIDLog[[#This Row],[Score]]&gt;=RAIDHighScore,"High",IF(RAIDLog[[#This Row],[Score]]&gt;=RAIDMediumScore,"Medium","Low")))</f>
        <v/>
      </c>
      <c r="M75" s="28" t="str">
        <f aca="false">IF(OR(RAIDLog[[#This Row],[Title]]="",N(RAIDLog[[#This Row],[Due]])=0),"",IF(AND(RAIDLog[[#This Row],[Status]]&lt;&gt;"Closed",RAIDLog[[#This Row],[Due]]&lt;StatusDate),"Overdue",""))</f>
        <v/>
      </c>
      <c r="N75" s="29"/>
      <c r="O75" s="24" t="str">
        <f aca="false">IF(N(RAIDLog[[#This Row],[Task UID]])=0,"",IFERROR(INDEX(tsk_Name,MATCH(RAIDLog[[#This Row],[Task UID]],tsk_UID,0)),"UID "&amp;RAIDLog[[#This Row],[Task UID]]&amp;" not found"))</f>
        <v/>
      </c>
      <c r="P75" s="25" t="str">
        <f aca="false">IF(N(RAIDLog[[#This Row],[Task UID]])=0,"",IFERROR(INDEX(tsk_FcFinish,MATCH(RAIDLog[[#This Row],[Task UID]],tsk_UID,0)),""))</f>
        <v/>
      </c>
      <c r="Q75" s="30"/>
      <c r="R75" s="30"/>
      <c r="S75" s="41" t="str">
        <f aca="false">IF(RAIDLog[[#This Row],[Title]]="","",RAIDLog[[#This Row],[Type]]&amp;" "&amp;RAIDLog[[#This Row],[Ref]]&amp;": "&amp;RAIDLog[[#This Row],[Title]])</f>
        <v/>
      </c>
      <c r="T75" s="41" t="str">
        <f aca="false">IF(AND(NOT(RAIDLog[[#This Row],[Title]]=""),RAIDLog[[#This Row],[Status]]&lt;&gt;"Closed"),RAIDLog[[#This Row],[Score]]+1-(ROW()-ROW(RAIDLog[[#Headers],[Ref]]))/100000,"")</f>
        <v/>
      </c>
    </row>
    <row r="76" customFormat="false" ht="15" hidden="false" customHeight="false" outlineLevel="0" collapsed="false">
      <c r="B76" s="29" t="n">
        <v>72</v>
      </c>
      <c r="C76" s="30"/>
      <c r="D76" s="30"/>
      <c r="E76" s="30"/>
      <c r="F76" s="73"/>
      <c r="G76" s="73"/>
      <c r="H76" s="29"/>
      <c r="I76" s="29"/>
      <c r="J76" s="29"/>
      <c r="K76" s="43" t="str">
        <f aca="false">IF(RAIDLog[[#This Row],[Title]]="","",IF(RAIDLog[[#This Row],[Type]]="Issue",5,N(RAIDLog[[#This Row],[Probability]]))*N(RAIDLog[[#This Row],[Impact]]))</f>
        <v/>
      </c>
      <c r="L76" s="28" t="str">
        <f aca="false">IF(RAIDLog[[#This Row],[Title]]="","",IF(RAIDLog[[#This Row],[Score]]&gt;=RAIDHighScore,"High",IF(RAIDLog[[#This Row],[Score]]&gt;=RAIDMediumScore,"Medium","Low")))</f>
        <v/>
      </c>
      <c r="M76" s="28" t="str">
        <f aca="false">IF(OR(RAIDLog[[#This Row],[Title]]="",N(RAIDLog[[#This Row],[Due]])=0),"",IF(AND(RAIDLog[[#This Row],[Status]]&lt;&gt;"Closed",RAIDLog[[#This Row],[Due]]&lt;StatusDate),"Overdue",""))</f>
        <v/>
      </c>
      <c r="N76" s="29"/>
      <c r="O76" s="24" t="str">
        <f aca="false">IF(N(RAIDLog[[#This Row],[Task UID]])=0,"",IFERROR(INDEX(tsk_Name,MATCH(RAIDLog[[#This Row],[Task UID]],tsk_UID,0)),"UID "&amp;RAIDLog[[#This Row],[Task UID]]&amp;" not found"))</f>
        <v/>
      </c>
      <c r="P76" s="25" t="str">
        <f aca="false">IF(N(RAIDLog[[#This Row],[Task UID]])=0,"",IFERROR(INDEX(tsk_FcFinish,MATCH(RAIDLog[[#This Row],[Task UID]],tsk_UID,0)),""))</f>
        <v/>
      </c>
      <c r="Q76" s="30"/>
      <c r="R76" s="30"/>
      <c r="S76" s="41" t="str">
        <f aca="false">IF(RAIDLog[[#This Row],[Title]]="","",RAIDLog[[#This Row],[Type]]&amp;" "&amp;RAIDLog[[#This Row],[Ref]]&amp;": "&amp;RAIDLog[[#This Row],[Title]])</f>
        <v/>
      </c>
      <c r="T76" s="41" t="str">
        <f aca="false">IF(AND(NOT(RAIDLog[[#This Row],[Title]]=""),RAIDLog[[#This Row],[Status]]&lt;&gt;"Closed"),RAIDLog[[#This Row],[Score]]+1-(ROW()-ROW(RAIDLog[[#Headers],[Ref]]))/100000,"")</f>
        <v/>
      </c>
    </row>
    <row r="77" customFormat="false" ht="15" hidden="false" customHeight="false" outlineLevel="0" collapsed="false">
      <c r="B77" s="29" t="n">
        <v>73</v>
      </c>
      <c r="C77" s="30"/>
      <c r="D77" s="30"/>
      <c r="E77" s="30"/>
      <c r="F77" s="73"/>
      <c r="G77" s="73"/>
      <c r="H77" s="29"/>
      <c r="I77" s="29"/>
      <c r="J77" s="29"/>
      <c r="K77" s="43" t="str">
        <f aca="false">IF(RAIDLog[[#This Row],[Title]]="","",IF(RAIDLog[[#This Row],[Type]]="Issue",5,N(RAIDLog[[#This Row],[Probability]]))*N(RAIDLog[[#This Row],[Impact]]))</f>
        <v/>
      </c>
      <c r="L77" s="28" t="str">
        <f aca="false">IF(RAIDLog[[#This Row],[Title]]="","",IF(RAIDLog[[#This Row],[Score]]&gt;=RAIDHighScore,"High",IF(RAIDLog[[#This Row],[Score]]&gt;=RAIDMediumScore,"Medium","Low")))</f>
        <v/>
      </c>
      <c r="M77" s="28" t="str">
        <f aca="false">IF(OR(RAIDLog[[#This Row],[Title]]="",N(RAIDLog[[#This Row],[Due]])=0),"",IF(AND(RAIDLog[[#This Row],[Status]]&lt;&gt;"Closed",RAIDLog[[#This Row],[Due]]&lt;StatusDate),"Overdue",""))</f>
        <v/>
      </c>
      <c r="N77" s="29"/>
      <c r="O77" s="24" t="str">
        <f aca="false">IF(N(RAIDLog[[#This Row],[Task UID]])=0,"",IFERROR(INDEX(tsk_Name,MATCH(RAIDLog[[#This Row],[Task UID]],tsk_UID,0)),"UID "&amp;RAIDLog[[#This Row],[Task UID]]&amp;" not found"))</f>
        <v/>
      </c>
      <c r="P77" s="25" t="str">
        <f aca="false">IF(N(RAIDLog[[#This Row],[Task UID]])=0,"",IFERROR(INDEX(tsk_FcFinish,MATCH(RAIDLog[[#This Row],[Task UID]],tsk_UID,0)),""))</f>
        <v/>
      </c>
      <c r="Q77" s="30"/>
      <c r="R77" s="30"/>
      <c r="S77" s="41" t="str">
        <f aca="false">IF(RAIDLog[[#This Row],[Title]]="","",RAIDLog[[#This Row],[Type]]&amp;" "&amp;RAIDLog[[#This Row],[Ref]]&amp;": "&amp;RAIDLog[[#This Row],[Title]])</f>
        <v/>
      </c>
      <c r="T77" s="41" t="str">
        <f aca="false">IF(AND(NOT(RAIDLog[[#This Row],[Title]]=""),RAIDLog[[#This Row],[Status]]&lt;&gt;"Closed"),RAIDLog[[#This Row],[Score]]+1-(ROW()-ROW(RAIDLog[[#Headers],[Ref]]))/100000,"")</f>
        <v/>
      </c>
    </row>
    <row r="78" customFormat="false" ht="15" hidden="false" customHeight="false" outlineLevel="0" collapsed="false">
      <c r="B78" s="29" t="n">
        <v>74</v>
      </c>
      <c r="C78" s="30"/>
      <c r="D78" s="30"/>
      <c r="E78" s="30"/>
      <c r="F78" s="73"/>
      <c r="G78" s="73"/>
      <c r="H78" s="29"/>
      <c r="I78" s="29"/>
      <c r="J78" s="29"/>
      <c r="K78" s="43" t="str">
        <f aca="false">IF(RAIDLog[[#This Row],[Title]]="","",IF(RAIDLog[[#This Row],[Type]]="Issue",5,N(RAIDLog[[#This Row],[Probability]]))*N(RAIDLog[[#This Row],[Impact]]))</f>
        <v/>
      </c>
      <c r="L78" s="28" t="str">
        <f aca="false">IF(RAIDLog[[#This Row],[Title]]="","",IF(RAIDLog[[#This Row],[Score]]&gt;=RAIDHighScore,"High",IF(RAIDLog[[#This Row],[Score]]&gt;=RAIDMediumScore,"Medium","Low")))</f>
        <v/>
      </c>
      <c r="M78" s="28" t="str">
        <f aca="false">IF(OR(RAIDLog[[#This Row],[Title]]="",N(RAIDLog[[#This Row],[Due]])=0),"",IF(AND(RAIDLog[[#This Row],[Status]]&lt;&gt;"Closed",RAIDLog[[#This Row],[Due]]&lt;StatusDate),"Overdue",""))</f>
        <v/>
      </c>
      <c r="N78" s="29"/>
      <c r="O78" s="24" t="str">
        <f aca="false">IF(N(RAIDLog[[#This Row],[Task UID]])=0,"",IFERROR(INDEX(tsk_Name,MATCH(RAIDLog[[#This Row],[Task UID]],tsk_UID,0)),"UID "&amp;RAIDLog[[#This Row],[Task UID]]&amp;" not found"))</f>
        <v/>
      </c>
      <c r="P78" s="25" t="str">
        <f aca="false">IF(N(RAIDLog[[#This Row],[Task UID]])=0,"",IFERROR(INDEX(tsk_FcFinish,MATCH(RAIDLog[[#This Row],[Task UID]],tsk_UID,0)),""))</f>
        <v/>
      </c>
      <c r="Q78" s="30"/>
      <c r="R78" s="30"/>
      <c r="S78" s="41" t="str">
        <f aca="false">IF(RAIDLog[[#This Row],[Title]]="","",RAIDLog[[#This Row],[Type]]&amp;" "&amp;RAIDLog[[#This Row],[Ref]]&amp;": "&amp;RAIDLog[[#This Row],[Title]])</f>
        <v/>
      </c>
      <c r="T78" s="41" t="str">
        <f aca="false">IF(AND(NOT(RAIDLog[[#This Row],[Title]]=""),RAIDLog[[#This Row],[Status]]&lt;&gt;"Closed"),RAIDLog[[#This Row],[Score]]+1-(ROW()-ROW(RAIDLog[[#Headers],[Ref]]))/100000,"")</f>
        <v/>
      </c>
    </row>
    <row r="79" customFormat="false" ht="15" hidden="false" customHeight="false" outlineLevel="0" collapsed="false">
      <c r="B79" s="29" t="n">
        <v>75</v>
      </c>
      <c r="C79" s="30"/>
      <c r="D79" s="30"/>
      <c r="E79" s="30"/>
      <c r="F79" s="73"/>
      <c r="G79" s="73"/>
      <c r="H79" s="29"/>
      <c r="I79" s="29"/>
      <c r="J79" s="29"/>
      <c r="K79" s="43" t="str">
        <f aca="false">IF(RAIDLog[[#This Row],[Title]]="","",IF(RAIDLog[[#This Row],[Type]]="Issue",5,N(RAIDLog[[#This Row],[Probability]]))*N(RAIDLog[[#This Row],[Impact]]))</f>
        <v/>
      </c>
      <c r="L79" s="28" t="str">
        <f aca="false">IF(RAIDLog[[#This Row],[Title]]="","",IF(RAIDLog[[#This Row],[Score]]&gt;=RAIDHighScore,"High",IF(RAIDLog[[#This Row],[Score]]&gt;=RAIDMediumScore,"Medium","Low")))</f>
        <v/>
      </c>
      <c r="M79" s="28" t="str">
        <f aca="false">IF(OR(RAIDLog[[#This Row],[Title]]="",N(RAIDLog[[#This Row],[Due]])=0),"",IF(AND(RAIDLog[[#This Row],[Status]]&lt;&gt;"Closed",RAIDLog[[#This Row],[Due]]&lt;StatusDate),"Overdue",""))</f>
        <v/>
      </c>
      <c r="N79" s="29"/>
      <c r="O79" s="24" t="str">
        <f aca="false">IF(N(RAIDLog[[#This Row],[Task UID]])=0,"",IFERROR(INDEX(tsk_Name,MATCH(RAIDLog[[#This Row],[Task UID]],tsk_UID,0)),"UID "&amp;RAIDLog[[#This Row],[Task UID]]&amp;" not found"))</f>
        <v/>
      </c>
      <c r="P79" s="25" t="str">
        <f aca="false">IF(N(RAIDLog[[#This Row],[Task UID]])=0,"",IFERROR(INDEX(tsk_FcFinish,MATCH(RAIDLog[[#This Row],[Task UID]],tsk_UID,0)),""))</f>
        <v/>
      </c>
      <c r="Q79" s="30"/>
      <c r="R79" s="30"/>
      <c r="S79" s="41" t="str">
        <f aca="false">IF(RAIDLog[[#This Row],[Title]]="","",RAIDLog[[#This Row],[Type]]&amp;" "&amp;RAIDLog[[#This Row],[Ref]]&amp;": "&amp;RAIDLog[[#This Row],[Title]])</f>
        <v/>
      </c>
      <c r="T79" s="41" t="str">
        <f aca="false">IF(AND(NOT(RAIDLog[[#This Row],[Title]]=""),RAIDLog[[#This Row],[Status]]&lt;&gt;"Closed"),RAIDLog[[#This Row],[Score]]+1-(ROW()-ROW(RAIDLog[[#Headers],[Ref]]))/100000,"")</f>
        <v/>
      </c>
    </row>
    <row r="80" customFormat="false" ht="15" hidden="false" customHeight="false" outlineLevel="0" collapsed="false">
      <c r="B80" s="29" t="n">
        <v>76</v>
      </c>
      <c r="C80" s="30"/>
      <c r="D80" s="30"/>
      <c r="E80" s="30"/>
      <c r="F80" s="73"/>
      <c r="G80" s="73"/>
      <c r="H80" s="29"/>
      <c r="I80" s="29"/>
      <c r="J80" s="29"/>
      <c r="K80" s="43" t="str">
        <f aca="false">IF(RAIDLog[[#This Row],[Title]]="","",IF(RAIDLog[[#This Row],[Type]]="Issue",5,N(RAIDLog[[#This Row],[Probability]]))*N(RAIDLog[[#This Row],[Impact]]))</f>
        <v/>
      </c>
      <c r="L80" s="28" t="str">
        <f aca="false">IF(RAIDLog[[#This Row],[Title]]="","",IF(RAIDLog[[#This Row],[Score]]&gt;=RAIDHighScore,"High",IF(RAIDLog[[#This Row],[Score]]&gt;=RAIDMediumScore,"Medium","Low")))</f>
        <v/>
      </c>
      <c r="M80" s="28" t="str">
        <f aca="false">IF(OR(RAIDLog[[#This Row],[Title]]="",N(RAIDLog[[#This Row],[Due]])=0),"",IF(AND(RAIDLog[[#This Row],[Status]]&lt;&gt;"Closed",RAIDLog[[#This Row],[Due]]&lt;StatusDate),"Overdue",""))</f>
        <v/>
      </c>
      <c r="N80" s="29"/>
      <c r="O80" s="24" t="str">
        <f aca="false">IF(N(RAIDLog[[#This Row],[Task UID]])=0,"",IFERROR(INDEX(tsk_Name,MATCH(RAIDLog[[#This Row],[Task UID]],tsk_UID,0)),"UID "&amp;RAIDLog[[#This Row],[Task UID]]&amp;" not found"))</f>
        <v/>
      </c>
      <c r="P80" s="25" t="str">
        <f aca="false">IF(N(RAIDLog[[#This Row],[Task UID]])=0,"",IFERROR(INDEX(tsk_FcFinish,MATCH(RAIDLog[[#This Row],[Task UID]],tsk_UID,0)),""))</f>
        <v/>
      </c>
      <c r="Q80" s="30"/>
      <c r="R80" s="30"/>
      <c r="S80" s="41" t="str">
        <f aca="false">IF(RAIDLog[[#This Row],[Title]]="","",RAIDLog[[#This Row],[Type]]&amp;" "&amp;RAIDLog[[#This Row],[Ref]]&amp;": "&amp;RAIDLog[[#This Row],[Title]])</f>
        <v/>
      </c>
      <c r="T80" s="41" t="str">
        <f aca="false">IF(AND(NOT(RAIDLog[[#This Row],[Title]]=""),RAIDLog[[#This Row],[Status]]&lt;&gt;"Closed"),RAIDLog[[#This Row],[Score]]+1-(ROW()-ROW(RAIDLog[[#Headers],[Ref]]))/100000,"")</f>
        <v/>
      </c>
    </row>
    <row r="81" customFormat="false" ht="15" hidden="false" customHeight="false" outlineLevel="0" collapsed="false">
      <c r="B81" s="29" t="n">
        <v>77</v>
      </c>
      <c r="C81" s="30"/>
      <c r="D81" s="30"/>
      <c r="E81" s="30"/>
      <c r="F81" s="73"/>
      <c r="G81" s="73"/>
      <c r="H81" s="29"/>
      <c r="I81" s="29"/>
      <c r="J81" s="29"/>
      <c r="K81" s="43" t="str">
        <f aca="false">IF(RAIDLog[[#This Row],[Title]]="","",IF(RAIDLog[[#This Row],[Type]]="Issue",5,N(RAIDLog[[#This Row],[Probability]]))*N(RAIDLog[[#This Row],[Impact]]))</f>
        <v/>
      </c>
      <c r="L81" s="28" t="str">
        <f aca="false">IF(RAIDLog[[#This Row],[Title]]="","",IF(RAIDLog[[#This Row],[Score]]&gt;=RAIDHighScore,"High",IF(RAIDLog[[#This Row],[Score]]&gt;=RAIDMediumScore,"Medium","Low")))</f>
        <v/>
      </c>
      <c r="M81" s="28" t="str">
        <f aca="false">IF(OR(RAIDLog[[#This Row],[Title]]="",N(RAIDLog[[#This Row],[Due]])=0),"",IF(AND(RAIDLog[[#This Row],[Status]]&lt;&gt;"Closed",RAIDLog[[#This Row],[Due]]&lt;StatusDate),"Overdue",""))</f>
        <v/>
      </c>
      <c r="N81" s="29"/>
      <c r="O81" s="24" t="str">
        <f aca="false">IF(N(RAIDLog[[#This Row],[Task UID]])=0,"",IFERROR(INDEX(tsk_Name,MATCH(RAIDLog[[#This Row],[Task UID]],tsk_UID,0)),"UID "&amp;RAIDLog[[#This Row],[Task UID]]&amp;" not found"))</f>
        <v/>
      </c>
      <c r="P81" s="25" t="str">
        <f aca="false">IF(N(RAIDLog[[#This Row],[Task UID]])=0,"",IFERROR(INDEX(tsk_FcFinish,MATCH(RAIDLog[[#This Row],[Task UID]],tsk_UID,0)),""))</f>
        <v/>
      </c>
      <c r="Q81" s="30"/>
      <c r="R81" s="30"/>
      <c r="S81" s="41" t="str">
        <f aca="false">IF(RAIDLog[[#This Row],[Title]]="","",RAIDLog[[#This Row],[Type]]&amp;" "&amp;RAIDLog[[#This Row],[Ref]]&amp;": "&amp;RAIDLog[[#This Row],[Title]])</f>
        <v/>
      </c>
      <c r="T81" s="41" t="str">
        <f aca="false">IF(AND(NOT(RAIDLog[[#This Row],[Title]]=""),RAIDLog[[#This Row],[Status]]&lt;&gt;"Closed"),RAIDLog[[#This Row],[Score]]+1-(ROW()-ROW(RAIDLog[[#Headers],[Ref]]))/100000,"")</f>
        <v/>
      </c>
    </row>
    <row r="82" customFormat="false" ht="15" hidden="false" customHeight="false" outlineLevel="0" collapsed="false">
      <c r="B82" s="29" t="n">
        <v>78</v>
      </c>
      <c r="C82" s="30"/>
      <c r="D82" s="30"/>
      <c r="E82" s="30"/>
      <c r="F82" s="73"/>
      <c r="G82" s="73"/>
      <c r="H82" s="29"/>
      <c r="I82" s="29"/>
      <c r="J82" s="29"/>
      <c r="K82" s="43" t="str">
        <f aca="false">IF(RAIDLog[[#This Row],[Title]]="","",IF(RAIDLog[[#This Row],[Type]]="Issue",5,N(RAIDLog[[#This Row],[Probability]]))*N(RAIDLog[[#This Row],[Impact]]))</f>
        <v/>
      </c>
      <c r="L82" s="28" t="str">
        <f aca="false">IF(RAIDLog[[#This Row],[Title]]="","",IF(RAIDLog[[#This Row],[Score]]&gt;=RAIDHighScore,"High",IF(RAIDLog[[#This Row],[Score]]&gt;=RAIDMediumScore,"Medium","Low")))</f>
        <v/>
      </c>
      <c r="M82" s="28" t="str">
        <f aca="false">IF(OR(RAIDLog[[#This Row],[Title]]="",N(RAIDLog[[#This Row],[Due]])=0),"",IF(AND(RAIDLog[[#This Row],[Status]]&lt;&gt;"Closed",RAIDLog[[#This Row],[Due]]&lt;StatusDate),"Overdue",""))</f>
        <v/>
      </c>
      <c r="N82" s="29"/>
      <c r="O82" s="24" t="str">
        <f aca="false">IF(N(RAIDLog[[#This Row],[Task UID]])=0,"",IFERROR(INDEX(tsk_Name,MATCH(RAIDLog[[#This Row],[Task UID]],tsk_UID,0)),"UID "&amp;RAIDLog[[#This Row],[Task UID]]&amp;" not found"))</f>
        <v/>
      </c>
      <c r="P82" s="25" t="str">
        <f aca="false">IF(N(RAIDLog[[#This Row],[Task UID]])=0,"",IFERROR(INDEX(tsk_FcFinish,MATCH(RAIDLog[[#This Row],[Task UID]],tsk_UID,0)),""))</f>
        <v/>
      </c>
      <c r="Q82" s="30"/>
      <c r="R82" s="30"/>
      <c r="S82" s="41" t="str">
        <f aca="false">IF(RAIDLog[[#This Row],[Title]]="","",RAIDLog[[#This Row],[Type]]&amp;" "&amp;RAIDLog[[#This Row],[Ref]]&amp;": "&amp;RAIDLog[[#This Row],[Title]])</f>
        <v/>
      </c>
      <c r="T82" s="41" t="str">
        <f aca="false">IF(AND(NOT(RAIDLog[[#This Row],[Title]]=""),RAIDLog[[#This Row],[Status]]&lt;&gt;"Closed"),RAIDLog[[#This Row],[Score]]+1-(ROW()-ROW(RAIDLog[[#Headers],[Ref]]))/100000,"")</f>
        <v/>
      </c>
    </row>
    <row r="83" customFormat="false" ht="15" hidden="false" customHeight="false" outlineLevel="0" collapsed="false">
      <c r="B83" s="29" t="n">
        <v>79</v>
      </c>
      <c r="C83" s="30"/>
      <c r="D83" s="30"/>
      <c r="E83" s="30"/>
      <c r="F83" s="73"/>
      <c r="G83" s="73"/>
      <c r="H83" s="29"/>
      <c r="I83" s="29"/>
      <c r="J83" s="29"/>
      <c r="K83" s="43" t="str">
        <f aca="false">IF(RAIDLog[[#This Row],[Title]]="","",IF(RAIDLog[[#This Row],[Type]]="Issue",5,N(RAIDLog[[#This Row],[Probability]]))*N(RAIDLog[[#This Row],[Impact]]))</f>
        <v/>
      </c>
      <c r="L83" s="28" t="str">
        <f aca="false">IF(RAIDLog[[#This Row],[Title]]="","",IF(RAIDLog[[#This Row],[Score]]&gt;=RAIDHighScore,"High",IF(RAIDLog[[#This Row],[Score]]&gt;=RAIDMediumScore,"Medium","Low")))</f>
        <v/>
      </c>
      <c r="M83" s="28" t="str">
        <f aca="false">IF(OR(RAIDLog[[#This Row],[Title]]="",N(RAIDLog[[#This Row],[Due]])=0),"",IF(AND(RAIDLog[[#This Row],[Status]]&lt;&gt;"Closed",RAIDLog[[#This Row],[Due]]&lt;StatusDate),"Overdue",""))</f>
        <v/>
      </c>
      <c r="N83" s="29"/>
      <c r="O83" s="24" t="str">
        <f aca="false">IF(N(RAIDLog[[#This Row],[Task UID]])=0,"",IFERROR(INDEX(tsk_Name,MATCH(RAIDLog[[#This Row],[Task UID]],tsk_UID,0)),"UID "&amp;RAIDLog[[#This Row],[Task UID]]&amp;" not found"))</f>
        <v/>
      </c>
      <c r="P83" s="25" t="str">
        <f aca="false">IF(N(RAIDLog[[#This Row],[Task UID]])=0,"",IFERROR(INDEX(tsk_FcFinish,MATCH(RAIDLog[[#This Row],[Task UID]],tsk_UID,0)),""))</f>
        <v/>
      </c>
      <c r="Q83" s="30"/>
      <c r="R83" s="30"/>
      <c r="S83" s="41" t="str">
        <f aca="false">IF(RAIDLog[[#This Row],[Title]]="","",RAIDLog[[#This Row],[Type]]&amp;" "&amp;RAIDLog[[#This Row],[Ref]]&amp;": "&amp;RAIDLog[[#This Row],[Title]])</f>
        <v/>
      </c>
      <c r="T83" s="41" t="str">
        <f aca="false">IF(AND(NOT(RAIDLog[[#This Row],[Title]]=""),RAIDLog[[#This Row],[Status]]&lt;&gt;"Closed"),RAIDLog[[#This Row],[Score]]+1-(ROW()-ROW(RAIDLog[[#Headers],[Ref]]))/100000,"")</f>
        <v/>
      </c>
    </row>
    <row r="84" customFormat="false" ht="15" hidden="false" customHeight="false" outlineLevel="0" collapsed="false">
      <c r="B84" s="29" t="n">
        <v>80</v>
      </c>
      <c r="C84" s="30"/>
      <c r="D84" s="30"/>
      <c r="E84" s="30"/>
      <c r="F84" s="73"/>
      <c r="G84" s="73"/>
      <c r="H84" s="29"/>
      <c r="I84" s="29"/>
      <c r="J84" s="29"/>
      <c r="K84" s="43" t="str">
        <f aca="false">IF(RAIDLog[[#This Row],[Title]]="","",IF(RAIDLog[[#This Row],[Type]]="Issue",5,N(RAIDLog[[#This Row],[Probability]]))*N(RAIDLog[[#This Row],[Impact]]))</f>
        <v/>
      </c>
      <c r="L84" s="28" t="str">
        <f aca="false">IF(RAIDLog[[#This Row],[Title]]="","",IF(RAIDLog[[#This Row],[Score]]&gt;=RAIDHighScore,"High",IF(RAIDLog[[#This Row],[Score]]&gt;=RAIDMediumScore,"Medium","Low")))</f>
        <v/>
      </c>
      <c r="M84" s="28" t="str">
        <f aca="false">IF(OR(RAIDLog[[#This Row],[Title]]="",N(RAIDLog[[#This Row],[Due]])=0),"",IF(AND(RAIDLog[[#This Row],[Status]]&lt;&gt;"Closed",RAIDLog[[#This Row],[Due]]&lt;StatusDate),"Overdue",""))</f>
        <v/>
      </c>
      <c r="N84" s="29"/>
      <c r="O84" s="24" t="str">
        <f aca="false">IF(N(RAIDLog[[#This Row],[Task UID]])=0,"",IFERROR(INDEX(tsk_Name,MATCH(RAIDLog[[#This Row],[Task UID]],tsk_UID,0)),"UID "&amp;RAIDLog[[#This Row],[Task UID]]&amp;" not found"))</f>
        <v/>
      </c>
      <c r="P84" s="25" t="str">
        <f aca="false">IF(N(RAIDLog[[#This Row],[Task UID]])=0,"",IFERROR(INDEX(tsk_FcFinish,MATCH(RAIDLog[[#This Row],[Task UID]],tsk_UID,0)),""))</f>
        <v/>
      </c>
      <c r="Q84" s="30"/>
      <c r="R84" s="30"/>
      <c r="S84" s="41" t="str">
        <f aca="false">IF(RAIDLog[[#This Row],[Title]]="","",RAIDLog[[#This Row],[Type]]&amp;" "&amp;RAIDLog[[#This Row],[Ref]]&amp;": "&amp;RAIDLog[[#This Row],[Title]])</f>
        <v/>
      </c>
      <c r="T84" s="41" t="str">
        <f aca="false">IF(AND(NOT(RAIDLog[[#This Row],[Title]]=""),RAIDLog[[#This Row],[Status]]&lt;&gt;"Closed"),RAIDLog[[#This Row],[Score]]+1-(ROW()-ROW(RAIDLog[[#Headers],[Ref]]))/100000,"")</f>
        <v/>
      </c>
    </row>
    <row r="85" customFormat="false" ht="15" hidden="false" customHeight="false" outlineLevel="0" collapsed="false">
      <c r="B85" s="29" t="n">
        <v>81</v>
      </c>
      <c r="C85" s="30"/>
      <c r="D85" s="30"/>
      <c r="E85" s="30"/>
      <c r="F85" s="73"/>
      <c r="G85" s="73"/>
      <c r="H85" s="29"/>
      <c r="I85" s="29"/>
      <c r="J85" s="29"/>
      <c r="K85" s="43" t="str">
        <f aca="false">IF(RAIDLog[[#This Row],[Title]]="","",IF(RAIDLog[[#This Row],[Type]]="Issue",5,N(RAIDLog[[#This Row],[Probability]]))*N(RAIDLog[[#This Row],[Impact]]))</f>
        <v/>
      </c>
      <c r="L85" s="28" t="str">
        <f aca="false">IF(RAIDLog[[#This Row],[Title]]="","",IF(RAIDLog[[#This Row],[Score]]&gt;=RAIDHighScore,"High",IF(RAIDLog[[#This Row],[Score]]&gt;=RAIDMediumScore,"Medium","Low")))</f>
        <v/>
      </c>
      <c r="M85" s="28" t="str">
        <f aca="false">IF(OR(RAIDLog[[#This Row],[Title]]="",N(RAIDLog[[#This Row],[Due]])=0),"",IF(AND(RAIDLog[[#This Row],[Status]]&lt;&gt;"Closed",RAIDLog[[#This Row],[Due]]&lt;StatusDate),"Overdue",""))</f>
        <v/>
      </c>
      <c r="N85" s="29"/>
      <c r="O85" s="24" t="str">
        <f aca="false">IF(N(RAIDLog[[#This Row],[Task UID]])=0,"",IFERROR(INDEX(tsk_Name,MATCH(RAIDLog[[#This Row],[Task UID]],tsk_UID,0)),"UID "&amp;RAIDLog[[#This Row],[Task UID]]&amp;" not found"))</f>
        <v/>
      </c>
      <c r="P85" s="25" t="str">
        <f aca="false">IF(N(RAIDLog[[#This Row],[Task UID]])=0,"",IFERROR(INDEX(tsk_FcFinish,MATCH(RAIDLog[[#This Row],[Task UID]],tsk_UID,0)),""))</f>
        <v/>
      </c>
      <c r="Q85" s="30"/>
      <c r="R85" s="30"/>
      <c r="S85" s="41" t="str">
        <f aca="false">IF(RAIDLog[[#This Row],[Title]]="","",RAIDLog[[#This Row],[Type]]&amp;" "&amp;RAIDLog[[#This Row],[Ref]]&amp;": "&amp;RAIDLog[[#This Row],[Title]])</f>
        <v/>
      </c>
      <c r="T85" s="41" t="str">
        <f aca="false">IF(AND(NOT(RAIDLog[[#This Row],[Title]]=""),RAIDLog[[#This Row],[Status]]&lt;&gt;"Closed"),RAIDLog[[#This Row],[Score]]+1-(ROW()-ROW(RAIDLog[[#Headers],[Ref]]))/100000,"")</f>
        <v/>
      </c>
    </row>
    <row r="86" customFormat="false" ht="15" hidden="false" customHeight="false" outlineLevel="0" collapsed="false">
      <c r="B86" s="29" t="n">
        <v>82</v>
      </c>
      <c r="C86" s="30"/>
      <c r="D86" s="30"/>
      <c r="E86" s="30"/>
      <c r="F86" s="73"/>
      <c r="G86" s="73"/>
      <c r="H86" s="29"/>
      <c r="I86" s="29"/>
      <c r="J86" s="29"/>
      <c r="K86" s="43" t="str">
        <f aca="false">IF(RAIDLog[[#This Row],[Title]]="","",IF(RAIDLog[[#This Row],[Type]]="Issue",5,N(RAIDLog[[#This Row],[Probability]]))*N(RAIDLog[[#This Row],[Impact]]))</f>
        <v/>
      </c>
      <c r="L86" s="28" t="str">
        <f aca="false">IF(RAIDLog[[#This Row],[Title]]="","",IF(RAIDLog[[#This Row],[Score]]&gt;=RAIDHighScore,"High",IF(RAIDLog[[#This Row],[Score]]&gt;=RAIDMediumScore,"Medium","Low")))</f>
        <v/>
      </c>
      <c r="M86" s="28" t="str">
        <f aca="false">IF(OR(RAIDLog[[#This Row],[Title]]="",N(RAIDLog[[#This Row],[Due]])=0),"",IF(AND(RAIDLog[[#This Row],[Status]]&lt;&gt;"Closed",RAIDLog[[#This Row],[Due]]&lt;StatusDate),"Overdue",""))</f>
        <v/>
      </c>
      <c r="N86" s="29"/>
      <c r="O86" s="24" t="str">
        <f aca="false">IF(N(RAIDLog[[#This Row],[Task UID]])=0,"",IFERROR(INDEX(tsk_Name,MATCH(RAIDLog[[#This Row],[Task UID]],tsk_UID,0)),"UID "&amp;RAIDLog[[#This Row],[Task UID]]&amp;" not found"))</f>
        <v/>
      </c>
      <c r="P86" s="25" t="str">
        <f aca="false">IF(N(RAIDLog[[#This Row],[Task UID]])=0,"",IFERROR(INDEX(tsk_FcFinish,MATCH(RAIDLog[[#This Row],[Task UID]],tsk_UID,0)),""))</f>
        <v/>
      </c>
      <c r="Q86" s="30"/>
      <c r="R86" s="30"/>
      <c r="S86" s="41" t="str">
        <f aca="false">IF(RAIDLog[[#This Row],[Title]]="","",RAIDLog[[#This Row],[Type]]&amp;" "&amp;RAIDLog[[#This Row],[Ref]]&amp;": "&amp;RAIDLog[[#This Row],[Title]])</f>
        <v/>
      </c>
      <c r="T86" s="41" t="str">
        <f aca="false">IF(AND(NOT(RAIDLog[[#This Row],[Title]]=""),RAIDLog[[#This Row],[Status]]&lt;&gt;"Closed"),RAIDLog[[#This Row],[Score]]+1-(ROW()-ROW(RAIDLog[[#Headers],[Ref]]))/100000,"")</f>
        <v/>
      </c>
    </row>
    <row r="87" customFormat="false" ht="15" hidden="false" customHeight="false" outlineLevel="0" collapsed="false">
      <c r="B87" s="29" t="n">
        <v>83</v>
      </c>
      <c r="C87" s="30"/>
      <c r="D87" s="30"/>
      <c r="E87" s="30"/>
      <c r="F87" s="73"/>
      <c r="G87" s="73"/>
      <c r="H87" s="29"/>
      <c r="I87" s="29"/>
      <c r="J87" s="29"/>
      <c r="K87" s="43" t="str">
        <f aca="false">IF(RAIDLog[[#This Row],[Title]]="","",IF(RAIDLog[[#This Row],[Type]]="Issue",5,N(RAIDLog[[#This Row],[Probability]]))*N(RAIDLog[[#This Row],[Impact]]))</f>
        <v/>
      </c>
      <c r="L87" s="28" t="str">
        <f aca="false">IF(RAIDLog[[#This Row],[Title]]="","",IF(RAIDLog[[#This Row],[Score]]&gt;=RAIDHighScore,"High",IF(RAIDLog[[#This Row],[Score]]&gt;=RAIDMediumScore,"Medium","Low")))</f>
        <v/>
      </c>
      <c r="M87" s="28" t="str">
        <f aca="false">IF(OR(RAIDLog[[#This Row],[Title]]="",N(RAIDLog[[#This Row],[Due]])=0),"",IF(AND(RAIDLog[[#This Row],[Status]]&lt;&gt;"Closed",RAIDLog[[#This Row],[Due]]&lt;StatusDate),"Overdue",""))</f>
        <v/>
      </c>
      <c r="N87" s="29"/>
      <c r="O87" s="24" t="str">
        <f aca="false">IF(N(RAIDLog[[#This Row],[Task UID]])=0,"",IFERROR(INDEX(tsk_Name,MATCH(RAIDLog[[#This Row],[Task UID]],tsk_UID,0)),"UID "&amp;RAIDLog[[#This Row],[Task UID]]&amp;" not found"))</f>
        <v/>
      </c>
      <c r="P87" s="25" t="str">
        <f aca="false">IF(N(RAIDLog[[#This Row],[Task UID]])=0,"",IFERROR(INDEX(tsk_FcFinish,MATCH(RAIDLog[[#This Row],[Task UID]],tsk_UID,0)),""))</f>
        <v/>
      </c>
      <c r="Q87" s="30"/>
      <c r="R87" s="30"/>
      <c r="S87" s="41" t="str">
        <f aca="false">IF(RAIDLog[[#This Row],[Title]]="","",RAIDLog[[#This Row],[Type]]&amp;" "&amp;RAIDLog[[#This Row],[Ref]]&amp;": "&amp;RAIDLog[[#This Row],[Title]])</f>
        <v/>
      </c>
      <c r="T87" s="41" t="str">
        <f aca="false">IF(AND(NOT(RAIDLog[[#This Row],[Title]]=""),RAIDLog[[#This Row],[Status]]&lt;&gt;"Closed"),RAIDLog[[#This Row],[Score]]+1-(ROW()-ROW(RAIDLog[[#Headers],[Ref]]))/100000,"")</f>
        <v/>
      </c>
    </row>
    <row r="88" customFormat="false" ht="15" hidden="false" customHeight="false" outlineLevel="0" collapsed="false">
      <c r="B88" s="29" t="n">
        <v>84</v>
      </c>
      <c r="C88" s="30"/>
      <c r="D88" s="30"/>
      <c r="E88" s="30"/>
      <c r="F88" s="73"/>
      <c r="G88" s="73"/>
      <c r="H88" s="29"/>
      <c r="I88" s="29"/>
      <c r="J88" s="29"/>
      <c r="K88" s="43" t="str">
        <f aca="false">IF(RAIDLog[[#This Row],[Title]]="","",IF(RAIDLog[[#This Row],[Type]]="Issue",5,N(RAIDLog[[#This Row],[Probability]]))*N(RAIDLog[[#This Row],[Impact]]))</f>
        <v/>
      </c>
      <c r="L88" s="28" t="str">
        <f aca="false">IF(RAIDLog[[#This Row],[Title]]="","",IF(RAIDLog[[#This Row],[Score]]&gt;=RAIDHighScore,"High",IF(RAIDLog[[#This Row],[Score]]&gt;=RAIDMediumScore,"Medium","Low")))</f>
        <v/>
      </c>
      <c r="M88" s="28" t="str">
        <f aca="false">IF(OR(RAIDLog[[#This Row],[Title]]="",N(RAIDLog[[#This Row],[Due]])=0),"",IF(AND(RAIDLog[[#This Row],[Status]]&lt;&gt;"Closed",RAIDLog[[#This Row],[Due]]&lt;StatusDate),"Overdue",""))</f>
        <v/>
      </c>
      <c r="N88" s="29"/>
      <c r="O88" s="24" t="str">
        <f aca="false">IF(N(RAIDLog[[#This Row],[Task UID]])=0,"",IFERROR(INDEX(tsk_Name,MATCH(RAIDLog[[#This Row],[Task UID]],tsk_UID,0)),"UID "&amp;RAIDLog[[#This Row],[Task UID]]&amp;" not found"))</f>
        <v/>
      </c>
      <c r="P88" s="25" t="str">
        <f aca="false">IF(N(RAIDLog[[#This Row],[Task UID]])=0,"",IFERROR(INDEX(tsk_FcFinish,MATCH(RAIDLog[[#This Row],[Task UID]],tsk_UID,0)),""))</f>
        <v/>
      </c>
      <c r="Q88" s="30"/>
      <c r="R88" s="30"/>
      <c r="S88" s="41" t="str">
        <f aca="false">IF(RAIDLog[[#This Row],[Title]]="","",RAIDLog[[#This Row],[Type]]&amp;" "&amp;RAIDLog[[#This Row],[Ref]]&amp;": "&amp;RAIDLog[[#This Row],[Title]])</f>
        <v/>
      </c>
      <c r="T88" s="41" t="str">
        <f aca="false">IF(AND(NOT(RAIDLog[[#This Row],[Title]]=""),RAIDLog[[#This Row],[Status]]&lt;&gt;"Closed"),RAIDLog[[#This Row],[Score]]+1-(ROW()-ROW(RAIDLog[[#Headers],[Ref]]))/100000,"")</f>
        <v/>
      </c>
    </row>
    <row r="89" customFormat="false" ht="15" hidden="false" customHeight="false" outlineLevel="0" collapsed="false">
      <c r="B89" s="29" t="n">
        <v>85</v>
      </c>
      <c r="C89" s="30"/>
      <c r="D89" s="30"/>
      <c r="E89" s="30"/>
      <c r="F89" s="73"/>
      <c r="G89" s="73"/>
      <c r="H89" s="29"/>
      <c r="I89" s="29"/>
      <c r="J89" s="29"/>
      <c r="K89" s="43" t="str">
        <f aca="false">IF(RAIDLog[[#This Row],[Title]]="","",IF(RAIDLog[[#This Row],[Type]]="Issue",5,N(RAIDLog[[#This Row],[Probability]]))*N(RAIDLog[[#This Row],[Impact]]))</f>
        <v/>
      </c>
      <c r="L89" s="28" t="str">
        <f aca="false">IF(RAIDLog[[#This Row],[Title]]="","",IF(RAIDLog[[#This Row],[Score]]&gt;=RAIDHighScore,"High",IF(RAIDLog[[#This Row],[Score]]&gt;=RAIDMediumScore,"Medium","Low")))</f>
        <v/>
      </c>
      <c r="M89" s="28" t="str">
        <f aca="false">IF(OR(RAIDLog[[#This Row],[Title]]="",N(RAIDLog[[#This Row],[Due]])=0),"",IF(AND(RAIDLog[[#This Row],[Status]]&lt;&gt;"Closed",RAIDLog[[#This Row],[Due]]&lt;StatusDate),"Overdue",""))</f>
        <v/>
      </c>
      <c r="N89" s="29"/>
      <c r="O89" s="24" t="str">
        <f aca="false">IF(N(RAIDLog[[#This Row],[Task UID]])=0,"",IFERROR(INDEX(tsk_Name,MATCH(RAIDLog[[#This Row],[Task UID]],tsk_UID,0)),"UID "&amp;RAIDLog[[#This Row],[Task UID]]&amp;" not found"))</f>
        <v/>
      </c>
      <c r="P89" s="25" t="str">
        <f aca="false">IF(N(RAIDLog[[#This Row],[Task UID]])=0,"",IFERROR(INDEX(tsk_FcFinish,MATCH(RAIDLog[[#This Row],[Task UID]],tsk_UID,0)),""))</f>
        <v/>
      </c>
      <c r="Q89" s="30"/>
      <c r="R89" s="30"/>
      <c r="S89" s="41" t="str">
        <f aca="false">IF(RAIDLog[[#This Row],[Title]]="","",RAIDLog[[#This Row],[Type]]&amp;" "&amp;RAIDLog[[#This Row],[Ref]]&amp;": "&amp;RAIDLog[[#This Row],[Title]])</f>
        <v/>
      </c>
      <c r="T89" s="41" t="str">
        <f aca="false">IF(AND(NOT(RAIDLog[[#This Row],[Title]]=""),RAIDLog[[#This Row],[Status]]&lt;&gt;"Closed"),RAIDLog[[#This Row],[Score]]+1-(ROW()-ROW(RAIDLog[[#Headers],[Ref]]))/100000,"")</f>
        <v/>
      </c>
    </row>
    <row r="90" customFormat="false" ht="15" hidden="false" customHeight="false" outlineLevel="0" collapsed="false">
      <c r="B90" s="29" t="n">
        <v>86</v>
      </c>
      <c r="C90" s="30"/>
      <c r="D90" s="30"/>
      <c r="E90" s="30"/>
      <c r="F90" s="73"/>
      <c r="G90" s="73"/>
      <c r="H90" s="29"/>
      <c r="I90" s="29"/>
      <c r="J90" s="29"/>
      <c r="K90" s="43" t="str">
        <f aca="false">IF(RAIDLog[[#This Row],[Title]]="","",IF(RAIDLog[[#This Row],[Type]]="Issue",5,N(RAIDLog[[#This Row],[Probability]]))*N(RAIDLog[[#This Row],[Impact]]))</f>
        <v/>
      </c>
      <c r="L90" s="28" t="str">
        <f aca="false">IF(RAIDLog[[#This Row],[Title]]="","",IF(RAIDLog[[#This Row],[Score]]&gt;=RAIDHighScore,"High",IF(RAIDLog[[#This Row],[Score]]&gt;=RAIDMediumScore,"Medium","Low")))</f>
        <v/>
      </c>
      <c r="M90" s="28" t="str">
        <f aca="false">IF(OR(RAIDLog[[#This Row],[Title]]="",N(RAIDLog[[#This Row],[Due]])=0),"",IF(AND(RAIDLog[[#This Row],[Status]]&lt;&gt;"Closed",RAIDLog[[#This Row],[Due]]&lt;StatusDate),"Overdue",""))</f>
        <v/>
      </c>
      <c r="N90" s="29"/>
      <c r="O90" s="24" t="str">
        <f aca="false">IF(N(RAIDLog[[#This Row],[Task UID]])=0,"",IFERROR(INDEX(tsk_Name,MATCH(RAIDLog[[#This Row],[Task UID]],tsk_UID,0)),"UID "&amp;RAIDLog[[#This Row],[Task UID]]&amp;" not found"))</f>
        <v/>
      </c>
      <c r="P90" s="25" t="str">
        <f aca="false">IF(N(RAIDLog[[#This Row],[Task UID]])=0,"",IFERROR(INDEX(tsk_FcFinish,MATCH(RAIDLog[[#This Row],[Task UID]],tsk_UID,0)),""))</f>
        <v/>
      </c>
      <c r="Q90" s="30"/>
      <c r="R90" s="30"/>
      <c r="S90" s="41" t="str">
        <f aca="false">IF(RAIDLog[[#This Row],[Title]]="","",RAIDLog[[#This Row],[Type]]&amp;" "&amp;RAIDLog[[#This Row],[Ref]]&amp;": "&amp;RAIDLog[[#This Row],[Title]])</f>
        <v/>
      </c>
      <c r="T90" s="41" t="str">
        <f aca="false">IF(AND(NOT(RAIDLog[[#This Row],[Title]]=""),RAIDLog[[#This Row],[Status]]&lt;&gt;"Closed"),RAIDLog[[#This Row],[Score]]+1-(ROW()-ROW(RAIDLog[[#Headers],[Ref]]))/100000,"")</f>
        <v/>
      </c>
    </row>
    <row r="91" customFormat="false" ht="15" hidden="false" customHeight="false" outlineLevel="0" collapsed="false">
      <c r="B91" s="29" t="n">
        <v>87</v>
      </c>
      <c r="C91" s="30"/>
      <c r="D91" s="30"/>
      <c r="E91" s="30"/>
      <c r="F91" s="73"/>
      <c r="G91" s="73"/>
      <c r="H91" s="29"/>
      <c r="I91" s="29"/>
      <c r="J91" s="29"/>
      <c r="K91" s="43" t="str">
        <f aca="false">IF(RAIDLog[[#This Row],[Title]]="","",IF(RAIDLog[[#This Row],[Type]]="Issue",5,N(RAIDLog[[#This Row],[Probability]]))*N(RAIDLog[[#This Row],[Impact]]))</f>
        <v/>
      </c>
      <c r="L91" s="28" t="str">
        <f aca="false">IF(RAIDLog[[#This Row],[Title]]="","",IF(RAIDLog[[#This Row],[Score]]&gt;=RAIDHighScore,"High",IF(RAIDLog[[#This Row],[Score]]&gt;=RAIDMediumScore,"Medium","Low")))</f>
        <v/>
      </c>
      <c r="M91" s="28" t="str">
        <f aca="false">IF(OR(RAIDLog[[#This Row],[Title]]="",N(RAIDLog[[#This Row],[Due]])=0),"",IF(AND(RAIDLog[[#This Row],[Status]]&lt;&gt;"Closed",RAIDLog[[#This Row],[Due]]&lt;StatusDate),"Overdue",""))</f>
        <v/>
      </c>
      <c r="N91" s="29"/>
      <c r="O91" s="24" t="str">
        <f aca="false">IF(N(RAIDLog[[#This Row],[Task UID]])=0,"",IFERROR(INDEX(tsk_Name,MATCH(RAIDLog[[#This Row],[Task UID]],tsk_UID,0)),"UID "&amp;RAIDLog[[#This Row],[Task UID]]&amp;" not found"))</f>
        <v/>
      </c>
      <c r="P91" s="25" t="str">
        <f aca="false">IF(N(RAIDLog[[#This Row],[Task UID]])=0,"",IFERROR(INDEX(tsk_FcFinish,MATCH(RAIDLog[[#This Row],[Task UID]],tsk_UID,0)),""))</f>
        <v/>
      </c>
      <c r="Q91" s="30"/>
      <c r="R91" s="30"/>
      <c r="S91" s="41" t="str">
        <f aca="false">IF(RAIDLog[[#This Row],[Title]]="","",RAIDLog[[#This Row],[Type]]&amp;" "&amp;RAIDLog[[#This Row],[Ref]]&amp;": "&amp;RAIDLog[[#This Row],[Title]])</f>
        <v/>
      </c>
      <c r="T91" s="41" t="str">
        <f aca="false">IF(AND(NOT(RAIDLog[[#This Row],[Title]]=""),RAIDLog[[#This Row],[Status]]&lt;&gt;"Closed"),RAIDLog[[#This Row],[Score]]+1-(ROW()-ROW(RAIDLog[[#Headers],[Ref]]))/100000,"")</f>
        <v/>
      </c>
    </row>
    <row r="92" customFormat="false" ht="15" hidden="false" customHeight="false" outlineLevel="0" collapsed="false">
      <c r="B92" s="29" t="n">
        <v>88</v>
      </c>
      <c r="C92" s="30"/>
      <c r="D92" s="30"/>
      <c r="E92" s="30"/>
      <c r="F92" s="73"/>
      <c r="G92" s="73"/>
      <c r="H92" s="29"/>
      <c r="I92" s="29"/>
      <c r="J92" s="29"/>
      <c r="K92" s="43" t="str">
        <f aca="false">IF(RAIDLog[[#This Row],[Title]]="","",IF(RAIDLog[[#This Row],[Type]]="Issue",5,N(RAIDLog[[#This Row],[Probability]]))*N(RAIDLog[[#This Row],[Impact]]))</f>
        <v/>
      </c>
      <c r="L92" s="28" t="str">
        <f aca="false">IF(RAIDLog[[#This Row],[Title]]="","",IF(RAIDLog[[#This Row],[Score]]&gt;=RAIDHighScore,"High",IF(RAIDLog[[#This Row],[Score]]&gt;=RAIDMediumScore,"Medium","Low")))</f>
        <v/>
      </c>
      <c r="M92" s="28" t="str">
        <f aca="false">IF(OR(RAIDLog[[#This Row],[Title]]="",N(RAIDLog[[#This Row],[Due]])=0),"",IF(AND(RAIDLog[[#This Row],[Status]]&lt;&gt;"Closed",RAIDLog[[#This Row],[Due]]&lt;StatusDate),"Overdue",""))</f>
        <v/>
      </c>
      <c r="N92" s="29"/>
      <c r="O92" s="24" t="str">
        <f aca="false">IF(N(RAIDLog[[#This Row],[Task UID]])=0,"",IFERROR(INDEX(tsk_Name,MATCH(RAIDLog[[#This Row],[Task UID]],tsk_UID,0)),"UID "&amp;RAIDLog[[#This Row],[Task UID]]&amp;" not found"))</f>
        <v/>
      </c>
      <c r="P92" s="25" t="str">
        <f aca="false">IF(N(RAIDLog[[#This Row],[Task UID]])=0,"",IFERROR(INDEX(tsk_FcFinish,MATCH(RAIDLog[[#This Row],[Task UID]],tsk_UID,0)),""))</f>
        <v/>
      </c>
      <c r="Q92" s="30"/>
      <c r="R92" s="30"/>
      <c r="S92" s="41" t="str">
        <f aca="false">IF(RAIDLog[[#This Row],[Title]]="","",RAIDLog[[#This Row],[Type]]&amp;" "&amp;RAIDLog[[#This Row],[Ref]]&amp;": "&amp;RAIDLog[[#This Row],[Title]])</f>
        <v/>
      </c>
      <c r="T92" s="41" t="str">
        <f aca="false">IF(AND(NOT(RAIDLog[[#This Row],[Title]]=""),RAIDLog[[#This Row],[Status]]&lt;&gt;"Closed"),RAIDLog[[#This Row],[Score]]+1-(ROW()-ROW(RAIDLog[[#Headers],[Ref]]))/100000,"")</f>
        <v/>
      </c>
    </row>
    <row r="93" customFormat="false" ht="15" hidden="false" customHeight="false" outlineLevel="0" collapsed="false">
      <c r="B93" s="29" t="n">
        <v>89</v>
      </c>
      <c r="C93" s="30"/>
      <c r="D93" s="30"/>
      <c r="E93" s="30"/>
      <c r="F93" s="73"/>
      <c r="G93" s="73"/>
      <c r="H93" s="29"/>
      <c r="I93" s="29"/>
      <c r="J93" s="29"/>
      <c r="K93" s="43" t="str">
        <f aca="false">IF(RAIDLog[[#This Row],[Title]]="","",IF(RAIDLog[[#This Row],[Type]]="Issue",5,N(RAIDLog[[#This Row],[Probability]]))*N(RAIDLog[[#This Row],[Impact]]))</f>
        <v/>
      </c>
      <c r="L93" s="28" t="str">
        <f aca="false">IF(RAIDLog[[#This Row],[Title]]="","",IF(RAIDLog[[#This Row],[Score]]&gt;=RAIDHighScore,"High",IF(RAIDLog[[#This Row],[Score]]&gt;=RAIDMediumScore,"Medium","Low")))</f>
        <v/>
      </c>
      <c r="M93" s="28" t="str">
        <f aca="false">IF(OR(RAIDLog[[#This Row],[Title]]="",N(RAIDLog[[#This Row],[Due]])=0),"",IF(AND(RAIDLog[[#This Row],[Status]]&lt;&gt;"Closed",RAIDLog[[#This Row],[Due]]&lt;StatusDate),"Overdue",""))</f>
        <v/>
      </c>
      <c r="N93" s="29"/>
      <c r="O93" s="24" t="str">
        <f aca="false">IF(N(RAIDLog[[#This Row],[Task UID]])=0,"",IFERROR(INDEX(tsk_Name,MATCH(RAIDLog[[#This Row],[Task UID]],tsk_UID,0)),"UID "&amp;RAIDLog[[#This Row],[Task UID]]&amp;" not found"))</f>
        <v/>
      </c>
      <c r="P93" s="25" t="str">
        <f aca="false">IF(N(RAIDLog[[#This Row],[Task UID]])=0,"",IFERROR(INDEX(tsk_FcFinish,MATCH(RAIDLog[[#This Row],[Task UID]],tsk_UID,0)),""))</f>
        <v/>
      </c>
      <c r="Q93" s="30"/>
      <c r="R93" s="30"/>
      <c r="S93" s="41" t="str">
        <f aca="false">IF(RAIDLog[[#This Row],[Title]]="","",RAIDLog[[#This Row],[Type]]&amp;" "&amp;RAIDLog[[#This Row],[Ref]]&amp;": "&amp;RAIDLog[[#This Row],[Title]])</f>
        <v/>
      </c>
      <c r="T93" s="41" t="str">
        <f aca="false">IF(AND(NOT(RAIDLog[[#This Row],[Title]]=""),RAIDLog[[#This Row],[Status]]&lt;&gt;"Closed"),RAIDLog[[#This Row],[Score]]+1-(ROW()-ROW(RAIDLog[[#Headers],[Ref]]))/100000,"")</f>
        <v/>
      </c>
    </row>
    <row r="94" customFormat="false" ht="15" hidden="false" customHeight="false" outlineLevel="0" collapsed="false">
      <c r="B94" s="29" t="n">
        <v>90</v>
      </c>
      <c r="C94" s="30"/>
      <c r="D94" s="30"/>
      <c r="E94" s="30"/>
      <c r="F94" s="73"/>
      <c r="G94" s="73"/>
      <c r="H94" s="29"/>
      <c r="I94" s="29"/>
      <c r="J94" s="29"/>
      <c r="K94" s="43" t="str">
        <f aca="false">IF(RAIDLog[[#This Row],[Title]]="","",IF(RAIDLog[[#This Row],[Type]]="Issue",5,N(RAIDLog[[#This Row],[Probability]]))*N(RAIDLog[[#This Row],[Impact]]))</f>
        <v/>
      </c>
      <c r="L94" s="28" t="str">
        <f aca="false">IF(RAIDLog[[#This Row],[Title]]="","",IF(RAIDLog[[#This Row],[Score]]&gt;=RAIDHighScore,"High",IF(RAIDLog[[#This Row],[Score]]&gt;=RAIDMediumScore,"Medium","Low")))</f>
        <v/>
      </c>
      <c r="M94" s="28" t="str">
        <f aca="false">IF(OR(RAIDLog[[#This Row],[Title]]="",N(RAIDLog[[#This Row],[Due]])=0),"",IF(AND(RAIDLog[[#This Row],[Status]]&lt;&gt;"Closed",RAIDLog[[#This Row],[Due]]&lt;StatusDate),"Overdue",""))</f>
        <v/>
      </c>
      <c r="N94" s="29"/>
      <c r="O94" s="24" t="str">
        <f aca="false">IF(N(RAIDLog[[#This Row],[Task UID]])=0,"",IFERROR(INDEX(tsk_Name,MATCH(RAIDLog[[#This Row],[Task UID]],tsk_UID,0)),"UID "&amp;RAIDLog[[#This Row],[Task UID]]&amp;" not found"))</f>
        <v/>
      </c>
      <c r="P94" s="25" t="str">
        <f aca="false">IF(N(RAIDLog[[#This Row],[Task UID]])=0,"",IFERROR(INDEX(tsk_FcFinish,MATCH(RAIDLog[[#This Row],[Task UID]],tsk_UID,0)),""))</f>
        <v/>
      </c>
      <c r="Q94" s="30"/>
      <c r="R94" s="30"/>
      <c r="S94" s="41" t="str">
        <f aca="false">IF(RAIDLog[[#This Row],[Title]]="","",RAIDLog[[#This Row],[Type]]&amp;" "&amp;RAIDLog[[#This Row],[Ref]]&amp;": "&amp;RAIDLog[[#This Row],[Title]])</f>
        <v/>
      </c>
      <c r="T94" s="41" t="str">
        <f aca="false">IF(AND(NOT(RAIDLog[[#This Row],[Title]]=""),RAIDLog[[#This Row],[Status]]&lt;&gt;"Closed"),RAIDLog[[#This Row],[Score]]+1-(ROW()-ROW(RAIDLog[[#Headers],[Ref]]))/100000,"")</f>
        <v/>
      </c>
    </row>
    <row r="95" customFormat="false" ht="15" hidden="false" customHeight="false" outlineLevel="0" collapsed="false">
      <c r="B95" s="29" t="n">
        <v>91</v>
      </c>
      <c r="C95" s="30"/>
      <c r="D95" s="30"/>
      <c r="E95" s="30"/>
      <c r="F95" s="73"/>
      <c r="G95" s="73"/>
      <c r="H95" s="29"/>
      <c r="I95" s="29"/>
      <c r="J95" s="29"/>
      <c r="K95" s="43" t="str">
        <f aca="false">IF(RAIDLog[[#This Row],[Title]]="","",IF(RAIDLog[[#This Row],[Type]]="Issue",5,N(RAIDLog[[#This Row],[Probability]]))*N(RAIDLog[[#This Row],[Impact]]))</f>
        <v/>
      </c>
      <c r="L95" s="28" t="str">
        <f aca="false">IF(RAIDLog[[#This Row],[Title]]="","",IF(RAIDLog[[#This Row],[Score]]&gt;=RAIDHighScore,"High",IF(RAIDLog[[#This Row],[Score]]&gt;=RAIDMediumScore,"Medium","Low")))</f>
        <v/>
      </c>
      <c r="M95" s="28" t="str">
        <f aca="false">IF(OR(RAIDLog[[#This Row],[Title]]="",N(RAIDLog[[#This Row],[Due]])=0),"",IF(AND(RAIDLog[[#This Row],[Status]]&lt;&gt;"Closed",RAIDLog[[#This Row],[Due]]&lt;StatusDate),"Overdue",""))</f>
        <v/>
      </c>
      <c r="N95" s="29"/>
      <c r="O95" s="24" t="str">
        <f aca="false">IF(N(RAIDLog[[#This Row],[Task UID]])=0,"",IFERROR(INDEX(tsk_Name,MATCH(RAIDLog[[#This Row],[Task UID]],tsk_UID,0)),"UID "&amp;RAIDLog[[#This Row],[Task UID]]&amp;" not found"))</f>
        <v/>
      </c>
      <c r="P95" s="25" t="str">
        <f aca="false">IF(N(RAIDLog[[#This Row],[Task UID]])=0,"",IFERROR(INDEX(tsk_FcFinish,MATCH(RAIDLog[[#This Row],[Task UID]],tsk_UID,0)),""))</f>
        <v/>
      </c>
      <c r="Q95" s="30"/>
      <c r="R95" s="30"/>
      <c r="S95" s="41" t="str">
        <f aca="false">IF(RAIDLog[[#This Row],[Title]]="","",RAIDLog[[#This Row],[Type]]&amp;" "&amp;RAIDLog[[#This Row],[Ref]]&amp;": "&amp;RAIDLog[[#This Row],[Title]])</f>
        <v/>
      </c>
      <c r="T95" s="41" t="str">
        <f aca="false">IF(AND(NOT(RAIDLog[[#This Row],[Title]]=""),RAIDLog[[#This Row],[Status]]&lt;&gt;"Closed"),RAIDLog[[#This Row],[Score]]+1-(ROW()-ROW(RAIDLog[[#Headers],[Ref]]))/100000,"")</f>
        <v/>
      </c>
    </row>
    <row r="96" customFormat="false" ht="15" hidden="false" customHeight="false" outlineLevel="0" collapsed="false">
      <c r="B96" s="29" t="n">
        <v>92</v>
      </c>
      <c r="C96" s="30"/>
      <c r="D96" s="30"/>
      <c r="E96" s="30"/>
      <c r="F96" s="73"/>
      <c r="G96" s="73"/>
      <c r="H96" s="29"/>
      <c r="I96" s="29"/>
      <c r="J96" s="29"/>
      <c r="K96" s="43" t="str">
        <f aca="false">IF(RAIDLog[[#This Row],[Title]]="","",IF(RAIDLog[[#This Row],[Type]]="Issue",5,N(RAIDLog[[#This Row],[Probability]]))*N(RAIDLog[[#This Row],[Impact]]))</f>
        <v/>
      </c>
      <c r="L96" s="28" t="str">
        <f aca="false">IF(RAIDLog[[#This Row],[Title]]="","",IF(RAIDLog[[#This Row],[Score]]&gt;=RAIDHighScore,"High",IF(RAIDLog[[#This Row],[Score]]&gt;=RAIDMediumScore,"Medium","Low")))</f>
        <v/>
      </c>
      <c r="M96" s="28" t="str">
        <f aca="false">IF(OR(RAIDLog[[#This Row],[Title]]="",N(RAIDLog[[#This Row],[Due]])=0),"",IF(AND(RAIDLog[[#This Row],[Status]]&lt;&gt;"Closed",RAIDLog[[#This Row],[Due]]&lt;StatusDate),"Overdue",""))</f>
        <v/>
      </c>
      <c r="N96" s="29"/>
      <c r="O96" s="24" t="str">
        <f aca="false">IF(N(RAIDLog[[#This Row],[Task UID]])=0,"",IFERROR(INDEX(tsk_Name,MATCH(RAIDLog[[#This Row],[Task UID]],tsk_UID,0)),"UID "&amp;RAIDLog[[#This Row],[Task UID]]&amp;" not found"))</f>
        <v/>
      </c>
      <c r="P96" s="25" t="str">
        <f aca="false">IF(N(RAIDLog[[#This Row],[Task UID]])=0,"",IFERROR(INDEX(tsk_FcFinish,MATCH(RAIDLog[[#This Row],[Task UID]],tsk_UID,0)),""))</f>
        <v/>
      </c>
      <c r="Q96" s="30"/>
      <c r="R96" s="30"/>
      <c r="S96" s="41" t="str">
        <f aca="false">IF(RAIDLog[[#This Row],[Title]]="","",RAIDLog[[#This Row],[Type]]&amp;" "&amp;RAIDLog[[#This Row],[Ref]]&amp;": "&amp;RAIDLog[[#This Row],[Title]])</f>
        <v/>
      </c>
      <c r="T96" s="41" t="str">
        <f aca="false">IF(AND(NOT(RAIDLog[[#This Row],[Title]]=""),RAIDLog[[#This Row],[Status]]&lt;&gt;"Closed"),RAIDLog[[#This Row],[Score]]+1-(ROW()-ROW(RAIDLog[[#Headers],[Ref]]))/100000,"")</f>
        <v/>
      </c>
    </row>
    <row r="97" customFormat="false" ht="15" hidden="false" customHeight="false" outlineLevel="0" collapsed="false">
      <c r="B97" s="29" t="n">
        <v>93</v>
      </c>
      <c r="C97" s="30"/>
      <c r="D97" s="30"/>
      <c r="E97" s="30"/>
      <c r="F97" s="73"/>
      <c r="G97" s="73"/>
      <c r="H97" s="29"/>
      <c r="I97" s="29"/>
      <c r="J97" s="29"/>
      <c r="K97" s="43" t="str">
        <f aca="false">IF(RAIDLog[[#This Row],[Title]]="","",IF(RAIDLog[[#This Row],[Type]]="Issue",5,N(RAIDLog[[#This Row],[Probability]]))*N(RAIDLog[[#This Row],[Impact]]))</f>
        <v/>
      </c>
      <c r="L97" s="28" t="str">
        <f aca="false">IF(RAIDLog[[#This Row],[Title]]="","",IF(RAIDLog[[#This Row],[Score]]&gt;=RAIDHighScore,"High",IF(RAIDLog[[#This Row],[Score]]&gt;=RAIDMediumScore,"Medium","Low")))</f>
        <v/>
      </c>
      <c r="M97" s="28" t="str">
        <f aca="false">IF(OR(RAIDLog[[#This Row],[Title]]="",N(RAIDLog[[#This Row],[Due]])=0),"",IF(AND(RAIDLog[[#This Row],[Status]]&lt;&gt;"Closed",RAIDLog[[#This Row],[Due]]&lt;StatusDate),"Overdue",""))</f>
        <v/>
      </c>
      <c r="N97" s="29"/>
      <c r="O97" s="24" t="str">
        <f aca="false">IF(N(RAIDLog[[#This Row],[Task UID]])=0,"",IFERROR(INDEX(tsk_Name,MATCH(RAIDLog[[#This Row],[Task UID]],tsk_UID,0)),"UID "&amp;RAIDLog[[#This Row],[Task UID]]&amp;" not found"))</f>
        <v/>
      </c>
      <c r="P97" s="25" t="str">
        <f aca="false">IF(N(RAIDLog[[#This Row],[Task UID]])=0,"",IFERROR(INDEX(tsk_FcFinish,MATCH(RAIDLog[[#This Row],[Task UID]],tsk_UID,0)),""))</f>
        <v/>
      </c>
      <c r="Q97" s="30"/>
      <c r="R97" s="30"/>
      <c r="S97" s="41" t="str">
        <f aca="false">IF(RAIDLog[[#This Row],[Title]]="","",RAIDLog[[#This Row],[Type]]&amp;" "&amp;RAIDLog[[#This Row],[Ref]]&amp;": "&amp;RAIDLog[[#This Row],[Title]])</f>
        <v/>
      </c>
      <c r="T97" s="41" t="str">
        <f aca="false">IF(AND(NOT(RAIDLog[[#This Row],[Title]]=""),RAIDLog[[#This Row],[Status]]&lt;&gt;"Closed"),RAIDLog[[#This Row],[Score]]+1-(ROW()-ROW(RAIDLog[[#Headers],[Ref]]))/100000,"")</f>
        <v/>
      </c>
    </row>
    <row r="98" customFormat="false" ht="15" hidden="false" customHeight="false" outlineLevel="0" collapsed="false">
      <c r="B98" s="29" t="n">
        <v>94</v>
      </c>
      <c r="C98" s="30"/>
      <c r="D98" s="30"/>
      <c r="E98" s="30"/>
      <c r="F98" s="73"/>
      <c r="G98" s="73"/>
      <c r="H98" s="29"/>
      <c r="I98" s="29"/>
      <c r="J98" s="29"/>
      <c r="K98" s="43" t="str">
        <f aca="false">IF(RAIDLog[[#This Row],[Title]]="","",IF(RAIDLog[[#This Row],[Type]]="Issue",5,N(RAIDLog[[#This Row],[Probability]]))*N(RAIDLog[[#This Row],[Impact]]))</f>
        <v/>
      </c>
      <c r="L98" s="28" t="str">
        <f aca="false">IF(RAIDLog[[#This Row],[Title]]="","",IF(RAIDLog[[#This Row],[Score]]&gt;=RAIDHighScore,"High",IF(RAIDLog[[#This Row],[Score]]&gt;=RAIDMediumScore,"Medium","Low")))</f>
        <v/>
      </c>
      <c r="M98" s="28" t="str">
        <f aca="false">IF(OR(RAIDLog[[#This Row],[Title]]="",N(RAIDLog[[#This Row],[Due]])=0),"",IF(AND(RAIDLog[[#This Row],[Status]]&lt;&gt;"Closed",RAIDLog[[#This Row],[Due]]&lt;StatusDate),"Overdue",""))</f>
        <v/>
      </c>
      <c r="N98" s="29"/>
      <c r="O98" s="24" t="str">
        <f aca="false">IF(N(RAIDLog[[#This Row],[Task UID]])=0,"",IFERROR(INDEX(tsk_Name,MATCH(RAIDLog[[#This Row],[Task UID]],tsk_UID,0)),"UID "&amp;RAIDLog[[#This Row],[Task UID]]&amp;" not found"))</f>
        <v/>
      </c>
      <c r="P98" s="25" t="str">
        <f aca="false">IF(N(RAIDLog[[#This Row],[Task UID]])=0,"",IFERROR(INDEX(tsk_FcFinish,MATCH(RAIDLog[[#This Row],[Task UID]],tsk_UID,0)),""))</f>
        <v/>
      </c>
      <c r="Q98" s="30"/>
      <c r="R98" s="30"/>
      <c r="S98" s="41" t="str">
        <f aca="false">IF(RAIDLog[[#This Row],[Title]]="","",RAIDLog[[#This Row],[Type]]&amp;" "&amp;RAIDLog[[#This Row],[Ref]]&amp;": "&amp;RAIDLog[[#This Row],[Title]])</f>
        <v/>
      </c>
      <c r="T98" s="41" t="str">
        <f aca="false">IF(AND(NOT(RAIDLog[[#This Row],[Title]]=""),RAIDLog[[#This Row],[Status]]&lt;&gt;"Closed"),RAIDLog[[#This Row],[Score]]+1-(ROW()-ROW(RAIDLog[[#Headers],[Ref]]))/100000,"")</f>
        <v/>
      </c>
    </row>
    <row r="99" customFormat="false" ht="15" hidden="false" customHeight="false" outlineLevel="0" collapsed="false">
      <c r="B99" s="29" t="n">
        <v>95</v>
      </c>
      <c r="C99" s="30"/>
      <c r="D99" s="30"/>
      <c r="E99" s="30"/>
      <c r="F99" s="73"/>
      <c r="G99" s="73"/>
      <c r="H99" s="29"/>
      <c r="I99" s="29"/>
      <c r="J99" s="29"/>
      <c r="K99" s="43" t="str">
        <f aca="false">IF(RAIDLog[[#This Row],[Title]]="","",IF(RAIDLog[[#This Row],[Type]]="Issue",5,N(RAIDLog[[#This Row],[Probability]]))*N(RAIDLog[[#This Row],[Impact]]))</f>
        <v/>
      </c>
      <c r="L99" s="28" t="str">
        <f aca="false">IF(RAIDLog[[#This Row],[Title]]="","",IF(RAIDLog[[#This Row],[Score]]&gt;=RAIDHighScore,"High",IF(RAIDLog[[#This Row],[Score]]&gt;=RAIDMediumScore,"Medium","Low")))</f>
        <v/>
      </c>
      <c r="M99" s="28" t="str">
        <f aca="false">IF(OR(RAIDLog[[#This Row],[Title]]="",N(RAIDLog[[#This Row],[Due]])=0),"",IF(AND(RAIDLog[[#This Row],[Status]]&lt;&gt;"Closed",RAIDLog[[#This Row],[Due]]&lt;StatusDate),"Overdue",""))</f>
        <v/>
      </c>
      <c r="N99" s="29"/>
      <c r="O99" s="24" t="str">
        <f aca="false">IF(N(RAIDLog[[#This Row],[Task UID]])=0,"",IFERROR(INDEX(tsk_Name,MATCH(RAIDLog[[#This Row],[Task UID]],tsk_UID,0)),"UID "&amp;RAIDLog[[#This Row],[Task UID]]&amp;" not found"))</f>
        <v/>
      </c>
      <c r="P99" s="25" t="str">
        <f aca="false">IF(N(RAIDLog[[#This Row],[Task UID]])=0,"",IFERROR(INDEX(tsk_FcFinish,MATCH(RAIDLog[[#This Row],[Task UID]],tsk_UID,0)),""))</f>
        <v/>
      </c>
      <c r="Q99" s="30"/>
      <c r="R99" s="30"/>
      <c r="S99" s="41" t="str">
        <f aca="false">IF(RAIDLog[[#This Row],[Title]]="","",RAIDLog[[#This Row],[Type]]&amp;" "&amp;RAIDLog[[#This Row],[Ref]]&amp;": "&amp;RAIDLog[[#This Row],[Title]])</f>
        <v/>
      </c>
      <c r="T99" s="41" t="str">
        <f aca="false">IF(AND(NOT(RAIDLog[[#This Row],[Title]]=""),RAIDLog[[#This Row],[Status]]&lt;&gt;"Closed"),RAIDLog[[#This Row],[Score]]+1-(ROW()-ROW(RAIDLog[[#Headers],[Ref]]))/100000,"")</f>
        <v/>
      </c>
    </row>
    <row r="100" customFormat="false" ht="15" hidden="false" customHeight="false" outlineLevel="0" collapsed="false">
      <c r="B100" s="29" t="n">
        <v>96</v>
      </c>
      <c r="C100" s="30"/>
      <c r="D100" s="30"/>
      <c r="E100" s="30"/>
      <c r="F100" s="73"/>
      <c r="G100" s="73"/>
      <c r="H100" s="29"/>
      <c r="I100" s="29"/>
      <c r="J100" s="29"/>
      <c r="K100" s="43" t="str">
        <f aca="false">IF(RAIDLog[[#This Row],[Title]]="","",IF(RAIDLog[[#This Row],[Type]]="Issue",5,N(RAIDLog[[#This Row],[Probability]]))*N(RAIDLog[[#This Row],[Impact]]))</f>
        <v/>
      </c>
      <c r="L100" s="28" t="str">
        <f aca="false">IF(RAIDLog[[#This Row],[Title]]="","",IF(RAIDLog[[#This Row],[Score]]&gt;=RAIDHighScore,"High",IF(RAIDLog[[#This Row],[Score]]&gt;=RAIDMediumScore,"Medium","Low")))</f>
        <v/>
      </c>
      <c r="M100" s="28" t="str">
        <f aca="false">IF(OR(RAIDLog[[#This Row],[Title]]="",N(RAIDLog[[#This Row],[Due]])=0),"",IF(AND(RAIDLog[[#This Row],[Status]]&lt;&gt;"Closed",RAIDLog[[#This Row],[Due]]&lt;StatusDate),"Overdue",""))</f>
        <v/>
      </c>
      <c r="N100" s="29"/>
      <c r="O100" s="24" t="str">
        <f aca="false">IF(N(RAIDLog[[#This Row],[Task UID]])=0,"",IFERROR(INDEX(tsk_Name,MATCH(RAIDLog[[#This Row],[Task UID]],tsk_UID,0)),"UID "&amp;RAIDLog[[#This Row],[Task UID]]&amp;" not found"))</f>
        <v/>
      </c>
      <c r="P100" s="25" t="str">
        <f aca="false">IF(N(RAIDLog[[#This Row],[Task UID]])=0,"",IFERROR(INDEX(tsk_FcFinish,MATCH(RAIDLog[[#This Row],[Task UID]],tsk_UID,0)),""))</f>
        <v/>
      </c>
      <c r="Q100" s="30"/>
      <c r="R100" s="30"/>
      <c r="S100" s="41" t="str">
        <f aca="false">IF(RAIDLog[[#This Row],[Title]]="","",RAIDLog[[#This Row],[Type]]&amp;" "&amp;RAIDLog[[#This Row],[Ref]]&amp;": "&amp;RAIDLog[[#This Row],[Title]])</f>
        <v/>
      </c>
      <c r="T100" s="41" t="str">
        <f aca="false">IF(AND(NOT(RAIDLog[[#This Row],[Title]]=""),RAIDLog[[#This Row],[Status]]&lt;&gt;"Closed"),RAIDLog[[#This Row],[Score]]+1-(ROW()-ROW(RAIDLog[[#Headers],[Ref]]))/100000,"")</f>
        <v/>
      </c>
    </row>
    <row r="101" customFormat="false" ht="15" hidden="false" customHeight="false" outlineLevel="0" collapsed="false">
      <c r="B101" s="29" t="n">
        <v>97</v>
      </c>
      <c r="C101" s="30"/>
      <c r="D101" s="30"/>
      <c r="E101" s="30"/>
      <c r="F101" s="73"/>
      <c r="G101" s="73"/>
      <c r="H101" s="29"/>
      <c r="I101" s="29"/>
      <c r="J101" s="29"/>
      <c r="K101" s="43" t="str">
        <f aca="false">IF(RAIDLog[[#This Row],[Title]]="","",IF(RAIDLog[[#This Row],[Type]]="Issue",5,N(RAIDLog[[#This Row],[Probability]]))*N(RAIDLog[[#This Row],[Impact]]))</f>
        <v/>
      </c>
      <c r="L101" s="28" t="str">
        <f aca="false">IF(RAIDLog[[#This Row],[Title]]="","",IF(RAIDLog[[#This Row],[Score]]&gt;=RAIDHighScore,"High",IF(RAIDLog[[#This Row],[Score]]&gt;=RAIDMediumScore,"Medium","Low")))</f>
        <v/>
      </c>
      <c r="M101" s="28" t="str">
        <f aca="false">IF(OR(RAIDLog[[#This Row],[Title]]="",N(RAIDLog[[#This Row],[Due]])=0),"",IF(AND(RAIDLog[[#This Row],[Status]]&lt;&gt;"Closed",RAIDLog[[#This Row],[Due]]&lt;StatusDate),"Overdue",""))</f>
        <v/>
      </c>
      <c r="N101" s="29"/>
      <c r="O101" s="24" t="str">
        <f aca="false">IF(N(RAIDLog[[#This Row],[Task UID]])=0,"",IFERROR(INDEX(tsk_Name,MATCH(RAIDLog[[#This Row],[Task UID]],tsk_UID,0)),"UID "&amp;RAIDLog[[#This Row],[Task UID]]&amp;" not found"))</f>
        <v/>
      </c>
      <c r="P101" s="25" t="str">
        <f aca="false">IF(N(RAIDLog[[#This Row],[Task UID]])=0,"",IFERROR(INDEX(tsk_FcFinish,MATCH(RAIDLog[[#This Row],[Task UID]],tsk_UID,0)),""))</f>
        <v/>
      </c>
      <c r="Q101" s="30"/>
      <c r="R101" s="30"/>
      <c r="S101" s="41" t="str">
        <f aca="false">IF(RAIDLog[[#This Row],[Title]]="","",RAIDLog[[#This Row],[Type]]&amp;" "&amp;RAIDLog[[#This Row],[Ref]]&amp;": "&amp;RAIDLog[[#This Row],[Title]])</f>
        <v/>
      </c>
      <c r="T101" s="41" t="str">
        <f aca="false">IF(AND(NOT(RAIDLog[[#This Row],[Title]]=""),RAIDLog[[#This Row],[Status]]&lt;&gt;"Closed"),RAIDLog[[#This Row],[Score]]+1-(ROW()-ROW(RAIDLog[[#Headers],[Ref]]))/100000,"")</f>
        <v/>
      </c>
    </row>
    <row r="102" customFormat="false" ht="15" hidden="false" customHeight="false" outlineLevel="0" collapsed="false">
      <c r="B102" s="29" t="n">
        <v>98</v>
      </c>
      <c r="C102" s="30"/>
      <c r="D102" s="30"/>
      <c r="E102" s="30"/>
      <c r="F102" s="73"/>
      <c r="G102" s="73"/>
      <c r="H102" s="29"/>
      <c r="I102" s="29"/>
      <c r="J102" s="29"/>
      <c r="K102" s="43" t="str">
        <f aca="false">IF(RAIDLog[[#This Row],[Title]]="","",IF(RAIDLog[[#This Row],[Type]]="Issue",5,N(RAIDLog[[#This Row],[Probability]]))*N(RAIDLog[[#This Row],[Impact]]))</f>
        <v/>
      </c>
      <c r="L102" s="28" t="str">
        <f aca="false">IF(RAIDLog[[#This Row],[Title]]="","",IF(RAIDLog[[#This Row],[Score]]&gt;=RAIDHighScore,"High",IF(RAIDLog[[#This Row],[Score]]&gt;=RAIDMediumScore,"Medium","Low")))</f>
        <v/>
      </c>
      <c r="M102" s="28" t="str">
        <f aca="false">IF(OR(RAIDLog[[#This Row],[Title]]="",N(RAIDLog[[#This Row],[Due]])=0),"",IF(AND(RAIDLog[[#This Row],[Status]]&lt;&gt;"Closed",RAIDLog[[#This Row],[Due]]&lt;StatusDate),"Overdue",""))</f>
        <v/>
      </c>
      <c r="N102" s="29"/>
      <c r="O102" s="24" t="str">
        <f aca="false">IF(N(RAIDLog[[#This Row],[Task UID]])=0,"",IFERROR(INDEX(tsk_Name,MATCH(RAIDLog[[#This Row],[Task UID]],tsk_UID,0)),"UID "&amp;RAIDLog[[#This Row],[Task UID]]&amp;" not found"))</f>
        <v/>
      </c>
      <c r="P102" s="25" t="str">
        <f aca="false">IF(N(RAIDLog[[#This Row],[Task UID]])=0,"",IFERROR(INDEX(tsk_FcFinish,MATCH(RAIDLog[[#This Row],[Task UID]],tsk_UID,0)),""))</f>
        <v/>
      </c>
      <c r="Q102" s="30"/>
      <c r="R102" s="30"/>
      <c r="S102" s="41" t="str">
        <f aca="false">IF(RAIDLog[[#This Row],[Title]]="","",RAIDLog[[#This Row],[Type]]&amp;" "&amp;RAIDLog[[#This Row],[Ref]]&amp;": "&amp;RAIDLog[[#This Row],[Title]])</f>
        <v/>
      </c>
      <c r="T102" s="41" t="str">
        <f aca="false">IF(AND(NOT(RAIDLog[[#This Row],[Title]]=""),RAIDLog[[#This Row],[Status]]&lt;&gt;"Closed"),RAIDLog[[#This Row],[Score]]+1-(ROW()-ROW(RAIDLog[[#Headers],[Ref]]))/100000,"")</f>
        <v/>
      </c>
    </row>
    <row r="103" customFormat="false" ht="15" hidden="false" customHeight="false" outlineLevel="0" collapsed="false">
      <c r="B103" s="29" t="n">
        <v>99</v>
      </c>
      <c r="C103" s="30"/>
      <c r="D103" s="30"/>
      <c r="E103" s="30"/>
      <c r="F103" s="73"/>
      <c r="G103" s="73"/>
      <c r="H103" s="29"/>
      <c r="I103" s="29"/>
      <c r="J103" s="29"/>
      <c r="K103" s="43" t="str">
        <f aca="false">IF(RAIDLog[[#This Row],[Title]]="","",IF(RAIDLog[[#This Row],[Type]]="Issue",5,N(RAIDLog[[#This Row],[Probability]]))*N(RAIDLog[[#This Row],[Impact]]))</f>
        <v/>
      </c>
      <c r="L103" s="28" t="str">
        <f aca="false">IF(RAIDLog[[#This Row],[Title]]="","",IF(RAIDLog[[#This Row],[Score]]&gt;=RAIDHighScore,"High",IF(RAIDLog[[#This Row],[Score]]&gt;=RAIDMediumScore,"Medium","Low")))</f>
        <v/>
      </c>
      <c r="M103" s="28" t="str">
        <f aca="false">IF(OR(RAIDLog[[#This Row],[Title]]="",N(RAIDLog[[#This Row],[Due]])=0),"",IF(AND(RAIDLog[[#This Row],[Status]]&lt;&gt;"Closed",RAIDLog[[#This Row],[Due]]&lt;StatusDate),"Overdue",""))</f>
        <v/>
      </c>
      <c r="N103" s="29"/>
      <c r="O103" s="24" t="str">
        <f aca="false">IF(N(RAIDLog[[#This Row],[Task UID]])=0,"",IFERROR(INDEX(tsk_Name,MATCH(RAIDLog[[#This Row],[Task UID]],tsk_UID,0)),"UID "&amp;RAIDLog[[#This Row],[Task UID]]&amp;" not found"))</f>
        <v/>
      </c>
      <c r="P103" s="25" t="str">
        <f aca="false">IF(N(RAIDLog[[#This Row],[Task UID]])=0,"",IFERROR(INDEX(tsk_FcFinish,MATCH(RAIDLog[[#This Row],[Task UID]],tsk_UID,0)),""))</f>
        <v/>
      </c>
      <c r="Q103" s="30"/>
      <c r="R103" s="30"/>
      <c r="S103" s="41" t="str">
        <f aca="false">IF(RAIDLog[[#This Row],[Title]]="","",RAIDLog[[#This Row],[Type]]&amp;" "&amp;RAIDLog[[#This Row],[Ref]]&amp;": "&amp;RAIDLog[[#This Row],[Title]])</f>
        <v/>
      </c>
      <c r="T103" s="41" t="str">
        <f aca="false">IF(AND(NOT(RAIDLog[[#This Row],[Title]]=""),RAIDLog[[#This Row],[Status]]&lt;&gt;"Closed"),RAIDLog[[#This Row],[Score]]+1-(ROW()-ROW(RAIDLog[[#Headers],[Ref]]))/100000,"")</f>
        <v/>
      </c>
    </row>
    <row r="104" customFormat="false" ht="15" hidden="false" customHeight="false" outlineLevel="0" collapsed="false">
      <c r="B104" s="29" t="n">
        <v>100</v>
      </c>
      <c r="C104" s="30"/>
      <c r="D104" s="30"/>
      <c r="E104" s="30"/>
      <c r="F104" s="73"/>
      <c r="G104" s="73"/>
      <c r="H104" s="29"/>
      <c r="I104" s="29"/>
      <c r="J104" s="29"/>
      <c r="K104" s="43" t="str">
        <f aca="false">IF(RAIDLog[[#This Row],[Title]]="","",IF(RAIDLog[[#This Row],[Type]]="Issue",5,N(RAIDLog[[#This Row],[Probability]]))*N(RAIDLog[[#This Row],[Impact]]))</f>
        <v/>
      </c>
      <c r="L104" s="28" t="str">
        <f aca="false">IF(RAIDLog[[#This Row],[Title]]="","",IF(RAIDLog[[#This Row],[Score]]&gt;=RAIDHighScore,"High",IF(RAIDLog[[#This Row],[Score]]&gt;=RAIDMediumScore,"Medium","Low")))</f>
        <v/>
      </c>
      <c r="M104" s="28" t="str">
        <f aca="false">IF(OR(RAIDLog[[#This Row],[Title]]="",N(RAIDLog[[#This Row],[Due]])=0),"",IF(AND(RAIDLog[[#This Row],[Status]]&lt;&gt;"Closed",RAIDLog[[#This Row],[Due]]&lt;StatusDate),"Overdue",""))</f>
        <v/>
      </c>
      <c r="N104" s="29"/>
      <c r="O104" s="24" t="str">
        <f aca="false">IF(N(RAIDLog[[#This Row],[Task UID]])=0,"",IFERROR(INDEX(tsk_Name,MATCH(RAIDLog[[#This Row],[Task UID]],tsk_UID,0)),"UID "&amp;RAIDLog[[#This Row],[Task UID]]&amp;" not found"))</f>
        <v/>
      </c>
      <c r="P104" s="25" t="str">
        <f aca="false">IF(N(RAIDLog[[#This Row],[Task UID]])=0,"",IFERROR(INDEX(tsk_FcFinish,MATCH(RAIDLog[[#This Row],[Task UID]],tsk_UID,0)),""))</f>
        <v/>
      </c>
      <c r="Q104" s="30"/>
      <c r="R104" s="30"/>
      <c r="S104" s="41" t="str">
        <f aca="false">IF(RAIDLog[[#This Row],[Title]]="","",RAIDLog[[#This Row],[Type]]&amp;" "&amp;RAIDLog[[#This Row],[Ref]]&amp;": "&amp;RAIDLog[[#This Row],[Title]])</f>
        <v/>
      </c>
      <c r="T104" s="41" t="str">
        <f aca="false">IF(AND(NOT(RAIDLog[[#This Row],[Title]]=""),RAIDLog[[#This Row],[Status]]&lt;&gt;"Closed"),RAIDLog[[#This Row],[Score]]+1-(ROW()-ROW(RAIDLog[[#Headers],[Ref]]))/100000,"")</f>
        <v/>
      </c>
    </row>
  </sheetData>
  <conditionalFormatting sqref="L5:L104">
    <cfRule type="expression" priority="2" aboveAverage="0" equalAverage="0" bottom="0" percent="0" rank="0" text="" dxfId="15">
      <formula>L5="High"</formula>
    </cfRule>
    <cfRule type="expression" priority="3" aboveAverage="0" equalAverage="0" bottom="0" percent="0" rank="0" text="" dxfId="14">
      <formula>L5="Medium"</formula>
    </cfRule>
    <cfRule type="expression" priority="4" aboveAverage="0" equalAverage="0" bottom="0" percent="0" rank="0" text="" dxfId="13">
      <formula>L5="Low"</formula>
    </cfRule>
  </conditionalFormatting>
  <conditionalFormatting sqref="M5:M104">
    <cfRule type="expression" priority="5" aboveAverage="0" equalAverage="0" bottom="0" percent="0" rank="0" text="" dxfId="24">
      <formula>M5="Overdue"</formula>
    </cfRule>
  </conditionalFormatting>
  <conditionalFormatting sqref="B5:R104">
    <cfRule type="expression" priority="6" aboveAverage="0" equalAverage="0" bottom="0" percent="0" rank="0" text="" dxfId="28">
      <formula>$H5="Closed"</formula>
    </cfRule>
  </conditionalFormatting>
  <dataValidations count="5">
    <dataValidation allowBlank="false" errorStyle="stop" operator="between" showDropDown="false" showErrorMessage="false" showInputMessage="false" sqref="C5:C104" type="list">
      <formula1>L_RAIDType</formula1>
      <formula2>0</formula2>
    </dataValidation>
    <dataValidation allowBlank="false" errorStyle="stop" operator="between" showDropDown="false" showErrorMessage="false" showInputMessage="false" sqref="H5:H104" type="list">
      <formula1>L_RAIDStatus</formula1>
      <formula2>0</formula2>
    </dataValidation>
    <dataValidation allowBlank="false" errorStyle="stop" operator="between" showDropDown="false" showErrorMessage="false" showInputMessage="false" sqref="I5:J104" type="whole">
      <formula1>1</formula1>
      <formula2>5</formula2>
    </dataValidation>
    <dataValidation allowBlank="false" errorStyle="stop" operator="greaterThan" showDropDown="false" showErrorMessage="false" showInputMessage="false" sqref="F5:G104" type="date">
      <formula1>1</formula1>
      <formula2>0</formula2>
    </dataValidation>
    <dataValidation allowBlank="false" errorStyle="stop" operator="between" showDropDown="false" showErrorMessage="false" showInputMessage="false" sqref="E5:E104" type="list">
      <formula1>res_Name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K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44"/>
    <col collapsed="false" customWidth="true" hidden="false" outlineLevel="0" max="5" min="5" style="0" width="56"/>
    <col collapsed="false" customWidth="true" hidden="false" outlineLevel="0" max="6" min="6" style="0" width="18"/>
    <col collapsed="false" customWidth="true" hidden="false" outlineLevel="0" max="7" min="7" style="0" width="11"/>
    <col collapsed="false" customWidth="true" hidden="false" outlineLevel="0" max="8" min="8" style="0" width="9"/>
    <col collapsed="false" customWidth="true" hidden="false" outlineLevel="0" max="9" min="9" style="0" width="8"/>
    <col collapsed="false" customWidth="true" hidden="false" outlineLevel="0" max="10" min="10" style="0" width="28"/>
    <col collapsed="false" customWidth="true" hidden="false" outlineLevel="0" max="11" min="11" style="0" width="8"/>
  </cols>
  <sheetData>
    <row r="1" customFormat="false" ht="19.7" hidden="false" customHeight="false" outlineLevel="0" collapsed="false">
      <c r="A1" s="26" t="s">
        <v>301</v>
      </c>
    </row>
    <row r="2" customFormat="false" ht="15" hidden="false" customHeight="false" outlineLevel="0" collapsed="false">
      <c r="A2" s="8" t="s">
        <v>302</v>
      </c>
    </row>
    <row r="4" customFormat="false" ht="35.05" hidden="false" customHeight="false" outlineLevel="0" collapsed="false">
      <c r="B4" s="27" t="s">
        <v>262</v>
      </c>
      <c r="C4" s="27" t="s">
        <v>303</v>
      </c>
      <c r="D4" s="27" t="s">
        <v>304</v>
      </c>
      <c r="E4" s="27" t="s">
        <v>305</v>
      </c>
      <c r="F4" s="27" t="s">
        <v>306</v>
      </c>
      <c r="G4" s="27" t="s">
        <v>91</v>
      </c>
      <c r="H4" s="9" t="s">
        <v>307</v>
      </c>
      <c r="I4" s="27" t="s">
        <v>269</v>
      </c>
      <c r="J4" s="9" t="s">
        <v>180</v>
      </c>
      <c r="K4" s="27" t="s">
        <v>308</v>
      </c>
    </row>
    <row r="5" customFormat="false" ht="15" hidden="false" customHeight="false" outlineLevel="0" collapsed="false">
      <c r="B5" s="29" t="n">
        <v>1</v>
      </c>
      <c r="C5" s="73" t="n">
        <v>46279</v>
      </c>
      <c r="D5" s="30" t="s">
        <v>309</v>
      </c>
      <c r="E5" s="30" t="s">
        <v>310</v>
      </c>
      <c r="F5" s="30" t="s">
        <v>311</v>
      </c>
      <c r="G5" s="29" t="s">
        <v>312</v>
      </c>
      <c r="H5" s="43" t="str">
        <f aca="false">IF(OR(DecisionLog[[#This Row],[Decision]]="",DecisionLog[[#This Row],[Status]]&lt;&gt;"Proposed",N(DecisionLog[[#This Row],[Date]])=0),"",MAX(0,StatusDate-DecisionLog[[#This Row],[Date]]))</f>
        <v/>
      </c>
      <c r="I5" s="29" t="n">
        <v>12</v>
      </c>
      <c r="J5" s="24" t="str">
        <f aca="false">IF(N(DecisionLog[[#This Row],[Task UID]])=0,"",IFERROR(INDEX(tsk_Name,MATCH(DecisionLog[[#This Row],[Task UID]],tsk_UID,0)),"UID "&amp;DecisionLog[[#This Row],[Task UID]]&amp;" not found"))</f>
        <v>Data model &amp; database setup</v>
      </c>
      <c r="K5" s="29"/>
    </row>
    <row r="6" customFormat="false" ht="15" hidden="false" customHeight="false" outlineLevel="0" collapsed="false">
      <c r="B6" s="29" t="n">
        <v>2</v>
      </c>
      <c r="C6" s="73" t="n">
        <v>46304</v>
      </c>
      <c r="D6" s="30" t="s">
        <v>313</v>
      </c>
      <c r="E6" s="30" t="s">
        <v>314</v>
      </c>
      <c r="F6" s="30" t="s">
        <v>315</v>
      </c>
      <c r="G6" s="29" t="s">
        <v>312</v>
      </c>
      <c r="H6" s="43" t="str">
        <f aca="false">IF(OR(DecisionLog[[#This Row],[Decision]]="",DecisionLog[[#This Row],[Status]]&lt;&gt;"Proposed",N(DecisionLog[[#This Row],[Date]])=0),"",MAX(0,StatusDate-DecisionLog[[#This Row],[Date]]))</f>
        <v/>
      </c>
      <c r="I6" s="29" t="n">
        <v>17</v>
      </c>
      <c r="J6" s="24" t="str">
        <f aca="false">IF(N(DecisionLog[[#This Row],[Task UID]])=0,"",IFERROR(INDEX(tsk_Name,MATCH(DecisionLog[[#This Row],[Task UID]],tsk_UID,0)),"UID "&amp;DecisionLog[[#This Row],[Task UID]]&amp;" not found"))</f>
        <v>Feature screens</v>
      </c>
      <c r="K6" s="29" t="n">
        <v>6</v>
      </c>
    </row>
    <row r="7" customFormat="false" ht="15" hidden="false" customHeight="false" outlineLevel="0" collapsed="false">
      <c r="B7" s="29" t="n">
        <v>3</v>
      </c>
      <c r="C7" s="73" t="n">
        <v>46317</v>
      </c>
      <c r="D7" s="30" t="s">
        <v>316</v>
      </c>
      <c r="E7" s="30" t="s">
        <v>317</v>
      </c>
      <c r="F7" s="30" t="s">
        <v>315</v>
      </c>
      <c r="G7" s="29" t="s">
        <v>318</v>
      </c>
      <c r="H7" s="43" t="n">
        <f aca="false">IF(OR(DecisionLog[[#This Row],[Decision]]="",DecisionLog[[#This Row],[Status]]&lt;&gt;"Proposed",N(DecisionLog[[#This Row],[Date]])=0),"",MAX(0,StatusDate-DecisionLog[[#This Row],[Date]]))</f>
        <v>3</v>
      </c>
      <c r="I7" s="29" t="n">
        <v>13</v>
      </c>
      <c r="J7" s="24" t="str">
        <f aca="false">IF(N(DecisionLog[[#This Row],[Task UID]])=0,"",IFERROR(INDEX(tsk_Name,MATCH(DecisionLog[[#This Row],[Task UID]],tsk_UID,0)),"UID "&amp;DecisionLog[[#This Row],[Task UID]]&amp;" not found"))</f>
        <v>Core API endpoints</v>
      </c>
      <c r="K7" s="29" t="n">
        <v>3</v>
      </c>
    </row>
    <row r="8" customFormat="false" ht="15" hidden="false" customHeight="false" outlineLevel="0" collapsed="false">
      <c r="B8" s="29" t="n">
        <v>4</v>
      </c>
      <c r="C8" s="73"/>
      <c r="D8" s="30"/>
      <c r="E8" s="30"/>
      <c r="F8" s="30"/>
      <c r="G8" s="29"/>
      <c r="H8" s="43" t="str">
        <f aca="false">IF(OR(DecisionLog[[#This Row],[Decision]]="",DecisionLog[[#This Row],[Status]]&lt;&gt;"Proposed",N(DecisionLog[[#This Row],[Date]])=0),"",MAX(0,StatusDate-DecisionLog[[#This Row],[Date]]))</f>
        <v/>
      </c>
      <c r="I8" s="29"/>
      <c r="J8" s="24" t="str">
        <f aca="false">IF(N(DecisionLog[[#This Row],[Task UID]])=0,"",IFERROR(INDEX(tsk_Name,MATCH(DecisionLog[[#This Row],[Task UID]],tsk_UID,0)),"UID "&amp;DecisionLog[[#This Row],[Task UID]]&amp;" not found"))</f>
        <v/>
      </c>
      <c r="K8" s="29"/>
    </row>
    <row r="9" customFormat="false" ht="15" hidden="false" customHeight="false" outlineLevel="0" collapsed="false">
      <c r="B9" s="29" t="n">
        <v>5</v>
      </c>
      <c r="C9" s="73"/>
      <c r="D9" s="30"/>
      <c r="E9" s="30"/>
      <c r="F9" s="30"/>
      <c r="G9" s="29"/>
      <c r="H9" s="43" t="str">
        <f aca="false">IF(OR(DecisionLog[[#This Row],[Decision]]="",DecisionLog[[#This Row],[Status]]&lt;&gt;"Proposed",N(DecisionLog[[#This Row],[Date]])=0),"",MAX(0,StatusDate-DecisionLog[[#This Row],[Date]]))</f>
        <v/>
      </c>
      <c r="I9" s="29"/>
      <c r="J9" s="24" t="str">
        <f aca="false">IF(N(DecisionLog[[#This Row],[Task UID]])=0,"",IFERROR(INDEX(tsk_Name,MATCH(DecisionLog[[#This Row],[Task UID]],tsk_UID,0)),"UID "&amp;DecisionLog[[#This Row],[Task UID]]&amp;" not found"))</f>
        <v/>
      </c>
      <c r="K9" s="29"/>
    </row>
    <row r="10" customFormat="false" ht="15" hidden="false" customHeight="false" outlineLevel="0" collapsed="false">
      <c r="B10" s="29" t="n">
        <v>6</v>
      </c>
      <c r="C10" s="73"/>
      <c r="D10" s="30"/>
      <c r="E10" s="30"/>
      <c r="F10" s="30"/>
      <c r="G10" s="29"/>
      <c r="H10" s="43" t="str">
        <f aca="false">IF(OR(DecisionLog[[#This Row],[Decision]]="",DecisionLog[[#This Row],[Status]]&lt;&gt;"Proposed",N(DecisionLog[[#This Row],[Date]])=0),"",MAX(0,StatusDate-DecisionLog[[#This Row],[Date]]))</f>
        <v/>
      </c>
      <c r="I10" s="29"/>
      <c r="J10" s="24" t="str">
        <f aca="false">IF(N(DecisionLog[[#This Row],[Task UID]])=0,"",IFERROR(INDEX(tsk_Name,MATCH(DecisionLog[[#This Row],[Task UID]],tsk_UID,0)),"UID "&amp;DecisionLog[[#This Row],[Task UID]]&amp;" not found"))</f>
        <v/>
      </c>
      <c r="K10" s="29"/>
    </row>
    <row r="11" customFormat="false" ht="15" hidden="false" customHeight="false" outlineLevel="0" collapsed="false">
      <c r="B11" s="29" t="n">
        <v>7</v>
      </c>
      <c r="C11" s="73"/>
      <c r="D11" s="30"/>
      <c r="E11" s="30"/>
      <c r="F11" s="30"/>
      <c r="G11" s="29"/>
      <c r="H11" s="43" t="str">
        <f aca="false">IF(OR(DecisionLog[[#This Row],[Decision]]="",DecisionLog[[#This Row],[Status]]&lt;&gt;"Proposed",N(DecisionLog[[#This Row],[Date]])=0),"",MAX(0,StatusDate-DecisionLog[[#This Row],[Date]]))</f>
        <v/>
      </c>
      <c r="I11" s="29"/>
      <c r="J11" s="24" t="str">
        <f aca="false">IF(N(DecisionLog[[#This Row],[Task UID]])=0,"",IFERROR(INDEX(tsk_Name,MATCH(DecisionLog[[#This Row],[Task UID]],tsk_UID,0)),"UID "&amp;DecisionLog[[#This Row],[Task UID]]&amp;" not found"))</f>
        <v/>
      </c>
      <c r="K11" s="29"/>
    </row>
    <row r="12" customFormat="false" ht="15" hidden="false" customHeight="false" outlineLevel="0" collapsed="false">
      <c r="B12" s="29" t="n">
        <v>8</v>
      </c>
      <c r="C12" s="73"/>
      <c r="D12" s="30"/>
      <c r="E12" s="30"/>
      <c r="F12" s="30"/>
      <c r="G12" s="29"/>
      <c r="H12" s="43" t="str">
        <f aca="false">IF(OR(DecisionLog[[#This Row],[Decision]]="",DecisionLog[[#This Row],[Status]]&lt;&gt;"Proposed",N(DecisionLog[[#This Row],[Date]])=0),"",MAX(0,StatusDate-DecisionLog[[#This Row],[Date]]))</f>
        <v/>
      </c>
      <c r="I12" s="29"/>
      <c r="J12" s="24" t="str">
        <f aca="false">IF(N(DecisionLog[[#This Row],[Task UID]])=0,"",IFERROR(INDEX(tsk_Name,MATCH(DecisionLog[[#This Row],[Task UID]],tsk_UID,0)),"UID "&amp;DecisionLog[[#This Row],[Task UID]]&amp;" not found"))</f>
        <v/>
      </c>
      <c r="K12" s="29"/>
    </row>
    <row r="13" customFormat="false" ht="15" hidden="false" customHeight="false" outlineLevel="0" collapsed="false">
      <c r="B13" s="29" t="n">
        <v>9</v>
      </c>
      <c r="C13" s="73"/>
      <c r="D13" s="30"/>
      <c r="E13" s="30"/>
      <c r="F13" s="30"/>
      <c r="G13" s="29"/>
      <c r="H13" s="43" t="str">
        <f aca="false">IF(OR(DecisionLog[[#This Row],[Decision]]="",DecisionLog[[#This Row],[Status]]&lt;&gt;"Proposed",N(DecisionLog[[#This Row],[Date]])=0),"",MAX(0,StatusDate-DecisionLog[[#This Row],[Date]]))</f>
        <v/>
      </c>
      <c r="I13" s="29"/>
      <c r="J13" s="24" t="str">
        <f aca="false">IF(N(DecisionLog[[#This Row],[Task UID]])=0,"",IFERROR(INDEX(tsk_Name,MATCH(DecisionLog[[#This Row],[Task UID]],tsk_UID,0)),"UID "&amp;DecisionLog[[#This Row],[Task UID]]&amp;" not found"))</f>
        <v/>
      </c>
      <c r="K13" s="29"/>
    </row>
    <row r="14" customFormat="false" ht="15" hidden="false" customHeight="false" outlineLevel="0" collapsed="false">
      <c r="B14" s="29" t="n">
        <v>10</v>
      </c>
      <c r="C14" s="73"/>
      <c r="D14" s="30"/>
      <c r="E14" s="30"/>
      <c r="F14" s="30"/>
      <c r="G14" s="29"/>
      <c r="H14" s="43" t="str">
        <f aca="false">IF(OR(DecisionLog[[#This Row],[Decision]]="",DecisionLog[[#This Row],[Status]]&lt;&gt;"Proposed",N(DecisionLog[[#This Row],[Date]])=0),"",MAX(0,StatusDate-DecisionLog[[#This Row],[Date]]))</f>
        <v/>
      </c>
      <c r="I14" s="29"/>
      <c r="J14" s="24" t="str">
        <f aca="false">IF(N(DecisionLog[[#This Row],[Task UID]])=0,"",IFERROR(INDEX(tsk_Name,MATCH(DecisionLog[[#This Row],[Task UID]],tsk_UID,0)),"UID "&amp;DecisionLog[[#This Row],[Task UID]]&amp;" not found"))</f>
        <v/>
      </c>
      <c r="K14" s="29"/>
    </row>
    <row r="15" customFormat="false" ht="15" hidden="false" customHeight="false" outlineLevel="0" collapsed="false">
      <c r="B15" s="29" t="n">
        <v>11</v>
      </c>
      <c r="C15" s="73"/>
      <c r="D15" s="30"/>
      <c r="E15" s="30"/>
      <c r="F15" s="30"/>
      <c r="G15" s="29"/>
      <c r="H15" s="43" t="str">
        <f aca="false">IF(OR(DecisionLog[[#This Row],[Decision]]="",DecisionLog[[#This Row],[Status]]&lt;&gt;"Proposed",N(DecisionLog[[#This Row],[Date]])=0),"",MAX(0,StatusDate-DecisionLog[[#This Row],[Date]]))</f>
        <v/>
      </c>
      <c r="I15" s="29"/>
      <c r="J15" s="24" t="str">
        <f aca="false">IF(N(DecisionLog[[#This Row],[Task UID]])=0,"",IFERROR(INDEX(tsk_Name,MATCH(DecisionLog[[#This Row],[Task UID]],tsk_UID,0)),"UID "&amp;DecisionLog[[#This Row],[Task UID]]&amp;" not found"))</f>
        <v/>
      </c>
      <c r="K15" s="29"/>
    </row>
    <row r="16" customFormat="false" ht="15" hidden="false" customHeight="false" outlineLevel="0" collapsed="false">
      <c r="B16" s="29" t="n">
        <v>12</v>
      </c>
      <c r="C16" s="73"/>
      <c r="D16" s="30"/>
      <c r="E16" s="30"/>
      <c r="F16" s="30"/>
      <c r="G16" s="29"/>
      <c r="H16" s="43" t="str">
        <f aca="false">IF(OR(DecisionLog[[#This Row],[Decision]]="",DecisionLog[[#This Row],[Status]]&lt;&gt;"Proposed",N(DecisionLog[[#This Row],[Date]])=0),"",MAX(0,StatusDate-DecisionLog[[#This Row],[Date]]))</f>
        <v/>
      </c>
      <c r="I16" s="29"/>
      <c r="J16" s="24" t="str">
        <f aca="false">IF(N(DecisionLog[[#This Row],[Task UID]])=0,"",IFERROR(INDEX(tsk_Name,MATCH(DecisionLog[[#This Row],[Task UID]],tsk_UID,0)),"UID "&amp;DecisionLog[[#This Row],[Task UID]]&amp;" not found"))</f>
        <v/>
      </c>
      <c r="K16" s="29"/>
    </row>
    <row r="17" customFormat="false" ht="15" hidden="false" customHeight="false" outlineLevel="0" collapsed="false">
      <c r="B17" s="29" t="n">
        <v>13</v>
      </c>
      <c r="C17" s="73"/>
      <c r="D17" s="30"/>
      <c r="E17" s="30"/>
      <c r="F17" s="30"/>
      <c r="G17" s="29"/>
      <c r="H17" s="43" t="str">
        <f aca="false">IF(OR(DecisionLog[[#This Row],[Decision]]="",DecisionLog[[#This Row],[Status]]&lt;&gt;"Proposed",N(DecisionLog[[#This Row],[Date]])=0),"",MAX(0,StatusDate-DecisionLog[[#This Row],[Date]]))</f>
        <v/>
      </c>
      <c r="I17" s="29"/>
      <c r="J17" s="24" t="str">
        <f aca="false">IF(N(DecisionLog[[#This Row],[Task UID]])=0,"",IFERROR(INDEX(tsk_Name,MATCH(DecisionLog[[#This Row],[Task UID]],tsk_UID,0)),"UID "&amp;DecisionLog[[#This Row],[Task UID]]&amp;" not found"))</f>
        <v/>
      </c>
      <c r="K17" s="29"/>
    </row>
    <row r="18" customFormat="false" ht="15" hidden="false" customHeight="false" outlineLevel="0" collapsed="false">
      <c r="B18" s="29" t="n">
        <v>14</v>
      </c>
      <c r="C18" s="73"/>
      <c r="D18" s="30"/>
      <c r="E18" s="30"/>
      <c r="F18" s="30"/>
      <c r="G18" s="29"/>
      <c r="H18" s="43" t="str">
        <f aca="false">IF(OR(DecisionLog[[#This Row],[Decision]]="",DecisionLog[[#This Row],[Status]]&lt;&gt;"Proposed",N(DecisionLog[[#This Row],[Date]])=0),"",MAX(0,StatusDate-DecisionLog[[#This Row],[Date]]))</f>
        <v/>
      </c>
      <c r="I18" s="29"/>
      <c r="J18" s="24" t="str">
        <f aca="false">IF(N(DecisionLog[[#This Row],[Task UID]])=0,"",IFERROR(INDEX(tsk_Name,MATCH(DecisionLog[[#This Row],[Task UID]],tsk_UID,0)),"UID "&amp;DecisionLog[[#This Row],[Task UID]]&amp;" not found"))</f>
        <v/>
      </c>
      <c r="K18" s="29"/>
    </row>
    <row r="19" customFormat="false" ht="15" hidden="false" customHeight="false" outlineLevel="0" collapsed="false">
      <c r="B19" s="29" t="n">
        <v>15</v>
      </c>
      <c r="C19" s="73"/>
      <c r="D19" s="30"/>
      <c r="E19" s="30"/>
      <c r="F19" s="30"/>
      <c r="G19" s="29"/>
      <c r="H19" s="43" t="str">
        <f aca="false">IF(OR(DecisionLog[[#This Row],[Decision]]="",DecisionLog[[#This Row],[Status]]&lt;&gt;"Proposed",N(DecisionLog[[#This Row],[Date]])=0),"",MAX(0,StatusDate-DecisionLog[[#This Row],[Date]]))</f>
        <v/>
      </c>
      <c r="I19" s="29"/>
      <c r="J19" s="24" t="str">
        <f aca="false">IF(N(DecisionLog[[#This Row],[Task UID]])=0,"",IFERROR(INDEX(tsk_Name,MATCH(DecisionLog[[#This Row],[Task UID]],tsk_UID,0)),"UID "&amp;DecisionLog[[#This Row],[Task UID]]&amp;" not found"))</f>
        <v/>
      </c>
      <c r="K19" s="29"/>
    </row>
    <row r="20" customFormat="false" ht="15" hidden="false" customHeight="false" outlineLevel="0" collapsed="false">
      <c r="B20" s="29" t="n">
        <v>16</v>
      </c>
      <c r="C20" s="73"/>
      <c r="D20" s="30"/>
      <c r="E20" s="30"/>
      <c r="F20" s="30"/>
      <c r="G20" s="29"/>
      <c r="H20" s="43" t="str">
        <f aca="false">IF(OR(DecisionLog[[#This Row],[Decision]]="",DecisionLog[[#This Row],[Status]]&lt;&gt;"Proposed",N(DecisionLog[[#This Row],[Date]])=0),"",MAX(0,StatusDate-DecisionLog[[#This Row],[Date]]))</f>
        <v/>
      </c>
      <c r="I20" s="29"/>
      <c r="J20" s="24" t="str">
        <f aca="false">IF(N(DecisionLog[[#This Row],[Task UID]])=0,"",IFERROR(INDEX(tsk_Name,MATCH(DecisionLog[[#This Row],[Task UID]],tsk_UID,0)),"UID "&amp;DecisionLog[[#This Row],[Task UID]]&amp;" not found"))</f>
        <v/>
      </c>
      <c r="K20" s="29"/>
    </row>
    <row r="21" customFormat="false" ht="15" hidden="false" customHeight="false" outlineLevel="0" collapsed="false">
      <c r="B21" s="29" t="n">
        <v>17</v>
      </c>
      <c r="C21" s="73"/>
      <c r="D21" s="30"/>
      <c r="E21" s="30"/>
      <c r="F21" s="30"/>
      <c r="G21" s="29"/>
      <c r="H21" s="43" t="str">
        <f aca="false">IF(OR(DecisionLog[[#This Row],[Decision]]="",DecisionLog[[#This Row],[Status]]&lt;&gt;"Proposed",N(DecisionLog[[#This Row],[Date]])=0),"",MAX(0,StatusDate-DecisionLog[[#This Row],[Date]]))</f>
        <v/>
      </c>
      <c r="I21" s="29"/>
      <c r="J21" s="24" t="str">
        <f aca="false">IF(N(DecisionLog[[#This Row],[Task UID]])=0,"",IFERROR(INDEX(tsk_Name,MATCH(DecisionLog[[#This Row],[Task UID]],tsk_UID,0)),"UID "&amp;DecisionLog[[#This Row],[Task UID]]&amp;" not found"))</f>
        <v/>
      </c>
      <c r="K21" s="29"/>
    </row>
    <row r="22" customFormat="false" ht="15" hidden="false" customHeight="false" outlineLevel="0" collapsed="false">
      <c r="B22" s="29" t="n">
        <v>18</v>
      </c>
      <c r="C22" s="73"/>
      <c r="D22" s="30"/>
      <c r="E22" s="30"/>
      <c r="F22" s="30"/>
      <c r="G22" s="29"/>
      <c r="H22" s="43" t="str">
        <f aca="false">IF(OR(DecisionLog[[#This Row],[Decision]]="",DecisionLog[[#This Row],[Status]]&lt;&gt;"Proposed",N(DecisionLog[[#This Row],[Date]])=0),"",MAX(0,StatusDate-DecisionLog[[#This Row],[Date]]))</f>
        <v/>
      </c>
      <c r="I22" s="29"/>
      <c r="J22" s="24" t="str">
        <f aca="false">IF(N(DecisionLog[[#This Row],[Task UID]])=0,"",IFERROR(INDEX(tsk_Name,MATCH(DecisionLog[[#This Row],[Task UID]],tsk_UID,0)),"UID "&amp;DecisionLog[[#This Row],[Task UID]]&amp;" not found"))</f>
        <v/>
      </c>
      <c r="K22" s="29"/>
    </row>
    <row r="23" customFormat="false" ht="15" hidden="false" customHeight="false" outlineLevel="0" collapsed="false">
      <c r="B23" s="29" t="n">
        <v>19</v>
      </c>
      <c r="C23" s="73"/>
      <c r="D23" s="30"/>
      <c r="E23" s="30"/>
      <c r="F23" s="30"/>
      <c r="G23" s="29"/>
      <c r="H23" s="43" t="str">
        <f aca="false">IF(OR(DecisionLog[[#This Row],[Decision]]="",DecisionLog[[#This Row],[Status]]&lt;&gt;"Proposed",N(DecisionLog[[#This Row],[Date]])=0),"",MAX(0,StatusDate-DecisionLog[[#This Row],[Date]]))</f>
        <v/>
      </c>
      <c r="I23" s="29"/>
      <c r="J23" s="24" t="str">
        <f aca="false">IF(N(DecisionLog[[#This Row],[Task UID]])=0,"",IFERROR(INDEX(tsk_Name,MATCH(DecisionLog[[#This Row],[Task UID]],tsk_UID,0)),"UID "&amp;DecisionLog[[#This Row],[Task UID]]&amp;" not found"))</f>
        <v/>
      </c>
      <c r="K23" s="29"/>
    </row>
    <row r="24" customFormat="false" ht="15" hidden="false" customHeight="false" outlineLevel="0" collapsed="false">
      <c r="B24" s="29" t="n">
        <v>20</v>
      </c>
      <c r="C24" s="73"/>
      <c r="D24" s="30"/>
      <c r="E24" s="30"/>
      <c r="F24" s="30"/>
      <c r="G24" s="29"/>
      <c r="H24" s="43" t="str">
        <f aca="false">IF(OR(DecisionLog[[#This Row],[Decision]]="",DecisionLog[[#This Row],[Status]]&lt;&gt;"Proposed",N(DecisionLog[[#This Row],[Date]])=0),"",MAX(0,StatusDate-DecisionLog[[#This Row],[Date]]))</f>
        <v/>
      </c>
      <c r="I24" s="29"/>
      <c r="J24" s="24" t="str">
        <f aca="false">IF(N(DecisionLog[[#This Row],[Task UID]])=0,"",IFERROR(INDEX(tsk_Name,MATCH(DecisionLog[[#This Row],[Task UID]],tsk_UID,0)),"UID "&amp;DecisionLog[[#This Row],[Task UID]]&amp;" not found"))</f>
        <v/>
      </c>
      <c r="K24" s="29"/>
    </row>
    <row r="25" customFormat="false" ht="15" hidden="false" customHeight="false" outlineLevel="0" collapsed="false">
      <c r="B25" s="29" t="n">
        <v>21</v>
      </c>
      <c r="C25" s="73"/>
      <c r="D25" s="30"/>
      <c r="E25" s="30"/>
      <c r="F25" s="30"/>
      <c r="G25" s="29"/>
      <c r="H25" s="43" t="str">
        <f aca="false">IF(OR(DecisionLog[[#This Row],[Decision]]="",DecisionLog[[#This Row],[Status]]&lt;&gt;"Proposed",N(DecisionLog[[#This Row],[Date]])=0),"",MAX(0,StatusDate-DecisionLog[[#This Row],[Date]]))</f>
        <v/>
      </c>
      <c r="I25" s="29"/>
      <c r="J25" s="24" t="str">
        <f aca="false">IF(N(DecisionLog[[#This Row],[Task UID]])=0,"",IFERROR(INDEX(tsk_Name,MATCH(DecisionLog[[#This Row],[Task UID]],tsk_UID,0)),"UID "&amp;DecisionLog[[#This Row],[Task UID]]&amp;" not found"))</f>
        <v/>
      </c>
      <c r="K25" s="29"/>
    </row>
    <row r="26" customFormat="false" ht="15" hidden="false" customHeight="false" outlineLevel="0" collapsed="false">
      <c r="B26" s="29" t="n">
        <v>22</v>
      </c>
      <c r="C26" s="73"/>
      <c r="D26" s="30"/>
      <c r="E26" s="30"/>
      <c r="F26" s="30"/>
      <c r="G26" s="29"/>
      <c r="H26" s="43" t="str">
        <f aca="false">IF(OR(DecisionLog[[#This Row],[Decision]]="",DecisionLog[[#This Row],[Status]]&lt;&gt;"Proposed",N(DecisionLog[[#This Row],[Date]])=0),"",MAX(0,StatusDate-DecisionLog[[#This Row],[Date]]))</f>
        <v/>
      </c>
      <c r="I26" s="29"/>
      <c r="J26" s="24" t="str">
        <f aca="false">IF(N(DecisionLog[[#This Row],[Task UID]])=0,"",IFERROR(INDEX(tsk_Name,MATCH(DecisionLog[[#This Row],[Task UID]],tsk_UID,0)),"UID "&amp;DecisionLog[[#This Row],[Task UID]]&amp;" not found"))</f>
        <v/>
      </c>
      <c r="K26" s="29"/>
    </row>
    <row r="27" customFormat="false" ht="15" hidden="false" customHeight="false" outlineLevel="0" collapsed="false">
      <c r="B27" s="29" t="n">
        <v>23</v>
      </c>
      <c r="C27" s="73"/>
      <c r="D27" s="30"/>
      <c r="E27" s="30"/>
      <c r="F27" s="30"/>
      <c r="G27" s="29"/>
      <c r="H27" s="43" t="str">
        <f aca="false">IF(OR(DecisionLog[[#This Row],[Decision]]="",DecisionLog[[#This Row],[Status]]&lt;&gt;"Proposed",N(DecisionLog[[#This Row],[Date]])=0),"",MAX(0,StatusDate-DecisionLog[[#This Row],[Date]]))</f>
        <v/>
      </c>
      <c r="I27" s="29"/>
      <c r="J27" s="24" t="str">
        <f aca="false">IF(N(DecisionLog[[#This Row],[Task UID]])=0,"",IFERROR(INDEX(tsk_Name,MATCH(DecisionLog[[#This Row],[Task UID]],tsk_UID,0)),"UID "&amp;DecisionLog[[#This Row],[Task UID]]&amp;" not found"))</f>
        <v/>
      </c>
      <c r="K27" s="29"/>
    </row>
    <row r="28" customFormat="false" ht="15" hidden="false" customHeight="false" outlineLevel="0" collapsed="false">
      <c r="B28" s="29" t="n">
        <v>24</v>
      </c>
      <c r="C28" s="73"/>
      <c r="D28" s="30"/>
      <c r="E28" s="30"/>
      <c r="F28" s="30"/>
      <c r="G28" s="29"/>
      <c r="H28" s="43" t="str">
        <f aca="false">IF(OR(DecisionLog[[#This Row],[Decision]]="",DecisionLog[[#This Row],[Status]]&lt;&gt;"Proposed",N(DecisionLog[[#This Row],[Date]])=0),"",MAX(0,StatusDate-DecisionLog[[#This Row],[Date]]))</f>
        <v/>
      </c>
      <c r="I28" s="29"/>
      <c r="J28" s="24" t="str">
        <f aca="false">IF(N(DecisionLog[[#This Row],[Task UID]])=0,"",IFERROR(INDEX(tsk_Name,MATCH(DecisionLog[[#This Row],[Task UID]],tsk_UID,0)),"UID "&amp;DecisionLog[[#This Row],[Task UID]]&amp;" not found"))</f>
        <v/>
      </c>
      <c r="K28" s="29"/>
    </row>
    <row r="29" customFormat="false" ht="15" hidden="false" customHeight="false" outlineLevel="0" collapsed="false">
      <c r="B29" s="29" t="n">
        <v>25</v>
      </c>
      <c r="C29" s="73"/>
      <c r="D29" s="30"/>
      <c r="E29" s="30"/>
      <c r="F29" s="30"/>
      <c r="G29" s="29"/>
      <c r="H29" s="43" t="str">
        <f aca="false">IF(OR(DecisionLog[[#This Row],[Decision]]="",DecisionLog[[#This Row],[Status]]&lt;&gt;"Proposed",N(DecisionLog[[#This Row],[Date]])=0),"",MAX(0,StatusDate-DecisionLog[[#This Row],[Date]]))</f>
        <v/>
      </c>
      <c r="I29" s="29"/>
      <c r="J29" s="24" t="str">
        <f aca="false">IF(N(DecisionLog[[#This Row],[Task UID]])=0,"",IFERROR(INDEX(tsk_Name,MATCH(DecisionLog[[#This Row],[Task UID]],tsk_UID,0)),"UID "&amp;DecisionLog[[#This Row],[Task UID]]&amp;" not found"))</f>
        <v/>
      </c>
      <c r="K29" s="29"/>
    </row>
    <row r="30" customFormat="false" ht="15" hidden="false" customHeight="false" outlineLevel="0" collapsed="false">
      <c r="B30" s="29" t="n">
        <v>26</v>
      </c>
      <c r="C30" s="73"/>
      <c r="D30" s="30"/>
      <c r="E30" s="30"/>
      <c r="F30" s="30"/>
      <c r="G30" s="29"/>
      <c r="H30" s="43" t="str">
        <f aca="false">IF(OR(DecisionLog[[#This Row],[Decision]]="",DecisionLog[[#This Row],[Status]]&lt;&gt;"Proposed",N(DecisionLog[[#This Row],[Date]])=0),"",MAX(0,StatusDate-DecisionLog[[#This Row],[Date]]))</f>
        <v/>
      </c>
      <c r="I30" s="29"/>
      <c r="J30" s="24" t="str">
        <f aca="false">IF(N(DecisionLog[[#This Row],[Task UID]])=0,"",IFERROR(INDEX(tsk_Name,MATCH(DecisionLog[[#This Row],[Task UID]],tsk_UID,0)),"UID "&amp;DecisionLog[[#This Row],[Task UID]]&amp;" not found"))</f>
        <v/>
      </c>
      <c r="K30" s="29"/>
    </row>
    <row r="31" customFormat="false" ht="15" hidden="false" customHeight="false" outlineLevel="0" collapsed="false">
      <c r="B31" s="29" t="n">
        <v>27</v>
      </c>
      <c r="C31" s="73"/>
      <c r="D31" s="30"/>
      <c r="E31" s="30"/>
      <c r="F31" s="30"/>
      <c r="G31" s="29"/>
      <c r="H31" s="43" t="str">
        <f aca="false">IF(OR(DecisionLog[[#This Row],[Decision]]="",DecisionLog[[#This Row],[Status]]&lt;&gt;"Proposed",N(DecisionLog[[#This Row],[Date]])=0),"",MAX(0,StatusDate-DecisionLog[[#This Row],[Date]]))</f>
        <v/>
      </c>
      <c r="I31" s="29"/>
      <c r="J31" s="24" t="str">
        <f aca="false">IF(N(DecisionLog[[#This Row],[Task UID]])=0,"",IFERROR(INDEX(tsk_Name,MATCH(DecisionLog[[#This Row],[Task UID]],tsk_UID,0)),"UID "&amp;DecisionLog[[#This Row],[Task UID]]&amp;" not found"))</f>
        <v/>
      </c>
      <c r="K31" s="29"/>
    </row>
    <row r="32" customFormat="false" ht="15" hidden="false" customHeight="false" outlineLevel="0" collapsed="false">
      <c r="B32" s="29" t="n">
        <v>28</v>
      </c>
      <c r="C32" s="73"/>
      <c r="D32" s="30"/>
      <c r="E32" s="30"/>
      <c r="F32" s="30"/>
      <c r="G32" s="29"/>
      <c r="H32" s="43" t="str">
        <f aca="false">IF(OR(DecisionLog[[#This Row],[Decision]]="",DecisionLog[[#This Row],[Status]]&lt;&gt;"Proposed",N(DecisionLog[[#This Row],[Date]])=0),"",MAX(0,StatusDate-DecisionLog[[#This Row],[Date]]))</f>
        <v/>
      </c>
      <c r="I32" s="29"/>
      <c r="J32" s="24" t="str">
        <f aca="false">IF(N(DecisionLog[[#This Row],[Task UID]])=0,"",IFERROR(INDEX(tsk_Name,MATCH(DecisionLog[[#This Row],[Task UID]],tsk_UID,0)),"UID "&amp;DecisionLog[[#This Row],[Task UID]]&amp;" not found"))</f>
        <v/>
      </c>
      <c r="K32" s="29"/>
    </row>
    <row r="33" customFormat="false" ht="15" hidden="false" customHeight="false" outlineLevel="0" collapsed="false">
      <c r="B33" s="29" t="n">
        <v>29</v>
      </c>
      <c r="C33" s="73"/>
      <c r="D33" s="30"/>
      <c r="E33" s="30"/>
      <c r="F33" s="30"/>
      <c r="G33" s="29"/>
      <c r="H33" s="43" t="str">
        <f aca="false">IF(OR(DecisionLog[[#This Row],[Decision]]="",DecisionLog[[#This Row],[Status]]&lt;&gt;"Proposed",N(DecisionLog[[#This Row],[Date]])=0),"",MAX(0,StatusDate-DecisionLog[[#This Row],[Date]]))</f>
        <v/>
      </c>
      <c r="I33" s="29"/>
      <c r="J33" s="24" t="str">
        <f aca="false">IF(N(DecisionLog[[#This Row],[Task UID]])=0,"",IFERROR(INDEX(tsk_Name,MATCH(DecisionLog[[#This Row],[Task UID]],tsk_UID,0)),"UID "&amp;DecisionLog[[#This Row],[Task UID]]&amp;" not found"))</f>
        <v/>
      </c>
      <c r="K33" s="29"/>
    </row>
    <row r="34" customFormat="false" ht="15" hidden="false" customHeight="false" outlineLevel="0" collapsed="false">
      <c r="B34" s="29" t="n">
        <v>30</v>
      </c>
      <c r="C34" s="73"/>
      <c r="D34" s="30"/>
      <c r="E34" s="30"/>
      <c r="F34" s="30"/>
      <c r="G34" s="29"/>
      <c r="H34" s="43" t="str">
        <f aca="false">IF(OR(DecisionLog[[#This Row],[Decision]]="",DecisionLog[[#This Row],[Status]]&lt;&gt;"Proposed",N(DecisionLog[[#This Row],[Date]])=0),"",MAX(0,StatusDate-DecisionLog[[#This Row],[Date]]))</f>
        <v/>
      </c>
      <c r="I34" s="29"/>
      <c r="J34" s="24" t="str">
        <f aca="false">IF(N(DecisionLog[[#This Row],[Task UID]])=0,"",IFERROR(INDEX(tsk_Name,MATCH(DecisionLog[[#This Row],[Task UID]],tsk_UID,0)),"UID "&amp;DecisionLog[[#This Row],[Task UID]]&amp;" not found"))</f>
        <v/>
      </c>
      <c r="K34" s="29"/>
    </row>
    <row r="35" customFormat="false" ht="15" hidden="false" customHeight="false" outlineLevel="0" collapsed="false">
      <c r="B35" s="29" t="n">
        <v>31</v>
      </c>
      <c r="C35" s="73"/>
      <c r="D35" s="30"/>
      <c r="E35" s="30"/>
      <c r="F35" s="30"/>
      <c r="G35" s="29"/>
      <c r="H35" s="43" t="str">
        <f aca="false">IF(OR(DecisionLog[[#This Row],[Decision]]="",DecisionLog[[#This Row],[Status]]&lt;&gt;"Proposed",N(DecisionLog[[#This Row],[Date]])=0),"",MAX(0,StatusDate-DecisionLog[[#This Row],[Date]]))</f>
        <v/>
      </c>
      <c r="I35" s="29"/>
      <c r="J35" s="24" t="str">
        <f aca="false">IF(N(DecisionLog[[#This Row],[Task UID]])=0,"",IFERROR(INDEX(tsk_Name,MATCH(DecisionLog[[#This Row],[Task UID]],tsk_UID,0)),"UID "&amp;DecisionLog[[#This Row],[Task UID]]&amp;" not found"))</f>
        <v/>
      </c>
      <c r="K35" s="29"/>
    </row>
    <row r="36" customFormat="false" ht="15" hidden="false" customHeight="false" outlineLevel="0" collapsed="false">
      <c r="B36" s="29" t="n">
        <v>32</v>
      </c>
      <c r="C36" s="73"/>
      <c r="D36" s="30"/>
      <c r="E36" s="30"/>
      <c r="F36" s="30"/>
      <c r="G36" s="29"/>
      <c r="H36" s="43" t="str">
        <f aca="false">IF(OR(DecisionLog[[#This Row],[Decision]]="",DecisionLog[[#This Row],[Status]]&lt;&gt;"Proposed",N(DecisionLog[[#This Row],[Date]])=0),"",MAX(0,StatusDate-DecisionLog[[#This Row],[Date]]))</f>
        <v/>
      </c>
      <c r="I36" s="29"/>
      <c r="J36" s="24" t="str">
        <f aca="false">IF(N(DecisionLog[[#This Row],[Task UID]])=0,"",IFERROR(INDEX(tsk_Name,MATCH(DecisionLog[[#This Row],[Task UID]],tsk_UID,0)),"UID "&amp;DecisionLog[[#This Row],[Task UID]]&amp;" not found"))</f>
        <v/>
      </c>
      <c r="K36" s="29"/>
    </row>
    <row r="37" customFormat="false" ht="15" hidden="false" customHeight="false" outlineLevel="0" collapsed="false">
      <c r="B37" s="29" t="n">
        <v>33</v>
      </c>
      <c r="C37" s="73"/>
      <c r="D37" s="30"/>
      <c r="E37" s="30"/>
      <c r="F37" s="30"/>
      <c r="G37" s="29"/>
      <c r="H37" s="43" t="str">
        <f aca="false">IF(OR(DecisionLog[[#This Row],[Decision]]="",DecisionLog[[#This Row],[Status]]&lt;&gt;"Proposed",N(DecisionLog[[#This Row],[Date]])=0),"",MAX(0,StatusDate-DecisionLog[[#This Row],[Date]]))</f>
        <v/>
      </c>
      <c r="I37" s="29"/>
      <c r="J37" s="24" t="str">
        <f aca="false">IF(N(DecisionLog[[#This Row],[Task UID]])=0,"",IFERROR(INDEX(tsk_Name,MATCH(DecisionLog[[#This Row],[Task UID]],tsk_UID,0)),"UID "&amp;DecisionLog[[#This Row],[Task UID]]&amp;" not found"))</f>
        <v/>
      </c>
      <c r="K37" s="29"/>
    </row>
    <row r="38" customFormat="false" ht="15" hidden="false" customHeight="false" outlineLevel="0" collapsed="false">
      <c r="B38" s="29" t="n">
        <v>34</v>
      </c>
      <c r="C38" s="73"/>
      <c r="D38" s="30"/>
      <c r="E38" s="30"/>
      <c r="F38" s="30"/>
      <c r="G38" s="29"/>
      <c r="H38" s="43" t="str">
        <f aca="false">IF(OR(DecisionLog[[#This Row],[Decision]]="",DecisionLog[[#This Row],[Status]]&lt;&gt;"Proposed",N(DecisionLog[[#This Row],[Date]])=0),"",MAX(0,StatusDate-DecisionLog[[#This Row],[Date]]))</f>
        <v/>
      </c>
      <c r="I38" s="29"/>
      <c r="J38" s="24" t="str">
        <f aca="false">IF(N(DecisionLog[[#This Row],[Task UID]])=0,"",IFERROR(INDEX(tsk_Name,MATCH(DecisionLog[[#This Row],[Task UID]],tsk_UID,0)),"UID "&amp;DecisionLog[[#This Row],[Task UID]]&amp;" not found"))</f>
        <v/>
      </c>
      <c r="K38" s="29"/>
    </row>
    <row r="39" customFormat="false" ht="15" hidden="false" customHeight="false" outlineLevel="0" collapsed="false">
      <c r="B39" s="29" t="n">
        <v>35</v>
      </c>
      <c r="C39" s="73"/>
      <c r="D39" s="30"/>
      <c r="E39" s="30"/>
      <c r="F39" s="30"/>
      <c r="G39" s="29"/>
      <c r="H39" s="43" t="str">
        <f aca="false">IF(OR(DecisionLog[[#This Row],[Decision]]="",DecisionLog[[#This Row],[Status]]&lt;&gt;"Proposed",N(DecisionLog[[#This Row],[Date]])=0),"",MAX(0,StatusDate-DecisionLog[[#This Row],[Date]]))</f>
        <v/>
      </c>
      <c r="I39" s="29"/>
      <c r="J39" s="24" t="str">
        <f aca="false">IF(N(DecisionLog[[#This Row],[Task UID]])=0,"",IFERROR(INDEX(tsk_Name,MATCH(DecisionLog[[#This Row],[Task UID]],tsk_UID,0)),"UID "&amp;DecisionLog[[#This Row],[Task UID]]&amp;" not found"))</f>
        <v/>
      </c>
      <c r="K39" s="29"/>
    </row>
    <row r="40" customFormat="false" ht="15" hidden="false" customHeight="false" outlineLevel="0" collapsed="false">
      <c r="B40" s="29" t="n">
        <v>36</v>
      </c>
      <c r="C40" s="73"/>
      <c r="D40" s="30"/>
      <c r="E40" s="30"/>
      <c r="F40" s="30"/>
      <c r="G40" s="29"/>
      <c r="H40" s="43" t="str">
        <f aca="false">IF(OR(DecisionLog[[#This Row],[Decision]]="",DecisionLog[[#This Row],[Status]]&lt;&gt;"Proposed",N(DecisionLog[[#This Row],[Date]])=0),"",MAX(0,StatusDate-DecisionLog[[#This Row],[Date]]))</f>
        <v/>
      </c>
      <c r="I40" s="29"/>
      <c r="J40" s="24" t="str">
        <f aca="false">IF(N(DecisionLog[[#This Row],[Task UID]])=0,"",IFERROR(INDEX(tsk_Name,MATCH(DecisionLog[[#This Row],[Task UID]],tsk_UID,0)),"UID "&amp;DecisionLog[[#This Row],[Task UID]]&amp;" not found"))</f>
        <v/>
      </c>
      <c r="K40" s="29"/>
    </row>
    <row r="41" customFormat="false" ht="15" hidden="false" customHeight="false" outlineLevel="0" collapsed="false">
      <c r="B41" s="29" t="n">
        <v>37</v>
      </c>
      <c r="C41" s="73"/>
      <c r="D41" s="30"/>
      <c r="E41" s="30"/>
      <c r="F41" s="30"/>
      <c r="G41" s="29"/>
      <c r="H41" s="43" t="str">
        <f aca="false">IF(OR(DecisionLog[[#This Row],[Decision]]="",DecisionLog[[#This Row],[Status]]&lt;&gt;"Proposed",N(DecisionLog[[#This Row],[Date]])=0),"",MAX(0,StatusDate-DecisionLog[[#This Row],[Date]]))</f>
        <v/>
      </c>
      <c r="I41" s="29"/>
      <c r="J41" s="24" t="str">
        <f aca="false">IF(N(DecisionLog[[#This Row],[Task UID]])=0,"",IFERROR(INDEX(tsk_Name,MATCH(DecisionLog[[#This Row],[Task UID]],tsk_UID,0)),"UID "&amp;DecisionLog[[#This Row],[Task UID]]&amp;" not found"))</f>
        <v/>
      </c>
      <c r="K41" s="29"/>
    </row>
    <row r="42" customFormat="false" ht="15" hidden="false" customHeight="false" outlineLevel="0" collapsed="false">
      <c r="B42" s="29" t="n">
        <v>38</v>
      </c>
      <c r="C42" s="73"/>
      <c r="D42" s="30"/>
      <c r="E42" s="30"/>
      <c r="F42" s="30"/>
      <c r="G42" s="29"/>
      <c r="H42" s="43" t="str">
        <f aca="false">IF(OR(DecisionLog[[#This Row],[Decision]]="",DecisionLog[[#This Row],[Status]]&lt;&gt;"Proposed",N(DecisionLog[[#This Row],[Date]])=0),"",MAX(0,StatusDate-DecisionLog[[#This Row],[Date]]))</f>
        <v/>
      </c>
      <c r="I42" s="29"/>
      <c r="J42" s="24" t="str">
        <f aca="false">IF(N(DecisionLog[[#This Row],[Task UID]])=0,"",IFERROR(INDEX(tsk_Name,MATCH(DecisionLog[[#This Row],[Task UID]],tsk_UID,0)),"UID "&amp;DecisionLog[[#This Row],[Task UID]]&amp;" not found"))</f>
        <v/>
      </c>
      <c r="K42" s="29"/>
    </row>
    <row r="43" customFormat="false" ht="15" hidden="false" customHeight="false" outlineLevel="0" collapsed="false">
      <c r="B43" s="29" t="n">
        <v>39</v>
      </c>
      <c r="C43" s="73"/>
      <c r="D43" s="30"/>
      <c r="E43" s="30"/>
      <c r="F43" s="30"/>
      <c r="G43" s="29"/>
      <c r="H43" s="43" t="str">
        <f aca="false">IF(OR(DecisionLog[[#This Row],[Decision]]="",DecisionLog[[#This Row],[Status]]&lt;&gt;"Proposed",N(DecisionLog[[#This Row],[Date]])=0),"",MAX(0,StatusDate-DecisionLog[[#This Row],[Date]]))</f>
        <v/>
      </c>
      <c r="I43" s="29"/>
      <c r="J43" s="24" t="str">
        <f aca="false">IF(N(DecisionLog[[#This Row],[Task UID]])=0,"",IFERROR(INDEX(tsk_Name,MATCH(DecisionLog[[#This Row],[Task UID]],tsk_UID,0)),"UID "&amp;DecisionLog[[#This Row],[Task UID]]&amp;" not found"))</f>
        <v/>
      </c>
      <c r="K43" s="29"/>
    </row>
    <row r="44" customFormat="false" ht="15" hidden="false" customHeight="false" outlineLevel="0" collapsed="false">
      <c r="B44" s="29" t="n">
        <v>40</v>
      </c>
      <c r="C44" s="73"/>
      <c r="D44" s="30"/>
      <c r="E44" s="30"/>
      <c r="F44" s="30"/>
      <c r="G44" s="29"/>
      <c r="H44" s="43" t="str">
        <f aca="false">IF(OR(DecisionLog[[#This Row],[Decision]]="",DecisionLog[[#This Row],[Status]]&lt;&gt;"Proposed",N(DecisionLog[[#This Row],[Date]])=0),"",MAX(0,StatusDate-DecisionLog[[#This Row],[Date]]))</f>
        <v/>
      </c>
      <c r="I44" s="29"/>
      <c r="J44" s="24" t="str">
        <f aca="false">IF(N(DecisionLog[[#This Row],[Task UID]])=0,"",IFERROR(INDEX(tsk_Name,MATCH(DecisionLog[[#This Row],[Task UID]],tsk_UID,0)),"UID "&amp;DecisionLog[[#This Row],[Task UID]]&amp;" not found"))</f>
        <v/>
      </c>
      <c r="K44" s="29"/>
    </row>
    <row r="45" customFormat="false" ht="15" hidden="false" customHeight="false" outlineLevel="0" collapsed="false">
      <c r="B45" s="29" t="n">
        <v>41</v>
      </c>
      <c r="C45" s="73"/>
      <c r="D45" s="30"/>
      <c r="E45" s="30"/>
      <c r="F45" s="30"/>
      <c r="G45" s="29"/>
      <c r="H45" s="43" t="str">
        <f aca="false">IF(OR(DecisionLog[[#This Row],[Decision]]="",DecisionLog[[#This Row],[Status]]&lt;&gt;"Proposed",N(DecisionLog[[#This Row],[Date]])=0),"",MAX(0,StatusDate-DecisionLog[[#This Row],[Date]]))</f>
        <v/>
      </c>
      <c r="I45" s="29"/>
      <c r="J45" s="24" t="str">
        <f aca="false">IF(N(DecisionLog[[#This Row],[Task UID]])=0,"",IFERROR(INDEX(tsk_Name,MATCH(DecisionLog[[#This Row],[Task UID]],tsk_UID,0)),"UID "&amp;DecisionLog[[#This Row],[Task UID]]&amp;" not found"))</f>
        <v/>
      </c>
      <c r="K45" s="29"/>
    </row>
    <row r="46" customFormat="false" ht="15" hidden="false" customHeight="false" outlineLevel="0" collapsed="false">
      <c r="B46" s="29" t="n">
        <v>42</v>
      </c>
      <c r="C46" s="73"/>
      <c r="D46" s="30"/>
      <c r="E46" s="30"/>
      <c r="F46" s="30"/>
      <c r="G46" s="29"/>
      <c r="H46" s="43" t="str">
        <f aca="false">IF(OR(DecisionLog[[#This Row],[Decision]]="",DecisionLog[[#This Row],[Status]]&lt;&gt;"Proposed",N(DecisionLog[[#This Row],[Date]])=0),"",MAX(0,StatusDate-DecisionLog[[#This Row],[Date]]))</f>
        <v/>
      </c>
      <c r="I46" s="29"/>
      <c r="J46" s="24" t="str">
        <f aca="false">IF(N(DecisionLog[[#This Row],[Task UID]])=0,"",IFERROR(INDEX(tsk_Name,MATCH(DecisionLog[[#This Row],[Task UID]],tsk_UID,0)),"UID "&amp;DecisionLog[[#This Row],[Task UID]]&amp;" not found"))</f>
        <v/>
      </c>
      <c r="K46" s="29"/>
    </row>
    <row r="47" customFormat="false" ht="15" hidden="false" customHeight="false" outlineLevel="0" collapsed="false">
      <c r="B47" s="29" t="n">
        <v>43</v>
      </c>
      <c r="C47" s="73"/>
      <c r="D47" s="30"/>
      <c r="E47" s="30"/>
      <c r="F47" s="30"/>
      <c r="G47" s="29"/>
      <c r="H47" s="43" t="str">
        <f aca="false">IF(OR(DecisionLog[[#This Row],[Decision]]="",DecisionLog[[#This Row],[Status]]&lt;&gt;"Proposed",N(DecisionLog[[#This Row],[Date]])=0),"",MAX(0,StatusDate-DecisionLog[[#This Row],[Date]]))</f>
        <v/>
      </c>
      <c r="I47" s="29"/>
      <c r="J47" s="24" t="str">
        <f aca="false">IF(N(DecisionLog[[#This Row],[Task UID]])=0,"",IFERROR(INDEX(tsk_Name,MATCH(DecisionLog[[#This Row],[Task UID]],tsk_UID,0)),"UID "&amp;DecisionLog[[#This Row],[Task UID]]&amp;" not found"))</f>
        <v/>
      </c>
      <c r="K47" s="29"/>
    </row>
    <row r="48" customFormat="false" ht="15" hidden="false" customHeight="false" outlineLevel="0" collapsed="false">
      <c r="B48" s="29" t="n">
        <v>44</v>
      </c>
      <c r="C48" s="73"/>
      <c r="D48" s="30"/>
      <c r="E48" s="30"/>
      <c r="F48" s="30"/>
      <c r="G48" s="29"/>
      <c r="H48" s="43" t="str">
        <f aca="false">IF(OR(DecisionLog[[#This Row],[Decision]]="",DecisionLog[[#This Row],[Status]]&lt;&gt;"Proposed",N(DecisionLog[[#This Row],[Date]])=0),"",MAX(0,StatusDate-DecisionLog[[#This Row],[Date]]))</f>
        <v/>
      </c>
      <c r="I48" s="29"/>
      <c r="J48" s="24" t="str">
        <f aca="false">IF(N(DecisionLog[[#This Row],[Task UID]])=0,"",IFERROR(INDEX(tsk_Name,MATCH(DecisionLog[[#This Row],[Task UID]],tsk_UID,0)),"UID "&amp;DecisionLog[[#This Row],[Task UID]]&amp;" not found"))</f>
        <v/>
      </c>
      <c r="K48" s="29"/>
    </row>
    <row r="49" customFormat="false" ht="15" hidden="false" customHeight="false" outlineLevel="0" collapsed="false">
      <c r="B49" s="29" t="n">
        <v>45</v>
      </c>
      <c r="C49" s="73"/>
      <c r="D49" s="30"/>
      <c r="E49" s="30"/>
      <c r="F49" s="30"/>
      <c r="G49" s="29"/>
      <c r="H49" s="43" t="str">
        <f aca="false">IF(OR(DecisionLog[[#This Row],[Decision]]="",DecisionLog[[#This Row],[Status]]&lt;&gt;"Proposed",N(DecisionLog[[#This Row],[Date]])=0),"",MAX(0,StatusDate-DecisionLog[[#This Row],[Date]]))</f>
        <v/>
      </c>
      <c r="I49" s="29"/>
      <c r="J49" s="24" t="str">
        <f aca="false">IF(N(DecisionLog[[#This Row],[Task UID]])=0,"",IFERROR(INDEX(tsk_Name,MATCH(DecisionLog[[#This Row],[Task UID]],tsk_UID,0)),"UID "&amp;DecisionLog[[#This Row],[Task UID]]&amp;" not found"))</f>
        <v/>
      </c>
      <c r="K49" s="29"/>
    </row>
    <row r="50" customFormat="false" ht="15" hidden="false" customHeight="false" outlineLevel="0" collapsed="false">
      <c r="B50" s="29" t="n">
        <v>46</v>
      </c>
      <c r="C50" s="73"/>
      <c r="D50" s="30"/>
      <c r="E50" s="30"/>
      <c r="F50" s="30"/>
      <c r="G50" s="29"/>
      <c r="H50" s="43" t="str">
        <f aca="false">IF(OR(DecisionLog[[#This Row],[Decision]]="",DecisionLog[[#This Row],[Status]]&lt;&gt;"Proposed",N(DecisionLog[[#This Row],[Date]])=0),"",MAX(0,StatusDate-DecisionLog[[#This Row],[Date]]))</f>
        <v/>
      </c>
      <c r="I50" s="29"/>
      <c r="J50" s="24" t="str">
        <f aca="false">IF(N(DecisionLog[[#This Row],[Task UID]])=0,"",IFERROR(INDEX(tsk_Name,MATCH(DecisionLog[[#This Row],[Task UID]],tsk_UID,0)),"UID "&amp;DecisionLog[[#This Row],[Task UID]]&amp;" not found"))</f>
        <v/>
      </c>
      <c r="K50" s="29"/>
    </row>
    <row r="51" customFormat="false" ht="15" hidden="false" customHeight="false" outlineLevel="0" collapsed="false">
      <c r="B51" s="29" t="n">
        <v>47</v>
      </c>
      <c r="C51" s="73"/>
      <c r="D51" s="30"/>
      <c r="E51" s="30"/>
      <c r="F51" s="30"/>
      <c r="G51" s="29"/>
      <c r="H51" s="43" t="str">
        <f aca="false">IF(OR(DecisionLog[[#This Row],[Decision]]="",DecisionLog[[#This Row],[Status]]&lt;&gt;"Proposed",N(DecisionLog[[#This Row],[Date]])=0),"",MAX(0,StatusDate-DecisionLog[[#This Row],[Date]]))</f>
        <v/>
      </c>
      <c r="I51" s="29"/>
      <c r="J51" s="24" t="str">
        <f aca="false">IF(N(DecisionLog[[#This Row],[Task UID]])=0,"",IFERROR(INDEX(tsk_Name,MATCH(DecisionLog[[#This Row],[Task UID]],tsk_UID,0)),"UID "&amp;DecisionLog[[#This Row],[Task UID]]&amp;" not found"))</f>
        <v/>
      </c>
      <c r="K51" s="29"/>
    </row>
    <row r="52" customFormat="false" ht="15" hidden="false" customHeight="false" outlineLevel="0" collapsed="false">
      <c r="B52" s="29" t="n">
        <v>48</v>
      </c>
      <c r="C52" s="73"/>
      <c r="D52" s="30"/>
      <c r="E52" s="30"/>
      <c r="F52" s="30"/>
      <c r="G52" s="29"/>
      <c r="H52" s="43" t="str">
        <f aca="false">IF(OR(DecisionLog[[#This Row],[Decision]]="",DecisionLog[[#This Row],[Status]]&lt;&gt;"Proposed",N(DecisionLog[[#This Row],[Date]])=0),"",MAX(0,StatusDate-DecisionLog[[#This Row],[Date]]))</f>
        <v/>
      </c>
      <c r="I52" s="29"/>
      <c r="J52" s="24" t="str">
        <f aca="false">IF(N(DecisionLog[[#This Row],[Task UID]])=0,"",IFERROR(INDEX(tsk_Name,MATCH(DecisionLog[[#This Row],[Task UID]],tsk_UID,0)),"UID "&amp;DecisionLog[[#This Row],[Task UID]]&amp;" not found"))</f>
        <v/>
      </c>
      <c r="K52" s="29"/>
    </row>
    <row r="53" customFormat="false" ht="15" hidden="false" customHeight="false" outlineLevel="0" collapsed="false">
      <c r="B53" s="29" t="n">
        <v>49</v>
      </c>
      <c r="C53" s="73"/>
      <c r="D53" s="30"/>
      <c r="E53" s="30"/>
      <c r="F53" s="30"/>
      <c r="G53" s="29"/>
      <c r="H53" s="43" t="str">
        <f aca="false">IF(OR(DecisionLog[[#This Row],[Decision]]="",DecisionLog[[#This Row],[Status]]&lt;&gt;"Proposed",N(DecisionLog[[#This Row],[Date]])=0),"",MAX(0,StatusDate-DecisionLog[[#This Row],[Date]]))</f>
        <v/>
      </c>
      <c r="I53" s="29"/>
      <c r="J53" s="24" t="str">
        <f aca="false">IF(N(DecisionLog[[#This Row],[Task UID]])=0,"",IFERROR(INDEX(tsk_Name,MATCH(DecisionLog[[#This Row],[Task UID]],tsk_UID,0)),"UID "&amp;DecisionLog[[#This Row],[Task UID]]&amp;" not found"))</f>
        <v/>
      </c>
      <c r="K53" s="29"/>
    </row>
    <row r="54" customFormat="false" ht="15" hidden="false" customHeight="false" outlineLevel="0" collapsed="false">
      <c r="B54" s="29" t="n">
        <v>50</v>
      </c>
      <c r="C54" s="73"/>
      <c r="D54" s="30"/>
      <c r="E54" s="30"/>
      <c r="F54" s="30"/>
      <c r="G54" s="29"/>
      <c r="H54" s="43" t="str">
        <f aca="false">IF(OR(DecisionLog[[#This Row],[Decision]]="",DecisionLog[[#This Row],[Status]]&lt;&gt;"Proposed",N(DecisionLog[[#This Row],[Date]])=0),"",MAX(0,StatusDate-DecisionLog[[#This Row],[Date]]))</f>
        <v/>
      </c>
      <c r="I54" s="29"/>
      <c r="J54" s="24" t="str">
        <f aca="false">IF(N(DecisionLog[[#This Row],[Task UID]])=0,"",IFERROR(INDEX(tsk_Name,MATCH(DecisionLog[[#This Row],[Task UID]],tsk_UID,0)),"UID "&amp;DecisionLog[[#This Row],[Task UID]]&amp;" not found"))</f>
        <v/>
      </c>
      <c r="K54" s="29"/>
    </row>
    <row r="55" customFormat="false" ht="15" hidden="false" customHeight="false" outlineLevel="0" collapsed="false">
      <c r="B55" s="29" t="n">
        <v>51</v>
      </c>
      <c r="C55" s="73"/>
      <c r="D55" s="30"/>
      <c r="E55" s="30"/>
      <c r="F55" s="30"/>
      <c r="G55" s="29"/>
      <c r="H55" s="43" t="str">
        <f aca="false">IF(OR(DecisionLog[[#This Row],[Decision]]="",DecisionLog[[#This Row],[Status]]&lt;&gt;"Proposed",N(DecisionLog[[#This Row],[Date]])=0),"",MAX(0,StatusDate-DecisionLog[[#This Row],[Date]]))</f>
        <v/>
      </c>
      <c r="I55" s="29"/>
      <c r="J55" s="24" t="str">
        <f aca="false">IF(N(DecisionLog[[#This Row],[Task UID]])=0,"",IFERROR(INDEX(tsk_Name,MATCH(DecisionLog[[#This Row],[Task UID]],tsk_UID,0)),"UID "&amp;DecisionLog[[#This Row],[Task UID]]&amp;" not found"))</f>
        <v/>
      </c>
      <c r="K55" s="29"/>
    </row>
    <row r="56" customFormat="false" ht="15" hidden="false" customHeight="false" outlineLevel="0" collapsed="false">
      <c r="B56" s="29" t="n">
        <v>52</v>
      </c>
      <c r="C56" s="73"/>
      <c r="D56" s="30"/>
      <c r="E56" s="30"/>
      <c r="F56" s="30"/>
      <c r="G56" s="29"/>
      <c r="H56" s="43" t="str">
        <f aca="false">IF(OR(DecisionLog[[#This Row],[Decision]]="",DecisionLog[[#This Row],[Status]]&lt;&gt;"Proposed",N(DecisionLog[[#This Row],[Date]])=0),"",MAX(0,StatusDate-DecisionLog[[#This Row],[Date]]))</f>
        <v/>
      </c>
      <c r="I56" s="29"/>
      <c r="J56" s="24" t="str">
        <f aca="false">IF(N(DecisionLog[[#This Row],[Task UID]])=0,"",IFERROR(INDEX(tsk_Name,MATCH(DecisionLog[[#This Row],[Task UID]],tsk_UID,0)),"UID "&amp;DecisionLog[[#This Row],[Task UID]]&amp;" not found"))</f>
        <v/>
      </c>
      <c r="K56" s="29"/>
    </row>
    <row r="57" customFormat="false" ht="15" hidden="false" customHeight="false" outlineLevel="0" collapsed="false">
      <c r="B57" s="29" t="n">
        <v>53</v>
      </c>
      <c r="C57" s="73"/>
      <c r="D57" s="30"/>
      <c r="E57" s="30"/>
      <c r="F57" s="30"/>
      <c r="G57" s="29"/>
      <c r="H57" s="43" t="str">
        <f aca="false">IF(OR(DecisionLog[[#This Row],[Decision]]="",DecisionLog[[#This Row],[Status]]&lt;&gt;"Proposed",N(DecisionLog[[#This Row],[Date]])=0),"",MAX(0,StatusDate-DecisionLog[[#This Row],[Date]]))</f>
        <v/>
      </c>
      <c r="I57" s="29"/>
      <c r="J57" s="24" t="str">
        <f aca="false">IF(N(DecisionLog[[#This Row],[Task UID]])=0,"",IFERROR(INDEX(tsk_Name,MATCH(DecisionLog[[#This Row],[Task UID]],tsk_UID,0)),"UID "&amp;DecisionLog[[#This Row],[Task UID]]&amp;" not found"))</f>
        <v/>
      </c>
      <c r="K57" s="29"/>
    </row>
    <row r="58" customFormat="false" ht="15" hidden="false" customHeight="false" outlineLevel="0" collapsed="false">
      <c r="B58" s="29" t="n">
        <v>54</v>
      </c>
      <c r="C58" s="73"/>
      <c r="D58" s="30"/>
      <c r="E58" s="30"/>
      <c r="F58" s="30"/>
      <c r="G58" s="29"/>
      <c r="H58" s="43" t="str">
        <f aca="false">IF(OR(DecisionLog[[#This Row],[Decision]]="",DecisionLog[[#This Row],[Status]]&lt;&gt;"Proposed",N(DecisionLog[[#This Row],[Date]])=0),"",MAX(0,StatusDate-DecisionLog[[#This Row],[Date]]))</f>
        <v/>
      </c>
      <c r="I58" s="29"/>
      <c r="J58" s="24" t="str">
        <f aca="false">IF(N(DecisionLog[[#This Row],[Task UID]])=0,"",IFERROR(INDEX(tsk_Name,MATCH(DecisionLog[[#This Row],[Task UID]],tsk_UID,0)),"UID "&amp;DecisionLog[[#This Row],[Task UID]]&amp;" not found"))</f>
        <v/>
      </c>
      <c r="K58" s="29"/>
    </row>
    <row r="59" customFormat="false" ht="15" hidden="false" customHeight="false" outlineLevel="0" collapsed="false">
      <c r="B59" s="29" t="n">
        <v>55</v>
      </c>
      <c r="C59" s="73"/>
      <c r="D59" s="30"/>
      <c r="E59" s="30"/>
      <c r="F59" s="30"/>
      <c r="G59" s="29"/>
      <c r="H59" s="43" t="str">
        <f aca="false">IF(OR(DecisionLog[[#This Row],[Decision]]="",DecisionLog[[#This Row],[Status]]&lt;&gt;"Proposed",N(DecisionLog[[#This Row],[Date]])=0),"",MAX(0,StatusDate-DecisionLog[[#This Row],[Date]]))</f>
        <v/>
      </c>
      <c r="I59" s="29"/>
      <c r="J59" s="24" t="str">
        <f aca="false">IF(N(DecisionLog[[#This Row],[Task UID]])=0,"",IFERROR(INDEX(tsk_Name,MATCH(DecisionLog[[#This Row],[Task UID]],tsk_UID,0)),"UID "&amp;DecisionLog[[#This Row],[Task UID]]&amp;" not found"))</f>
        <v/>
      </c>
      <c r="K59" s="29"/>
    </row>
    <row r="60" customFormat="false" ht="15" hidden="false" customHeight="false" outlineLevel="0" collapsed="false">
      <c r="B60" s="29" t="n">
        <v>56</v>
      </c>
      <c r="C60" s="73"/>
      <c r="D60" s="30"/>
      <c r="E60" s="30"/>
      <c r="F60" s="30"/>
      <c r="G60" s="29"/>
      <c r="H60" s="43" t="str">
        <f aca="false">IF(OR(DecisionLog[[#This Row],[Decision]]="",DecisionLog[[#This Row],[Status]]&lt;&gt;"Proposed",N(DecisionLog[[#This Row],[Date]])=0),"",MAX(0,StatusDate-DecisionLog[[#This Row],[Date]]))</f>
        <v/>
      </c>
      <c r="I60" s="29"/>
      <c r="J60" s="24" t="str">
        <f aca="false">IF(N(DecisionLog[[#This Row],[Task UID]])=0,"",IFERROR(INDEX(tsk_Name,MATCH(DecisionLog[[#This Row],[Task UID]],tsk_UID,0)),"UID "&amp;DecisionLog[[#This Row],[Task UID]]&amp;" not found"))</f>
        <v/>
      </c>
      <c r="K60" s="29"/>
    </row>
    <row r="61" customFormat="false" ht="15" hidden="false" customHeight="false" outlineLevel="0" collapsed="false">
      <c r="B61" s="29" t="n">
        <v>57</v>
      </c>
      <c r="C61" s="73"/>
      <c r="D61" s="30"/>
      <c r="E61" s="30"/>
      <c r="F61" s="30"/>
      <c r="G61" s="29"/>
      <c r="H61" s="43" t="str">
        <f aca="false">IF(OR(DecisionLog[[#This Row],[Decision]]="",DecisionLog[[#This Row],[Status]]&lt;&gt;"Proposed",N(DecisionLog[[#This Row],[Date]])=0),"",MAX(0,StatusDate-DecisionLog[[#This Row],[Date]]))</f>
        <v/>
      </c>
      <c r="I61" s="29"/>
      <c r="J61" s="24" t="str">
        <f aca="false">IF(N(DecisionLog[[#This Row],[Task UID]])=0,"",IFERROR(INDEX(tsk_Name,MATCH(DecisionLog[[#This Row],[Task UID]],tsk_UID,0)),"UID "&amp;DecisionLog[[#This Row],[Task UID]]&amp;" not found"))</f>
        <v/>
      </c>
      <c r="K61" s="29"/>
    </row>
    <row r="62" customFormat="false" ht="15" hidden="false" customHeight="false" outlineLevel="0" collapsed="false">
      <c r="B62" s="29" t="n">
        <v>58</v>
      </c>
      <c r="C62" s="73"/>
      <c r="D62" s="30"/>
      <c r="E62" s="30"/>
      <c r="F62" s="30"/>
      <c r="G62" s="29"/>
      <c r="H62" s="43" t="str">
        <f aca="false">IF(OR(DecisionLog[[#This Row],[Decision]]="",DecisionLog[[#This Row],[Status]]&lt;&gt;"Proposed",N(DecisionLog[[#This Row],[Date]])=0),"",MAX(0,StatusDate-DecisionLog[[#This Row],[Date]]))</f>
        <v/>
      </c>
      <c r="I62" s="29"/>
      <c r="J62" s="24" t="str">
        <f aca="false">IF(N(DecisionLog[[#This Row],[Task UID]])=0,"",IFERROR(INDEX(tsk_Name,MATCH(DecisionLog[[#This Row],[Task UID]],tsk_UID,0)),"UID "&amp;DecisionLog[[#This Row],[Task UID]]&amp;" not found"))</f>
        <v/>
      </c>
      <c r="K62" s="29"/>
    </row>
    <row r="63" customFormat="false" ht="15" hidden="false" customHeight="false" outlineLevel="0" collapsed="false">
      <c r="B63" s="29" t="n">
        <v>59</v>
      </c>
      <c r="C63" s="73"/>
      <c r="D63" s="30"/>
      <c r="E63" s="30"/>
      <c r="F63" s="30"/>
      <c r="G63" s="29"/>
      <c r="H63" s="43" t="str">
        <f aca="false">IF(OR(DecisionLog[[#This Row],[Decision]]="",DecisionLog[[#This Row],[Status]]&lt;&gt;"Proposed",N(DecisionLog[[#This Row],[Date]])=0),"",MAX(0,StatusDate-DecisionLog[[#This Row],[Date]]))</f>
        <v/>
      </c>
      <c r="I63" s="29"/>
      <c r="J63" s="24" t="str">
        <f aca="false">IF(N(DecisionLog[[#This Row],[Task UID]])=0,"",IFERROR(INDEX(tsk_Name,MATCH(DecisionLog[[#This Row],[Task UID]],tsk_UID,0)),"UID "&amp;DecisionLog[[#This Row],[Task UID]]&amp;" not found"))</f>
        <v/>
      </c>
      <c r="K63" s="29"/>
    </row>
    <row r="64" customFormat="false" ht="15" hidden="false" customHeight="false" outlineLevel="0" collapsed="false">
      <c r="B64" s="29" t="n">
        <v>60</v>
      </c>
      <c r="C64" s="73"/>
      <c r="D64" s="30"/>
      <c r="E64" s="30"/>
      <c r="F64" s="30"/>
      <c r="G64" s="29"/>
      <c r="H64" s="43" t="str">
        <f aca="false">IF(OR(DecisionLog[[#This Row],[Decision]]="",DecisionLog[[#This Row],[Status]]&lt;&gt;"Proposed",N(DecisionLog[[#This Row],[Date]])=0),"",MAX(0,StatusDate-DecisionLog[[#This Row],[Date]]))</f>
        <v/>
      </c>
      <c r="I64" s="29"/>
      <c r="J64" s="24" t="str">
        <f aca="false">IF(N(DecisionLog[[#This Row],[Task UID]])=0,"",IFERROR(INDEX(tsk_Name,MATCH(DecisionLog[[#This Row],[Task UID]],tsk_UID,0)),"UID "&amp;DecisionLog[[#This Row],[Task UID]]&amp;" not found"))</f>
        <v/>
      </c>
      <c r="K64" s="29"/>
    </row>
    <row r="65" customFormat="false" ht="15" hidden="false" customHeight="false" outlineLevel="0" collapsed="false">
      <c r="B65" s="29" t="n">
        <v>61</v>
      </c>
      <c r="C65" s="73"/>
      <c r="D65" s="30"/>
      <c r="E65" s="30"/>
      <c r="F65" s="30"/>
      <c r="G65" s="29"/>
      <c r="H65" s="43" t="str">
        <f aca="false">IF(OR(DecisionLog[[#This Row],[Decision]]="",DecisionLog[[#This Row],[Status]]&lt;&gt;"Proposed",N(DecisionLog[[#This Row],[Date]])=0),"",MAX(0,StatusDate-DecisionLog[[#This Row],[Date]]))</f>
        <v/>
      </c>
      <c r="I65" s="29"/>
      <c r="J65" s="24" t="str">
        <f aca="false">IF(N(DecisionLog[[#This Row],[Task UID]])=0,"",IFERROR(INDEX(tsk_Name,MATCH(DecisionLog[[#This Row],[Task UID]],tsk_UID,0)),"UID "&amp;DecisionLog[[#This Row],[Task UID]]&amp;" not found"))</f>
        <v/>
      </c>
      <c r="K65" s="29"/>
    </row>
    <row r="66" customFormat="false" ht="15" hidden="false" customHeight="false" outlineLevel="0" collapsed="false">
      <c r="B66" s="29" t="n">
        <v>62</v>
      </c>
      <c r="C66" s="73"/>
      <c r="D66" s="30"/>
      <c r="E66" s="30"/>
      <c r="F66" s="30"/>
      <c r="G66" s="29"/>
      <c r="H66" s="43" t="str">
        <f aca="false">IF(OR(DecisionLog[[#This Row],[Decision]]="",DecisionLog[[#This Row],[Status]]&lt;&gt;"Proposed",N(DecisionLog[[#This Row],[Date]])=0),"",MAX(0,StatusDate-DecisionLog[[#This Row],[Date]]))</f>
        <v/>
      </c>
      <c r="I66" s="29"/>
      <c r="J66" s="24" t="str">
        <f aca="false">IF(N(DecisionLog[[#This Row],[Task UID]])=0,"",IFERROR(INDEX(tsk_Name,MATCH(DecisionLog[[#This Row],[Task UID]],tsk_UID,0)),"UID "&amp;DecisionLog[[#This Row],[Task UID]]&amp;" not found"))</f>
        <v/>
      </c>
      <c r="K66" s="29"/>
    </row>
    <row r="67" customFormat="false" ht="15" hidden="false" customHeight="false" outlineLevel="0" collapsed="false">
      <c r="B67" s="29" t="n">
        <v>63</v>
      </c>
      <c r="C67" s="73"/>
      <c r="D67" s="30"/>
      <c r="E67" s="30"/>
      <c r="F67" s="30"/>
      <c r="G67" s="29"/>
      <c r="H67" s="43" t="str">
        <f aca="false">IF(OR(DecisionLog[[#This Row],[Decision]]="",DecisionLog[[#This Row],[Status]]&lt;&gt;"Proposed",N(DecisionLog[[#This Row],[Date]])=0),"",MAX(0,StatusDate-DecisionLog[[#This Row],[Date]]))</f>
        <v/>
      </c>
      <c r="I67" s="29"/>
      <c r="J67" s="24" t="str">
        <f aca="false">IF(N(DecisionLog[[#This Row],[Task UID]])=0,"",IFERROR(INDEX(tsk_Name,MATCH(DecisionLog[[#This Row],[Task UID]],tsk_UID,0)),"UID "&amp;DecisionLog[[#This Row],[Task UID]]&amp;" not found"))</f>
        <v/>
      </c>
      <c r="K67" s="29"/>
    </row>
    <row r="68" customFormat="false" ht="15" hidden="false" customHeight="false" outlineLevel="0" collapsed="false">
      <c r="B68" s="29" t="n">
        <v>64</v>
      </c>
      <c r="C68" s="73"/>
      <c r="D68" s="30"/>
      <c r="E68" s="30"/>
      <c r="F68" s="30"/>
      <c r="G68" s="29"/>
      <c r="H68" s="43" t="str">
        <f aca="false">IF(OR(DecisionLog[[#This Row],[Decision]]="",DecisionLog[[#This Row],[Status]]&lt;&gt;"Proposed",N(DecisionLog[[#This Row],[Date]])=0),"",MAX(0,StatusDate-DecisionLog[[#This Row],[Date]]))</f>
        <v/>
      </c>
      <c r="I68" s="29"/>
      <c r="J68" s="24" t="str">
        <f aca="false">IF(N(DecisionLog[[#This Row],[Task UID]])=0,"",IFERROR(INDEX(tsk_Name,MATCH(DecisionLog[[#This Row],[Task UID]],tsk_UID,0)),"UID "&amp;DecisionLog[[#This Row],[Task UID]]&amp;" not found"))</f>
        <v/>
      </c>
      <c r="K68" s="29"/>
    </row>
    <row r="69" customFormat="false" ht="15" hidden="false" customHeight="false" outlineLevel="0" collapsed="false">
      <c r="B69" s="29" t="n">
        <v>65</v>
      </c>
      <c r="C69" s="73"/>
      <c r="D69" s="30"/>
      <c r="E69" s="30"/>
      <c r="F69" s="30"/>
      <c r="G69" s="29"/>
      <c r="H69" s="43" t="str">
        <f aca="false">IF(OR(DecisionLog[[#This Row],[Decision]]="",DecisionLog[[#This Row],[Status]]&lt;&gt;"Proposed",N(DecisionLog[[#This Row],[Date]])=0),"",MAX(0,StatusDate-DecisionLog[[#This Row],[Date]]))</f>
        <v/>
      </c>
      <c r="I69" s="29"/>
      <c r="J69" s="24" t="str">
        <f aca="false">IF(N(DecisionLog[[#This Row],[Task UID]])=0,"",IFERROR(INDEX(tsk_Name,MATCH(DecisionLog[[#This Row],[Task UID]],tsk_UID,0)),"UID "&amp;DecisionLog[[#This Row],[Task UID]]&amp;" not found"))</f>
        <v/>
      </c>
      <c r="K69" s="29"/>
    </row>
    <row r="70" customFormat="false" ht="15" hidden="false" customHeight="false" outlineLevel="0" collapsed="false">
      <c r="B70" s="29" t="n">
        <v>66</v>
      </c>
      <c r="C70" s="73"/>
      <c r="D70" s="30"/>
      <c r="E70" s="30"/>
      <c r="F70" s="30"/>
      <c r="G70" s="29"/>
      <c r="H70" s="43" t="str">
        <f aca="false">IF(OR(DecisionLog[[#This Row],[Decision]]="",DecisionLog[[#This Row],[Status]]&lt;&gt;"Proposed",N(DecisionLog[[#This Row],[Date]])=0),"",MAX(0,StatusDate-DecisionLog[[#This Row],[Date]]))</f>
        <v/>
      </c>
      <c r="I70" s="29"/>
      <c r="J70" s="24" t="str">
        <f aca="false">IF(N(DecisionLog[[#This Row],[Task UID]])=0,"",IFERROR(INDEX(tsk_Name,MATCH(DecisionLog[[#This Row],[Task UID]],tsk_UID,0)),"UID "&amp;DecisionLog[[#This Row],[Task UID]]&amp;" not found"))</f>
        <v/>
      </c>
      <c r="K70" s="29"/>
    </row>
    <row r="71" customFormat="false" ht="15" hidden="false" customHeight="false" outlineLevel="0" collapsed="false">
      <c r="B71" s="29" t="n">
        <v>67</v>
      </c>
      <c r="C71" s="73"/>
      <c r="D71" s="30"/>
      <c r="E71" s="30"/>
      <c r="F71" s="30"/>
      <c r="G71" s="29"/>
      <c r="H71" s="43" t="str">
        <f aca="false">IF(OR(DecisionLog[[#This Row],[Decision]]="",DecisionLog[[#This Row],[Status]]&lt;&gt;"Proposed",N(DecisionLog[[#This Row],[Date]])=0),"",MAX(0,StatusDate-DecisionLog[[#This Row],[Date]]))</f>
        <v/>
      </c>
      <c r="I71" s="29"/>
      <c r="J71" s="24" t="str">
        <f aca="false">IF(N(DecisionLog[[#This Row],[Task UID]])=0,"",IFERROR(INDEX(tsk_Name,MATCH(DecisionLog[[#This Row],[Task UID]],tsk_UID,0)),"UID "&amp;DecisionLog[[#This Row],[Task UID]]&amp;" not found"))</f>
        <v/>
      </c>
      <c r="K71" s="29"/>
    </row>
    <row r="72" customFormat="false" ht="15" hidden="false" customHeight="false" outlineLevel="0" collapsed="false">
      <c r="B72" s="29" t="n">
        <v>68</v>
      </c>
      <c r="C72" s="73"/>
      <c r="D72" s="30"/>
      <c r="E72" s="30"/>
      <c r="F72" s="30"/>
      <c r="G72" s="29"/>
      <c r="H72" s="43" t="str">
        <f aca="false">IF(OR(DecisionLog[[#This Row],[Decision]]="",DecisionLog[[#This Row],[Status]]&lt;&gt;"Proposed",N(DecisionLog[[#This Row],[Date]])=0),"",MAX(0,StatusDate-DecisionLog[[#This Row],[Date]]))</f>
        <v/>
      </c>
      <c r="I72" s="29"/>
      <c r="J72" s="24" t="str">
        <f aca="false">IF(N(DecisionLog[[#This Row],[Task UID]])=0,"",IFERROR(INDEX(tsk_Name,MATCH(DecisionLog[[#This Row],[Task UID]],tsk_UID,0)),"UID "&amp;DecisionLog[[#This Row],[Task UID]]&amp;" not found"))</f>
        <v/>
      </c>
      <c r="K72" s="29"/>
    </row>
    <row r="73" customFormat="false" ht="15" hidden="false" customHeight="false" outlineLevel="0" collapsed="false">
      <c r="B73" s="29" t="n">
        <v>69</v>
      </c>
      <c r="C73" s="73"/>
      <c r="D73" s="30"/>
      <c r="E73" s="30"/>
      <c r="F73" s="30"/>
      <c r="G73" s="29"/>
      <c r="H73" s="43" t="str">
        <f aca="false">IF(OR(DecisionLog[[#This Row],[Decision]]="",DecisionLog[[#This Row],[Status]]&lt;&gt;"Proposed",N(DecisionLog[[#This Row],[Date]])=0),"",MAX(0,StatusDate-DecisionLog[[#This Row],[Date]]))</f>
        <v/>
      </c>
      <c r="I73" s="29"/>
      <c r="J73" s="24" t="str">
        <f aca="false">IF(N(DecisionLog[[#This Row],[Task UID]])=0,"",IFERROR(INDEX(tsk_Name,MATCH(DecisionLog[[#This Row],[Task UID]],tsk_UID,0)),"UID "&amp;DecisionLog[[#This Row],[Task UID]]&amp;" not found"))</f>
        <v/>
      </c>
      <c r="K73" s="29"/>
    </row>
    <row r="74" customFormat="false" ht="15" hidden="false" customHeight="false" outlineLevel="0" collapsed="false">
      <c r="B74" s="29" t="n">
        <v>70</v>
      </c>
      <c r="C74" s="73"/>
      <c r="D74" s="30"/>
      <c r="E74" s="30"/>
      <c r="F74" s="30"/>
      <c r="G74" s="29"/>
      <c r="H74" s="43" t="str">
        <f aca="false">IF(OR(DecisionLog[[#This Row],[Decision]]="",DecisionLog[[#This Row],[Status]]&lt;&gt;"Proposed",N(DecisionLog[[#This Row],[Date]])=0),"",MAX(0,StatusDate-DecisionLog[[#This Row],[Date]]))</f>
        <v/>
      </c>
      <c r="I74" s="29"/>
      <c r="J74" s="24" t="str">
        <f aca="false">IF(N(DecisionLog[[#This Row],[Task UID]])=0,"",IFERROR(INDEX(tsk_Name,MATCH(DecisionLog[[#This Row],[Task UID]],tsk_UID,0)),"UID "&amp;DecisionLog[[#This Row],[Task UID]]&amp;" not found"))</f>
        <v/>
      </c>
      <c r="K74" s="29"/>
    </row>
    <row r="75" customFormat="false" ht="15" hidden="false" customHeight="false" outlineLevel="0" collapsed="false">
      <c r="B75" s="29" t="n">
        <v>71</v>
      </c>
      <c r="C75" s="73"/>
      <c r="D75" s="30"/>
      <c r="E75" s="30"/>
      <c r="F75" s="30"/>
      <c r="G75" s="29"/>
      <c r="H75" s="43" t="str">
        <f aca="false">IF(OR(DecisionLog[[#This Row],[Decision]]="",DecisionLog[[#This Row],[Status]]&lt;&gt;"Proposed",N(DecisionLog[[#This Row],[Date]])=0),"",MAX(0,StatusDate-DecisionLog[[#This Row],[Date]]))</f>
        <v/>
      </c>
      <c r="I75" s="29"/>
      <c r="J75" s="24" t="str">
        <f aca="false">IF(N(DecisionLog[[#This Row],[Task UID]])=0,"",IFERROR(INDEX(tsk_Name,MATCH(DecisionLog[[#This Row],[Task UID]],tsk_UID,0)),"UID "&amp;DecisionLog[[#This Row],[Task UID]]&amp;" not found"))</f>
        <v/>
      </c>
      <c r="K75" s="29"/>
    </row>
    <row r="76" customFormat="false" ht="15" hidden="false" customHeight="false" outlineLevel="0" collapsed="false">
      <c r="B76" s="29" t="n">
        <v>72</v>
      </c>
      <c r="C76" s="73"/>
      <c r="D76" s="30"/>
      <c r="E76" s="30"/>
      <c r="F76" s="30"/>
      <c r="G76" s="29"/>
      <c r="H76" s="43" t="str">
        <f aca="false">IF(OR(DecisionLog[[#This Row],[Decision]]="",DecisionLog[[#This Row],[Status]]&lt;&gt;"Proposed",N(DecisionLog[[#This Row],[Date]])=0),"",MAX(0,StatusDate-DecisionLog[[#This Row],[Date]]))</f>
        <v/>
      </c>
      <c r="I76" s="29"/>
      <c r="J76" s="24" t="str">
        <f aca="false">IF(N(DecisionLog[[#This Row],[Task UID]])=0,"",IFERROR(INDEX(tsk_Name,MATCH(DecisionLog[[#This Row],[Task UID]],tsk_UID,0)),"UID "&amp;DecisionLog[[#This Row],[Task UID]]&amp;" not found"))</f>
        <v/>
      </c>
      <c r="K76" s="29"/>
    </row>
    <row r="77" customFormat="false" ht="15" hidden="false" customHeight="false" outlineLevel="0" collapsed="false">
      <c r="B77" s="29" t="n">
        <v>73</v>
      </c>
      <c r="C77" s="73"/>
      <c r="D77" s="30"/>
      <c r="E77" s="30"/>
      <c r="F77" s="30"/>
      <c r="G77" s="29"/>
      <c r="H77" s="43" t="str">
        <f aca="false">IF(OR(DecisionLog[[#This Row],[Decision]]="",DecisionLog[[#This Row],[Status]]&lt;&gt;"Proposed",N(DecisionLog[[#This Row],[Date]])=0),"",MAX(0,StatusDate-DecisionLog[[#This Row],[Date]]))</f>
        <v/>
      </c>
      <c r="I77" s="29"/>
      <c r="J77" s="24" t="str">
        <f aca="false">IF(N(DecisionLog[[#This Row],[Task UID]])=0,"",IFERROR(INDEX(tsk_Name,MATCH(DecisionLog[[#This Row],[Task UID]],tsk_UID,0)),"UID "&amp;DecisionLog[[#This Row],[Task UID]]&amp;" not found"))</f>
        <v/>
      </c>
      <c r="K77" s="29"/>
    </row>
    <row r="78" customFormat="false" ht="15" hidden="false" customHeight="false" outlineLevel="0" collapsed="false">
      <c r="B78" s="29" t="n">
        <v>74</v>
      </c>
      <c r="C78" s="73"/>
      <c r="D78" s="30"/>
      <c r="E78" s="30"/>
      <c r="F78" s="30"/>
      <c r="G78" s="29"/>
      <c r="H78" s="43" t="str">
        <f aca="false">IF(OR(DecisionLog[[#This Row],[Decision]]="",DecisionLog[[#This Row],[Status]]&lt;&gt;"Proposed",N(DecisionLog[[#This Row],[Date]])=0),"",MAX(0,StatusDate-DecisionLog[[#This Row],[Date]]))</f>
        <v/>
      </c>
      <c r="I78" s="29"/>
      <c r="J78" s="24" t="str">
        <f aca="false">IF(N(DecisionLog[[#This Row],[Task UID]])=0,"",IFERROR(INDEX(tsk_Name,MATCH(DecisionLog[[#This Row],[Task UID]],tsk_UID,0)),"UID "&amp;DecisionLog[[#This Row],[Task UID]]&amp;" not found"))</f>
        <v/>
      </c>
      <c r="K78" s="29"/>
    </row>
    <row r="79" customFormat="false" ht="15" hidden="false" customHeight="false" outlineLevel="0" collapsed="false">
      <c r="B79" s="29" t="n">
        <v>75</v>
      </c>
      <c r="C79" s="73"/>
      <c r="D79" s="30"/>
      <c r="E79" s="30"/>
      <c r="F79" s="30"/>
      <c r="G79" s="29"/>
      <c r="H79" s="43" t="str">
        <f aca="false">IF(OR(DecisionLog[[#This Row],[Decision]]="",DecisionLog[[#This Row],[Status]]&lt;&gt;"Proposed",N(DecisionLog[[#This Row],[Date]])=0),"",MAX(0,StatusDate-DecisionLog[[#This Row],[Date]]))</f>
        <v/>
      </c>
      <c r="I79" s="29"/>
      <c r="J79" s="24" t="str">
        <f aca="false">IF(N(DecisionLog[[#This Row],[Task UID]])=0,"",IFERROR(INDEX(tsk_Name,MATCH(DecisionLog[[#This Row],[Task UID]],tsk_UID,0)),"UID "&amp;DecisionLog[[#This Row],[Task UID]]&amp;" not found"))</f>
        <v/>
      </c>
      <c r="K79" s="29"/>
    </row>
    <row r="80" customFormat="false" ht="15" hidden="false" customHeight="false" outlineLevel="0" collapsed="false">
      <c r="B80" s="29" t="n">
        <v>76</v>
      </c>
      <c r="C80" s="73"/>
      <c r="D80" s="30"/>
      <c r="E80" s="30"/>
      <c r="F80" s="30"/>
      <c r="G80" s="29"/>
      <c r="H80" s="43" t="str">
        <f aca="false">IF(OR(DecisionLog[[#This Row],[Decision]]="",DecisionLog[[#This Row],[Status]]&lt;&gt;"Proposed",N(DecisionLog[[#This Row],[Date]])=0),"",MAX(0,StatusDate-DecisionLog[[#This Row],[Date]]))</f>
        <v/>
      </c>
      <c r="I80" s="29"/>
      <c r="J80" s="24" t="str">
        <f aca="false">IF(N(DecisionLog[[#This Row],[Task UID]])=0,"",IFERROR(INDEX(tsk_Name,MATCH(DecisionLog[[#This Row],[Task UID]],tsk_UID,0)),"UID "&amp;DecisionLog[[#This Row],[Task UID]]&amp;" not found"))</f>
        <v/>
      </c>
      <c r="K80" s="29"/>
    </row>
    <row r="81" customFormat="false" ht="15" hidden="false" customHeight="false" outlineLevel="0" collapsed="false">
      <c r="B81" s="29" t="n">
        <v>77</v>
      </c>
      <c r="C81" s="73"/>
      <c r="D81" s="30"/>
      <c r="E81" s="30"/>
      <c r="F81" s="30"/>
      <c r="G81" s="29"/>
      <c r="H81" s="43" t="str">
        <f aca="false">IF(OR(DecisionLog[[#This Row],[Decision]]="",DecisionLog[[#This Row],[Status]]&lt;&gt;"Proposed",N(DecisionLog[[#This Row],[Date]])=0),"",MAX(0,StatusDate-DecisionLog[[#This Row],[Date]]))</f>
        <v/>
      </c>
      <c r="I81" s="29"/>
      <c r="J81" s="24" t="str">
        <f aca="false">IF(N(DecisionLog[[#This Row],[Task UID]])=0,"",IFERROR(INDEX(tsk_Name,MATCH(DecisionLog[[#This Row],[Task UID]],tsk_UID,0)),"UID "&amp;DecisionLog[[#This Row],[Task UID]]&amp;" not found"))</f>
        <v/>
      </c>
      <c r="K81" s="29"/>
    </row>
    <row r="82" customFormat="false" ht="15" hidden="false" customHeight="false" outlineLevel="0" collapsed="false">
      <c r="B82" s="29" t="n">
        <v>78</v>
      </c>
      <c r="C82" s="73"/>
      <c r="D82" s="30"/>
      <c r="E82" s="30"/>
      <c r="F82" s="30"/>
      <c r="G82" s="29"/>
      <c r="H82" s="43" t="str">
        <f aca="false">IF(OR(DecisionLog[[#This Row],[Decision]]="",DecisionLog[[#This Row],[Status]]&lt;&gt;"Proposed",N(DecisionLog[[#This Row],[Date]])=0),"",MAX(0,StatusDate-DecisionLog[[#This Row],[Date]]))</f>
        <v/>
      </c>
      <c r="I82" s="29"/>
      <c r="J82" s="24" t="str">
        <f aca="false">IF(N(DecisionLog[[#This Row],[Task UID]])=0,"",IFERROR(INDEX(tsk_Name,MATCH(DecisionLog[[#This Row],[Task UID]],tsk_UID,0)),"UID "&amp;DecisionLog[[#This Row],[Task UID]]&amp;" not found"))</f>
        <v/>
      </c>
      <c r="K82" s="29"/>
    </row>
    <row r="83" customFormat="false" ht="15" hidden="false" customHeight="false" outlineLevel="0" collapsed="false">
      <c r="B83" s="29" t="n">
        <v>79</v>
      </c>
      <c r="C83" s="73"/>
      <c r="D83" s="30"/>
      <c r="E83" s="30"/>
      <c r="F83" s="30"/>
      <c r="G83" s="29"/>
      <c r="H83" s="43" t="str">
        <f aca="false">IF(OR(DecisionLog[[#This Row],[Decision]]="",DecisionLog[[#This Row],[Status]]&lt;&gt;"Proposed",N(DecisionLog[[#This Row],[Date]])=0),"",MAX(0,StatusDate-DecisionLog[[#This Row],[Date]]))</f>
        <v/>
      </c>
      <c r="I83" s="29"/>
      <c r="J83" s="24" t="str">
        <f aca="false">IF(N(DecisionLog[[#This Row],[Task UID]])=0,"",IFERROR(INDEX(tsk_Name,MATCH(DecisionLog[[#This Row],[Task UID]],tsk_UID,0)),"UID "&amp;DecisionLog[[#This Row],[Task UID]]&amp;" not found"))</f>
        <v/>
      </c>
      <c r="K83" s="29"/>
    </row>
    <row r="84" customFormat="false" ht="15" hidden="false" customHeight="false" outlineLevel="0" collapsed="false">
      <c r="B84" s="29" t="n">
        <v>80</v>
      </c>
      <c r="C84" s="73"/>
      <c r="D84" s="30"/>
      <c r="E84" s="30"/>
      <c r="F84" s="30"/>
      <c r="G84" s="29"/>
      <c r="H84" s="43" t="str">
        <f aca="false">IF(OR(DecisionLog[[#This Row],[Decision]]="",DecisionLog[[#This Row],[Status]]&lt;&gt;"Proposed",N(DecisionLog[[#This Row],[Date]])=0),"",MAX(0,StatusDate-DecisionLog[[#This Row],[Date]]))</f>
        <v/>
      </c>
      <c r="I84" s="29"/>
      <c r="J84" s="24" t="str">
        <f aca="false">IF(N(DecisionLog[[#This Row],[Task UID]])=0,"",IFERROR(INDEX(tsk_Name,MATCH(DecisionLog[[#This Row],[Task UID]],tsk_UID,0)),"UID "&amp;DecisionLog[[#This Row],[Task UID]]&amp;" not found"))</f>
        <v/>
      </c>
      <c r="K84" s="29"/>
    </row>
    <row r="85" customFormat="false" ht="15" hidden="false" customHeight="false" outlineLevel="0" collapsed="false">
      <c r="B85" s="29" t="n">
        <v>81</v>
      </c>
      <c r="C85" s="73"/>
      <c r="D85" s="30"/>
      <c r="E85" s="30"/>
      <c r="F85" s="30"/>
      <c r="G85" s="29"/>
      <c r="H85" s="43" t="str">
        <f aca="false">IF(OR(DecisionLog[[#This Row],[Decision]]="",DecisionLog[[#This Row],[Status]]&lt;&gt;"Proposed",N(DecisionLog[[#This Row],[Date]])=0),"",MAX(0,StatusDate-DecisionLog[[#This Row],[Date]]))</f>
        <v/>
      </c>
      <c r="I85" s="29"/>
      <c r="J85" s="24" t="str">
        <f aca="false">IF(N(DecisionLog[[#This Row],[Task UID]])=0,"",IFERROR(INDEX(tsk_Name,MATCH(DecisionLog[[#This Row],[Task UID]],tsk_UID,0)),"UID "&amp;DecisionLog[[#This Row],[Task UID]]&amp;" not found"))</f>
        <v/>
      </c>
      <c r="K85" s="29"/>
    </row>
    <row r="86" customFormat="false" ht="15" hidden="false" customHeight="false" outlineLevel="0" collapsed="false">
      <c r="B86" s="29" t="n">
        <v>82</v>
      </c>
      <c r="C86" s="73"/>
      <c r="D86" s="30"/>
      <c r="E86" s="30"/>
      <c r="F86" s="30"/>
      <c r="G86" s="29"/>
      <c r="H86" s="43" t="str">
        <f aca="false">IF(OR(DecisionLog[[#This Row],[Decision]]="",DecisionLog[[#This Row],[Status]]&lt;&gt;"Proposed",N(DecisionLog[[#This Row],[Date]])=0),"",MAX(0,StatusDate-DecisionLog[[#This Row],[Date]]))</f>
        <v/>
      </c>
      <c r="I86" s="29"/>
      <c r="J86" s="24" t="str">
        <f aca="false">IF(N(DecisionLog[[#This Row],[Task UID]])=0,"",IFERROR(INDEX(tsk_Name,MATCH(DecisionLog[[#This Row],[Task UID]],tsk_UID,0)),"UID "&amp;DecisionLog[[#This Row],[Task UID]]&amp;" not found"))</f>
        <v/>
      </c>
      <c r="K86" s="29"/>
    </row>
    <row r="87" customFormat="false" ht="15" hidden="false" customHeight="false" outlineLevel="0" collapsed="false">
      <c r="B87" s="29" t="n">
        <v>83</v>
      </c>
      <c r="C87" s="73"/>
      <c r="D87" s="30"/>
      <c r="E87" s="30"/>
      <c r="F87" s="30"/>
      <c r="G87" s="29"/>
      <c r="H87" s="43" t="str">
        <f aca="false">IF(OR(DecisionLog[[#This Row],[Decision]]="",DecisionLog[[#This Row],[Status]]&lt;&gt;"Proposed",N(DecisionLog[[#This Row],[Date]])=0),"",MAX(0,StatusDate-DecisionLog[[#This Row],[Date]]))</f>
        <v/>
      </c>
      <c r="I87" s="29"/>
      <c r="J87" s="24" t="str">
        <f aca="false">IF(N(DecisionLog[[#This Row],[Task UID]])=0,"",IFERROR(INDEX(tsk_Name,MATCH(DecisionLog[[#This Row],[Task UID]],tsk_UID,0)),"UID "&amp;DecisionLog[[#This Row],[Task UID]]&amp;" not found"))</f>
        <v/>
      </c>
      <c r="K87" s="29"/>
    </row>
    <row r="88" customFormat="false" ht="15" hidden="false" customHeight="false" outlineLevel="0" collapsed="false">
      <c r="B88" s="29" t="n">
        <v>84</v>
      </c>
      <c r="C88" s="73"/>
      <c r="D88" s="30"/>
      <c r="E88" s="30"/>
      <c r="F88" s="30"/>
      <c r="G88" s="29"/>
      <c r="H88" s="43" t="str">
        <f aca="false">IF(OR(DecisionLog[[#This Row],[Decision]]="",DecisionLog[[#This Row],[Status]]&lt;&gt;"Proposed",N(DecisionLog[[#This Row],[Date]])=0),"",MAX(0,StatusDate-DecisionLog[[#This Row],[Date]]))</f>
        <v/>
      </c>
      <c r="I88" s="29"/>
      <c r="J88" s="24" t="str">
        <f aca="false">IF(N(DecisionLog[[#This Row],[Task UID]])=0,"",IFERROR(INDEX(tsk_Name,MATCH(DecisionLog[[#This Row],[Task UID]],tsk_UID,0)),"UID "&amp;DecisionLog[[#This Row],[Task UID]]&amp;" not found"))</f>
        <v/>
      </c>
      <c r="K88" s="29"/>
    </row>
    <row r="89" customFormat="false" ht="15" hidden="false" customHeight="false" outlineLevel="0" collapsed="false">
      <c r="B89" s="29" t="n">
        <v>85</v>
      </c>
      <c r="C89" s="73"/>
      <c r="D89" s="30"/>
      <c r="E89" s="30"/>
      <c r="F89" s="30"/>
      <c r="G89" s="29"/>
      <c r="H89" s="43" t="str">
        <f aca="false">IF(OR(DecisionLog[[#This Row],[Decision]]="",DecisionLog[[#This Row],[Status]]&lt;&gt;"Proposed",N(DecisionLog[[#This Row],[Date]])=0),"",MAX(0,StatusDate-DecisionLog[[#This Row],[Date]]))</f>
        <v/>
      </c>
      <c r="I89" s="29"/>
      <c r="J89" s="24" t="str">
        <f aca="false">IF(N(DecisionLog[[#This Row],[Task UID]])=0,"",IFERROR(INDEX(tsk_Name,MATCH(DecisionLog[[#This Row],[Task UID]],tsk_UID,0)),"UID "&amp;DecisionLog[[#This Row],[Task UID]]&amp;" not found"))</f>
        <v/>
      </c>
      <c r="K89" s="29"/>
    </row>
    <row r="90" customFormat="false" ht="15" hidden="false" customHeight="false" outlineLevel="0" collapsed="false">
      <c r="B90" s="29" t="n">
        <v>86</v>
      </c>
      <c r="C90" s="73"/>
      <c r="D90" s="30"/>
      <c r="E90" s="30"/>
      <c r="F90" s="30"/>
      <c r="G90" s="29"/>
      <c r="H90" s="43" t="str">
        <f aca="false">IF(OR(DecisionLog[[#This Row],[Decision]]="",DecisionLog[[#This Row],[Status]]&lt;&gt;"Proposed",N(DecisionLog[[#This Row],[Date]])=0),"",MAX(0,StatusDate-DecisionLog[[#This Row],[Date]]))</f>
        <v/>
      </c>
      <c r="I90" s="29"/>
      <c r="J90" s="24" t="str">
        <f aca="false">IF(N(DecisionLog[[#This Row],[Task UID]])=0,"",IFERROR(INDEX(tsk_Name,MATCH(DecisionLog[[#This Row],[Task UID]],tsk_UID,0)),"UID "&amp;DecisionLog[[#This Row],[Task UID]]&amp;" not found"))</f>
        <v/>
      </c>
      <c r="K90" s="29"/>
    </row>
    <row r="91" customFormat="false" ht="15" hidden="false" customHeight="false" outlineLevel="0" collapsed="false">
      <c r="B91" s="29" t="n">
        <v>87</v>
      </c>
      <c r="C91" s="73"/>
      <c r="D91" s="30"/>
      <c r="E91" s="30"/>
      <c r="F91" s="30"/>
      <c r="G91" s="29"/>
      <c r="H91" s="43" t="str">
        <f aca="false">IF(OR(DecisionLog[[#This Row],[Decision]]="",DecisionLog[[#This Row],[Status]]&lt;&gt;"Proposed",N(DecisionLog[[#This Row],[Date]])=0),"",MAX(0,StatusDate-DecisionLog[[#This Row],[Date]]))</f>
        <v/>
      </c>
      <c r="I91" s="29"/>
      <c r="J91" s="24" t="str">
        <f aca="false">IF(N(DecisionLog[[#This Row],[Task UID]])=0,"",IFERROR(INDEX(tsk_Name,MATCH(DecisionLog[[#This Row],[Task UID]],tsk_UID,0)),"UID "&amp;DecisionLog[[#This Row],[Task UID]]&amp;" not found"))</f>
        <v/>
      </c>
      <c r="K91" s="29"/>
    </row>
    <row r="92" customFormat="false" ht="15" hidden="false" customHeight="false" outlineLevel="0" collapsed="false">
      <c r="B92" s="29" t="n">
        <v>88</v>
      </c>
      <c r="C92" s="73"/>
      <c r="D92" s="30"/>
      <c r="E92" s="30"/>
      <c r="F92" s="30"/>
      <c r="G92" s="29"/>
      <c r="H92" s="43" t="str">
        <f aca="false">IF(OR(DecisionLog[[#This Row],[Decision]]="",DecisionLog[[#This Row],[Status]]&lt;&gt;"Proposed",N(DecisionLog[[#This Row],[Date]])=0),"",MAX(0,StatusDate-DecisionLog[[#This Row],[Date]]))</f>
        <v/>
      </c>
      <c r="I92" s="29"/>
      <c r="J92" s="24" t="str">
        <f aca="false">IF(N(DecisionLog[[#This Row],[Task UID]])=0,"",IFERROR(INDEX(tsk_Name,MATCH(DecisionLog[[#This Row],[Task UID]],tsk_UID,0)),"UID "&amp;DecisionLog[[#This Row],[Task UID]]&amp;" not found"))</f>
        <v/>
      </c>
      <c r="K92" s="29"/>
    </row>
    <row r="93" customFormat="false" ht="15" hidden="false" customHeight="false" outlineLevel="0" collapsed="false">
      <c r="B93" s="29" t="n">
        <v>89</v>
      </c>
      <c r="C93" s="73"/>
      <c r="D93" s="30"/>
      <c r="E93" s="30"/>
      <c r="F93" s="30"/>
      <c r="G93" s="29"/>
      <c r="H93" s="43" t="str">
        <f aca="false">IF(OR(DecisionLog[[#This Row],[Decision]]="",DecisionLog[[#This Row],[Status]]&lt;&gt;"Proposed",N(DecisionLog[[#This Row],[Date]])=0),"",MAX(0,StatusDate-DecisionLog[[#This Row],[Date]]))</f>
        <v/>
      </c>
      <c r="I93" s="29"/>
      <c r="J93" s="24" t="str">
        <f aca="false">IF(N(DecisionLog[[#This Row],[Task UID]])=0,"",IFERROR(INDEX(tsk_Name,MATCH(DecisionLog[[#This Row],[Task UID]],tsk_UID,0)),"UID "&amp;DecisionLog[[#This Row],[Task UID]]&amp;" not found"))</f>
        <v/>
      </c>
      <c r="K93" s="29"/>
    </row>
    <row r="94" customFormat="false" ht="15" hidden="false" customHeight="false" outlineLevel="0" collapsed="false">
      <c r="B94" s="29" t="n">
        <v>90</v>
      </c>
      <c r="C94" s="73"/>
      <c r="D94" s="30"/>
      <c r="E94" s="30"/>
      <c r="F94" s="30"/>
      <c r="G94" s="29"/>
      <c r="H94" s="43" t="str">
        <f aca="false">IF(OR(DecisionLog[[#This Row],[Decision]]="",DecisionLog[[#This Row],[Status]]&lt;&gt;"Proposed",N(DecisionLog[[#This Row],[Date]])=0),"",MAX(0,StatusDate-DecisionLog[[#This Row],[Date]]))</f>
        <v/>
      </c>
      <c r="I94" s="29"/>
      <c r="J94" s="24" t="str">
        <f aca="false">IF(N(DecisionLog[[#This Row],[Task UID]])=0,"",IFERROR(INDEX(tsk_Name,MATCH(DecisionLog[[#This Row],[Task UID]],tsk_UID,0)),"UID "&amp;DecisionLog[[#This Row],[Task UID]]&amp;" not found"))</f>
        <v/>
      </c>
      <c r="K94" s="29"/>
    </row>
    <row r="95" customFormat="false" ht="15" hidden="false" customHeight="false" outlineLevel="0" collapsed="false">
      <c r="B95" s="29" t="n">
        <v>91</v>
      </c>
      <c r="C95" s="73"/>
      <c r="D95" s="30"/>
      <c r="E95" s="30"/>
      <c r="F95" s="30"/>
      <c r="G95" s="29"/>
      <c r="H95" s="43" t="str">
        <f aca="false">IF(OR(DecisionLog[[#This Row],[Decision]]="",DecisionLog[[#This Row],[Status]]&lt;&gt;"Proposed",N(DecisionLog[[#This Row],[Date]])=0),"",MAX(0,StatusDate-DecisionLog[[#This Row],[Date]]))</f>
        <v/>
      </c>
      <c r="I95" s="29"/>
      <c r="J95" s="24" t="str">
        <f aca="false">IF(N(DecisionLog[[#This Row],[Task UID]])=0,"",IFERROR(INDEX(tsk_Name,MATCH(DecisionLog[[#This Row],[Task UID]],tsk_UID,0)),"UID "&amp;DecisionLog[[#This Row],[Task UID]]&amp;" not found"))</f>
        <v/>
      </c>
      <c r="K95" s="29"/>
    </row>
    <row r="96" customFormat="false" ht="15" hidden="false" customHeight="false" outlineLevel="0" collapsed="false">
      <c r="B96" s="29" t="n">
        <v>92</v>
      </c>
      <c r="C96" s="73"/>
      <c r="D96" s="30"/>
      <c r="E96" s="30"/>
      <c r="F96" s="30"/>
      <c r="G96" s="29"/>
      <c r="H96" s="43" t="str">
        <f aca="false">IF(OR(DecisionLog[[#This Row],[Decision]]="",DecisionLog[[#This Row],[Status]]&lt;&gt;"Proposed",N(DecisionLog[[#This Row],[Date]])=0),"",MAX(0,StatusDate-DecisionLog[[#This Row],[Date]]))</f>
        <v/>
      </c>
      <c r="I96" s="29"/>
      <c r="J96" s="24" t="str">
        <f aca="false">IF(N(DecisionLog[[#This Row],[Task UID]])=0,"",IFERROR(INDEX(tsk_Name,MATCH(DecisionLog[[#This Row],[Task UID]],tsk_UID,0)),"UID "&amp;DecisionLog[[#This Row],[Task UID]]&amp;" not found"))</f>
        <v/>
      </c>
      <c r="K96" s="29"/>
    </row>
    <row r="97" customFormat="false" ht="15" hidden="false" customHeight="false" outlineLevel="0" collapsed="false">
      <c r="B97" s="29" t="n">
        <v>93</v>
      </c>
      <c r="C97" s="73"/>
      <c r="D97" s="30"/>
      <c r="E97" s="30"/>
      <c r="F97" s="30"/>
      <c r="G97" s="29"/>
      <c r="H97" s="43" t="str">
        <f aca="false">IF(OR(DecisionLog[[#This Row],[Decision]]="",DecisionLog[[#This Row],[Status]]&lt;&gt;"Proposed",N(DecisionLog[[#This Row],[Date]])=0),"",MAX(0,StatusDate-DecisionLog[[#This Row],[Date]]))</f>
        <v/>
      </c>
      <c r="I97" s="29"/>
      <c r="J97" s="24" t="str">
        <f aca="false">IF(N(DecisionLog[[#This Row],[Task UID]])=0,"",IFERROR(INDEX(tsk_Name,MATCH(DecisionLog[[#This Row],[Task UID]],tsk_UID,0)),"UID "&amp;DecisionLog[[#This Row],[Task UID]]&amp;" not found"))</f>
        <v/>
      </c>
      <c r="K97" s="29"/>
    </row>
    <row r="98" customFormat="false" ht="15" hidden="false" customHeight="false" outlineLevel="0" collapsed="false">
      <c r="B98" s="29" t="n">
        <v>94</v>
      </c>
      <c r="C98" s="73"/>
      <c r="D98" s="30"/>
      <c r="E98" s="30"/>
      <c r="F98" s="30"/>
      <c r="G98" s="29"/>
      <c r="H98" s="43" t="str">
        <f aca="false">IF(OR(DecisionLog[[#This Row],[Decision]]="",DecisionLog[[#This Row],[Status]]&lt;&gt;"Proposed",N(DecisionLog[[#This Row],[Date]])=0),"",MAX(0,StatusDate-DecisionLog[[#This Row],[Date]]))</f>
        <v/>
      </c>
      <c r="I98" s="29"/>
      <c r="J98" s="24" t="str">
        <f aca="false">IF(N(DecisionLog[[#This Row],[Task UID]])=0,"",IFERROR(INDEX(tsk_Name,MATCH(DecisionLog[[#This Row],[Task UID]],tsk_UID,0)),"UID "&amp;DecisionLog[[#This Row],[Task UID]]&amp;" not found"))</f>
        <v/>
      </c>
      <c r="K98" s="29"/>
    </row>
    <row r="99" customFormat="false" ht="15" hidden="false" customHeight="false" outlineLevel="0" collapsed="false">
      <c r="B99" s="29" t="n">
        <v>95</v>
      </c>
      <c r="C99" s="73"/>
      <c r="D99" s="30"/>
      <c r="E99" s="30"/>
      <c r="F99" s="30"/>
      <c r="G99" s="29"/>
      <c r="H99" s="43" t="str">
        <f aca="false">IF(OR(DecisionLog[[#This Row],[Decision]]="",DecisionLog[[#This Row],[Status]]&lt;&gt;"Proposed",N(DecisionLog[[#This Row],[Date]])=0),"",MAX(0,StatusDate-DecisionLog[[#This Row],[Date]]))</f>
        <v/>
      </c>
      <c r="I99" s="29"/>
      <c r="J99" s="24" t="str">
        <f aca="false">IF(N(DecisionLog[[#This Row],[Task UID]])=0,"",IFERROR(INDEX(tsk_Name,MATCH(DecisionLog[[#This Row],[Task UID]],tsk_UID,0)),"UID "&amp;DecisionLog[[#This Row],[Task UID]]&amp;" not found"))</f>
        <v/>
      </c>
      <c r="K99" s="29"/>
    </row>
    <row r="100" customFormat="false" ht="15" hidden="false" customHeight="false" outlineLevel="0" collapsed="false">
      <c r="B100" s="29" t="n">
        <v>96</v>
      </c>
      <c r="C100" s="73"/>
      <c r="D100" s="30"/>
      <c r="E100" s="30"/>
      <c r="F100" s="30"/>
      <c r="G100" s="29"/>
      <c r="H100" s="43" t="str">
        <f aca="false">IF(OR(DecisionLog[[#This Row],[Decision]]="",DecisionLog[[#This Row],[Status]]&lt;&gt;"Proposed",N(DecisionLog[[#This Row],[Date]])=0),"",MAX(0,StatusDate-DecisionLog[[#This Row],[Date]]))</f>
        <v/>
      </c>
      <c r="I100" s="29"/>
      <c r="J100" s="24" t="str">
        <f aca="false">IF(N(DecisionLog[[#This Row],[Task UID]])=0,"",IFERROR(INDEX(tsk_Name,MATCH(DecisionLog[[#This Row],[Task UID]],tsk_UID,0)),"UID "&amp;DecisionLog[[#This Row],[Task UID]]&amp;" not found"))</f>
        <v/>
      </c>
      <c r="K100" s="29"/>
    </row>
    <row r="101" customFormat="false" ht="15" hidden="false" customHeight="false" outlineLevel="0" collapsed="false">
      <c r="B101" s="29" t="n">
        <v>97</v>
      </c>
      <c r="C101" s="73"/>
      <c r="D101" s="30"/>
      <c r="E101" s="30"/>
      <c r="F101" s="30"/>
      <c r="G101" s="29"/>
      <c r="H101" s="43" t="str">
        <f aca="false">IF(OR(DecisionLog[[#This Row],[Decision]]="",DecisionLog[[#This Row],[Status]]&lt;&gt;"Proposed",N(DecisionLog[[#This Row],[Date]])=0),"",MAX(0,StatusDate-DecisionLog[[#This Row],[Date]]))</f>
        <v/>
      </c>
      <c r="I101" s="29"/>
      <c r="J101" s="24" t="str">
        <f aca="false">IF(N(DecisionLog[[#This Row],[Task UID]])=0,"",IFERROR(INDEX(tsk_Name,MATCH(DecisionLog[[#This Row],[Task UID]],tsk_UID,0)),"UID "&amp;DecisionLog[[#This Row],[Task UID]]&amp;" not found"))</f>
        <v/>
      </c>
      <c r="K101" s="29"/>
    </row>
    <row r="102" customFormat="false" ht="15" hidden="false" customHeight="false" outlineLevel="0" collapsed="false">
      <c r="B102" s="29" t="n">
        <v>98</v>
      </c>
      <c r="C102" s="73"/>
      <c r="D102" s="30"/>
      <c r="E102" s="30"/>
      <c r="F102" s="30"/>
      <c r="G102" s="29"/>
      <c r="H102" s="43" t="str">
        <f aca="false">IF(OR(DecisionLog[[#This Row],[Decision]]="",DecisionLog[[#This Row],[Status]]&lt;&gt;"Proposed",N(DecisionLog[[#This Row],[Date]])=0),"",MAX(0,StatusDate-DecisionLog[[#This Row],[Date]]))</f>
        <v/>
      </c>
      <c r="I102" s="29"/>
      <c r="J102" s="24" t="str">
        <f aca="false">IF(N(DecisionLog[[#This Row],[Task UID]])=0,"",IFERROR(INDEX(tsk_Name,MATCH(DecisionLog[[#This Row],[Task UID]],tsk_UID,0)),"UID "&amp;DecisionLog[[#This Row],[Task UID]]&amp;" not found"))</f>
        <v/>
      </c>
      <c r="K102" s="29"/>
    </row>
    <row r="103" customFormat="false" ht="15" hidden="false" customHeight="false" outlineLevel="0" collapsed="false">
      <c r="B103" s="29" t="n">
        <v>99</v>
      </c>
      <c r="C103" s="73"/>
      <c r="D103" s="30"/>
      <c r="E103" s="30"/>
      <c r="F103" s="30"/>
      <c r="G103" s="29"/>
      <c r="H103" s="43" t="str">
        <f aca="false">IF(OR(DecisionLog[[#This Row],[Decision]]="",DecisionLog[[#This Row],[Status]]&lt;&gt;"Proposed",N(DecisionLog[[#This Row],[Date]])=0),"",MAX(0,StatusDate-DecisionLog[[#This Row],[Date]]))</f>
        <v/>
      </c>
      <c r="I103" s="29"/>
      <c r="J103" s="24" t="str">
        <f aca="false">IF(N(DecisionLog[[#This Row],[Task UID]])=0,"",IFERROR(INDEX(tsk_Name,MATCH(DecisionLog[[#This Row],[Task UID]],tsk_UID,0)),"UID "&amp;DecisionLog[[#This Row],[Task UID]]&amp;" not found"))</f>
        <v/>
      </c>
      <c r="K103" s="29"/>
    </row>
    <row r="104" customFormat="false" ht="15" hidden="false" customHeight="false" outlineLevel="0" collapsed="false">
      <c r="B104" s="29" t="n">
        <v>100</v>
      </c>
      <c r="C104" s="73"/>
      <c r="D104" s="30"/>
      <c r="E104" s="30"/>
      <c r="F104" s="30"/>
      <c r="G104" s="29"/>
      <c r="H104" s="43" t="str">
        <f aca="false">IF(OR(DecisionLog[[#This Row],[Decision]]="",DecisionLog[[#This Row],[Status]]&lt;&gt;"Proposed",N(DecisionLog[[#This Row],[Date]])=0),"",MAX(0,StatusDate-DecisionLog[[#This Row],[Date]]))</f>
        <v/>
      </c>
      <c r="I104" s="29"/>
      <c r="J104" s="24" t="str">
        <f aca="false">IF(N(DecisionLog[[#This Row],[Task UID]])=0,"",IFERROR(INDEX(tsk_Name,MATCH(DecisionLog[[#This Row],[Task UID]],tsk_UID,0)),"UID "&amp;DecisionLog[[#This Row],[Task UID]]&amp;" not found"))</f>
        <v/>
      </c>
      <c r="K104" s="29"/>
    </row>
  </sheetData>
  <conditionalFormatting sqref="G5:G104">
    <cfRule type="expression" priority="2" aboveAverage="0" equalAverage="0" bottom="0" percent="0" rank="0" text="" dxfId="29">
      <formula>G5="Proposed"</formula>
    </cfRule>
  </conditionalFormatting>
  <dataValidations count="1">
    <dataValidation allowBlank="false" errorStyle="stop" operator="between" showDropDown="false" showErrorMessage="false" showInputMessage="false" sqref="G5:G104" type="list">
      <formula1>L_DecisionStatus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N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16"/>
    <col collapsed="false" customWidth="true" hidden="false" outlineLevel="0" max="5" min="5" style="0" width="44"/>
    <col collapsed="false" customWidth="true" hidden="false" outlineLevel="0" max="6" min="6" style="0" width="40"/>
    <col collapsed="false" customWidth="true" hidden="false" outlineLevel="0" max="7" min="7" style="0" width="9"/>
    <col collapsed="false" customWidth="true" hidden="false" outlineLevel="0" max="8" min="8" style="0" width="11"/>
    <col collapsed="false" customWidth="true" hidden="false" outlineLevel="0" max="10" min="9" style="0" width="12"/>
    <col collapsed="false" customWidth="true" hidden="false" outlineLevel="0" max="11" min="11" style="0" width="16"/>
    <col collapsed="false" customWidth="true" hidden="false" outlineLevel="0" max="12" min="12" style="0" width="9"/>
    <col collapsed="false" customWidth="true" hidden="false" outlineLevel="0" max="13" min="13" style="0" width="8"/>
    <col collapsed="false" customWidth="true" hidden="false" outlineLevel="0" max="14" min="14" style="0" width="28"/>
  </cols>
  <sheetData>
    <row r="1" customFormat="false" ht="19.7" hidden="false" customHeight="false" outlineLevel="0" collapsed="false">
      <c r="A1" s="26" t="s">
        <v>319</v>
      </c>
    </row>
    <row r="2" customFormat="false" ht="15" hidden="false" customHeight="false" outlineLevel="0" collapsed="false">
      <c r="A2" s="8" t="s">
        <v>320</v>
      </c>
    </row>
    <row r="4" customFormat="false" ht="46.25" hidden="false" customHeight="false" outlineLevel="0" collapsed="false">
      <c r="B4" s="27" t="s">
        <v>262</v>
      </c>
      <c r="C4" s="27" t="s">
        <v>265</v>
      </c>
      <c r="D4" s="27" t="s">
        <v>321</v>
      </c>
      <c r="E4" s="27" t="s">
        <v>264</v>
      </c>
      <c r="F4" s="27" t="s">
        <v>322</v>
      </c>
      <c r="G4" s="27" t="s">
        <v>323</v>
      </c>
      <c r="H4" s="27" t="s">
        <v>324</v>
      </c>
      <c r="I4" s="27" t="s">
        <v>91</v>
      </c>
      <c r="J4" s="27" t="s">
        <v>325</v>
      </c>
      <c r="K4" s="27" t="s">
        <v>306</v>
      </c>
      <c r="L4" s="9" t="s">
        <v>307</v>
      </c>
      <c r="M4" s="27" t="s">
        <v>269</v>
      </c>
      <c r="N4" s="9" t="s">
        <v>180</v>
      </c>
    </row>
    <row r="5" customFormat="false" ht="15" hidden="false" customHeight="false" outlineLevel="0" collapsed="false">
      <c r="B5" s="29" t="n">
        <v>1</v>
      </c>
      <c r="C5" s="73" t="n">
        <v>46293</v>
      </c>
      <c r="D5" s="30" t="s">
        <v>326</v>
      </c>
      <c r="E5" s="30" t="s">
        <v>327</v>
      </c>
      <c r="F5" s="30" t="s">
        <v>328</v>
      </c>
      <c r="G5" s="74" t="n">
        <v>2</v>
      </c>
      <c r="H5" s="75" t="n">
        <v>1360</v>
      </c>
      <c r="I5" s="29" t="s">
        <v>312</v>
      </c>
      <c r="J5" s="73" t="n">
        <v>46297</v>
      </c>
      <c r="K5" s="30" t="s">
        <v>315</v>
      </c>
      <c r="L5" s="43" t="str">
        <f aca="false">IF(OR(ChangeLog[[#This Row],[Title]]="",N(ChangeLog[[#This Row],[Raised]])=0,AND(ChangeLog[[#This Row],[Status]]&lt;&gt;"Submitted",ChangeLog[[#This Row],[Status]]&lt;&gt;"Under Review")),"",MAX(0,StatusDate-ChangeLog[[#This Row],[Raised]]))</f>
        <v/>
      </c>
      <c r="M5" s="29" t="n">
        <v>17</v>
      </c>
      <c r="N5" s="24" t="str">
        <f aca="false">IF(N(ChangeLog[[#This Row],[Task UID]])=0,"",IFERROR(INDEX(tsk_Name,MATCH(ChangeLog[[#This Row],[Task UID]],tsk_UID,0)),"UID "&amp;ChangeLog[[#This Row],[Task UID]]&amp;" not found"))</f>
        <v>Feature screens</v>
      </c>
    </row>
    <row r="6" customFormat="false" ht="15" hidden="false" customHeight="false" outlineLevel="0" collapsed="false">
      <c r="B6" s="29" t="n">
        <v>2</v>
      </c>
      <c r="C6" s="73" t="n">
        <v>46317</v>
      </c>
      <c r="D6" s="30" t="s">
        <v>285</v>
      </c>
      <c r="E6" s="30" t="s">
        <v>329</v>
      </c>
      <c r="F6" s="30" t="s">
        <v>330</v>
      </c>
      <c r="G6" s="74" t="n">
        <v>-4</v>
      </c>
      <c r="H6" s="75" t="n">
        <v>6800</v>
      </c>
      <c r="I6" s="29" t="s">
        <v>331</v>
      </c>
      <c r="J6" s="73"/>
      <c r="K6" s="30"/>
      <c r="L6" s="43" t="n">
        <f aca="false">IF(OR(ChangeLog[[#This Row],[Title]]="",N(ChangeLog[[#This Row],[Raised]])=0,AND(ChangeLog[[#This Row],[Status]]&lt;&gt;"Submitted",ChangeLog[[#This Row],[Status]]&lt;&gt;"Under Review")),"",MAX(0,StatusDate-ChangeLog[[#This Row],[Raised]]))</f>
        <v>3</v>
      </c>
      <c r="M6" s="29" t="n">
        <v>13</v>
      </c>
      <c r="N6" s="24" t="str">
        <f aca="false">IF(N(ChangeLog[[#This Row],[Task UID]])=0,"",IFERROR(INDEX(tsk_Name,MATCH(ChangeLog[[#This Row],[Task UID]],tsk_UID,0)),"UID "&amp;ChangeLog[[#This Row],[Task UID]]&amp;" not found"))</f>
        <v>Core API endpoints</v>
      </c>
    </row>
    <row r="7" customFormat="false" ht="15" hidden="false" customHeight="false" outlineLevel="0" collapsed="false">
      <c r="B7" s="29" t="n">
        <v>3</v>
      </c>
      <c r="C7" s="73" t="n">
        <v>46307</v>
      </c>
      <c r="D7" s="30" t="s">
        <v>332</v>
      </c>
      <c r="E7" s="30" t="s">
        <v>333</v>
      </c>
      <c r="F7" s="30" t="s">
        <v>334</v>
      </c>
      <c r="G7" s="74" t="n">
        <v>8</v>
      </c>
      <c r="H7" s="75" t="n">
        <v>9600</v>
      </c>
      <c r="I7" s="29" t="s">
        <v>335</v>
      </c>
      <c r="J7" s="73" t="n">
        <v>46311</v>
      </c>
      <c r="K7" s="30" t="s">
        <v>311</v>
      </c>
      <c r="L7" s="43" t="str">
        <f aca="false">IF(OR(ChangeLog[[#This Row],[Title]]="",N(ChangeLog[[#This Row],[Raised]])=0,AND(ChangeLog[[#This Row],[Status]]&lt;&gt;"Submitted",ChangeLog[[#This Row],[Status]]&lt;&gt;"Under Review")),"",MAX(0,StatusDate-ChangeLog[[#This Row],[Raised]]))</f>
        <v/>
      </c>
      <c r="M7" s="29"/>
      <c r="N7" s="24" t="str">
        <f aca="false">IF(N(ChangeLog[[#This Row],[Task UID]])=0,"",IFERROR(INDEX(tsk_Name,MATCH(ChangeLog[[#This Row],[Task UID]],tsk_UID,0)),"UID "&amp;ChangeLog[[#This Row],[Task UID]]&amp;" not found"))</f>
        <v/>
      </c>
    </row>
    <row r="8" customFormat="false" ht="15" hidden="false" customHeight="false" outlineLevel="0" collapsed="false">
      <c r="B8" s="29" t="n">
        <v>4</v>
      </c>
      <c r="C8" s="73"/>
      <c r="D8" s="30"/>
      <c r="E8" s="30"/>
      <c r="F8" s="30"/>
      <c r="G8" s="74"/>
      <c r="H8" s="75"/>
      <c r="I8" s="29"/>
      <c r="J8" s="73"/>
      <c r="K8" s="30"/>
      <c r="L8" s="43" t="str">
        <f aca="false">IF(OR(ChangeLog[[#This Row],[Title]]="",N(ChangeLog[[#This Row],[Raised]])=0,AND(ChangeLog[[#This Row],[Status]]&lt;&gt;"Submitted",ChangeLog[[#This Row],[Status]]&lt;&gt;"Under Review")),"",MAX(0,StatusDate-ChangeLog[[#This Row],[Raised]]))</f>
        <v/>
      </c>
      <c r="M8" s="29"/>
      <c r="N8" s="24" t="str">
        <f aca="false">IF(N(ChangeLog[[#This Row],[Task UID]])=0,"",IFERROR(INDEX(tsk_Name,MATCH(ChangeLog[[#This Row],[Task UID]],tsk_UID,0)),"UID "&amp;ChangeLog[[#This Row],[Task UID]]&amp;" not found"))</f>
        <v/>
      </c>
    </row>
    <row r="9" customFormat="false" ht="15" hidden="false" customHeight="false" outlineLevel="0" collapsed="false">
      <c r="B9" s="29" t="n">
        <v>5</v>
      </c>
      <c r="C9" s="73"/>
      <c r="D9" s="30"/>
      <c r="E9" s="30"/>
      <c r="F9" s="30"/>
      <c r="G9" s="74"/>
      <c r="H9" s="75"/>
      <c r="I9" s="29"/>
      <c r="J9" s="73"/>
      <c r="K9" s="30"/>
      <c r="L9" s="43" t="str">
        <f aca="false">IF(OR(ChangeLog[[#This Row],[Title]]="",N(ChangeLog[[#This Row],[Raised]])=0,AND(ChangeLog[[#This Row],[Status]]&lt;&gt;"Submitted",ChangeLog[[#This Row],[Status]]&lt;&gt;"Under Review")),"",MAX(0,StatusDate-ChangeLog[[#This Row],[Raised]]))</f>
        <v/>
      </c>
      <c r="M9" s="29"/>
      <c r="N9" s="24" t="str">
        <f aca="false">IF(N(ChangeLog[[#This Row],[Task UID]])=0,"",IFERROR(INDEX(tsk_Name,MATCH(ChangeLog[[#This Row],[Task UID]],tsk_UID,0)),"UID "&amp;ChangeLog[[#This Row],[Task UID]]&amp;" not found"))</f>
        <v/>
      </c>
    </row>
    <row r="10" customFormat="false" ht="15" hidden="false" customHeight="false" outlineLevel="0" collapsed="false">
      <c r="B10" s="29" t="n">
        <v>6</v>
      </c>
      <c r="C10" s="73"/>
      <c r="D10" s="30"/>
      <c r="E10" s="30"/>
      <c r="F10" s="30"/>
      <c r="G10" s="74"/>
      <c r="H10" s="75"/>
      <c r="I10" s="29"/>
      <c r="J10" s="73"/>
      <c r="K10" s="30"/>
      <c r="L10" s="43" t="str">
        <f aca="false">IF(OR(ChangeLog[[#This Row],[Title]]="",N(ChangeLog[[#This Row],[Raised]])=0,AND(ChangeLog[[#This Row],[Status]]&lt;&gt;"Submitted",ChangeLog[[#This Row],[Status]]&lt;&gt;"Under Review")),"",MAX(0,StatusDate-ChangeLog[[#This Row],[Raised]]))</f>
        <v/>
      </c>
      <c r="M10" s="29"/>
      <c r="N10" s="24" t="str">
        <f aca="false">IF(N(ChangeLog[[#This Row],[Task UID]])=0,"",IFERROR(INDEX(tsk_Name,MATCH(ChangeLog[[#This Row],[Task UID]],tsk_UID,0)),"UID "&amp;ChangeLog[[#This Row],[Task UID]]&amp;" not found"))</f>
        <v/>
      </c>
    </row>
    <row r="11" customFormat="false" ht="15" hidden="false" customHeight="false" outlineLevel="0" collapsed="false">
      <c r="B11" s="29" t="n">
        <v>7</v>
      </c>
      <c r="C11" s="73"/>
      <c r="D11" s="30"/>
      <c r="E11" s="30"/>
      <c r="F11" s="30"/>
      <c r="G11" s="74"/>
      <c r="H11" s="75"/>
      <c r="I11" s="29"/>
      <c r="J11" s="73"/>
      <c r="K11" s="30"/>
      <c r="L11" s="43" t="str">
        <f aca="false">IF(OR(ChangeLog[[#This Row],[Title]]="",N(ChangeLog[[#This Row],[Raised]])=0,AND(ChangeLog[[#This Row],[Status]]&lt;&gt;"Submitted",ChangeLog[[#This Row],[Status]]&lt;&gt;"Under Review")),"",MAX(0,StatusDate-ChangeLog[[#This Row],[Raised]]))</f>
        <v/>
      </c>
      <c r="M11" s="29"/>
      <c r="N11" s="24" t="str">
        <f aca="false">IF(N(ChangeLog[[#This Row],[Task UID]])=0,"",IFERROR(INDEX(tsk_Name,MATCH(ChangeLog[[#This Row],[Task UID]],tsk_UID,0)),"UID "&amp;ChangeLog[[#This Row],[Task UID]]&amp;" not found"))</f>
        <v/>
      </c>
    </row>
    <row r="12" customFormat="false" ht="15" hidden="false" customHeight="false" outlineLevel="0" collapsed="false">
      <c r="B12" s="29" t="n">
        <v>8</v>
      </c>
      <c r="C12" s="73"/>
      <c r="D12" s="30"/>
      <c r="E12" s="30"/>
      <c r="F12" s="30"/>
      <c r="G12" s="74"/>
      <c r="H12" s="75"/>
      <c r="I12" s="29"/>
      <c r="J12" s="73"/>
      <c r="K12" s="30"/>
      <c r="L12" s="43" t="str">
        <f aca="false">IF(OR(ChangeLog[[#This Row],[Title]]="",N(ChangeLog[[#This Row],[Raised]])=0,AND(ChangeLog[[#This Row],[Status]]&lt;&gt;"Submitted",ChangeLog[[#This Row],[Status]]&lt;&gt;"Under Review")),"",MAX(0,StatusDate-ChangeLog[[#This Row],[Raised]]))</f>
        <v/>
      </c>
      <c r="M12" s="29"/>
      <c r="N12" s="24" t="str">
        <f aca="false">IF(N(ChangeLog[[#This Row],[Task UID]])=0,"",IFERROR(INDEX(tsk_Name,MATCH(ChangeLog[[#This Row],[Task UID]],tsk_UID,0)),"UID "&amp;ChangeLog[[#This Row],[Task UID]]&amp;" not found"))</f>
        <v/>
      </c>
    </row>
    <row r="13" customFormat="false" ht="15" hidden="false" customHeight="false" outlineLevel="0" collapsed="false">
      <c r="B13" s="29" t="n">
        <v>9</v>
      </c>
      <c r="C13" s="73"/>
      <c r="D13" s="30"/>
      <c r="E13" s="30"/>
      <c r="F13" s="30"/>
      <c r="G13" s="74"/>
      <c r="H13" s="75"/>
      <c r="I13" s="29"/>
      <c r="J13" s="73"/>
      <c r="K13" s="30"/>
      <c r="L13" s="43" t="str">
        <f aca="false">IF(OR(ChangeLog[[#This Row],[Title]]="",N(ChangeLog[[#This Row],[Raised]])=0,AND(ChangeLog[[#This Row],[Status]]&lt;&gt;"Submitted",ChangeLog[[#This Row],[Status]]&lt;&gt;"Under Review")),"",MAX(0,StatusDate-ChangeLog[[#This Row],[Raised]]))</f>
        <v/>
      </c>
      <c r="M13" s="29"/>
      <c r="N13" s="24" t="str">
        <f aca="false">IF(N(ChangeLog[[#This Row],[Task UID]])=0,"",IFERROR(INDEX(tsk_Name,MATCH(ChangeLog[[#This Row],[Task UID]],tsk_UID,0)),"UID "&amp;ChangeLog[[#This Row],[Task UID]]&amp;" not found"))</f>
        <v/>
      </c>
    </row>
    <row r="14" customFormat="false" ht="15" hidden="false" customHeight="false" outlineLevel="0" collapsed="false">
      <c r="B14" s="29" t="n">
        <v>10</v>
      </c>
      <c r="C14" s="73"/>
      <c r="D14" s="30"/>
      <c r="E14" s="30"/>
      <c r="F14" s="30"/>
      <c r="G14" s="74"/>
      <c r="H14" s="75"/>
      <c r="I14" s="29"/>
      <c r="J14" s="73"/>
      <c r="K14" s="30"/>
      <c r="L14" s="43" t="str">
        <f aca="false">IF(OR(ChangeLog[[#This Row],[Title]]="",N(ChangeLog[[#This Row],[Raised]])=0,AND(ChangeLog[[#This Row],[Status]]&lt;&gt;"Submitted",ChangeLog[[#This Row],[Status]]&lt;&gt;"Under Review")),"",MAX(0,StatusDate-ChangeLog[[#This Row],[Raised]]))</f>
        <v/>
      </c>
      <c r="M14" s="29"/>
      <c r="N14" s="24" t="str">
        <f aca="false">IF(N(ChangeLog[[#This Row],[Task UID]])=0,"",IFERROR(INDEX(tsk_Name,MATCH(ChangeLog[[#This Row],[Task UID]],tsk_UID,0)),"UID "&amp;ChangeLog[[#This Row],[Task UID]]&amp;" not found"))</f>
        <v/>
      </c>
    </row>
    <row r="15" customFormat="false" ht="15" hidden="false" customHeight="false" outlineLevel="0" collapsed="false">
      <c r="B15" s="29" t="n">
        <v>11</v>
      </c>
      <c r="C15" s="73"/>
      <c r="D15" s="30"/>
      <c r="E15" s="30"/>
      <c r="F15" s="30"/>
      <c r="G15" s="74"/>
      <c r="H15" s="75"/>
      <c r="I15" s="29"/>
      <c r="J15" s="73"/>
      <c r="K15" s="30"/>
      <c r="L15" s="43" t="str">
        <f aca="false">IF(OR(ChangeLog[[#This Row],[Title]]="",N(ChangeLog[[#This Row],[Raised]])=0,AND(ChangeLog[[#This Row],[Status]]&lt;&gt;"Submitted",ChangeLog[[#This Row],[Status]]&lt;&gt;"Under Review")),"",MAX(0,StatusDate-ChangeLog[[#This Row],[Raised]]))</f>
        <v/>
      </c>
      <c r="M15" s="29"/>
      <c r="N15" s="24" t="str">
        <f aca="false">IF(N(ChangeLog[[#This Row],[Task UID]])=0,"",IFERROR(INDEX(tsk_Name,MATCH(ChangeLog[[#This Row],[Task UID]],tsk_UID,0)),"UID "&amp;ChangeLog[[#This Row],[Task UID]]&amp;" not found"))</f>
        <v/>
      </c>
    </row>
    <row r="16" customFormat="false" ht="15" hidden="false" customHeight="false" outlineLevel="0" collapsed="false">
      <c r="B16" s="29" t="n">
        <v>12</v>
      </c>
      <c r="C16" s="73"/>
      <c r="D16" s="30"/>
      <c r="E16" s="30"/>
      <c r="F16" s="30"/>
      <c r="G16" s="74"/>
      <c r="H16" s="75"/>
      <c r="I16" s="29"/>
      <c r="J16" s="73"/>
      <c r="K16" s="30"/>
      <c r="L16" s="43" t="str">
        <f aca="false">IF(OR(ChangeLog[[#This Row],[Title]]="",N(ChangeLog[[#This Row],[Raised]])=0,AND(ChangeLog[[#This Row],[Status]]&lt;&gt;"Submitted",ChangeLog[[#This Row],[Status]]&lt;&gt;"Under Review")),"",MAX(0,StatusDate-ChangeLog[[#This Row],[Raised]]))</f>
        <v/>
      </c>
      <c r="M16" s="29"/>
      <c r="N16" s="24" t="str">
        <f aca="false">IF(N(ChangeLog[[#This Row],[Task UID]])=0,"",IFERROR(INDEX(tsk_Name,MATCH(ChangeLog[[#This Row],[Task UID]],tsk_UID,0)),"UID "&amp;ChangeLog[[#This Row],[Task UID]]&amp;" not found"))</f>
        <v/>
      </c>
    </row>
    <row r="17" customFormat="false" ht="15" hidden="false" customHeight="false" outlineLevel="0" collapsed="false">
      <c r="B17" s="29" t="n">
        <v>13</v>
      </c>
      <c r="C17" s="73"/>
      <c r="D17" s="30"/>
      <c r="E17" s="30"/>
      <c r="F17" s="30"/>
      <c r="G17" s="74"/>
      <c r="H17" s="75"/>
      <c r="I17" s="29"/>
      <c r="J17" s="73"/>
      <c r="K17" s="30"/>
      <c r="L17" s="43" t="str">
        <f aca="false">IF(OR(ChangeLog[[#This Row],[Title]]="",N(ChangeLog[[#This Row],[Raised]])=0,AND(ChangeLog[[#This Row],[Status]]&lt;&gt;"Submitted",ChangeLog[[#This Row],[Status]]&lt;&gt;"Under Review")),"",MAX(0,StatusDate-ChangeLog[[#This Row],[Raised]]))</f>
        <v/>
      </c>
      <c r="M17" s="29"/>
      <c r="N17" s="24" t="str">
        <f aca="false">IF(N(ChangeLog[[#This Row],[Task UID]])=0,"",IFERROR(INDEX(tsk_Name,MATCH(ChangeLog[[#This Row],[Task UID]],tsk_UID,0)),"UID "&amp;ChangeLog[[#This Row],[Task UID]]&amp;" not found"))</f>
        <v/>
      </c>
    </row>
    <row r="18" customFormat="false" ht="15" hidden="false" customHeight="false" outlineLevel="0" collapsed="false">
      <c r="B18" s="29" t="n">
        <v>14</v>
      </c>
      <c r="C18" s="73"/>
      <c r="D18" s="30"/>
      <c r="E18" s="30"/>
      <c r="F18" s="30"/>
      <c r="G18" s="74"/>
      <c r="H18" s="75"/>
      <c r="I18" s="29"/>
      <c r="J18" s="73"/>
      <c r="K18" s="30"/>
      <c r="L18" s="43" t="str">
        <f aca="false">IF(OR(ChangeLog[[#This Row],[Title]]="",N(ChangeLog[[#This Row],[Raised]])=0,AND(ChangeLog[[#This Row],[Status]]&lt;&gt;"Submitted",ChangeLog[[#This Row],[Status]]&lt;&gt;"Under Review")),"",MAX(0,StatusDate-ChangeLog[[#This Row],[Raised]]))</f>
        <v/>
      </c>
      <c r="M18" s="29"/>
      <c r="N18" s="24" t="str">
        <f aca="false">IF(N(ChangeLog[[#This Row],[Task UID]])=0,"",IFERROR(INDEX(tsk_Name,MATCH(ChangeLog[[#This Row],[Task UID]],tsk_UID,0)),"UID "&amp;ChangeLog[[#This Row],[Task UID]]&amp;" not found"))</f>
        <v/>
      </c>
    </row>
    <row r="19" customFormat="false" ht="15" hidden="false" customHeight="false" outlineLevel="0" collapsed="false">
      <c r="B19" s="29" t="n">
        <v>15</v>
      </c>
      <c r="C19" s="73"/>
      <c r="D19" s="30"/>
      <c r="E19" s="30"/>
      <c r="F19" s="30"/>
      <c r="G19" s="74"/>
      <c r="H19" s="75"/>
      <c r="I19" s="29"/>
      <c r="J19" s="73"/>
      <c r="K19" s="30"/>
      <c r="L19" s="43" t="str">
        <f aca="false">IF(OR(ChangeLog[[#This Row],[Title]]="",N(ChangeLog[[#This Row],[Raised]])=0,AND(ChangeLog[[#This Row],[Status]]&lt;&gt;"Submitted",ChangeLog[[#This Row],[Status]]&lt;&gt;"Under Review")),"",MAX(0,StatusDate-ChangeLog[[#This Row],[Raised]]))</f>
        <v/>
      </c>
      <c r="M19" s="29"/>
      <c r="N19" s="24" t="str">
        <f aca="false">IF(N(ChangeLog[[#This Row],[Task UID]])=0,"",IFERROR(INDEX(tsk_Name,MATCH(ChangeLog[[#This Row],[Task UID]],tsk_UID,0)),"UID "&amp;ChangeLog[[#This Row],[Task UID]]&amp;" not found"))</f>
        <v/>
      </c>
    </row>
    <row r="20" customFormat="false" ht="15" hidden="false" customHeight="false" outlineLevel="0" collapsed="false">
      <c r="B20" s="29" t="n">
        <v>16</v>
      </c>
      <c r="C20" s="73"/>
      <c r="D20" s="30"/>
      <c r="E20" s="30"/>
      <c r="F20" s="30"/>
      <c r="G20" s="74"/>
      <c r="H20" s="75"/>
      <c r="I20" s="29"/>
      <c r="J20" s="73"/>
      <c r="K20" s="30"/>
      <c r="L20" s="43" t="str">
        <f aca="false">IF(OR(ChangeLog[[#This Row],[Title]]="",N(ChangeLog[[#This Row],[Raised]])=0,AND(ChangeLog[[#This Row],[Status]]&lt;&gt;"Submitted",ChangeLog[[#This Row],[Status]]&lt;&gt;"Under Review")),"",MAX(0,StatusDate-ChangeLog[[#This Row],[Raised]]))</f>
        <v/>
      </c>
      <c r="M20" s="29"/>
      <c r="N20" s="24" t="str">
        <f aca="false">IF(N(ChangeLog[[#This Row],[Task UID]])=0,"",IFERROR(INDEX(tsk_Name,MATCH(ChangeLog[[#This Row],[Task UID]],tsk_UID,0)),"UID "&amp;ChangeLog[[#This Row],[Task UID]]&amp;" not found"))</f>
        <v/>
      </c>
    </row>
    <row r="21" customFormat="false" ht="15" hidden="false" customHeight="false" outlineLevel="0" collapsed="false">
      <c r="B21" s="29" t="n">
        <v>17</v>
      </c>
      <c r="C21" s="73"/>
      <c r="D21" s="30"/>
      <c r="E21" s="30"/>
      <c r="F21" s="30"/>
      <c r="G21" s="74"/>
      <c r="H21" s="75"/>
      <c r="I21" s="29"/>
      <c r="J21" s="73"/>
      <c r="K21" s="30"/>
      <c r="L21" s="43" t="str">
        <f aca="false">IF(OR(ChangeLog[[#This Row],[Title]]="",N(ChangeLog[[#This Row],[Raised]])=0,AND(ChangeLog[[#This Row],[Status]]&lt;&gt;"Submitted",ChangeLog[[#This Row],[Status]]&lt;&gt;"Under Review")),"",MAX(0,StatusDate-ChangeLog[[#This Row],[Raised]]))</f>
        <v/>
      </c>
      <c r="M21" s="29"/>
      <c r="N21" s="24" t="str">
        <f aca="false">IF(N(ChangeLog[[#This Row],[Task UID]])=0,"",IFERROR(INDEX(tsk_Name,MATCH(ChangeLog[[#This Row],[Task UID]],tsk_UID,0)),"UID "&amp;ChangeLog[[#This Row],[Task UID]]&amp;" not found"))</f>
        <v/>
      </c>
    </row>
    <row r="22" customFormat="false" ht="15" hidden="false" customHeight="false" outlineLevel="0" collapsed="false">
      <c r="B22" s="29" t="n">
        <v>18</v>
      </c>
      <c r="C22" s="73"/>
      <c r="D22" s="30"/>
      <c r="E22" s="30"/>
      <c r="F22" s="30"/>
      <c r="G22" s="74"/>
      <c r="H22" s="75"/>
      <c r="I22" s="29"/>
      <c r="J22" s="73"/>
      <c r="K22" s="30"/>
      <c r="L22" s="43" t="str">
        <f aca="false">IF(OR(ChangeLog[[#This Row],[Title]]="",N(ChangeLog[[#This Row],[Raised]])=0,AND(ChangeLog[[#This Row],[Status]]&lt;&gt;"Submitted",ChangeLog[[#This Row],[Status]]&lt;&gt;"Under Review")),"",MAX(0,StatusDate-ChangeLog[[#This Row],[Raised]]))</f>
        <v/>
      </c>
      <c r="M22" s="29"/>
      <c r="N22" s="24" t="str">
        <f aca="false">IF(N(ChangeLog[[#This Row],[Task UID]])=0,"",IFERROR(INDEX(tsk_Name,MATCH(ChangeLog[[#This Row],[Task UID]],tsk_UID,0)),"UID "&amp;ChangeLog[[#This Row],[Task UID]]&amp;" not found"))</f>
        <v/>
      </c>
    </row>
    <row r="23" customFormat="false" ht="15" hidden="false" customHeight="false" outlineLevel="0" collapsed="false">
      <c r="B23" s="29" t="n">
        <v>19</v>
      </c>
      <c r="C23" s="73"/>
      <c r="D23" s="30"/>
      <c r="E23" s="30"/>
      <c r="F23" s="30"/>
      <c r="G23" s="74"/>
      <c r="H23" s="75"/>
      <c r="I23" s="29"/>
      <c r="J23" s="73"/>
      <c r="K23" s="30"/>
      <c r="L23" s="43" t="str">
        <f aca="false">IF(OR(ChangeLog[[#This Row],[Title]]="",N(ChangeLog[[#This Row],[Raised]])=0,AND(ChangeLog[[#This Row],[Status]]&lt;&gt;"Submitted",ChangeLog[[#This Row],[Status]]&lt;&gt;"Under Review")),"",MAX(0,StatusDate-ChangeLog[[#This Row],[Raised]]))</f>
        <v/>
      </c>
      <c r="M23" s="29"/>
      <c r="N23" s="24" t="str">
        <f aca="false">IF(N(ChangeLog[[#This Row],[Task UID]])=0,"",IFERROR(INDEX(tsk_Name,MATCH(ChangeLog[[#This Row],[Task UID]],tsk_UID,0)),"UID "&amp;ChangeLog[[#This Row],[Task UID]]&amp;" not found"))</f>
        <v/>
      </c>
    </row>
    <row r="24" customFormat="false" ht="15" hidden="false" customHeight="false" outlineLevel="0" collapsed="false">
      <c r="B24" s="29" t="n">
        <v>20</v>
      </c>
      <c r="C24" s="73"/>
      <c r="D24" s="30"/>
      <c r="E24" s="30"/>
      <c r="F24" s="30"/>
      <c r="G24" s="74"/>
      <c r="H24" s="75"/>
      <c r="I24" s="29"/>
      <c r="J24" s="73"/>
      <c r="K24" s="30"/>
      <c r="L24" s="43" t="str">
        <f aca="false">IF(OR(ChangeLog[[#This Row],[Title]]="",N(ChangeLog[[#This Row],[Raised]])=0,AND(ChangeLog[[#This Row],[Status]]&lt;&gt;"Submitted",ChangeLog[[#This Row],[Status]]&lt;&gt;"Under Review")),"",MAX(0,StatusDate-ChangeLog[[#This Row],[Raised]]))</f>
        <v/>
      </c>
      <c r="M24" s="29"/>
      <c r="N24" s="24" t="str">
        <f aca="false">IF(N(ChangeLog[[#This Row],[Task UID]])=0,"",IFERROR(INDEX(tsk_Name,MATCH(ChangeLog[[#This Row],[Task UID]],tsk_UID,0)),"UID "&amp;ChangeLog[[#This Row],[Task UID]]&amp;" not found"))</f>
        <v/>
      </c>
    </row>
    <row r="25" customFormat="false" ht="15" hidden="false" customHeight="false" outlineLevel="0" collapsed="false">
      <c r="B25" s="29" t="n">
        <v>21</v>
      </c>
      <c r="C25" s="73"/>
      <c r="D25" s="30"/>
      <c r="E25" s="30"/>
      <c r="F25" s="30"/>
      <c r="G25" s="74"/>
      <c r="H25" s="75"/>
      <c r="I25" s="29"/>
      <c r="J25" s="73"/>
      <c r="K25" s="30"/>
      <c r="L25" s="43" t="str">
        <f aca="false">IF(OR(ChangeLog[[#This Row],[Title]]="",N(ChangeLog[[#This Row],[Raised]])=0,AND(ChangeLog[[#This Row],[Status]]&lt;&gt;"Submitted",ChangeLog[[#This Row],[Status]]&lt;&gt;"Under Review")),"",MAX(0,StatusDate-ChangeLog[[#This Row],[Raised]]))</f>
        <v/>
      </c>
      <c r="M25" s="29"/>
      <c r="N25" s="24" t="str">
        <f aca="false">IF(N(ChangeLog[[#This Row],[Task UID]])=0,"",IFERROR(INDEX(tsk_Name,MATCH(ChangeLog[[#This Row],[Task UID]],tsk_UID,0)),"UID "&amp;ChangeLog[[#This Row],[Task UID]]&amp;" not found"))</f>
        <v/>
      </c>
    </row>
    <row r="26" customFormat="false" ht="15" hidden="false" customHeight="false" outlineLevel="0" collapsed="false">
      <c r="B26" s="29" t="n">
        <v>22</v>
      </c>
      <c r="C26" s="73"/>
      <c r="D26" s="30"/>
      <c r="E26" s="30"/>
      <c r="F26" s="30"/>
      <c r="G26" s="74"/>
      <c r="H26" s="75"/>
      <c r="I26" s="29"/>
      <c r="J26" s="73"/>
      <c r="K26" s="30"/>
      <c r="L26" s="43" t="str">
        <f aca="false">IF(OR(ChangeLog[[#This Row],[Title]]="",N(ChangeLog[[#This Row],[Raised]])=0,AND(ChangeLog[[#This Row],[Status]]&lt;&gt;"Submitted",ChangeLog[[#This Row],[Status]]&lt;&gt;"Under Review")),"",MAX(0,StatusDate-ChangeLog[[#This Row],[Raised]]))</f>
        <v/>
      </c>
      <c r="M26" s="29"/>
      <c r="N26" s="24" t="str">
        <f aca="false">IF(N(ChangeLog[[#This Row],[Task UID]])=0,"",IFERROR(INDEX(tsk_Name,MATCH(ChangeLog[[#This Row],[Task UID]],tsk_UID,0)),"UID "&amp;ChangeLog[[#This Row],[Task UID]]&amp;" not found"))</f>
        <v/>
      </c>
    </row>
    <row r="27" customFormat="false" ht="15" hidden="false" customHeight="false" outlineLevel="0" collapsed="false">
      <c r="B27" s="29" t="n">
        <v>23</v>
      </c>
      <c r="C27" s="73"/>
      <c r="D27" s="30"/>
      <c r="E27" s="30"/>
      <c r="F27" s="30"/>
      <c r="G27" s="74"/>
      <c r="H27" s="75"/>
      <c r="I27" s="29"/>
      <c r="J27" s="73"/>
      <c r="K27" s="30"/>
      <c r="L27" s="43" t="str">
        <f aca="false">IF(OR(ChangeLog[[#This Row],[Title]]="",N(ChangeLog[[#This Row],[Raised]])=0,AND(ChangeLog[[#This Row],[Status]]&lt;&gt;"Submitted",ChangeLog[[#This Row],[Status]]&lt;&gt;"Under Review")),"",MAX(0,StatusDate-ChangeLog[[#This Row],[Raised]]))</f>
        <v/>
      </c>
      <c r="M27" s="29"/>
      <c r="N27" s="24" t="str">
        <f aca="false">IF(N(ChangeLog[[#This Row],[Task UID]])=0,"",IFERROR(INDEX(tsk_Name,MATCH(ChangeLog[[#This Row],[Task UID]],tsk_UID,0)),"UID "&amp;ChangeLog[[#This Row],[Task UID]]&amp;" not found"))</f>
        <v/>
      </c>
    </row>
    <row r="28" customFormat="false" ht="15" hidden="false" customHeight="false" outlineLevel="0" collapsed="false">
      <c r="B28" s="29" t="n">
        <v>24</v>
      </c>
      <c r="C28" s="73"/>
      <c r="D28" s="30"/>
      <c r="E28" s="30"/>
      <c r="F28" s="30"/>
      <c r="G28" s="74"/>
      <c r="H28" s="75"/>
      <c r="I28" s="29"/>
      <c r="J28" s="73"/>
      <c r="K28" s="30"/>
      <c r="L28" s="43" t="str">
        <f aca="false">IF(OR(ChangeLog[[#This Row],[Title]]="",N(ChangeLog[[#This Row],[Raised]])=0,AND(ChangeLog[[#This Row],[Status]]&lt;&gt;"Submitted",ChangeLog[[#This Row],[Status]]&lt;&gt;"Under Review")),"",MAX(0,StatusDate-ChangeLog[[#This Row],[Raised]]))</f>
        <v/>
      </c>
      <c r="M28" s="29"/>
      <c r="N28" s="24" t="str">
        <f aca="false">IF(N(ChangeLog[[#This Row],[Task UID]])=0,"",IFERROR(INDEX(tsk_Name,MATCH(ChangeLog[[#This Row],[Task UID]],tsk_UID,0)),"UID "&amp;ChangeLog[[#This Row],[Task UID]]&amp;" not found"))</f>
        <v/>
      </c>
    </row>
    <row r="29" customFormat="false" ht="15" hidden="false" customHeight="false" outlineLevel="0" collapsed="false">
      <c r="B29" s="29" t="n">
        <v>25</v>
      </c>
      <c r="C29" s="73"/>
      <c r="D29" s="30"/>
      <c r="E29" s="30"/>
      <c r="F29" s="30"/>
      <c r="G29" s="74"/>
      <c r="H29" s="75"/>
      <c r="I29" s="29"/>
      <c r="J29" s="73"/>
      <c r="K29" s="30"/>
      <c r="L29" s="43" t="str">
        <f aca="false">IF(OR(ChangeLog[[#This Row],[Title]]="",N(ChangeLog[[#This Row],[Raised]])=0,AND(ChangeLog[[#This Row],[Status]]&lt;&gt;"Submitted",ChangeLog[[#This Row],[Status]]&lt;&gt;"Under Review")),"",MAX(0,StatusDate-ChangeLog[[#This Row],[Raised]]))</f>
        <v/>
      </c>
      <c r="M29" s="29"/>
      <c r="N29" s="24" t="str">
        <f aca="false">IF(N(ChangeLog[[#This Row],[Task UID]])=0,"",IFERROR(INDEX(tsk_Name,MATCH(ChangeLog[[#This Row],[Task UID]],tsk_UID,0)),"UID "&amp;ChangeLog[[#This Row],[Task UID]]&amp;" not found"))</f>
        <v/>
      </c>
    </row>
    <row r="30" customFormat="false" ht="15" hidden="false" customHeight="false" outlineLevel="0" collapsed="false">
      <c r="B30" s="29" t="n">
        <v>26</v>
      </c>
      <c r="C30" s="73"/>
      <c r="D30" s="30"/>
      <c r="E30" s="30"/>
      <c r="F30" s="30"/>
      <c r="G30" s="74"/>
      <c r="H30" s="75"/>
      <c r="I30" s="29"/>
      <c r="J30" s="73"/>
      <c r="K30" s="30"/>
      <c r="L30" s="43" t="str">
        <f aca="false">IF(OR(ChangeLog[[#This Row],[Title]]="",N(ChangeLog[[#This Row],[Raised]])=0,AND(ChangeLog[[#This Row],[Status]]&lt;&gt;"Submitted",ChangeLog[[#This Row],[Status]]&lt;&gt;"Under Review")),"",MAX(0,StatusDate-ChangeLog[[#This Row],[Raised]]))</f>
        <v/>
      </c>
      <c r="M30" s="29"/>
      <c r="N30" s="24" t="str">
        <f aca="false">IF(N(ChangeLog[[#This Row],[Task UID]])=0,"",IFERROR(INDEX(tsk_Name,MATCH(ChangeLog[[#This Row],[Task UID]],tsk_UID,0)),"UID "&amp;ChangeLog[[#This Row],[Task UID]]&amp;" not found"))</f>
        <v/>
      </c>
    </row>
    <row r="31" customFormat="false" ht="15" hidden="false" customHeight="false" outlineLevel="0" collapsed="false">
      <c r="B31" s="29" t="n">
        <v>27</v>
      </c>
      <c r="C31" s="73"/>
      <c r="D31" s="30"/>
      <c r="E31" s="30"/>
      <c r="F31" s="30"/>
      <c r="G31" s="74"/>
      <c r="H31" s="75"/>
      <c r="I31" s="29"/>
      <c r="J31" s="73"/>
      <c r="K31" s="30"/>
      <c r="L31" s="43" t="str">
        <f aca="false">IF(OR(ChangeLog[[#This Row],[Title]]="",N(ChangeLog[[#This Row],[Raised]])=0,AND(ChangeLog[[#This Row],[Status]]&lt;&gt;"Submitted",ChangeLog[[#This Row],[Status]]&lt;&gt;"Under Review")),"",MAX(0,StatusDate-ChangeLog[[#This Row],[Raised]]))</f>
        <v/>
      </c>
      <c r="M31" s="29"/>
      <c r="N31" s="24" t="str">
        <f aca="false">IF(N(ChangeLog[[#This Row],[Task UID]])=0,"",IFERROR(INDEX(tsk_Name,MATCH(ChangeLog[[#This Row],[Task UID]],tsk_UID,0)),"UID "&amp;ChangeLog[[#This Row],[Task UID]]&amp;" not found"))</f>
        <v/>
      </c>
    </row>
    <row r="32" customFormat="false" ht="15" hidden="false" customHeight="false" outlineLevel="0" collapsed="false">
      <c r="B32" s="29" t="n">
        <v>28</v>
      </c>
      <c r="C32" s="73"/>
      <c r="D32" s="30"/>
      <c r="E32" s="30"/>
      <c r="F32" s="30"/>
      <c r="G32" s="74"/>
      <c r="H32" s="75"/>
      <c r="I32" s="29"/>
      <c r="J32" s="73"/>
      <c r="K32" s="30"/>
      <c r="L32" s="43" t="str">
        <f aca="false">IF(OR(ChangeLog[[#This Row],[Title]]="",N(ChangeLog[[#This Row],[Raised]])=0,AND(ChangeLog[[#This Row],[Status]]&lt;&gt;"Submitted",ChangeLog[[#This Row],[Status]]&lt;&gt;"Under Review")),"",MAX(0,StatusDate-ChangeLog[[#This Row],[Raised]]))</f>
        <v/>
      </c>
      <c r="M32" s="29"/>
      <c r="N32" s="24" t="str">
        <f aca="false">IF(N(ChangeLog[[#This Row],[Task UID]])=0,"",IFERROR(INDEX(tsk_Name,MATCH(ChangeLog[[#This Row],[Task UID]],tsk_UID,0)),"UID "&amp;ChangeLog[[#This Row],[Task UID]]&amp;" not found"))</f>
        <v/>
      </c>
    </row>
    <row r="33" customFormat="false" ht="15" hidden="false" customHeight="false" outlineLevel="0" collapsed="false">
      <c r="B33" s="29" t="n">
        <v>29</v>
      </c>
      <c r="C33" s="73"/>
      <c r="D33" s="30"/>
      <c r="E33" s="30"/>
      <c r="F33" s="30"/>
      <c r="G33" s="74"/>
      <c r="H33" s="75"/>
      <c r="I33" s="29"/>
      <c r="J33" s="73"/>
      <c r="K33" s="30"/>
      <c r="L33" s="43" t="str">
        <f aca="false">IF(OR(ChangeLog[[#This Row],[Title]]="",N(ChangeLog[[#This Row],[Raised]])=0,AND(ChangeLog[[#This Row],[Status]]&lt;&gt;"Submitted",ChangeLog[[#This Row],[Status]]&lt;&gt;"Under Review")),"",MAX(0,StatusDate-ChangeLog[[#This Row],[Raised]]))</f>
        <v/>
      </c>
      <c r="M33" s="29"/>
      <c r="N33" s="24" t="str">
        <f aca="false">IF(N(ChangeLog[[#This Row],[Task UID]])=0,"",IFERROR(INDEX(tsk_Name,MATCH(ChangeLog[[#This Row],[Task UID]],tsk_UID,0)),"UID "&amp;ChangeLog[[#This Row],[Task UID]]&amp;" not found"))</f>
        <v/>
      </c>
    </row>
    <row r="34" customFormat="false" ht="15" hidden="false" customHeight="false" outlineLevel="0" collapsed="false">
      <c r="B34" s="29" t="n">
        <v>30</v>
      </c>
      <c r="C34" s="73"/>
      <c r="D34" s="30"/>
      <c r="E34" s="30"/>
      <c r="F34" s="30"/>
      <c r="G34" s="74"/>
      <c r="H34" s="75"/>
      <c r="I34" s="29"/>
      <c r="J34" s="73"/>
      <c r="K34" s="30"/>
      <c r="L34" s="43" t="str">
        <f aca="false">IF(OR(ChangeLog[[#This Row],[Title]]="",N(ChangeLog[[#This Row],[Raised]])=0,AND(ChangeLog[[#This Row],[Status]]&lt;&gt;"Submitted",ChangeLog[[#This Row],[Status]]&lt;&gt;"Under Review")),"",MAX(0,StatusDate-ChangeLog[[#This Row],[Raised]]))</f>
        <v/>
      </c>
      <c r="M34" s="29"/>
      <c r="N34" s="24" t="str">
        <f aca="false">IF(N(ChangeLog[[#This Row],[Task UID]])=0,"",IFERROR(INDEX(tsk_Name,MATCH(ChangeLog[[#This Row],[Task UID]],tsk_UID,0)),"UID "&amp;ChangeLog[[#This Row],[Task UID]]&amp;" not found"))</f>
        <v/>
      </c>
    </row>
    <row r="35" customFormat="false" ht="15" hidden="false" customHeight="false" outlineLevel="0" collapsed="false">
      <c r="B35" s="29" t="n">
        <v>31</v>
      </c>
      <c r="C35" s="73"/>
      <c r="D35" s="30"/>
      <c r="E35" s="30"/>
      <c r="F35" s="30"/>
      <c r="G35" s="74"/>
      <c r="H35" s="75"/>
      <c r="I35" s="29"/>
      <c r="J35" s="73"/>
      <c r="K35" s="30"/>
      <c r="L35" s="43" t="str">
        <f aca="false">IF(OR(ChangeLog[[#This Row],[Title]]="",N(ChangeLog[[#This Row],[Raised]])=0,AND(ChangeLog[[#This Row],[Status]]&lt;&gt;"Submitted",ChangeLog[[#This Row],[Status]]&lt;&gt;"Under Review")),"",MAX(0,StatusDate-ChangeLog[[#This Row],[Raised]]))</f>
        <v/>
      </c>
      <c r="M35" s="29"/>
      <c r="N35" s="24" t="str">
        <f aca="false">IF(N(ChangeLog[[#This Row],[Task UID]])=0,"",IFERROR(INDEX(tsk_Name,MATCH(ChangeLog[[#This Row],[Task UID]],tsk_UID,0)),"UID "&amp;ChangeLog[[#This Row],[Task UID]]&amp;" not found"))</f>
        <v/>
      </c>
    </row>
    <row r="36" customFormat="false" ht="15" hidden="false" customHeight="false" outlineLevel="0" collapsed="false">
      <c r="B36" s="29" t="n">
        <v>32</v>
      </c>
      <c r="C36" s="73"/>
      <c r="D36" s="30"/>
      <c r="E36" s="30"/>
      <c r="F36" s="30"/>
      <c r="G36" s="74"/>
      <c r="H36" s="75"/>
      <c r="I36" s="29"/>
      <c r="J36" s="73"/>
      <c r="K36" s="30"/>
      <c r="L36" s="43" t="str">
        <f aca="false">IF(OR(ChangeLog[[#This Row],[Title]]="",N(ChangeLog[[#This Row],[Raised]])=0,AND(ChangeLog[[#This Row],[Status]]&lt;&gt;"Submitted",ChangeLog[[#This Row],[Status]]&lt;&gt;"Under Review")),"",MAX(0,StatusDate-ChangeLog[[#This Row],[Raised]]))</f>
        <v/>
      </c>
      <c r="M36" s="29"/>
      <c r="N36" s="24" t="str">
        <f aca="false">IF(N(ChangeLog[[#This Row],[Task UID]])=0,"",IFERROR(INDEX(tsk_Name,MATCH(ChangeLog[[#This Row],[Task UID]],tsk_UID,0)),"UID "&amp;ChangeLog[[#This Row],[Task UID]]&amp;" not found"))</f>
        <v/>
      </c>
    </row>
    <row r="37" customFormat="false" ht="15" hidden="false" customHeight="false" outlineLevel="0" collapsed="false">
      <c r="B37" s="29" t="n">
        <v>33</v>
      </c>
      <c r="C37" s="73"/>
      <c r="D37" s="30"/>
      <c r="E37" s="30"/>
      <c r="F37" s="30"/>
      <c r="G37" s="74"/>
      <c r="H37" s="75"/>
      <c r="I37" s="29"/>
      <c r="J37" s="73"/>
      <c r="K37" s="30"/>
      <c r="L37" s="43" t="str">
        <f aca="false">IF(OR(ChangeLog[[#This Row],[Title]]="",N(ChangeLog[[#This Row],[Raised]])=0,AND(ChangeLog[[#This Row],[Status]]&lt;&gt;"Submitted",ChangeLog[[#This Row],[Status]]&lt;&gt;"Under Review")),"",MAX(0,StatusDate-ChangeLog[[#This Row],[Raised]]))</f>
        <v/>
      </c>
      <c r="M37" s="29"/>
      <c r="N37" s="24" t="str">
        <f aca="false">IF(N(ChangeLog[[#This Row],[Task UID]])=0,"",IFERROR(INDEX(tsk_Name,MATCH(ChangeLog[[#This Row],[Task UID]],tsk_UID,0)),"UID "&amp;ChangeLog[[#This Row],[Task UID]]&amp;" not found"))</f>
        <v/>
      </c>
    </row>
    <row r="38" customFormat="false" ht="15" hidden="false" customHeight="false" outlineLevel="0" collapsed="false">
      <c r="B38" s="29" t="n">
        <v>34</v>
      </c>
      <c r="C38" s="73"/>
      <c r="D38" s="30"/>
      <c r="E38" s="30"/>
      <c r="F38" s="30"/>
      <c r="G38" s="74"/>
      <c r="H38" s="75"/>
      <c r="I38" s="29"/>
      <c r="J38" s="73"/>
      <c r="K38" s="30"/>
      <c r="L38" s="43" t="str">
        <f aca="false">IF(OR(ChangeLog[[#This Row],[Title]]="",N(ChangeLog[[#This Row],[Raised]])=0,AND(ChangeLog[[#This Row],[Status]]&lt;&gt;"Submitted",ChangeLog[[#This Row],[Status]]&lt;&gt;"Under Review")),"",MAX(0,StatusDate-ChangeLog[[#This Row],[Raised]]))</f>
        <v/>
      </c>
      <c r="M38" s="29"/>
      <c r="N38" s="24" t="str">
        <f aca="false">IF(N(ChangeLog[[#This Row],[Task UID]])=0,"",IFERROR(INDEX(tsk_Name,MATCH(ChangeLog[[#This Row],[Task UID]],tsk_UID,0)),"UID "&amp;ChangeLog[[#This Row],[Task UID]]&amp;" not found"))</f>
        <v/>
      </c>
    </row>
    <row r="39" customFormat="false" ht="15" hidden="false" customHeight="false" outlineLevel="0" collapsed="false">
      <c r="B39" s="29" t="n">
        <v>35</v>
      </c>
      <c r="C39" s="73"/>
      <c r="D39" s="30"/>
      <c r="E39" s="30"/>
      <c r="F39" s="30"/>
      <c r="G39" s="74"/>
      <c r="H39" s="75"/>
      <c r="I39" s="29"/>
      <c r="J39" s="73"/>
      <c r="K39" s="30"/>
      <c r="L39" s="43" t="str">
        <f aca="false">IF(OR(ChangeLog[[#This Row],[Title]]="",N(ChangeLog[[#This Row],[Raised]])=0,AND(ChangeLog[[#This Row],[Status]]&lt;&gt;"Submitted",ChangeLog[[#This Row],[Status]]&lt;&gt;"Under Review")),"",MAX(0,StatusDate-ChangeLog[[#This Row],[Raised]]))</f>
        <v/>
      </c>
      <c r="M39" s="29"/>
      <c r="N39" s="24" t="str">
        <f aca="false">IF(N(ChangeLog[[#This Row],[Task UID]])=0,"",IFERROR(INDEX(tsk_Name,MATCH(ChangeLog[[#This Row],[Task UID]],tsk_UID,0)),"UID "&amp;ChangeLog[[#This Row],[Task UID]]&amp;" not found"))</f>
        <v/>
      </c>
    </row>
    <row r="40" customFormat="false" ht="15" hidden="false" customHeight="false" outlineLevel="0" collapsed="false">
      <c r="B40" s="29" t="n">
        <v>36</v>
      </c>
      <c r="C40" s="73"/>
      <c r="D40" s="30"/>
      <c r="E40" s="30"/>
      <c r="F40" s="30"/>
      <c r="G40" s="74"/>
      <c r="H40" s="75"/>
      <c r="I40" s="29"/>
      <c r="J40" s="73"/>
      <c r="K40" s="30"/>
      <c r="L40" s="43" t="str">
        <f aca="false">IF(OR(ChangeLog[[#This Row],[Title]]="",N(ChangeLog[[#This Row],[Raised]])=0,AND(ChangeLog[[#This Row],[Status]]&lt;&gt;"Submitted",ChangeLog[[#This Row],[Status]]&lt;&gt;"Under Review")),"",MAX(0,StatusDate-ChangeLog[[#This Row],[Raised]]))</f>
        <v/>
      </c>
      <c r="M40" s="29"/>
      <c r="N40" s="24" t="str">
        <f aca="false">IF(N(ChangeLog[[#This Row],[Task UID]])=0,"",IFERROR(INDEX(tsk_Name,MATCH(ChangeLog[[#This Row],[Task UID]],tsk_UID,0)),"UID "&amp;ChangeLog[[#This Row],[Task UID]]&amp;" not found"))</f>
        <v/>
      </c>
    </row>
    <row r="41" customFormat="false" ht="15" hidden="false" customHeight="false" outlineLevel="0" collapsed="false">
      <c r="B41" s="29" t="n">
        <v>37</v>
      </c>
      <c r="C41" s="73"/>
      <c r="D41" s="30"/>
      <c r="E41" s="30"/>
      <c r="F41" s="30"/>
      <c r="G41" s="74"/>
      <c r="H41" s="75"/>
      <c r="I41" s="29"/>
      <c r="J41" s="73"/>
      <c r="K41" s="30"/>
      <c r="L41" s="43" t="str">
        <f aca="false">IF(OR(ChangeLog[[#This Row],[Title]]="",N(ChangeLog[[#This Row],[Raised]])=0,AND(ChangeLog[[#This Row],[Status]]&lt;&gt;"Submitted",ChangeLog[[#This Row],[Status]]&lt;&gt;"Under Review")),"",MAX(0,StatusDate-ChangeLog[[#This Row],[Raised]]))</f>
        <v/>
      </c>
      <c r="M41" s="29"/>
      <c r="N41" s="24" t="str">
        <f aca="false">IF(N(ChangeLog[[#This Row],[Task UID]])=0,"",IFERROR(INDEX(tsk_Name,MATCH(ChangeLog[[#This Row],[Task UID]],tsk_UID,0)),"UID "&amp;ChangeLog[[#This Row],[Task UID]]&amp;" not found"))</f>
        <v/>
      </c>
    </row>
    <row r="42" customFormat="false" ht="15" hidden="false" customHeight="false" outlineLevel="0" collapsed="false">
      <c r="B42" s="29" t="n">
        <v>38</v>
      </c>
      <c r="C42" s="73"/>
      <c r="D42" s="30"/>
      <c r="E42" s="30"/>
      <c r="F42" s="30"/>
      <c r="G42" s="74"/>
      <c r="H42" s="75"/>
      <c r="I42" s="29"/>
      <c r="J42" s="73"/>
      <c r="K42" s="30"/>
      <c r="L42" s="43" t="str">
        <f aca="false">IF(OR(ChangeLog[[#This Row],[Title]]="",N(ChangeLog[[#This Row],[Raised]])=0,AND(ChangeLog[[#This Row],[Status]]&lt;&gt;"Submitted",ChangeLog[[#This Row],[Status]]&lt;&gt;"Under Review")),"",MAX(0,StatusDate-ChangeLog[[#This Row],[Raised]]))</f>
        <v/>
      </c>
      <c r="M42" s="29"/>
      <c r="N42" s="24" t="str">
        <f aca="false">IF(N(ChangeLog[[#This Row],[Task UID]])=0,"",IFERROR(INDEX(tsk_Name,MATCH(ChangeLog[[#This Row],[Task UID]],tsk_UID,0)),"UID "&amp;ChangeLog[[#This Row],[Task UID]]&amp;" not found"))</f>
        <v/>
      </c>
    </row>
    <row r="43" customFormat="false" ht="15" hidden="false" customHeight="false" outlineLevel="0" collapsed="false">
      <c r="B43" s="29" t="n">
        <v>39</v>
      </c>
      <c r="C43" s="73"/>
      <c r="D43" s="30"/>
      <c r="E43" s="30"/>
      <c r="F43" s="30"/>
      <c r="G43" s="74"/>
      <c r="H43" s="75"/>
      <c r="I43" s="29"/>
      <c r="J43" s="73"/>
      <c r="K43" s="30"/>
      <c r="L43" s="43" t="str">
        <f aca="false">IF(OR(ChangeLog[[#This Row],[Title]]="",N(ChangeLog[[#This Row],[Raised]])=0,AND(ChangeLog[[#This Row],[Status]]&lt;&gt;"Submitted",ChangeLog[[#This Row],[Status]]&lt;&gt;"Under Review")),"",MAX(0,StatusDate-ChangeLog[[#This Row],[Raised]]))</f>
        <v/>
      </c>
      <c r="M43" s="29"/>
      <c r="N43" s="24" t="str">
        <f aca="false">IF(N(ChangeLog[[#This Row],[Task UID]])=0,"",IFERROR(INDEX(tsk_Name,MATCH(ChangeLog[[#This Row],[Task UID]],tsk_UID,0)),"UID "&amp;ChangeLog[[#This Row],[Task UID]]&amp;" not found"))</f>
        <v/>
      </c>
    </row>
    <row r="44" customFormat="false" ht="15" hidden="false" customHeight="false" outlineLevel="0" collapsed="false">
      <c r="B44" s="29" t="n">
        <v>40</v>
      </c>
      <c r="C44" s="73"/>
      <c r="D44" s="30"/>
      <c r="E44" s="30"/>
      <c r="F44" s="30"/>
      <c r="G44" s="74"/>
      <c r="H44" s="75"/>
      <c r="I44" s="29"/>
      <c r="J44" s="73"/>
      <c r="K44" s="30"/>
      <c r="L44" s="43" t="str">
        <f aca="false">IF(OR(ChangeLog[[#This Row],[Title]]="",N(ChangeLog[[#This Row],[Raised]])=0,AND(ChangeLog[[#This Row],[Status]]&lt;&gt;"Submitted",ChangeLog[[#This Row],[Status]]&lt;&gt;"Under Review")),"",MAX(0,StatusDate-ChangeLog[[#This Row],[Raised]]))</f>
        <v/>
      </c>
      <c r="M44" s="29"/>
      <c r="N44" s="24" t="str">
        <f aca="false">IF(N(ChangeLog[[#This Row],[Task UID]])=0,"",IFERROR(INDEX(tsk_Name,MATCH(ChangeLog[[#This Row],[Task UID]],tsk_UID,0)),"UID "&amp;ChangeLog[[#This Row],[Task UID]]&amp;" not found"))</f>
        <v/>
      </c>
    </row>
    <row r="45" customFormat="false" ht="15" hidden="false" customHeight="false" outlineLevel="0" collapsed="false">
      <c r="B45" s="29" t="n">
        <v>41</v>
      </c>
      <c r="C45" s="73"/>
      <c r="D45" s="30"/>
      <c r="E45" s="30"/>
      <c r="F45" s="30"/>
      <c r="G45" s="74"/>
      <c r="H45" s="75"/>
      <c r="I45" s="29"/>
      <c r="J45" s="73"/>
      <c r="K45" s="30"/>
      <c r="L45" s="43" t="str">
        <f aca="false">IF(OR(ChangeLog[[#This Row],[Title]]="",N(ChangeLog[[#This Row],[Raised]])=0,AND(ChangeLog[[#This Row],[Status]]&lt;&gt;"Submitted",ChangeLog[[#This Row],[Status]]&lt;&gt;"Under Review")),"",MAX(0,StatusDate-ChangeLog[[#This Row],[Raised]]))</f>
        <v/>
      </c>
      <c r="M45" s="29"/>
      <c r="N45" s="24" t="str">
        <f aca="false">IF(N(ChangeLog[[#This Row],[Task UID]])=0,"",IFERROR(INDEX(tsk_Name,MATCH(ChangeLog[[#This Row],[Task UID]],tsk_UID,0)),"UID "&amp;ChangeLog[[#This Row],[Task UID]]&amp;" not found"))</f>
        <v/>
      </c>
    </row>
    <row r="46" customFormat="false" ht="15" hidden="false" customHeight="false" outlineLevel="0" collapsed="false">
      <c r="B46" s="29" t="n">
        <v>42</v>
      </c>
      <c r="C46" s="73"/>
      <c r="D46" s="30"/>
      <c r="E46" s="30"/>
      <c r="F46" s="30"/>
      <c r="G46" s="74"/>
      <c r="H46" s="75"/>
      <c r="I46" s="29"/>
      <c r="J46" s="73"/>
      <c r="K46" s="30"/>
      <c r="L46" s="43" t="str">
        <f aca="false">IF(OR(ChangeLog[[#This Row],[Title]]="",N(ChangeLog[[#This Row],[Raised]])=0,AND(ChangeLog[[#This Row],[Status]]&lt;&gt;"Submitted",ChangeLog[[#This Row],[Status]]&lt;&gt;"Under Review")),"",MAX(0,StatusDate-ChangeLog[[#This Row],[Raised]]))</f>
        <v/>
      </c>
      <c r="M46" s="29"/>
      <c r="N46" s="24" t="str">
        <f aca="false">IF(N(ChangeLog[[#This Row],[Task UID]])=0,"",IFERROR(INDEX(tsk_Name,MATCH(ChangeLog[[#This Row],[Task UID]],tsk_UID,0)),"UID "&amp;ChangeLog[[#This Row],[Task UID]]&amp;" not found"))</f>
        <v/>
      </c>
    </row>
    <row r="47" customFormat="false" ht="15" hidden="false" customHeight="false" outlineLevel="0" collapsed="false">
      <c r="B47" s="29" t="n">
        <v>43</v>
      </c>
      <c r="C47" s="73"/>
      <c r="D47" s="30"/>
      <c r="E47" s="30"/>
      <c r="F47" s="30"/>
      <c r="G47" s="74"/>
      <c r="H47" s="75"/>
      <c r="I47" s="29"/>
      <c r="J47" s="73"/>
      <c r="K47" s="30"/>
      <c r="L47" s="43" t="str">
        <f aca="false">IF(OR(ChangeLog[[#This Row],[Title]]="",N(ChangeLog[[#This Row],[Raised]])=0,AND(ChangeLog[[#This Row],[Status]]&lt;&gt;"Submitted",ChangeLog[[#This Row],[Status]]&lt;&gt;"Under Review")),"",MAX(0,StatusDate-ChangeLog[[#This Row],[Raised]]))</f>
        <v/>
      </c>
      <c r="M47" s="29"/>
      <c r="N47" s="24" t="str">
        <f aca="false">IF(N(ChangeLog[[#This Row],[Task UID]])=0,"",IFERROR(INDEX(tsk_Name,MATCH(ChangeLog[[#This Row],[Task UID]],tsk_UID,0)),"UID "&amp;ChangeLog[[#This Row],[Task UID]]&amp;" not found"))</f>
        <v/>
      </c>
    </row>
    <row r="48" customFormat="false" ht="15" hidden="false" customHeight="false" outlineLevel="0" collapsed="false">
      <c r="B48" s="29" t="n">
        <v>44</v>
      </c>
      <c r="C48" s="73"/>
      <c r="D48" s="30"/>
      <c r="E48" s="30"/>
      <c r="F48" s="30"/>
      <c r="G48" s="74"/>
      <c r="H48" s="75"/>
      <c r="I48" s="29"/>
      <c r="J48" s="73"/>
      <c r="K48" s="30"/>
      <c r="L48" s="43" t="str">
        <f aca="false">IF(OR(ChangeLog[[#This Row],[Title]]="",N(ChangeLog[[#This Row],[Raised]])=0,AND(ChangeLog[[#This Row],[Status]]&lt;&gt;"Submitted",ChangeLog[[#This Row],[Status]]&lt;&gt;"Under Review")),"",MAX(0,StatusDate-ChangeLog[[#This Row],[Raised]]))</f>
        <v/>
      </c>
      <c r="M48" s="29"/>
      <c r="N48" s="24" t="str">
        <f aca="false">IF(N(ChangeLog[[#This Row],[Task UID]])=0,"",IFERROR(INDEX(tsk_Name,MATCH(ChangeLog[[#This Row],[Task UID]],tsk_UID,0)),"UID "&amp;ChangeLog[[#This Row],[Task UID]]&amp;" not found"))</f>
        <v/>
      </c>
    </row>
    <row r="49" customFormat="false" ht="15" hidden="false" customHeight="false" outlineLevel="0" collapsed="false">
      <c r="B49" s="29" t="n">
        <v>45</v>
      </c>
      <c r="C49" s="73"/>
      <c r="D49" s="30"/>
      <c r="E49" s="30"/>
      <c r="F49" s="30"/>
      <c r="G49" s="74"/>
      <c r="H49" s="75"/>
      <c r="I49" s="29"/>
      <c r="J49" s="73"/>
      <c r="K49" s="30"/>
      <c r="L49" s="43" t="str">
        <f aca="false">IF(OR(ChangeLog[[#This Row],[Title]]="",N(ChangeLog[[#This Row],[Raised]])=0,AND(ChangeLog[[#This Row],[Status]]&lt;&gt;"Submitted",ChangeLog[[#This Row],[Status]]&lt;&gt;"Under Review")),"",MAX(0,StatusDate-ChangeLog[[#This Row],[Raised]]))</f>
        <v/>
      </c>
      <c r="M49" s="29"/>
      <c r="N49" s="24" t="str">
        <f aca="false">IF(N(ChangeLog[[#This Row],[Task UID]])=0,"",IFERROR(INDEX(tsk_Name,MATCH(ChangeLog[[#This Row],[Task UID]],tsk_UID,0)),"UID "&amp;ChangeLog[[#This Row],[Task UID]]&amp;" not found"))</f>
        <v/>
      </c>
    </row>
    <row r="50" customFormat="false" ht="15" hidden="false" customHeight="false" outlineLevel="0" collapsed="false">
      <c r="B50" s="29" t="n">
        <v>46</v>
      </c>
      <c r="C50" s="73"/>
      <c r="D50" s="30"/>
      <c r="E50" s="30"/>
      <c r="F50" s="30"/>
      <c r="G50" s="74"/>
      <c r="H50" s="75"/>
      <c r="I50" s="29"/>
      <c r="J50" s="73"/>
      <c r="K50" s="30"/>
      <c r="L50" s="43" t="str">
        <f aca="false">IF(OR(ChangeLog[[#This Row],[Title]]="",N(ChangeLog[[#This Row],[Raised]])=0,AND(ChangeLog[[#This Row],[Status]]&lt;&gt;"Submitted",ChangeLog[[#This Row],[Status]]&lt;&gt;"Under Review")),"",MAX(0,StatusDate-ChangeLog[[#This Row],[Raised]]))</f>
        <v/>
      </c>
      <c r="M50" s="29"/>
      <c r="N50" s="24" t="str">
        <f aca="false">IF(N(ChangeLog[[#This Row],[Task UID]])=0,"",IFERROR(INDEX(tsk_Name,MATCH(ChangeLog[[#This Row],[Task UID]],tsk_UID,0)),"UID "&amp;ChangeLog[[#This Row],[Task UID]]&amp;" not found"))</f>
        <v/>
      </c>
    </row>
    <row r="51" customFormat="false" ht="15" hidden="false" customHeight="false" outlineLevel="0" collapsed="false">
      <c r="B51" s="29" t="n">
        <v>47</v>
      </c>
      <c r="C51" s="73"/>
      <c r="D51" s="30"/>
      <c r="E51" s="30"/>
      <c r="F51" s="30"/>
      <c r="G51" s="74"/>
      <c r="H51" s="75"/>
      <c r="I51" s="29"/>
      <c r="J51" s="73"/>
      <c r="K51" s="30"/>
      <c r="L51" s="43" t="str">
        <f aca="false">IF(OR(ChangeLog[[#This Row],[Title]]="",N(ChangeLog[[#This Row],[Raised]])=0,AND(ChangeLog[[#This Row],[Status]]&lt;&gt;"Submitted",ChangeLog[[#This Row],[Status]]&lt;&gt;"Under Review")),"",MAX(0,StatusDate-ChangeLog[[#This Row],[Raised]]))</f>
        <v/>
      </c>
      <c r="M51" s="29"/>
      <c r="N51" s="24" t="str">
        <f aca="false">IF(N(ChangeLog[[#This Row],[Task UID]])=0,"",IFERROR(INDEX(tsk_Name,MATCH(ChangeLog[[#This Row],[Task UID]],tsk_UID,0)),"UID "&amp;ChangeLog[[#This Row],[Task UID]]&amp;" not found"))</f>
        <v/>
      </c>
    </row>
    <row r="52" customFormat="false" ht="15" hidden="false" customHeight="false" outlineLevel="0" collapsed="false">
      <c r="B52" s="29" t="n">
        <v>48</v>
      </c>
      <c r="C52" s="73"/>
      <c r="D52" s="30"/>
      <c r="E52" s="30"/>
      <c r="F52" s="30"/>
      <c r="G52" s="74"/>
      <c r="H52" s="75"/>
      <c r="I52" s="29"/>
      <c r="J52" s="73"/>
      <c r="K52" s="30"/>
      <c r="L52" s="43" t="str">
        <f aca="false">IF(OR(ChangeLog[[#This Row],[Title]]="",N(ChangeLog[[#This Row],[Raised]])=0,AND(ChangeLog[[#This Row],[Status]]&lt;&gt;"Submitted",ChangeLog[[#This Row],[Status]]&lt;&gt;"Under Review")),"",MAX(0,StatusDate-ChangeLog[[#This Row],[Raised]]))</f>
        <v/>
      </c>
      <c r="M52" s="29"/>
      <c r="N52" s="24" t="str">
        <f aca="false">IF(N(ChangeLog[[#This Row],[Task UID]])=0,"",IFERROR(INDEX(tsk_Name,MATCH(ChangeLog[[#This Row],[Task UID]],tsk_UID,0)),"UID "&amp;ChangeLog[[#This Row],[Task UID]]&amp;" not found"))</f>
        <v/>
      </c>
    </row>
    <row r="53" customFormat="false" ht="15" hidden="false" customHeight="false" outlineLevel="0" collapsed="false">
      <c r="B53" s="29" t="n">
        <v>49</v>
      </c>
      <c r="C53" s="73"/>
      <c r="D53" s="30"/>
      <c r="E53" s="30"/>
      <c r="F53" s="30"/>
      <c r="G53" s="74"/>
      <c r="H53" s="75"/>
      <c r="I53" s="29"/>
      <c r="J53" s="73"/>
      <c r="K53" s="30"/>
      <c r="L53" s="43" t="str">
        <f aca="false">IF(OR(ChangeLog[[#This Row],[Title]]="",N(ChangeLog[[#This Row],[Raised]])=0,AND(ChangeLog[[#This Row],[Status]]&lt;&gt;"Submitted",ChangeLog[[#This Row],[Status]]&lt;&gt;"Under Review")),"",MAX(0,StatusDate-ChangeLog[[#This Row],[Raised]]))</f>
        <v/>
      </c>
      <c r="M53" s="29"/>
      <c r="N53" s="24" t="str">
        <f aca="false">IF(N(ChangeLog[[#This Row],[Task UID]])=0,"",IFERROR(INDEX(tsk_Name,MATCH(ChangeLog[[#This Row],[Task UID]],tsk_UID,0)),"UID "&amp;ChangeLog[[#This Row],[Task UID]]&amp;" not found"))</f>
        <v/>
      </c>
    </row>
    <row r="54" customFormat="false" ht="15" hidden="false" customHeight="false" outlineLevel="0" collapsed="false">
      <c r="B54" s="29" t="n">
        <v>50</v>
      </c>
      <c r="C54" s="73"/>
      <c r="D54" s="30"/>
      <c r="E54" s="30"/>
      <c r="F54" s="30"/>
      <c r="G54" s="74"/>
      <c r="H54" s="75"/>
      <c r="I54" s="29"/>
      <c r="J54" s="73"/>
      <c r="K54" s="30"/>
      <c r="L54" s="43" t="str">
        <f aca="false">IF(OR(ChangeLog[[#This Row],[Title]]="",N(ChangeLog[[#This Row],[Raised]])=0,AND(ChangeLog[[#This Row],[Status]]&lt;&gt;"Submitted",ChangeLog[[#This Row],[Status]]&lt;&gt;"Under Review")),"",MAX(0,StatusDate-ChangeLog[[#This Row],[Raised]]))</f>
        <v/>
      </c>
      <c r="M54" s="29"/>
      <c r="N54" s="24" t="str">
        <f aca="false">IF(N(ChangeLog[[#This Row],[Task UID]])=0,"",IFERROR(INDEX(tsk_Name,MATCH(ChangeLog[[#This Row],[Task UID]],tsk_UID,0)),"UID "&amp;ChangeLog[[#This Row],[Task UID]]&amp;" not found"))</f>
        <v/>
      </c>
    </row>
    <row r="55" customFormat="false" ht="15" hidden="false" customHeight="false" outlineLevel="0" collapsed="false">
      <c r="B55" s="29" t="n">
        <v>51</v>
      </c>
      <c r="C55" s="73"/>
      <c r="D55" s="30"/>
      <c r="E55" s="30"/>
      <c r="F55" s="30"/>
      <c r="G55" s="74"/>
      <c r="H55" s="75"/>
      <c r="I55" s="29"/>
      <c r="J55" s="73"/>
      <c r="K55" s="30"/>
      <c r="L55" s="43" t="str">
        <f aca="false">IF(OR(ChangeLog[[#This Row],[Title]]="",N(ChangeLog[[#This Row],[Raised]])=0,AND(ChangeLog[[#This Row],[Status]]&lt;&gt;"Submitted",ChangeLog[[#This Row],[Status]]&lt;&gt;"Under Review")),"",MAX(0,StatusDate-ChangeLog[[#This Row],[Raised]]))</f>
        <v/>
      </c>
      <c r="M55" s="29"/>
      <c r="N55" s="24" t="str">
        <f aca="false">IF(N(ChangeLog[[#This Row],[Task UID]])=0,"",IFERROR(INDEX(tsk_Name,MATCH(ChangeLog[[#This Row],[Task UID]],tsk_UID,0)),"UID "&amp;ChangeLog[[#This Row],[Task UID]]&amp;" not found"))</f>
        <v/>
      </c>
    </row>
    <row r="56" customFormat="false" ht="15" hidden="false" customHeight="false" outlineLevel="0" collapsed="false">
      <c r="B56" s="29" t="n">
        <v>52</v>
      </c>
      <c r="C56" s="73"/>
      <c r="D56" s="30"/>
      <c r="E56" s="30"/>
      <c r="F56" s="30"/>
      <c r="G56" s="74"/>
      <c r="H56" s="75"/>
      <c r="I56" s="29"/>
      <c r="J56" s="73"/>
      <c r="K56" s="30"/>
      <c r="L56" s="43" t="str">
        <f aca="false">IF(OR(ChangeLog[[#This Row],[Title]]="",N(ChangeLog[[#This Row],[Raised]])=0,AND(ChangeLog[[#This Row],[Status]]&lt;&gt;"Submitted",ChangeLog[[#This Row],[Status]]&lt;&gt;"Under Review")),"",MAX(0,StatusDate-ChangeLog[[#This Row],[Raised]]))</f>
        <v/>
      </c>
      <c r="M56" s="29"/>
      <c r="N56" s="24" t="str">
        <f aca="false">IF(N(ChangeLog[[#This Row],[Task UID]])=0,"",IFERROR(INDEX(tsk_Name,MATCH(ChangeLog[[#This Row],[Task UID]],tsk_UID,0)),"UID "&amp;ChangeLog[[#This Row],[Task UID]]&amp;" not found"))</f>
        <v/>
      </c>
    </row>
    <row r="57" customFormat="false" ht="15" hidden="false" customHeight="false" outlineLevel="0" collapsed="false">
      <c r="B57" s="29" t="n">
        <v>53</v>
      </c>
      <c r="C57" s="73"/>
      <c r="D57" s="30"/>
      <c r="E57" s="30"/>
      <c r="F57" s="30"/>
      <c r="G57" s="74"/>
      <c r="H57" s="75"/>
      <c r="I57" s="29"/>
      <c r="J57" s="73"/>
      <c r="K57" s="30"/>
      <c r="L57" s="43" t="str">
        <f aca="false">IF(OR(ChangeLog[[#This Row],[Title]]="",N(ChangeLog[[#This Row],[Raised]])=0,AND(ChangeLog[[#This Row],[Status]]&lt;&gt;"Submitted",ChangeLog[[#This Row],[Status]]&lt;&gt;"Under Review")),"",MAX(0,StatusDate-ChangeLog[[#This Row],[Raised]]))</f>
        <v/>
      </c>
      <c r="M57" s="29"/>
      <c r="N57" s="24" t="str">
        <f aca="false">IF(N(ChangeLog[[#This Row],[Task UID]])=0,"",IFERROR(INDEX(tsk_Name,MATCH(ChangeLog[[#This Row],[Task UID]],tsk_UID,0)),"UID "&amp;ChangeLog[[#This Row],[Task UID]]&amp;" not found"))</f>
        <v/>
      </c>
    </row>
    <row r="58" customFormat="false" ht="15" hidden="false" customHeight="false" outlineLevel="0" collapsed="false">
      <c r="B58" s="29" t="n">
        <v>54</v>
      </c>
      <c r="C58" s="73"/>
      <c r="D58" s="30"/>
      <c r="E58" s="30"/>
      <c r="F58" s="30"/>
      <c r="G58" s="74"/>
      <c r="H58" s="75"/>
      <c r="I58" s="29"/>
      <c r="J58" s="73"/>
      <c r="K58" s="30"/>
      <c r="L58" s="43" t="str">
        <f aca="false">IF(OR(ChangeLog[[#This Row],[Title]]="",N(ChangeLog[[#This Row],[Raised]])=0,AND(ChangeLog[[#This Row],[Status]]&lt;&gt;"Submitted",ChangeLog[[#This Row],[Status]]&lt;&gt;"Under Review")),"",MAX(0,StatusDate-ChangeLog[[#This Row],[Raised]]))</f>
        <v/>
      </c>
      <c r="M58" s="29"/>
      <c r="N58" s="24" t="str">
        <f aca="false">IF(N(ChangeLog[[#This Row],[Task UID]])=0,"",IFERROR(INDEX(tsk_Name,MATCH(ChangeLog[[#This Row],[Task UID]],tsk_UID,0)),"UID "&amp;ChangeLog[[#This Row],[Task UID]]&amp;" not found"))</f>
        <v/>
      </c>
    </row>
    <row r="59" customFormat="false" ht="15" hidden="false" customHeight="false" outlineLevel="0" collapsed="false">
      <c r="B59" s="29" t="n">
        <v>55</v>
      </c>
      <c r="C59" s="73"/>
      <c r="D59" s="30"/>
      <c r="E59" s="30"/>
      <c r="F59" s="30"/>
      <c r="G59" s="74"/>
      <c r="H59" s="75"/>
      <c r="I59" s="29"/>
      <c r="J59" s="73"/>
      <c r="K59" s="30"/>
      <c r="L59" s="43" t="str">
        <f aca="false">IF(OR(ChangeLog[[#This Row],[Title]]="",N(ChangeLog[[#This Row],[Raised]])=0,AND(ChangeLog[[#This Row],[Status]]&lt;&gt;"Submitted",ChangeLog[[#This Row],[Status]]&lt;&gt;"Under Review")),"",MAX(0,StatusDate-ChangeLog[[#This Row],[Raised]]))</f>
        <v/>
      </c>
      <c r="M59" s="29"/>
      <c r="N59" s="24" t="str">
        <f aca="false">IF(N(ChangeLog[[#This Row],[Task UID]])=0,"",IFERROR(INDEX(tsk_Name,MATCH(ChangeLog[[#This Row],[Task UID]],tsk_UID,0)),"UID "&amp;ChangeLog[[#This Row],[Task UID]]&amp;" not found"))</f>
        <v/>
      </c>
    </row>
    <row r="60" customFormat="false" ht="15" hidden="false" customHeight="false" outlineLevel="0" collapsed="false">
      <c r="B60" s="29" t="n">
        <v>56</v>
      </c>
      <c r="C60" s="73"/>
      <c r="D60" s="30"/>
      <c r="E60" s="30"/>
      <c r="F60" s="30"/>
      <c r="G60" s="74"/>
      <c r="H60" s="75"/>
      <c r="I60" s="29"/>
      <c r="J60" s="73"/>
      <c r="K60" s="30"/>
      <c r="L60" s="43" t="str">
        <f aca="false">IF(OR(ChangeLog[[#This Row],[Title]]="",N(ChangeLog[[#This Row],[Raised]])=0,AND(ChangeLog[[#This Row],[Status]]&lt;&gt;"Submitted",ChangeLog[[#This Row],[Status]]&lt;&gt;"Under Review")),"",MAX(0,StatusDate-ChangeLog[[#This Row],[Raised]]))</f>
        <v/>
      </c>
      <c r="M60" s="29"/>
      <c r="N60" s="24" t="str">
        <f aca="false">IF(N(ChangeLog[[#This Row],[Task UID]])=0,"",IFERROR(INDEX(tsk_Name,MATCH(ChangeLog[[#This Row],[Task UID]],tsk_UID,0)),"UID "&amp;ChangeLog[[#This Row],[Task UID]]&amp;" not found"))</f>
        <v/>
      </c>
    </row>
    <row r="61" customFormat="false" ht="15" hidden="false" customHeight="false" outlineLevel="0" collapsed="false">
      <c r="B61" s="29" t="n">
        <v>57</v>
      </c>
      <c r="C61" s="73"/>
      <c r="D61" s="30"/>
      <c r="E61" s="30"/>
      <c r="F61" s="30"/>
      <c r="G61" s="74"/>
      <c r="H61" s="75"/>
      <c r="I61" s="29"/>
      <c r="J61" s="73"/>
      <c r="K61" s="30"/>
      <c r="L61" s="43" t="str">
        <f aca="false">IF(OR(ChangeLog[[#This Row],[Title]]="",N(ChangeLog[[#This Row],[Raised]])=0,AND(ChangeLog[[#This Row],[Status]]&lt;&gt;"Submitted",ChangeLog[[#This Row],[Status]]&lt;&gt;"Under Review")),"",MAX(0,StatusDate-ChangeLog[[#This Row],[Raised]]))</f>
        <v/>
      </c>
      <c r="M61" s="29"/>
      <c r="N61" s="24" t="str">
        <f aca="false">IF(N(ChangeLog[[#This Row],[Task UID]])=0,"",IFERROR(INDEX(tsk_Name,MATCH(ChangeLog[[#This Row],[Task UID]],tsk_UID,0)),"UID "&amp;ChangeLog[[#This Row],[Task UID]]&amp;" not found"))</f>
        <v/>
      </c>
    </row>
    <row r="62" customFormat="false" ht="15" hidden="false" customHeight="false" outlineLevel="0" collapsed="false">
      <c r="B62" s="29" t="n">
        <v>58</v>
      </c>
      <c r="C62" s="73"/>
      <c r="D62" s="30"/>
      <c r="E62" s="30"/>
      <c r="F62" s="30"/>
      <c r="G62" s="74"/>
      <c r="H62" s="75"/>
      <c r="I62" s="29"/>
      <c r="J62" s="73"/>
      <c r="K62" s="30"/>
      <c r="L62" s="43" t="str">
        <f aca="false">IF(OR(ChangeLog[[#This Row],[Title]]="",N(ChangeLog[[#This Row],[Raised]])=0,AND(ChangeLog[[#This Row],[Status]]&lt;&gt;"Submitted",ChangeLog[[#This Row],[Status]]&lt;&gt;"Under Review")),"",MAX(0,StatusDate-ChangeLog[[#This Row],[Raised]]))</f>
        <v/>
      </c>
      <c r="M62" s="29"/>
      <c r="N62" s="24" t="str">
        <f aca="false">IF(N(ChangeLog[[#This Row],[Task UID]])=0,"",IFERROR(INDEX(tsk_Name,MATCH(ChangeLog[[#This Row],[Task UID]],tsk_UID,0)),"UID "&amp;ChangeLog[[#This Row],[Task UID]]&amp;" not found"))</f>
        <v/>
      </c>
    </row>
    <row r="63" customFormat="false" ht="15" hidden="false" customHeight="false" outlineLevel="0" collapsed="false">
      <c r="B63" s="29" t="n">
        <v>59</v>
      </c>
      <c r="C63" s="73"/>
      <c r="D63" s="30"/>
      <c r="E63" s="30"/>
      <c r="F63" s="30"/>
      <c r="G63" s="74"/>
      <c r="H63" s="75"/>
      <c r="I63" s="29"/>
      <c r="J63" s="73"/>
      <c r="K63" s="30"/>
      <c r="L63" s="43" t="str">
        <f aca="false">IF(OR(ChangeLog[[#This Row],[Title]]="",N(ChangeLog[[#This Row],[Raised]])=0,AND(ChangeLog[[#This Row],[Status]]&lt;&gt;"Submitted",ChangeLog[[#This Row],[Status]]&lt;&gt;"Under Review")),"",MAX(0,StatusDate-ChangeLog[[#This Row],[Raised]]))</f>
        <v/>
      </c>
      <c r="M63" s="29"/>
      <c r="N63" s="24" t="str">
        <f aca="false">IF(N(ChangeLog[[#This Row],[Task UID]])=0,"",IFERROR(INDEX(tsk_Name,MATCH(ChangeLog[[#This Row],[Task UID]],tsk_UID,0)),"UID "&amp;ChangeLog[[#This Row],[Task UID]]&amp;" not found"))</f>
        <v/>
      </c>
    </row>
    <row r="64" customFormat="false" ht="15" hidden="false" customHeight="false" outlineLevel="0" collapsed="false">
      <c r="B64" s="29" t="n">
        <v>60</v>
      </c>
      <c r="C64" s="73"/>
      <c r="D64" s="30"/>
      <c r="E64" s="30"/>
      <c r="F64" s="30"/>
      <c r="G64" s="74"/>
      <c r="H64" s="75"/>
      <c r="I64" s="29"/>
      <c r="J64" s="73"/>
      <c r="K64" s="30"/>
      <c r="L64" s="43" t="str">
        <f aca="false">IF(OR(ChangeLog[[#This Row],[Title]]="",N(ChangeLog[[#This Row],[Raised]])=0,AND(ChangeLog[[#This Row],[Status]]&lt;&gt;"Submitted",ChangeLog[[#This Row],[Status]]&lt;&gt;"Under Review")),"",MAX(0,StatusDate-ChangeLog[[#This Row],[Raised]]))</f>
        <v/>
      </c>
      <c r="M64" s="29"/>
      <c r="N64" s="24" t="str">
        <f aca="false">IF(N(ChangeLog[[#This Row],[Task UID]])=0,"",IFERROR(INDEX(tsk_Name,MATCH(ChangeLog[[#This Row],[Task UID]],tsk_UID,0)),"UID "&amp;ChangeLog[[#This Row],[Task UID]]&amp;" not found"))</f>
        <v/>
      </c>
    </row>
    <row r="65" customFormat="false" ht="15" hidden="false" customHeight="false" outlineLevel="0" collapsed="false">
      <c r="B65" s="29" t="n">
        <v>61</v>
      </c>
      <c r="C65" s="73"/>
      <c r="D65" s="30"/>
      <c r="E65" s="30"/>
      <c r="F65" s="30"/>
      <c r="G65" s="74"/>
      <c r="H65" s="75"/>
      <c r="I65" s="29"/>
      <c r="J65" s="73"/>
      <c r="K65" s="30"/>
      <c r="L65" s="43" t="str">
        <f aca="false">IF(OR(ChangeLog[[#This Row],[Title]]="",N(ChangeLog[[#This Row],[Raised]])=0,AND(ChangeLog[[#This Row],[Status]]&lt;&gt;"Submitted",ChangeLog[[#This Row],[Status]]&lt;&gt;"Under Review")),"",MAX(0,StatusDate-ChangeLog[[#This Row],[Raised]]))</f>
        <v/>
      </c>
      <c r="M65" s="29"/>
      <c r="N65" s="24" t="str">
        <f aca="false">IF(N(ChangeLog[[#This Row],[Task UID]])=0,"",IFERROR(INDEX(tsk_Name,MATCH(ChangeLog[[#This Row],[Task UID]],tsk_UID,0)),"UID "&amp;ChangeLog[[#This Row],[Task UID]]&amp;" not found"))</f>
        <v/>
      </c>
    </row>
    <row r="66" customFormat="false" ht="15" hidden="false" customHeight="false" outlineLevel="0" collapsed="false">
      <c r="B66" s="29" t="n">
        <v>62</v>
      </c>
      <c r="C66" s="73"/>
      <c r="D66" s="30"/>
      <c r="E66" s="30"/>
      <c r="F66" s="30"/>
      <c r="G66" s="74"/>
      <c r="H66" s="75"/>
      <c r="I66" s="29"/>
      <c r="J66" s="73"/>
      <c r="K66" s="30"/>
      <c r="L66" s="43" t="str">
        <f aca="false">IF(OR(ChangeLog[[#This Row],[Title]]="",N(ChangeLog[[#This Row],[Raised]])=0,AND(ChangeLog[[#This Row],[Status]]&lt;&gt;"Submitted",ChangeLog[[#This Row],[Status]]&lt;&gt;"Under Review")),"",MAX(0,StatusDate-ChangeLog[[#This Row],[Raised]]))</f>
        <v/>
      </c>
      <c r="M66" s="29"/>
      <c r="N66" s="24" t="str">
        <f aca="false">IF(N(ChangeLog[[#This Row],[Task UID]])=0,"",IFERROR(INDEX(tsk_Name,MATCH(ChangeLog[[#This Row],[Task UID]],tsk_UID,0)),"UID "&amp;ChangeLog[[#This Row],[Task UID]]&amp;" not found"))</f>
        <v/>
      </c>
    </row>
    <row r="67" customFormat="false" ht="15" hidden="false" customHeight="false" outlineLevel="0" collapsed="false">
      <c r="B67" s="29" t="n">
        <v>63</v>
      </c>
      <c r="C67" s="73"/>
      <c r="D67" s="30"/>
      <c r="E67" s="30"/>
      <c r="F67" s="30"/>
      <c r="G67" s="74"/>
      <c r="H67" s="75"/>
      <c r="I67" s="29"/>
      <c r="J67" s="73"/>
      <c r="K67" s="30"/>
      <c r="L67" s="43" t="str">
        <f aca="false">IF(OR(ChangeLog[[#This Row],[Title]]="",N(ChangeLog[[#This Row],[Raised]])=0,AND(ChangeLog[[#This Row],[Status]]&lt;&gt;"Submitted",ChangeLog[[#This Row],[Status]]&lt;&gt;"Under Review")),"",MAX(0,StatusDate-ChangeLog[[#This Row],[Raised]]))</f>
        <v/>
      </c>
      <c r="M67" s="29"/>
      <c r="N67" s="24" t="str">
        <f aca="false">IF(N(ChangeLog[[#This Row],[Task UID]])=0,"",IFERROR(INDEX(tsk_Name,MATCH(ChangeLog[[#This Row],[Task UID]],tsk_UID,0)),"UID "&amp;ChangeLog[[#This Row],[Task UID]]&amp;" not found"))</f>
        <v/>
      </c>
    </row>
    <row r="68" customFormat="false" ht="15" hidden="false" customHeight="false" outlineLevel="0" collapsed="false">
      <c r="B68" s="29" t="n">
        <v>64</v>
      </c>
      <c r="C68" s="73"/>
      <c r="D68" s="30"/>
      <c r="E68" s="30"/>
      <c r="F68" s="30"/>
      <c r="G68" s="74"/>
      <c r="H68" s="75"/>
      <c r="I68" s="29"/>
      <c r="J68" s="73"/>
      <c r="K68" s="30"/>
      <c r="L68" s="43" t="str">
        <f aca="false">IF(OR(ChangeLog[[#This Row],[Title]]="",N(ChangeLog[[#This Row],[Raised]])=0,AND(ChangeLog[[#This Row],[Status]]&lt;&gt;"Submitted",ChangeLog[[#This Row],[Status]]&lt;&gt;"Under Review")),"",MAX(0,StatusDate-ChangeLog[[#This Row],[Raised]]))</f>
        <v/>
      </c>
      <c r="M68" s="29"/>
      <c r="N68" s="24" t="str">
        <f aca="false">IF(N(ChangeLog[[#This Row],[Task UID]])=0,"",IFERROR(INDEX(tsk_Name,MATCH(ChangeLog[[#This Row],[Task UID]],tsk_UID,0)),"UID "&amp;ChangeLog[[#This Row],[Task UID]]&amp;" not found"))</f>
        <v/>
      </c>
    </row>
    <row r="69" customFormat="false" ht="15" hidden="false" customHeight="false" outlineLevel="0" collapsed="false">
      <c r="B69" s="29" t="n">
        <v>65</v>
      </c>
      <c r="C69" s="73"/>
      <c r="D69" s="30"/>
      <c r="E69" s="30"/>
      <c r="F69" s="30"/>
      <c r="G69" s="74"/>
      <c r="H69" s="75"/>
      <c r="I69" s="29"/>
      <c r="J69" s="73"/>
      <c r="K69" s="30"/>
      <c r="L69" s="43" t="str">
        <f aca="false">IF(OR(ChangeLog[[#This Row],[Title]]="",N(ChangeLog[[#This Row],[Raised]])=0,AND(ChangeLog[[#This Row],[Status]]&lt;&gt;"Submitted",ChangeLog[[#This Row],[Status]]&lt;&gt;"Under Review")),"",MAX(0,StatusDate-ChangeLog[[#This Row],[Raised]]))</f>
        <v/>
      </c>
      <c r="M69" s="29"/>
      <c r="N69" s="24" t="str">
        <f aca="false">IF(N(ChangeLog[[#This Row],[Task UID]])=0,"",IFERROR(INDEX(tsk_Name,MATCH(ChangeLog[[#This Row],[Task UID]],tsk_UID,0)),"UID "&amp;ChangeLog[[#This Row],[Task UID]]&amp;" not found"))</f>
        <v/>
      </c>
    </row>
    <row r="70" customFormat="false" ht="15" hidden="false" customHeight="false" outlineLevel="0" collapsed="false">
      <c r="B70" s="29" t="n">
        <v>66</v>
      </c>
      <c r="C70" s="73"/>
      <c r="D70" s="30"/>
      <c r="E70" s="30"/>
      <c r="F70" s="30"/>
      <c r="G70" s="74"/>
      <c r="H70" s="75"/>
      <c r="I70" s="29"/>
      <c r="J70" s="73"/>
      <c r="K70" s="30"/>
      <c r="L70" s="43" t="str">
        <f aca="false">IF(OR(ChangeLog[[#This Row],[Title]]="",N(ChangeLog[[#This Row],[Raised]])=0,AND(ChangeLog[[#This Row],[Status]]&lt;&gt;"Submitted",ChangeLog[[#This Row],[Status]]&lt;&gt;"Under Review")),"",MAX(0,StatusDate-ChangeLog[[#This Row],[Raised]]))</f>
        <v/>
      </c>
      <c r="M70" s="29"/>
      <c r="N70" s="24" t="str">
        <f aca="false">IF(N(ChangeLog[[#This Row],[Task UID]])=0,"",IFERROR(INDEX(tsk_Name,MATCH(ChangeLog[[#This Row],[Task UID]],tsk_UID,0)),"UID "&amp;ChangeLog[[#This Row],[Task UID]]&amp;" not found"))</f>
        <v/>
      </c>
    </row>
    <row r="71" customFormat="false" ht="15" hidden="false" customHeight="false" outlineLevel="0" collapsed="false">
      <c r="B71" s="29" t="n">
        <v>67</v>
      </c>
      <c r="C71" s="73"/>
      <c r="D71" s="30"/>
      <c r="E71" s="30"/>
      <c r="F71" s="30"/>
      <c r="G71" s="74"/>
      <c r="H71" s="75"/>
      <c r="I71" s="29"/>
      <c r="J71" s="73"/>
      <c r="K71" s="30"/>
      <c r="L71" s="43" t="str">
        <f aca="false">IF(OR(ChangeLog[[#This Row],[Title]]="",N(ChangeLog[[#This Row],[Raised]])=0,AND(ChangeLog[[#This Row],[Status]]&lt;&gt;"Submitted",ChangeLog[[#This Row],[Status]]&lt;&gt;"Under Review")),"",MAX(0,StatusDate-ChangeLog[[#This Row],[Raised]]))</f>
        <v/>
      </c>
      <c r="M71" s="29"/>
      <c r="N71" s="24" t="str">
        <f aca="false">IF(N(ChangeLog[[#This Row],[Task UID]])=0,"",IFERROR(INDEX(tsk_Name,MATCH(ChangeLog[[#This Row],[Task UID]],tsk_UID,0)),"UID "&amp;ChangeLog[[#This Row],[Task UID]]&amp;" not found"))</f>
        <v/>
      </c>
    </row>
    <row r="72" customFormat="false" ht="15" hidden="false" customHeight="false" outlineLevel="0" collapsed="false">
      <c r="B72" s="29" t="n">
        <v>68</v>
      </c>
      <c r="C72" s="73"/>
      <c r="D72" s="30"/>
      <c r="E72" s="30"/>
      <c r="F72" s="30"/>
      <c r="G72" s="74"/>
      <c r="H72" s="75"/>
      <c r="I72" s="29"/>
      <c r="J72" s="73"/>
      <c r="K72" s="30"/>
      <c r="L72" s="43" t="str">
        <f aca="false">IF(OR(ChangeLog[[#This Row],[Title]]="",N(ChangeLog[[#This Row],[Raised]])=0,AND(ChangeLog[[#This Row],[Status]]&lt;&gt;"Submitted",ChangeLog[[#This Row],[Status]]&lt;&gt;"Under Review")),"",MAX(0,StatusDate-ChangeLog[[#This Row],[Raised]]))</f>
        <v/>
      </c>
      <c r="M72" s="29"/>
      <c r="N72" s="24" t="str">
        <f aca="false">IF(N(ChangeLog[[#This Row],[Task UID]])=0,"",IFERROR(INDEX(tsk_Name,MATCH(ChangeLog[[#This Row],[Task UID]],tsk_UID,0)),"UID "&amp;ChangeLog[[#This Row],[Task UID]]&amp;" not found"))</f>
        <v/>
      </c>
    </row>
    <row r="73" customFormat="false" ht="15" hidden="false" customHeight="false" outlineLevel="0" collapsed="false">
      <c r="B73" s="29" t="n">
        <v>69</v>
      </c>
      <c r="C73" s="73"/>
      <c r="D73" s="30"/>
      <c r="E73" s="30"/>
      <c r="F73" s="30"/>
      <c r="G73" s="74"/>
      <c r="H73" s="75"/>
      <c r="I73" s="29"/>
      <c r="J73" s="73"/>
      <c r="K73" s="30"/>
      <c r="L73" s="43" t="str">
        <f aca="false">IF(OR(ChangeLog[[#This Row],[Title]]="",N(ChangeLog[[#This Row],[Raised]])=0,AND(ChangeLog[[#This Row],[Status]]&lt;&gt;"Submitted",ChangeLog[[#This Row],[Status]]&lt;&gt;"Under Review")),"",MAX(0,StatusDate-ChangeLog[[#This Row],[Raised]]))</f>
        <v/>
      </c>
      <c r="M73" s="29"/>
      <c r="N73" s="24" t="str">
        <f aca="false">IF(N(ChangeLog[[#This Row],[Task UID]])=0,"",IFERROR(INDEX(tsk_Name,MATCH(ChangeLog[[#This Row],[Task UID]],tsk_UID,0)),"UID "&amp;ChangeLog[[#This Row],[Task UID]]&amp;" not found"))</f>
        <v/>
      </c>
    </row>
    <row r="74" customFormat="false" ht="15" hidden="false" customHeight="false" outlineLevel="0" collapsed="false">
      <c r="B74" s="29" t="n">
        <v>70</v>
      </c>
      <c r="C74" s="73"/>
      <c r="D74" s="30"/>
      <c r="E74" s="30"/>
      <c r="F74" s="30"/>
      <c r="G74" s="74"/>
      <c r="H74" s="75"/>
      <c r="I74" s="29"/>
      <c r="J74" s="73"/>
      <c r="K74" s="30"/>
      <c r="L74" s="43" t="str">
        <f aca="false">IF(OR(ChangeLog[[#This Row],[Title]]="",N(ChangeLog[[#This Row],[Raised]])=0,AND(ChangeLog[[#This Row],[Status]]&lt;&gt;"Submitted",ChangeLog[[#This Row],[Status]]&lt;&gt;"Under Review")),"",MAX(0,StatusDate-ChangeLog[[#This Row],[Raised]]))</f>
        <v/>
      </c>
      <c r="M74" s="29"/>
      <c r="N74" s="24" t="str">
        <f aca="false">IF(N(ChangeLog[[#This Row],[Task UID]])=0,"",IFERROR(INDEX(tsk_Name,MATCH(ChangeLog[[#This Row],[Task UID]],tsk_UID,0)),"UID "&amp;ChangeLog[[#This Row],[Task UID]]&amp;" not found"))</f>
        <v/>
      </c>
    </row>
    <row r="75" customFormat="false" ht="15" hidden="false" customHeight="false" outlineLevel="0" collapsed="false">
      <c r="B75" s="29" t="n">
        <v>71</v>
      </c>
      <c r="C75" s="73"/>
      <c r="D75" s="30"/>
      <c r="E75" s="30"/>
      <c r="F75" s="30"/>
      <c r="G75" s="74"/>
      <c r="H75" s="75"/>
      <c r="I75" s="29"/>
      <c r="J75" s="73"/>
      <c r="K75" s="30"/>
      <c r="L75" s="43" t="str">
        <f aca="false">IF(OR(ChangeLog[[#This Row],[Title]]="",N(ChangeLog[[#This Row],[Raised]])=0,AND(ChangeLog[[#This Row],[Status]]&lt;&gt;"Submitted",ChangeLog[[#This Row],[Status]]&lt;&gt;"Under Review")),"",MAX(0,StatusDate-ChangeLog[[#This Row],[Raised]]))</f>
        <v/>
      </c>
      <c r="M75" s="29"/>
      <c r="N75" s="24" t="str">
        <f aca="false">IF(N(ChangeLog[[#This Row],[Task UID]])=0,"",IFERROR(INDEX(tsk_Name,MATCH(ChangeLog[[#This Row],[Task UID]],tsk_UID,0)),"UID "&amp;ChangeLog[[#This Row],[Task UID]]&amp;" not found"))</f>
        <v/>
      </c>
    </row>
    <row r="76" customFormat="false" ht="15" hidden="false" customHeight="false" outlineLevel="0" collapsed="false">
      <c r="B76" s="29" t="n">
        <v>72</v>
      </c>
      <c r="C76" s="73"/>
      <c r="D76" s="30"/>
      <c r="E76" s="30"/>
      <c r="F76" s="30"/>
      <c r="G76" s="74"/>
      <c r="H76" s="75"/>
      <c r="I76" s="29"/>
      <c r="J76" s="73"/>
      <c r="K76" s="30"/>
      <c r="L76" s="43" t="str">
        <f aca="false">IF(OR(ChangeLog[[#This Row],[Title]]="",N(ChangeLog[[#This Row],[Raised]])=0,AND(ChangeLog[[#This Row],[Status]]&lt;&gt;"Submitted",ChangeLog[[#This Row],[Status]]&lt;&gt;"Under Review")),"",MAX(0,StatusDate-ChangeLog[[#This Row],[Raised]]))</f>
        <v/>
      </c>
      <c r="M76" s="29"/>
      <c r="N76" s="24" t="str">
        <f aca="false">IF(N(ChangeLog[[#This Row],[Task UID]])=0,"",IFERROR(INDEX(tsk_Name,MATCH(ChangeLog[[#This Row],[Task UID]],tsk_UID,0)),"UID "&amp;ChangeLog[[#This Row],[Task UID]]&amp;" not found"))</f>
        <v/>
      </c>
    </row>
    <row r="77" customFormat="false" ht="15" hidden="false" customHeight="false" outlineLevel="0" collapsed="false">
      <c r="B77" s="29" t="n">
        <v>73</v>
      </c>
      <c r="C77" s="73"/>
      <c r="D77" s="30"/>
      <c r="E77" s="30"/>
      <c r="F77" s="30"/>
      <c r="G77" s="74"/>
      <c r="H77" s="75"/>
      <c r="I77" s="29"/>
      <c r="J77" s="73"/>
      <c r="K77" s="30"/>
      <c r="L77" s="43" t="str">
        <f aca="false">IF(OR(ChangeLog[[#This Row],[Title]]="",N(ChangeLog[[#This Row],[Raised]])=0,AND(ChangeLog[[#This Row],[Status]]&lt;&gt;"Submitted",ChangeLog[[#This Row],[Status]]&lt;&gt;"Under Review")),"",MAX(0,StatusDate-ChangeLog[[#This Row],[Raised]]))</f>
        <v/>
      </c>
      <c r="M77" s="29"/>
      <c r="N77" s="24" t="str">
        <f aca="false">IF(N(ChangeLog[[#This Row],[Task UID]])=0,"",IFERROR(INDEX(tsk_Name,MATCH(ChangeLog[[#This Row],[Task UID]],tsk_UID,0)),"UID "&amp;ChangeLog[[#This Row],[Task UID]]&amp;" not found"))</f>
        <v/>
      </c>
    </row>
    <row r="78" customFormat="false" ht="15" hidden="false" customHeight="false" outlineLevel="0" collapsed="false">
      <c r="B78" s="29" t="n">
        <v>74</v>
      </c>
      <c r="C78" s="73"/>
      <c r="D78" s="30"/>
      <c r="E78" s="30"/>
      <c r="F78" s="30"/>
      <c r="G78" s="74"/>
      <c r="H78" s="75"/>
      <c r="I78" s="29"/>
      <c r="J78" s="73"/>
      <c r="K78" s="30"/>
      <c r="L78" s="43" t="str">
        <f aca="false">IF(OR(ChangeLog[[#This Row],[Title]]="",N(ChangeLog[[#This Row],[Raised]])=0,AND(ChangeLog[[#This Row],[Status]]&lt;&gt;"Submitted",ChangeLog[[#This Row],[Status]]&lt;&gt;"Under Review")),"",MAX(0,StatusDate-ChangeLog[[#This Row],[Raised]]))</f>
        <v/>
      </c>
      <c r="M78" s="29"/>
      <c r="N78" s="24" t="str">
        <f aca="false">IF(N(ChangeLog[[#This Row],[Task UID]])=0,"",IFERROR(INDEX(tsk_Name,MATCH(ChangeLog[[#This Row],[Task UID]],tsk_UID,0)),"UID "&amp;ChangeLog[[#This Row],[Task UID]]&amp;" not found"))</f>
        <v/>
      </c>
    </row>
    <row r="79" customFormat="false" ht="15" hidden="false" customHeight="false" outlineLevel="0" collapsed="false">
      <c r="B79" s="29" t="n">
        <v>75</v>
      </c>
      <c r="C79" s="73"/>
      <c r="D79" s="30"/>
      <c r="E79" s="30"/>
      <c r="F79" s="30"/>
      <c r="G79" s="74"/>
      <c r="H79" s="75"/>
      <c r="I79" s="29"/>
      <c r="J79" s="73"/>
      <c r="K79" s="30"/>
      <c r="L79" s="43" t="str">
        <f aca="false">IF(OR(ChangeLog[[#This Row],[Title]]="",N(ChangeLog[[#This Row],[Raised]])=0,AND(ChangeLog[[#This Row],[Status]]&lt;&gt;"Submitted",ChangeLog[[#This Row],[Status]]&lt;&gt;"Under Review")),"",MAX(0,StatusDate-ChangeLog[[#This Row],[Raised]]))</f>
        <v/>
      </c>
      <c r="M79" s="29"/>
      <c r="N79" s="24" t="str">
        <f aca="false">IF(N(ChangeLog[[#This Row],[Task UID]])=0,"",IFERROR(INDEX(tsk_Name,MATCH(ChangeLog[[#This Row],[Task UID]],tsk_UID,0)),"UID "&amp;ChangeLog[[#This Row],[Task UID]]&amp;" not found"))</f>
        <v/>
      </c>
    </row>
    <row r="80" customFormat="false" ht="15" hidden="false" customHeight="false" outlineLevel="0" collapsed="false">
      <c r="B80" s="29" t="n">
        <v>76</v>
      </c>
      <c r="C80" s="73"/>
      <c r="D80" s="30"/>
      <c r="E80" s="30"/>
      <c r="F80" s="30"/>
      <c r="G80" s="74"/>
      <c r="H80" s="75"/>
      <c r="I80" s="29"/>
      <c r="J80" s="73"/>
      <c r="K80" s="30"/>
      <c r="L80" s="43" t="str">
        <f aca="false">IF(OR(ChangeLog[[#This Row],[Title]]="",N(ChangeLog[[#This Row],[Raised]])=0,AND(ChangeLog[[#This Row],[Status]]&lt;&gt;"Submitted",ChangeLog[[#This Row],[Status]]&lt;&gt;"Under Review")),"",MAX(0,StatusDate-ChangeLog[[#This Row],[Raised]]))</f>
        <v/>
      </c>
      <c r="M80" s="29"/>
      <c r="N80" s="24" t="str">
        <f aca="false">IF(N(ChangeLog[[#This Row],[Task UID]])=0,"",IFERROR(INDEX(tsk_Name,MATCH(ChangeLog[[#This Row],[Task UID]],tsk_UID,0)),"UID "&amp;ChangeLog[[#This Row],[Task UID]]&amp;" not found"))</f>
        <v/>
      </c>
    </row>
    <row r="81" customFormat="false" ht="15" hidden="false" customHeight="false" outlineLevel="0" collapsed="false">
      <c r="B81" s="29" t="n">
        <v>77</v>
      </c>
      <c r="C81" s="73"/>
      <c r="D81" s="30"/>
      <c r="E81" s="30"/>
      <c r="F81" s="30"/>
      <c r="G81" s="74"/>
      <c r="H81" s="75"/>
      <c r="I81" s="29"/>
      <c r="J81" s="73"/>
      <c r="K81" s="30"/>
      <c r="L81" s="43" t="str">
        <f aca="false">IF(OR(ChangeLog[[#This Row],[Title]]="",N(ChangeLog[[#This Row],[Raised]])=0,AND(ChangeLog[[#This Row],[Status]]&lt;&gt;"Submitted",ChangeLog[[#This Row],[Status]]&lt;&gt;"Under Review")),"",MAX(0,StatusDate-ChangeLog[[#This Row],[Raised]]))</f>
        <v/>
      </c>
      <c r="M81" s="29"/>
      <c r="N81" s="24" t="str">
        <f aca="false">IF(N(ChangeLog[[#This Row],[Task UID]])=0,"",IFERROR(INDEX(tsk_Name,MATCH(ChangeLog[[#This Row],[Task UID]],tsk_UID,0)),"UID "&amp;ChangeLog[[#This Row],[Task UID]]&amp;" not found"))</f>
        <v/>
      </c>
    </row>
    <row r="82" customFormat="false" ht="15" hidden="false" customHeight="false" outlineLevel="0" collapsed="false">
      <c r="B82" s="29" t="n">
        <v>78</v>
      </c>
      <c r="C82" s="73"/>
      <c r="D82" s="30"/>
      <c r="E82" s="30"/>
      <c r="F82" s="30"/>
      <c r="G82" s="74"/>
      <c r="H82" s="75"/>
      <c r="I82" s="29"/>
      <c r="J82" s="73"/>
      <c r="K82" s="30"/>
      <c r="L82" s="43" t="str">
        <f aca="false">IF(OR(ChangeLog[[#This Row],[Title]]="",N(ChangeLog[[#This Row],[Raised]])=0,AND(ChangeLog[[#This Row],[Status]]&lt;&gt;"Submitted",ChangeLog[[#This Row],[Status]]&lt;&gt;"Under Review")),"",MAX(0,StatusDate-ChangeLog[[#This Row],[Raised]]))</f>
        <v/>
      </c>
      <c r="M82" s="29"/>
      <c r="N82" s="24" t="str">
        <f aca="false">IF(N(ChangeLog[[#This Row],[Task UID]])=0,"",IFERROR(INDEX(tsk_Name,MATCH(ChangeLog[[#This Row],[Task UID]],tsk_UID,0)),"UID "&amp;ChangeLog[[#This Row],[Task UID]]&amp;" not found"))</f>
        <v/>
      </c>
    </row>
    <row r="83" customFormat="false" ht="15" hidden="false" customHeight="false" outlineLevel="0" collapsed="false">
      <c r="B83" s="29" t="n">
        <v>79</v>
      </c>
      <c r="C83" s="73"/>
      <c r="D83" s="30"/>
      <c r="E83" s="30"/>
      <c r="F83" s="30"/>
      <c r="G83" s="74"/>
      <c r="H83" s="75"/>
      <c r="I83" s="29"/>
      <c r="J83" s="73"/>
      <c r="K83" s="30"/>
      <c r="L83" s="43" t="str">
        <f aca="false">IF(OR(ChangeLog[[#This Row],[Title]]="",N(ChangeLog[[#This Row],[Raised]])=0,AND(ChangeLog[[#This Row],[Status]]&lt;&gt;"Submitted",ChangeLog[[#This Row],[Status]]&lt;&gt;"Under Review")),"",MAX(0,StatusDate-ChangeLog[[#This Row],[Raised]]))</f>
        <v/>
      </c>
      <c r="M83" s="29"/>
      <c r="N83" s="24" t="str">
        <f aca="false">IF(N(ChangeLog[[#This Row],[Task UID]])=0,"",IFERROR(INDEX(tsk_Name,MATCH(ChangeLog[[#This Row],[Task UID]],tsk_UID,0)),"UID "&amp;ChangeLog[[#This Row],[Task UID]]&amp;" not found"))</f>
        <v/>
      </c>
    </row>
    <row r="84" customFormat="false" ht="15" hidden="false" customHeight="false" outlineLevel="0" collapsed="false">
      <c r="B84" s="29" t="n">
        <v>80</v>
      </c>
      <c r="C84" s="73"/>
      <c r="D84" s="30"/>
      <c r="E84" s="30"/>
      <c r="F84" s="30"/>
      <c r="G84" s="74"/>
      <c r="H84" s="75"/>
      <c r="I84" s="29"/>
      <c r="J84" s="73"/>
      <c r="K84" s="30"/>
      <c r="L84" s="43" t="str">
        <f aca="false">IF(OR(ChangeLog[[#This Row],[Title]]="",N(ChangeLog[[#This Row],[Raised]])=0,AND(ChangeLog[[#This Row],[Status]]&lt;&gt;"Submitted",ChangeLog[[#This Row],[Status]]&lt;&gt;"Under Review")),"",MAX(0,StatusDate-ChangeLog[[#This Row],[Raised]]))</f>
        <v/>
      </c>
      <c r="M84" s="29"/>
      <c r="N84" s="24" t="str">
        <f aca="false">IF(N(ChangeLog[[#This Row],[Task UID]])=0,"",IFERROR(INDEX(tsk_Name,MATCH(ChangeLog[[#This Row],[Task UID]],tsk_UID,0)),"UID "&amp;ChangeLog[[#This Row],[Task UID]]&amp;" not found"))</f>
        <v/>
      </c>
    </row>
    <row r="85" customFormat="false" ht="15" hidden="false" customHeight="false" outlineLevel="0" collapsed="false">
      <c r="B85" s="29" t="n">
        <v>81</v>
      </c>
      <c r="C85" s="73"/>
      <c r="D85" s="30"/>
      <c r="E85" s="30"/>
      <c r="F85" s="30"/>
      <c r="G85" s="74"/>
      <c r="H85" s="75"/>
      <c r="I85" s="29"/>
      <c r="J85" s="73"/>
      <c r="K85" s="30"/>
      <c r="L85" s="43" t="str">
        <f aca="false">IF(OR(ChangeLog[[#This Row],[Title]]="",N(ChangeLog[[#This Row],[Raised]])=0,AND(ChangeLog[[#This Row],[Status]]&lt;&gt;"Submitted",ChangeLog[[#This Row],[Status]]&lt;&gt;"Under Review")),"",MAX(0,StatusDate-ChangeLog[[#This Row],[Raised]]))</f>
        <v/>
      </c>
      <c r="M85" s="29"/>
      <c r="N85" s="24" t="str">
        <f aca="false">IF(N(ChangeLog[[#This Row],[Task UID]])=0,"",IFERROR(INDEX(tsk_Name,MATCH(ChangeLog[[#This Row],[Task UID]],tsk_UID,0)),"UID "&amp;ChangeLog[[#This Row],[Task UID]]&amp;" not found"))</f>
        <v/>
      </c>
    </row>
    <row r="86" customFormat="false" ht="15" hidden="false" customHeight="false" outlineLevel="0" collapsed="false">
      <c r="B86" s="29" t="n">
        <v>82</v>
      </c>
      <c r="C86" s="73"/>
      <c r="D86" s="30"/>
      <c r="E86" s="30"/>
      <c r="F86" s="30"/>
      <c r="G86" s="74"/>
      <c r="H86" s="75"/>
      <c r="I86" s="29"/>
      <c r="J86" s="73"/>
      <c r="K86" s="30"/>
      <c r="L86" s="43" t="str">
        <f aca="false">IF(OR(ChangeLog[[#This Row],[Title]]="",N(ChangeLog[[#This Row],[Raised]])=0,AND(ChangeLog[[#This Row],[Status]]&lt;&gt;"Submitted",ChangeLog[[#This Row],[Status]]&lt;&gt;"Under Review")),"",MAX(0,StatusDate-ChangeLog[[#This Row],[Raised]]))</f>
        <v/>
      </c>
      <c r="M86" s="29"/>
      <c r="N86" s="24" t="str">
        <f aca="false">IF(N(ChangeLog[[#This Row],[Task UID]])=0,"",IFERROR(INDEX(tsk_Name,MATCH(ChangeLog[[#This Row],[Task UID]],tsk_UID,0)),"UID "&amp;ChangeLog[[#This Row],[Task UID]]&amp;" not found"))</f>
        <v/>
      </c>
    </row>
    <row r="87" customFormat="false" ht="15" hidden="false" customHeight="false" outlineLevel="0" collapsed="false">
      <c r="B87" s="29" t="n">
        <v>83</v>
      </c>
      <c r="C87" s="73"/>
      <c r="D87" s="30"/>
      <c r="E87" s="30"/>
      <c r="F87" s="30"/>
      <c r="G87" s="74"/>
      <c r="H87" s="75"/>
      <c r="I87" s="29"/>
      <c r="J87" s="73"/>
      <c r="K87" s="30"/>
      <c r="L87" s="43" t="str">
        <f aca="false">IF(OR(ChangeLog[[#This Row],[Title]]="",N(ChangeLog[[#This Row],[Raised]])=0,AND(ChangeLog[[#This Row],[Status]]&lt;&gt;"Submitted",ChangeLog[[#This Row],[Status]]&lt;&gt;"Under Review")),"",MAX(0,StatusDate-ChangeLog[[#This Row],[Raised]]))</f>
        <v/>
      </c>
      <c r="M87" s="29"/>
      <c r="N87" s="24" t="str">
        <f aca="false">IF(N(ChangeLog[[#This Row],[Task UID]])=0,"",IFERROR(INDEX(tsk_Name,MATCH(ChangeLog[[#This Row],[Task UID]],tsk_UID,0)),"UID "&amp;ChangeLog[[#This Row],[Task UID]]&amp;" not found"))</f>
        <v/>
      </c>
    </row>
    <row r="88" customFormat="false" ht="15" hidden="false" customHeight="false" outlineLevel="0" collapsed="false">
      <c r="B88" s="29" t="n">
        <v>84</v>
      </c>
      <c r="C88" s="73"/>
      <c r="D88" s="30"/>
      <c r="E88" s="30"/>
      <c r="F88" s="30"/>
      <c r="G88" s="74"/>
      <c r="H88" s="75"/>
      <c r="I88" s="29"/>
      <c r="J88" s="73"/>
      <c r="K88" s="30"/>
      <c r="L88" s="43" t="str">
        <f aca="false">IF(OR(ChangeLog[[#This Row],[Title]]="",N(ChangeLog[[#This Row],[Raised]])=0,AND(ChangeLog[[#This Row],[Status]]&lt;&gt;"Submitted",ChangeLog[[#This Row],[Status]]&lt;&gt;"Under Review")),"",MAX(0,StatusDate-ChangeLog[[#This Row],[Raised]]))</f>
        <v/>
      </c>
      <c r="M88" s="29"/>
      <c r="N88" s="24" t="str">
        <f aca="false">IF(N(ChangeLog[[#This Row],[Task UID]])=0,"",IFERROR(INDEX(tsk_Name,MATCH(ChangeLog[[#This Row],[Task UID]],tsk_UID,0)),"UID "&amp;ChangeLog[[#This Row],[Task UID]]&amp;" not found"))</f>
        <v/>
      </c>
    </row>
    <row r="89" customFormat="false" ht="15" hidden="false" customHeight="false" outlineLevel="0" collapsed="false">
      <c r="B89" s="29" t="n">
        <v>85</v>
      </c>
      <c r="C89" s="73"/>
      <c r="D89" s="30"/>
      <c r="E89" s="30"/>
      <c r="F89" s="30"/>
      <c r="G89" s="74"/>
      <c r="H89" s="75"/>
      <c r="I89" s="29"/>
      <c r="J89" s="73"/>
      <c r="K89" s="30"/>
      <c r="L89" s="43" t="str">
        <f aca="false">IF(OR(ChangeLog[[#This Row],[Title]]="",N(ChangeLog[[#This Row],[Raised]])=0,AND(ChangeLog[[#This Row],[Status]]&lt;&gt;"Submitted",ChangeLog[[#This Row],[Status]]&lt;&gt;"Under Review")),"",MAX(0,StatusDate-ChangeLog[[#This Row],[Raised]]))</f>
        <v/>
      </c>
      <c r="M89" s="29"/>
      <c r="N89" s="24" t="str">
        <f aca="false">IF(N(ChangeLog[[#This Row],[Task UID]])=0,"",IFERROR(INDEX(tsk_Name,MATCH(ChangeLog[[#This Row],[Task UID]],tsk_UID,0)),"UID "&amp;ChangeLog[[#This Row],[Task UID]]&amp;" not found"))</f>
        <v/>
      </c>
    </row>
    <row r="90" customFormat="false" ht="15" hidden="false" customHeight="false" outlineLevel="0" collapsed="false">
      <c r="B90" s="29" t="n">
        <v>86</v>
      </c>
      <c r="C90" s="73"/>
      <c r="D90" s="30"/>
      <c r="E90" s="30"/>
      <c r="F90" s="30"/>
      <c r="G90" s="74"/>
      <c r="H90" s="75"/>
      <c r="I90" s="29"/>
      <c r="J90" s="73"/>
      <c r="K90" s="30"/>
      <c r="L90" s="43" t="str">
        <f aca="false">IF(OR(ChangeLog[[#This Row],[Title]]="",N(ChangeLog[[#This Row],[Raised]])=0,AND(ChangeLog[[#This Row],[Status]]&lt;&gt;"Submitted",ChangeLog[[#This Row],[Status]]&lt;&gt;"Under Review")),"",MAX(0,StatusDate-ChangeLog[[#This Row],[Raised]]))</f>
        <v/>
      </c>
      <c r="M90" s="29"/>
      <c r="N90" s="24" t="str">
        <f aca="false">IF(N(ChangeLog[[#This Row],[Task UID]])=0,"",IFERROR(INDEX(tsk_Name,MATCH(ChangeLog[[#This Row],[Task UID]],tsk_UID,0)),"UID "&amp;ChangeLog[[#This Row],[Task UID]]&amp;" not found"))</f>
        <v/>
      </c>
    </row>
    <row r="91" customFormat="false" ht="15" hidden="false" customHeight="false" outlineLevel="0" collapsed="false">
      <c r="B91" s="29" t="n">
        <v>87</v>
      </c>
      <c r="C91" s="73"/>
      <c r="D91" s="30"/>
      <c r="E91" s="30"/>
      <c r="F91" s="30"/>
      <c r="G91" s="74"/>
      <c r="H91" s="75"/>
      <c r="I91" s="29"/>
      <c r="J91" s="73"/>
      <c r="K91" s="30"/>
      <c r="L91" s="43" t="str">
        <f aca="false">IF(OR(ChangeLog[[#This Row],[Title]]="",N(ChangeLog[[#This Row],[Raised]])=0,AND(ChangeLog[[#This Row],[Status]]&lt;&gt;"Submitted",ChangeLog[[#This Row],[Status]]&lt;&gt;"Under Review")),"",MAX(0,StatusDate-ChangeLog[[#This Row],[Raised]]))</f>
        <v/>
      </c>
      <c r="M91" s="29"/>
      <c r="N91" s="24" t="str">
        <f aca="false">IF(N(ChangeLog[[#This Row],[Task UID]])=0,"",IFERROR(INDEX(tsk_Name,MATCH(ChangeLog[[#This Row],[Task UID]],tsk_UID,0)),"UID "&amp;ChangeLog[[#This Row],[Task UID]]&amp;" not found"))</f>
        <v/>
      </c>
    </row>
    <row r="92" customFormat="false" ht="15" hidden="false" customHeight="false" outlineLevel="0" collapsed="false">
      <c r="B92" s="29" t="n">
        <v>88</v>
      </c>
      <c r="C92" s="73"/>
      <c r="D92" s="30"/>
      <c r="E92" s="30"/>
      <c r="F92" s="30"/>
      <c r="G92" s="74"/>
      <c r="H92" s="75"/>
      <c r="I92" s="29"/>
      <c r="J92" s="73"/>
      <c r="K92" s="30"/>
      <c r="L92" s="43" t="str">
        <f aca="false">IF(OR(ChangeLog[[#This Row],[Title]]="",N(ChangeLog[[#This Row],[Raised]])=0,AND(ChangeLog[[#This Row],[Status]]&lt;&gt;"Submitted",ChangeLog[[#This Row],[Status]]&lt;&gt;"Under Review")),"",MAX(0,StatusDate-ChangeLog[[#This Row],[Raised]]))</f>
        <v/>
      </c>
      <c r="M92" s="29"/>
      <c r="N92" s="24" t="str">
        <f aca="false">IF(N(ChangeLog[[#This Row],[Task UID]])=0,"",IFERROR(INDEX(tsk_Name,MATCH(ChangeLog[[#This Row],[Task UID]],tsk_UID,0)),"UID "&amp;ChangeLog[[#This Row],[Task UID]]&amp;" not found"))</f>
        <v/>
      </c>
    </row>
    <row r="93" customFormat="false" ht="15" hidden="false" customHeight="false" outlineLevel="0" collapsed="false">
      <c r="B93" s="29" t="n">
        <v>89</v>
      </c>
      <c r="C93" s="73"/>
      <c r="D93" s="30"/>
      <c r="E93" s="30"/>
      <c r="F93" s="30"/>
      <c r="G93" s="74"/>
      <c r="H93" s="75"/>
      <c r="I93" s="29"/>
      <c r="J93" s="73"/>
      <c r="K93" s="30"/>
      <c r="L93" s="43" t="str">
        <f aca="false">IF(OR(ChangeLog[[#This Row],[Title]]="",N(ChangeLog[[#This Row],[Raised]])=0,AND(ChangeLog[[#This Row],[Status]]&lt;&gt;"Submitted",ChangeLog[[#This Row],[Status]]&lt;&gt;"Under Review")),"",MAX(0,StatusDate-ChangeLog[[#This Row],[Raised]]))</f>
        <v/>
      </c>
      <c r="M93" s="29"/>
      <c r="N93" s="24" t="str">
        <f aca="false">IF(N(ChangeLog[[#This Row],[Task UID]])=0,"",IFERROR(INDEX(tsk_Name,MATCH(ChangeLog[[#This Row],[Task UID]],tsk_UID,0)),"UID "&amp;ChangeLog[[#This Row],[Task UID]]&amp;" not found"))</f>
        <v/>
      </c>
    </row>
    <row r="94" customFormat="false" ht="15" hidden="false" customHeight="false" outlineLevel="0" collapsed="false">
      <c r="B94" s="29" t="n">
        <v>90</v>
      </c>
      <c r="C94" s="73"/>
      <c r="D94" s="30"/>
      <c r="E94" s="30"/>
      <c r="F94" s="30"/>
      <c r="G94" s="74"/>
      <c r="H94" s="75"/>
      <c r="I94" s="29"/>
      <c r="J94" s="73"/>
      <c r="K94" s="30"/>
      <c r="L94" s="43" t="str">
        <f aca="false">IF(OR(ChangeLog[[#This Row],[Title]]="",N(ChangeLog[[#This Row],[Raised]])=0,AND(ChangeLog[[#This Row],[Status]]&lt;&gt;"Submitted",ChangeLog[[#This Row],[Status]]&lt;&gt;"Under Review")),"",MAX(0,StatusDate-ChangeLog[[#This Row],[Raised]]))</f>
        <v/>
      </c>
      <c r="M94" s="29"/>
      <c r="N94" s="24" t="str">
        <f aca="false">IF(N(ChangeLog[[#This Row],[Task UID]])=0,"",IFERROR(INDEX(tsk_Name,MATCH(ChangeLog[[#This Row],[Task UID]],tsk_UID,0)),"UID "&amp;ChangeLog[[#This Row],[Task UID]]&amp;" not found"))</f>
        <v/>
      </c>
    </row>
    <row r="95" customFormat="false" ht="15" hidden="false" customHeight="false" outlineLevel="0" collapsed="false">
      <c r="B95" s="29" t="n">
        <v>91</v>
      </c>
      <c r="C95" s="73"/>
      <c r="D95" s="30"/>
      <c r="E95" s="30"/>
      <c r="F95" s="30"/>
      <c r="G95" s="74"/>
      <c r="H95" s="75"/>
      <c r="I95" s="29"/>
      <c r="J95" s="73"/>
      <c r="K95" s="30"/>
      <c r="L95" s="43" t="str">
        <f aca="false">IF(OR(ChangeLog[[#This Row],[Title]]="",N(ChangeLog[[#This Row],[Raised]])=0,AND(ChangeLog[[#This Row],[Status]]&lt;&gt;"Submitted",ChangeLog[[#This Row],[Status]]&lt;&gt;"Under Review")),"",MAX(0,StatusDate-ChangeLog[[#This Row],[Raised]]))</f>
        <v/>
      </c>
      <c r="M95" s="29"/>
      <c r="N95" s="24" t="str">
        <f aca="false">IF(N(ChangeLog[[#This Row],[Task UID]])=0,"",IFERROR(INDEX(tsk_Name,MATCH(ChangeLog[[#This Row],[Task UID]],tsk_UID,0)),"UID "&amp;ChangeLog[[#This Row],[Task UID]]&amp;" not found"))</f>
        <v/>
      </c>
    </row>
    <row r="96" customFormat="false" ht="15" hidden="false" customHeight="false" outlineLevel="0" collapsed="false">
      <c r="B96" s="29" t="n">
        <v>92</v>
      </c>
      <c r="C96" s="73"/>
      <c r="D96" s="30"/>
      <c r="E96" s="30"/>
      <c r="F96" s="30"/>
      <c r="G96" s="74"/>
      <c r="H96" s="75"/>
      <c r="I96" s="29"/>
      <c r="J96" s="73"/>
      <c r="K96" s="30"/>
      <c r="L96" s="43" t="str">
        <f aca="false">IF(OR(ChangeLog[[#This Row],[Title]]="",N(ChangeLog[[#This Row],[Raised]])=0,AND(ChangeLog[[#This Row],[Status]]&lt;&gt;"Submitted",ChangeLog[[#This Row],[Status]]&lt;&gt;"Under Review")),"",MAX(0,StatusDate-ChangeLog[[#This Row],[Raised]]))</f>
        <v/>
      </c>
      <c r="M96" s="29"/>
      <c r="N96" s="24" t="str">
        <f aca="false">IF(N(ChangeLog[[#This Row],[Task UID]])=0,"",IFERROR(INDEX(tsk_Name,MATCH(ChangeLog[[#This Row],[Task UID]],tsk_UID,0)),"UID "&amp;ChangeLog[[#This Row],[Task UID]]&amp;" not found"))</f>
        <v/>
      </c>
    </row>
    <row r="97" customFormat="false" ht="15" hidden="false" customHeight="false" outlineLevel="0" collapsed="false">
      <c r="B97" s="29" t="n">
        <v>93</v>
      </c>
      <c r="C97" s="73"/>
      <c r="D97" s="30"/>
      <c r="E97" s="30"/>
      <c r="F97" s="30"/>
      <c r="G97" s="74"/>
      <c r="H97" s="75"/>
      <c r="I97" s="29"/>
      <c r="J97" s="73"/>
      <c r="K97" s="30"/>
      <c r="L97" s="43" t="str">
        <f aca="false">IF(OR(ChangeLog[[#This Row],[Title]]="",N(ChangeLog[[#This Row],[Raised]])=0,AND(ChangeLog[[#This Row],[Status]]&lt;&gt;"Submitted",ChangeLog[[#This Row],[Status]]&lt;&gt;"Under Review")),"",MAX(0,StatusDate-ChangeLog[[#This Row],[Raised]]))</f>
        <v/>
      </c>
      <c r="M97" s="29"/>
      <c r="N97" s="24" t="str">
        <f aca="false">IF(N(ChangeLog[[#This Row],[Task UID]])=0,"",IFERROR(INDEX(tsk_Name,MATCH(ChangeLog[[#This Row],[Task UID]],tsk_UID,0)),"UID "&amp;ChangeLog[[#This Row],[Task UID]]&amp;" not found"))</f>
        <v/>
      </c>
    </row>
    <row r="98" customFormat="false" ht="15" hidden="false" customHeight="false" outlineLevel="0" collapsed="false">
      <c r="B98" s="29" t="n">
        <v>94</v>
      </c>
      <c r="C98" s="73"/>
      <c r="D98" s="30"/>
      <c r="E98" s="30"/>
      <c r="F98" s="30"/>
      <c r="G98" s="74"/>
      <c r="H98" s="75"/>
      <c r="I98" s="29"/>
      <c r="J98" s="73"/>
      <c r="K98" s="30"/>
      <c r="L98" s="43" t="str">
        <f aca="false">IF(OR(ChangeLog[[#This Row],[Title]]="",N(ChangeLog[[#This Row],[Raised]])=0,AND(ChangeLog[[#This Row],[Status]]&lt;&gt;"Submitted",ChangeLog[[#This Row],[Status]]&lt;&gt;"Under Review")),"",MAX(0,StatusDate-ChangeLog[[#This Row],[Raised]]))</f>
        <v/>
      </c>
      <c r="M98" s="29"/>
      <c r="N98" s="24" t="str">
        <f aca="false">IF(N(ChangeLog[[#This Row],[Task UID]])=0,"",IFERROR(INDEX(tsk_Name,MATCH(ChangeLog[[#This Row],[Task UID]],tsk_UID,0)),"UID "&amp;ChangeLog[[#This Row],[Task UID]]&amp;" not found"))</f>
        <v/>
      </c>
    </row>
    <row r="99" customFormat="false" ht="15" hidden="false" customHeight="false" outlineLevel="0" collapsed="false">
      <c r="B99" s="29" t="n">
        <v>95</v>
      </c>
      <c r="C99" s="73"/>
      <c r="D99" s="30"/>
      <c r="E99" s="30"/>
      <c r="F99" s="30"/>
      <c r="G99" s="74"/>
      <c r="H99" s="75"/>
      <c r="I99" s="29"/>
      <c r="J99" s="73"/>
      <c r="K99" s="30"/>
      <c r="L99" s="43" t="str">
        <f aca="false">IF(OR(ChangeLog[[#This Row],[Title]]="",N(ChangeLog[[#This Row],[Raised]])=0,AND(ChangeLog[[#This Row],[Status]]&lt;&gt;"Submitted",ChangeLog[[#This Row],[Status]]&lt;&gt;"Under Review")),"",MAX(0,StatusDate-ChangeLog[[#This Row],[Raised]]))</f>
        <v/>
      </c>
      <c r="M99" s="29"/>
      <c r="N99" s="24" t="str">
        <f aca="false">IF(N(ChangeLog[[#This Row],[Task UID]])=0,"",IFERROR(INDEX(tsk_Name,MATCH(ChangeLog[[#This Row],[Task UID]],tsk_UID,0)),"UID "&amp;ChangeLog[[#This Row],[Task UID]]&amp;" not found"))</f>
        <v/>
      </c>
    </row>
    <row r="100" customFormat="false" ht="15" hidden="false" customHeight="false" outlineLevel="0" collapsed="false">
      <c r="B100" s="29" t="n">
        <v>96</v>
      </c>
      <c r="C100" s="73"/>
      <c r="D100" s="30"/>
      <c r="E100" s="30"/>
      <c r="F100" s="30"/>
      <c r="G100" s="74"/>
      <c r="H100" s="75"/>
      <c r="I100" s="29"/>
      <c r="J100" s="73"/>
      <c r="K100" s="30"/>
      <c r="L100" s="43" t="str">
        <f aca="false">IF(OR(ChangeLog[[#This Row],[Title]]="",N(ChangeLog[[#This Row],[Raised]])=0,AND(ChangeLog[[#This Row],[Status]]&lt;&gt;"Submitted",ChangeLog[[#This Row],[Status]]&lt;&gt;"Under Review")),"",MAX(0,StatusDate-ChangeLog[[#This Row],[Raised]]))</f>
        <v/>
      </c>
      <c r="M100" s="29"/>
      <c r="N100" s="24" t="str">
        <f aca="false">IF(N(ChangeLog[[#This Row],[Task UID]])=0,"",IFERROR(INDEX(tsk_Name,MATCH(ChangeLog[[#This Row],[Task UID]],tsk_UID,0)),"UID "&amp;ChangeLog[[#This Row],[Task UID]]&amp;" not found"))</f>
        <v/>
      </c>
    </row>
    <row r="101" customFormat="false" ht="15" hidden="false" customHeight="false" outlineLevel="0" collapsed="false">
      <c r="B101" s="29" t="n">
        <v>97</v>
      </c>
      <c r="C101" s="73"/>
      <c r="D101" s="30"/>
      <c r="E101" s="30"/>
      <c r="F101" s="30"/>
      <c r="G101" s="74"/>
      <c r="H101" s="75"/>
      <c r="I101" s="29"/>
      <c r="J101" s="73"/>
      <c r="K101" s="30"/>
      <c r="L101" s="43" t="str">
        <f aca="false">IF(OR(ChangeLog[[#This Row],[Title]]="",N(ChangeLog[[#This Row],[Raised]])=0,AND(ChangeLog[[#This Row],[Status]]&lt;&gt;"Submitted",ChangeLog[[#This Row],[Status]]&lt;&gt;"Under Review")),"",MAX(0,StatusDate-ChangeLog[[#This Row],[Raised]]))</f>
        <v/>
      </c>
      <c r="M101" s="29"/>
      <c r="N101" s="24" t="str">
        <f aca="false">IF(N(ChangeLog[[#This Row],[Task UID]])=0,"",IFERROR(INDEX(tsk_Name,MATCH(ChangeLog[[#This Row],[Task UID]],tsk_UID,0)),"UID "&amp;ChangeLog[[#This Row],[Task UID]]&amp;" not found"))</f>
        <v/>
      </c>
    </row>
    <row r="102" customFormat="false" ht="15" hidden="false" customHeight="false" outlineLevel="0" collapsed="false">
      <c r="B102" s="29" t="n">
        <v>98</v>
      </c>
      <c r="C102" s="73"/>
      <c r="D102" s="30"/>
      <c r="E102" s="30"/>
      <c r="F102" s="30"/>
      <c r="G102" s="74"/>
      <c r="H102" s="75"/>
      <c r="I102" s="29"/>
      <c r="J102" s="73"/>
      <c r="K102" s="30"/>
      <c r="L102" s="43" t="str">
        <f aca="false">IF(OR(ChangeLog[[#This Row],[Title]]="",N(ChangeLog[[#This Row],[Raised]])=0,AND(ChangeLog[[#This Row],[Status]]&lt;&gt;"Submitted",ChangeLog[[#This Row],[Status]]&lt;&gt;"Under Review")),"",MAX(0,StatusDate-ChangeLog[[#This Row],[Raised]]))</f>
        <v/>
      </c>
      <c r="M102" s="29"/>
      <c r="N102" s="24" t="str">
        <f aca="false">IF(N(ChangeLog[[#This Row],[Task UID]])=0,"",IFERROR(INDEX(tsk_Name,MATCH(ChangeLog[[#This Row],[Task UID]],tsk_UID,0)),"UID "&amp;ChangeLog[[#This Row],[Task UID]]&amp;" not found"))</f>
        <v/>
      </c>
    </row>
    <row r="103" customFormat="false" ht="15" hidden="false" customHeight="false" outlineLevel="0" collapsed="false">
      <c r="B103" s="29" t="n">
        <v>99</v>
      </c>
      <c r="C103" s="73"/>
      <c r="D103" s="30"/>
      <c r="E103" s="30"/>
      <c r="F103" s="30"/>
      <c r="G103" s="74"/>
      <c r="H103" s="75"/>
      <c r="I103" s="29"/>
      <c r="J103" s="73"/>
      <c r="K103" s="30"/>
      <c r="L103" s="43" t="str">
        <f aca="false">IF(OR(ChangeLog[[#This Row],[Title]]="",N(ChangeLog[[#This Row],[Raised]])=0,AND(ChangeLog[[#This Row],[Status]]&lt;&gt;"Submitted",ChangeLog[[#This Row],[Status]]&lt;&gt;"Under Review")),"",MAX(0,StatusDate-ChangeLog[[#This Row],[Raised]]))</f>
        <v/>
      </c>
      <c r="M103" s="29"/>
      <c r="N103" s="24" t="str">
        <f aca="false">IF(N(ChangeLog[[#This Row],[Task UID]])=0,"",IFERROR(INDEX(tsk_Name,MATCH(ChangeLog[[#This Row],[Task UID]],tsk_UID,0)),"UID "&amp;ChangeLog[[#This Row],[Task UID]]&amp;" not found"))</f>
        <v/>
      </c>
    </row>
    <row r="104" customFormat="false" ht="15" hidden="false" customHeight="false" outlineLevel="0" collapsed="false">
      <c r="B104" s="29" t="n">
        <v>100</v>
      </c>
      <c r="C104" s="73"/>
      <c r="D104" s="30"/>
      <c r="E104" s="30"/>
      <c r="F104" s="30"/>
      <c r="G104" s="74"/>
      <c r="H104" s="75"/>
      <c r="I104" s="29"/>
      <c r="J104" s="73"/>
      <c r="K104" s="30"/>
      <c r="L104" s="43" t="str">
        <f aca="false">IF(OR(ChangeLog[[#This Row],[Title]]="",N(ChangeLog[[#This Row],[Raised]])=0,AND(ChangeLog[[#This Row],[Status]]&lt;&gt;"Submitted",ChangeLog[[#This Row],[Status]]&lt;&gt;"Under Review")),"",MAX(0,StatusDate-ChangeLog[[#This Row],[Raised]]))</f>
        <v/>
      </c>
      <c r="M104" s="29"/>
      <c r="N104" s="24" t="str">
        <f aca="false">IF(N(ChangeLog[[#This Row],[Task UID]])=0,"",IFERROR(INDEX(tsk_Name,MATCH(ChangeLog[[#This Row],[Task UID]],tsk_UID,0)),"UID "&amp;ChangeLog[[#This Row],[Task UID]]&amp;" not found"))</f>
        <v/>
      </c>
    </row>
  </sheetData>
  <conditionalFormatting sqref="I5:I104">
    <cfRule type="expression" priority="2" aboveAverage="0" equalAverage="0" bottom="0" percent="0" rank="0" text="" dxfId="12">
      <formula>I5="Approved"</formula>
    </cfRule>
    <cfRule type="expression" priority="3" aboveAverage="0" equalAverage="0" bottom="0" percent="0" rank="0" text="" dxfId="12">
      <formula>I5="Implemented"</formula>
    </cfRule>
    <cfRule type="expression" priority="4" aboveAverage="0" equalAverage="0" bottom="0" percent="0" rank="0" text="" dxfId="30">
      <formula>I5="Rejected"</formula>
    </cfRule>
    <cfRule type="expression" priority="5" aboveAverage="0" equalAverage="0" bottom="0" percent="0" rank="0" text="" dxfId="29">
      <formula>I5="Submitted"</formula>
    </cfRule>
    <cfRule type="expression" priority="6" aboveAverage="0" equalAverage="0" bottom="0" percent="0" rank="0" text="" dxfId="29">
      <formula>I5="Under Review"</formula>
    </cfRule>
  </conditionalFormatting>
  <dataValidations count="1">
    <dataValidation allowBlank="false" errorStyle="stop" operator="between" showDropDown="false" showErrorMessage="false" showInputMessage="false" sqref="I5:I104" type="list">
      <formula1>L_ChangeStatus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T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4" min="2" style="0" width="13"/>
    <col collapsed="false" customWidth="true" hidden="false" outlineLevel="0" max="20" min="5" style="0" width="11"/>
  </cols>
  <sheetData>
    <row r="1" customFormat="false" ht="19.7" hidden="false" customHeight="false" outlineLevel="0" collapsed="false">
      <c r="A1" s="26" t="s">
        <v>336</v>
      </c>
    </row>
    <row r="2" customFormat="false" ht="15" hidden="false" customHeight="false" outlineLevel="0" collapsed="false">
      <c r="A2" s="8" t="s">
        <v>337</v>
      </c>
    </row>
    <row r="4" customFormat="false" ht="23.85" hidden="false" customHeight="false" outlineLevel="0" collapsed="false">
      <c r="B4" s="9" t="s">
        <v>338</v>
      </c>
      <c r="C4" s="9" t="s">
        <v>203</v>
      </c>
      <c r="D4" s="9" t="s">
        <v>202</v>
      </c>
      <c r="E4" s="9" t="s">
        <v>204</v>
      </c>
      <c r="F4" s="9" t="s">
        <v>339</v>
      </c>
      <c r="G4" s="9" t="s">
        <v>340</v>
      </c>
      <c r="H4" s="9" t="s">
        <v>341</v>
      </c>
      <c r="I4" s="9" t="s">
        <v>207</v>
      </c>
      <c r="J4" s="9" t="s">
        <v>208</v>
      </c>
      <c r="K4" s="9" t="s">
        <v>209</v>
      </c>
      <c r="L4" s="9" t="s">
        <v>210</v>
      </c>
      <c r="M4" s="9" t="s">
        <v>211</v>
      </c>
      <c r="N4" s="9" t="s">
        <v>342</v>
      </c>
      <c r="O4" s="9" t="s">
        <v>343</v>
      </c>
      <c r="P4" s="9" t="s">
        <v>344</v>
      </c>
      <c r="Q4" s="9" t="s">
        <v>345</v>
      </c>
      <c r="R4" s="9" t="s">
        <v>346</v>
      </c>
      <c r="S4" s="9" t="s">
        <v>347</v>
      </c>
      <c r="T4" s="9" t="s">
        <v>126</v>
      </c>
    </row>
    <row r="5" customFormat="false" ht="15" hidden="false" customHeight="false" outlineLevel="0" collapsed="false">
      <c r="B5" s="48" t="n">
        <f aca="false">StatusDate</f>
        <v>46320</v>
      </c>
      <c r="C5" s="48" t="n">
        <f aca="false">ProjectFinish</f>
        <v>46393</v>
      </c>
      <c r="D5" s="48" t="n">
        <f aca="false">PlannedFinish</f>
        <v>46393</v>
      </c>
      <c r="E5" s="49" t="n">
        <f aca="false">FinishVarianceDays</f>
        <v>0</v>
      </c>
      <c r="F5" s="50" t="n">
        <f aca="false">evm_PctEarned</f>
        <v>0.49000689179876</v>
      </c>
      <c r="G5" s="50" t="n">
        <f aca="false">evm_PctPlanned</f>
        <v>0.626464507236389</v>
      </c>
      <c r="H5" s="51" t="n">
        <f aca="false">evm_BAC</f>
        <v>58040</v>
      </c>
      <c r="I5" s="51" t="n">
        <f aca="false">evm_PV</f>
        <v>36360</v>
      </c>
      <c r="J5" s="51" t="n">
        <f aca="false">evm_EV</f>
        <v>28440</v>
      </c>
      <c r="K5" s="51" t="n">
        <f aca="false">evm_AC</f>
        <v>30440</v>
      </c>
      <c r="L5" s="52" t="n">
        <f aca="false">evm_SPI</f>
        <v>0.782178217821782</v>
      </c>
      <c r="M5" s="52" t="n">
        <f aca="false">evm_CPI</f>
        <v>0.934296977660972</v>
      </c>
      <c r="N5" s="51" t="n">
        <f aca="false">evm_EAC</f>
        <v>62121.5752461322</v>
      </c>
      <c r="O5" s="76" t="n">
        <f aca="false">agl_Done</f>
        <v>33</v>
      </c>
      <c r="P5" s="76" t="n">
        <f aca="false">TotalPoints</f>
        <v>82</v>
      </c>
      <c r="Q5" s="53" t="n">
        <f aca="false">COUNTIFS(raid_Type,"Risk",raid_Status,"&lt;&gt;Closed")</f>
        <v>2</v>
      </c>
      <c r="R5" s="53" t="n">
        <f aca="false">COUNTIFS(raid_Type,"Issue",raid_Status,"&lt;&gt;Closed")</f>
        <v>1</v>
      </c>
      <c r="S5" s="53" t="n">
        <f aca="false">COUNTIF(chg_Status,"Submitted")+COUNTIF(chg_Status,"Under Review")</f>
        <v>1</v>
      </c>
      <c r="T5" s="77" t="str">
        <f aca="false">ProjectRAG</f>
        <v>Red</v>
      </c>
    </row>
    <row r="7" customFormat="false" ht="15" hidden="false" customHeight="false" outlineLevel="0" collapsed="false">
      <c r="B7" s="36" t="s">
        <v>348</v>
      </c>
    </row>
    <row r="8" customFormat="false" ht="23.85" hidden="false" customHeight="false" outlineLevel="0" collapsed="false">
      <c r="B8" s="27" t="s">
        <v>338</v>
      </c>
      <c r="C8" s="27" t="s">
        <v>203</v>
      </c>
      <c r="D8" s="27" t="s">
        <v>202</v>
      </c>
      <c r="E8" s="27" t="s">
        <v>204</v>
      </c>
      <c r="F8" s="27" t="s">
        <v>339</v>
      </c>
      <c r="G8" s="27" t="s">
        <v>340</v>
      </c>
      <c r="H8" s="27" t="s">
        <v>341</v>
      </c>
      <c r="I8" s="27" t="s">
        <v>207</v>
      </c>
      <c r="J8" s="27" t="s">
        <v>208</v>
      </c>
      <c r="K8" s="27" t="s">
        <v>209</v>
      </c>
      <c r="L8" s="27" t="s">
        <v>210</v>
      </c>
      <c r="M8" s="27" t="s">
        <v>211</v>
      </c>
      <c r="N8" s="27" t="s">
        <v>342</v>
      </c>
      <c r="O8" s="27" t="s">
        <v>343</v>
      </c>
      <c r="P8" s="27" t="s">
        <v>344</v>
      </c>
      <c r="Q8" s="27" t="s">
        <v>345</v>
      </c>
      <c r="R8" s="27" t="s">
        <v>346</v>
      </c>
      <c r="S8" s="27" t="s">
        <v>347</v>
      </c>
      <c r="T8" s="27" t="s">
        <v>126</v>
      </c>
    </row>
    <row r="9" customFormat="false" ht="15" hidden="false" customHeight="false" outlineLevel="0" collapsed="false">
      <c r="B9" s="78" t="n">
        <v>46292</v>
      </c>
      <c r="C9" s="78" t="n">
        <v>46384</v>
      </c>
      <c r="D9" s="78" t="n">
        <v>46384</v>
      </c>
      <c r="E9" s="74" t="n">
        <v>0</v>
      </c>
      <c r="F9" s="79" t="n">
        <v>0.17</v>
      </c>
      <c r="G9" s="79" t="n">
        <v>0.19</v>
      </c>
      <c r="H9" s="80" t="n">
        <v>58040</v>
      </c>
      <c r="I9" s="80" t="n">
        <v>11028</v>
      </c>
      <c r="J9" s="80" t="n">
        <v>9867</v>
      </c>
      <c r="K9" s="80" t="n">
        <v>10064</v>
      </c>
      <c r="L9" s="81" t="n">
        <v>0.89</v>
      </c>
      <c r="M9" s="81" t="n">
        <v>0.98</v>
      </c>
      <c r="N9" s="80" t="n">
        <v>59199</v>
      </c>
      <c r="O9" s="82" t="n">
        <v>5</v>
      </c>
      <c r="P9" s="82" t="n">
        <v>76</v>
      </c>
      <c r="Q9" s="83" t="n">
        <v>2</v>
      </c>
      <c r="R9" s="83" t="n">
        <v>0</v>
      </c>
      <c r="S9" s="83" t="n">
        <v>0</v>
      </c>
      <c r="T9" s="84" t="s">
        <v>349</v>
      </c>
    </row>
    <row r="10" customFormat="false" ht="15" hidden="false" customHeight="false" outlineLevel="0" collapsed="false">
      <c r="B10" s="78" t="n">
        <v>46299</v>
      </c>
      <c r="C10" s="78" t="n">
        <v>46385</v>
      </c>
      <c r="D10" s="78" t="n">
        <v>46384</v>
      </c>
      <c r="E10" s="74" t="n">
        <v>1</v>
      </c>
      <c r="F10" s="79" t="n">
        <v>0.27</v>
      </c>
      <c r="G10" s="79" t="n">
        <v>0.31</v>
      </c>
      <c r="H10" s="80" t="n">
        <v>58040</v>
      </c>
      <c r="I10" s="80" t="n">
        <v>17992</v>
      </c>
      <c r="J10" s="80" t="n">
        <v>15671</v>
      </c>
      <c r="K10" s="80" t="n">
        <v>16298</v>
      </c>
      <c r="L10" s="81" t="n">
        <v>0.87</v>
      </c>
      <c r="M10" s="81" t="n">
        <v>0.96</v>
      </c>
      <c r="N10" s="80" t="n">
        <v>60362</v>
      </c>
      <c r="O10" s="82" t="n">
        <v>18</v>
      </c>
      <c r="P10" s="82" t="n">
        <v>78</v>
      </c>
      <c r="Q10" s="83" t="n">
        <v>3</v>
      </c>
      <c r="R10" s="83" t="n">
        <v>0</v>
      </c>
      <c r="S10" s="83" t="n">
        <v>1</v>
      </c>
      <c r="T10" s="84" t="s">
        <v>349</v>
      </c>
    </row>
    <row r="11" customFormat="false" ht="15" hidden="false" customHeight="false" outlineLevel="0" collapsed="false">
      <c r="B11" s="78" t="n">
        <v>46306</v>
      </c>
      <c r="C11" s="78" t="n">
        <v>46387</v>
      </c>
      <c r="D11" s="78" t="n">
        <v>46384</v>
      </c>
      <c r="E11" s="74" t="n">
        <v>3</v>
      </c>
      <c r="F11" s="79" t="n">
        <v>0.36</v>
      </c>
      <c r="G11" s="79" t="n">
        <v>0.43</v>
      </c>
      <c r="H11" s="80" t="n">
        <v>58040</v>
      </c>
      <c r="I11" s="80" t="n">
        <v>24957</v>
      </c>
      <c r="J11" s="80" t="n">
        <v>20894</v>
      </c>
      <c r="K11" s="80" t="n">
        <v>21939</v>
      </c>
      <c r="L11" s="81" t="n">
        <v>0.84</v>
      </c>
      <c r="M11" s="81" t="n">
        <v>0.95</v>
      </c>
      <c r="N11" s="80" t="n">
        <v>60943</v>
      </c>
      <c r="O11" s="82" t="n">
        <v>23</v>
      </c>
      <c r="P11" s="82" t="n">
        <v>82</v>
      </c>
      <c r="Q11" s="83" t="n">
        <v>3</v>
      </c>
      <c r="R11" s="83" t="n">
        <v>0</v>
      </c>
      <c r="S11" s="83" t="n">
        <v>0</v>
      </c>
      <c r="T11" s="84" t="s">
        <v>350</v>
      </c>
    </row>
    <row r="12" customFormat="false" ht="15" hidden="false" customHeight="false" outlineLevel="0" collapsed="false">
      <c r="B12" s="78" t="n">
        <v>46313</v>
      </c>
      <c r="C12" s="78" t="n">
        <v>46391</v>
      </c>
      <c r="D12" s="78" t="n">
        <v>46384</v>
      </c>
      <c r="E12" s="74" t="n">
        <v>5</v>
      </c>
      <c r="F12" s="79" t="n">
        <v>0.44</v>
      </c>
      <c r="G12" s="79" t="n">
        <v>0.54</v>
      </c>
      <c r="H12" s="80" t="n">
        <v>58040</v>
      </c>
      <c r="I12" s="80" t="n">
        <v>31342</v>
      </c>
      <c r="J12" s="80" t="n">
        <v>25538</v>
      </c>
      <c r="K12" s="80" t="n">
        <v>27070</v>
      </c>
      <c r="L12" s="81" t="n">
        <v>0.81</v>
      </c>
      <c r="M12" s="81" t="n">
        <v>0.94</v>
      </c>
      <c r="N12" s="80" t="n">
        <v>61522</v>
      </c>
      <c r="O12" s="82" t="n">
        <v>33</v>
      </c>
      <c r="P12" s="82" t="n">
        <v>82</v>
      </c>
      <c r="Q12" s="83" t="n">
        <v>4</v>
      </c>
      <c r="R12" s="83" t="n">
        <v>1</v>
      </c>
      <c r="S12" s="83" t="n">
        <v>0</v>
      </c>
      <c r="T12" s="84" t="s">
        <v>350</v>
      </c>
    </row>
    <row r="13" customFormat="false" ht="15" hidden="false" customHeight="false" outlineLevel="0" collapsed="false">
      <c r="B13" s="78"/>
      <c r="C13" s="78"/>
      <c r="D13" s="78"/>
      <c r="E13" s="74"/>
      <c r="F13" s="79"/>
      <c r="G13" s="79"/>
      <c r="H13" s="80"/>
      <c r="I13" s="80"/>
      <c r="J13" s="80"/>
      <c r="K13" s="80"/>
      <c r="L13" s="81"/>
      <c r="M13" s="81"/>
      <c r="N13" s="80"/>
      <c r="O13" s="82"/>
      <c r="P13" s="82"/>
      <c r="Q13" s="83"/>
      <c r="R13" s="83"/>
      <c r="S13" s="83"/>
      <c r="T13" s="84"/>
    </row>
    <row r="14" customFormat="false" ht="15" hidden="false" customHeight="false" outlineLevel="0" collapsed="false">
      <c r="B14" s="78"/>
      <c r="C14" s="78"/>
      <c r="D14" s="78"/>
      <c r="E14" s="74"/>
      <c r="F14" s="79"/>
      <c r="G14" s="79"/>
      <c r="H14" s="80"/>
      <c r="I14" s="80"/>
      <c r="J14" s="80"/>
      <c r="K14" s="80"/>
      <c r="L14" s="81"/>
      <c r="M14" s="81"/>
      <c r="N14" s="80"/>
      <c r="O14" s="82"/>
      <c r="P14" s="82"/>
      <c r="Q14" s="83"/>
      <c r="R14" s="83"/>
      <c r="S14" s="83"/>
      <c r="T14" s="84"/>
    </row>
    <row r="15" customFormat="false" ht="15" hidden="false" customHeight="false" outlineLevel="0" collapsed="false">
      <c r="B15" s="78"/>
      <c r="C15" s="78"/>
      <c r="D15" s="78"/>
      <c r="E15" s="74"/>
      <c r="F15" s="79"/>
      <c r="G15" s="79"/>
      <c r="H15" s="80"/>
      <c r="I15" s="80"/>
      <c r="J15" s="80"/>
      <c r="K15" s="80"/>
      <c r="L15" s="81"/>
      <c r="M15" s="81"/>
      <c r="N15" s="80"/>
      <c r="O15" s="82"/>
      <c r="P15" s="82"/>
      <c r="Q15" s="83"/>
      <c r="R15" s="83"/>
      <c r="S15" s="83"/>
      <c r="T15" s="84"/>
    </row>
    <row r="16" customFormat="false" ht="15" hidden="false" customHeight="false" outlineLevel="0" collapsed="false">
      <c r="B16" s="78"/>
      <c r="C16" s="78"/>
      <c r="D16" s="78"/>
      <c r="E16" s="74"/>
      <c r="F16" s="79"/>
      <c r="G16" s="79"/>
      <c r="H16" s="80"/>
      <c r="I16" s="80"/>
      <c r="J16" s="80"/>
      <c r="K16" s="80"/>
      <c r="L16" s="81"/>
      <c r="M16" s="81"/>
      <c r="N16" s="80"/>
      <c r="O16" s="82"/>
      <c r="P16" s="82"/>
      <c r="Q16" s="83"/>
      <c r="R16" s="83"/>
      <c r="S16" s="83"/>
      <c r="T16" s="84"/>
    </row>
    <row r="17" customFormat="false" ht="15" hidden="false" customHeight="false" outlineLevel="0" collapsed="false">
      <c r="B17" s="78"/>
      <c r="C17" s="78"/>
      <c r="D17" s="78"/>
      <c r="E17" s="74"/>
      <c r="F17" s="79"/>
      <c r="G17" s="79"/>
      <c r="H17" s="80"/>
      <c r="I17" s="80"/>
      <c r="J17" s="80"/>
      <c r="K17" s="80"/>
      <c r="L17" s="81"/>
      <c r="M17" s="81"/>
      <c r="N17" s="80"/>
      <c r="O17" s="82"/>
      <c r="P17" s="82"/>
      <c r="Q17" s="83"/>
      <c r="R17" s="83"/>
      <c r="S17" s="83"/>
      <c r="T17" s="84"/>
    </row>
    <row r="18" customFormat="false" ht="15" hidden="false" customHeight="false" outlineLevel="0" collapsed="false">
      <c r="B18" s="78"/>
      <c r="C18" s="78"/>
      <c r="D18" s="78"/>
      <c r="E18" s="74"/>
      <c r="F18" s="79"/>
      <c r="G18" s="79"/>
      <c r="H18" s="80"/>
      <c r="I18" s="80"/>
      <c r="J18" s="80"/>
      <c r="K18" s="80"/>
      <c r="L18" s="81"/>
      <c r="M18" s="81"/>
      <c r="N18" s="80"/>
      <c r="O18" s="82"/>
      <c r="P18" s="82"/>
      <c r="Q18" s="83"/>
      <c r="R18" s="83"/>
      <c r="S18" s="83"/>
      <c r="T18" s="84"/>
    </row>
    <row r="19" customFormat="false" ht="15" hidden="false" customHeight="false" outlineLevel="0" collapsed="false">
      <c r="B19" s="78"/>
      <c r="C19" s="78"/>
      <c r="D19" s="78"/>
      <c r="E19" s="74"/>
      <c r="F19" s="79"/>
      <c r="G19" s="79"/>
      <c r="H19" s="80"/>
      <c r="I19" s="80"/>
      <c r="J19" s="80"/>
      <c r="K19" s="80"/>
      <c r="L19" s="81"/>
      <c r="M19" s="81"/>
      <c r="N19" s="80"/>
      <c r="O19" s="82"/>
      <c r="P19" s="82"/>
      <c r="Q19" s="83"/>
      <c r="R19" s="83"/>
      <c r="S19" s="83"/>
      <c r="T19" s="84"/>
    </row>
    <row r="20" customFormat="false" ht="15" hidden="false" customHeight="false" outlineLevel="0" collapsed="false">
      <c r="B20" s="78"/>
      <c r="C20" s="78"/>
      <c r="D20" s="78"/>
      <c r="E20" s="74"/>
      <c r="F20" s="79"/>
      <c r="G20" s="79"/>
      <c r="H20" s="80"/>
      <c r="I20" s="80"/>
      <c r="J20" s="80"/>
      <c r="K20" s="80"/>
      <c r="L20" s="81"/>
      <c r="M20" s="81"/>
      <c r="N20" s="80"/>
      <c r="O20" s="82"/>
      <c r="P20" s="82"/>
      <c r="Q20" s="83"/>
      <c r="R20" s="83"/>
      <c r="S20" s="83"/>
      <c r="T20" s="84"/>
    </row>
    <row r="21" customFormat="false" ht="15" hidden="false" customHeight="false" outlineLevel="0" collapsed="false">
      <c r="B21" s="78"/>
      <c r="C21" s="78"/>
      <c r="D21" s="78"/>
      <c r="E21" s="74"/>
      <c r="F21" s="79"/>
      <c r="G21" s="79"/>
      <c r="H21" s="80"/>
      <c r="I21" s="80"/>
      <c r="J21" s="80"/>
      <c r="K21" s="80"/>
      <c r="L21" s="81"/>
      <c r="M21" s="81"/>
      <c r="N21" s="80"/>
      <c r="O21" s="82"/>
      <c r="P21" s="82"/>
      <c r="Q21" s="83"/>
      <c r="R21" s="83"/>
      <c r="S21" s="83"/>
      <c r="T21" s="84"/>
    </row>
    <row r="22" customFormat="false" ht="15" hidden="false" customHeight="false" outlineLevel="0" collapsed="false">
      <c r="B22" s="78"/>
      <c r="C22" s="78"/>
      <c r="D22" s="78"/>
      <c r="E22" s="74"/>
      <c r="F22" s="79"/>
      <c r="G22" s="79"/>
      <c r="H22" s="80"/>
      <c r="I22" s="80"/>
      <c r="J22" s="80"/>
      <c r="K22" s="80"/>
      <c r="L22" s="81"/>
      <c r="M22" s="81"/>
      <c r="N22" s="80"/>
      <c r="O22" s="82"/>
      <c r="P22" s="82"/>
      <c r="Q22" s="83"/>
      <c r="R22" s="83"/>
      <c r="S22" s="83"/>
      <c r="T22" s="84"/>
    </row>
    <row r="23" customFormat="false" ht="15" hidden="false" customHeight="false" outlineLevel="0" collapsed="false">
      <c r="B23" s="78"/>
      <c r="C23" s="78"/>
      <c r="D23" s="78"/>
      <c r="E23" s="74"/>
      <c r="F23" s="79"/>
      <c r="G23" s="79"/>
      <c r="H23" s="80"/>
      <c r="I23" s="80"/>
      <c r="J23" s="80"/>
      <c r="K23" s="80"/>
      <c r="L23" s="81"/>
      <c r="M23" s="81"/>
      <c r="N23" s="80"/>
      <c r="O23" s="82"/>
      <c r="P23" s="82"/>
      <c r="Q23" s="83"/>
      <c r="R23" s="83"/>
      <c r="S23" s="83"/>
      <c r="T23" s="84"/>
    </row>
    <row r="24" customFormat="false" ht="15" hidden="false" customHeight="false" outlineLevel="0" collapsed="false">
      <c r="B24" s="78"/>
      <c r="C24" s="78"/>
      <c r="D24" s="78"/>
      <c r="E24" s="74"/>
      <c r="F24" s="79"/>
      <c r="G24" s="79"/>
      <c r="H24" s="80"/>
      <c r="I24" s="80"/>
      <c r="J24" s="80"/>
      <c r="K24" s="80"/>
      <c r="L24" s="81"/>
      <c r="M24" s="81"/>
      <c r="N24" s="80"/>
      <c r="O24" s="82"/>
      <c r="P24" s="82"/>
      <c r="Q24" s="83"/>
      <c r="R24" s="83"/>
      <c r="S24" s="83"/>
      <c r="T24" s="84"/>
    </row>
    <row r="25" customFormat="false" ht="15" hidden="false" customHeight="false" outlineLevel="0" collapsed="false">
      <c r="B25" s="78"/>
      <c r="C25" s="78"/>
      <c r="D25" s="78"/>
      <c r="E25" s="74"/>
      <c r="F25" s="79"/>
      <c r="G25" s="79"/>
      <c r="H25" s="80"/>
      <c r="I25" s="80"/>
      <c r="J25" s="80"/>
      <c r="K25" s="80"/>
      <c r="L25" s="81"/>
      <c r="M25" s="81"/>
      <c r="N25" s="80"/>
      <c r="O25" s="82"/>
      <c r="P25" s="82"/>
      <c r="Q25" s="83"/>
      <c r="R25" s="83"/>
      <c r="S25" s="83"/>
      <c r="T25" s="84"/>
    </row>
    <row r="26" customFormat="false" ht="15" hidden="false" customHeight="false" outlineLevel="0" collapsed="false">
      <c r="B26" s="78"/>
      <c r="C26" s="78"/>
      <c r="D26" s="78"/>
      <c r="E26" s="74"/>
      <c r="F26" s="79"/>
      <c r="G26" s="79"/>
      <c r="H26" s="80"/>
      <c r="I26" s="80"/>
      <c r="J26" s="80"/>
      <c r="K26" s="80"/>
      <c r="L26" s="81"/>
      <c r="M26" s="81"/>
      <c r="N26" s="80"/>
      <c r="O26" s="82"/>
      <c r="P26" s="82"/>
      <c r="Q26" s="83"/>
      <c r="R26" s="83"/>
      <c r="S26" s="83"/>
      <c r="T26" s="84"/>
    </row>
    <row r="27" customFormat="false" ht="15" hidden="false" customHeight="false" outlineLevel="0" collapsed="false">
      <c r="B27" s="78"/>
      <c r="C27" s="78"/>
      <c r="D27" s="78"/>
      <c r="E27" s="74"/>
      <c r="F27" s="79"/>
      <c r="G27" s="79"/>
      <c r="H27" s="80"/>
      <c r="I27" s="80"/>
      <c r="J27" s="80"/>
      <c r="K27" s="80"/>
      <c r="L27" s="81"/>
      <c r="M27" s="81"/>
      <c r="N27" s="80"/>
      <c r="O27" s="82"/>
      <c r="P27" s="82"/>
      <c r="Q27" s="83"/>
      <c r="R27" s="83"/>
      <c r="S27" s="83"/>
      <c r="T27" s="84"/>
    </row>
    <row r="28" customFormat="false" ht="15" hidden="false" customHeight="false" outlineLevel="0" collapsed="false">
      <c r="B28" s="78"/>
      <c r="C28" s="78"/>
      <c r="D28" s="78"/>
      <c r="E28" s="74"/>
      <c r="F28" s="79"/>
      <c r="G28" s="79"/>
      <c r="H28" s="80"/>
      <c r="I28" s="80"/>
      <c r="J28" s="80"/>
      <c r="K28" s="80"/>
      <c r="L28" s="81"/>
      <c r="M28" s="81"/>
      <c r="N28" s="80"/>
      <c r="O28" s="82"/>
      <c r="P28" s="82"/>
      <c r="Q28" s="83"/>
      <c r="R28" s="83"/>
      <c r="S28" s="83"/>
      <c r="T28" s="84"/>
    </row>
    <row r="29" customFormat="false" ht="15" hidden="false" customHeight="false" outlineLevel="0" collapsed="false">
      <c r="B29" s="78"/>
      <c r="C29" s="78"/>
      <c r="D29" s="78"/>
      <c r="E29" s="74"/>
      <c r="F29" s="79"/>
      <c r="G29" s="79"/>
      <c r="H29" s="80"/>
      <c r="I29" s="80"/>
      <c r="J29" s="80"/>
      <c r="K29" s="80"/>
      <c r="L29" s="81"/>
      <c r="M29" s="81"/>
      <c r="N29" s="80"/>
      <c r="O29" s="82"/>
      <c r="P29" s="82"/>
      <c r="Q29" s="83"/>
      <c r="R29" s="83"/>
      <c r="S29" s="83"/>
      <c r="T29" s="84"/>
    </row>
    <row r="30" customFormat="false" ht="15" hidden="false" customHeight="false" outlineLevel="0" collapsed="false">
      <c r="B30" s="78"/>
      <c r="C30" s="78"/>
      <c r="D30" s="78"/>
      <c r="E30" s="74"/>
      <c r="F30" s="79"/>
      <c r="G30" s="79"/>
      <c r="H30" s="80"/>
      <c r="I30" s="80"/>
      <c r="J30" s="80"/>
      <c r="K30" s="80"/>
      <c r="L30" s="81"/>
      <c r="M30" s="81"/>
      <c r="N30" s="80"/>
      <c r="O30" s="82"/>
      <c r="P30" s="82"/>
      <c r="Q30" s="83"/>
      <c r="R30" s="83"/>
      <c r="S30" s="83"/>
      <c r="T30" s="84"/>
    </row>
    <row r="31" customFormat="false" ht="15" hidden="false" customHeight="false" outlineLevel="0" collapsed="false">
      <c r="B31" s="78"/>
      <c r="C31" s="78"/>
      <c r="D31" s="78"/>
      <c r="E31" s="74"/>
      <c r="F31" s="79"/>
      <c r="G31" s="79"/>
      <c r="H31" s="80"/>
      <c r="I31" s="80"/>
      <c r="J31" s="80"/>
      <c r="K31" s="80"/>
      <c r="L31" s="81"/>
      <c r="M31" s="81"/>
      <c r="N31" s="80"/>
      <c r="O31" s="82"/>
      <c r="P31" s="82"/>
      <c r="Q31" s="83"/>
      <c r="R31" s="83"/>
      <c r="S31" s="83"/>
      <c r="T31" s="84"/>
    </row>
    <row r="32" customFormat="false" ht="15" hidden="false" customHeight="false" outlineLevel="0" collapsed="false">
      <c r="B32" s="78"/>
      <c r="C32" s="78"/>
      <c r="D32" s="78"/>
      <c r="E32" s="74"/>
      <c r="F32" s="79"/>
      <c r="G32" s="79"/>
      <c r="H32" s="80"/>
      <c r="I32" s="80"/>
      <c r="J32" s="80"/>
      <c r="K32" s="80"/>
      <c r="L32" s="81"/>
      <c r="M32" s="81"/>
      <c r="N32" s="80"/>
      <c r="O32" s="82"/>
      <c r="P32" s="82"/>
      <c r="Q32" s="83"/>
      <c r="R32" s="83"/>
      <c r="S32" s="83"/>
      <c r="T32" s="84"/>
    </row>
    <row r="33" customFormat="false" ht="15" hidden="false" customHeight="false" outlineLevel="0" collapsed="false">
      <c r="B33" s="78"/>
      <c r="C33" s="78"/>
      <c r="D33" s="78"/>
      <c r="E33" s="74"/>
      <c r="F33" s="79"/>
      <c r="G33" s="79"/>
      <c r="H33" s="80"/>
      <c r="I33" s="80"/>
      <c r="J33" s="80"/>
      <c r="K33" s="80"/>
      <c r="L33" s="81"/>
      <c r="M33" s="81"/>
      <c r="N33" s="80"/>
      <c r="O33" s="82"/>
      <c r="P33" s="82"/>
      <c r="Q33" s="83"/>
      <c r="R33" s="83"/>
      <c r="S33" s="83"/>
      <c r="T33" s="84"/>
    </row>
    <row r="34" customFormat="false" ht="15" hidden="false" customHeight="false" outlineLevel="0" collapsed="false">
      <c r="B34" s="78"/>
      <c r="C34" s="78"/>
      <c r="D34" s="78"/>
      <c r="E34" s="74"/>
      <c r="F34" s="79"/>
      <c r="G34" s="79"/>
      <c r="H34" s="80"/>
      <c r="I34" s="80"/>
      <c r="J34" s="80"/>
      <c r="K34" s="80"/>
      <c r="L34" s="81"/>
      <c r="M34" s="81"/>
      <c r="N34" s="80"/>
      <c r="O34" s="82"/>
      <c r="P34" s="82"/>
      <c r="Q34" s="83"/>
      <c r="R34" s="83"/>
      <c r="S34" s="83"/>
      <c r="T34" s="84"/>
    </row>
    <row r="35" customFormat="false" ht="15" hidden="false" customHeight="false" outlineLevel="0" collapsed="false">
      <c r="B35" s="78"/>
      <c r="C35" s="78"/>
      <c r="D35" s="78"/>
      <c r="E35" s="74"/>
      <c r="F35" s="79"/>
      <c r="G35" s="79"/>
      <c r="H35" s="80"/>
      <c r="I35" s="80"/>
      <c r="J35" s="80"/>
      <c r="K35" s="80"/>
      <c r="L35" s="81"/>
      <c r="M35" s="81"/>
      <c r="N35" s="80"/>
      <c r="O35" s="82"/>
      <c r="P35" s="82"/>
      <c r="Q35" s="83"/>
      <c r="R35" s="83"/>
      <c r="S35" s="83"/>
      <c r="T35" s="84"/>
    </row>
    <row r="36" customFormat="false" ht="15" hidden="false" customHeight="false" outlineLevel="0" collapsed="false">
      <c r="B36" s="78"/>
      <c r="C36" s="78"/>
      <c r="D36" s="78"/>
      <c r="E36" s="74"/>
      <c r="F36" s="79"/>
      <c r="G36" s="79"/>
      <c r="H36" s="80"/>
      <c r="I36" s="80"/>
      <c r="J36" s="80"/>
      <c r="K36" s="80"/>
      <c r="L36" s="81"/>
      <c r="M36" s="81"/>
      <c r="N36" s="80"/>
      <c r="O36" s="82"/>
      <c r="P36" s="82"/>
      <c r="Q36" s="83"/>
      <c r="R36" s="83"/>
      <c r="S36" s="83"/>
      <c r="T36" s="84"/>
    </row>
    <row r="37" customFormat="false" ht="15" hidden="false" customHeight="false" outlineLevel="0" collapsed="false">
      <c r="B37" s="78"/>
      <c r="C37" s="78"/>
      <c r="D37" s="78"/>
      <c r="E37" s="74"/>
      <c r="F37" s="79"/>
      <c r="G37" s="79"/>
      <c r="H37" s="80"/>
      <c r="I37" s="80"/>
      <c r="J37" s="80"/>
      <c r="K37" s="80"/>
      <c r="L37" s="81"/>
      <c r="M37" s="81"/>
      <c r="N37" s="80"/>
      <c r="O37" s="82"/>
      <c r="P37" s="82"/>
      <c r="Q37" s="83"/>
      <c r="R37" s="83"/>
      <c r="S37" s="83"/>
      <c r="T37" s="84"/>
    </row>
    <row r="38" customFormat="false" ht="15" hidden="false" customHeight="false" outlineLevel="0" collapsed="false">
      <c r="B38" s="78"/>
      <c r="C38" s="78"/>
      <c r="D38" s="78"/>
      <c r="E38" s="74"/>
      <c r="F38" s="79"/>
      <c r="G38" s="79"/>
      <c r="H38" s="80"/>
      <c r="I38" s="80"/>
      <c r="J38" s="80"/>
      <c r="K38" s="80"/>
      <c r="L38" s="81"/>
      <c r="M38" s="81"/>
      <c r="N38" s="80"/>
      <c r="O38" s="82"/>
      <c r="P38" s="82"/>
      <c r="Q38" s="83"/>
      <c r="R38" s="83"/>
      <c r="S38" s="83"/>
      <c r="T38" s="84"/>
    </row>
    <row r="39" customFormat="false" ht="15" hidden="false" customHeight="false" outlineLevel="0" collapsed="false">
      <c r="B39" s="78"/>
      <c r="C39" s="78"/>
      <c r="D39" s="78"/>
      <c r="E39" s="74"/>
      <c r="F39" s="79"/>
      <c r="G39" s="79"/>
      <c r="H39" s="80"/>
      <c r="I39" s="80"/>
      <c r="J39" s="80"/>
      <c r="K39" s="80"/>
      <c r="L39" s="81"/>
      <c r="M39" s="81"/>
      <c r="N39" s="80"/>
      <c r="O39" s="82"/>
      <c r="P39" s="82"/>
      <c r="Q39" s="83"/>
      <c r="R39" s="83"/>
      <c r="S39" s="83"/>
      <c r="T39" s="84"/>
    </row>
    <row r="40" customFormat="false" ht="15" hidden="false" customHeight="false" outlineLevel="0" collapsed="false">
      <c r="B40" s="78"/>
      <c r="C40" s="78"/>
      <c r="D40" s="78"/>
      <c r="E40" s="74"/>
      <c r="F40" s="79"/>
      <c r="G40" s="79"/>
      <c r="H40" s="80"/>
      <c r="I40" s="80"/>
      <c r="J40" s="80"/>
      <c r="K40" s="80"/>
      <c r="L40" s="81"/>
      <c r="M40" s="81"/>
      <c r="N40" s="80"/>
      <c r="O40" s="82"/>
      <c r="P40" s="82"/>
      <c r="Q40" s="83"/>
      <c r="R40" s="83"/>
      <c r="S40" s="83"/>
      <c r="T40" s="84"/>
    </row>
    <row r="41" customFormat="false" ht="15" hidden="false" customHeight="false" outlineLevel="0" collapsed="false">
      <c r="B41" s="78"/>
      <c r="C41" s="78"/>
      <c r="D41" s="78"/>
      <c r="E41" s="74"/>
      <c r="F41" s="79"/>
      <c r="G41" s="79"/>
      <c r="H41" s="80"/>
      <c r="I41" s="80"/>
      <c r="J41" s="80"/>
      <c r="K41" s="80"/>
      <c r="L41" s="81"/>
      <c r="M41" s="81"/>
      <c r="N41" s="80"/>
      <c r="O41" s="82"/>
      <c r="P41" s="82"/>
      <c r="Q41" s="83"/>
      <c r="R41" s="83"/>
      <c r="S41" s="83"/>
      <c r="T41" s="84"/>
    </row>
    <row r="42" customFormat="false" ht="15" hidden="false" customHeight="false" outlineLevel="0" collapsed="false">
      <c r="B42" s="78"/>
      <c r="C42" s="78"/>
      <c r="D42" s="78"/>
      <c r="E42" s="74"/>
      <c r="F42" s="79"/>
      <c r="G42" s="79"/>
      <c r="H42" s="80"/>
      <c r="I42" s="80"/>
      <c r="J42" s="80"/>
      <c r="K42" s="80"/>
      <c r="L42" s="81"/>
      <c r="M42" s="81"/>
      <c r="N42" s="80"/>
      <c r="O42" s="82"/>
      <c r="P42" s="82"/>
      <c r="Q42" s="83"/>
      <c r="R42" s="83"/>
      <c r="S42" s="83"/>
      <c r="T42" s="84"/>
    </row>
    <row r="43" customFormat="false" ht="15" hidden="false" customHeight="false" outlineLevel="0" collapsed="false">
      <c r="B43" s="78"/>
      <c r="C43" s="78"/>
      <c r="D43" s="78"/>
      <c r="E43" s="74"/>
      <c r="F43" s="79"/>
      <c r="G43" s="79"/>
      <c r="H43" s="80"/>
      <c r="I43" s="80"/>
      <c r="J43" s="80"/>
      <c r="K43" s="80"/>
      <c r="L43" s="81"/>
      <c r="M43" s="81"/>
      <c r="N43" s="80"/>
      <c r="O43" s="82"/>
      <c r="P43" s="82"/>
      <c r="Q43" s="83"/>
      <c r="R43" s="83"/>
      <c r="S43" s="83"/>
      <c r="T43" s="84"/>
    </row>
    <row r="44" customFormat="false" ht="15" hidden="false" customHeight="false" outlineLevel="0" collapsed="false">
      <c r="B44" s="78"/>
      <c r="C44" s="78"/>
      <c r="D44" s="78"/>
      <c r="E44" s="74"/>
      <c r="F44" s="79"/>
      <c r="G44" s="79"/>
      <c r="H44" s="80"/>
      <c r="I44" s="80"/>
      <c r="J44" s="80"/>
      <c r="K44" s="80"/>
      <c r="L44" s="81"/>
      <c r="M44" s="81"/>
      <c r="N44" s="80"/>
      <c r="O44" s="82"/>
      <c r="P44" s="82"/>
      <c r="Q44" s="83"/>
      <c r="R44" s="83"/>
      <c r="S44" s="83"/>
      <c r="T44" s="84"/>
    </row>
    <row r="45" customFormat="false" ht="15" hidden="false" customHeight="false" outlineLevel="0" collapsed="false">
      <c r="B45" s="78"/>
      <c r="C45" s="78"/>
      <c r="D45" s="78"/>
      <c r="E45" s="74"/>
      <c r="F45" s="79"/>
      <c r="G45" s="79"/>
      <c r="H45" s="80"/>
      <c r="I45" s="80"/>
      <c r="J45" s="80"/>
      <c r="K45" s="80"/>
      <c r="L45" s="81"/>
      <c r="M45" s="81"/>
      <c r="N45" s="80"/>
      <c r="O45" s="82"/>
      <c r="P45" s="82"/>
      <c r="Q45" s="83"/>
      <c r="R45" s="83"/>
      <c r="S45" s="83"/>
      <c r="T45" s="84"/>
    </row>
    <row r="46" customFormat="false" ht="15" hidden="false" customHeight="false" outlineLevel="0" collapsed="false">
      <c r="B46" s="78"/>
      <c r="C46" s="78"/>
      <c r="D46" s="78"/>
      <c r="E46" s="74"/>
      <c r="F46" s="79"/>
      <c r="G46" s="79"/>
      <c r="H46" s="80"/>
      <c r="I46" s="80"/>
      <c r="J46" s="80"/>
      <c r="K46" s="80"/>
      <c r="L46" s="81"/>
      <c r="M46" s="81"/>
      <c r="N46" s="80"/>
      <c r="O46" s="82"/>
      <c r="P46" s="82"/>
      <c r="Q46" s="83"/>
      <c r="R46" s="83"/>
      <c r="S46" s="83"/>
      <c r="T46" s="84"/>
    </row>
    <row r="47" customFormat="false" ht="15" hidden="false" customHeight="false" outlineLevel="0" collapsed="false">
      <c r="B47" s="78"/>
      <c r="C47" s="78"/>
      <c r="D47" s="78"/>
      <c r="E47" s="74"/>
      <c r="F47" s="79"/>
      <c r="G47" s="79"/>
      <c r="H47" s="80"/>
      <c r="I47" s="80"/>
      <c r="J47" s="80"/>
      <c r="K47" s="80"/>
      <c r="L47" s="81"/>
      <c r="M47" s="81"/>
      <c r="N47" s="80"/>
      <c r="O47" s="82"/>
      <c r="P47" s="82"/>
      <c r="Q47" s="83"/>
      <c r="R47" s="83"/>
      <c r="S47" s="83"/>
      <c r="T47" s="84"/>
    </row>
    <row r="48" customFormat="false" ht="15" hidden="false" customHeight="false" outlineLevel="0" collapsed="false">
      <c r="B48" s="78"/>
      <c r="C48" s="78"/>
      <c r="D48" s="78"/>
      <c r="E48" s="74"/>
      <c r="F48" s="79"/>
      <c r="G48" s="79"/>
      <c r="H48" s="80"/>
      <c r="I48" s="80"/>
      <c r="J48" s="80"/>
      <c r="K48" s="80"/>
      <c r="L48" s="81"/>
      <c r="M48" s="81"/>
      <c r="N48" s="80"/>
      <c r="O48" s="82"/>
      <c r="P48" s="82"/>
      <c r="Q48" s="83"/>
      <c r="R48" s="83"/>
      <c r="S48" s="83"/>
      <c r="T48" s="84"/>
    </row>
    <row r="49" customFormat="false" ht="15" hidden="false" customHeight="false" outlineLevel="0" collapsed="false">
      <c r="B49" s="78"/>
      <c r="C49" s="78"/>
      <c r="D49" s="78"/>
      <c r="E49" s="74"/>
      <c r="F49" s="79"/>
      <c r="G49" s="79"/>
      <c r="H49" s="80"/>
      <c r="I49" s="80"/>
      <c r="J49" s="80"/>
      <c r="K49" s="80"/>
      <c r="L49" s="81"/>
      <c r="M49" s="81"/>
      <c r="N49" s="80"/>
      <c r="O49" s="82"/>
      <c r="P49" s="82"/>
      <c r="Q49" s="83"/>
      <c r="R49" s="83"/>
      <c r="S49" s="83"/>
      <c r="T49" s="84"/>
    </row>
    <row r="50" customFormat="false" ht="15" hidden="false" customHeight="false" outlineLevel="0" collapsed="false">
      <c r="B50" s="78"/>
      <c r="C50" s="78"/>
      <c r="D50" s="78"/>
      <c r="E50" s="74"/>
      <c r="F50" s="79"/>
      <c r="G50" s="79"/>
      <c r="H50" s="80"/>
      <c r="I50" s="80"/>
      <c r="J50" s="80"/>
      <c r="K50" s="80"/>
      <c r="L50" s="81"/>
      <c r="M50" s="81"/>
      <c r="N50" s="80"/>
      <c r="O50" s="82"/>
      <c r="P50" s="82"/>
      <c r="Q50" s="83"/>
      <c r="R50" s="83"/>
      <c r="S50" s="83"/>
      <c r="T50" s="84"/>
    </row>
    <row r="51" customFormat="false" ht="15" hidden="false" customHeight="false" outlineLevel="0" collapsed="false">
      <c r="B51" s="78"/>
      <c r="C51" s="78"/>
      <c r="D51" s="78"/>
      <c r="E51" s="74"/>
      <c r="F51" s="79"/>
      <c r="G51" s="79"/>
      <c r="H51" s="80"/>
      <c r="I51" s="80"/>
      <c r="J51" s="80"/>
      <c r="K51" s="80"/>
      <c r="L51" s="81"/>
      <c r="M51" s="81"/>
      <c r="N51" s="80"/>
      <c r="O51" s="82"/>
      <c r="P51" s="82"/>
      <c r="Q51" s="83"/>
      <c r="R51" s="83"/>
      <c r="S51" s="83"/>
      <c r="T51" s="84"/>
    </row>
    <row r="52" customFormat="false" ht="15" hidden="false" customHeight="false" outlineLevel="0" collapsed="false">
      <c r="B52" s="78"/>
      <c r="C52" s="78"/>
      <c r="D52" s="78"/>
      <c r="E52" s="74"/>
      <c r="F52" s="79"/>
      <c r="G52" s="79"/>
      <c r="H52" s="80"/>
      <c r="I52" s="80"/>
      <c r="J52" s="80"/>
      <c r="K52" s="80"/>
      <c r="L52" s="81"/>
      <c r="M52" s="81"/>
      <c r="N52" s="80"/>
      <c r="O52" s="82"/>
      <c r="P52" s="82"/>
      <c r="Q52" s="83"/>
      <c r="R52" s="83"/>
      <c r="S52" s="83"/>
      <c r="T52" s="84"/>
    </row>
    <row r="53" customFormat="false" ht="15" hidden="false" customHeight="false" outlineLevel="0" collapsed="false">
      <c r="B53" s="78"/>
      <c r="C53" s="78"/>
      <c r="D53" s="78"/>
      <c r="E53" s="74"/>
      <c r="F53" s="79"/>
      <c r="G53" s="79"/>
      <c r="H53" s="80"/>
      <c r="I53" s="80"/>
      <c r="J53" s="80"/>
      <c r="K53" s="80"/>
      <c r="L53" s="81"/>
      <c r="M53" s="81"/>
      <c r="N53" s="80"/>
      <c r="O53" s="82"/>
      <c r="P53" s="82"/>
      <c r="Q53" s="83"/>
      <c r="R53" s="83"/>
      <c r="S53" s="83"/>
      <c r="T53" s="84"/>
    </row>
    <row r="54" customFormat="false" ht="15" hidden="false" customHeight="false" outlineLevel="0" collapsed="false">
      <c r="B54" s="78"/>
      <c r="C54" s="78"/>
      <c r="D54" s="78"/>
      <c r="E54" s="74"/>
      <c r="F54" s="79"/>
      <c r="G54" s="79"/>
      <c r="H54" s="80"/>
      <c r="I54" s="80"/>
      <c r="J54" s="80"/>
      <c r="K54" s="80"/>
      <c r="L54" s="81"/>
      <c r="M54" s="81"/>
      <c r="N54" s="80"/>
      <c r="O54" s="82"/>
      <c r="P54" s="82"/>
      <c r="Q54" s="83"/>
      <c r="R54" s="83"/>
      <c r="S54" s="83"/>
      <c r="T54" s="84"/>
    </row>
    <row r="55" customFormat="false" ht="15" hidden="false" customHeight="false" outlineLevel="0" collapsed="false">
      <c r="B55" s="78"/>
      <c r="C55" s="78"/>
      <c r="D55" s="78"/>
      <c r="E55" s="74"/>
      <c r="F55" s="79"/>
      <c r="G55" s="79"/>
      <c r="H55" s="80"/>
      <c r="I55" s="80"/>
      <c r="J55" s="80"/>
      <c r="K55" s="80"/>
      <c r="L55" s="81"/>
      <c r="M55" s="81"/>
      <c r="N55" s="80"/>
      <c r="O55" s="82"/>
      <c r="P55" s="82"/>
      <c r="Q55" s="83"/>
      <c r="R55" s="83"/>
      <c r="S55" s="83"/>
      <c r="T55" s="84"/>
    </row>
    <row r="56" customFormat="false" ht="15" hidden="false" customHeight="false" outlineLevel="0" collapsed="false">
      <c r="B56" s="78"/>
      <c r="C56" s="78"/>
      <c r="D56" s="78"/>
      <c r="E56" s="74"/>
      <c r="F56" s="79"/>
      <c r="G56" s="79"/>
      <c r="H56" s="80"/>
      <c r="I56" s="80"/>
      <c r="J56" s="80"/>
      <c r="K56" s="80"/>
      <c r="L56" s="81"/>
      <c r="M56" s="81"/>
      <c r="N56" s="80"/>
      <c r="O56" s="82"/>
      <c r="P56" s="82"/>
      <c r="Q56" s="83"/>
      <c r="R56" s="83"/>
      <c r="S56" s="83"/>
      <c r="T56" s="84"/>
    </row>
    <row r="57" customFormat="false" ht="15" hidden="false" customHeight="false" outlineLevel="0" collapsed="false">
      <c r="B57" s="78"/>
      <c r="C57" s="78"/>
      <c r="D57" s="78"/>
      <c r="E57" s="74"/>
      <c r="F57" s="79"/>
      <c r="G57" s="79"/>
      <c r="H57" s="80"/>
      <c r="I57" s="80"/>
      <c r="J57" s="80"/>
      <c r="K57" s="80"/>
      <c r="L57" s="81"/>
      <c r="M57" s="81"/>
      <c r="N57" s="80"/>
      <c r="O57" s="82"/>
      <c r="P57" s="82"/>
      <c r="Q57" s="83"/>
      <c r="R57" s="83"/>
      <c r="S57" s="83"/>
      <c r="T57" s="84"/>
    </row>
    <row r="58" customFormat="false" ht="15" hidden="false" customHeight="false" outlineLevel="0" collapsed="false">
      <c r="B58" s="78"/>
      <c r="C58" s="78"/>
      <c r="D58" s="78"/>
      <c r="E58" s="74"/>
      <c r="F58" s="79"/>
      <c r="G58" s="79"/>
      <c r="H58" s="80"/>
      <c r="I58" s="80"/>
      <c r="J58" s="80"/>
      <c r="K58" s="80"/>
      <c r="L58" s="81"/>
      <c r="M58" s="81"/>
      <c r="N58" s="80"/>
      <c r="O58" s="82"/>
      <c r="P58" s="82"/>
      <c r="Q58" s="83"/>
      <c r="R58" s="83"/>
      <c r="S58" s="83"/>
      <c r="T58" s="84"/>
    </row>
    <row r="59" customFormat="false" ht="15" hidden="false" customHeight="false" outlineLevel="0" collapsed="false">
      <c r="B59" s="78"/>
      <c r="C59" s="78"/>
      <c r="D59" s="78"/>
      <c r="E59" s="74"/>
      <c r="F59" s="79"/>
      <c r="G59" s="79"/>
      <c r="H59" s="80"/>
      <c r="I59" s="80"/>
      <c r="J59" s="80"/>
      <c r="K59" s="80"/>
      <c r="L59" s="81"/>
      <c r="M59" s="81"/>
      <c r="N59" s="80"/>
      <c r="O59" s="82"/>
      <c r="P59" s="82"/>
      <c r="Q59" s="83"/>
      <c r="R59" s="83"/>
      <c r="S59" s="83"/>
      <c r="T59" s="84"/>
    </row>
    <row r="60" customFormat="false" ht="15" hidden="false" customHeight="false" outlineLevel="0" collapsed="false">
      <c r="B60" s="78"/>
      <c r="C60" s="78"/>
      <c r="D60" s="78"/>
      <c r="E60" s="74"/>
      <c r="F60" s="79"/>
      <c r="G60" s="79"/>
      <c r="H60" s="80"/>
      <c r="I60" s="80"/>
      <c r="J60" s="80"/>
      <c r="K60" s="80"/>
      <c r="L60" s="81"/>
      <c r="M60" s="81"/>
      <c r="N60" s="80"/>
      <c r="O60" s="82"/>
      <c r="P60" s="82"/>
      <c r="Q60" s="83"/>
      <c r="R60" s="83"/>
      <c r="S60" s="83"/>
      <c r="T60" s="84"/>
    </row>
    <row r="61" customFormat="false" ht="15" hidden="false" customHeight="false" outlineLevel="0" collapsed="false">
      <c r="B61" s="78"/>
      <c r="C61" s="78"/>
      <c r="D61" s="78"/>
      <c r="E61" s="74"/>
      <c r="F61" s="79"/>
      <c r="G61" s="79"/>
      <c r="H61" s="80"/>
      <c r="I61" s="80"/>
      <c r="J61" s="80"/>
      <c r="K61" s="80"/>
      <c r="L61" s="81"/>
      <c r="M61" s="81"/>
      <c r="N61" s="80"/>
      <c r="O61" s="82"/>
      <c r="P61" s="82"/>
      <c r="Q61" s="83"/>
      <c r="R61" s="83"/>
      <c r="S61" s="83"/>
      <c r="T61" s="84"/>
    </row>
    <row r="62" customFormat="false" ht="15" hidden="false" customHeight="false" outlineLevel="0" collapsed="false">
      <c r="B62" s="78"/>
      <c r="C62" s="78"/>
      <c r="D62" s="78"/>
      <c r="E62" s="74"/>
      <c r="F62" s="79"/>
      <c r="G62" s="79"/>
      <c r="H62" s="80"/>
      <c r="I62" s="80"/>
      <c r="J62" s="80"/>
      <c r="K62" s="80"/>
      <c r="L62" s="81"/>
      <c r="M62" s="81"/>
      <c r="N62" s="80"/>
      <c r="O62" s="82"/>
      <c r="P62" s="82"/>
      <c r="Q62" s="83"/>
      <c r="R62" s="83"/>
      <c r="S62" s="83"/>
      <c r="T62" s="84"/>
    </row>
    <row r="63" customFormat="false" ht="15" hidden="false" customHeight="false" outlineLevel="0" collapsed="false">
      <c r="B63" s="78"/>
      <c r="C63" s="78"/>
      <c r="D63" s="78"/>
      <c r="E63" s="74"/>
      <c r="F63" s="79"/>
      <c r="G63" s="79"/>
      <c r="H63" s="80"/>
      <c r="I63" s="80"/>
      <c r="J63" s="80"/>
      <c r="K63" s="80"/>
      <c r="L63" s="81"/>
      <c r="M63" s="81"/>
      <c r="N63" s="80"/>
      <c r="O63" s="82"/>
      <c r="P63" s="82"/>
      <c r="Q63" s="83"/>
      <c r="R63" s="83"/>
      <c r="S63" s="83"/>
      <c r="T63" s="84"/>
    </row>
    <row r="64" customFormat="false" ht="15" hidden="false" customHeight="false" outlineLevel="0" collapsed="false">
      <c r="B64" s="78"/>
      <c r="C64" s="78"/>
      <c r="D64" s="78"/>
      <c r="E64" s="74"/>
      <c r="F64" s="79"/>
      <c r="G64" s="79"/>
      <c r="H64" s="80"/>
      <c r="I64" s="80"/>
      <c r="J64" s="80"/>
      <c r="K64" s="80"/>
      <c r="L64" s="81"/>
      <c r="M64" s="81"/>
      <c r="N64" s="80"/>
      <c r="O64" s="82"/>
      <c r="P64" s="82"/>
      <c r="Q64" s="83"/>
      <c r="R64" s="83"/>
      <c r="S64" s="83"/>
      <c r="T64" s="84"/>
    </row>
    <row r="65" customFormat="false" ht="15" hidden="false" customHeight="false" outlineLevel="0" collapsed="false">
      <c r="B65" s="78"/>
      <c r="C65" s="78"/>
      <c r="D65" s="78"/>
      <c r="E65" s="74"/>
      <c r="F65" s="79"/>
      <c r="G65" s="79"/>
      <c r="H65" s="80"/>
      <c r="I65" s="80"/>
      <c r="J65" s="80"/>
      <c r="K65" s="80"/>
      <c r="L65" s="81"/>
      <c r="M65" s="81"/>
      <c r="N65" s="80"/>
      <c r="O65" s="82"/>
      <c r="P65" s="82"/>
      <c r="Q65" s="83"/>
      <c r="R65" s="83"/>
      <c r="S65" s="83"/>
      <c r="T65" s="84"/>
    </row>
    <row r="66" customFormat="false" ht="15" hidden="false" customHeight="false" outlineLevel="0" collapsed="false">
      <c r="B66" s="78"/>
      <c r="C66" s="78"/>
      <c r="D66" s="78"/>
      <c r="E66" s="74"/>
      <c r="F66" s="79"/>
      <c r="G66" s="79"/>
      <c r="H66" s="80"/>
      <c r="I66" s="80"/>
      <c r="J66" s="80"/>
      <c r="K66" s="80"/>
      <c r="L66" s="81"/>
      <c r="M66" s="81"/>
      <c r="N66" s="80"/>
      <c r="O66" s="82"/>
      <c r="P66" s="82"/>
      <c r="Q66" s="83"/>
      <c r="R66" s="83"/>
      <c r="S66" s="83"/>
      <c r="T66" s="84"/>
    </row>
    <row r="67" customFormat="false" ht="15" hidden="false" customHeight="false" outlineLevel="0" collapsed="false">
      <c r="B67" s="78"/>
      <c r="C67" s="78"/>
      <c r="D67" s="78"/>
      <c r="E67" s="74"/>
      <c r="F67" s="79"/>
      <c r="G67" s="79"/>
      <c r="H67" s="80"/>
      <c r="I67" s="80"/>
      <c r="J67" s="80"/>
      <c r="K67" s="80"/>
      <c r="L67" s="81"/>
      <c r="M67" s="81"/>
      <c r="N67" s="80"/>
      <c r="O67" s="82"/>
      <c r="P67" s="82"/>
      <c r="Q67" s="83"/>
      <c r="R67" s="83"/>
      <c r="S67" s="83"/>
      <c r="T67" s="84"/>
    </row>
    <row r="68" customFormat="false" ht="15" hidden="false" customHeight="false" outlineLevel="0" collapsed="false">
      <c r="B68" s="78"/>
      <c r="C68" s="78"/>
      <c r="D68" s="78"/>
      <c r="E68" s="74"/>
      <c r="F68" s="79"/>
      <c r="G68" s="79"/>
      <c r="H68" s="80"/>
      <c r="I68" s="80"/>
      <c r="J68" s="80"/>
      <c r="K68" s="80"/>
      <c r="L68" s="81"/>
      <c r="M68" s="81"/>
      <c r="N68" s="80"/>
      <c r="O68" s="82"/>
      <c r="P68" s="82"/>
      <c r="Q68" s="83"/>
      <c r="R68" s="83"/>
      <c r="S68" s="83"/>
      <c r="T68" s="8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E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4" min="3" style="0" width="24"/>
    <col collapsed="false" customWidth="true" hidden="false" outlineLevel="0" max="5" min="5" style="0" width="80"/>
  </cols>
  <sheetData>
    <row r="1" customFormat="false" ht="19.7" hidden="false" customHeight="false" outlineLevel="0" collapsed="false">
      <c r="A1" s="26" t="s">
        <v>351</v>
      </c>
    </row>
    <row r="2" customFormat="false" ht="15" hidden="false" customHeight="false" outlineLevel="0" collapsed="false">
      <c r="A2" s="8" t="s">
        <v>352</v>
      </c>
    </row>
    <row r="4" customFormat="false" ht="15" hidden="false" customHeight="false" outlineLevel="0" collapsed="false">
      <c r="B4" s="9" t="s">
        <v>353</v>
      </c>
      <c r="C4" s="9" t="s">
        <v>90</v>
      </c>
      <c r="D4" s="9" t="s">
        <v>354</v>
      </c>
      <c r="E4" s="9" t="s">
        <v>193</v>
      </c>
    </row>
    <row r="5" customFormat="false" ht="15" hidden="false" customHeight="false" outlineLevel="0" collapsed="false">
      <c r="B5" s="64" t="s">
        <v>355</v>
      </c>
      <c r="C5" s="85" t="s">
        <v>356</v>
      </c>
      <c r="D5" s="86" t="s">
        <v>357</v>
      </c>
      <c r="E5" s="8" t="s">
        <v>358</v>
      </c>
    </row>
    <row r="6" customFormat="false" ht="15" hidden="false" customHeight="false" outlineLevel="0" collapsed="false">
      <c r="B6" s="64" t="s">
        <v>359</v>
      </c>
      <c r="C6" s="85" t="s">
        <v>285</v>
      </c>
      <c r="D6" s="86" t="s">
        <v>360</v>
      </c>
      <c r="E6" s="8"/>
    </row>
    <row r="7" customFormat="false" ht="15" hidden="false" customHeight="false" outlineLevel="0" collapsed="false">
      <c r="B7" s="64" t="s">
        <v>361</v>
      </c>
      <c r="C7" s="73" t="n">
        <v>46272</v>
      </c>
      <c r="D7" s="86" t="s">
        <v>362</v>
      </c>
      <c r="E7" s="8" t="s">
        <v>363</v>
      </c>
    </row>
    <row r="8" customFormat="false" ht="15" hidden="false" customHeight="false" outlineLevel="0" collapsed="false">
      <c r="B8" s="64" t="s">
        <v>364</v>
      </c>
      <c r="C8" s="25" t="n">
        <f aca="false">MAX(1,N(ProjectStartDate))</f>
        <v>46272</v>
      </c>
      <c r="D8" s="86" t="s">
        <v>365</v>
      </c>
      <c r="E8" s="8" t="s">
        <v>366</v>
      </c>
    </row>
    <row r="9" customFormat="false" ht="15" hidden="false" customHeight="false" outlineLevel="0" collapsed="false">
      <c r="B9" s="64" t="s">
        <v>367</v>
      </c>
      <c r="C9" s="73" t="n">
        <v>46320</v>
      </c>
      <c r="D9" s="86" t="s">
        <v>368</v>
      </c>
      <c r="E9" s="8" t="s">
        <v>369</v>
      </c>
    </row>
    <row r="10" customFormat="false" ht="15" hidden="false" customHeight="false" outlineLevel="0" collapsed="false">
      <c r="B10" s="64" t="s">
        <v>370</v>
      </c>
      <c r="C10" s="25" t="n">
        <f aca="false">IF(N(StatusDateInput)&gt;0,StatusDateInput,ProjectStart)</f>
        <v>46320</v>
      </c>
      <c r="D10" s="86" t="s">
        <v>371</v>
      </c>
      <c r="E10" s="8" t="s">
        <v>372</v>
      </c>
    </row>
    <row r="11" customFormat="false" ht="15" hidden="false" customHeight="false" outlineLevel="0" collapsed="false">
      <c r="B11" s="64" t="s">
        <v>373</v>
      </c>
      <c r="C11" s="25" t="n">
        <f aca="false">WORKDAY.INTL(StatusDate-1,1,WorkWeek,Holidays)</f>
        <v>46321</v>
      </c>
      <c r="D11" s="86" t="s">
        <v>374</v>
      </c>
      <c r="E11" s="8"/>
    </row>
    <row r="12" customFormat="false" ht="15" hidden="false" customHeight="false" outlineLevel="0" collapsed="false">
      <c r="B12" s="64" t="s">
        <v>375</v>
      </c>
      <c r="C12" s="85" t="s">
        <v>376</v>
      </c>
      <c r="D12" s="86" t="s">
        <v>377</v>
      </c>
      <c r="E12" s="8" t="s">
        <v>378</v>
      </c>
    </row>
    <row r="13" customFormat="false" ht="15" hidden="false" customHeight="false" outlineLevel="0" collapsed="false">
      <c r="B13" s="64" t="s">
        <v>379</v>
      </c>
      <c r="C13" s="87" t="n">
        <v>8</v>
      </c>
      <c r="D13" s="86" t="s">
        <v>380</v>
      </c>
      <c r="E13" s="8" t="s">
        <v>381</v>
      </c>
    </row>
    <row r="14" customFormat="false" ht="15" hidden="false" customHeight="false" outlineLevel="0" collapsed="false">
      <c r="B14" s="64" t="s">
        <v>382</v>
      </c>
      <c r="C14" s="88" t="n">
        <v>1</v>
      </c>
      <c r="D14" s="86" t="s">
        <v>383</v>
      </c>
      <c r="E14" s="8" t="s">
        <v>384</v>
      </c>
    </row>
    <row r="15" customFormat="false" ht="15" hidden="false" customHeight="false" outlineLevel="0" collapsed="false">
      <c r="B15" s="64" t="s">
        <v>385</v>
      </c>
      <c r="C15" s="85" t="s">
        <v>376</v>
      </c>
      <c r="D15" s="86" t="s">
        <v>386</v>
      </c>
      <c r="E15" s="8" t="s">
        <v>387</v>
      </c>
    </row>
    <row r="16" customFormat="false" ht="15" hidden="false" customHeight="false" outlineLevel="0" collapsed="false">
      <c r="B16" s="64" t="s">
        <v>388</v>
      </c>
      <c r="C16" s="85" t="s">
        <v>376</v>
      </c>
      <c r="D16" s="86" t="s">
        <v>389</v>
      </c>
      <c r="E16" s="8"/>
    </row>
    <row r="17" customFormat="false" ht="15" hidden="false" customHeight="false" outlineLevel="0" collapsed="false">
      <c r="B17" s="64" t="s">
        <v>390</v>
      </c>
      <c r="C17" s="85" t="s">
        <v>376</v>
      </c>
      <c r="D17" s="86" t="s">
        <v>391</v>
      </c>
      <c r="E17" s="8"/>
    </row>
    <row r="18" customFormat="false" ht="15" hidden="false" customHeight="false" outlineLevel="0" collapsed="false">
      <c r="B18" s="64" t="s">
        <v>392</v>
      </c>
      <c r="C18" s="85" t="s">
        <v>376</v>
      </c>
      <c r="D18" s="86" t="s">
        <v>393</v>
      </c>
      <c r="E18" s="8"/>
    </row>
    <row r="19" customFormat="false" ht="15" hidden="false" customHeight="false" outlineLevel="0" collapsed="false">
      <c r="B19" s="64" t="s">
        <v>394</v>
      </c>
      <c r="C19" s="85" t="s">
        <v>376</v>
      </c>
      <c r="D19" s="86" t="s">
        <v>395</v>
      </c>
      <c r="E19" s="8"/>
    </row>
    <row r="20" customFormat="false" ht="15" hidden="false" customHeight="false" outlineLevel="0" collapsed="false">
      <c r="B20" s="64" t="s">
        <v>396</v>
      </c>
      <c r="C20" s="85" t="s">
        <v>397</v>
      </c>
      <c r="D20" s="86" t="s">
        <v>398</v>
      </c>
      <c r="E20" s="8"/>
    </row>
    <row r="21" customFormat="false" ht="15" hidden="false" customHeight="false" outlineLevel="0" collapsed="false">
      <c r="B21" s="64" t="s">
        <v>399</v>
      </c>
      <c r="C21" s="85" t="s">
        <v>397</v>
      </c>
      <c r="D21" s="86" t="s">
        <v>400</v>
      </c>
      <c r="E21" s="8"/>
    </row>
    <row r="22" customFormat="false" ht="15" hidden="false" customHeight="false" outlineLevel="0" collapsed="false">
      <c r="B22" s="64" t="s">
        <v>401</v>
      </c>
      <c r="C22" s="89" t="str">
        <f aca="false">IF(WorkMon="Yes","0","1")&amp;IF(WorkTue="Yes","0","1")&amp;IF(WorkWed="Yes","0","1")&amp;IF(WorkThu="Yes","0","1")&amp;IF(WorkFri="Yes","0","1")&amp;IF(WorkSat="Yes","0","1")&amp;IF(WorkSun="Yes","0","1")</f>
        <v>0000011</v>
      </c>
      <c r="D22" s="86" t="s">
        <v>402</v>
      </c>
      <c r="E22" s="8" t="s">
        <v>403</v>
      </c>
    </row>
    <row r="23" customFormat="false" ht="15" hidden="false" customHeight="false" outlineLevel="0" collapsed="false">
      <c r="B23" s="64" t="s">
        <v>404</v>
      </c>
      <c r="C23" s="73" t="n">
        <f aca="false">ProjectStart-WEEKDAY(ProjectStart,3)</f>
        <v>46272</v>
      </c>
      <c r="D23" s="86" t="s">
        <v>405</v>
      </c>
      <c r="E23" s="8" t="s">
        <v>406</v>
      </c>
    </row>
    <row r="24" customFormat="false" ht="15" hidden="false" customHeight="false" outlineLevel="0" collapsed="false">
      <c r="B24" s="64" t="s">
        <v>407</v>
      </c>
      <c r="C24" s="90" t="n">
        <v>1</v>
      </c>
      <c r="D24" s="86" t="s">
        <v>408</v>
      </c>
      <c r="E24" s="8" t="s">
        <v>409</v>
      </c>
    </row>
    <row r="25" customFormat="false" ht="15" hidden="false" customHeight="false" outlineLevel="0" collapsed="false">
      <c r="B25" s="64" t="s">
        <v>410</v>
      </c>
      <c r="C25" s="73" t="n">
        <f aca="false">ProjectStart</f>
        <v>46272</v>
      </c>
      <c r="D25" s="86" t="s">
        <v>411</v>
      </c>
      <c r="E25" s="8" t="s">
        <v>412</v>
      </c>
    </row>
    <row r="26" customFormat="false" ht="15" hidden="false" customHeight="false" outlineLevel="0" collapsed="false">
      <c r="B26" s="64" t="s">
        <v>413</v>
      </c>
      <c r="C26" s="90" t="n">
        <v>14</v>
      </c>
      <c r="D26" s="86" t="s">
        <v>414</v>
      </c>
      <c r="E26" s="8" t="s">
        <v>415</v>
      </c>
    </row>
    <row r="27" customFormat="false" ht="15" hidden="false" customHeight="false" outlineLevel="0" collapsed="false">
      <c r="B27" s="64" t="s">
        <v>416</v>
      </c>
      <c r="C27" s="90" t="n">
        <v>12</v>
      </c>
      <c r="D27" s="86" t="s">
        <v>417</v>
      </c>
      <c r="E27" s="8" t="s">
        <v>418</v>
      </c>
    </row>
    <row r="28" customFormat="false" ht="15" hidden="false" customHeight="false" outlineLevel="0" collapsed="false">
      <c r="B28" s="64" t="s">
        <v>419</v>
      </c>
      <c r="C28" s="85" t="s">
        <v>420</v>
      </c>
      <c r="D28" s="86" t="s">
        <v>421</v>
      </c>
      <c r="E28" s="8" t="s">
        <v>422</v>
      </c>
    </row>
    <row r="29" customFormat="false" ht="15" hidden="false" customHeight="false" outlineLevel="0" collapsed="false">
      <c r="B29" s="64" t="s">
        <v>423</v>
      </c>
      <c r="C29" s="25" t="n">
        <f aca="false">INDEX(spr_End,SprintCount)</f>
        <v>46439</v>
      </c>
      <c r="D29" s="86" t="s">
        <v>424</v>
      </c>
      <c r="E29" s="8"/>
    </row>
    <row r="30" customFormat="false" ht="15" hidden="false" customHeight="false" outlineLevel="0" collapsed="false">
      <c r="B30" s="64" t="s">
        <v>425</v>
      </c>
      <c r="C30" s="89" t="str">
        <f aca="false">IF(OR(StatusDate&lt;Sprint1Start,StatusDate&gt;SprintLastEnd),"",INDEX(spr_Name,MATCH(StatusDate,spr_Start,1)))</f>
        <v>Sprint 4</v>
      </c>
      <c r="D30" s="86" t="s">
        <v>426</v>
      </c>
      <c r="E30" s="8" t="s">
        <v>427</v>
      </c>
    </row>
    <row r="31" customFormat="false" ht="15" hidden="false" customHeight="false" outlineLevel="0" collapsed="false">
      <c r="B31" s="64" t="s">
        <v>428</v>
      </c>
      <c r="C31" s="25" t="n">
        <f aca="false">IF(CurrentSprint="","",INDEX(spr_Start,MATCH(CurrentSprint,spr_Name,0)))</f>
        <v>46314</v>
      </c>
      <c r="D31" s="86" t="s">
        <v>429</v>
      </c>
      <c r="E31" s="8"/>
    </row>
    <row r="32" customFormat="false" ht="15" hidden="false" customHeight="false" outlineLevel="0" collapsed="false">
      <c r="B32" s="64" t="s">
        <v>430</v>
      </c>
      <c r="C32" s="25" t="n">
        <f aca="false">IF(CurrentSprint="","",INDEX(spr_End,MATCH(CurrentSprint,spr_Name,0)))</f>
        <v>46327</v>
      </c>
      <c r="D32" s="86" t="s">
        <v>431</v>
      </c>
      <c r="E32" s="8"/>
    </row>
    <row r="33" customFormat="false" ht="15" hidden="false" customHeight="false" outlineLevel="0" collapsed="false">
      <c r="B33" s="64" t="s">
        <v>432</v>
      </c>
      <c r="C33" s="70" t="n">
        <f aca="false">SUM(tsk_LeafPoints)</f>
        <v>82</v>
      </c>
      <c r="D33" s="86" t="s">
        <v>433</v>
      </c>
      <c r="E33" s="8" t="s">
        <v>434</v>
      </c>
    </row>
    <row r="34" customFormat="false" ht="15" hidden="false" customHeight="false" outlineLevel="0" collapsed="false">
      <c r="B34" s="64" t="s">
        <v>435</v>
      </c>
      <c r="C34" s="90" t="n">
        <v>0</v>
      </c>
      <c r="D34" s="86" t="s">
        <v>436</v>
      </c>
      <c r="E34" s="8" t="s">
        <v>437</v>
      </c>
    </row>
    <row r="35" customFormat="false" ht="15" hidden="false" customHeight="false" outlineLevel="0" collapsed="false">
      <c r="B35" s="64" t="s">
        <v>438</v>
      </c>
      <c r="C35" s="25" t="n">
        <f aca="false">MAX(tsk_FcFinish)</f>
        <v>46393</v>
      </c>
      <c r="D35" s="86" t="s">
        <v>439</v>
      </c>
      <c r="E35" s="8" t="s">
        <v>440</v>
      </c>
    </row>
    <row r="36" customFormat="false" ht="15" hidden="false" customHeight="false" outlineLevel="0" collapsed="false">
      <c r="B36" s="64" t="s">
        <v>441</v>
      </c>
      <c r="C36" s="25" t="n">
        <f aca="false">MAX(tsk_PlanFinish)</f>
        <v>46393</v>
      </c>
      <c r="D36" s="86" t="s">
        <v>442</v>
      </c>
      <c r="E36" s="8" t="s">
        <v>443</v>
      </c>
    </row>
    <row r="37" customFormat="false" ht="15" hidden="false" customHeight="false" outlineLevel="0" collapsed="false">
      <c r="B37" s="64" t="s">
        <v>444</v>
      </c>
      <c r="C37" s="91" t="n">
        <f aca="false">IF(ProjectFinish&gt;=PlannedFinish,NETWORKDAYS.INTL(PlannedFinish,ProjectFinish,WorkWeek,Holidays)-1,1-NETWORKDAYS.INTL(ProjectFinish,PlannedFinish,WorkWeek,Holidays))</f>
        <v>0</v>
      </c>
      <c r="D37" s="86" t="s">
        <v>445</v>
      </c>
      <c r="E37" s="8" t="s">
        <v>446</v>
      </c>
    </row>
    <row r="38" customFormat="false" ht="15" hidden="false" customHeight="false" outlineLevel="0" collapsed="false">
      <c r="B38" s="64" t="s">
        <v>447</v>
      </c>
      <c r="C38" s="90" t="n">
        <v>10</v>
      </c>
      <c r="D38" s="86" t="s">
        <v>448</v>
      </c>
      <c r="E38" s="8" t="s">
        <v>449</v>
      </c>
    </row>
    <row r="39" customFormat="false" ht="15" hidden="false" customHeight="false" outlineLevel="0" collapsed="false">
      <c r="B39" s="64" t="s">
        <v>450</v>
      </c>
      <c r="C39" s="25" t="n">
        <f aca="false">WORKDAY.INTL(StatusDate-1,LookaheadDays,WorkWeek,Holidays)</f>
        <v>46332</v>
      </c>
      <c r="D39" s="86" t="s">
        <v>451</v>
      </c>
      <c r="E39" s="8"/>
    </row>
    <row r="40" customFormat="false" ht="15" hidden="false" customHeight="false" outlineLevel="0" collapsed="false">
      <c r="B40" s="64" t="s">
        <v>452</v>
      </c>
      <c r="C40" s="90" t="n">
        <v>3</v>
      </c>
      <c r="D40" s="86" t="s">
        <v>453</v>
      </c>
      <c r="E40" s="8" t="s">
        <v>454</v>
      </c>
    </row>
    <row r="41" customFormat="false" ht="15" hidden="false" customHeight="false" outlineLevel="0" collapsed="false">
      <c r="B41" s="64" t="s">
        <v>455</v>
      </c>
      <c r="C41" s="90" t="n">
        <v>10</v>
      </c>
      <c r="D41" s="86" t="s">
        <v>456</v>
      </c>
      <c r="E41" s="8"/>
    </row>
    <row r="42" customFormat="false" ht="15" hidden="false" customHeight="false" outlineLevel="0" collapsed="false">
      <c r="B42" s="64" t="s">
        <v>457</v>
      </c>
      <c r="C42" s="92" t="n">
        <v>0.95</v>
      </c>
      <c r="D42" s="86" t="s">
        <v>458</v>
      </c>
      <c r="E42" s="8" t="s">
        <v>459</v>
      </c>
    </row>
    <row r="43" customFormat="false" ht="15" hidden="false" customHeight="false" outlineLevel="0" collapsed="false">
      <c r="B43" s="64" t="s">
        <v>460</v>
      </c>
      <c r="C43" s="92" t="n">
        <v>0.85</v>
      </c>
      <c r="D43" s="86" t="s">
        <v>461</v>
      </c>
      <c r="E43" s="8"/>
    </row>
    <row r="44" customFormat="false" ht="15" hidden="false" customHeight="false" outlineLevel="0" collapsed="false">
      <c r="B44" s="64" t="s">
        <v>462</v>
      </c>
      <c r="C44" s="90" t="n">
        <v>15</v>
      </c>
      <c r="D44" s="86" t="s">
        <v>463</v>
      </c>
      <c r="E44" s="8" t="s">
        <v>464</v>
      </c>
    </row>
    <row r="45" customFormat="false" ht="15" hidden="false" customHeight="false" outlineLevel="0" collapsed="false">
      <c r="B45" s="64" t="s">
        <v>465</v>
      </c>
      <c r="C45" s="90" t="n">
        <v>8</v>
      </c>
      <c r="D45" s="86" t="s">
        <v>466</v>
      </c>
      <c r="E45" s="8"/>
    </row>
    <row r="46" customFormat="false" ht="15" hidden="false" customHeight="false" outlineLevel="0" collapsed="false">
      <c r="B46" s="64" t="s">
        <v>467</v>
      </c>
      <c r="C46" s="73" t="n">
        <f aca="false">MAX(2,StatusDate-WEEKDAY(StatusDate,3)-14)</f>
        <v>46300</v>
      </c>
      <c r="D46" s="86" t="s">
        <v>468</v>
      </c>
      <c r="E46" s="8" t="s">
        <v>469</v>
      </c>
    </row>
    <row r="47" customFormat="false" ht="15" hidden="false" customHeight="false" outlineLevel="0" collapsed="false">
      <c r="B47" s="64" t="s">
        <v>470</v>
      </c>
      <c r="C47" s="93" t="n">
        <f aca="false">MAX(tsk_UID)+1</f>
        <v>201</v>
      </c>
      <c r="D47" s="86" t="s">
        <v>471</v>
      </c>
      <c r="E47" s="8" t="s">
        <v>472</v>
      </c>
    </row>
  </sheetData>
  <conditionalFormatting sqref="C7">
    <cfRule type="expression" priority="2" aboveAverage="0" equalAverage="0" bottom="0" percent="0" rank="0" text="" dxfId="31">
      <formula>N(C7)=0</formula>
    </cfRule>
  </conditionalFormatting>
  <conditionalFormatting sqref="C9">
    <cfRule type="expression" priority="3" aboveAverage="0" equalAverage="0" bottom="0" percent="0" rank="0" text="" dxfId="31">
      <formula>N(C9)=0</formula>
    </cfRule>
  </conditionalFormatting>
  <dataValidations count="3">
    <dataValidation allowBlank="false" errorStyle="stop" operator="between" showDropDown="false" showErrorMessage="false" showInputMessage="false" sqref="C12 C15:C21" type="list">
      <formula1>L_YesNo</formula1>
      <formula2>0</formula2>
    </dataValidation>
    <dataValidation allowBlank="false" errorStyle="stop" operator="between" showDropDown="false" showErrorMessage="false" showInputMessage="false" sqref="C24" type="list">
      <formula1>L_Period</formula1>
      <formula2>0</formula2>
    </dataValidation>
    <dataValidation allowBlank="false" errorStyle="stop" operator="between" showDropDown="false" showErrorMessage="false" showInputMessage="false" sqref="C27" type="whole">
      <formula1>1</formula1>
      <formula2>26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DR205"/>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5" ySplit="5" topLeftCell="F6" activePane="bottomRight" state="frozen"/>
      <selection pane="topLeft" activeCell="A1" activeCellId="0" sqref="A1"/>
      <selection pane="topRight" activeCell="F1" activeCellId="0" sqref="F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6"/>
    <col collapsed="false" customWidth="true" hidden="false" outlineLevel="0" max="3" min="3" style="0" width="8"/>
    <col collapsed="false" customWidth="true" hidden="false" outlineLevel="0" max="4" min="4" style="0" width="6"/>
    <col collapsed="false" customWidth="true" hidden="false" outlineLevel="0" max="5" min="5" style="0" width="36"/>
    <col collapsed="false" customWidth="true" hidden="false" outlineLevel="0" max="6" min="6" style="0" width="8"/>
    <col collapsed="false" customWidth="true" hidden="false" outlineLevel="0" max="7" min="7" style="0" width="9"/>
    <col collapsed="false" customWidth="true" hidden="false" outlineLevel="0" max="8" min="8" style="0" width="7"/>
    <col collapsed="false" customWidth="true" hidden="false" outlineLevel="0" max="10" min="9" style="0" width="6"/>
    <col collapsed="false" customWidth="true" hidden="false" outlineLevel="0" max="11" min="11" style="0" width="7"/>
    <col collapsed="false" customWidth="true" hidden="false" outlineLevel="0" max="13" min="12" style="0" width="6"/>
    <col collapsed="false" customWidth="true" hidden="false" outlineLevel="0" max="21" min="14" style="0" width="15"/>
    <col collapsed="false" customWidth="true" hidden="false" outlineLevel="0" max="23" min="22" style="0" width="8"/>
    <col collapsed="false" customWidth="true" hidden="false" outlineLevel="0" max="25" min="24" style="0" width="15"/>
    <col collapsed="false" customWidth="true" hidden="false" outlineLevel="0" max="28" min="26" style="0" width="8"/>
    <col collapsed="false" customWidth="true" hidden="false" outlineLevel="0" max="29" min="29" style="0" width="12"/>
    <col collapsed="false" customWidth="true" hidden="false" outlineLevel="0" max="30" min="30" style="0" width="24"/>
    <col collapsed="false" customWidth="true" hidden="false" outlineLevel="0" max="32" min="31" style="0" width="9"/>
    <col collapsed="false" customWidth="true" hidden="false" outlineLevel="0" max="33" min="33" style="0" width="12"/>
    <col collapsed="false" customWidth="true" hidden="false" outlineLevel="0" max="34" min="34" style="0" width="16"/>
    <col collapsed="false" customWidth="true" hidden="false" outlineLevel="0" max="35" min="35" style="0" width="7"/>
    <col collapsed="false" customWidth="true" hidden="false" outlineLevel="0" max="36" min="36" style="0" width="9"/>
    <col collapsed="false" customWidth="true" hidden="false" outlineLevel="0" max="39" min="37" style="0" width="11"/>
    <col collapsed="false" customWidth="true" hidden="false" outlineLevel="0" max="40" min="40" style="0" width="10"/>
    <col collapsed="false" customWidth="true" hidden="false" outlineLevel="0" max="41" min="41" style="0" width="8"/>
    <col collapsed="false" customWidth="true" hidden="false" outlineLevel="0" max="42" min="42" style="0" width="14"/>
    <col collapsed="false" customWidth="true" hidden="false" outlineLevel="0" max="43" min="43" style="0" width="40"/>
    <col collapsed="false" customWidth="true" hidden="false" outlineLevel="0" max="45" min="44" style="0" width="15"/>
    <col collapsed="false" customWidth="true" hidden="false" outlineLevel="0" max="47" min="46" style="0" width="9"/>
    <col collapsed="false" customWidth="true" hidden="false" outlineLevel="0" max="48" min="48" style="0" width="11"/>
    <col collapsed="false" customWidth="true" hidden="false" outlineLevel="0" max="50" min="49" style="0" width="15"/>
    <col collapsed="false" customWidth="true" hidden="false" outlineLevel="0" max="52" min="51" style="0" width="9"/>
    <col collapsed="false" customWidth="true" hidden="false" outlineLevel="0" max="53" min="53" style="0" width="11"/>
    <col collapsed="false" customWidth="true" hidden="false" outlineLevel="0" max="55" min="54" style="0" width="9"/>
    <col collapsed="false" customWidth="true" hidden="false" outlineLevel="0" max="60" min="56" style="0" width="11"/>
    <col collapsed="false" customWidth="true" hidden="true" outlineLevel="1" max="122" min="61" style="0" width="11"/>
  </cols>
  <sheetData>
    <row r="1" customFormat="false" ht="19.7" hidden="false" customHeight="false" outlineLevel="0" collapsed="false">
      <c r="A1" s="26" t="str">
        <f aca="false">ProjectName&amp;"  -  Task Entry"</f>
        <v>Customer Portal Implementation  -  Task Entry</v>
      </c>
    </row>
    <row r="2" customFormat="false" ht="15" hidden="false" customHeight="false" outlineLevel="0" collapsed="false">
      <c r="A2" s="8" t="s">
        <v>473</v>
      </c>
    </row>
    <row r="3" customFormat="false" ht="15" hidden="false" customHeight="false" outlineLevel="0" collapsed="false">
      <c r="A3" s="36" t="str">
        <f aca="false">"Next free UID for a new row: "&amp;NextFreeUID</f>
        <v>Next free UID for a new row: 201</v>
      </c>
    </row>
    <row r="4" customFormat="false" ht="15" hidden="false" customHeight="false" outlineLevel="0" collapsed="false">
      <c r="A4" s="36" t="s">
        <v>474</v>
      </c>
      <c r="F4" s="36" t="s">
        <v>475</v>
      </c>
      <c r="P4" s="36" t="s">
        <v>476</v>
      </c>
      <c r="V4" s="36" t="s">
        <v>477</v>
      </c>
      <c r="X4" s="36" t="s">
        <v>478</v>
      </c>
      <c r="AC4" s="36" t="s">
        <v>479</v>
      </c>
      <c r="AE4" s="36" t="s">
        <v>480</v>
      </c>
      <c r="AH4" s="36" t="s">
        <v>481</v>
      </c>
      <c r="AR4" s="36" t="s">
        <v>482</v>
      </c>
      <c r="BB4" s="36" t="s">
        <v>483</v>
      </c>
      <c r="BE4" s="36" t="s">
        <v>484</v>
      </c>
      <c r="BI4" s="36" t="s">
        <v>485</v>
      </c>
    </row>
    <row r="5" customFormat="false" ht="42" hidden="false" customHeight="true" outlineLevel="0" collapsed="false">
      <c r="A5" s="9" t="s">
        <v>486</v>
      </c>
      <c r="B5" s="27" t="s">
        <v>487</v>
      </c>
      <c r="C5" s="9" t="s">
        <v>200</v>
      </c>
      <c r="D5" s="27" t="s">
        <v>488</v>
      </c>
      <c r="E5" s="27" t="s">
        <v>489</v>
      </c>
      <c r="F5" s="27" t="s">
        <v>55</v>
      </c>
      <c r="G5" s="27" t="s">
        <v>221</v>
      </c>
      <c r="H5" s="27" t="s">
        <v>490</v>
      </c>
      <c r="I5" s="27" t="s">
        <v>491</v>
      </c>
      <c r="J5" s="27" t="s">
        <v>492</v>
      </c>
      <c r="K5" s="27" t="s">
        <v>493</v>
      </c>
      <c r="L5" s="27" t="s">
        <v>494</v>
      </c>
      <c r="M5" s="27" t="s">
        <v>495</v>
      </c>
      <c r="N5" s="27" t="s">
        <v>496</v>
      </c>
      <c r="O5" s="27" t="s">
        <v>216</v>
      </c>
      <c r="P5" s="9" t="s">
        <v>497</v>
      </c>
      <c r="Q5" s="9" t="s">
        <v>202</v>
      </c>
      <c r="R5" s="27" t="s">
        <v>498</v>
      </c>
      <c r="S5" s="27" t="s">
        <v>499</v>
      </c>
      <c r="T5" s="9" t="s">
        <v>220</v>
      </c>
      <c r="U5" s="9" t="s">
        <v>203</v>
      </c>
      <c r="V5" s="9" t="s">
        <v>500</v>
      </c>
      <c r="W5" s="9" t="s">
        <v>204</v>
      </c>
      <c r="X5" s="9" t="s">
        <v>100</v>
      </c>
      <c r="Y5" s="9" t="s">
        <v>501</v>
      </c>
      <c r="Z5" s="9" t="s">
        <v>222</v>
      </c>
      <c r="AA5" s="9" t="s">
        <v>502</v>
      </c>
      <c r="AB5" s="9" t="s">
        <v>219</v>
      </c>
      <c r="AC5" s="9" t="s">
        <v>217</v>
      </c>
      <c r="AD5" s="9" t="s">
        <v>503</v>
      </c>
      <c r="AE5" s="27" t="s">
        <v>504</v>
      </c>
      <c r="AF5" s="9" t="s">
        <v>205</v>
      </c>
      <c r="AG5" s="9" t="s">
        <v>91</v>
      </c>
      <c r="AH5" s="27" t="s">
        <v>218</v>
      </c>
      <c r="AI5" s="27" t="s">
        <v>505</v>
      </c>
      <c r="AJ5" s="9" t="s">
        <v>226</v>
      </c>
      <c r="AK5" s="9" t="s">
        <v>229</v>
      </c>
      <c r="AL5" s="27" t="s">
        <v>230</v>
      </c>
      <c r="AM5" s="27" t="s">
        <v>506</v>
      </c>
      <c r="AN5" s="9" t="s">
        <v>507</v>
      </c>
      <c r="AO5" s="27" t="s">
        <v>253</v>
      </c>
      <c r="AP5" s="9" t="s">
        <v>53</v>
      </c>
      <c r="AQ5" s="27" t="s">
        <v>193</v>
      </c>
      <c r="AR5" s="9" t="s">
        <v>508</v>
      </c>
      <c r="AS5" s="9" t="s">
        <v>509</v>
      </c>
      <c r="AT5" s="9" t="s">
        <v>510</v>
      </c>
      <c r="AU5" s="9" t="s">
        <v>511</v>
      </c>
      <c r="AV5" s="9" t="s">
        <v>512</v>
      </c>
      <c r="AW5" s="27" t="s">
        <v>513</v>
      </c>
      <c r="AX5" s="27" t="s">
        <v>514</v>
      </c>
      <c r="AY5" s="27" t="s">
        <v>515</v>
      </c>
      <c r="AZ5" s="27" t="s">
        <v>516</v>
      </c>
      <c r="BA5" s="27" t="s">
        <v>517</v>
      </c>
      <c r="BB5" s="9" t="s">
        <v>518</v>
      </c>
      <c r="BC5" s="9" t="s">
        <v>519</v>
      </c>
      <c r="BD5" s="9" t="s">
        <v>520</v>
      </c>
      <c r="BE5" s="9" t="s">
        <v>206</v>
      </c>
      <c r="BF5" s="9" t="s">
        <v>207</v>
      </c>
      <c r="BG5" s="9" t="s">
        <v>208</v>
      </c>
      <c r="BH5" s="9" t="s">
        <v>209</v>
      </c>
      <c r="BI5" s="40" t="s">
        <v>521</v>
      </c>
      <c r="BJ5" s="40" t="s">
        <v>522</v>
      </c>
      <c r="BK5" s="40" t="s">
        <v>523</v>
      </c>
      <c r="BL5" s="40" t="s">
        <v>524</v>
      </c>
      <c r="BM5" s="40" t="s">
        <v>525</v>
      </c>
      <c r="BN5" s="40" t="s">
        <v>526</v>
      </c>
      <c r="BO5" s="40" t="s">
        <v>527</v>
      </c>
      <c r="BP5" s="40" t="s">
        <v>528</v>
      </c>
      <c r="BQ5" s="40" t="s">
        <v>529</v>
      </c>
      <c r="BR5" s="40" t="s">
        <v>530</v>
      </c>
      <c r="BS5" s="40" t="s">
        <v>531</v>
      </c>
      <c r="BT5" s="40" t="s">
        <v>532</v>
      </c>
      <c r="BU5" s="40" t="s">
        <v>533</v>
      </c>
      <c r="BV5" s="40" t="s">
        <v>534</v>
      </c>
      <c r="BW5" s="40" t="s">
        <v>535</v>
      </c>
      <c r="BX5" s="40" t="s">
        <v>536</v>
      </c>
      <c r="BY5" s="40" t="s">
        <v>537</v>
      </c>
      <c r="BZ5" s="40" t="s">
        <v>538</v>
      </c>
      <c r="CA5" s="40" t="s">
        <v>539</v>
      </c>
      <c r="CB5" s="40" t="s">
        <v>540</v>
      </c>
      <c r="CC5" s="40" t="s">
        <v>541</v>
      </c>
      <c r="CD5" s="40" t="s">
        <v>542</v>
      </c>
      <c r="CE5" s="40" t="s">
        <v>543</v>
      </c>
      <c r="CF5" s="40" t="s">
        <v>544</v>
      </c>
      <c r="CG5" s="40" t="s">
        <v>545</v>
      </c>
      <c r="CH5" s="40" t="s">
        <v>546</v>
      </c>
      <c r="CI5" s="40" t="s">
        <v>547</v>
      </c>
      <c r="CJ5" s="40" t="s">
        <v>548</v>
      </c>
      <c r="CK5" s="40" t="s">
        <v>549</v>
      </c>
      <c r="CL5" s="40" t="s">
        <v>550</v>
      </c>
      <c r="CM5" s="40" t="s">
        <v>551</v>
      </c>
      <c r="CN5" s="40" t="s">
        <v>552</v>
      </c>
      <c r="CO5" s="40" t="s">
        <v>553</v>
      </c>
      <c r="CP5" s="40" t="s">
        <v>554</v>
      </c>
      <c r="CQ5" s="40" t="s">
        <v>555</v>
      </c>
      <c r="CR5" s="40" t="s">
        <v>556</v>
      </c>
      <c r="CS5" s="40" t="s">
        <v>557</v>
      </c>
      <c r="CT5" s="40" t="s">
        <v>558</v>
      </c>
      <c r="CU5" s="40" t="s">
        <v>559</v>
      </c>
      <c r="CV5" s="40" t="s">
        <v>560</v>
      </c>
      <c r="CW5" s="40" t="s">
        <v>561</v>
      </c>
      <c r="CX5" s="40" t="s">
        <v>562</v>
      </c>
      <c r="CY5" s="40" t="s">
        <v>563</v>
      </c>
      <c r="CZ5" s="40" t="s">
        <v>564</v>
      </c>
      <c r="DA5" s="40" t="s">
        <v>565</v>
      </c>
      <c r="DB5" s="40" t="s">
        <v>566</v>
      </c>
      <c r="DC5" s="40" t="s">
        <v>567</v>
      </c>
      <c r="DD5" s="40" t="s">
        <v>568</v>
      </c>
      <c r="DE5" s="40" t="s">
        <v>569</v>
      </c>
      <c r="DF5" s="40" t="s">
        <v>570</v>
      </c>
      <c r="DG5" s="40" t="s">
        <v>571</v>
      </c>
      <c r="DH5" s="40" t="s">
        <v>572</v>
      </c>
      <c r="DI5" s="40" t="s">
        <v>573</v>
      </c>
      <c r="DJ5" s="40" t="s">
        <v>574</v>
      </c>
      <c r="DK5" s="40" t="s">
        <v>575</v>
      </c>
      <c r="DL5" s="40" t="s">
        <v>576</v>
      </c>
      <c r="DM5" s="40" t="s">
        <v>577</v>
      </c>
      <c r="DN5" s="40" t="s">
        <v>578</v>
      </c>
      <c r="DO5" s="40" t="s">
        <v>579</v>
      </c>
      <c r="DP5" s="40" t="s">
        <v>580</v>
      </c>
      <c r="DQ5" s="40" t="s">
        <v>581</v>
      </c>
      <c r="DR5" s="40" t="s">
        <v>582</v>
      </c>
    </row>
    <row r="6" customFormat="false" ht="15" hidden="false" customHeight="false" outlineLevel="0" collapsed="false">
      <c r="A6" s="28" t="n">
        <f aca="false">IF(Tasks[[#This Row],[Task Name]]="","",COUNTA(Tasks[[#Headers],[Task Name]]:Tasks[[#This Row],[Task Name]])-1)</f>
        <v>1</v>
      </c>
      <c r="B6" s="29" t="n">
        <v>1</v>
      </c>
      <c r="C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v>
      </c>
      <c r="D6" s="29" t="n">
        <v>1</v>
      </c>
      <c r="E6" s="30" t="s">
        <v>583</v>
      </c>
      <c r="F6" s="29" t="s">
        <v>584</v>
      </c>
      <c r="G6" s="29"/>
      <c r="H6" s="29"/>
      <c r="I6" s="29"/>
      <c r="J6" s="29"/>
      <c r="K6" s="29"/>
      <c r="L6" s="29"/>
      <c r="M6" s="29"/>
      <c r="N6" s="73"/>
      <c r="O6" s="73"/>
      <c r="P6" s="25" t="n">
        <f aca="false">IF(Tasks[[#This Row],[Task Name]]="","",IF(N(Tasks[[#This Row],[Baseline Start]])&gt;0,Tasks[[#This Row],[Baseline Start]],Tasks[[#This Row],[_CalcStart]]))</f>
        <v>46272</v>
      </c>
      <c r="Q6" s="25" t="n">
        <f aca="false">IF(Tasks[[#This Row],[Task Name]]="","",IF(N(Tasks[[#This Row],[Baseline Finish]])&gt;0,Tasks[[#This Row],[Baseline Finish]],Tasks[[#This Row],[_CalcFinish]]))</f>
        <v>46276</v>
      </c>
      <c r="R6" s="73"/>
      <c r="S6" s="73"/>
      <c r="T6" s="25" t="n">
        <f aca="false">IF(Tasks[[#This Row],[Task Name]]="","",IF(Tasks[[#This Row],[_IsSummary]],MIN(INDEX(Tasks[_LeafFcstStart],Tasks[[#This Row],[_Row]]+1):INDEX(Tasks[_LeafFcstStart],Tasks[[#This Row],[_Row]]+Tasks[[#This Row],[_Descendants]])),Tasks[[#This Row],[_LeafFcstStart]]))</f>
        <v>46272</v>
      </c>
      <c r="U6" s="25" t="n">
        <f aca="false">IF(Tasks[[#This Row],[Task Name]]="","",IF(Tasks[[#This Row],[_IsSummary]],MAX(INDEX(Tasks[_LeafFcstFinish],Tasks[[#This Row],[_Row]]+1):INDEX(Tasks[_LeafFcstFinish],Tasks[[#This Row],[_Row]]+Tasks[[#This Row],[_Descendants]])),Tasks[[#This Row],[_LeafFcstFinish]]))</f>
        <v>46279</v>
      </c>
      <c r="V6"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W6" s="43" t="n">
        <f aca="false">IF(Tasks[[#This Row],[Task Name]]="","",IF(Tasks[[#This Row],[Forecast Finish]]&gt;=Tasks[[#This Row],[Planned Finish]],NETWORKDAYS.INTL(Tasks[[#This Row],[Planned Finish]],Tasks[[#This Row],[Forecast Finish]],WorkWeek,Holidays)-1,1-NETWORKDAYS.INTL(Tasks[[#This Row],[Forecast Finish]],Tasks[[#This Row],[Planned Finish]],WorkWeek,Holidays)))</f>
        <v>1</v>
      </c>
      <c r="X6" s="25" t="n">
        <f aca="false">IF(Tasks[[#This Row],[Task Name]]="","",IF(Tasks[[#This Row],[_IsSummary]],MIN(INDEX(Tasks[_LeafLateStart],Tasks[[#This Row],[_Row]]+1):INDEX(Tasks[_LeafLateStart],Tasks[[#This Row],[_Row]]+Tasks[[#This Row],[_Descendants]])),Tasks[[#This Row],[_LeafLateStart]]))</f>
        <v>46279</v>
      </c>
      <c r="Y6" s="25" t="n">
        <f aca="false">IF(Tasks[[#This Row],[Task Name]]="","",IF(Tasks[[#This Row],[_IsSummary]],MAX(INDEX(Tasks[_LeafLateFinish],Tasks[[#This Row],[_Row]]+1):INDEX(Tasks[_LeafLateFinish],Tasks[[#This Row],[_Row]]+Tasks[[#This Row],[_Descendants]])),Tasks[[#This Row],[_LeafLateFinish]]))</f>
        <v>46283</v>
      </c>
      <c r="Z6" s="43" t="n">
        <f aca="false">IF(Tasks[[#This Row],[Task Name]]="","",IF(Tasks[[#This Row],[_IsSummary]],MIN(INDEX(Tasks[_LeafTotalSlack],Tasks[[#This Row],[_Row]]+1):INDEX(Tasks[_LeafTotalSlack],Tasks[[#This Row],[_Row]]+Tasks[[#This Row],[_Descendants]])),Tasks[[#This Row],[_LeafTotalSlack]]))</f>
        <v>4</v>
      </c>
      <c r="AA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 s="28" t="str">
        <f aca="false">IF(Tasks[[#This Row],[Task Name]]="","",IF(IF(Tasks[[#This Row],[_IsSummary]],COUNTIF(INDEX(Tasks[_LeafCritical],Tasks[[#This Row],[_Row]]+1):INDEX(Tasks[_LeafCritical],Tasks[[#This Row],[_Row]]+Tasks[[#This Row],[_Descendants]]),TRUE())&gt;0,Tasks[[#This Row],[_LeafCritical]]),"Yes",""))</f>
        <v/>
      </c>
      <c r="AC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 s="24" t="str">
        <f aca="false">IF(Tasks[[#This Row],[Task Name]]="","",TRIM(IF(Tasks[[#This Row],[_Pred1Problem]]&lt;&gt;"","Pred 1: "&amp;Tasks[[#This Row],[_Pred1Problem]]&amp;". ","")&amp;IF(Tasks[[#This Row],[_Pred2Problem]]&lt;&gt;"","Pred 2: "&amp;Tasks[[#This Row],[_Pred2Problem]]&amp;".","")))</f>
        <v/>
      </c>
      <c r="AE6" s="88"/>
      <c r="AF6"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G6" s="28" t="str">
        <f aca="false">IF(Tasks[[#This Row],[Task Name]]="","",IF(Tasks[[#This Row],[Progress]]&gt;=1,"Complete",IF(OR(N(Tasks[[#This Row],[Actual Start]])&gt;0,Tasks[[#This Row],[Progress]]&gt;0),IF(Tasks[[#This Row],[Finish Var]]&gt;0,"Behind","In Progress"),IF(Tasks[[#This Row],[Planned Start]]&lt;StatusDate,"Late Start","Not Started"))))</f>
        <v>Complete</v>
      </c>
      <c r="AH6" s="30"/>
      <c r="AI6" s="88"/>
      <c r="AJ6" s="95" t="n">
        <f aca="false">IF(Tasks[[#This Row],[Task Name]]="","",IF(Tasks[[#This Row],[_IsSummary]],SUM(INDEX(Tasks[_LeafWork],Tasks[[#This Row],[_Row]]+1):INDEX(Tasks[_LeafWork],Tasks[[#This Row],[_Row]]+Tasks[[#This Row],[_Descendants]])),Tasks[[#This Row],[_LeafWork]]))</f>
        <v>40</v>
      </c>
      <c r="AK6" s="96" t="n">
        <f aca="false">IF(Tasks[[#This Row],[Task Name]]="","",IF(Tasks[[#This Row],[_IsSummary]],SUM(INDEX(Tasks[_LeafCost],Tasks[[#This Row],[_Row]]+1):INDEX(Tasks[_LeafCost],Tasks[[#This Row],[_Row]]+Tasks[[#This Row],[_Descendants]])),Tasks[[#This Row],[_LeafCost]]))</f>
        <v>3400</v>
      </c>
      <c r="AL6" s="97"/>
      <c r="AM6" s="29"/>
      <c r="AN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6" s="82"/>
      <c r="AP6" s="24" t="str">
        <f aca="false">IF(Tasks[[#This Row],[Task Name]]="","",Tasks[[#This Row],[_Pred1IDText]]&amp;IF(AND(Tasks[[#This Row],[_Pred1IDText]]&lt;&gt;"",Tasks[[#This Row],[_Pred2IDText]]&lt;&gt;""),",","")&amp;Tasks[[#This Row],[_Pred2IDText]])</f>
        <v/>
      </c>
      <c r="AQ6" s="30" t="s">
        <v>585</v>
      </c>
      <c r="AR6" s="25" t="n">
        <f aca="false">IF(Tasks[[#This Row],[Task Name]]="","",Tasks[[#This Row],[Forecast Start]])</f>
        <v>46272</v>
      </c>
      <c r="AS6" s="25" t="n">
        <f aca="false">IF(Tasks[[#This Row],[Task Name]]="","",Tasks[[#This Row],[Forecast Finish]])</f>
        <v>46279</v>
      </c>
      <c r="AT6" s="28" t="n">
        <f aca="false">IF(Tasks[[#This Row],[Task Name]]="","",IF(Tasks[[#This Row],[_IsSummary]],NETWORKDAYS.INTL(Tasks[[#This Row],[Forecast Start]],Tasks[[#This Row],[Forecast Finish]],WorkWeek,Holidays),N(Tasks[[#This Row],[Duration]])))</f>
        <v>6</v>
      </c>
      <c r="AU6" s="95" t="n">
        <f aca="false">IF(Tasks[[#This Row],[Task Name]]="","",Tasks[[#This Row],[Work]])</f>
        <v>40</v>
      </c>
      <c r="AV6" s="96" t="n">
        <f aca="false">IF(Tasks[[#This Row],[Task Name]]="","",Tasks[[#This Row],[Cost]])</f>
        <v>3400</v>
      </c>
      <c r="AW6" s="73"/>
      <c r="AX6" s="73"/>
      <c r="AY6" s="29"/>
      <c r="AZ6" s="98"/>
      <c r="BA6" s="97"/>
      <c r="BB6" s="28" t="str">
        <f aca="false">IF(OR(Tasks[[#This Row],[Task Name]]="",Tasks[[#This Row],[Baseline Duration]]=""),"",Tasks[[#This Row],[BL Source Duration]]-N(Tasks[[#This Row],[Baseline Duration]]))</f>
        <v/>
      </c>
      <c r="BC6" s="95" t="str">
        <f aca="false">IF(OR(Tasks[[#This Row],[Task Name]]="",Tasks[[#This Row],[Baseline Work]]=""),"",Tasks[[#This Row],[Work]]-N(Tasks[[#This Row],[Baseline Work]]))</f>
        <v/>
      </c>
      <c r="BD6" s="96" t="str">
        <f aca="false">IF(OR(Tasks[[#This Row],[Task Name]]="",Tasks[[#This Row],[Baseline Cost]]=""),"",Tasks[[#This Row],[Cost]]-N(Tasks[[#This Row],[Baseline Cost]]))</f>
        <v/>
      </c>
      <c r="BE6" s="96" t="n">
        <f aca="false">IF(Tasks[[#This Row],[Task Name]]="","",IF(Tasks[[#This Row],[_IsSummary]],SUM(INDEX(Tasks[_LeafBudget],Tasks[[#This Row],[_Row]]+1):INDEX(Tasks[_LeafBudget],Tasks[[#This Row],[_Row]]+Tasks[[#This Row],[_Descendants]])),Tasks[[#This Row],[_LeafBudget]]))</f>
        <v>3400</v>
      </c>
      <c r="BF6" s="96" t="n">
        <f aca="false">IF(Tasks[[#This Row],[Task Name]]="","",IF(Tasks[[#This Row],[_IsSummary]],SUM(INDEX(Tasks[_LeafPV],Tasks[[#This Row],[_Row]]+1):INDEX(Tasks[_LeafPV],Tasks[[#This Row],[_Row]]+Tasks[[#This Row],[_Descendants]])),Tasks[[#This Row],[_LeafPV]]))</f>
        <v>3400</v>
      </c>
      <c r="BG6" s="96" t="n">
        <f aca="false">IF(Tasks[[#This Row],[Task Name]]="","",IF(Tasks[[#This Row],[_IsSummary]],SUM(INDEX(Tasks[_LeafEV],Tasks[[#This Row],[_Row]]+1):INDEX(Tasks[_LeafEV],Tasks[[#This Row],[_Row]]+Tasks[[#This Row],[_Descendants]])),Tasks[[#This Row],[_LeafEV]]))</f>
        <v>3400</v>
      </c>
      <c r="BH6" s="96" t="n">
        <f aca="false">IF(Tasks[[#This Row],[Task Name]]="","",IF(Tasks[[#This Row],[_IsSummary]],SUM(INDEX(Tasks[_LeafAC],Tasks[[#This Row],[_Row]]+1):INDEX(Tasks[_LeafAC],Tasks[[#This Row],[_Row]]+Tasks[[#This Row],[_Descendants]])),Tasks[[#This Row],[_LeafAC]]))</f>
        <v>4160</v>
      </c>
      <c r="BI6" s="41" t="n">
        <f aca="false">IF(Tasks[[#This Row],[Task Name]]="","",MAX(1,N(Tasks[[#This Row],[Level]])))</f>
        <v>1</v>
      </c>
      <c r="BJ6" s="41" t="n">
        <f aca="false">ROW()-ROW(Tasks[[#Headers],[ID]])</f>
        <v>1</v>
      </c>
      <c r="BK6" s="41" t="n">
        <f aca="false">IF(OR(Tasks[[#This Row],[Task Name]]="",Tasks[[#This Row],[_Level]]&lt;=1),0,IFERROR(LOOKUP(2,1/(Tasks[[#Headers],[_Level]]:Tasks[[#This Row],[_Level]]=Tasks[[#This Row],[_Level]]-1),ROW(Tasks[[#Headers],[_Level]]:Tasks[[#This Row],[_Level]])),0))</f>
        <v>0</v>
      </c>
      <c r="BL6" s="41" t="n">
        <f aca="false">IFERROR(N(INDEX(Tasks[_Level],Tasks[[#This Row],[_Row]]+1)),0)</f>
        <v>2</v>
      </c>
      <c r="BM6" s="99" t="b">
        <f aca="false">AND(Tasks[[#This Row],[Task Name]]&lt;&gt;"",Tasks[[#This Row],[_NextLevel]]&gt;Tasks[[#This Row],[_Level]])</f>
        <v>1</v>
      </c>
      <c r="BN6" s="41" t="n">
        <f aca="false">IF(Tasks[[#This Row],[_IsSummary]],COUNTIF(Tasks[WBS],Tasks[[#This Row],[WBS]]&amp;".*"),0)</f>
        <v>3</v>
      </c>
      <c r="BO6" s="41" t="n">
        <f aca="false">IF(AND(Tasks[[#This Row],[Task Name]]&lt;&gt;"",NOT(Tasks[[#This Row],[_IsSummary]])),1,0)</f>
        <v>0</v>
      </c>
      <c r="BP6" s="41" t="n">
        <f aca="false">IF(N(Tasks[[#This Row],[Pred1 UID]])=0,0,IFERROR(MATCH(Tasks[[#This Row],[Pred1 UID]],Tasks[UID],0),-1))</f>
        <v>0</v>
      </c>
      <c r="BQ6" s="41" t="n">
        <f aca="false">IF(N(Tasks[[#This Row],[Pred2 UID]])=0,0,IFERROR(MATCH(Tasks[[#This Row],[Pred2 UID]],Tasks[UID],0),-1))</f>
        <v>0</v>
      </c>
      <c r="BR6"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6" s="100" t="str">
        <f aca="false">IF(NOT(Tasks[[#This Row],[_IsLeaf]]=1),"",IF(N(Tasks[[#This Row],[Duration]])&lt;=0,Tasks[[#This Row],[_LeafCalcStart]],WORKDAY.INTL(Tasks[[#This Row],[_LeafCalcStart]],Tasks[[#This Row],[Duration]]-1,WorkWeek,Holidays)))</f>
        <v/>
      </c>
      <c r="BT6"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6"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6" s="41" t="n">
        <f aca="false">IF(NOT(Tasks[[#This Row],[_IsLeaf]]=1),0,IF(N(Tasks[[#This Row],[Actual Finish]])&gt;0,1,MIN(1,N(Tasks[[#This Row],[% Complete]]))))</f>
        <v>0</v>
      </c>
      <c r="BW6" s="41" t="n">
        <f aca="false">IF(OR(NOT(Tasks[[#This Row],[_IsLeaf]]=1),Tasks[[#This Row],[Resource]]=""),0,N(Tasks[[#This Row],[Duration]])*HoursPerDay*IF(Tasks[[#This Row],[Units]]="",DefaultUnits,Tasks[[#This Row],[Units]]))</f>
        <v>0</v>
      </c>
      <c r="BX6" s="41" t="n">
        <f aca="false">IF(Tasks[[#This Row],[_LeafWork]]=0,0,Tasks[[#This Row],[_LeafWork]]*IFERROR(INDEX(res_Rate,MATCH(Tasks[[#This Row],[Resource]],res_Name,0)),0))</f>
        <v>0</v>
      </c>
      <c r="BY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6" s="41" t="n">
        <f aca="false">IF(NOT(Tasks[[#This Row],[_IsLeaf]]=1),0,MAX(_xlfn.MAXIFS(Tasks[_Row],Tasks[Pred1 UID],Tasks[[#This Row],[UID]]),_xlfn.MAXIFS(Tasks[_Row],Tasks[Pred2 UID],Tasks[[#This Row],[UID]])))</f>
        <v>0</v>
      </c>
      <c r="CD6"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6" s="100" t="str">
        <f aca="false">IF(NOT(Tasks[[#This Row],[_IsLeaf]]=1),"",MIN(ProjectFinish,IF(N(Tasks[[#This Row],[Deadline]])&gt;0,Tasks[[#This Row],[Deadline]],2958465),Tasks[[#This Row],[_SuccessorFinishLimit]]))</f>
        <v/>
      </c>
      <c r="CF6" s="100" t="str">
        <f aca="false">IF(NOT(Tasks[[#This Row],[_IsLeaf]]=1),"",IF(N(Tasks[[#This Row],[Duration]])&lt;=0,Tasks[[#This Row],[_LeafLateFinish]],WORKDAY.INTL(Tasks[[#This Row],[_LeafLateFinish]],-(Tasks[[#This Row],[Duration]]-1),WorkWeek,Holidays)))</f>
        <v/>
      </c>
      <c r="CG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6" s="99" t="b">
        <f aca="false">AND(Tasks[[#This Row],[_IsLeaf]]=1,Tasks[[#This Row],[_LeafProgress]]&lt;1,N(Tasks[[#This Row],[_LeafTotalSlack]])&lt;=CriticalSlackDays)</f>
        <v>0</v>
      </c>
      <c r="CI6" s="100" t="n">
        <f aca="false">IF(Tasks[[#This Row],[Task Name]]="","",IF(Tasks[[#This Row],[_IsSummary]],MIN(INDEX(Tasks[_LeafCalcStart],Tasks[[#This Row],[_Row]]+1):INDEX(Tasks[_LeafCalcStart],Tasks[[#This Row],[_Row]]+Tasks[[#This Row],[_Descendants]])),Tasks[[#This Row],[_LeafCalcStart]]))</f>
        <v>46272</v>
      </c>
      <c r="CJ6" s="100" t="n">
        <f aca="false">IF(Tasks[[#This Row],[Task Name]]="","",IF(Tasks[[#This Row],[_IsSummary]],MAX(INDEX(Tasks[_LeafCalcFinish],Tasks[[#This Row],[_Row]]+1):INDEX(Tasks[_LeafCalcFinish],Tasks[[#This Row],[_Row]]+Tasks[[#This Row],[_Descendants]])),Tasks[[#This Row],[_LeafCalcFinish]]))</f>
        <v>46276</v>
      </c>
      <c r="CK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6"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6"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6"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6"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6" s="41" t="n">
        <f aca="false">IF(AND(Tasks[[#This Row],[_IsLeaf]]=1,Tasks[[#This Row],[_LeafWork]]&gt;0),NETWORKDAYS.INTL(ProjectStart,Tasks[[#This Row],[_LeafFcstStart]],WorkWeek,Holidays),0)</f>
        <v>0</v>
      </c>
      <c r="CR6" s="41" t="n">
        <f aca="false">IF(AND(Tasks[[#This Row],[_IsLeaf]]=1,Tasks[[#This Row],[_LeafWork]]&gt;0),MAX(Tasks[[#This Row],[_StartWorkday]],NETWORKDAYS.INTL(ProjectStart,Tasks[[#This Row],[_LeafFcstFinish]],WorkWeek,Holidays)),0)</f>
        <v>0</v>
      </c>
      <c r="CS6" s="41" t="n">
        <f aca="false">IF(AND(Tasks[[#This Row],[_IsLeaf]]=1,Tasks[[#This Row],[_LeafWork]]&gt;0),Tasks[[#This Row],[_LeafWork]]/(Tasks[[#This Row],[_FinishWorkday]]-Tasks[[#This Row],[_StartWorkday]]+1),0)</f>
        <v>0</v>
      </c>
      <c r="CT6" s="41" t="n">
        <f aca="false">Tasks[[#This Row],[_WorkPerWorkday]]*(Tasks[[#This Row],[_StartWorkday]]-1)</f>
        <v>-0</v>
      </c>
      <c r="CU6" s="41" t="n">
        <f aca="false">IF(Tasks[[#This Row],[_IsLeaf]]=1,MAX(N(Tasks[[#This Row],[Duration]]),0.1),0)</f>
        <v>0</v>
      </c>
      <c r="CV6" s="41" t="n">
        <f aca="false">Tasks[[#This Row],[_WeightDur]]*Tasks[[#This Row],[_LeafProgress]]</f>
        <v>0</v>
      </c>
      <c r="CW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6" s="41" t="str">
        <f aca="false">IF(Tasks[[#This Row],[Task Name]]="","",Tasks[[#This Row],[_Pred1UIDText]]&amp;IF(AND(Tasks[[#This Row],[_Pred1UIDText]]&lt;&gt;"",Tasks[[#This Row],[_Pred2UIDText]]&lt;&gt;""),",","")&amp;Tasks[[#This Row],[_Pred2UIDText]])</f>
        <v/>
      </c>
      <c r="DB6" s="41" t="str">
        <f aca="false">IF(AND(Tasks[[#This Row],[_IsLeaf]]=1,N(Tasks[[#This Row],[Duration]])=0,Tasks[[#This Row],[_LeafProgress]]&lt;1),Tasks[[#This Row],[_LeafFcstFinish]]+Tasks[[#This Row],[_Row]]/100000,"")</f>
        <v/>
      </c>
      <c r="DC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6" s="41" t="n">
        <f aca="false">IF(NOT(Tasks[[#This Row],[_IsLeaf]]=1),0,IF(Tasks[[#This Row],[Baseline Cost]]="",Tasks[[#This Row],[_LeafCost]],N(Tasks[[#This Row],[Baseline Cost]])))</f>
        <v>0</v>
      </c>
      <c r="DE6" s="41" t="n">
        <f aca="false">Tasks[[#This Row],[_LeafBudget]]*Tasks[[#This Row],[_PlannedPct]]</f>
        <v>0</v>
      </c>
      <c r="DF6" s="41" t="n">
        <f aca="false">Tasks[[#This Row],[_LeafBudget]]*Tasks[[#This Row],[_LeafProgress]]</f>
        <v>0</v>
      </c>
      <c r="DG6" s="41" t="n">
        <f aca="false">IF(NOT(Tasks[[#This Row],[_IsLeaf]]=1),0,IF(Tasks[[#This Row],[Actual Cost]]="",Tasks[[#This Row],[_LeafCost]]*Tasks[[#This Row],[_LeafProgress]],N(Tasks[[#This Row],[Actual Cost]])))</f>
        <v>0</v>
      </c>
      <c r="DH6" s="41" t="str">
        <f aca="false">IF(Tasks[[#This Row],[Task Name]]="","",LEFT(Tasks[[#This Row],[WBS]],FIND(".",Tasks[[#This Row],[WBS]]&amp;".")-1))</f>
        <v>1</v>
      </c>
      <c r="DI6" s="41" t="n">
        <f aca="false">IF(AND(Tasks[[#This Row],[Task Name]]&lt;&gt;"",Tasks[[#This Row],[_Level]]=1),Tasks[[#This Row],[_Row]],"")</f>
        <v>1</v>
      </c>
      <c r="DJ6" s="41" t="str">
        <f aca="false">IF(AND(Tasks[[#This Row],[_IsLeaf]]=1,N(Tasks[[#This Row],[Duration]])=0),Tasks[[#This Row],[Planned Finish]]+Tasks[[#This Row],[_Row]]/100000,"")</f>
        <v/>
      </c>
      <c r="DK6" s="41" t="str">
        <f aca="false">IF(AND(Tasks[[#This Row],[_IsLeaf]]=1,Tasks[[#This Row],[_LeafProgress]]&lt;1,OR(N(Tasks[[#This Row],[Finish Var]])&gt;0,Tasks[[#This Row],[Status]]="Late Start")),MAX(0,Tasks[[#This Row],[Finish Var]])+1-Tasks[[#This Row],[_Row]]/1000000,"")</f>
        <v/>
      </c>
      <c r="DL6" s="41" t="str">
        <f aca="false">IF(AND(Tasks[[#This Row],[_IsLeaf]]=1,N(Tasks[[#This Row],[Actual Start]])=0,Tasks[[#This Row],[_LeafFcstStart]]&gt;=StatusDate,Tasks[[#This Row],[_LeafFcstStart]]&lt;=LookaheadEnd),Tasks[[#This Row],[_LeafFcstStart]]+Tasks[[#This Row],[_Row]]/100000,"")</f>
        <v/>
      </c>
      <c r="DM6" s="41" t="str">
        <f aca="false">IF(AND(Tasks[[#This Row],[_IsLeaf]]=1,Tasks[[#This Row],[_LeafProgress]]&lt;1,Tasks[[#This Row],[_LeafFcstFinish]]&gt;=StatusDate,Tasks[[#This Row],[_LeafFcstFinish]]&lt;=LookaheadEnd),Tasks[[#This Row],[_LeafFcstFinish]]+Tasks[[#This Row],[_Row]]/100000,"")</f>
        <v/>
      </c>
      <c r="DN6" s="41" t="str">
        <f aca="false">IF(Tasks[[#This Row],[_LeafCritical]],Tasks[[#This Row],[_LeafFcstStart]]+Tasks[[#This Row],[_Row]]/100000,"")</f>
        <v/>
      </c>
      <c r="DO6" s="41" t="n">
        <f aca="false">Tasks[[#This Row],[_LeafWork]]*Tasks[[#This Row],[_LeafProgress]]</f>
        <v>0</v>
      </c>
      <c r="DP6" s="100" t="str">
        <f aca="false">IF(AND(Tasks[[#This Row],[_IsLeaf]]=1,Tasks[[#This Row],[_LeafProgress]]&gt;=1),IF(N(Tasks[[#This Row],[Actual Finish]])&gt;0,Tasks[[#This Row],[Actual Finish]],Tasks[[#This Row],[_LeafFcstFinish]]),"")</f>
        <v/>
      </c>
      <c r="DQ6" s="41" t="n">
        <f aca="false">IF(Tasks[[#This Row],[_IsLeaf]]=1,N(Tasks[[#This Row],[Story Points]]),0)</f>
        <v>0</v>
      </c>
      <c r="DR6" s="41" t="str">
        <f aca="false">IF(AND(Tasks[[#This Row],[_IsLeaf]]=1,CurrentSprint&lt;&gt;"",Tasks[[#This Row],[Sprint]]=CurrentSprint),Tasks[[#This Row],[_Row]],"")</f>
        <v/>
      </c>
    </row>
    <row r="7" customFormat="false" ht="15" hidden="false" customHeight="false" outlineLevel="0" collapsed="false">
      <c r="A7" s="28" t="n">
        <f aca="false">IF(Tasks[[#This Row],[Task Name]]="","",COUNTA(Tasks[[#Headers],[Task Name]]:Tasks[[#This Row],[Task Name]])-1)</f>
        <v>2</v>
      </c>
      <c r="B7" s="29" t="n">
        <v>2</v>
      </c>
      <c r="C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1.1</v>
      </c>
      <c r="D7" s="29" t="n">
        <v>2</v>
      </c>
      <c r="E7" s="30" t="s">
        <v>586</v>
      </c>
      <c r="F7" s="29" t="s">
        <v>584</v>
      </c>
      <c r="G7" s="29" t="n">
        <v>3</v>
      </c>
      <c r="H7" s="29"/>
      <c r="I7" s="29"/>
      <c r="J7" s="29"/>
      <c r="K7" s="29"/>
      <c r="L7" s="29"/>
      <c r="M7" s="29"/>
      <c r="N7" s="73"/>
      <c r="O7" s="73"/>
      <c r="P7" s="25" t="n">
        <f aca="false">IF(Tasks[[#This Row],[Task Name]]="","",IF(N(Tasks[[#This Row],[Baseline Start]])&gt;0,Tasks[[#This Row],[Baseline Start]],Tasks[[#This Row],[_CalcStart]]))</f>
        <v>46272</v>
      </c>
      <c r="Q7" s="25" t="n">
        <f aca="false">IF(Tasks[[#This Row],[Task Name]]="","",IF(N(Tasks[[#This Row],[Baseline Finish]])&gt;0,Tasks[[#This Row],[Baseline Finish]],Tasks[[#This Row],[_CalcFinish]]))</f>
        <v>46274</v>
      </c>
      <c r="R7" s="73" t="n">
        <v>46272</v>
      </c>
      <c r="S7" s="73" t="n">
        <v>46275</v>
      </c>
      <c r="T7" s="25" t="n">
        <f aca="false">IF(Tasks[[#This Row],[Task Name]]="","",IF(Tasks[[#This Row],[_IsSummary]],MIN(INDEX(Tasks[_LeafFcstStart],Tasks[[#This Row],[_Row]]+1):INDEX(Tasks[_LeafFcstStart],Tasks[[#This Row],[_Row]]+Tasks[[#This Row],[_Descendants]])),Tasks[[#This Row],[_LeafFcstStart]]))</f>
        <v>46272</v>
      </c>
      <c r="U7" s="25" t="n">
        <f aca="false">IF(Tasks[[#This Row],[Task Name]]="","",IF(Tasks[[#This Row],[_IsSummary]],MAX(INDEX(Tasks[_LeafFcstFinish],Tasks[[#This Row],[_Row]]+1):INDEX(Tasks[_LeafFcstFinish],Tasks[[#This Row],[_Row]]+Tasks[[#This Row],[_Descendants]])),Tasks[[#This Row],[_LeafFcstFinish]]))</f>
        <v>46275</v>
      </c>
      <c r="V7"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W7" s="43" t="n">
        <f aca="false">IF(Tasks[[#This Row],[Task Name]]="","",IF(Tasks[[#This Row],[Forecast Finish]]&gt;=Tasks[[#This Row],[Planned Finish]],NETWORKDAYS.INTL(Tasks[[#This Row],[Planned Finish]],Tasks[[#This Row],[Forecast Finish]],WorkWeek,Holidays)-1,1-NETWORKDAYS.INTL(Tasks[[#This Row],[Forecast Finish]],Tasks[[#This Row],[Planned Finish]],WorkWeek,Holidays)))</f>
        <v>1</v>
      </c>
      <c r="X7" s="25" t="n">
        <f aca="false">IF(Tasks[[#This Row],[Task Name]]="","",IF(Tasks[[#This Row],[_IsSummary]],MIN(INDEX(Tasks[_LeafLateStart],Tasks[[#This Row],[_Row]]+1):INDEX(Tasks[_LeafLateStart],Tasks[[#This Row],[_Row]]+Tasks[[#This Row],[_Descendants]])),Tasks[[#This Row],[_LeafLateStart]]))</f>
        <v>46279</v>
      </c>
      <c r="Y7" s="25" t="n">
        <f aca="false">IF(Tasks[[#This Row],[Task Name]]="","",IF(Tasks[[#This Row],[_IsSummary]],MAX(INDEX(Tasks[_LeafLateFinish],Tasks[[#This Row],[_Row]]+1):INDEX(Tasks[_LeafLateFinish],Tasks[[#This Row],[_Row]]+Tasks[[#This Row],[_Descendants]])),Tasks[[#This Row],[_LeafLateFinish]]))</f>
        <v>46281</v>
      </c>
      <c r="Z7" s="43" t="n">
        <f aca="false">IF(Tasks[[#This Row],[Task Name]]="","",IF(Tasks[[#This Row],[_IsSummary]],MIN(INDEX(Tasks[_LeafTotalSlack],Tasks[[#This Row],[_Row]]+1):INDEX(Tasks[_LeafTotalSlack],Tasks[[#This Row],[_Row]]+Tasks[[#This Row],[_Descendants]])),Tasks[[#This Row],[_LeafTotalSlack]]))</f>
        <v>4</v>
      </c>
      <c r="AA7"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7" s="28" t="str">
        <f aca="false">IF(Tasks[[#This Row],[Task Name]]="","",IF(IF(Tasks[[#This Row],[_IsSummary]],COUNTIF(INDEX(Tasks[_LeafCritical],Tasks[[#This Row],[_Row]]+1):INDEX(Tasks[_LeafCritical],Tasks[[#This Row],[_Row]]+Tasks[[#This Row],[_Descendants]]),TRUE())&gt;0,Tasks[[#This Row],[_LeafCritical]]),"Yes",""))</f>
        <v/>
      </c>
      <c r="AC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 s="24" t="str">
        <f aca="false">IF(Tasks[[#This Row],[Task Name]]="","",TRIM(IF(Tasks[[#This Row],[_Pred1Problem]]&lt;&gt;"","Pred 1: "&amp;Tasks[[#This Row],[_Pred1Problem]]&amp;". ","")&amp;IF(Tasks[[#This Row],[_Pred2Problem]]&lt;&gt;"","Pred 2: "&amp;Tasks[[#This Row],[_Pred2Problem]]&amp;".","")))</f>
        <v/>
      </c>
      <c r="AE7" s="88" t="n">
        <v>1</v>
      </c>
      <c r="AF7"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G7" s="28" t="str">
        <f aca="false">IF(Tasks[[#This Row],[Task Name]]="","",IF(Tasks[[#This Row],[Progress]]&gt;=1,"Complete",IF(OR(N(Tasks[[#This Row],[Actual Start]])&gt;0,Tasks[[#This Row],[Progress]]&gt;0),IF(Tasks[[#This Row],[Finish Var]]&gt;0,"Behind","In Progress"),IF(Tasks[[#This Row],[Planned Start]]&lt;StatusDate,"Late Start","Not Started"))))</f>
        <v>Complete</v>
      </c>
      <c r="AH7" s="30" t="s">
        <v>285</v>
      </c>
      <c r="AI7" s="88"/>
      <c r="AJ7" s="95" t="n">
        <f aca="false">IF(Tasks[[#This Row],[Task Name]]="","",IF(Tasks[[#This Row],[_IsSummary]],SUM(INDEX(Tasks[_LeafWork],Tasks[[#This Row],[_Row]]+1):INDEX(Tasks[_LeafWork],Tasks[[#This Row],[_Row]]+Tasks[[#This Row],[_Descendants]])),Tasks[[#This Row],[_LeafWork]]))</f>
        <v>24</v>
      </c>
      <c r="AK7" s="96" t="n">
        <f aca="false">IF(Tasks[[#This Row],[Task Name]]="","",IF(Tasks[[#This Row],[_IsSummary]],SUM(INDEX(Tasks[_LeafCost],Tasks[[#This Row],[_Row]]+1):INDEX(Tasks[_LeafCost],Tasks[[#This Row],[_Row]]+Tasks[[#This Row],[_Descendants]])),Tasks[[#This Row],[_LeafCost]]))</f>
        <v>2280</v>
      </c>
      <c r="AL7" s="97" t="n">
        <v>3040</v>
      </c>
      <c r="AM7" s="29"/>
      <c r="AN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1</v>
      </c>
      <c r="AO7" s="82" t="n">
        <v>3</v>
      </c>
      <c r="AP7" s="24" t="str">
        <f aca="false">IF(Tasks[[#This Row],[Task Name]]="","",Tasks[[#This Row],[_Pred1IDText]]&amp;IF(AND(Tasks[[#This Row],[_Pred1IDText]]&lt;&gt;"",Tasks[[#This Row],[_Pred2IDText]]&lt;&gt;""),",","")&amp;Tasks[[#This Row],[_Pred2IDText]])</f>
        <v/>
      </c>
      <c r="AQ7" s="30" t="s">
        <v>587</v>
      </c>
      <c r="AR7" s="25" t="n">
        <f aca="false">IF(Tasks[[#This Row],[Task Name]]="","",Tasks[[#This Row],[Forecast Start]])</f>
        <v>46272</v>
      </c>
      <c r="AS7" s="25" t="n">
        <f aca="false">IF(Tasks[[#This Row],[Task Name]]="","",Tasks[[#This Row],[Forecast Finish]])</f>
        <v>46275</v>
      </c>
      <c r="AT7" s="28" t="n">
        <f aca="false">IF(Tasks[[#This Row],[Task Name]]="","",IF(Tasks[[#This Row],[_IsSummary]],NETWORKDAYS.INTL(Tasks[[#This Row],[Forecast Start]],Tasks[[#This Row],[Forecast Finish]],WorkWeek,Holidays),N(Tasks[[#This Row],[Duration]])))</f>
        <v>3</v>
      </c>
      <c r="AU7" s="95" t="n">
        <f aca="false">IF(Tasks[[#This Row],[Task Name]]="","",Tasks[[#This Row],[Work]])</f>
        <v>24</v>
      </c>
      <c r="AV7" s="96" t="n">
        <f aca="false">IF(Tasks[[#This Row],[Task Name]]="","",Tasks[[#This Row],[Cost]])</f>
        <v>2280</v>
      </c>
      <c r="AW7" s="73"/>
      <c r="AX7" s="73"/>
      <c r="AY7" s="29"/>
      <c r="AZ7" s="98"/>
      <c r="BA7" s="97"/>
      <c r="BB7" s="28" t="str">
        <f aca="false">IF(OR(Tasks[[#This Row],[Task Name]]="",Tasks[[#This Row],[Baseline Duration]]=""),"",Tasks[[#This Row],[BL Source Duration]]-N(Tasks[[#This Row],[Baseline Duration]]))</f>
        <v/>
      </c>
      <c r="BC7" s="95" t="str">
        <f aca="false">IF(OR(Tasks[[#This Row],[Task Name]]="",Tasks[[#This Row],[Baseline Work]]=""),"",Tasks[[#This Row],[Work]]-N(Tasks[[#This Row],[Baseline Work]]))</f>
        <v/>
      </c>
      <c r="BD7" s="96" t="str">
        <f aca="false">IF(OR(Tasks[[#This Row],[Task Name]]="",Tasks[[#This Row],[Baseline Cost]]=""),"",Tasks[[#This Row],[Cost]]-N(Tasks[[#This Row],[Baseline Cost]]))</f>
        <v/>
      </c>
      <c r="BE7" s="96" t="n">
        <f aca="false">IF(Tasks[[#This Row],[Task Name]]="","",IF(Tasks[[#This Row],[_IsSummary]],SUM(INDEX(Tasks[_LeafBudget],Tasks[[#This Row],[_Row]]+1):INDEX(Tasks[_LeafBudget],Tasks[[#This Row],[_Row]]+Tasks[[#This Row],[_Descendants]])),Tasks[[#This Row],[_LeafBudget]]))</f>
        <v>2280</v>
      </c>
      <c r="BF7" s="96" t="n">
        <f aca="false">IF(Tasks[[#This Row],[Task Name]]="","",IF(Tasks[[#This Row],[_IsSummary]],SUM(INDEX(Tasks[_LeafPV],Tasks[[#This Row],[_Row]]+1):INDEX(Tasks[_LeafPV],Tasks[[#This Row],[_Row]]+Tasks[[#This Row],[_Descendants]])),Tasks[[#This Row],[_LeafPV]]))</f>
        <v>2280</v>
      </c>
      <c r="BG7" s="96" t="n">
        <f aca="false">IF(Tasks[[#This Row],[Task Name]]="","",IF(Tasks[[#This Row],[_IsSummary]],SUM(INDEX(Tasks[_LeafEV],Tasks[[#This Row],[_Row]]+1):INDEX(Tasks[_LeafEV],Tasks[[#This Row],[_Row]]+Tasks[[#This Row],[_Descendants]])),Tasks[[#This Row],[_LeafEV]]))</f>
        <v>2280</v>
      </c>
      <c r="BH7" s="96" t="n">
        <f aca="false">IF(Tasks[[#This Row],[Task Name]]="","",IF(Tasks[[#This Row],[_IsSummary]],SUM(INDEX(Tasks[_LeafAC],Tasks[[#This Row],[_Row]]+1):INDEX(Tasks[_LeafAC],Tasks[[#This Row],[_Row]]+Tasks[[#This Row],[_Descendants]])),Tasks[[#This Row],[_LeafAC]]))</f>
        <v>3040</v>
      </c>
      <c r="BI7" s="41" t="n">
        <f aca="false">IF(Tasks[[#This Row],[Task Name]]="","",MAX(1,N(Tasks[[#This Row],[Level]])))</f>
        <v>2</v>
      </c>
      <c r="BJ7" s="41" t="n">
        <f aca="false">ROW()-ROW(Tasks[[#Headers],[ID]])</f>
        <v>2</v>
      </c>
      <c r="BK7" s="41" t="n">
        <f aca="false">IF(OR(Tasks[[#This Row],[Task Name]]="",Tasks[[#This Row],[_Level]]&lt;=1),0,IFERROR(LOOKUP(2,1/(Tasks[[#Headers],[_Level]]:Tasks[[#This Row],[_Level]]=Tasks[[#This Row],[_Level]]-1),ROW(Tasks[[#Headers],[_Level]]:Tasks[[#This Row],[_Level]])),0))</f>
        <v>6</v>
      </c>
      <c r="BL7" s="41" t="n">
        <f aca="false">IFERROR(N(INDEX(Tasks[_Level],Tasks[[#This Row],[_Row]]+1)),0)</f>
        <v>2</v>
      </c>
      <c r="BM7" s="99" t="b">
        <f aca="false">AND(Tasks[[#This Row],[Task Name]]&lt;&gt;"",Tasks[[#This Row],[_NextLevel]]&gt;Tasks[[#This Row],[_Level]])</f>
        <v>0</v>
      </c>
      <c r="BN7" s="41" t="n">
        <f aca="false">IF(Tasks[[#This Row],[_IsSummary]],COUNTIF(Tasks[WBS],Tasks[[#This Row],[WBS]]&amp;".*"),0)</f>
        <v>0</v>
      </c>
      <c r="BO7" s="41" t="n">
        <f aca="false">IF(AND(Tasks[[#This Row],[Task Name]]&lt;&gt;"",NOT(Tasks[[#This Row],[_IsSummary]])),1,0)</f>
        <v>1</v>
      </c>
      <c r="BP7" s="41" t="n">
        <f aca="false">IF(N(Tasks[[#This Row],[Pred1 UID]])=0,0,IFERROR(MATCH(Tasks[[#This Row],[Pred1 UID]],Tasks[UID],0),-1))</f>
        <v>0</v>
      </c>
      <c r="BQ7" s="41" t="n">
        <f aca="false">IF(N(Tasks[[#This Row],[Pred2 UID]])=0,0,IFERROR(MATCH(Tasks[[#This Row],[Pred2 UID]],Tasks[UID],0),-1))</f>
        <v>0</v>
      </c>
      <c r="BR7" s="100"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46272</v>
      </c>
      <c r="BS7" s="100" t="n">
        <f aca="false">IF(NOT(Tasks[[#This Row],[_IsLeaf]]=1),"",IF(N(Tasks[[#This Row],[Duration]])&lt;=0,Tasks[[#This Row],[_LeafCalcStart]],WORKDAY.INTL(Tasks[[#This Row],[_LeafCalcStart]],Tasks[[#This Row],[Duration]]-1,WorkWeek,Holidays)))</f>
        <v>46274</v>
      </c>
      <c r="BT7" s="100"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46272</v>
      </c>
      <c r="BU7" s="100"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46275</v>
      </c>
      <c r="BV7" s="41" t="n">
        <f aca="false">IF(NOT(Tasks[[#This Row],[_IsLeaf]]=1),0,IF(N(Tasks[[#This Row],[Actual Finish]])&gt;0,1,MIN(1,N(Tasks[[#This Row],[% Complete]]))))</f>
        <v>1</v>
      </c>
      <c r="BW7" s="41" t="n">
        <f aca="false">IF(OR(NOT(Tasks[[#This Row],[_IsLeaf]]=1),Tasks[[#This Row],[Resource]]=""),0,N(Tasks[[#This Row],[Duration]])*HoursPerDay*IF(Tasks[[#This Row],[Units]]="",DefaultUnits,Tasks[[#This Row],[Units]]))</f>
        <v>24</v>
      </c>
      <c r="BX7" s="41" t="n">
        <f aca="false">IF(Tasks[[#This Row],[_LeafWork]]=0,0,Tasks[[#This Row],[_LeafWork]]*IFERROR(INDEX(res_Rate,MATCH(Tasks[[#This Row],[Resource]],res_Name,0)),0))</f>
        <v>2280</v>
      </c>
      <c r="BY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7" s="41" t="n">
        <f aca="false">IF(NOT(Tasks[[#This Row],[_IsLeaf]]=1),0,MAX(_xlfn.MAXIFS(Tasks[_Row],Tasks[Pred1 UID],Tasks[[#This Row],[UID]]),_xlfn.MAXIFS(Tasks[_Row],Tasks[Pred2 UID],Tasks[[#This Row],[UID]])))</f>
        <v>3</v>
      </c>
      <c r="CD7" s="100"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46281</v>
      </c>
      <c r="CE7" s="100" t="n">
        <f aca="false">IF(NOT(Tasks[[#This Row],[_IsLeaf]]=1),"",MIN(ProjectFinish,IF(N(Tasks[[#This Row],[Deadline]])&gt;0,Tasks[[#This Row],[Deadline]],2958465),Tasks[[#This Row],[_SuccessorFinishLimit]]))</f>
        <v>46281</v>
      </c>
      <c r="CF7" s="100" t="n">
        <f aca="false">IF(NOT(Tasks[[#This Row],[_IsLeaf]]=1),"",IF(N(Tasks[[#This Row],[Duration]])&lt;=0,Tasks[[#This Row],[_LeafLateFinish]],WORKDAY.INTL(Tasks[[#This Row],[_LeafLateFinish]],-(Tasks[[#This Row],[Duration]]-1),WorkWeek,Holidays)))</f>
        <v>46279</v>
      </c>
      <c r="CG7"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4</v>
      </c>
      <c r="CH7" s="99" t="b">
        <f aca="false">AND(Tasks[[#This Row],[_IsLeaf]]=1,Tasks[[#This Row],[_LeafProgress]]&lt;1,N(Tasks[[#This Row],[_LeafTotalSlack]])&lt;=CriticalSlackDays)</f>
        <v>0</v>
      </c>
      <c r="CI7" s="100" t="n">
        <f aca="false">IF(Tasks[[#This Row],[Task Name]]="","",IF(Tasks[[#This Row],[_IsSummary]],MIN(INDEX(Tasks[_LeafCalcStart],Tasks[[#This Row],[_Row]]+1):INDEX(Tasks[_LeafCalcStart],Tasks[[#This Row],[_Row]]+Tasks[[#This Row],[_Descendants]])),Tasks[[#This Row],[_LeafCalcStart]]))</f>
        <v>46272</v>
      </c>
      <c r="CJ7" s="100" t="n">
        <f aca="false">IF(Tasks[[#This Row],[Task Name]]="","",IF(Tasks[[#This Row],[_IsSummary]],MAX(INDEX(Tasks[_LeafCalcFinish],Tasks[[#This Row],[_Row]]+1):INDEX(Tasks[_LeafCalcFinish],Tasks[[#This Row],[_Row]]+Tasks[[#This Row],[_Descendants]])),Tasks[[#This Row],[_LeafCalcFinish]]))</f>
        <v>46274</v>
      </c>
      <c r="CK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7"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7"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7"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7"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7" s="41" t="n">
        <f aca="false">IF(AND(Tasks[[#This Row],[_IsLeaf]]=1,Tasks[[#This Row],[_LeafWork]]&gt;0),NETWORKDAYS.INTL(ProjectStart,Tasks[[#This Row],[_LeafFcstStart]],WorkWeek,Holidays),0)</f>
        <v>1</v>
      </c>
      <c r="CR7" s="41" t="n">
        <f aca="false">IF(AND(Tasks[[#This Row],[_IsLeaf]]=1,Tasks[[#This Row],[_LeafWork]]&gt;0),MAX(Tasks[[#This Row],[_StartWorkday]],NETWORKDAYS.INTL(ProjectStart,Tasks[[#This Row],[_LeafFcstFinish]],WorkWeek,Holidays)),0)</f>
        <v>4</v>
      </c>
      <c r="CS7" s="41" t="n">
        <f aca="false">IF(AND(Tasks[[#This Row],[_IsLeaf]]=1,Tasks[[#This Row],[_LeafWork]]&gt;0),Tasks[[#This Row],[_LeafWork]]/(Tasks[[#This Row],[_FinishWorkday]]-Tasks[[#This Row],[_StartWorkday]]+1),0)</f>
        <v>6</v>
      </c>
      <c r="CT7" s="41" t="n">
        <f aca="false">Tasks[[#This Row],[_WorkPerWorkday]]*(Tasks[[#This Row],[_StartWorkday]]-1)</f>
        <v>0</v>
      </c>
      <c r="CU7" s="41" t="n">
        <f aca="false">IF(Tasks[[#This Row],[_IsLeaf]]=1,MAX(N(Tasks[[#This Row],[Duration]]),0.1),0)</f>
        <v>3</v>
      </c>
      <c r="CV7" s="41" t="n">
        <f aca="false">Tasks[[#This Row],[_WeightDur]]*Tasks[[#This Row],[_LeafProgress]]</f>
        <v>3</v>
      </c>
      <c r="CW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7" s="41" t="str">
        <f aca="false">IF(Tasks[[#This Row],[Task Name]]="","",Tasks[[#This Row],[_Pred1UIDText]]&amp;IF(AND(Tasks[[#This Row],[_Pred1UIDText]]&lt;&gt;"",Tasks[[#This Row],[_Pred2UIDText]]&lt;&gt;""),",","")&amp;Tasks[[#This Row],[_Pred2UIDText]])</f>
        <v/>
      </c>
      <c r="DB7" s="41" t="str">
        <f aca="false">IF(AND(Tasks[[#This Row],[_IsLeaf]]=1,N(Tasks[[#This Row],[Duration]])=0,Tasks[[#This Row],[_LeafProgress]]&lt;1),Tasks[[#This Row],[_LeafFcstFinish]]+Tasks[[#This Row],[_Row]]/100000,"")</f>
        <v/>
      </c>
      <c r="DC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DD7" s="41" t="n">
        <f aca="false">IF(NOT(Tasks[[#This Row],[_IsLeaf]]=1),0,IF(Tasks[[#This Row],[Baseline Cost]]="",Tasks[[#This Row],[_LeafCost]],N(Tasks[[#This Row],[Baseline Cost]])))</f>
        <v>2280</v>
      </c>
      <c r="DE7" s="41" t="n">
        <f aca="false">Tasks[[#This Row],[_LeafBudget]]*Tasks[[#This Row],[_PlannedPct]]</f>
        <v>2280</v>
      </c>
      <c r="DF7" s="41" t="n">
        <f aca="false">Tasks[[#This Row],[_LeafBudget]]*Tasks[[#This Row],[_LeafProgress]]</f>
        <v>2280</v>
      </c>
      <c r="DG7" s="41" t="n">
        <f aca="false">IF(NOT(Tasks[[#This Row],[_IsLeaf]]=1),0,IF(Tasks[[#This Row],[Actual Cost]]="",Tasks[[#This Row],[_LeafCost]]*Tasks[[#This Row],[_LeafProgress]],N(Tasks[[#This Row],[Actual Cost]])))</f>
        <v>3040</v>
      </c>
      <c r="DH7" s="41" t="str">
        <f aca="false">IF(Tasks[[#This Row],[Task Name]]="","",LEFT(Tasks[[#This Row],[WBS]],FIND(".",Tasks[[#This Row],[WBS]]&amp;".")-1))</f>
        <v>1</v>
      </c>
      <c r="DI7" s="41" t="str">
        <f aca="false">IF(AND(Tasks[[#This Row],[Task Name]]&lt;&gt;"",Tasks[[#This Row],[_Level]]=1),Tasks[[#This Row],[_Row]],"")</f>
        <v/>
      </c>
      <c r="DJ7" s="41" t="str">
        <f aca="false">IF(AND(Tasks[[#This Row],[_IsLeaf]]=1,N(Tasks[[#This Row],[Duration]])=0),Tasks[[#This Row],[Planned Finish]]+Tasks[[#This Row],[_Row]]/100000,"")</f>
        <v/>
      </c>
      <c r="DK7" s="41" t="str">
        <f aca="false">IF(AND(Tasks[[#This Row],[_IsLeaf]]=1,Tasks[[#This Row],[_LeafProgress]]&lt;1,OR(N(Tasks[[#This Row],[Finish Var]])&gt;0,Tasks[[#This Row],[Status]]="Late Start")),MAX(0,Tasks[[#This Row],[Finish Var]])+1-Tasks[[#This Row],[_Row]]/1000000,"")</f>
        <v/>
      </c>
      <c r="DL7" s="41" t="str">
        <f aca="false">IF(AND(Tasks[[#This Row],[_IsLeaf]]=1,N(Tasks[[#This Row],[Actual Start]])=0,Tasks[[#This Row],[_LeafFcstStart]]&gt;=StatusDate,Tasks[[#This Row],[_LeafFcstStart]]&lt;=LookaheadEnd),Tasks[[#This Row],[_LeafFcstStart]]+Tasks[[#This Row],[_Row]]/100000,"")</f>
        <v/>
      </c>
      <c r="DM7" s="41" t="str">
        <f aca="false">IF(AND(Tasks[[#This Row],[_IsLeaf]]=1,Tasks[[#This Row],[_LeafProgress]]&lt;1,Tasks[[#This Row],[_LeafFcstFinish]]&gt;=StatusDate,Tasks[[#This Row],[_LeafFcstFinish]]&lt;=LookaheadEnd),Tasks[[#This Row],[_LeafFcstFinish]]+Tasks[[#This Row],[_Row]]/100000,"")</f>
        <v/>
      </c>
      <c r="DN7" s="41" t="str">
        <f aca="false">IF(Tasks[[#This Row],[_LeafCritical]],Tasks[[#This Row],[_LeafFcstStart]]+Tasks[[#This Row],[_Row]]/100000,"")</f>
        <v/>
      </c>
      <c r="DO7" s="41" t="n">
        <f aca="false">Tasks[[#This Row],[_LeafWork]]*Tasks[[#This Row],[_LeafProgress]]</f>
        <v>24</v>
      </c>
      <c r="DP7" s="100" t="n">
        <f aca="false">IF(AND(Tasks[[#This Row],[_IsLeaf]]=1,Tasks[[#This Row],[_LeafProgress]]&gt;=1),IF(N(Tasks[[#This Row],[Actual Finish]])&gt;0,Tasks[[#This Row],[Actual Finish]],Tasks[[#This Row],[_LeafFcstFinish]]),"")</f>
        <v>46275</v>
      </c>
      <c r="DQ7" s="41" t="n">
        <f aca="false">IF(Tasks[[#This Row],[_IsLeaf]]=1,N(Tasks[[#This Row],[Story Points]]),0)</f>
        <v>3</v>
      </c>
      <c r="DR7" s="41" t="str">
        <f aca="false">IF(AND(Tasks[[#This Row],[_IsLeaf]]=1,CurrentSprint&lt;&gt;"",Tasks[[#This Row],[Sprint]]=CurrentSprint),Tasks[[#This Row],[_Row]],"")</f>
        <v/>
      </c>
    </row>
    <row r="8" customFormat="false" ht="15" hidden="false" customHeight="false" outlineLevel="0" collapsed="false">
      <c r="A8" s="28" t="n">
        <f aca="false">IF(Tasks[[#This Row],[Task Name]]="","",COUNTA(Tasks[[#Headers],[Task Name]]:Tasks[[#This Row],[Task Name]])-1)</f>
        <v>3</v>
      </c>
      <c r="B8" s="29" t="n">
        <v>3</v>
      </c>
      <c r="C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1.2</v>
      </c>
      <c r="D8" s="29" t="n">
        <v>2</v>
      </c>
      <c r="E8" s="30" t="s">
        <v>588</v>
      </c>
      <c r="F8" s="29" t="s">
        <v>584</v>
      </c>
      <c r="G8" s="29" t="n">
        <v>2</v>
      </c>
      <c r="H8" s="29" t="n">
        <v>2</v>
      </c>
      <c r="I8" s="29" t="s">
        <v>589</v>
      </c>
      <c r="J8" s="29"/>
      <c r="K8" s="29"/>
      <c r="L8" s="29"/>
      <c r="M8" s="29"/>
      <c r="N8" s="73"/>
      <c r="O8" s="73"/>
      <c r="P8" s="25" t="n">
        <f aca="false">IF(Tasks[[#This Row],[Task Name]]="","",IF(N(Tasks[[#This Row],[Baseline Start]])&gt;0,Tasks[[#This Row],[Baseline Start]],Tasks[[#This Row],[_CalcStart]]))</f>
        <v>46275</v>
      </c>
      <c r="Q8" s="25" t="n">
        <f aca="false">IF(Tasks[[#This Row],[Task Name]]="","",IF(N(Tasks[[#This Row],[Baseline Finish]])&gt;0,Tasks[[#This Row],[Baseline Finish]],Tasks[[#This Row],[_CalcFinish]]))</f>
        <v>46276</v>
      </c>
      <c r="R8" s="73" t="n">
        <v>46276</v>
      </c>
      <c r="S8" s="73" t="n">
        <v>46279</v>
      </c>
      <c r="T8" s="25" t="n">
        <f aca="false">IF(Tasks[[#This Row],[Task Name]]="","",IF(Tasks[[#This Row],[_IsSummary]],MIN(INDEX(Tasks[_LeafFcstStart],Tasks[[#This Row],[_Row]]+1):INDEX(Tasks[_LeafFcstStart],Tasks[[#This Row],[_Row]]+Tasks[[#This Row],[_Descendants]])),Tasks[[#This Row],[_LeafFcstStart]]))</f>
        <v>46276</v>
      </c>
      <c r="U8" s="25" t="n">
        <f aca="false">IF(Tasks[[#This Row],[Task Name]]="","",IF(Tasks[[#This Row],[_IsSummary]],MAX(INDEX(Tasks[_LeafFcstFinish],Tasks[[#This Row],[_Row]]+1):INDEX(Tasks[_LeafFcstFinish],Tasks[[#This Row],[_Row]]+Tasks[[#This Row],[_Descendants]])),Tasks[[#This Row],[_LeafFcstFinish]]))</f>
        <v>46279</v>
      </c>
      <c r="V8" s="43" t="n">
        <f aca="false">IF(Tasks[[#This Row],[Task Name]]="","",IF(Tasks[[#This Row],[Forecast Start]]&gt;=Tasks[[#This Row],[Planned Start]],NETWORKDAYS.INTL(Tasks[[#This Row],[Planned Start]],Tasks[[#This Row],[Forecast Start]],WorkWeek,Holidays)-1,1-NETWORKDAYS.INTL(Tasks[[#This Row],[Forecast Start]],Tasks[[#This Row],[Planned Start]],WorkWeek,Holidays)))</f>
        <v>1</v>
      </c>
      <c r="W8" s="43" t="n">
        <f aca="false">IF(Tasks[[#This Row],[Task Name]]="","",IF(Tasks[[#This Row],[Forecast Finish]]&gt;=Tasks[[#This Row],[Planned Finish]],NETWORKDAYS.INTL(Tasks[[#This Row],[Planned Finish]],Tasks[[#This Row],[Forecast Finish]],WorkWeek,Holidays)-1,1-NETWORKDAYS.INTL(Tasks[[#This Row],[Forecast Finish]],Tasks[[#This Row],[Planned Finish]],WorkWeek,Holidays)))</f>
        <v>1</v>
      </c>
      <c r="X8" s="25" t="n">
        <f aca="false">IF(Tasks[[#This Row],[Task Name]]="","",IF(Tasks[[#This Row],[_IsSummary]],MIN(INDEX(Tasks[_LeafLateStart],Tasks[[#This Row],[_Row]]+1):INDEX(Tasks[_LeafLateStart],Tasks[[#This Row],[_Row]]+Tasks[[#This Row],[_Descendants]])),Tasks[[#This Row],[_LeafLateStart]]))</f>
        <v>46282</v>
      </c>
      <c r="Y8" s="25" t="n">
        <f aca="false">IF(Tasks[[#This Row],[Task Name]]="","",IF(Tasks[[#This Row],[_IsSummary]],MAX(INDEX(Tasks[_LeafLateFinish],Tasks[[#This Row],[_Row]]+1):INDEX(Tasks[_LeafLateFinish],Tasks[[#This Row],[_Row]]+Tasks[[#This Row],[_Descendants]])),Tasks[[#This Row],[_LeafLateFinish]]))</f>
        <v>46283</v>
      </c>
      <c r="Z8" s="43" t="n">
        <f aca="false">IF(Tasks[[#This Row],[Task Name]]="","",IF(Tasks[[#This Row],[_IsSummary]],MIN(INDEX(Tasks[_LeafTotalSlack],Tasks[[#This Row],[_Row]]+1):INDEX(Tasks[_LeafTotalSlack],Tasks[[#This Row],[_Row]]+Tasks[[#This Row],[_Descendants]])),Tasks[[#This Row],[_LeafTotalSlack]]))</f>
        <v>4</v>
      </c>
      <c r="AA8"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8" s="28" t="str">
        <f aca="false">IF(Tasks[[#This Row],[Task Name]]="","",IF(IF(Tasks[[#This Row],[_IsSummary]],COUNTIF(INDEX(Tasks[_LeafCritical],Tasks[[#This Row],[_Row]]+1):INDEX(Tasks[_LeafCritical],Tasks[[#This Row],[_Row]]+Tasks[[#This Row],[_Descendants]]),TRUE())&gt;0,Tasks[[#This Row],[_LeafCritical]]),"Yes",""))</f>
        <v/>
      </c>
      <c r="AC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 s="24" t="str">
        <f aca="false">IF(Tasks[[#This Row],[Task Name]]="","",TRIM(IF(Tasks[[#This Row],[_Pred1Problem]]&lt;&gt;"","Pred 1: "&amp;Tasks[[#This Row],[_Pred1Problem]]&amp;". ","")&amp;IF(Tasks[[#This Row],[_Pred2Problem]]&lt;&gt;"","Pred 2: "&amp;Tasks[[#This Row],[_Pred2Problem]]&amp;".","")))</f>
        <v/>
      </c>
      <c r="AE8" s="88" t="n">
        <v>1</v>
      </c>
      <c r="AF8"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G8" s="28" t="str">
        <f aca="false">IF(Tasks[[#This Row],[Task Name]]="","",IF(Tasks[[#This Row],[Progress]]&gt;=1,"Complete",IF(OR(N(Tasks[[#This Row],[Actual Start]])&gt;0,Tasks[[#This Row],[Progress]]&gt;0),IF(Tasks[[#This Row],[Finish Var]]&gt;0,"Behind","In Progress"),IF(Tasks[[#This Row],[Planned Start]]&lt;StatusDate,"Late Start","Not Started"))))</f>
        <v>Complete</v>
      </c>
      <c r="AH8" s="30" t="s">
        <v>290</v>
      </c>
      <c r="AI8" s="88"/>
      <c r="AJ8" s="95" t="n">
        <f aca="false">IF(Tasks[[#This Row],[Task Name]]="","",IF(Tasks[[#This Row],[_IsSummary]],SUM(INDEX(Tasks[_LeafWork],Tasks[[#This Row],[_Row]]+1):INDEX(Tasks[_LeafWork],Tasks[[#This Row],[_Row]]+Tasks[[#This Row],[_Descendants]])),Tasks[[#This Row],[_LeafWork]]))</f>
        <v>16</v>
      </c>
      <c r="AK8" s="96" t="n">
        <f aca="false">IF(Tasks[[#This Row],[Task Name]]="","",IF(Tasks[[#This Row],[_IsSummary]],SUM(INDEX(Tasks[_LeafCost],Tasks[[#This Row],[_Row]]+1):INDEX(Tasks[_LeafCost],Tasks[[#This Row],[_Row]]+Tasks[[#This Row],[_Descendants]])),Tasks[[#This Row],[_LeafCost]]))</f>
        <v>1120</v>
      </c>
      <c r="AL8" s="97"/>
      <c r="AM8" s="29"/>
      <c r="AN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1</v>
      </c>
      <c r="AO8" s="82" t="n">
        <v>2</v>
      </c>
      <c r="AP8" s="24" t="str">
        <f aca="false">IF(Tasks[[#This Row],[Task Name]]="","",Tasks[[#This Row],[_Pred1IDText]]&amp;IF(AND(Tasks[[#This Row],[_Pred1IDText]]&lt;&gt;"",Tasks[[#This Row],[_Pred2IDText]]&lt;&gt;""),",","")&amp;Tasks[[#This Row],[_Pred2IDText]])</f>
        <v>2</v>
      </c>
      <c r="AQ8" s="30"/>
      <c r="AR8" s="25" t="n">
        <f aca="false">IF(Tasks[[#This Row],[Task Name]]="","",Tasks[[#This Row],[Forecast Start]])</f>
        <v>46276</v>
      </c>
      <c r="AS8" s="25" t="n">
        <f aca="false">IF(Tasks[[#This Row],[Task Name]]="","",Tasks[[#This Row],[Forecast Finish]])</f>
        <v>46279</v>
      </c>
      <c r="AT8" s="28" t="n">
        <f aca="false">IF(Tasks[[#This Row],[Task Name]]="","",IF(Tasks[[#This Row],[_IsSummary]],NETWORKDAYS.INTL(Tasks[[#This Row],[Forecast Start]],Tasks[[#This Row],[Forecast Finish]],WorkWeek,Holidays),N(Tasks[[#This Row],[Duration]])))</f>
        <v>2</v>
      </c>
      <c r="AU8" s="95" t="n">
        <f aca="false">IF(Tasks[[#This Row],[Task Name]]="","",Tasks[[#This Row],[Work]])</f>
        <v>16</v>
      </c>
      <c r="AV8" s="96" t="n">
        <f aca="false">IF(Tasks[[#This Row],[Task Name]]="","",Tasks[[#This Row],[Cost]])</f>
        <v>1120</v>
      </c>
      <c r="AW8" s="73"/>
      <c r="AX8" s="73"/>
      <c r="AY8" s="29"/>
      <c r="AZ8" s="98"/>
      <c r="BA8" s="97"/>
      <c r="BB8" s="28" t="str">
        <f aca="false">IF(OR(Tasks[[#This Row],[Task Name]]="",Tasks[[#This Row],[Baseline Duration]]=""),"",Tasks[[#This Row],[BL Source Duration]]-N(Tasks[[#This Row],[Baseline Duration]]))</f>
        <v/>
      </c>
      <c r="BC8" s="95" t="str">
        <f aca="false">IF(OR(Tasks[[#This Row],[Task Name]]="",Tasks[[#This Row],[Baseline Work]]=""),"",Tasks[[#This Row],[Work]]-N(Tasks[[#This Row],[Baseline Work]]))</f>
        <v/>
      </c>
      <c r="BD8" s="96" t="str">
        <f aca="false">IF(OR(Tasks[[#This Row],[Task Name]]="",Tasks[[#This Row],[Baseline Cost]]=""),"",Tasks[[#This Row],[Cost]]-N(Tasks[[#This Row],[Baseline Cost]]))</f>
        <v/>
      </c>
      <c r="BE8" s="96" t="n">
        <f aca="false">IF(Tasks[[#This Row],[Task Name]]="","",IF(Tasks[[#This Row],[_IsSummary]],SUM(INDEX(Tasks[_LeafBudget],Tasks[[#This Row],[_Row]]+1):INDEX(Tasks[_LeafBudget],Tasks[[#This Row],[_Row]]+Tasks[[#This Row],[_Descendants]])),Tasks[[#This Row],[_LeafBudget]]))</f>
        <v>1120</v>
      </c>
      <c r="BF8" s="96" t="n">
        <f aca="false">IF(Tasks[[#This Row],[Task Name]]="","",IF(Tasks[[#This Row],[_IsSummary]],SUM(INDEX(Tasks[_LeafPV],Tasks[[#This Row],[_Row]]+1):INDEX(Tasks[_LeafPV],Tasks[[#This Row],[_Row]]+Tasks[[#This Row],[_Descendants]])),Tasks[[#This Row],[_LeafPV]]))</f>
        <v>1120</v>
      </c>
      <c r="BG8" s="96" t="n">
        <f aca="false">IF(Tasks[[#This Row],[Task Name]]="","",IF(Tasks[[#This Row],[_IsSummary]],SUM(INDEX(Tasks[_LeafEV],Tasks[[#This Row],[_Row]]+1):INDEX(Tasks[_LeafEV],Tasks[[#This Row],[_Row]]+Tasks[[#This Row],[_Descendants]])),Tasks[[#This Row],[_LeafEV]]))</f>
        <v>1120</v>
      </c>
      <c r="BH8" s="96" t="n">
        <f aca="false">IF(Tasks[[#This Row],[Task Name]]="","",IF(Tasks[[#This Row],[_IsSummary]],SUM(INDEX(Tasks[_LeafAC],Tasks[[#This Row],[_Row]]+1):INDEX(Tasks[_LeafAC],Tasks[[#This Row],[_Row]]+Tasks[[#This Row],[_Descendants]])),Tasks[[#This Row],[_LeafAC]]))</f>
        <v>1120</v>
      </c>
      <c r="BI8" s="41" t="n">
        <f aca="false">IF(Tasks[[#This Row],[Task Name]]="","",MAX(1,N(Tasks[[#This Row],[Level]])))</f>
        <v>2</v>
      </c>
      <c r="BJ8" s="41" t="n">
        <f aca="false">ROW()-ROW(Tasks[[#Headers],[ID]])</f>
        <v>3</v>
      </c>
      <c r="BK8" s="41" t="n">
        <f aca="false">IF(OR(Tasks[[#This Row],[Task Name]]="",Tasks[[#This Row],[_Level]]&lt;=1),0,IFERROR(LOOKUP(2,1/(Tasks[[#Headers],[_Level]]:Tasks[[#This Row],[_Level]]=Tasks[[#This Row],[_Level]]-1),ROW(Tasks[[#Headers],[_Level]]:Tasks[[#This Row],[_Level]])),0))</f>
        <v>6</v>
      </c>
      <c r="BL8" s="41" t="n">
        <f aca="false">IFERROR(N(INDEX(Tasks[_Level],Tasks[[#This Row],[_Row]]+1)),0)</f>
        <v>2</v>
      </c>
      <c r="BM8" s="99" t="b">
        <f aca="false">AND(Tasks[[#This Row],[Task Name]]&lt;&gt;"",Tasks[[#This Row],[_NextLevel]]&gt;Tasks[[#This Row],[_Level]])</f>
        <v>0</v>
      </c>
      <c r="BN8" s="41" t="n">
        <f aca="false">IF(Tasks[[#This Row],[_IsSummary]],COUNTIF(Tasks[WBS],Tasks[[#This Row],[WBS]]&amp;".*"),0)</f>
        <v>0</v>
      </c>
      <c r="BO8" s="41" t="n">
        <f aca="false">IF(AND(Tasks[[#This Row],[Task Name]]&lt;&gt;"",NOT(Tasks[[#This Row],[_IsSummary]])),1,0)</f>
        <v>1</v>
      </c>
      <c r="BP8" s="41" t="n">
        <f aca="false">IF(N(Tasks[[#This Row],[Pred1 UID]])=0,0,IFERROR(MATCH(Tasks[[#This Row],[Pred1 UID]],Tasks[UID],0),-1))</f>
        <v>2</v>
      </c>
      <c r="BQ8" s="41" t="n">
        <f aca="false">IF(N(Tasks[[#This Row],[Pred2 UID]])=0,0,IFERROR(MATCH(Tasks[[#This Row],[Pred2 UID]],Tasks[UID],0),-1))</f>
        <v>0</v>
      </c>
      <c r="BR8" s="100"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46275</v>
      </c>
      <c r="BS8" s="100" t="n">
        <f aca="false">IF(NOT(Tasks[[#This Row],[_IsLeaf]]=1),"",IF(N(Tasks[[#This Row],[Duration]])&lt;=0,Tasks[[#This Row],[_LeafCalcStart]],WORKDAY.INTL(Tasks[[#This Row],[_LeafCalcStart]],Tasks[[#This Row],[Duration]]-1,WorkWeek,Holidays)))</f>
        <v>46276</v>
      </c>
      <c r="BT8" s="100"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46276</v>
      </c>
      <c r="BU8" s="100"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46279</v>
      </c>
      <c r="BV8" s="41" t="n">
        <f aca="false">IF(NOT(Tasks[[#This Row],[_IsLeaf]]=1),0,IF(N(Tasks[[#This Row],[Actual Finish]])&gt;0,1,MIN(1,N(Tasks[[#This Row],[% Complete]]))))</f>
        <v>1</v>
      </c>
      <c r="BW8" s="41" t="n">
        <f aca="false">IF(OR(NOT(Tasks[[#This Row],[_IsLeaf]]=1),Tasks[[#This Row],[Resource]]=""),0,N(Tasks[[#This Row],[Duration]])*HoursPerDay*IF(Tasks[[#This Row],[Units]]="",DefaultUnits,Tasks[[#This Row],[Units]]))</f>
        <v>16</v>
      </c>
      <c r="BX8" s="41" t="n">
        <f aca="false">IF(Tasks[[#This Row],[_LeafWork]]=0,0,Tasks[[#This Row],[_LeafWork]]*IFERROR(INDEX(res_Rate,MATCH(Tasks[[#This Row],[Resource]],res_Name,0)),0))</f>
        <v>1120</v>
      </c>
      <c r="BY8" s="101"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2912184</v>
      </c>
      <c r="BZ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8"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B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8" s="41" t="n">
        <f aca="false">IF(NOT(Tasks[[#This Row],[_IsLeaf]]=1),0,MAX(_xlfn.MAXIFS(Tasks[_Row],Tasks[Pred1 UID],Tasks[[#This Row],[UID]]),_xlfn.MAXIFS(Tasks[_Row],Tasks[Pred2 UID],Tasks[[#This Row],[UID]])))</f>
        <v>4</v>
      </c>
      <c r="CD8" s="100"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46283</v>
      </c>
      <c r="CE8" s="100" t="n">
        <f aca="false">IF(NOT(Tasks[[#This Row],[_IsLeaf]]=1),"",MIN(ProjectFinish,IF(N(Tasks[[#This Row],[Deadline]])&gt;0,Tasks[[#This Row],[Deadline]],2958465),Tasks[[#This Row],[_SuccessorFinishLimit]]))</f>
        <v>46283</v>
      </c>
      <c r="CF8" s="100" t="n">
        <f aca="false">IF(NOT(Tasks[[#This Row],[_IsLeaf]]=1),"",IF(N(Tasks[[#This Row],[Duration]])&lt;=0,Tasks[[#This Row],[_LeafLateFinish]],WORKDAY.INTL(Tasks[[#This Row],[_LeafLateFinish]],-(Tasks[[#This Row],[Duration]]-1),WorkWeek,Holidays)))</f>
        <v>46282</v>
      </c>
      <c r="CG8"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4</v>
      </c>
      <c r="CH8" s="99" t="b">
        <f aca="false">AND(Tasks[[#This Row],[_IsLeaf]]=1,Tasks[[#This Row],[_LeafProgress]]&lt;1,N(Tasks[[#This Row],[_LeafTotalSlack]])&lt;=CriticalSlackDays)</f>
        <v>0</v>
      </c>
      <c r="CI8" s="100" t="n">
        <f aca="false">IF(Tasks[[#This Row],[Task Name]]="","",IF(Tasks[[#This Row],[_IsSummary]],MIN(INDEX(Tasks[_LeafCalcStart],Tasks[[#This Row],[_Row]]+1):INDEX(Tasks[_LeafCalcStart],Tasks[[#This Row],[_Row]]+Tasks[[#This Row],[_Descendants]])),Tasks[[#This Row],[_LeafCalcStart]]))</f>
        <v>46275</v>
      </c>
      <c r="CJ8" s="100" t="n">
        <f aca="false">IF(Tasks[[#This Row],[Task Name]]="","",IF(Tasks[[#This Row],[_IsSummary]],MAX(INDEX(Tasks[_LeafCalcFinish],Tasks[[#This Row],[_Row]]+1):INDEX(Tasks[_LeafCalcFinish],Tasks[[#This Row],[_Row]]+Tasks[[#This Row],[_Descendants]])),Tasks[[#This Row],[_LeafCalcFinish]]))</f>
        <v>46276</v>
      </c>
      <c r="CK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8"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46275</v>
      </c>
      <c r="CN8"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8"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46276</v>
      </c>
      <c r="CP8"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8" s="41" t="n">
        <f aca="false">IF(AND(Tasks[[#This Row],[_IsLeaf]]=1,Tasks[[#This Row],[_LeafWork]]&gt;0),NETWORKDAYS.INTL(ProjectStart,Tasks[[#This Row],[_LeafFcstStart]],WorkWeek,Holidays),0)</f>
        <v>5</v>
      </c>
      <c r="CR8" s="41" t="n">
        <f aca="false">IF(AND(Tasks[[#This Row],[_IsLeaf]]=1,Tasks[[#This Row],[_LeafWork]]&gt;0),MAX(Tasks[[#This Row],[_StartWorkday]],NETWORKDAYS.INTL(ProjectStart,Tasks[[#This Row],[_LeafFcstFinish]],WorkWeek,Holidays)),0)</f>
        <v>6</v>
      </c>
      <c r="CS8" s="41" t="n">
        <f aca="false">IF(AND(Tasks[[#This Row],[_IsLeaf]]=1,Tasks[[#This Row],[_LeafWork]]&gt;0),Tasks[[#This Row],[_LeafWork]]/(Tasks[[#This Row],[_FinishWorkday]]-Tasks[[#This Row],[_StartWorkday]]+1),0)</f>
        <v>8</v>
      </c>
      <c r="CT8" s="41" t="n">
        <f aca="false">Tasks[[#This Row],[_WorkPerWorkday]]*(Tasks[[#This Row],[_StartWorkday]]-1)</f>
        <v>32</v>
      </c>
      <c r="CU8" s="41" t="n">
        <f aca="false">IF(Tasks[[#This Row],[_IsLeaf]]=1,MAX(N(Tasks[[#This Row],[Duration]]),0.1),0)</f>
        <v>2</v>
      </c>
      <c r="CV8" s="41" t="n">
        <f aca="false">Tasks[[#This Row],[_WeightDur]]*Tasks[[#This Row],[_LeafProgress]]</f>
        <v>2</v>
      </c>
      <c r="CW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2</v>
      </c>
      <c r="CX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2</v>
      </c>
      <c r="CZ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8" s="41" t="str">
        <f aca="false">IF(Tasks[[#This Row],[Task Name]]="","",Tasks[[#This Row],[_Pred1UIDText]]&amp;IF(AND(Tasks[[#This Row],[_Pred1UIDText]]&lt;&gt;"",Tasks[[#This Row],[_Pred2UIDText]]&lt;&gt;""),",","")&amp;Tasks[[#This Row],[_Pred2UIDText]])</f>
        <v>2</v>
      </c>
      <c r="DB8" s="41" t="str">
        <f aca="false">IF(AND(Tasks[[#This Row],[_IsLeaf]]=1,N(Tasks[[#This Row],[Duration]])=0,Tasks[[#This Row],[_LeafProgress]]&lt;1),Tasks[[#This Row],[_LeafFcstFinish]]+Tasks[[#This Row],[_Row]]/100000,"")</f>
        <v/>
      </c>
      <c r="DC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DD8" s="41" t="n">
        <f aca="false">IF(NOT(Tasks[[#This Row],[_IsLeaf]]=1),0,IF(Tasks[[#This Row],[Baseline Cost]]="",Tasks[[#This Row],[_LeafCost]],N(Tasks[[#This Row],[Baseline Cost]])))</f>
        <v>1120</v>
      </c>
      <c r="DE8" s="41" t="n">
        <f aca="false">Tasks[[#This Row],[_LeafBudget]]*Tasks[[#This Row],[_PlannedPct]]</f>
        <v>1120</v>
      </c>
      <c r="DF8" s="41" t="n">
        <f aca="false">Tasks[[#This Row],[_LeafBudget]]*Tasks[[#This Row],[_LeafProgress]]</f>
        <v>1120</v>
      </c>
      <c r="DG8" s="41" t="n">
        <f aca="false">IF(NOT(Tasks[[#This Row],[_IsLeaf]]=1),0,IF(Tasks[[#This Row],[Actual Cost]]="",Tasks[[#This Row],[_LeafCost]]*Tasks[[#This Row],[_LeafProgress]],N(Tasks[[#This Row],[Actual Cost]])))</f>
        <v>1120</v>
      </c>
      <c r="DH8" s="41" t="str">
        <f aca="false">IF(Tasks[[#This Row],[Task Name]]="","",LEFT(Tasks[[#This Row],[WBS]],FIND(".",Tasks[[#This Row],[WBS]]&amp;".")-1))</f>
        <v>1</v>
      </c>
      <c r="DI8" s="41" t="str">
        <f aca="false">IF(AND(Tasks[[#This Row],[Task Name]]&lt;&gt;"",Tasks[[#This Row],[_Level]]=1),Tasks[[#This Row],[_Row]],"")</f>
        <v/>
      </c>
      <c r="DJ8" s="41" t="str">
        <f aca="false">IF(AND(Tasks[[#This Row],[_IsLeaf]]=1,N(Tasks[[#This Row],[Duration]])=0),Tasks[[#This Row],[Planned Finish]]+Tasks[[#This Row],[_Row]]/100000,"")</f>
        <v/>
      </c>
      <c r="DK8" s="41" t="str">
        <f aca="false">IF(AND(Tasks[[#This Row],[_IsLeaf]]=1,Tasks[[#This Row],[_LeafProgress]]&lt;1,OR(N(Tasks[[#This Row],[Finish Var]])&gt;0,Tasks[[#This Row],[Status]]="Late Start")),MAX(0,Tasks[[#This Row],[Finish Var]])+1-Tasks[[#This Row],[_Row]]/1000000,"")</f>
        <v/>
      </c>
      <c r="DL8" s="41" t="str">
        <f aca="false">IF(AND(Tasks[[#This Row],[_IsLeaf]]=1,N(Tasks[[#This Row],[Actual Start]])=0,Tasks[[#This Row],[_LeafFcstStart]]&gt;=StatusDate,Tasks[[#This Row],[_LeafFcstStart]]&lt;=LookaheadEnd),Tasks[[#This Row],[_LeafFcstStart]]+Tasks[[#This Row],[_Row]]/100000,"")</f>
        <v/>
      </c>
      <c r="DM8" s="41" t="str">
        <f aca="false">IF(AND(Tasks[[#This Row],[_IsLeaf]]=1,Tasks[[#This Row],[_LeafProgress]]&lt;1,Tasks[[#This Row],[_LeafFcstFinish]]&gt;=StatusDate,Tasks[[#This Row],[_LeafFcstFinish]]&lt;=LookaheadEnd),Tasks[[#This Row],[_LeafFcstFinish]]+Tasks[[#This Row],[_Row]]/100000,"")</f>
        <v/>
      </c>
      <c r="DN8" s="41" t="str">
        <f aca="false">IF(Tasks[[#This Row],[_LeafCritical]],Tasks[[#This Row],[_LeafFcstStart]]+Tasks[[#This Row],[_Row]]/100000,"")</f>
        <v/>
      </c>
      <c r="DO8" s="41" t="n">
        <f aca="false">Tasks[[#This Row],[_LeafWork]]*Tasks[[#This Row],[_LeafProgress]]</f>
        <v>16</v>
      </c>
      <c r="DP8" s="100" t="n">
        <f aca="false">IF(AND(Tasks[[#This Row],[_IsLeaf]]=1,Tasks[[#This Row],[_LeafProgress]]&gt;=1),IF(N(Tasks[[#This Row],[Actual Finish]])&gt;0,Tasks[[#This Row],[Actual Finish]],Tasks[[#This Row],[_LeafFcstFinish]]),"")</f>
        <v>46279</v>
      </c>
      <c r="DQ8" s="41" t="n">
        <f aca="false">IF(Tasks[[#This Row],[_IsLeaf]]=1,N(Tasks[[#This Row],[Story Points]]),0)</f>
        <v>2</v>
      </c>
      <c r="DR8" s="41" t="str">
        <f aca="false">IF(AND(Tasks[[#This Row],[_IsLeaf]]=1,CurrentSprint&lt;&gt;"",Tasks[[#This Row],[Sprint]]=CurrentSprint),Tasks[[#This Row],[_Row]],"")</f>
        <v/>
      </c>
    </row>
    <row r="9" customFormat="false" ht="15" hidden="false" customHeight="false" outlineLevel="0" collapsed="false">
      <c r="A9" s="28" t="n">
        <f aca="false">IF(Tasks[[#This Row],[Task Name]]="","",COUNTA(Tasks[[#Headers],[Task Name]]:Tasks[[#This Row],[Task Name]])-1)</f>
        <v>4</v>
      </c>
      <c r="B9" s="29" t="n">
        <v>4</v>
      </c>
      <c r="C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1.3</v>
      </c>
      <c r="D9" s="29" t="n">
        <v>2</v>
      </c>
      <c r="E9" s="30" t="s">
        <v>590</v>
      </c>
      <c r="F9" s="29" t="s">
        <v>584</v>
      </c>
      <c r="G9" s="29" t="n">
        <v>0</v>
      </c>
      <c r="H9" s="29" t="n">
        <v>3</v>
      </c>
      <c r="I9" s="29" t="s">
        <v>589</v>
      </c>
      <c r="J9" s="29"/>
      <c r="K9" s="29"/>
      <c r="L9" s="29"/>
      <c r="M9" s="29"/>
      <c r="N9" s="73"/>
      <c r="O9" s="73"/>
      <c r="P9" s="25" t="n">
        <f aca="false">IF(Tasks[[#This Row],[Task Name]]="","",IF(N(Tasks[[#This Row],[Baseline Start]])&gt;0,Tasks[[#This Row],[Baseline Start]],Tasks[[#This Row],[_CalcStart]]))</f>
        <v>46276</v>
      </c>
      <c r="Q9" s="25" t="n">
        <f aca="false">IF(Tasks[[#This Row],[Task Name]]="","",IF(N(Tasks[[#This Row],[Baseline Finish]])&gt;0,Tasks[[#This Row],[Baseline Finish]],Tasks[[#This Row],[_CalcFinish]]))</f>
        <v>46276</v>
      </c>
      <c r="R9" s="73" t="n">
        <v>46279</v>
      </c>
      <c r="S9" s="73" t="n">
        <v>46279</v>
      </c>
      <c r="T9" s="25" t="n">
        <f aca="false">IF(Tasks[[#This Row],[Task Name]]="","",IF(Tasks[[#This Row],[_IsSummary]],MIN(INDEX(Tasks[_LeafFcstStart],Tasks[[#This Row],[_Row]]+1):INDEX(Tasks[_LeafFcstStart],Tasks[[#This Row],[_Row]]+Tasks[[#This Row],[_Descendants]])),Tasks[[#This Row],[_LeafFcstStart]]))</f>
        <v>46279</v>
      </c>
      <c r="U9" s="25" t="n">
        <f aca="false">IF(Tasks[[#This Row],[Task Name]]="","",IF(Tasks[[#This Row],[_IsSummary]],MAX(INDEX(Tasks[_LeafFcstFinish],Tasks[[#This Row],[_Row]]+1):INDEX(Tasks[_LeafFcstFinish],Tasks[[#This Row],[_Row]]+Tasks[[#This Row],[_Descendants]])),Tasks[[#This Row],[_LeafFcstFinish]]))</f>
        <v>46279</v>
      </c>
      <c r="V9" s="43" t="n">
        <f aca="false">IF(Tasks[[#This Row],[Task Name]]="","",IF(Tasks[[#This Row],[Forecast Start]]&gt;=Tasks[[#This Row],[Planned Start]],NETWORKDAYS.INTL(Tasks[[#This Row],[Planned Start]],Tasks[[#This Row],[Forecast Start]],WorkWeek,Holidays)-1,1-NETWORKDAYS.INTL(Tasks[[#This Row],[Forecast Start]],Tasks[[#This Row],[Planned Start]],WorkWeek,Holidays)))</f>
        <v>1</v>
      </c>
      <c r="W9" s="43" t="n">
        <f aca="false">IF(Tasks[[#This Row],[Task Name]]="","",IF(Tasks[[#This Row],[Forecast Finish]]&gt;=Tasks[[#This Row],[Planned Finish]],NETWORKDAYS.INTL(Tasks[[#This Row],[Planned Finish]],Tasks[[#This Row],[Forecast Finish]],WorkWeek,Holidays)-1,1-NETWORKDAYS.INTL(Tasks[[#This Row],[Forecast Finish]],Tasks[[#This Row],[Planned Finish]],WorkWeek,Holidays)))</f>
        <v>1</v>
      </c>
      <c r="X9" s="25" t="n">
        <f aca="false">IF(Tasks[[#This Row],[Task Name]]="","",IF(Tasks[[#This Row],[_IsSummary]],MIN(INDEX(Tasks[_LeafLateStart],Tasks[[#This Row],[_Row]]+1):INDEX(Tasks[_LeafLateStart],Tasks[[#This Row],[_Row]]+Tasks[[#This Row],[_Descendants]])),Tasks[[#This Row],[_LeafLateStart]]))</f>
        <v>46283</v>
      </c>
      <c r="Y9" s="25" t="n">
        <f aca="false">IF(Tasks[[#This Row],[Task Name]]="","",IF(Tasks[[#This Row],[_IsSummary]],MAX(INDEX(Tasks[_LeafLateFinish],Tasks[[#This Row],[_Row]]+1):INDEX(Tasks[_LeafLateFinish],Tasks[[#This Row],[_Row]]+Tasks[[#This Row],[_Descendants]])),Tasks[[#This Row],[_LeafLateFinish]]))</f>
        <v>46283</v>
      </c>
      <c r="Z9" s="43" t="n">
        <f aca="false">IF(Tasks[[#This Row],[Task Name]]="","",IF(Tasks[[#This Row],[_IsSummary]],MIN(INDEX(Tasks[_LeafTotalSlack],Tasks[[#This Row],[_Row]]+1):INDEX(Tasks[_LeafTotalSlack],Tasks[[#This Row],[_Row]]+Tasks[[#This Row],[_Descendants]])),Tasks[[#This Row],[_LeafTotalSlack]]))</f>
        <v>4</v>
      </c>
      <c r="AA9"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9" s="28" t="str">
        <f aca="false">IF(Tasks[[#This Row],[Task Name]]="","",IF(IF(Tasks[[#This Row],[_IsSummary]],COUNTIF(INDEX(Tasks[_LeafCritical],Tasks[[#This Row],[_Row]]+1):INDEX(Tasks[_LeafCritical],Tasks[[#This Row],[_Row]]+Tasks[[#This Row],[_Descendants]]),TRUE())&gt;0,Tasks[[#This Row],[_LeafCritical]]),"Yes",""))</f>
        <v/>
      </c>
      <c r="AC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 s="24" t="str">
        <f aca="false">IF(Tasks[[#This Row],[Task Name]]="","",TRIM(IF(Tasks[[#This Row],[_Pred1Problem]]&lt;&gt;"","Pred 1: "&amp;Tasks[[#This Row],[_Pred1Problem]]&amp;". ","")&amp;IF(Tasks[[#This Row],[_Pred2Problem]]&lt;&gt;"","Pred 2: "&amp;Tasks[[#This Row],[_Pred2Problem]]&amp;".","")))</f>
        <v/>
      </c>
      <c r="AE9" s="88" t="n">
        <v>1</v>
      </c>
      <c r="AF9"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G9" s="28" t="str">
        <f aca="false">IF(Tasks[[#This Row],[Task Name]]="","",IF(Tasks[[#This Row],[Progress]]&gt;=1,"Complete",IF(OR(N(Tasks[[#This Row],[Actual Start]])&gt;0,Tasks[[#This Row],[Progress]]&gt;0),IF(Tasks[[#This Row],[Finish Var]]&gt;0,"Behind","In Progress"),IF(Tasks[[#This Row],[Planned Start]]&lt;StatusDate,"Late Start","Not Started"))))</f>
        <v>Complete</v>
      </c>
      <c r="AH9" s="30"/>
      <c r="AI9" s="88"/>
      <c r="AJ9" s="95" t="n">
        <f aca="false">IF(Tasks[[#This Row],[Task Name]]="","",IF(Tasks[[#This Row],[_IsSummary]],SUM(INDEX(Tasks[_LeafWork],Tasks[[#This Row],[_Row]]+1):INDEX(Tasks[_LeafWork],Tasks[[#This Row],[_Row]]+Tasks[[#This Row],[_Descendants]])),Tasks[[#This Row],[_LeafWork]]))</f>
        <v>0</v>
      </c>
      <c r="AK9" s="96" t="n">
        <f aca="false">IF(Tasks[[#This Row],[Task Name]]="","",IF(Tasks[[#This Row],[_IsSummary]],SUM(INDEX(Tasks[_LeafCost],Tasks[[#This Row],[_Row]]+1):INDEX(Tasks[_LeafCost],Tasks[[#This Row],[_Row]]+Tasks[[#This Row],[_Descendants]])),Tasks[[#This Row],[_LeafCost]]))</f>
        <v>0</v>
      </c>
      <c r="AL9" s="97"/>
      <c r="AM9" s="29"/>
      <c r="AN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1</v>
      </c>
      <c r="AO9" s="82"/>
      <c r="AP9" s="24" t="str">
        <f aca="false">IF(Tasks[[#This Row],[Task Name]]="","",Tasks[[#This Row],[_Pred1IDText]]&amp;IF(AND(Tasks[[#This Row],[_Pred1IDText]]&lt;&gt;"",Tasks[[#This Row],[_Pred2IDText]]&lt;&gt;""),",","")&amp;Tasks[[#This Row],[_Pred2IDText]])</f>
        <v>3</v>
      </c>
      <c r="AQ9" s="30" t="s">
        <v>591</v>
      </c>
      <c r="AR9" s="25" t="n">
        <f aca="false">IF(Tasks[[#This Row],[Task Name]]="","",Tasks[[#This Row],[Forecast Start]])</f>
        <v>46279</v>
      </c>
      <c r="AS9" s="25" t="n">
        <f aca="false">IF(Tasks[[#This Row],[Task Name]]="","",Tasks[[#This Row],[Forecast Finish]])</f>
        <v>46279</v>
      </c>
      <c r="AT9" s="28" t="n">
        <f aca="false">IF(Tasks[[#This Row],[Task Name]]="","",IF(Tasks[[#This Row],[_IsSummary]],NETWORKDAYS.INTL(Tasks[[#This Row],[Forecast Start]],Tasks[[#This Row],[Forecast Finish]],WorkWeek,Holidays),N(Tasks[[#This Row],[Duration]])))</f>
        <v>0</v>
      </c>
      <c r="AU9" s="95" t="n">
        <f aca="false">IF(Tasks[[#This Row],[Task Name]]="","",Tasks[[#This Row],[Work]])</f>
        <v>0</v>
      </c>
      <c r="AV9" s="96" t="n">
        <f aca="false">IF(Tasks[[#This Row],[Task Name]]="","",Tasks[[#This Row],[Cost]])</f>
        <v>0</v>
      </c>
      <c r="AW9" s="73"/>
      <c r="AX9" s="73"/>
      <c r="AY9" s="29"/>
      <c r="AZ9" s="98"/>
      <c r="BA9" s="97"/>
      <c r="BB9" s="28" t="str">
        <f aca="false">IF(OR(Tasks[[#This Row],[Task Name]]="",Tasks[[#This Row],[Baseline Duration]]=""),"",Tasks[[#This Row],[BL Source Duration]]-N(Tasks[[#This Row],[Baseline Duration]]))</f>
        <v/>
      </c>
      <c r="BC9" s="95" t="str">
        <f aca="false">IF(OR(Tasks[[#This Row],[Task Name]]="",Tasks[[#This Row],[Baseline Work]]=""),"",Tasks[[#This Row],[Work]]-N(Tasks[[#This Row],[Baseline Work]]))</f>
        <v/>
      </c>
      <c r="BD9" s="96" t="str">
        <f aca="false">IF(OR(Tasks[[#This Row],[Task Name]]="",Tasks[[#This Row],[Baseline Cost]]=""),"",Tasks[[#This Row],[Cost]]-N(Tasks[[#This Row],[Baseline Cost]]))</f>
        <v/>
      </c>
      <c r="BE9" s="96" t="n">
        <f aca="false">IF(Tasks[[#This Row],[Task Name]]="","",IF(Tasks[[#This Row],[_IsSummary]],SUM(INDEX(Tasks[_LeafBudget],Tasks[[#This Row],[_Row]]+1):INDEX(Tasks[_LeafBudget],Tasks[[#This Row],[_Row]]+Tasks[[#This Row],[_Descendants]])),Tasks[[#This Row],[_LeafBudget]]))</f>
        <v>0</v>
      </c>
      <c r="BF9" s="96" t="n">
        <f aca="false">IF(Tasks[[#This Row],[Task Name]]="","",IF(Tasks[[#This Row],[_IsSummary]],SUM(INDEX(Tasks[_LeafPV],Tasks[[#This Row],[_Row]]+1):INDEX(Tasks[_LeafPV],Tasks[[#This Row],[_Row]]+Tasks[[#This Row],[_Descendants]])),Tasks[[#This Row],[_LeafPV]]))</f>
        <v>0</v>
      </c>
      <c r="BG9" s="96" t="n">
        <f aca="false">IF(Tasks[[#This Row],[Task Name]]="","",IF(Tasks[[#This Row],[_IsSummary]],SUM(INDEX(Tasks[_LeafEV],Tasks[[#This Row],[_Row]]+1):INDEX(Tasks[_LeafEV],Tasks[[#This Row],[_Row]]+Tasks[[#This Row],[_Descendants]])),Tasks[[#This Row],[_LeafEV]]))</f>
        <v>0</v>
      </c>
      <c r="BH9" s="96" t="n">
        <f aca="false">IF(Tasks[[#This Row],[Task Name]]="","",IF(Tasks[[#This Row],[_IsSummary]],SUM(INDEX(Tasks[_LeafAC],Tasks[[#This Row],[_Row]]+1):INDEX(Tasks[_LeafAC],Tasks[[#This Row],[_Row]]+Tasks[[#This Row],[_Descendants]])),Tasks[[#This Row],[_LeafAC]]))</f>
        <v>0</v>
      </c>
      <c r="BI9" s="41" t="n">
        <f aca="false">IF(Tasks[[#This Row],[Task Name]]="","",MAX(1,N(Tasks[[#This Row],[Level]])))</f>
        <v>2</v>
      </c>
      <c r="BJ9" s="41" t="n">
        <f aca="false">ROW()-ROW(Tasks[[#Headers],[ID]])</f>
        <v>4</v>
      </c>
      <c r="BK9" s="41" t="n">
        <f aca="false">IF(OR(Tasks[[#This Row],[Task Name]]="",Tasks[[#This Row],[_Level]]&lt;=1),0,IFERROR(LOOKUP(2,1/(Tasks[[#Headers],[_Level]]:Tasks[[#This Row],[_Level]]=Tasks[[#This Row],[_Level]]-1),ROW(Tasks[[#Headers],[_Level]]:Tasks[[#This Row],[_Level]])),0))</f>
        <v>6</v>
      </c>
      <c r="BL9" s="41" t="n">
        <f aca="false">IFERROR(N(INDEX(Tasks[_Level],Tasks[[#This Row],[_Row]]+1)),0)</f>
        <v>1</v>
      </c>
      <c r="BM9" s="99" t="b">
        <f aca="false">AND(Tasks[[#This Row],[Task Name]]&lt;&gt;"",Tasks[[#This Row],[_NextLevel]]&gt;Tasks[[#This Row],[_Level]])</f>
        <v>0</v>
      </c>
      <c r="BN9" s="41" t="n">
        <f aca="false">IF(Tasks[[#This Row],[_IsSummary]],COUNTIF(Tasks[WBS],Tasks[[#This Row],[WBS]]&amp;".*"),0)</f>
        <v>0</v>
      </c>
      <c r="BO9" s="41" t="n">
        <f aca="false">IF(AND(Tasks[[#This Row],[Task Name]]&lt;&gt;"",NOT(Tasks[[#This Row],[_IsSummary]])),1,0)</f>
        <v>1</v>
      </c>
      <c r="BP9" s="41" t="n">
        <f aca="false">IF(N(Tasks[[#This Row],[Pred1 UID]])=0,0,IFERROR(MATCH(Tasks[[#This Row],[Pred1 UID]],Tasks[UID],0),-1))</f>
        <v>3</v>
      </c>
      <c r="BQ9" s="41" t="n">
        <f aca="false">IF(N(Tasks[[#This Row],[Pred2 UID]])=0,0,IFERROR(MATCH(Tasks[[#This Row],[Pred2 UID]],Tasks[UID],0),-1))</f>
        <v>0</v>
      </c>
      <c r="BR9" s="100"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46276</v>
      </c>
      <c r="BS9" s="100" t="n">
        <f aca="false">IF(NOT(Tasks[[#This Row],[_IsLeaf]]=1),"",IF(N(Tasks[[#This Row],[Duration]])&lt;=0,Tasks[[#This Row],[_LeafCalcStart]],WORKDAY.INTL(Tasks[[#This Row],[_LeafCalcStart]],Tasks[[#This Row],[Duration]]-1,WorkWeek,Holidays)))</f>
        <v>46276</v>
      </c>
      <c r="BT9" s="100"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46279</v>
      </c>
      <c r="BU9" s="100"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46279</v>
      </c>
      <c r="BV9" s="41" t="n">
        <f aca="false">IF(NOT(Tasks[[#This Row],[_IsLeaf]]=1),0,IF(N(Tasks[[#This Row],[Actual Finish]])&gt;0,1,MIN(1,N(Tasks[[#This Row],[% Complete]]))))</f>
        <v>1</v>
      </c>
      <c r="BW9" s="41" t="n">
        <f aca="false">IF(OR(NOT(Tasks[[#This Row],[_IsLeaf]]=1),Tasks[[#This Row],[Resource]]=""),0,N(Tasks[[#This Row],[Duration]])*HoursPerDay*IF(Tasks[[#This Row],[Units]]="",DefaultUnits,Tasks[[#This Row],[Units]]))</f>
        <v>0</v>
      </c>
      <c r="BX9" s="41" t="n">
        <f aca="false">IF(Tasks[[#This Row],[_LeafWork]]=0,0,Tasks[[#This Row],[_LeafWork]]*IFERROR(INDEX(res_Rate,MATCH(Tasks[[#This Row],[Resource]],res_Name,0)),0))</f>
        <v>0</v>
      </c>
      <c r="BY9" s="101"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2912182</v>
      </c>
      <c r="BZ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9"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B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9" s="41" t="n">
        <f aca="false">IF(NOT(Tasks[[#This Row],[_IsLeaf]]=1),0,MAX(_xlfn.MAXIFS(Tasks[_Row],Tasks[Pred1 UID],Tasks[[#This Row],[UID]]),_xlfn.MAXIFS(Tasks[_Row],Tasks[Pred2 UID],Tasks[[#This Row],[UID]])))</f>
        <v>6</v>
      </c>
      <c r="CD9" s="100"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46283</v>
      </c>
      <c r="CE9" s="100" t="n">
        <f aca="false">IF(NOT(Tasks[[#This Row],[_IsLeaf]]=1),"",MIN(ProjectFinish,IF(N(Tasks[[#This Row],[Deadline]])&gt;0,Tasks[[#This Row],[Deadline]],2958465),Tasks[[#This Row],[_SuccessorFinishLimit]]))</f>
        <v>46283</v>
      </c>
      <c r="CF9" s="100" t="n">
        <f aca="false">IF(NOT(Tasks[[#This Row],[_IsLeaf]]=1),"",IF(N(Tasks[[#This Row],[Duration]])&lt;=0,Tasks[[#This Row],[_LeafLateFinish]],WORKDAY.INTL(Tasks[[#This Row],[_LeafLateFinish]],-(Tasks[[#This Row],[Duration]]-1),WorkWeek,Holidays)))</f>
        <v>46283</v>
      </c>
      <c r="CG9"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4</v>
      </c>
      <c r="CH9" s="99" t="b">
        <f aca="false">AND(Tasks[[#This Row],[_IsLeaf]]=1,Tasks[[#This Row],[_LeafProgress]]&lt;1,N(Tasks[[#This Row],[_LeafTotalSlack]])&lt;=CriticalSlackDays)</f>
        <v>0</v>
      </c>
      <c r="CI9" s="100" t="n">
        <f aca="false">IF(Tasks[[#This Row],[Task Name]]="","",IF(Tasks[[#This Row],[_IsSummary]],MIN(INDEX(Tasks[_LeafCalcStart],Tasks[[#This Row],[_Row]]+1):INDEX(Tasks[_LeafCalcStart],Tasks[[#This Row],[_Row]]+Tasks[[#This Row],[_Descendants]])),Tasks[[#This Row],[_LeafCalcStart]]))</f>
        <v>46276</v>
      </c>
      <c r="CJ9" s="100" t="n">
        <f aca="false">IF(Tasks[[#This Row],[Task Name]]="","",IF(Tasks[[#This Row],[_IsSummary]],MAX(INDEX(Tasks[_LeafCalcFinish],Tasks[[#This Row],[_Row]]+1):INDEX(Tasks[_LeafCalcFinish],Tasks[[#This Row],[_Row]]+Tasks[[#This Row],[_Descendants]])),Tasks[[#This Row],[_LeafCalcFinish]]))</f>
        <v>46276</v>
      </c>
      <c r="CK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9"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46276</v>
      </c>
      <c r="CN9"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9"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46279</v>
      </c>
      <c r="CP9"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9" s="41" t="n">
        <f aca="false">IF(AND(Tasks[[#This Row],[_IsLeaf]]=1,Tasks[[#This Row],[_LeafWork]]&gt;0),NETWORKDAYS.INTL(ProjectStart,Tasks[[#This Row],[_LeafFcstStart]],WorkWeek,Holidays),0)</f>
        <v>0</v>
      </c>
      <c r="CR9" s="41" t="n">
        <f aca="false">IF(AND(Tasks[[#This Row],[_IsLeaf]]=1,Tasks[[#This Row],[_LeafWork]]&gt;0),MAX(Tasks[[#This Row],[_StartWorkday]],NETWORKDAYS.INTL(ProjectStart,Tasks[[#This Row],[_LeafFcstFinish]],WorkWeek,Holidays)),0)</f>
        <v>0</v>
      </c>
      <c r="CS9" s="41" t="n">
        <f aca="false">IF(AND(Tasks[[#This Row],[_IsLeaf]]=1,Tasks[[#This Row],[_LeafWork]]&gt;0),Tasks[[#This Row],[_LeafWork]]/(Tasks[[#This Row],[_FinishWorkday]]-Tasks[[#This Row],[_StartWorkday]]+1),0)</f>
        <v>0</v>
      </c>
      <c r="CT9" s="41" t="n">
        <f aca="false">Tasks[[#This Row],[_WorkPerWorkday]]*(Tasks[[#This Row],[_StartWorkday]]-1)</f>
        <v>-0</v>
      </c>
      <c r="CU9" s="41" t="n">
        <f aca="false">IF(Tasks[[#This Row],[_IsLeaf]]=1,MAX(N(Tasks[[#This Row],[Duration]]),0.1),0)</f>
        <v>0.1</v>
      </c>
      <c r="CV9" s="41" t="n">
        <f aca="false">Tasks[[#This Row],[_WeightDur]]*Tasks[[#This Row],[_LeafProgress]]</f>
        <v>0.1</v>
      </c>
      <c r="CW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3</v>
      </c>
      <c r="CX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3</v>
      </c>
      <c r="CZ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9" s="41" t="str">
        <f aca="false">IF(Tasks[[#This Row],[Task Name]]="","",Tasks[[#This Row],[_Pred1UIDText]]&amp;IF(AND(Tasks[[#This Row],[_Pred1UIDText]]&lt;&gt;"",Tasks[[#This Row],[_Pred2UIDText]]&lt;&gt;""),",","")&amp;Tasks[[#This Row],[_Pred2UIDText]])</f>
        <v>3</v>
      </c>
      <c r="DB9" s="41" t="str">
        <f aca="false">IF(AND(Tasks[[#This Row],[_IsLeaf]]=1,N(Tasks[[#This Row],[Duration]])=0,Tasks[[#This Row],[_LeafProgress]]&lt;1),Tasks[[#This Row],[_LeafFcstFinish]]+Tasks[[#This Row],[_Row]]/100000,"")</f>
        <v/>
      </c>
      <c r="DC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DD9" s="41" t="n">
        <f aca="false">IF(NOT(Tasks[[#This Row],[_IsLeaf]]=1),0,IF(Tasks[[#This Row],[Baseline Cost]]="",Tasks[[#This Row],[_LeafCost]],N(Tasks[[#This Row],[Baseline Cost]])))</f>
        <v>0</v>
      </c>
      <c r="DE9" s="41" t="n">
        <f aca="false">Tasks[[#This Row],[_LeafBudget]]*Tasks[[#This Row],[_PlannedPct]]</f>
        <v>0</v>
      </c>
      <c r="DF9" s="41" t="n">
        <f aca="false">Tasks[[#This Row],[_LeafBudget]]*Tasks[[#This Row],[_LeafProgress]]</f>
        <v>0</v>
      </c>
      <c r="DG9" s="41" t="n">
        <f aca="false">IF(NOT(Tasks[[#This Row],[_IsLeaf]]=1),0,IF(Tasks[[#This Row],[Actual Cost]]="",Tasks[[#This Row],[_LeafCost]]*Tasks[[#This Row],[_LeafProgress]],N(Tasks[[#This Row],[Actual Cost]])))</f>
        <v>0</v>
      </c>
      <c r="DH9" s="41" t="str">
        <f aca="false">IF(Tasks[[#This Row],[Task Name]]="","",LEFT(Tasks[[#This Row],[WBS]],FIND(".",Tasks[[#This Row],[WBS]]&amp;".")-1))</f>
        <v>1</v>
      </c>
      <c r="DI9" s="41" t="str">
        <f aca="false">IF(AND(Tasks[[#This Row],[Task Name]]&lt;&gt;"",Tasks[[#This Row],[_Level]]=1),Tasks[[#This Row],[_Row]],"")</f>
        <v/>
      </c>
      <c r="DJ9" s="101" t="n">
        <f aca="false">IF(AND(Tasks[[#This Row],[_IsLeaf]]=1,N(Tasks[[#This Row],[Duration]])=0),Tasks[[#This Row],[Planned Finish]]+Tasks[[#This Row],[_Row]]/100000,"")</f>
        <v>46276.00004</v>
      </c>
      <c r="DK9" s="41" t="str">
        <f aca="false">IF(AND(Tasks[[#This Row],[_IsLeaf]]=1,Tasks[[#This Row],[_LeafProgress]]&lt;1,OR(N(Tasks[[#This Row],[Finish Var]])&gt;0,Tasks[[#This Row],[Status]]="Late Start")),MAX(0,Tasks[[#This Row],[Finish Var]])+1-Tasks[[#This Row],[_Row]]/1000000,"")</f>
        <v/>
      </c>
      <c r="DL9" s="41" t="str">
        <f aca="false">IF(AND(Tasks[[#This Row],[_IsLeaf]]=1,N(Tasks[[#This Row],[Actual Start]])=0,Tasks[[#This Row],[_LeafFcstStart]]&gt;=StatusDate,Tasks[[#This Row],[_LeafFcstStart]]&lt;=LookaheadEnd),Tasks[[#This Row],[_LeafFcstStart]]+Tasks[[#This Row],[_Row]]/100000,"")</f>
        <v/>
      </c>
      <c r="DM9" s="41" t="str">
        <f aca="false">IF(AND(Tasks[[#This Row],[_IsLeaf]]=1,Tasks[[#This Row],[_LeafProgress]]&lt;1,Tasks[[#This Row],[_LeafFcstFinish]]&gt;=StatusDate,Tasks[[#This Row],[_LeafFcstFinish]]&lt;=LookaheadEnd),Tasks[[#This Row],[_LeafFcstFinish]]+Tasks[[#This Row],[_Row]]/100000,"")</f>
        <v/>
      </c>
      <c r="DN9" s="41" t="str">
        <f aca="false">IF(Tasks[[#This Row],[_LeafCritical]],Tasks[[#This Row],[_LeafFcstStart]]+Tasks[[#This Row],[_Row]]/100000,"")</f>
        <v/>
      </c>
      <c r="DO9" s="41" t="n">
        <f aca="false">Tasks[[#This Row],[_LeafWork]]*Tasks[[#This Row],[_LeafProgress]]</f>
        <v>0</v>
      </c>
      <c r="DP9" s="100" t="n">
        <f aca="false">IF(AND(Tasks[[#This Row],[_IsLeaf]]=1,Tasks[[#This Row],[_LeafProgress]]&gt;=1),IF(N(Tasks[[#This Row],[Actual Finish]])&gt;0,Tasks[[#This Row],[Actual Finish]],Tasks[[#This Row],[_LeafFcstFinish]]),"")</f>
        <v>46279</v>
      </c>
      <c r="DQ9" s="41" t="n">
        <f aca="false">IF(Tasks[[#This Row],[_IsLeaf]]=1,N(Tasks[[#This Row],[Story Points]]),0)</f>
        <v>0</v>
      </c>
      <c r="DR9" s="41" t="str">
        <f aca="false">IF(AND(Tasks[[#This Row],[_IsLeaf]]=1,CurrentSprint&lt;&gt;"",Tasks[[#This Row],[Sprint]]=CurrentSprint),Tasks[[#This Row],[_Row]],"")</f>
        <v/>
      </c>
    </row>
    <row r="10" customFormat="false" ht="15" hidden="false" customHeight="false" outlineLevel="0" collapsed="false">
      <c r="A10" s="28" t="n">
        <f aca="false">IF(Tasks[[#This Row],[Task Name]]="","",COUNTA(Tasks[[#Headers],[Task Name]]:Tasks[[#This Row],[Task Name]])-1)</f>
        <v>5</v>
      </c>
      <c r="B10" s="29" t="n">
        <v>5</v>
      </c>
      <c r="C1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v>
      </c>
      <c r="D10" s="29" t="n">
        <v>1</v>
      </c>
      <c r="E10" s="30" t="s">
        <v>592</v>
      </c>
      <c r="F10" s="29" t="s">
        <v>584</v>
      </c>
      <c r="G10" s="29"/>
      <c r="H10" s="29"/>
      <c r="I10" s="29"/>
      <c r="J10" s="29"/>
      <c r="K10" s="29"/>
      <c r="L10" s="29"/>
      <c r="M10" s="29"/>
      <c r="N10" s="73"/>
      <c r="O10" s="73"/>
      <c r="P10" s="25" t="n">
        <f aca="false">IF(Tasks[[#This Row],[Task Name]]="","",IF(N(Tasks[[#This Row],[Baseline Start]])&gt;0,Tasks[[#This Row],[Baseline Start]],Tasks[[#This Row],[_CalcStart]]))</f>
        <v>46279</v>
      </c>
      <c r="Q10" s="25" t="n">
        <f aca="false">IF(Tasks[[#This Row],[Task Name]]="","",IF(N(Tasks[[#This Row],[Baseline Finish]])&gt;0,Tasks[[#This Row],[Baseline Finish]],Tasks[[#This Row],[_CalcFinish]]))</f>
        <v>46296</v>
      </c>
      <c r="R10" s="73"/>
      <c r="S10" s="73"/>
      <c r="T10" s="25" t="n">
        <f aca="false">IF(Tasks[[#This Row],[Task Name]]="","",IF(Tasks[[#This Row],[_IsSummary]],MIN(INDEX(Tasks[_LeafFcstStart],Tasks[[#This Row],[_Row]]+1):INDEX(Tasks[_LeafFcstStart],Tasks[[#This Row],[_Row]]+Tasks[[#This Row],[_Descendants]])),Tasks[[#This Row],[_LeafFcstStart]]))</f>
        <v>46280</v>
      </c>
      <c r="U10" s="25" t="n">
        <f aca="false">IF(Tasks[[#This Row],[Task Name]]="","",IF(Tasks[[#This Row],[_IsSummary]],MAX(INDEX(Tasks[_LeafFcstFinish],Tasks[[#This Row],[_Row]]+1):INDEX(Tasks[_LeafFcstFinish],Tasks[[#This Row],[_Row]]+Tasks[[#This Row],[_Descendants]])),Tasks[[#This Row],[_LeafFcstFinish]]))</f>
        <v>46301</v>
      </c>
      <c r="V10" s="43" t="n">
        <f aca="false">IF(Tasks[[#This Row],[Task Name]]="","",IF(Tasks[[#This Row],[Forecast Start]]&gt;=Tasks[[#This Row],[Planned Start]],NETWORKDAYS.INTL(Tasks[[#This Row],[Planned Start]],Tasks[[#This Row],[Forecast Start]],WorkWeek,Holidays)-1,1-NETWORKDAYS.INTL(Tasks[[#This Row],[Forecast Start]],Tasks[[#This Row],[Planned Start]],WorkWeek,Holidays)))</f>
        <v>1</v>
      </c>
      <c r="W10" s="43" t="n">
        <f aca="false">IF(Tasks[[#This Row],[Task Name]]="","",IF(Tasks[[#This Row],[Forecast Finish]]&gt;=Tasks[[#This Row],[Planned Finish]],NETWORKDAYS.INTL(Tasks[[#This Row],[Planned Finish]],Tasks[[#This Row],[Forecast Finish]],WorkWeek,Holidays)-1,1-NETWORKDAYS.INTL(Tasks[[#This Row],[Forecast Finish]],Tasks[[#This Row],[Planned Finish]],WorkWeek,Holidays)))</f>
        <v>3</v>
      </c>
      <c r="X10" s="25" t="n">
        <f aca="false">IF(Tasks[[#This Row],[Task Name]]="","",IF(Tasks[[#This Row],[_IsSummary]],MIN(INDEX(Tasks[_LeafLateStart],Tasks[[#This Row],[_Row]]+1):INDEX(Tasks[_LeafLateStart],Tasks[[#This Row],[_Row]]+Tasks[[#This Row],[_Descendants]])),Tasks[[#This Row],[_LeafLateStart]]))</f>
        <v>46286</v>
      </c>
      <c r="Y10" s="25" t="n">
        <f aca="false">IF(Tasks[[#This Row],[Task Name]]="","",IF(Tasks[[#This Row],[_IsSummary]],MAX(INDEX(Tasks[_LeafLateFinish],Tasks[[#This Row],[_Row]]+1):INDEX(Tasks[_LeafLateFinish],Tasks[[#This Row],[_Row]]+Tasks[[#This Row],[_Descendants]])),Tasks[[#This Row],[_LeafLateFinish]]))</f>
        <v>46303</v>
      </c>
      <c r="Z10" s="43" t="n">
        <f aca="false">IF(Tasks[[#This Row],[Task Name]]="","",IF(Tasks[[#This Row],[_IsSummary]],MIN(INDEX(Tasks[_LeafTotalSlack],Tasks[[#This Row],[_Row]]+1):INDEX(Tasks[_LeafTotalSlack],Tasks[[#This Row],[_Row]]+Tasks[[#This Row],[_Descendants]])),Tasks[[#This Row],[_LeafTotalSlack]]))</f>
        <v>2</v>
      </c>
      <c r="AA1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 s="28" t="str">
        <f aca="false">IF(Tasks[[#This Row],[Task Name]]="","",IF(IF(Tasks[[#This Row],[_IsSummary]],COUNTIF(INDEX(Tasks[_LeafCritical],Tasks[[#This Row],[_Row]]+1):INDEX(Tasks[_LeafCritical],Tasks[[#This Row],[_Row]]+Tasks[[#This Row],[_Descendants]]),TRUE())&gt;0,Tasks[[#This Row],[_LeafCritical]]),"Yes",""))</f>
        <v/>
      </c>
      <c r="AC1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 s="24" t="str">
        <f aca="false">IF(Tasks[[#This Row],[Task Name]]="","",TRIM(IF(Tasks[[#This Row],[_Pred1Problem]]&lt;&gt;"","Pred 1: "&amp;Tasks[[#This Row],[_Pred1Problem]]&amp;". ","")&amp;IF(Tasks[[#This Row],[_Pred2Problem]]&lt;&gt;"","Pred 2: "&amp;Tasks[[#This Row],[_Pred2Problem]]&amp;".","")))</f>
        <v/>
      </c>
      <c r="AE10" s="88"/>
      <c r="AF10"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G10" s="28" t="str">
        <f aca="false">IF(Tasks[[#This Row],[Task Name]]="","",IF(Tasks[[#This Row],[Progress]]&gt;=1,"Complete",IF(OR(N(Tasks[[#This Row],[Actual Start]])&gt;0,Tasks[[#This Row],[Progress]]&gt;0),IF(Tasks[[#This Row],[Finish Var]]&gt;0,"Behind","In Progress"),IF(Tasks[[#This Row],[Planned Start]]&lt;StatusDate,"Late Start","Not Started"))))</f>
        <v>Complete</v>
      </c>
      <c r="AH10" s="30"/>
      <c r="AI10" s="88"/>
      <c r="AJ10" s="95" t="n">
        <f aca="false">IF(Tasks[[#This Row],[Task Name]]="","",IF(Tasks[[#This Row],[_IsSummary]],SUM(INDEX(Tasks[_LeafWork],Tasks[[#This Row],[_Row]]+1):INDEX(Tasks[_LeafWork],Tasks[[#This Row],[_Row]]+Tasks[[#This Row],[_Descendants]])),Tasks[[#This Row],[_LeafWork]]))</f>
        <v>152</v>
      </c>
      <c r="AK10" s="96" t="n">
        <f aca="false">IF(Tasks[[#This Row],[Task Name]]="","",IF(Tasks[[#This Row],[_IsSummary]],SUM(INDEX(Tasks[_LeafCost],Tasks[[#This Row],[_Row]]+1):INDEX(Tasks[_LeafCost],Tasks[[#This Row],[_Row]]+Tasks[[#This Row],[_Descendants]])),Tasks[[#This Row],[_LeafCost]]))</f>
        <v>12480</v>
      </c>
      <c r="AL10" s="97"/>
      <c r="AM10" s="29"/>
      <c r="AN1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0" s="82"/>
      <c r="AP10" s="24" t="str">
        <f aca="false">IF(Tasks[[#This Row],[Task Name]]="","",Tasks[[#This Row],[_Pred1IDText]]&amp;IF(AND(Tasks[[#This Row],[_Pred1IDText]]&lt;&gt;"",Tasks[[#This Row],[_Pred2IDText]]&lt;&gt;""),",","")&amp;Tasks[[#This Row],[_Pred2IDText]])</f>
        <v/>
      </c>
      <c r="AQ10" s="30"/>
      <c r="AR10" s="25" t="n">
        <f aca="false">IF(Tasks[[#This Row],[Task Name]]="","",Tasks[[#This Row],[Forecast Start]])</f>
        <v>46280</v>
      </c>
      <c r="AS10" s="25" t="n">
        <f aca="false">IF(Tasks[[#This Row],[Task Name]]="","",Tasks[[#This Row],[Forecast Finish]])</f>
        <v>46301</v>
      </c>
      <c r="AT10" s="28" t="n">
        <f aca="false">IF(Tasks[[#This Row],[Task Name]]="","",IF(Tasks[[#This Row],[_IsSummary]],NETWORKDAYS.INTL(Tasks[[#This Row],[Forecast Start]],Tasks[[#This Row],[Forecast Finish]],WorkWeek,Holidays),N(Tasks[[#This Row],[Duration]])))</f>
        <v>16</v>
      </c>
      <c r="AU10" s="95" t="n">
        <f aca="false">IF(Tasks[[#This Row],[Task Name]]="","",Tasks[[#This Row],[Work]])</f>
        <v>152</v>
      </c>
      <c r="AV10" s="96" t="n">
        <f aca="false">IF(Tasks[[#This Row],[Task Name]]="","",Tasks[[#This Row],[Cost]])</f>
        <v>12480</v>
      </c>
      <c r="AW10" s="73"/>
      <c r="AX10" s="73"/>
      <c r="AY10" s="29"/>
      <c r="AZ10" s="98"/>
      <c r="BA10" s="97"/>
      <c r="BB10" s="28" t="str">
        <f aca="false">IF(OR(Tasks[[#This Row],[Task Name]]="",Tasks[[#This Row],[Baseline Duration]]=""),"",Tasks[[#This Row],[BL Source Duration]]-N(Tasks[[#This Row],[Baseline Duration]]))</f>
        <v/>
      </c>
      <c r="BC10" s="95" t="str">
        <f aca="false">IF(OR(Tasks[[#This Row],[Task Name]]="",Tasks[[#This Row],[Baseline Work]]=""),"",Tasks[[#This Row],[Work]]-N(Tasks[[#This Row],[Baseline Work]]))</f>
        <v/>
      </c>
      <c r="BD10" s="96" t="str">
        <f aca="false">IF(OR(Tasks[[#This Row],[Task Name]]="",Tasks[[#This Row],[Baseline Cost]]=""),"",Tasks[[#This Row],[Cost]]-N(Tasks[[#This Row],[Baseline Cost]]))</f>
        <v/>
      </c>
      <c r="BE10" s="96" t="n">
        <f aca="false">IF(Tasks[[#This Row],[Task Name]]="","",IF(Tasks[[#This Row],[_IsSummary]],SUM(INDEX(Tasks[_LeafBudget],Tasks[[#This Row],[_Row]]+1):INDEX(Tasks[_LeafBudget],Tasks[[#This Row],[_Row]]+Tasks[[#This Row],[_Descendants]])),Tasks[[#This Row],[_LeafBudget]]))</f>
        <v>12480</v>
      </c>
      <c r="BF10" s="96" t="n">
        <f aca="false">IF(Tasks[[#This Row],[Task Name]]="","",IF(Tasks[[#This Row],[_IsSummary]],SUM(INDEX(Tasks[_LeafPV],Tasks[[#This Row],[_Row]]+1):INDEX(Tasks[_LeafPV],Tasks[[#This Row],[_Row]]+Tasks[[#This Row],[_Descendants]])),Tasks[[#This Row],[_LeafPV]]))</f>
        <v>12480</v>
      </c>
      <c r="BG10" s="96" t="n">
        <f aca="false">IF(Tasks[[#This Row],[Task Name]]="","",IF(Tasks[[#This Row],[_IsSummary]],SUM(INDEX(Tasks[_LeafEV],Tasks[[#This Row],[_Row]]+1):INDEX(Tasks[_LeafEV],Tasks[[#This Row],[_Row]]+Tasks[[#This Row],[_Descendants]])),Tasks[[#This Row],[_LeafEV]]))</f>
        <v>12480</v>
      </c>
      <c r="BH10" s="96" t="n">
        <f aca="false">IF(Tasks[[#This Row],[Task Name]]="","",IF(Tasks[[#This Row],[_IsSummary]],SUM(INDEX(Tasks[_LeafAC],Tasks[[#This Row],[_Row]]+1):INDEX(Tasks[_LeafAC],Tasks[[#This Row],[_Row]]+Tasks[[#This Row],[_Descendants]])),Tasks[[#This Row],[_LeafAC]]))</f>
        <v>13040</v>
      </c>
      <c r="BI10" s="41" t="n">
        <f aca="false">IF(Tasks[[#This Row],[Task Name]]="","",MAX(1,N(Tasks[[#This Row],[Level]])))</f>
        <v>1</v>
      </c>
      <c r="BJ10" s="41" t="n">
        <f aca="false">ROW()-ROW(Tasks[[#Headers],[ID]])</f>
        <v>5</v>
      </c>
      <c r="BK10" s="41" t="n">
        <f aca="false">IF(OR(Tasks[[#This Row],[Task Name]]="",Tasks[[#This Row],[_Level]]&lt;=1),0,IFERROR(LOOKUP(2,1/(Tasks[[#Headers],[_Level]]:Tasks[[#This Row],[_Level]]=Tasks[[#This Row],[_Level]]-1),ROW(Tasks[[#Headers],[_Level]]:Tasks[[#This Row],[_Level]])),0))</f>
        <v>0</v>
      </c>
      <c r="BL10" s="41" t="n">
        <f aca="false">IFERROR(N(INDEX(Tasks[_Level],Tasks[[#This Row],[_Row]]+1)),0)</f>
        <v>2</v>
      </c>
      <c r="BM10" s="99" t="b">
        <f aca="false">AND(Tasks[[#This Row],[Task Name]]&lt;&gt;"",Tasks[[#This Row],[_NextLevel]]&gt;Tasks[[#This Row],[_Level]])</f>
        <v>1</v>
      </c>
      <c r="BN10" s="41" t="n">
        <f aca="false">IF(Tasks[[#This Row],[_IsSummary]],COUNTIF(Tasks[WBS],Tasks[[#This Row],[WBS]]&amp;".*"),0)</f>
        <v>4</v>
      </c>
      <c r="BO10" s="41" t="n">
        <f aca="false">IF(AND(Tasks[[#This Row],[Task Name]]&lt;&gt;"",NOT(Tasks[[#This Row],[_IsSummary]])),1,0)</f>
        <v>0</v>
      </c>
      <c r="BP10" s="41" t="n">
        <f aca="false">IF(N(Tasks[[#This Row],[Pred1 UID]])=0,0,IFERROR(MATCH(Tasks[[#This Row],[Pred1 UID]],Tasks[UID],0),-1))</f>
        <v>0</v>
      </c>
      <c r="BQ10" s="41" t="n">
        <f aca="false">IF(N(Tasks[[#This Row],[Pred2 UID]])=0,0,IFERROR(MATCH(Tasks[[#This Row],[Pred2 UID]],Tasks[UID],0),-1))</f>
        <v>0</v>
      </c>
      <c r="BR10"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0" s="100" t="str">
        <f aca="false">IF(NOT(Tasks[[#This Row],[_IsLeaf]]=1),"",IF(N(Tasks[[#This Row],[Duration]])&lt;=0,Tasks[[#This Row],[_LeafCalcStart]],WORKDAY.INTL(Tasks[[#This Row],[_LeafCalcStart]],Tasks[[#This Row],[Duration]]-1,WorkWeek,Holidays)))</f>
        <v/>
      </c>
      <c r="BT10"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0"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0" s="41" t="n">
        <f aca="false">IF(NOT(Tasks[[#This Row],[_IsLeaf]]=1),0,IF(N(Tasks[[#This Row],[Actual Finish]])&gt;0,1,MIN(1,N(Tasks[[#This Row],[% Complete]]))))</f>
        <v>0</v>
      </c>
      <c r="BW10" s="41" t="n">
        <f aca="false">IF(OR(NOT(Tasks[[#This Row],[_IsLeaf]]=1),Tasks[[#This Row],[Resource]]=""),0,N(Tasks[[#This Row],[Duration]])*HoursPerDay*IF(Tasks[[#This Row],[Units]]="",DefaultUnits,Tasks[[#This Row],[Units]]))</f>
        <v>0</v>
      </c>
      <c r="BX10" s="41" t="n">
        <f aca="false">IF(Tasks[[#This Row],[_LeafWork]]=0,0,Tasks[[#This Row],[_LeafWork]]*IFERROR(INDEX(res_Rate,MATCH(Tasks[[#This Row],[Resource]],res_Name,0)),0))</f>
        <v>0</v>
      </c>
      <c r="BY1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0" s="41" t="n">
        <f aca="false">IF(NOT(Tasks[[#This Row],[_IsLeaf]]=1),0,MAX(_xlfn.MAXIFS(Tasks[_Row],Tasks[Pred1 UID],Tasks[[#This Row],[UID]]),_xlfn.MAXIFS(Tasks[_Row],Tasks[Pred2 UID],Tasks[[#This Row],[UID]])))</f>
        <v>0</v>
      </c>
      <c r="CD10"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0" s="100" t="str">
        <f aca="false">IF(NOT(Tasks[[#This Row],[_IsLeaf]]=1),"",MIN(ProjectFinish,IF(N(Tasks[[#This Row],[Deadline]])&gt;0,Tasks[[#This Row],[Deadline]],2958465),Tasks[[#This Row],[_SuccessorFinishLimit]]))</f>
        <v/>
      </c>
      <c r="CF10" s="100" t="str">
        <f aca="false">IF(NOT(Tasks[[#This Row],[_IsLeaf]]=1),"",IF(N(Tasks[[#This Row],[Duration]])&lt;=0,Tasks[[#This Row],[_LeafLateFinish]],WORKDAY.INTL(Tasks[[#This Row],[_LeafLateFinish]],-(Tasks[[#This Row],[Duration]]-1),WorkWeek,Holidays)))</f>
        <v/>
      </c>
      <c r="CG1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0" s="99" t="b">
        <f aca="false">AND(Tasks[[#This Row],[_IsLeaf]]=1,Tasks[[#This Row],[_LeafProgress]]&lt;1,N(Tasks[[#This Row],[_LeafTotalSlack]])&lt;=CriticalSlackDays)</f>
        <v>0</v>
      </c>
      <c r="CI10" s="100" t="n">
        <f aca="false">IF(Tasks[[#This Row],[Task Name]]="","",IF(Tasks[[#This Row],[_IsSummary]],MIN(INDEX(Tasks[_LeafCalcStart],Tasks[[#This Row],[_Row]]+1):INDEX(Tasks[_LeafCalcStart],Tasks[[#This Row],[_Row]]+Tasks[[#This Row],[_Descendants]])),Tasks[[#This Row],[_LeafCalcStart]]))</f>
        <v>46279</v>
      </c>
      <c r="CJ10" s="100" t="n">
        <f aca="false">IF(Tasks[[#This Row],[Task Name]]="","",IF(Tasks[[#This Row],[_IsSummary]],MAX(INDEX(Tasks[_LeafCalcFinish],Tasks[[#This Row],[_Row]]+1):INDEX(Tasks[_LeafCalcFinish],Tasks[[#This Row],[_Row]]+Tasks[[#This Row],[_Descendants]])),Tasks[[#This Row],[_LeafCalcFinish]]))</f>
        <v>46296</v>
      </c>
      <c r="CK1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0"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0"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0"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0"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0" s="41" t="n">
        <f aca="false">IF(AND(Tasks[[#This Row],[_IsLeaf]]=1,Tasks[[#This Row],[_LeafWork]]&gt;0),NETWORKDAYS.INTL(ProjectStart,Tasks[[#This Row],[_LeafFcstStart]],WorkWeek,Holidays),0)</f>
        <v>0</v>
      </c>
      <c r="CR10" s="41" t="n">
        <f aca="false">IF(AND(Tasks[[#This Row],[_IsLeaf]]=1,Tasks[[#This Row],[_LeafWork]]&gt;0),MAX(Tasks[[#This Row],[_StartWorkday]],NETWORKDAYS.INTL(ProjectStart,Tasks[[#This Row],[_LeafFcstFinish]],WorkWeek,Holidays)),0)</f>
        <v>0</v>
      </c>
      <c r="CS10" s="41" t="n">
        <f aca="false">IF(AND(Tasks[[#This Row],[_IsLeaf]]=1,Tasks[[#This Row],[_LeafWork]]&gt;0),Tasks[[#This Row],[_LeafWork]]/(Tasks[[#This Row],[_FinishWorkday]]-Tasks[[#This Row],[_StartWorkday]]+1),0)</f>
        <v>0</v>
      </c>
      <c r="CT10" s="41" t="n">
        <f aca="false">Tasks[[#This Row],[_WorkPerWorkday]]*(Tasks[[#This Row],[_StartWorkday]]-1)</f>
        <v>-0</v>
      </c>
      <c r="CU10" s="41" t="n">
        <f aca="false">IF(Tasks[[#This Row],[_IsLeaf]]=1,MAX(N(Tasks[[#This Row],[Duration]]),0.1),0)</f>
        <v>0</v>
      </c>
      <c r="CV10" s="41" t="n">
        <f aca="false">Tasks[[#This Row],[_WeightDur]]*Tasks[[#This Row],[_LeafProgress]]</f>
        <v>0</v>
      </c>
      <c r="CW1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0" s="41" t="str">
        <f aca="false">IF(Tasks[[#This Row],[Task Name]]="","",Tasks[[#This Row],[_Pred1UIDText]]&amp;IF(AND(Tasks[[#This Row],[_Pred1UIDText]]&lt;&gt;"",Tasks[[#This Row],[_Pred2UIDText]]&lt;&gt;""),",","")&amp;Tasks[[#This Row],[_Pred2UIDText]])</f>
        <v/>
      </c>
      <c r="DB10" s="41" t="str">
        <f aca="false">IF(AND(Tasks[[#This Row],[_IsLeaf]]=1,N(Tasks[[#This Row],[Duration]])=0,Tasks[[#This Row],[_LeafProgress]]&lt;1),Tasks[[#This Row],[_LeafFcstFinish]]+Tasks[[#This Row],[_Row]]/100000,"")</f>
        <v/>
      </c>
      <c r="DC1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0" s="41" t="n">
        <f aca="false">IF(NOT(Tasks[[#This Row],[_IsLeaf]]=1),0,IF(Tasks[[#This Row],[Baseline Cost]]="",Tasks[[#This Row],[_LeafCost]],N(Tasks[[#This Row],[Baseline Cost]])))</f>
        <v>0</v>
      </c>
      <c r="DE10" s="41" t="n">
        <f aca="false">Tasks[[#This Row],[_LeafBudget]]*Tasks[[#This Row],[_PlannedPct]]</f>
        <v>0</v>
      </c>
      <c r="DF10" s="41" t="n">
        <f aca="false">Tasks[[#This Row],[_LeafBudget]]*Tasks[[#This Row],[_LeafProgress]]</f>
        <v>0</v>
      </c>
      <c r="DG10" s="41" t="n">
        <f aca="false">IF(NOT(Tasks[[#This Row],[_IsLeaf]]=1),0,IF(Tasks[[#This Row],[Actual Cost]]="",Tasks[[#This Row],[_LeafCost]]*Tasks[[#This Row],[_LeafProgress]],N(Tasks[[#This Row],[Actual Cost]])))</f>
        <v>0</v>
      </c>
      <c r="DH10" s="41" t="str">
        <f aca="false">IF(Tasks[[#This Row],[Task Name]]="","",LEFT(Tasks[[#This Row],[WBS]],FIND(".",Tasks[[#This Row],[WBS]]&amp;".")-1))</f>
        <v>2</v>
      </c>
      <c r="DI10" s="41" t="n">
        <f aca="false">IF(AND(Tasks[[#This Row],[Task Name]]&lt;&gt;"",Tasks[[#This Row],[_Level]]=1),Tasks[[#This Row],[_Row]],"")</f>
        <v>5</v>
      </c>
      <c r="DJ10" s="41" t="str">
        <f aca="false">IF(AND(Tasks[[#This Row],[_IsLeaf]]=1,N(Tasks[[#This Row],[Duration]])=0),Tasks[[#This Row],[Planned Finish]]+Tasks[[#This Row],[_Row]]/100000,"")</f>
        <v/>
      </c>
      <c r="DK10" s="41" t="str">
        <f aca="false">IF(AND(Tasks[[#This Row],[_IsLeaf]]=1,Tasks[[#This Row],[_LeafProgress]]&lt;1,OR(N(Tasks[[#This Row],[Finish Var]])&gt;0,Tasks[[#This Row],[Status]]="Late Start")),MAX(0,Tasks[[#This Row],[Finish Var]])+1-Tasks[[#This Row],[_Row]]/1000000,"")</f>
        <v/>
      </c>
      <c r="DL10" s="41" t="str">
        <f aca="false">IF(AND(Tasks[[#This Row],[_IsLeaf]]=1,N(Tasks[[#This Row],[Actual Start]])=0,Tasks[[#This Row],[_LeafFcstStart]]&gt;=StatusDate,Tasks[[#This Row],[_LeafFcstStart]]&lt;=LookaheadEnd),Tasks[[#This Row],[_LeafFcstStart]]+Tasks[[#This Row],[_Row]]/100000,"")</f>
        <v/>
      </c>
      <c r="DM10" s="41" t="str">
        <f aca="false">IF(AND(Tasks[[#This Row],[_IsLeaf]]=1,Tasks[[#This Row],[_LeafProgress]]&lt;1,Tasks[[#This Row],[_LeafFcstFinish]]&gt;=StatusDate,Tasks[[#This Row],[_LeafFcstFinish]]&lt;=LookaheadEnd),Tasks[[#This Row],[_LeafFcstFinish]]+Tasks[[#This Row],[_Row]]/100000,"")</f>
        <v/>
      </c>
      <c r="DN10" s="41" t="str">
        <f aca="false">IF(Tasks[[#This Row],[_LeafCritical]],Tasks[[#This Row],[_LeafFcstStart]]+Tasks[[#This Row],[_Row]]/100000,"")</f>
        <v/>
      </c>
      <c r="DO10" s="41" t="n">
        <f aca="false">Tasks[[#This Row],[_LeafWork]]*Tasks[[#This Row],[_LeafProgress]]</f>
        <v>0</v>
      </c>
      <c r="DP10" s="100" t="str">
        <f aca="false">IF(AND(Tasks[[#This Row],[_IsLeaf]]=1,Tasks[[#This Row],[_LeafProgress]]&gt;=1),IF(N(Tasks[[#This Row],[Actual Finish]])&gt;0,Tasks[[#This Row],[Actual Finish]],Tasks[[#This Row],[_LeafFcstFinish]]),"")</f>
        <v/>
      </c>
      <c r="DQ10" s="41" t="n">
        <f aca="false">IF(Tasks[[#This Row],[_IsLeaf]]=1,N(Tasks[[#This Row],[Story Points]]),0)</f>
        <v>0</v>
      </c>
      <c r="DR10" s="41" t="str">
        <f aca="false">IF(AND(Tasks[[#This Row],[_IsLeaf]]=1,CurrentSprint&lt;&gt;"",Tasks[[#This Row],[Sprint]]=CurrentSprint),Tasks[[#This Row],[_Row]],"")</f>
        <v/>
      </c>
    </row>
    <row r="11" customFormat="false" ht="15" hidden="false" customHeight="false" outlineLevel="0" collapsed="false">
      <c r="A11" s="28" t="n">
        <f aca="false">IF(Tasks[[#This Row],[Task Name]]="","",COUNTA(Tasks[[#Headers],[Task Name]]:Tasks[[#This Row],[Task Name]])-1)</f>
        <v>6</v>
      </c>
      <c r="B11" s="29" t="n">
        <v>6</v>
      </c>
      <c r="C1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2.1</v>
      </c>
      <c r="D11" s="29" t="n">
        <v>2</v>
      </c>
      <c r="E11" s="30" t="s">
        <v>593</v>
      </c>
      <c r="F11" s="29" t="s">
        <v>584</v>
      </c>
      <c r="G11" s="29" t="n">
        <v>8</v>
      </c>
      <c r="H11" s="29" t="n">
        <v>4</v>
      </c>
      <c r="I11" s="29" t="s">
        <v>589</v>
      </c>
      <c r="J11" s="29"/>
      <c r="K11" s="29"/>
      <c r="L11" s="29"/>
      <c r="M11" s="29"/>
      <c r="N11" s="73"/>
      <c r="O11" s="73"/>
      <c r="P11" s="25" t="n">
        <f aca="false">IF(Tasks[[#This Row],[Task Name]]="","",IF(N(Tasks[[#This Row],[Baseline Start]])&gt;0,Tasks[[#This Row],[Baseline Start]],Tasks[[#This Row],[_CalcStart]]))</f>
        <v>46279</v>
      </c>
      <c r="Q11" s="25" t="n">
        <f aca="false">IF(Tasks[[#This Row],[Task Name]]="","",IF(N(Tasks[[#This Row],[Baseline Finish]])&gt;0,Tasks[[#This Row],[Baseline Finish]],Tasks[[#This Row],[_CalcFinish]]))</f>
        <v>46288</v>
      </c>
      <c r="R11" s="73" t="n">
        <v>46280</v>
      </c>
      <c r="S11" s="73" t="n">
        <v>46290</v>
      </c>
      <c r="T11" s="25" t="n">
        <f aca="false">IF(Tasks[[#This Row],[Task Name]]="","",IF(Tasks[[#This Row],[_IsSummary]],MIN(INDEX(Tasks[_LeafFcstStart],Tasks[[#This Row],[_Row]]+1):INDEX(Tasks[_LeafFcstStart],Tasks[[#This Row],[_Row]]+Tasks[[#This Row],[_Descendants]])),Tasks[[#This Row],[_LeafFcstStart]]))</f>
        <v>46280</v>
      </c>
      <c r="U11" s="25" t="n">
        <f aca="false">IF(Tasks[[#This Row],[Task Name]]="","",IF(Tasks[[#This Row],[_IsSummary]],MAX(INDEX(Tasks[_LeafFcstFinish],Tasks[[#This Row],[_Row]]+1):INDEX(Tasks[_LeafFcstFinish],Tasks[[#This Row],[_Row]]+Tasks[[#This Row],[_Descendants]])),Tasks[[#This Row],[_LeafFcstFinish]]))</f>
        <v>46290</v>
      </c>
      <c r="V11" s="43" t="n">
        <f aca="false">IF(Tasks[[#This Row],[Task Name]]="","",IF(Tasks[[#This Row],[Forecast Start]]&gt;=Tasks[[#This Row],[Planned Start]],NETWORKDAYS.INTL(Tasks[[#This Row],[Planned Start]],Tasks[[#This Row],[Forecast Start]],WorkWeek,Holidays)-1,1-NETWORKDAYS.INTL(Tasks[[#This Row],[Forecast Start]],Tasks[[#This Row],[Planned Start]],WorkWeek,Holidays)))</f>
        <v>1</v>
      </c>
      <c r="W11" s="43" t="n">
        <f aca="false">IF(Tasks[[#This Row],[Task Name]]="","",IF(Tasks[[#This Row],[Forecast Finish]]&gt;=Tasks[[#This Row],[Planned Finish]],NETWORKDAYS.INTL(Tasks[[#This Row],[Planned Finish]],Tasks[[#This Row],[Forecast Finish]],WorkWeek,Holidays)-1,1-NETWORKDAYS.INTL(Tasks[[#This Row],[Forecast Finish]],Tasks[[#This Row],[Planned Finish]],WorkWeek,Holidays)))</f>
        <v>2</v>
      </c>
      <c r="X11" s="25" t="n">
        <f aca="false">IF(Tasks[[#This Row],[Task Name]]="","",IF(Tasks[[#This Row],[_IsSummary]],MIN(INDEX(Tasks[_LeafLateStart],Tasks[[#This Row],[_Row]]+1):INDEX(Tasks[_LeafLateStart],Tasks[[#This Row],[_Row]]+Tasks[[#This Row],[_Descendants]])),Tasks[[#This Row],[_LeafLateStart]]))</f>
        <v>46286</v>
      </c>
      <c r="Y11" s="25" t="n">
        <f aca="false">IF(Tasks[[#This Row],[Task Name]]="","",IF(Tasks[[#This Row],[_IsSummary]],MAX(INDEX(Tasks[_LeafLateFinish],Tasks[[#This Row],[_Row]]+1):INDEX(Tasks[_LeafLateFinish],Tasks[[#This Row],[_Row]]+Tasks[[#This Row],[_Descendants]])),Tasks[[#This Row],[_LeafLateFinish]]))</f>
        <v>46295</v>
      </c>
      <c r="Z11" s="43" t="n">
        <f aca="false">IF(Tasks[[#This Row],[Task Name]]="","",IF(Tasks[[#This Row],[_IsSummary]],MIN(INDEX(Tasks[_LeafTotalSlack],Tasks[[#This Row],[_Row]]+1):INDEX(Tasks[_LeafTotalSlack],Tasks[[#This Row],[_Row]]+Tasks[[#This Row],[_Descendants]])),Tasks[[#This Row],[_LeafTotalSlack]]))</f>
        <v>3</v>
      </c>
      <c r="AA11"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11" s="28" t="str">
        <f aca="false">IF(Tasks[[#This Row],[Task Name]]="","",IF(IF(Tasks[[#This Row],[_IsSummary]],COUNTIF(INDEX(Tasks[_LeafCritical],Tasks[[#This Row],[_Row]]+1):INDEX(Tasks[_LeafCritical],Tasks[[#This Row],[_Row]]+Tasks[[#This Row],[_Descendants]]),TRUE())&gt;0,Tasks[[#This Row],[_LeafCritical]]),"Yes",""))</f>
        <v/>
      </c>
      <c r="AC1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 s="24" t="str">
        <f aca="false">IF(Tasks[[#This Row],[Task Name]]="","",TRIM(IF(Tasks[[#This Row],[_Pred1Problem]]&lt;&gt;"","Pred 1: "&amp;Tasks[[#This Row],[_Pred1Problem]]&amp;". ","")&amp;IF(Tasks[[#This Row],[_Pred2Problem]]&lt;&gt;"","Pred 2: "&amp;Tasks[[#This Row],[_Pred2Problem]]&amp;".","")))</f>
        <v/>
      </c>
      <c r="AE11" s="88" t="n">
        <v>1</v>
      </c>
      <c r="AF11"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G11" s="28" t="str">
        <f aca="false">IF(Tasks[[#This Row],[Task Name]]="","",IF(Tasks[[#This Row],[Progress]]&gt;=1,"Complete",IF(OR(N(Tasks[[#This Row],[Actual Start]])&gt;0,Tasks[[#This Row],[Progress]]&gt;0),IF(Tasks[[#This Row],[Finish Var]]&gt;0,"Behind","In Progress"),IF(Tasks[[#This Row],[Planned Start]]&lt;StatusDate,"Late Start","Not Started"))))</f>
        <v>Complete</v>
      </c>
      <c r="AH11" s="30" t="s">
        <v>290</v>
      </c>
      <c r="AI11" s="88"/>
      <c r="AJ11" s="95" t="n">
        <f aca="false">IF(Tasks[[#This Row],[Task Name]]="","",IF(Tasks[[#This Row],[_IsSummary]],SUM(INDEX(Tasks[_LeafWork],Tasks[[#This Row],[_Row]]+1):INDEX(Tasks[_LeafWork],Tasks[[#This Row],[_Row]]+Tasks[[#This Row],[_Descendants]])),Tasks[[#This Row],[_LeafWork]]))</f>
        <v>64</v>
      </c>
      <c r="AK11" s="96" t="n">
        <f aca="false">IF(Tasks[[#This Row],[Task Name]]="","",IF(Tasks[[#This Row],[_IsSummary]],SUM(INDEX(Tasks[_LeafCost],Tasks[[#This Row],[_Row]]+1):INDEX(Tasks[_LeafCost],Tasks[[#This Row],[_Row]]+Tasks[[#This Row],[_Descendants]])),Tasks[[#This Row],[_LeafCost]]))</f>
        <v>4480</v>
      </c>
      <c r="AL11" s="97" t="n">
        <v>5040</v>
      </c>
      <c r="AM11" s="29"/>
      <c r="AN1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1</v>
      </c>
      <c r="AO11" s="82" t="n">
        <v>8</v>
      </c>
      <c r="AP11" s="24" t="str">
        <f aca="false">IF(Tasks[[#This Row],[Task Name]]="","",Tasks[[#This Row],[_Pred1IDText]]&amp;IF(AND(Tasks[[#This Row],[_Pred1IDText]]&lt;&gt;"",Tasks[[#This Row],[_Pred2IDText]]&lt;&gt;""),",","")&amp;Tasks[[#This Row],[_Pred2IDText]])</f>
        <v>4</v>
      </c>
      <c r="AQ11" s="30"/>
      <c r="AR11" s="25" t="n">
        <f aca="false">IF(Tasks[[#This Row],[Task Name]]="","",Tasks[[#This Row],[Forecast Start]])</f>
        <v>46280</v>
      </c>
      <c r="AS11" s="25" t="n">
        <f aca="false">IF(Tasks[[#This Row],[Task Name]]="","",Tasks[[#This Row],[Forecast Finish]])</f>
        <v>46290</v>
      </c>
      <c r="AT11" s="28" t="n">
        <f aca="false">IF(Tasks[[#This Row],[Task Name]]="","",IF(Tasks[[#This Row],[_IsSummary]],NETWORKDAYS.INTL(Tasks[[#This Row],[Forecast Start]],Tasks[[#This Row],[Forecast Finish]],WorkWeek,Holidays),N(Tasks[[#This Row],[Duration]])))</f>
        <v>8</v>
      </c>
      <c r="AU11" s="95" t="n">
        <f aca="false">IF(Tasks[[#This Row],[Task Name]]="","",Tasks[[#This Row],[Work]])</f>
        <v>64</v>
      </c>
      <c r="AV11" s="96" t="n">
        <f aca="false">IF(Tasks[[#This Row],[Task Name]]="","",Tasks[[#This Row],[Cost]])</f>
        <v>4480</v>
      </c>
      <c r="AW11" s="73"/>
      <c r="AX11" s="73"/>
      <c r="AY11" s="29"/>
      <c r="AZ11" s="98"/>
      <c r="BA11" s="97"/>
      <c r="BB11" s="28" t="str">
        <f aca="false">IF(OR(Tasks[[#This Row],[Task Name]]="",Tasks[[#This Row],[Baseline Duration]]=""),"",Tasks[[#This Row],[BL Source Duration]]-N(Tasks[[#This Row],[Baseline Duration]]))</f>
        <v/>
      </c>
      <c r="BC11" s="95" t="str">
        <f aca="false">IF(OR(Tasks[[#This Row],[Task Name]]="",Tasks[[#This Row],[Baseline Work]]=""),"",Tasks[[#This Row],[Work]]-N(Tasks[[#This Row],[Baseline Work]]))</f>
        <v/>
      </c>
      <c r="BD11" s="96" t="str">
        <f aca="false">IF(OR(Tasks[[#This Row],[Task Name]]="",Tasks[[#This Row],[Baseline Cost]]=""),"",Tasks[[#This Row],[Cost]]-N(Tasks[[#This Row],[Baseline Cost]]))</f>
        <v/>
      </c>
      <c r="BE11" s="96" t="n">
        <f aca="false">IF(Tasks[[#This Row],[Task Name]]="","",IF(Tasks[[#This Row],[_IsSummary]],SUM(INDEX(Tasks[_LeafBudget],Tasks[[#This Row],[_Row]]+1):INDEX(Tasks[_LeafBudget],Tasks[[#This Row],[_Row]]+Tasks[[#This Row],[_Descendants]])),Tasks[[#This Row],[_LeafBudget]]))</f>
        <v>4480</v>
      </c>
      <c r="BF11" s="96" t="n">
        <f aca="false">IF(Tasks[[#This Row],[Task Name]]="","",IF(Tasks[[#This Row],[_IsSummary]],SUM(INDEX(Tasks[_LeafPV],Tasks[[#This Row],[_Row]]+1):INDEX(Tasks[_LeafPV],Tasks[[#This Row],[_Row]]+Tasks[[#This Row],[_Descendants]])),Tasks[[#This Row],[_LeafPV]]))</f>
        <v>4480</v>
      </c>
      <c r="BG11" s="96" t="n">
        <f aca="false">IF(Tasks[[#This Row],[Task Name]]="","",IF(Tasks[[#This Row],[_IsSummary]],SUM(INDEX(Tasks[_LeafEV],Tasks[[#This Row],[_Row]]+1):INDEX(Tasks[_LeafEV],Tasks[[#This Row],[_Row]]+Tasks[[#This Row],[_Descendants]])),Tasks[[#This Row],[_LeafEV]]))</f>
        <v>4480</v>
      </c>
      <c r="BH11" s="96" t="n">
        <f aca="false">IF(Tasks[[#This Row],[Task Name]]="","",IF(Tasks[[#This Row],[_IsSummary]],SUM(INDEX(Tasks[_LeafAC],Tasks[[#This Row],[_Row]]+1):INDEX(Tasks[_LeafAC],Tasks[[#This Row],[_Row]]+Tasks[[#This Row],[_Descendants]])),Tasks[[#This Row],[_LeafAC]]))</f>
        <v>5040</v>
      </c>
      <c r="BI11" s="41" t="n">
        <f aca="false">IF(Tasks[[#This Row],[Task Name]]="","",MAX(1,N(Tasks[[#This Row],[Level]])))</f>
        <v>2</v>
      </c>
      <c r="BJ11" s="41" t="n">
        <f aca="false">ROW()-ROW(Tasks[[#Headers],[ID]])</f>
        <v>6</v>
      </c>
      <c r="BK11" s="41" t="n">
        <f aca="false">IF(OR(Tasks[[#This Row],[Task Name]]="",Tasks[[#This Row],[_Level]]&lt;=1),0,IFERROR(LOOKUP(2,1/(Tasks[[#Headers],[_Level]]:Tasks[[#This Row],[_Level]]=Tasks[[#This Row],[_Level]]-1),ROW(Tasks[[#Headers],[_Level]]:Tasks[[#This Row],[_Level]])),0))</f>
        <v>10</v>
      </c>
      <c r="BL11" s="41" t="n">
        <f aca="false">IFERROR(N(INDEX(Tasks[_Level],Tasks[[#This Row],[_Row]]+1)),0)</f>
        <v>2</v>
      </c>
      <c r="BM11" s="99" t="b">
        <f aca="false">AND(Tasks[[#This Row],[Task Name]]&lt;&gt;"",Tasks[[#This Row],[_NextLevel]]&gt;Tasks[[#This Row],[_Level]])</f>
        <v>0</v>
      </c>
      <c r="BN11" s="41" t="n">
        <f aca="false">IF(Tasks[[#This Row],[_IsSummary]],COUNTIF(Tasks[WBS],Tasks[[#This Row],[WBS]]&amp;".*"),0)</f>
        <v>0</v>
      </c>
      <c r="BO11" s="41" t="n">
        <f aca="false">IF(AND(Tasks[[#This Row],[Task Name]]&lt;&gt;"",NOT(Tasks[[#This Row],[_IsSummary]])),1,0)</f>
        <v>1</v>
      </c>
      <c r="BP11" s="41" t="n">
        <f aca="false">IF(N(Tasks[[#This Row],[Pred1 UID]])=0,0,IFERROR(MATCH(Tasks[[#This Row],[Pred1 UID]],Tasks[UID],0),-1))</f>
        <v>4</v>
      </c>
      <c r="BQ11" s="41" t="n">
        <f aca="false">IF(N(Tasks[[#This Row],[Pred2 UID]])=0,0,IFERROR(MATCH(Tasks[[#This Row],[Pred2 UID]],Tasks[UID],0),-1))</f>
        <v>0</v>
      </c>
      <c r="BR11" s="100"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46279</v>
      </c>
      <c r="BS11" s="100" t="n">
        <f aca="false">IF(NOT(Tasks[[#This Row],[_IsLeaf]]=1),"",IF(N(Tasks[[#This Row],[Duration]])&lt;=0,Tasks[[#This Row],[_LeafCalcStart]],WORKDAY.INTL(Tasks[[#This Row],[_LeafCalcStart]],Tasks[[#This Row],[Duration]]-1,WorkWeek,Holidays)))</f>
        <v>46288</v>
      </c>
      <c r="BT11" s="100"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46280</v>
      </c>
      <c r="BU11" s="100"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46290</v>
      </c>
      <c r="BV11" s="41" t="n">
        <f aca="false">IF(NOT(Tasks[[#This Row],[_IsLeaf]]=1),0,IF(N(Tasks[[#This Row],[Actual Finish]])&gt;0,1,MIN(1,N(Tasks[[#This Row],[% Complete]]))))</f>
        <v>1</v>
      </c>
      <c r="BW11" s="41" t="n">
        <f aca="false">IF(OR(NOT(Tasks[[#This Row],[_IsLeaf]]=1),Tasks[[#This Row],[Resource]]=""),0,N(Tasks[[#This Row],[Duration]])*HoursPerDay*IF(Tasks[[#This Row],[Units]]="",DefaultUnits,Tasks[[#This Row],[Units]]))</f>
        <v>64</v>
      </c>
      <c r="BX11" s="41" t="n">
        <f aca="false">IF(Tasks[[#This Row],[_LeafWork]]=0,0,Tasks[[#This Row],[_LeafWork]]*IFERROR(INDEX(res_Rate,MATCH(Tasks[[#This Row],[Resource]],res_Name,0)),0))</f>
        <v>4480</v>
      </c>
      <c r="BY11" s="101"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2912182</v>
      </c>
      <c r="BZ1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1"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B1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1" s="41" t="n">
        <f aca="false">IF(NOT(Tasks[[#This Row],[_IsLeaf]]=1),0,MAX(_xlfn.MAXIFS(Tasks[_Row],Tasks[Pred1 UID],Tasks[[#This Row],[UID]]),_xlfn.MAXIFS(Tasks[_Row],Tasks[Pred2 UID],Tasks[[#This Row],[UID]])))</f>
        <v>8</v>
      </c>
      <c r="CD11" s="100"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46295</v>
      </c>
      <c r="CE11" s="100" t="n">
        <f aca="false">IF(NOT(Tasks[[#This Row],[_IsLeaf]]=1),"",MIN(ProjectFinish,IF(N(Tasks[[#This Row],[Deadline]])&gt;0,Tasks[[#This Row],[Deadline]],2958465),Tasks[[#This Row],[_SuccessorFinishLimit]]))</f>
        <v>46295</v>
      </c>
      <c r="CF11" s="100" t="n">
        <f aca="false">IF(NOT(Tasks[[#This Row],[_IsLeaf]]=1),"",IF(N(Tasks[[#This Row],[Duration]])&lt;=0,Tasks[[#This Row],[_LeafLateFinish]],WORKDAY.INTL(Tasks[[#This Row],[_LeafLateFinish]],-(Tasks[[#This Row],[Duration]]-1),WorkWeek,Holidays)))</f>
        <v>46286</v>
      </c>
      <c r="CG11"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v>
      </c>
      <c r="CH11" s="99" t="b">
        <f aca="false">AND(Tasks[[#This Row],[_IsLeaf]]=1,Tasks[[#This Row],[_LeafProgress]]&lt;1,N(Tasks[[#This Row],[_LeafTotalSlack]])&lt;=CriticalSlackDays)</f>
        <v>0</v>
      </c>
      <c r="CI11" s="100" t="n">
        <f aca="false">IF(Tasks[[#This Row],[Task Name]]="","",IF(Tasks[[#This Row],[_IsSummary]],MIN(INDEX(Tasks[_LeafCalcStart],Tasks[[#This Row],[_Row]]+1):INDEX(Tasks[_LeafCalcStart],Tasks[[#This Row],[_Row]]+Tasks[[#This Row],[_Descendants]])),Tasks[[#This Row],[_LeafCalcStart]]))</f>
        <v>46279</v>
      </c>
      <c r="CJ11" s="100" t="n">
        <f aca="false">IF(Tasks[[#This Row],[Task Name]]="","",IF(Tasks[[#This Row],[_IsSummary]],MAX(INDEX(Tasks[_LeafCalcFinish],Tasks[[#This Row],[_Row]]+1):INDEX(Tasks[_LeafCalcFinish],Tasks[[#This Row],[_Row]]+Tasks[[#This Row],[_Descendants]])),Tasks[[#This Row],[_LeafCalcFinish]]))</f>
        <v>46288</v>
      </c>
      <c r="CK1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1"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46279</v>
      </c>
      <c r="CN11"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1"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46280</v>
      </c>
      <c r="CP11"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1" s="41" t="n">
        <f aca="false">IF(AND(Tasks[[#This Row],[_IsLeaf]]=1,Tasks[[#This Row],[_LeafWork]]&gt;0),NETWORKDAYS.INTL(ProjectStart,Tasks[[#This Row],[_LeafFcstStart]],WorkWeek,Holidays),0)</f>
        <v>7</v>
      </c>
      <c r="CR11" s="41" t="n">
        <f aca="false">IF(AND(Tasks[[#This Row],[_IsLeaf]]=1,Tasks[[#This Row],[_LeafWork]]&gt;0),MAX(Tasks[[#This Row],[_StartWorkday]],NETWORKDAYS.INTL(ProjectStart,Tasks[[#This Row],[_LeafFcstFinish]],WorkWeek,Holidays)),0)</f>
        <v>15</v>
      </c>
      <c r="CS11" s="41" t="n">
        <f aca="false">IF(AND(Tasks[[#This Row],[_IsLeaf]]=1,Tasks[[#This Row],[_LeafWork]]&gt;0),Tasks[[#This Row],[_LeafWork]]/(Tasks[[#This Row],[_FinishWorkday]]-Tasks[[#This Row],[_StartWorkday]]+1),0)</f>
        <v>7.11111111111111</v>
      </c>
      <c r="CT11" s="41" t="n">
        <f aca="false">Tasks[[#This Row],[_WorkPerWorkday]]*(Tasks[[#This Row],[_StartWorkday]]-1)</f>
        <v>42.6666666666667</v>
      </c>
      <c r="CU11" s="41" t="n">
        <f aca="false">IF(Tasks[[#This Row],[_IsLeaf]]=1,MAX(N(Tasks[[#This Row],[Duration]]),0.1),0)</f>
        <v>8</v>
      </c>
      <c r="CV11" s="41" t="n">
        <f aca="false">Tasks[[#This Row],[_WeightDur]]*Tasks[[#This Row],[_LeafProgress]]</f>
        <v>8</v>
      </c>
      <c r="CW1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4</v>
      </c>
      <c r="CX1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4</v>
      </c>
      <c r="CZ1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1" s="41" t="str">
        <f aca="false">IF(Tasks[[#This Row],[Task Name]]="","",Tasks[[#This Row],[_Pred1UIDText]]&amp;IF(AND(Tasks[[#This Row],[_Pred1UIDText]]&lt;&gt;"",Tasks[[#This Row],[_Pred2UIDText]]&lt;&gt;""),",","")&amp;Tasks[[#This Row],[_Pred2UIDText]])</f>
        <v>4</v>
      </c>
      <c r="DB11" s="41" t="str">
        <f aca="false">IF(AND(Tasks[[#This Row],[_IsLeaf]]=1,N(Tasks[[#This Row],[Duration]])=0,Tasks[[#This Row],[_LeafProgress]]&lt;1),Tasks[[#This Row],[_LeafFcstFinish]]+Tasks[[#This Row],[_Row]]/100000,"")</f>
        <v/>
      </c>
      <c r="DC1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DD11" s="41" t="n">
        <f aca="false">IF(NOT(Tasks[[#This Row],[_IsLeaf]]=1),0,IF(Tasks[[#This Row],[Baseline Cost]]="",Tasks[[#This Row],[_LeafCost]],N(Tasks[[#This Row],[Baseline Cost]])))</f>
        <v>4480</v>
      </c>
      <c r="DE11" s="41" t="n">
        <f aca="false">Tasks[[#This Row],[_LeafBudget]]*Tasks[[#This Row],[_PlannedPct]]</f>
        <v>4480</v>
      </c>
      <c r="DF11" s="41" t="n">
        <f aca="false">Tasks[[#This Row],[_LeafBudget]]*Tasks[[#This Row],[_LeafProgress]]</f>
        <v>4480</v>
      </c>
      <c r="DG11" s="41" t="n">
        <f aca="false">IF(NOT(Tasks[[#This Row],[_IsLeaf]]=1),0,IF(Tasks[[#This Row],[Actual Cost]]="",Tasks[[#This Row],[_LeafCost]]*Tasks[[#This Row],[_LeafProgress]],N(Tasks[[#This Row],[Actual Cost]])))</f>
        <v>5040</v>
      </c>
      <c r="DH11" s="41" t="str">
        <f aca="false">IF(Tasks[[#This Row],[Task Name]]="","",LEFT(Tasks[[#This Row],[WBS]],FIND(".",Tasks[[#This Row],[WBS]]&amp;".")-1))</f>
        <v>2</v>
      </c>
      <c r="DI11" s="41" t="str">
        <f aca="false">IF(AND(Tasks[[#This Row],[Task Name]]&lt;&gt;"",Tasks[[#This Row],[_Level]]=1),Tasks[[#This Row],[_Row]],"")</f>
        <v/>
      </c>
      <c r="DJ11" s="41" t="str">
        <f aca="false">IF(AND(Tasks[[#This Row],[_IsLeaf]]=1,N(Tasks[[#This Row],[Duration]])=0),Tasks[[#This Row],[Planned Finish]]+Tasks[[#This Row],[_Row]]/100000,"")</f>
        <v/>
      </c>
      <c r="DK11" s="41" t="str">
        <f aca="false">IF(AND(Tasks[[#This Row],[_IsLeaf]]=1,Tasks[[#This Row],[_LeafProgress]]&lt;1,OR(N(Tasks[[#This Row],[Finish Var]])&gt;0,Tasks[[#This Row],[Status]]="Late Start")),MAX(0,Tasks[[#This Row],[Finish Var]])+1-Tasks[[#This Row],[_Row]]/1000000,"")</f>
        <v/>
      </c>
      <c r="DL11" s="41" t="str">
        <f aca="false">IF(AND(Tasks[[#This Row],[_IsLeaf]]=1,N(Tasks[[#This Row],[Actual Start]])=0,Tasks[[#This Row],[_LeafFcstStart]]&gt;=StatusDate,Tasks[[#This Row],[_LeafFcstStart]]&lt;=LookaheadEnd),Tasks[[#This Row],[_LeafFcstStart]]+Tasks[[#This Row],[_Row]]/100000,"")</f>
        <v/>
      </c>
      <c r="DM11" s="41" t="str">
        <f aca="false">IF(AND(Tasks[[#This Row],[_IsLeaf]]=1,Tasks[[#This Row],[_LeafProgress]]&lt;1,Tasks[[#This Row],[_LeafFcstFinish]]&gt;=StatusDate,Tasks[[#This Row],[_LeafFcstFinish]]&lt;=LookaheadEnd),Tasks[[#This Row],[_LeafFcstFinish]]+Tasks[[#This Row],[_Row]]/100000,"")</f>
        <v/>
      </c>
      <c r="DN11" s="41" t="str">
        <f aca="false">IF(Tasks[[#This Row],[_LeafCritical]],Tasks[[#This Row],[_LeafFcstStart]]+Tasks[[#This Row],[_Row]]/100000,"")</f>
        <v/>
      </c>
      <c r="DO11" s="41" t="n">
        <f aca="false">Tasks[[#This Row],[_LeafWork]]*Tasks[[#This Row],[_LeafProgress]]</f>
        <v>64</v>
      </c>
      <c r="DP11" s="100" t="n">
        <f aca="false">IF(AND(Tasks[[#This Row],[_IsLeaf]]=1,Tasks[[#This Row],[_LeafProgress]]&gt;=1),IF(N(Tasks[[#This Row],[Actual Finish]])&gt;0,Tasks[[#This Row],[Actual Finish]],Tasks[[#This Row],[_LeafFcstFinish]]),"")</f>
        <v>46290</v>
      </c>
      <c r="DQ11" s="41" t="n">
        <f aca="false">IF(Tasks[[#This Row],[_IsLeaf]]=1,N(Tasks[[#This Row],[Story Points]]),0)</f>
        <v>8</v>
      </c>
      <c r="DR11" s="41" t="str">
        <f aca="false">IF(AND(Tasks[[#This Row],[_IsLeaf]]=1,CurrentSprint&lt;&gt;"",Tasks[[#This Row],[Sprint]]=CurrentSprint),Tasks[[#This Row],[_Row]],"")</f>
        <v/>
      </c>
    </row>
    <row r="12" customFormat="false" ht="15" hidden="false" customHeight="false" outlineLevel="0" collapsed="false">
      <c r="A12" s="28" t="n">
        <f aca="false">IF(Tasks[[#This Row],[Task Name]]="","",COUNTA(Tasks[[#Headers],[Task Name]]:Tasks[[#This Row],[Task Name]])-1)</f>
        <v>7</v>
      </c>
      <c r="B12" s="29" t="n">
        <v>7</v>
      </c>
      <c r="C1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2.2</v>
      </c>
      <c r="D12" s="29" t="n">
        <v>2</v>
      </c>
      <c r="E12" s="30" t="s">
        <v>594</v>
      </c>
      <c r="F12" s="29" t="s">
        <v>584</v>
      </c>
      <c r="G12" s="29" t="n">
        <v>5</v>
      </c>
      <c r="H12" s="29" t="n">
        <v>6</v>
      </c>
      <c r="I12" s="29" t="s">
        <v>595</v>
      </c>
      <c r="J12" s="29" t="n">
        <v>3</v>
      </c>
      <c r="K12" s="29"/>
      <c r="L12" s="29"/>
      <c r="M12" s="29"/>
      <c r="N12" s="73"/>
      <c r="O12" s="73"/>
      <c r="P12" s="25" t="n">
        <f aca="false">IF(Tasks[[#This Row],[Task Name]]="","",IF(N(Tasks[[#This Row],[Baseline Start]])&gt;0,Tasks[[#This Row],[Baseline Start]],Tasks[[#This Row],[_CalcStart]]))</f>
        <v>46282</v>
      </c>
      <c r="Q12" s="25" t="n">
        <f aca="false">IF(Tasks[[#This Row],[Task Name]]="","",IF(N(Tasks[[#This Row],[Baseline Finish]])&gt;0,Tasks[[#This Row],[Baseline Finish]],Tasks[[#This Row],[_CalcFinish]]))</f>
        <v>46288</v>
      </c>
      <c r="R12" s="73" t="n">
        <v>46283</v>
      </c>
      <c r="S12" s="73" t="n">
        <v>46290</v>
      </c>
      <c r="T12" s="25" t="n">
        <f aca="false">IF(Tasks[[#This Row],[Task Name]]="","",IF(Tasks[[#This Row],[_IsSummary]],MIN(INDEX(Tasks[_LeafFcstStart],Tasks[[#This Row],[_Row]]+1):INDEX(Tasks[_LeafFcstStart],Tasks[[#This Row],[_Row]]+Tasks[[#This Row],[_Descendants]])),Tasks[[#This Row],[_LeafFcstStart]]))</f>
        <v>46283</v>
      </c>
      <c r="U12" s="25" t="n">
        <f aca="false">IF(Tasks[[#This Row],[Task Name]]="","",IF(Tasks[[#This Row],[_IsSummary]],MAX(INDEX(Tasks[_LeafFcstFinish],Tasks[[#This Row],[_Row]]+1):INDEX(Tasks[_LeafFcstFinish],Tasks[[#This Row],[_Row]]+Tasks[[#This Row],[_Descendants]])),Tasks[[#This Row],[_LeafFcstFinish]]))</f>
        <v>46290</v>
      </c>
      <c r="V12" s="43" t="n">
        <f aca="false">IF(Tasks[[#This Row],[Task Name]]="","",IF(Tasks[[#This Row],[Forecast Start]]&gt;=Tasks[[#This Row],[Planned Start]],NETWORKDAYS.INTL(Tasks[[#This Row],[Planned Start]],Tasks[[#This Row],[Forecast Start]],WorkWeek,Holidays)-1,1-NETWORKDAYS.INTL(Tasks[[#This Row],[Forecast Start]],Tasks[[#This Row],[Planned Start]],WorkWeek,Holidays)))</f>
        <v>1</v>
      </c>
      <c r="W12" s="43" t="n">
        <f aca="false">IF(Tasks[[#This Row],[Task Name]]="","",IF(Tasks[[#This Row],[Forecast Finish]]&gt;=Tasks[[#This Row],[Planned Finish]],NETWORKDAYS.INTL(Tasks[[#This Row],[Planned Finish]],Tasks[[#This Row],[Forecast Finish]],WorkWeek,Holidays)-1,1-NETWORKDAYS.INTL(Tasks[[#This Row],[Forecast Finish]],Tasks[[#This Row],[Planned Finish]],WorkWeek,Holidays)))</f>
        <v>2</v>
      </c>
      <c r="X12" s="25" t="n">
        <f aca="false">IF(Tasks[[#This Row],[Task Name]]="","",IF(Tasks[[#This Row],[_IsSummary]],MIN(INDEX(Tasks[_LeafLateStart],Tasks[[#This Row],[_Row]]+1):INDEX(Tasks[_LeafLateStart],Tasks[[#This Row],[_Row]]+Tasks[[#This Row],[_Descendants]])),Tasks[[#This Row],[_LeafLateStart]]))</f>
        <v>46297</v>
      </c>
      <c r="Y12" s="25" t="n">
        <f aca="false">IF(Tasks[[#This Row],[Task Name]]="","",IF(Tasks[[#This Row],[_IsSummary]],MAX(INDEX(Tasks[_LeafLateFinish],Tasks[[#This Row],[_Row]]+1):INDEX(Tasks[_LeafLateFinish],Tasks[[#This Row],[_Row]]+Tasks[[#This Row],[_Descendants]])),Tasks[[#This Row],[_LeafLateFinish]]))</f>
        <v>46303</v>
      </c>
      <c r="Z12" s="43" t="n">
        <f aca="false">IF(Tasks[[#This Row],[Task Name]]="","",IF(Tasks[[#This Row],[_IsSummary]],MIN(INDEX(Tasks[_LeafTotalSlack],Tasks[[#This Row],[_Row]]+1):INDEX(Tasks[_LeafTotalSlack],Tasks[[#This Row],[_Row]]+Tasks[[#This Row],[_Descendants]])),Tasks[[#This Row],[_LeafTotalSlack]]))</f>
        <v>9</v>
      </c>
      <c r="AA12"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7</v>
      </c>
      <c r="AB12" s="28" t="str">
        <f aca="false">IF(Tasks[[#This Row],[Task Name]]="","",IF(IF(Tasks[[#This Row],[_IsSummary]],COUNTIF(INDEX(Tasks[_LeafCritical],Tasks[[#This Row],[_Row]]+1):INDEX(Tasks[_LeafCritical],Tasks[[#This Row],[_Row]]+Tasks[[#This Row],[_Descendants]]),TRUE())&gt;0,Tasks[[#This Row],[_LeafCritical]]),"Yes",""))</f>
        <v/>
      </c>
      <c r="AC1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 s="24" t="str">
        <f aca="false">IF(Tasks[[#This Row],[Task Name]]="","",TRIM(IF(Tasks[[#This Row],[_Pred1Problem]]&lt;&gt;"","Pred 1: "&amp;Tasks[[#This Row],[_Pred1Problem]]&amp;". ","")&amp;IF(Tasks[[#This Row],[_Pred2Problem]]&lt;&gt;"","Pred 2: "&amp;Tasks[[#This Row],[_Pred2Problem]]&amp;".","")))</f>
        <v/>
      </c>
      <c r="AE12" s="88" t="n">
        <v>1</v>
      </c>
      <c r="AF12"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G12" s="28" t="str">
        <f aca="false">IF(Tasks[[#This Row],[Task Name]]="","",IF(Tasks[[#This Row],[Progress]]&gt;=1,"Complete",IF(OR(N(Tasks[[#This Row],[Actual Start]])&gt;0,Tasks[[#This Row],[Progress]]&gt;0),IF(Tasks[[#This Row],[Finish Var]]&gt;0,"Behind","In Progress"),IF(Tasks[[#This Row],[Planned Start]]&lt;StatusDate,"Late Start","Not Started"))))</f>
        <v>Complete</v>
      </c>
      <c r="AH12" s="30" t="s">
        <v>294</v>
      </c>
      <c r="AI12" s="88"/>
      <c r="AJ12" s="95" t="n">
        <f aca="false">IF(Tasks[[#This Row],[Task Name]]="","",IF(Tasks[[#This Row],[_IsSummary]],SUM(INDEX(Tasks[_LeafWork],Tasks[[#This Row],[_Row]]+1):INDEX(Tasks[_LeafWork],Tasks[[#This Row],[_Row]]+Tasks[[#This Row],[_Descendants]])),Tasks[[#This Row],[_LeafWork]]))</f>
        <v>40</v>
      </c>
      <c r="AK12" s="96" t="n">
        <f aca="false">IF(Tasks[[#This Row],[Task Name]]="","",IF(Tasks[[#This Row],[_IsSummary]],SUM(INDEX(Tasks[_LeafCost],Tasks[[#This Row],[_Row]]+1):INDEX(Tasks[_LeafCost],Tasks[[#This Row],[_Row]]+Tasks[[#This Row],[_Descendants]])),Tasks[[#This Row],[_LeafCost]]))</f>
        <v>4400</v>
      </c>
      <c r="AL12" s="97"/>
      <c r="AM12" s="29"/>
      <c r="AN1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1</v>
      </c>
      <c r="AO12" s="82" t="n">
        <v>5</v>
      </c>
      <c r="AP12" s="24" t="str">
        <f aca="false">IF(Tasks[[#This Row],[Task Name]]="","",Tasks[[#This Row],[_Pred1IDText]]&amp;IF(AND(Tasks[[#This Row],[_Pred1IDText]]&lt;&gt;"",Tasks[[#This Row],[_Pred2IDText]]&lt;&gt;""),",","")&amp;Tasks[[#This Row],[_Pred2IDText]])</f>
        <v>6SS+3d</v>
      </c>
      <c r="AQ12" s="30" t="s">
        <v>596</v>
      </c>
      <c r="AR12" s="25" t="n">
        <f aca="false">IF(Tasks[[#This Row],[Task Name]]="","",Tasks[[#This Row],[Forecast Start]])</f>
        <v>46283</v>
      </c>
      <c r="AS12" s="25" t="n">
        <f aca="false">IF(Tasks[[#This Row],[Task Name]]="","",Tasks[[#This Row],[Forecast Finish]])</f>
        <v>46290</v>
      </c>
      <c r="AT12" s="28" t="n">
        <f aca="false">IF(Tasks[[#This Row],[Task Name]]="","",IF(Tasks[[#This Row],[_IsSummary]],NETWORKDAYS.INTL(Tasks[[#This Row],[Forecast Start]],Tasks[[#This Row],[Forecast Finish]],WorkWeek,Holidays),N(Tasks[[#This Row],[Duration]])))</f>
        <v>5</v>
      </c>
      <c r="AU12" s="95" t="n">
        <f aca="false">IF(Tasks[[#This Row],[Task Name]]="","",Tasks[[#This Row],[Work]])</f>
        <v>40</v>
      </c>
      <c r="AV12" s="96" t="n">
        <f aca="false">IF(Tasks[[#This Row],[Task Name]]="","",Tasks[[#This Row],[Cost]])</f>
        <v>4400</v>
      </c>
      <c r="AW12" s="73"/>
      <c r="AX12" s="73"/>
      <c r="AY12" s="29"/>
      <c r="AZ12" s="98"/>
      <c r="BA12" s="97"/>
      <c r="BB12" s="28" t="str">
        <f aca="false">IF(OR(Tasks[[#This Row],[Task Name]]="",Tasks[[#This Row],[Baseline Duration]]=""),"",Tasks[[#This Row],[BL Source Duration]]-N(Tasks[[#This Row],[Baseline Duration]]))</f>
        <v/>
      </c>
      <c r="BC12" s="95" t="str">
        <f aca="false">IF(OR(Tasks[[#This Row],[Task Name]]="",Tasks[[#This Row],[Baseline Work]]=""),"",Tasks[[#This Row],[Work]]-N(Tasks[[#This Row],[Baseline Work]]))</f>
        <v/>
      </c>
      <c r="BD12" s="96" t="str">
        <f aca="false">IF(OR(Tasks[[#This Row],[Task Name]]="",Tasks[[#This Row],[Baseline Cost]]=""),"",Tasks[[#This Row],[Cost]]-N(Tasks[[#This Row],[Baseline Cost]]))</f>
        <v/>
      </c>
      <c r="BE12" s="96" t="n">
        <f aca="false">IF(Tasks[[#This Row],[Task Name]]="","",IF(Tasks[[#This Row],[_IsSummary]],SUM(INDEX(Tasks[_LeafBudget],Tasks[[#This Row],[_Row]]+1):INDEX(Tasks[_LeafBudget],Tasks[[#This Row],[_Row]]+Tasks[[#This Row],[_Descendants]])),Tasks[[#This Row],[_LeafBudget]]))</f>
        <v>4400</v>
      </c>
      <c r="BF12" s="96" t="n">
        <f aca="false">IF(Tasks[[#This Row],[Task Name]]="","",IF(Tasks[[#This Row],[_IsSummary]],SUM(INDEX(Tasks[_LeafPV],Tasks[[#This Row],[_Row]]+1):INDEX(Tasks[_LeafPV],Tasks[[#This Row],[_Row]]+Tasks[[#This Row],[_Descendants]])),Tasks[[#This Row],[_LeafPV]]))</f>
        <v>4400</v>
      </c>
      <c r="BG12" s="96" t="n">
        <f aca="false">IF(Tasks[[#This Row],[Task Name]]="","",IF(Tasks[[#This Row],[_IsSummary]],SUM(INDEX(Tasks[_LeafEV],Tasks[[#This Row],[_Row]]+1):INDEX(Tasks[_LeafEV],Tasks[[#This Row],[_Row]]+Tasks[[#This Row],[_Descendants]])),Tasks[[#This Row],[_LeafEV]]))</f>
        <v>4400</v>
      </c>
      <c r="BH12" s="96" t="n">
        <f aca="false">IF(Tasks[[#This Row],[Task Name]]="","",IF(Tasks[[#This Row],[_IsSummary]],SUM(INDEX(Tasks[_LeafAC],Tasks[[#This Row],[_Row]]+1):INDEX(Tasks[_LeafAC],Tasks[[#This Row],[_Row]]+Tasks[[#This Row],[_Descendants]])),Tasks[[#This Row],[_LeafAC]]))</f>
        <v>4400</v>
      </c>
      <c r="BI12" s="41" t="n">
        <f aca="false">IF(Tasks[[#This Row],[Task Name]]="","",MAX(1,N(Tasks[[#This Row],[Level]])))</f>
        <v>2</v>
      </c>
      <c r="BJ12" s="41" t="n">
        <f aca="false">ROW()-ROW(Tasks[[#Headers],[ID]])</f>
        <v>7</v>
      </c>
      <c r="BK12" s="41" t="n">
        <f aca="false">IF(OR(Tasks[[#This Row],[Task Name]]="",Tasks[[#This Row],[_Level]]&lt;=1),0,IFERROR(LOOKUP(2,1/(Tasks[[#Headers],[_Level]]:Tasks[[#This Row],[_Level]]=Tasks[[#This Row],[_Level]]-1),ROW(Tasks[[#Headers],[_Level]]:Tasks[[#This Row],[_Level]])),0))</f>
        <v>10</v>
      </c>
      <c r="BL12" s="41" t="n">
        <f aca="false">IFERROR(N(INDEX(Tasks[_Level],Tasks[[#This Row],[_Row]]+1)),0)</f>
        <v>2</v>
      </c>
      <c r="BM12" s="99" t="b">
        <f aca="false">AND(Tasks[[#This Row],[Task Name]]&lt;&gt;"",Tasks[[#This Row],[_NextLevel]]&gt;Tasks[[#This Row],[_Level]])</f>
        <v>0</v>
      </c>
      <c r="BN12" s="41" t="n">
        <f aca="false">IF(Tasks[[#This Row],[_IsSummary]],COUNTIF(Tasks[WBS],Tasks[[#This Row],[WBS]]&amp;".*"),0)</f>
        <v>0</v>
      </c>
      <c r="BO12" s="41" t="n">
        <f aca="false">IF(AND(Tasks[[#This Row],[Task Name]]&lt;&gt;"",NOT(Tasks[[#This Row],[_IsSummary]])),1,0)</f>
        <v>1</v>
      </c>
      <c r="BP12" s="41" t="n">
        <f aca="false">IF(N(Tasks[[#This Row],[Pred1 UID]])=0,0,IFERROR(MATCH(Tasks[[#This Row],[Pred1 UID]],Tasks[UID],0),-1))</f>
        <v>6</v>
      </c>
      <c r="BQ12" s="41" t="n">
        <f aca="false">IF(N(Tasks[[#This Row],[Pred2 UID]])=0,0,IFERROR(MATCH(Tasks[[#This Row],[Pred2 UID]],Tasks[UID],0),-1))</f>
        <v>0</v>
      </c>
      <c r="BR12" s="100"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46282</v>
      </c>
      <c r="BS12" s="100" t="n">
        <f aca="false">IF(NOT(Tasks[[#This Row],[_IsLeaf]]=1),"",IF(N(Tasks[[#This Row],[Duration]])&lt;=0,Tasks[[#This Row],[_LeafCalcStart]],WORKDAY.INTL(Tasks[[#This Row],[_LeafCalcStart]],Tasks[[#This Row],[Duration]]-1,WorkWeek,Holidays)))</f>
        <v>46288</v>
      </c>
      <c r="BT12" s="100"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46283</v>
      </c>
      <c r="BU12" s="100"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46290</v>
      </c>
      <c r="BV12" s="41" t="n">
        <f aca="false">IF(NOT(Tasks[[#This Row],[_IsLeaf]]=1),0,IF(N(Tasks[[#This Row],[Actual Finish]])&gt;0,1,MIN(1,N(Tasks[[#This Row],[% Complete]]))))</f>
        <v>1</v>
      </c>
      <c r="BW12" s="41" t="n">
        <f aca="false">IF(OR(NOT(Tasks[[#This Row],[_IsLeaf]]=1),Tasks[[#This Row],[Resource]]=""),0,N(Tasks[[#This Row],[Duration]])*HoursPerDay*IF(Tasks[[#This Row],[Units]]="",DefaultUnits,Tasks[[#This Row],[Units]]))</f>
        <v>40</v>
      </c>
      <c r="BX12" s="41" t="n">
        <f aca="false">IF(Tasks[[#This Row],[_LeafWork]]=0,0,Tasks[[#This Row],[_LeafWork]]*IFERROR(INDEX(res_Rate,MATCH(Tasks[[#This Row],[Resource]],res_Name,0)),0))</f>
        <v>4400</v>
      </c>
      <c r="BY12" s="101"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2912162</v>
      </c>
      <c r="BZ1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2"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B1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2" s="41" t="n">
        <f aca="false">IF(NOT(Tasks[[#This Row],[_IsLeaf]]=1),0,MAX(_xlfn.MAXIFS(Tasks[_Row],Tasks[Pred1 UID],Tasks[[#This Row],[UID]]),_xlfn.MAXIFS(Tasks[_Row],Tasks[Pred2 UID],Tasks[[#This Row],[UID]])))</f>
        <v>9</v>
      </c>
      <c r="CD12" s="100"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46303</v>
      </c>
      <c r="CE12" s="100" t="n">
        <f aca="false">IF(NOT(Tasks[[#This Row],[_IsLeaf]]=1),"",MIN(ProjectFinish,IF(N(Tasks[[#This Row],[Deadline]])&gt;0,Tasks[[#This Row],[Deadline]],2958465),Tasks[[#This Row],[_SuccessorFinishLimit]]))</f>
        <v>46303</v>
      </c>
      <c r="CF12" s="100" t="n">
        <f aca="false">IF(NOT(Tasks[[#This Row],[_IsLeaf]]=1),"",IF(N(Tasks[[#This Row],[Duration]])&lt;=0,Tasks[[#This Row],[_LeafLateFinish]],WORKDAY.INTL(Tasks[[#This Row],[_LeafLateFinish]],-(Tasks[[#This Row],[Duration]]-1),WorkWeek,Holidays)))</f>
        <v>46297</v>
      </c>
      <c r="CG12"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9</v>
      </c>
      <c r="CH12" s="99" t="b">
        <f aca="false">AND(Tasks[[#This Row],[_IsLeaf]]=1,Tasks[[#This Row],[_LeafProgress]]&lt;1,N(Tasks[[#This Row],[_LeafTotalSlack]])&lt;=CriticalSlackDays)</f>
        <v>0</v>
      </c>
      <c r="CI12" s="100" t="n">
        <f aca="false">IF(Tasks[[#This Row],[Task Name]]="","",IF(Tasks[[#This Row],[_IsSummary]],MIN(INDEX(Tasks[_LeafCalcStart],Tasks[[#This Row],[_Row]]+1):INDEX(Tasks[_LeafCalcStart],Tasks[[#This Row],[_Row]]+Tasks[[#This Row],[_Descendants]])),Tasks[[#This Row],[_LeafCalcStart]]))</f>
        <v>46282</v>
      </c>
      <c r="CJ12" s="100" t="n">
        <f aca="false">IF(Tasks[[#This Row],[Task Name]]="","",IF(Tasks[[#This Row],[_IsSummary]],MAX(INDEX(Tasks[_LeafCalcFinish],Tasks[[#This Row],[_Row]]+1):INDEX(Tasks[_LeafCalcFinish],Tasks[[#This Row],[_Row]]+Tasks[[#This Row],[_Descendants]])),Tasks[[#This Row],[_LeafCalcFinish]]))</f>
        <v>46288</v>
      </c>
      <c r="CK1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2"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46282</v>
      </c>
      <c r="CN12"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2"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46283</v>
      </c>
      <c r="CP12"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2" s="41" t="n">
        <f aca="false">IF(AND(Tasks[[#This Row],[_IsLeaf]]=1,Tasks[[#This Row],[_LeafWork]]&gt;0),NETWORKDAYS.INTL(ProjectStart,Tasks[[#This Row],[_LeafFcstStart]],WorkWeek,Holidays),0)</f>
        <v>10</v>
      </c>
      <c r="CR12" s="41" t="n">
        <f aca="false">IF(AND(Tasks[[#This Row],[_IsLeaf]]=1,Tasks[[#This Row],[_LeafWork]]&gt;0),MAX(Tasks[[#This Row],[_StartWorkday]],NETWORKDAYS.INTL(ProjectStart,Tasks[[#This Row],[_LeafFcstFinish]],WorkWeek,Holidays)),0)</f>
        <v>15</v>
      </c>
      <c r="CS12" s="41" t="n">
        <f aca="false">IF(AND(Tasks[[#This Row],[_IsLeaf]]=1,Tasks[[#This Row],[_LeafWork]]&gt;0),Tasks[[#This Row],[_LeafWork]]/(Tasks[[#This Row],[_FinishWorkday]]-Tasks[[#This Row],[_StartWorkday]]+1),0)</f>
        <v>6.66666666666667</v>
      </c>
      <c r="CT12" s="41" t="n">
        <f aca="false">Tasks[[#This Row],[_WorkPerWorkday]]*(Tasks[[#This Row],[_StartWorkday]]-1)</f>
        <v>60</v>
      </c>
      <c r="CU12" s="41" t="n">
        <f aca="false">IF(Tasks[[#This Row],[_IsLeaf]]=1,MAX(N(Tasks[[#This Row],[Duration]]),0.1),0)</f>
        <v>5</v>
      </c>
      <c r="CV12" s="41" t="n">
        <f aca="false">Tasks[[#This Row],[_WeightDur]]*Tasks[[#This Row],[_LeafProgress]]</f>
        <v>5</v>
      </c>
      <c r="CW1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6SS+3d</v>
      </c>
      <c r="CX1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6SS+3d</v>
      </c>
      <c r="CZ1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2" s="41" t="str">
        <f aca="false">IF(Tasks[[#This Row],[Task Name]]="","",Tasks[[#This Row],[_Pred1UIDText]]&amp;IF(AND(Tasks[[#This Row],[_Pred1UIDText]]&lt;&gt;"",Tasks[[#This Row],[_Pred2UIDText]]&lt;&gt;""),",","")&amp;Tasks[[#This Row],[_Pred2UIDText]])</f>
        <v>6SS+3d</v>
      </c>
      <c r="DB12" s="41" t="str">
        <f aca="false">IF(AND(Tasks[[#This Row],[_IsLeaf]]=1,N(Tasks[[#This Row],[Duration]])=0,Tasks[[#This Row],[_LeafProgress]]&lt;1),Tasks[[#This Row],[_LeafFcstFinish]]+Tasks[[#This Row],[_Row]]/100000,"")</f>
        <v/>
      </c>
      <c r="DC1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DD12" s="41" t="n">
        <f aca="false">IF(NOT(Tasks[[#This Row],[_IsLeaf]]=1),0,IF(Tasks[[#This Row],[Baseline Cost]]="",Tasks[[#This Row],[_LeafCost]],N(Tasks[[#This Row],[Baseline Cost]])))</f>
        <v>4400</v>
      </c>
      <c r="DE12" s="41" t="n">
        <f aca="false">Tasks[[#This Row],[_LeafBudget]]*Tasks[[#This Row],[_PlannedPct]]</f>
        <v>4400</v>
      </c>
      <c r="DF12" s="41" t="n">
        <f aca="false">Tasks[[#This Row],[_LeafBudget]]*Tasks[[#This Row],[_LeafProgress]]</f>
        <v>4400</v>
      </c>
      <c r="DG12" s="41" t="n">
        <f aca="false">IF(NOT(Tasks[[#This Row],[_IsLeaf]]=1),0,IF(Tasks[[#This Row],[Actual Cost]]="",Tasks[[#This Row],[_LeafCost]]*Tasks[[#This Row],[_LeafProgress]],N(Tasks[[#This Row],[Actual Cost]])))</f>
        <v>4400</v>
      </c>
      <c r="DH12" s="41" t="str">
        <f aca="false">IF(Tasks[[#This Row],[Task Name]]="","",LEFT(Tasks[[#This Row],[WBS]],FIND(".",Tasks[[#This Row],[WBS]]&amp;".")-1))</f>
        <v>2</v>
      </c>
      <c r="DI12" s="41" t="str">
        <f aca="false">IF(AND(Tasks[[#This Row],[Task Name]]&lt;&gt;"",Tasks[[#This Row],[_Level]]=1),Tasks[[#This Row],[_Row]],"")</f>
        <v/>
      </c>
      <c r="DJ12" s="41" t="str">
        <f aca="false">IF(AND(Tasks[[#This Row],[_IsLeaf]]=1,N(Tasks[[#This Row],[Duration]])=0),Tasks[[#This Row],[Planned Finish]]+Tasks[[#This Row],[_Row]]/100000,"")</f>
        <v/>
      </c>
      <c r="DK12" s="41" t="str">
        <f aca="false">IF(AND(Tasks[[#This Row],[_IsLeaf]]=1,Tasks[[#This Row],[_LeafProgress]]&lt;1,OR(N(Tasks[[#This Row],[Finish Var]])&gt;0,Tasks[[#This Row],[Status]]="Late Start")),MAX(0,Tasks[[#This Row],[Finish Var]])+1-Tasks[[#This Row],[_Row]]/1000000,"")</f>
        <v/>
      </c>
      <c r="DL12" s="41" t="str">
        <f aca="false">IF(AND(Tasks[[#This Row],[_IsLeaf]]=1,N(Tasks[[#This Row],[Actual Start]])=0,Tasks[[#This Row],[_LeafFcstStart]]&gt;=StatusDate,Tasks[[#This Row],[_LeafFcstStart]]&lt;=LookaheadEnd),Tasks[[#This Row],[_LeafFcstStart]]+Tasks[[#This Row],[_Row]]/100000,"")</f>
        <v/>
      </c>
      <c r="DM12" s="41" t="str">
        <f aca="false">IF(AND(Tasks[[#This Row],[_IsLeaf]]=1,Tasks[[#This Row],[_LeafProgress]]&lt;1,Tasks[[#This Row],[_LeafFcstFinish]]&gt;=StatusDate,Tasks[[#This Row],[_LeafFcstFinish]]&lt;=LookaheadEnd),Tasks[[#This Row],[_LeafFcstFinish]]+Tasks[[#This Row],[_Row]]/100000,"")</f>
        <v/>
      </c>
      <c r="DN12" s="41" t="str">
        <f aca="false">IF(Tasks[[#This Row],[_LeafCritical]],Tasks[[#This Row],[_LeafFcstStart]]+Tasks[[#This Row],[_Row]]/100000,"")</f>
        <v/>
      </c>
      <c r="DO12" s="41" t="n">
        <f aca="false">Tasks[[#This Row],[_LeafWork]]*Tasks[[#This Row],[_LeafProgress]]</f>
        <v>40</v>
      </c>
      <c r="DP12" s="100" t="n">
        <f aca="false">IF(AND(Tasks[[#This Row],[_IsLeaf]]=1,Tasks[[#This Row],[_LeafProgress]]&gt;=1),IF(N(Tasks[[#This Row],[Actual Finish]])&gt;0,Tasks[[#This Row],[Actual Finish]],Tasks[[#This Row],[_LeafFcstFinish]]),"")</f>
        <v>46290</v>
      </c>
      <c r="DQ12" s="41" t="n">
        <f aca="false">IF(Tasks[[#This Row],[_IsLeaf]]=1,N(Tasks[[#This Row],[Story Points]]),0)</f>
        <v>5</v>
      </c>
      <c r="DR12" s="41" t="str">
        <f aca="false">IF(AND(Tasks[[#This Row],[_IsLeaf]]=1,CurrentSprint&lt;&gt;"",Tasks[[#This Row],[Sprint]]=CurrentSprint),Tasks[[#This Row],[_Row]],"")</f>
        <v/>
      </c>
    </row>
    <row r="13" customFormat="false" ht="15" hidden="false" customHeight="false" outlineLevel="0" collapsed="false">
      <c r="A13" s="28" t="n">
        <f aca="false">IF(Tasks[[#This Row],[Task Name]]="","",COUNTA(Tasks[[#Headers],[Task Name]]:Tasks[[#This Row],[Task Name]])-1)</f>
        <v>8</v>
      </c>
      <c r="B13" s="29" t="n">
        <v>8</v>
      </c>
      <c r="C1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2.3</v>
      </c>
      <c r="D13" s="29" t="n">
        <v>2</v>
      </c>
      <c r="E13" s="30" t="s">
        <v>597</v>
      </c>
      <c r="F13" s="29" t="s">
        <v>584</v>
      </c>
      <c r="G13" s="29" t="n">
        <v>6</v>
      </c>
      <c r="H13" s="29" t="n">
        <v>6</v>
      </c>
      <c r="I13" s="29" t="s">
        <v>589</v>
      </c>
      <c r="J13" s="29"/>
      <c r="K13" s="29"/>
      <c r="L13" s="29"/>
      <c r="M13" s="29"/>
      <c r="N13" s="73"/>
      <c r="O13" s="73"/>
      <c r="P13" s="25" t="n">
        <f aca="false">IF(Tasks[[#This Row],[Task Name]]="","",IF(N(Tasks[[#This Row],[Baseline Start]])&gt;0,Tasks[[#This Row],[Baseline Start]],Tasks[[#This Row],[_CalcStart]]))</f>
        <v>46289</v>
      </c>
      <c r="Q13" s="25" t="n">
        <f aca="false">IF(Tasks[[#This Row],[Task Name]]="","",IF(N(Tasks[[#This Row],[Baseline Finish]])&gt;0,Tasks[[#This Row],[Baseline Finish]],Tasks[[#This Row],[_CalcFinish]]))</f>
        <v>46296</v>
      </c>
      <c r="R13" s="73" t="n">
        <v>46293</v>
      </c>
      <c r="S13" s="73" t="n">
        <v>46301</v>
      </c>
      <c r="T13" s="25" t="n">
        <f aca="false">IF(Tasks[[#This Row],[Task Name]]="","",IF(Tasks[[#This Row],[_IsSummary]],MIN(INDEX(Tasks[_LeafFcstStart],Tasks[[#This Row],[_Row]]+1):INDEX(Tasks[_LeafFcstStart],Tasks[[#This Row],[_Row]]+Tasks[[#This Row],[_Descendants]])),Tasks[[#This Row],[_LeafFcstStart]]))</f>
        <v>46293</v>
      </c>
      <c r="U13" s="25" t="n">
        <f aca="false">IF(Tasks[[#This Row],[Task Name]]="","",IF(Tasks[[#This Row],[_IsSummary]],MAX(INDEX(Tasks[_LeafFcstFinish],Tasks[[#This Row],[_Row]]+1):INDEX(Tasks[_LeafFcstFinish],Tasks[[#This Row],[_Row]]+Tasks[[#This Row],[_Descendants]])),Tasks[[#This Row],[_LeafFcstFinish]]))</f>
        <v>46301</v>
      </c>
      <c r="V13" s="43" t="n">
        <f aca="false">IF(Tasks[[#This Row],[Task Name]]="","",IF(Tasks[[#This Row],[Forecast Start]]&gt;=Tasks[[#This Row],[Planned Start]],NETWORKDAYS.INTL(Tasks[[#This Row],[Planned Start]],Tasks[[#This Row],[Forecast Start]],WorkWeek,Holidays)-1,1-NETWORKDAYS.INTL(Tasks[[#This Row],[Forecast Start]],Tasks[[#This Row],[Planned Start]],WorkWeek,Holidays)))</f>
        <v>2</v>
      </c>
      <c r="W13" s="43" t="n">
        <f aca="false">IF(Tasks[[#This Row],[Task Name]]="","",IF(Tasks[[#This Row],[Forecast Finish]]&gt;=Tasks[[#This Row],[Planned Finish]],NETWORKDAYS.INTL(Tasks[[#This Row],[Planned Finish]],Tasks[[#This Row],[Forecast Finish]],WorkWeek,Holidays)-1,1-NETWORKDAYS.INTL(Tasks[[#This Row],[Forecast Finish]],Tasks[[#This Row],[Planned Finish]],WorkWeek,Holidays)))</f>
        <v>3</v>
      </c>
      <c r="X13" s="25" t="n">
        <f aca="false">IF(Tasks[[#This Row],[Task Name]]="","",IF(Tasks[[#This Row],[_IsSummary]],MIN(INDEX(Tasks[_LeafLateStart],Tasks[[#This Row],[_Row]]+1):INDEX(Tasks[_LeafLateStart],Tasks[[#This Row],[_Row]]+Tasks[[#This Row],[_Descendants]])),Tasks[[#This Row],[_LeafLateStart]]))</f>
        <v>46296</v>
      </c>
      <c r="Y13" s="25" t="n">
        <f aca="false">IF(Tasks[[#This Row],[Task Name]]="","",IF(Tasks[[#This Row],[_IsSummary]],MAX(INDEX(Tasks[_LeafLateFinish],Tasks[[#This Row],[_Row]]+1):INDEX(Tasks[_LeafLateFinish],Tasks[[#This Row],[_Row]]+Tasks[[#This Row],[_Descendants]])),Tasks[[#This Row],[_LeafLateFinish]]))</f>
        <v>46303</v>
      </c>
      <c r="Z13" s="43" t="n">
        <f aca="false">IF(Tasks[[#This Row],[Task Name]]="","",IF(Tasks[[#This Row],[_IsSummary]],MIN(INDEX(Tasks[_LeafTotalSlack],Tasks[[#This Row],[_Row]]+1):INDEX(Tasks[_LeafTotalSlack],Tasks[[#This Row],[_Row]]+Tasks[[#This Row],[_Descendants]])),Tasks[[#This Row],[_LeafTotalSlack]]))</f>
        <v>2</v>
      </c>
      <c r="AA13"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13" s="28" t="str">
        <f aca="false">IF(Tasks[[#This Row],[Task Name]]="","",IF(IF(Tasks[[#This Row],[_IsSummary]],COUNTIF(INDEX(Tasks[_LeafCritical],Tasks[[#This Row],[_Row]]+1):INDEX(Tasks[_LeafCritical],Tasks[[#This Row],[_Row]]+Tasks[[#This Row],[_Descendants]]),TRUE())&gt;0,Tasks[[#This Row],[_LeafCritical]]),"Yes",""))</f>
        <v/>
      </c>
      <c r="AC1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 s="24" t="str">
        <f aca="false">IF(Tasks[[#This Row],[Task Name]]="","",TRIM(IF(Tasks[[#This Row],[_Pred1Problem]]&lt;&gt;"","Pred 1: "&amp;Tasks[[#This Row],[_Pred1Problem]]&amp;". ","")&amp;IF(Tasks[[#This Row],[_Pred2Problem]]&lt;&gt;"","Pred 2: "&amp;Tasks[[#This Row],[_Pred2Problem]]&amp;".","")))</f>
        <v/>
      </c>
      <c r="AE13" s="88" t="n">
        <v>1</v>
      </c>
      <c r="AF13"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G13" s="28" t="str">
        <f aca="false">IF(Tasks[[#This Row],[Task Name]]="","",IF(Tasks[[#This Row],[Progress]]&gt;=1,"Complete",IF(OR(N(Tasks[[#This Row],[Actual Start]])&gt;0,Tasks[[#This Row],[Progress]]&gt;0),IF(Tasks[[#This Row],[Finish Var]]&gt;0,"Behind","In Progress"),IF(Tasks[[#This Row],[Planned Start]]&lt;StatusDate,"Late Start","Not Started"))))</f>
        <v>Complete</v>
      </c>
      <c r="AH13" s="30" t="s">
        <v>281</v>
      </c>
      <c r="AI13" s="88"/>
      <c r="AJ13" s="95" t="n">
        <f aca="false">IF(Tasks[[#This Row],[Task Name]]="","",IF(Tasks[[#This Row],[_IsSummary]],SUM(INDEX(Tasks[_LeafWork],Tasks[[#This Row],[_Row]]+1):INDEX(Tasks[_LeafWork],Tasks[[#This Row],[_Row]]+Tasks[[#This Row],[_Descendants]])),Tasks[[#This Row],[_LeafWork]]))</f>
        <v>48</v>
      </c>
      <c r="AK13" s="96" t="n">
        <f aca="false">IF(Tasks[[#This Row],[Task Name]]="","",IF(Tasks[[#This Row],[_IsSummary]],SUM(INDEX(Tasks[_LeafCost],Tasks[[#This Row],[_Row]]+1):INDEX(Tasks[_LeafCost],Tasks[[#This Row],[_Row]]+Tasks[[#This Row],[_Descendants]])),Tasks[[#This Row],[_LeafCost]]))</f>
        <v>3600</v>
      </c>
      <c r="AL13" s="97"/>
      <c r="AM13" s="29"/>
      <c r="AN1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2</v>
      </c>
      <c r="AO13" s="82" t="n">
        <v>5</v>
      </c>
      <c r="AP13" s="24" t="str">
        <f aca="false">IF(Tasks[[#This Row],[Task Name]]="","",Tasks[[#This Row],[_Pred1IDText]]&amp;IF(AND(Tasks[[#This Row],[_Pred1IDText]]&lt;&gt;"",Tasks[[#This Row],[_Pred2IDText]]&lt;&gt;""),",","")&amp;Tasks[[#This Row],[_Pred2IDText]])</f>
        <v>6</v>
      </c>
      <c r="AQ13" s="30"/>
      <c r="AR13" s="25" t="n">
        <f aca="false">IF(Tasks[[#This Row],[Task Name]]="","",Tasks[[#This Row],[Forecast Start]])</f>
        <v>46293</v>
      </c>
      <c r="AS13" s="25" t="n">
        <f aca="false">IF(Tasks[[#This Row],[Task Name]]="","",Tasks[[#This Row],[Forecast Finish]])</f>
        <v>46301</v>
      </c>
      <c r="AT13" s="28" t="n">
        <f aca="false">IF(Tasks[[#This Row],[Task Name]]="","",IF(Tasks[[#This Row],[_IsSummary]],NETWORKDAYS.INTL(Tasks[[#This Row],[Forecast Start]],Tasks[[#This Row],[Forecast Finish]],WorkWeek,Holidays),N(Tasks[[#This Row],[Duration]])))</f>
        <v>6</v>
      </c>
      <c r="AU13" s="95" t="n">
        <f aca="false">IF(Tasks[[#This Row],[Task Name]]="","",Tasks[[#This Row],[Work]])</f>
        <v>48</v>
      </c>
      <c r="AV13" s="96" t="n">
        <f aca="false">IF(Tasks[[#This Row],[Task Name]]="","",Tasks[[#This Row],[Cost]])</f>
        <v>3600</v>
      </c>
      <c r="AW13" s="73"/>
      <c r="AX13" s="73"/>
      <c r="AY13" s="29"/>
      <c r="AZ13" s="98"/>
      <c r="BA13" s="97"/>
      <c r="BB13" s="28" t="str">
        <f aca="false">IF(OR(Tasks[[#This Row],[Task Name]]="",Tasks[[#This Row],[Baseline Duration]]=""),"",Tasks[[#This Row],[BL Source Duration]]-N(Tasks[[#This Row],[Baseline Duration]]))</f>
        <v/>
      </c>
      <c r="BC13" s="95" t="str">
        <f aca="false">IF(OR(Tasks[[#This Row],[Task Name]]="",Tasks[[#This Row],[Baseline Work]]=""),"",Tasks[[#This Row],[Work]]-N(Tasks[[#This Row],[Baseline Work]]))</f>
        <v/>
      </c>
      <c r="BD13" s="96" t="str">
        <f aca="false">IF(OR(Tasks[[#This Row],[Task Name]]="",Tasks[[#This Row],[Baseline Cost]]=""),"",Tasks[[#This Row],[Cost]]-N(Tasks[[#This Row],[Baseline Cost]]))</f>
        <v/>
      </c>
      <c r="BE13" s="96" t="n">
        <f aca="false">IF(Tasks[[#This Row],[Task Name]]="","",IF(Tasks[[#This Row],[_IsSummary]],SUM(INDEX(Tasks[_LeafBudget],Tasks[[#This Row],[_Row]]+1):INDEX(Tasks[_LeafBudget],Tasks[[#This Row],[_Row]]+Tasks[[#This Row],[_Descendants]])),Tasks[[#This Row],[_LeafBudget]]))</f>
        <v>3600</v>
      </c>
      <c r="BF13" s="96" t="n">
        <f aca="false">IF(Tasks[[#This Row],[Task Name]]="","",IF(Tasks[[#This Row],[_IsSummary]],SUM(INDEX(Tasks[_LeafPV],Tasks[[#This Row],[_Row]]+1):INDEX(Tasks[_LeafPV],Tasks[[#This Row],[_Row]]+Tasks[[#This Row],[_Descendants]])),Tasks[[#This Row],[_LeafPV]]))</f>
        <v>3600</v>
      </c>
      <c r="BG13" s="96" t="n">
        <f aca="false">IF(Tasks[[#This Row],[Task Name]]="","",IF(Tasks[[#This Row],[_IsSummary]],SUM(INDEX(Tasks[_LeafEV],Tasks[[#This Row],[_Row]]+1):INDEX(Tasks[_LeafEV],Tasks[[#This Row],[_Row]]+Tasks[[#This Row],[_Descendants]])),Tasks[[#This Row],[_LeafEV]]))</f>
        <v>3600</v>
      </c>
      <c r="BH13" s="96" t="n">
        <f aca="false">IF(Tasks[[#This Row],[Task Name]]="","",IF(Tasks[[#This Row],[_IsSummary]],SUM(INDEX(Tasks[_LeafAC],Tasks[[#This Row],[_Row]]+1):INDEX(Tasks[_LeafAC],Tasks[[#This Row],[_Row]]+Tasks[[#This Row],[_Descendants]])),Tasks[[#This Row],[_LeafAC]]))</f>
        <v>3600</v>
      </c>
      <c r="BI13" s="41" t="n">
        <f aca="false">IF(Tasks[[#This Row],[Task Name]]="","",MAX(1,N(Tasks[[#This Row],[Level]])))</f>
        <v>2</v>
      </c>
      <c r="BJ13" s="41" t="n">
        <f aca="false">ROW()-ROW(Tasks[[#Headers],[ID]])</f>
        <v>8</v>
      </c>
      <c r="BK13" s="41" t="n">
        <f aca="false">IF(OR(Tasks[[#This Row],[Task Name]]="",Tasks[[#This Row],[_Level]]&lt;=1),0,IFERROR(LOOKUP(2,1/(Tasks[[#Headers],[_Level]]:Tasks[[#This Row],[_Level]]=Tasks[[#This Row],[_Level]]-1),ROW(Tasks[[#Headers],[_Level]]:Tasks[[#This Row],[_Level]])),0))</f>
        <v>10</v>
      </c>
      <c r="BL13" s="41" t="n">
        <f aca="false">IFERROR(N(INDEX(Tasks[_Level],Tasks[[#This Row],[_Row]]+1)),0)</f>
        <v>2</v>
      </c>
      <c r="BM13" s="99" t="b">
        <f aca="false">AND(Tasks[[#This Row],[Task Name]]&lt;&gt;"",Tasks[[#This Row],[_NextLevel]]&gt;Tasks[[#This Row],[_Level]])</f>
        <v>0</v>
      </c>
      <c r="BN13" s="41" t="n">
        <f aca="false">IF(Tasks[[#This Row],[_IsSummary]],COUNTIF(Tasks[WBS],Tasks[[#This Row],[WBS]]&amp;".*"),0)</f>
        <v>0</v>
      </c>
      <c r="BO13" s="41" t="n">
        <f aca="false">IF(AND(Tasks[[#This Row],[Task Name]]&lt;&gt;"",NOT(Tasks[[#This Row],[_IsSummary]])),1,0)</f>
        <v>1</v>
      </c>
      <c r="BP13" s="41" t="n">
        <f aca="false">IF(N(Tasks[[#This Row],[Pred1 UID]])=0,0,IFERROR(MATCH(Tasks[[#This Row],[Pred1 UID]],Tasks[UID],0),-1))</f>
        <v>6</v>
      </c>
      <c r="BQ13" s="41" t="n">
        <f aca="false">IF(N(Tasks[[#This Row],[Pred2 UID]])=0,0,IFERROR(MATCH(Tasks[[#This Row],[Pred2 UID]],Tasks[UID],0),-1))</f>
        <v>0</v>
      </c>
      <c r="BR13" s="100"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46289</v>
      </c>
      <c r="BS13" s="100" t="n">
        <f aca="false">IF(NOT(Tasks[[#This Row],[_IsLeaf]]=1),"",IF(N(Tasks[[#This Row],[Duration]])&lt;=0,Tasks[[#This Row],[_LeafCalcStart]],WORKDAY.INTL(Tasks[[#This Row],[_LeafCalcStart]],Tasks[[#This Row],[Duration]]-1,WorkWeek,Holidays)))</f>
        <v>46296</v>
      </c>
      <c r="BT13" s="100"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46293</v>
      </c>
      <c r="BU13" s="100"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46301</v>
      </c>
      <c r="BV13" s="41" t="n">
        <f aca="false">IF(NOT(Tasks[[#This Row],[_IsLeaf]]=1),0,IF(N(Tasks[[#This Row],[Actual Finish]])&gt;0,1,MIN(1,N(Tasks[[#This Row],[% Complete]]))))</f>
        <v>1</v>
      </c>
      <c r="BW13" s="41" t="n">
        <f aca="false">IF(OR(NOT(Tasks[[#This Row],[_IsLeaf]]=1),Tasks[[#This Row],[Resource]]=""),0,N(Tasks[[#This Row],[Duration]])*HoursPerDay*IF(Tasks[[#This Row],[Units]]="",DefaultUnits,Tasks[[#This Row],[Units]]))</f>
        <v>48</v>
      </c>
      <c r="BX13" s="41" t="n">
        <f aca="false">IF(Tasks[[#This Row],[_LeafWork]]=0,0,Tasks[[#This Row],[_LeafWork]]*IFERROR(INDEX(res_Rate,MATCH(Tasks[[#This Row],[Resource]],res_Name,0)),0))</f>
        <v>3600</v>
      </c>
      <c r="BY13" s="101"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2912170</v>
      </c>
      <c r="BZ1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3"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B1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3" s="41" t="n">
        <f aca="false">IF(NOT(Tasks[[#This Row],[_IsLeaf]]=1),0,MAX(_xlfn.MAXIFS(Tasks[_Row],Tasks[Pred1 UID],Tasks[[#This Row],[UID]]),_xlfn.MAXIFS(Tasks[_Row],Tasks[Pred2 UID],Tasks[[#This Row],[UID]])))</f>
        <v>9</v>
      </c>
      <c r="CD13" s="100"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46303</v>
      </c>
      <c r="CE13" s="100" t="n">
        <f aca="false">IF(NOT(Tasks[[#This Row],[_IsLeaf]]=1),"",MIN(ProjectFinish,IF(N(Tasks[[#This Row],[Deadline]])&gt;0,Tasks[[#This Row],[Deadline]],2958465),Tasks[[#This Row],[_SuccessorFinishLimit]]))</f>
        <v>46303</v>
      </c>
      <c r="CF13" s="100" t="n">
        <f aca="false">IF(NOT(Tasks[[#This Row],[_IsLeaf]]=1),"",IF(N(Tasks[[#This Row],[Duration]])&lt;=0,Tasks[[#This Row],[_LeafLateFinish]],WORKDAY.INTL(Tasks[[#This Row],[_LeafLateFinish]],-(Tasks[[#This Row],[Duration]]-1),WorkWeek,Holidays)))</f>
        <v>46296</v>
      </c>
      <c r="CG13"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2</v>
      </c>
      <c r="CH13" s="99" t="b">
        <f aca="false">AND(Tasks[[#This Row],[_IsLeaf]]=1,Tasks[[#This Row],[_LeafProgress]]&lt;1,N(Tasks[[#This Row],[_LeafTotalSlack]])&lt;=CriticalSlackDays)</f>
        <v>0</v>
      </c>
      <c r="CI13" s="100" t="n">
        <f aca="false">IF(Tasks[[#This Row],[Task Name]]="","",IF(Tasks[[#This Row],[_IsSummary]],MIN(INDEX(Tasks[_LeafCalcStart],Tasks[[#This Row],[_Row]]+1):INDEX(Tasks[_LeafCalcStart],Tasks[[#This Row],[_Row]]+Tasks[[#This Row],[_Descendants]])),Tasks[[#This Row],[_LeafCalcStart]]))</f>
        <v>46289</v>
      </c>
      <c r="CJ13" s="100" t="n">
        <f aca="false">IF(Tasks[[#This Row],[Task Name]]="","",IF(Tasks[[#This Row],[_IsSummary]],MAX(INDEX(Tasks[_LeafCalcFinish],Tasks[[#This Row],[_Row]]+1):INDEX(Tasks[_LeafCalcFinish],Tasks[[#This Row],[_Row]]+Tasks[[#This Row],[_Descendants]])),Tasks[[#This Row],[_LeafCalcFinish]]))</f>
        <v>46296</v>
      </c>
      <c r="CK1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3"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46289</v>
      </c>
      <c r="CN13"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3"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46293</v>
      </c>
      <c r="CP13"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3" s="41" t="n">
        <f aca="false">IF(AND(Tasks[[#This Row],[_IsLeaf]]=1,Tasks[[#This Row],[_LeafWork]]&gt;0),NETWORKDAYS.INTL(ProjectStart,Tasks[[#This Row],[_LeafFcstStart]],WorkWeek,Holidays),0)</f>
        <v>16</v>
      </c>
      <c r="CR13" s="41" t="n">
        <f aca="false">IF(AND(Tasks[[#This Row],[_IsLeaf]]=1,Tasks[[#This Row],[_LeafWork]]&gt;0),MAX(Tasks[[#This Row],[_StartWorkday]],NETWORKDAYS.INTL(ProjectStart,Tasks[[#This Row],[_LeafFcstFinish]],WorkWeek,Holidays)),0)</f>
        <v>22</v>
      </c>
      <c r="CS13" s="41" t="n">
        <f aca="false">IF(AND(Tasks[[#This Row],[_IsLeaf]]=1,Tasks[[#This Row],[_LeafWork]]&gt;0),Tasks[[#This Row],[_LeafWork]]/(Tasks[[#This Row],[_FinishWorkday]]-Tasks[[#This Row],[_StartWorkday]]+1),0)</f>
        <v>6.85714285714286</v>
      </c>
      <c r="CT13" s="41" t="n">
        <f aca="false">Tasks[[#This Row],[_WorkPerWorkday]]*(Tasks[[#This Row],[_StartWorkday]]-1)</f>
        <v>102.857142857143</v>
      </c>
      <c r="CU13" s="41" t="n">
        <f aca="false">IF(Tasks[[#This Row],[_IsLeaf]]=1,MAX(N(Tasks[[#This Row],[Duration]]),0.1),0)</f>
        <v>6</v>
      </c>
      <c r="CV13" s="41" t="n">
        <f aca="false">Tasks[[#This Row],[_WeightDur]]*Tasks[[#This Row],[_LeafProgress]]</f>
        <v>6</v>
      </c>
      <c r="CW1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6</v>
      </c>
      <c r="CX1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6</v>
      </c>
      <c r="CZ1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3" s="41" t="str">
        <f aca="false">IF(Tasks[[#This Row],[Task Name]]="","",Tasks[[#This Row],[_Pred1UIDText]]&amp;IF(AND(Tasks[[#This Row],[_Pred1UIDText]]&lt;&gt;"",Tasks[[#This Row],[_Pred2UIDText]]&lt;&gt;""),",","")&amp;Tasks[[#This Row],[_Pred2UIDText]])</f>
        <v>6</v>
      </c>
      <c r="DB13" s="41" t="str">
        <f aca="false">IF(AND(Tasks[[#This Row],[_IsLeaf]]=1,N(Tasks[[#This Row],[Duration]])=0,Tasks[[#This Row],[_LeafProgress]]&lt;1),Tasks[[#This Row],[_LeafFcstFinish]]+Tasks[[#This Row],[_Row]]/100000,"")</f>
        <v/>
      </c>
      <c r="DC1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DD13" s="41" t="n">
        <f aca="false">IF(NOT(Tasks[[#This Row],[_IsLeaf]]=1),0,IF(Tasks[[#This Row],[Baseline Cost]]="",Tasks[[#This Row],[_LeafCost]],N(Tasks[[#This Row],[Baseline Cost]])))</f>
        <v>3600</v>
      </c>
      <c r="DE13" s="41" t="n">
        <f aca="false">Tasks[[#This Row],[_LeafBudget]]*Tasks[[#This Row],[_PlannedPct]]</f>
        <v>3600</v>
      </c>
      <c r="DF13" s="41" t="n">
        <f aca="false">Tasks[[#This Row],[_LeafBudget]]*Tasks[[#This Row],[_LeafProgress]]</f>
        <v>3600</v>
      </c>
      <c r="DG13" s="41" t="n">
        <f aca="false">IF(NOT(Tasks[[#This Row],[_IsLeaf]]=1),0,IF(Tasks[[#This Row],[Actual Cost]]="",Tasks[[#This Row],[_LeafCost]]*Tasks[[#This Row],[_LeafProgress]],N(Tasks[[#This Row],[Actual Cost]])))</f>
        <v>3600</v>
      </c>
      <c r="DH13" s="41" t="str">
        <f aca="false">IF(Tasks[[#This Row],[Task Name]]="","",LEFT(Tasks[[#This Row],[WBS]],FIND(".",Tasks[[#This Row],[WBS]]&amp;".")-1))</f>
        <v>2</v>
      </c>
      <c r="DI13" s="41" t="str">
        <f aca="false">IF(AND(Tasks[[#This Row],[Task Name]]&lt;&gt;"",Tasks[[#This Row],[_Level]]=1),Tasks[[#This Row],[_Row]],"")</f>
        <v/>
      </c>
      <c r="DJ13" s="41" t="str">
        <f aca="false">IF(AND(Tasks[[#This Row],[_IsLeaf]]=1,N(Tasks[[#This Row],[Duration]])=0),Tasks[[#This Row],[Planned Finish]]+Tasks[[#This Row],[_Row]]/100000,"")</f>
        <v/>
      </c>
      <c r="DK13" s="41" t="str">
        <f aca="false">IF(AND(Tasks[[#This Row],[_IsLeaf]]=1,Tasks[[#This Row],[_LeafProgress]]&lt;1,OR(N(Tasks[[#This Row],[Finish Var]])&gt;0,Tasks[[#This Row],[Status]]="Late Start")),MAX(0,Tasks[[#This Row],[Finish Var]])+1-Tasks[[#This Row],[_Row]]/1000000,"")</f>
        <v/>
      </c>
      <c r="DL13" s="41" t="str">
        <f aca="false">IF(AND(Tasks[[#This Row],[_IsLeaf]]=1,N(Tasks[[#This Row],[Actual Start]])=0,Tasks[[#This Row],[_LeafFcstStart]]&gt;=StatusDate,Tasks[[#This Row],[_LeafFcstStart]]&lt;=LookaheadEnd),Tasks[[#This Row],[_LeafFcstStart]]+Tasks[[#This Row],[_Row]]/100000,"")</f>
        <v/>
      </c>
      <c r="DM13" s="41" t="str">
        <f aca="false">IF(AND(Tasks[[#This Row],[_IsLeaf]]=1,Tasks[[#This Row],[_LeafProgress]]&lt;1,Tasks[[#This Row],[_LeafFcstFinish]]&gt;=StatusDate,Tasks[[#This Row],[_LeafFcstFinish]]&lt;=LookaheadEnd),Tasks[[#This Row],[_LeafFcstFinish]]+Tasks[[#This Row],[_Row]]/100000,"")</f>
        <v/>
      </c>
      <c r="DN13" s="41" t="str">
        <f aca="false">IF(Tasks[[#This Row],[_LeafCritical]],Tasks[[#This Row],[_LeafFcstStart]]+Tasks[[#This Row],[_Row]]/100000,"")</f>
        <v/>
      </c>
      <c r="DO13" s="41" t="n">
        <f aca="false">Tasks[[#This Row],[_LeafWork]]*Tasks[[#This Row],[_LeafProgress]]</f>
        <v>48</v>
      </c>
      <c r="DP13" s="100" t="n">
        <f aca="false">IF(AND(Tasks[[#This Row],[_IsLeaf]]=1,Tasks[[#This Row],[_LeafProgress]]&gt;=1),IF(N(Tasks[[#This Row],[Actual Finish]])&gt;0,Tasks[[#This Row],[Actual Finish]],Tasks[[#This Row],[_LeafFcstFinish]]),"")</f>
        <v>46301</v>
      </c>
      <c r="DQ13" s="41" t="n">
        <f aca="false">IF(Tasks[[#This Row],[_IsLeaf]]=1,N(Tasks[[#This Row],[Story Points]]),0)</f>
        <v>5</v>
      </c>
      <c r="DR13" s="41" t="str">
        <f aca="false">IF(AND(Tasks[[#This Row],[_IsLeaf]]=1,CurrentSprint&lt;&gt;"",Tasks[[#This Row],[Sprint]]=CurrentSprint),Tasks[[#This Row],[_Row]],"")</f>
        <v/>
      </c>
    </row>
    <row r="14" customFormat="false" ht="15" hidden="false" customHeight="false" outlineLevel="0" collapsed="false">
      <c r="A14" s="28" t="n">
        <f aca="false">IF(Tasks[[#This Row],[Task Name]]="","",COUNTA(Tasks[[#Headers],[Task Name]]:Tasks[[#This Row],[Task Name]])-1)</f>
        <v>9</v>
      </c>
      <c r="B14" s="29" t="n">
        <v>9</v>
      </c>
      <c r="C1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2.4</v>
      </c>
      <c r="D14" s="29" t="n">
        <v>2</v>
      </c>
      <c r="E14" s="30" t="s">
        <v>598</v>
      </c>
      <c r="F14" s="29" t="s">
        <v>584</v>
      </c>
      <c r="G14" s="29" t="n">
        <v>0</v>
      </c>
      <c r="H14" s="29" t="n">
        <v>7</v>
      </c>
      <c r="I14" s="29" t="s">
        <v>589</v>
      </c>
      <c r="J14" s="29"/>
      <c r="K14" s="29" t="n">
        <v>8</v>
      </c>
      <c r="L14" s="29" t="s">
        <v>589</v>
      </c>
      <c r="M14" s="29"/>
      <c r="N14" s="73"/>
      <c r="O14" s="73"/>
      <c r="P14" s="25" t="n">
        <f aca="false">IF(Tasks[[#This Row],[Task Name]]="","",IF(N(Tasks[[#This Row],[Baseline Start]])&gt;0,Tasks[[#This Row],[Baseline Start]],Tasks[[#This Row],[_CalcStart]]))</f>
        <v>46296</v>
      </c>
      <c r="Q14" s="25" t="n">
        <f aca="false">IF(Tasks[[#This Row],[Task Name]]="","",IF(N(Tasks[[#This Row],[Baseline Finish]])&gt;0,Tasks[[#This Row],[Baseline Finish]],Tasks[[#This Row],[_CalcFinish]]))</f>
        <v>46296</v>
      </c>
      <c r="R14" s="73" t="n">
        <v>46301</v>
      </c>
      <c r="S14" s="73" t="n">
        <v>46301</v>
      </c>
      <c r="T14" s="25" t="n">
        <f aca="false">IF(Tasks[[#This Row],[Task Name]]="","",IF(Tasks[[#This Row],[_IsSummary]],MIN(INDEX(Tasks[_LeafFcstStart],Tasks[[#This Row],[_Row]]+1):INDEX(Tasks[_LeafFcstStart],Tasks[[#This Row],[_Row]]+Tasks[[#This Row],[_Descendants]])),Tasks[[#This Row],[_LeafFcstStart]]))</f>
        <v>46301</v>
      </c>
      <c r="U14" s="25" t="n">
        <f aca="false">IF(Tasks[[#This Row],[Task Name]]="","",IF(Tasks[[#This Row],[_IsSummary]],MAX(INDEX(Tasks[_LeafFcstFinish],Tasks[[#This Row],[_Row]]+1):INDEX(Tasks[_LeafFcstFinish],Tasks[[#This Row],[_Row]]+Tasks[[#This Row],[_Descendants]])),Tasks[[#This Row],[_LeafFcstFinish]]))</f>
        <v>46301</v>
      </c>
      <c r="V14" s="43" t="n">
        <f aca="false">IF(Tasks[[#This Row],[Task Name]]="","",IF(Tasks[[#This Row],[Forecast Start]]&gt;=Tasks[[#This Row],[Planned Start]],NETWORKDAYS.INTL(Tasks[[#This Row],[Planned Start]],Tasks[[#This Row],[Forecast Start]],WorkWeek,Holidays)-1,1-NETWORKDAYS.INTL(Tasks[[#This Row],[Forecast Start]],Tasks[[#This Row],[Planned Start]],WorkWeek,Holidays)))</f>
        <v>3</v>
      </c>
      <c r="W14" s="43" t="n">
        <f aca="false">IF(Tasks[[#This Row],[Task Name]]="","",IF(Tasks[[#This Row],[Forecast Finish]]&gt;=Tasks[[#This Row],[Planned Finish]],NETWORKDAYS.INTL(Tasks[[#This Row],[Planned Finish]],Tasks[[#This Row],[Forecast Finish]],WorkWeek,Holidays)-1,1-NETWORKDAYS.INTL(Tasks[[#This Row],[Forecast Finish]],Tasks[[#This Row],[Planned Finish]],WorkWeek,Holidays)))</f>
        <v>3</v>
      </c>
      <c r="X14" s="25" t="n">
        <f aca="false">IF(Tasks[[#This Row],[Task Name]]="","",IF(Tasks[[#This Row],[_IsSummary]],MIN(INDEX(Tasks[_LeafLateStart],Tasks[[#This Row],[_Row]]+1):INDEX(Tasks[_LeafLateStart],Tasks[[#This Row],[_Row]]+Tasks[[#This Row],[_Descendants]])),Tasks[[#This Row],[_LeafLateStart]]))</f>
        <v>46303</v>
      </c>
      <c r="Y14" s="25" t="n">
        <f aca="false">IF(Tasks[[#This Row],[Task Name]]="","",IF(Tasks[[#This Row],[_IsSummary]],MAX(INDEX(Tasks[_LeafLateFinish],Tasks[[#This Row],[_Row]]+1):INDEX(Tasks[_LeafLateFinish],Tasks[[#This Row],[_Row]]+Tasks[[#This Row],[_Descendants]])),Tasks[[#This Row],[_LeafLateFinish]]))</f>
        <v>46303</v>
      </c>
      <c r="Z14" s="43" t="n">
        <f aca="false">IF(Tasks[[#This Row],[Task Name]]="","",IF(Tasks[[#This Row],[_IsSummary]],MIN(INDEX(Tasks[_LeafTotalSlack],Tasks[[#This Row],[_Row]]+1):INDEX(Tasks[_LeafTotalSlack],Tasks[[#This Row],[_Row]]+Tasks[[#This Row],[_Descendants]])),Tasks[[#This Row],[_LeafTotalSlack]]))</f>
        <v>2</v>
      </c>
      <c r="AA14"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14" s="28" t="str">
        <f aca="false">IF(Tasks[[#This Row],[Task Name]]="","",IF(IF(Tasks[[#This Row],[_IsSummary]],COUNTIF(INDEX(Tasks[_LeafCritical],Tasks[[#This Row],[_Row]]+1):INDEX(Tasks[_LeafCritical],Tasks[[#This Row],[_Row]]+Tasks[[#This Row],[_Descendants]]),TRUE())&gt;0,Tasks[[#This Row],[_LeafCritical]]),"Yes",""))</f>
        <v/>
      </c>
      <c r="AC1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 s="24" t="str">
        <f aca="false">IF(Tasks[[#This Row],[Task Name]]="","",TRIM(IF(Tasks[[#This Row],[_Pred1Problem]]&lt;&gt;"","Pred 1: "&amp;Tasks[[#This Row],[_Pred1Problem]]&amp;". ","")&amp;IF(Tasks[[#This Row],[_Pred2Problem]]&lt;&gt;"","Pred 2: "&amp;Tasks[[#This Row],[_Pred2Problem]]&amp;".","")))</f>
        <v/>
      </c>
      <c r="AE14" s="88" t="n">
        <v>1</v>
      </c>
      <c r="AF14"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G14" s="28" t="str">
        <f aca="false">IF(Tasks[[#This Row],[Task Name]]="","",IF(Tasks[[#This Row],[Progress]]&gt;=1,"Complete",IF(OR(N(Tasks[[#This Row],[Actual Start]])&gt;0,Tasks[[#This Row],[Progress]]&gt;0),IF(Tasks[[#This Row],[Finish Var]]&gt;0,"Behind","In Progress"),IF(Tasks[[#This Row],[Planned Start]]&lt;StatusDate,"Late Start","Not Started"))))</f>
        <v>Complete</v>
      </c>
      <c r="AH14" s="30"/>
      <c r="AI14" s="88"/>
      <c r="AJ14" s="95" t="n">
        <f aca="false">IF(Tasks[[#This Row],[Task Name]]="","",IF(Tasks[[#This Row],[_IsSummary]],SUM(INDEX(Tasks[_LeafWork],Tasks[[#This Row],[_Row]]+1):INDEX(Tasks[_LeafWork],Tasks[[#This Row],[_Row]]+Tasks[[#This Row],[_Descendants]])),Tasks[[#This Row],[_LeafWork]]))</f>
        <v>0</v>
      </c>
      <c r="AK14" s="96" t="n">
        <f aca="false">IF(Tasks[[#This Row],[Task Name]]="","",IF(Tasks[[#This Row],[_IsSummary]],SUM(INDEX(Tasks[_LeafCost],Tasks[[#This Row],[_Row]]+1):INDEX(Tasks[_LeafCost],Tasks[[#This Row],[_Row]]+Tasks[[#This Row],[_Descendants]])),Tasks[[#This Row],[_LeafCost]]))</f>
        <v>0</v>
      </c>
      <c r="AL14" s="97"/>
      <c r="AM14" s="29"/>
      <c r="AN1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3</v>
      </c>
      <c r="AO14" s="82"/>
      <c r="AP14" s="24" t="str">
        <f aca="false">IF(Tasks[[#This Row],[Task Name]]="","",Tasks[[#This Row],[_Pred1IDText]]&amp;IF(AND(Tasks[[#This Row],[_Pred1IDText]]&lt;&gt;"",Tasks[[#This Row],[_Pred2IDText]]&lt;&gt;""),",","")&amp;Tasks[[#This Row],[_Pred2IDText]])</f>
        <v>7,8</v>
      </c>
      <c r="AQ14" s="30" t="s">
        <v>599</v>
      </c>
      <c r="AR14" s="25" t="n">
        <f aca="false">IF(Tasks[[#This Row],[Task Name]]="","",Tasks[[#This Row],[Forecast Start]])</f>
        <v>46301</v>
      </c>
      <c r="AS14" s="25" t="n">
        <f aca="false">IF(Tasks[[#This Row],[Task Name]]="","",Tasks[[#This Row],[Forecast Finish]])</f>
        <v>46301</v>
      </c>
      <c r="AT14" s="28" t="n">
        <f aca="false">IF(Tasks[[#This Row],[Task Name]]="","",IF(Tasks[[#This Row],[_IsSummary]],NETWORKDAYS.INTL(Tasks[[#This Row],[Forecast Start]],Tasks[[#This Row],[Forecast Finish]],WorkWeek,Holidays),N(Tasks[[#This Row],[Duration]])))</f>
        <v>0</v>
      </c>
      <c r="AU14" s="95" t="n">
        <f aca="false">IF(Tasks[[#This Row],[Task Name]]="","",Tasks[[#This Row],[Work]])</f>
        <v>0</v>
      </c>
      <c r="AV14" s="96" t="n">
        <f aca="false">IF(Tasks[[#This Row],[Task Name]]="","",Tasks[[#This Row],[Cost]])</f>
        <v>0</v>
      </c>
      <c r="AW14" s="73"/>
      <c r="AX14" s="73"/>
      <c r="AY14" s="29"/>
      <c r="AZ14" s="98"/>
      <c r="BA14" s="97"/>
      <c r="BB14" s="28" t="str">
        <f aca="false">IF(OR(Tasks[[#This Row],[Task Name]]="",Tasks[[#This Row],[Baseline Duration]]=""),"",Tasks[[#This Row],[BL Source Duration]]-N(Tasks[[#This Row],[Baseline Duration]]))</f>
        <v/>
      </c>
      <c r="BC14" s="95" t="str">
        <f aca="false">IF(OR(Tasks[[#This Row],[Task Name]]="",Tasks[[#This Row],[Baseline Work]]=""),"",Tasks[[#This Row],[Work]]-N(Tasks[[#This Row],[Baseline Work]]))</f>
        <v/>
      </c>
      <c r="BD14" s="96" t="str">
        <f aca="false">IF(OR(Tasks[[#This Row],[Task Name]]="",Tasks[[#This Row],[Baseline Cost]]=""),"",Tasks[[#This Row],[Cost]]-N(Tasks[[#This Row],[Baseline Cost]]))</f>
        <v/>
      </c>
      <c r="BE14" s="96" t="n">
        <f aca="false">IF(Tasks[[#This Row],[Task Name]]="","",IF(Tasks[[#This Row],[_IsSummary]],SUM(INDEX(Tasks[_LeafBudget],Tasks[[#This Row],[_Row]]+1):INDEX(Tasks[_LeafBudget],Tasks[[#This Row],[_Row]]+Tasks[[#This Row],[_Descendants]])),Tasks[[#This Row],[_LeafBudget]]))</f>
        <v>0</v>
      </c>
      <c r="BF14" s="96" t="n">
        <f aca="false">IF(Tasks[[#This Row],[Task Name]]="","",IF(Tasks[[#This Row],[_IsSummary]],SUM(INDEX(Tasks[_LeafPV],Tasks[[#This Row],[_Row]]+1):INDEX(Tasks[_LeafPV],Tasks[[#This Row],[_Row]]+Tasks[[#This Row],[_Descendants]])),Tasks[[#This Row],[_LeafPV]]))</f>
        <v>0</v>
      </c>
      <c r="BG14" s="96" t="n">
        <f aca="false">IF(Tasks[[#This Row],[Task Name]]="","",IF(Tasks[[#This Row],[_IsSummary]],SUM(INDEX(Tasks[_LeafEV],Tasks[[#This Row],[_Row]]+1):INDEX(Tasks[_LeafEV],Tasks[[#This Row],[_Row]]+Tasks[[#This Row],[_Descendants]])),Tasks[[#This Row],[_LeafEV]]))</f>
        <v>0</v>
      </c>
      <c r="BH14" s="96" t="n">
        <f aca="false">IF(Tasks[[#This Row],[Task Name]]="","",IF(Tasks[[#This Row],[_IsSummary]],SUM(INDEX(Tasks[_LeafAC],Tasks[[#This Row],[_Row]]+1):INDEX(Tasks[_LeafAC],Tasks[[#This Row],[_Row]]+Tasks[[#This Row],[_Descendants]])),Tasks[[#This Row],[_LeafAC]]))</f>
        <v>0</v>
      </c>
      <c r="BI14" s="41" t="n">
        <f aca="false">IF(Tasks[[#This Row],[Task Name]]="","",MAX(1,N(Tasks[[#This Row],[Level]])))</f>
        <v>2</v>
      </c>
      <c r="BJ14" s="41" t="n">
        <f aca="false">ROW()-ROW(Tasks[[#Headers],[ID]])</f>
        <v>9</v>
      </c>
      <c r="BK14" s="41" t="n">
        <f aca="false">IF(OR(Tasks[[#This Row],[Task Name]]="",Tasks[[#This Row],[_Level]]&lt;=1),0,IFERROR(LOOKUP(2,1/(Tasks[[#Headers],[_Level]]:Tasks[[#This Row],[_Level]]=Tasks[[#This Row],[_Level]]-1),ROW(Tasks[[#Headers],[_Level]]:Tasks[[#This Row],[_Level]])),0))</f>
        <v>10</v>
      </c>
      <c r="BL14" s="41" t="n">
        <f aca="false">IFERROR(N(INDEX(Tasks[_Level],Tasks[[#This Row],[_Row]]+1)),0)</f>
        <v>1</v>
      </c>
      <c r="BM14" s="99" t="b">
        <f aca="false">AND(Tasks[[#This Row],[Task Name]]&lt;&gt;"",Tasks[[#This Row],[_NextLevel]]&gt;Tasks[[#This Row],[_Level]])</f>
        <v>0</v>
      </c>
      <c r="BN14" s="41" t="n">
        <f aca="false">IF(Tasks[[#This Row],[_IsSummary]],COUNTIF(Tasks[WBS],Tasks[[#This Row],[WBS]]&amp;".*"),0)</f>
        <v>0</v>
      </c>
      <c r="BO14" s="41" t="n">
        <f aca="false">IF(AND(Tasks[[#This Row],[Task Name]]&lt;&gt;"",NOT(Tasks[[#This Row],[_IsSummary]])),1,0)</f>
        <v>1</v>
      </c>
      <c r="BP14" s="41" t="n">
        <f aca="false">IF(N(Tasks[[#This Row],[Pred1 UID]])=0,0,IFERROR(MATCH(Tasks[[#This Row],[Pred1 UID]],Tasks[UID],0),-1))</f>
        <v>7</v>
      </c>
      <c r="BQ14" s="41" t="n">
        <f aca="false">IF(N(Tasks[[#This Row],[Pred2 UID]])=0,0,IFERROR(MATCH(Tasks[[#This Row],[Pred2 UID]],Tasks[UID],0),-1))</f>
        <v>8</v>
      </c>
      <c r="BR14" s="100"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46296</v>
      </c>
      <c r="BS14" s="100" t="n">
        <f aca="false">IF(NOT(Tasks[[#This Row],[_IsLeaf]]=1),"",IF(N(Tasks[[#This Row],[Duration]])&lt;=0,Tasks[[#This Row],[_LeafCalcStart]],WORKDAY.INTL(Tasks[[#This Row],[_LeafCalcStart]],Tasks[[#This Row],[Duration]]-1,WorkWeek,Holidays)))</f>
        <v>46296</v>
      </c>
      <c r="BT14" s="100"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46301</v>
      </c>
      <c r="BU14" s="100"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46301</v>
      </c>
      <c r="BV14" s="41" t="n">
        <f aca="false">IF(NOT(Tasks[[#This Row],[_IsLeaf]]=1),0,IF(N(Tasks[[#This Row],[Actual Finish]])&gt;0,1,MIN(1,N(Tasks[[#This Row],[% Complete]]))))</f>
        <v>1</v>
      </c>
      <c r="BW14" s="41" t="n">
        <f aca="false">IF(OR(NOT(Tasks[[#This Row],[_IsLeaf]]=1),Tasks[[#This Row],[Resource]]=""),0,N(Tasks[[#This Row],[Duration]])*HoursPerDay*IF(Tasks[[#This Row],[Units]]="",DefaultUnits,Tasks[[#This Row],[Units]]))</f>
        <v>0</v>
      </c>
      <c r="BX14" s="41" t="n">
        <f aca="false">IF(Tasks[[#This Row],[_LeafWork]]=0,0,Tasks[[#This Row],[_LeafWork]]*IFERROR(INDEX(res_Rate,MATCH(Tasks[[#This Row],[Resource]],res_Name,0)),0))</f>
        <v>0</v>
      </c>
      <c r="BY14" s="101"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2912162</v>
      </c>
      <c r="BZ14" s="101" t="n">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2912162</v>
      </c>
      <c r="CA14"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99993</v>
      </c>
      <c r="CB14" s="41" t="n">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100000</v>
      </c>
      <c r="CC14" s="41" t="n">
        <f aca="false">IF(NOT(Tasks[[#This Row],[_IsLeaf]]=1),0,MAX(_xlfn.MAXIFS(Tasks[_Row],Tasks[Pred1 UID],Tasks[[#This Row],[UID]]),_xlfn.MAXIFS(Tasks[_Row],Tasks[Pred2 UID],Tasks[[#This Row],[UID]])))</f>
        <v>16</v>
      </c>
      <c r="CD14" s="100"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46303</v>
      </c>
      <c r="CE14" s="100" t="n">
        <f aca="false">IF(NOT(Tasks[[#This Row],[_IsLeaf]]=1),"",MIN(ProjectFinish,IF(N(Tasks[[#This Row],[Deadline]])&gt;0,Tasks[[#This Row],[Deadline]],2958465),Tasks[[#This Row],[_SuccessorFinishLimit]]))</f>
        <v>46303</v>
      </c>
      <c r="CF14" s="100" t="n">
        <f aca="false">IF(NOT(Tasks[[#This Row],[_IsLeaf]]=1),"",IF(N(Tasks[[#This Row],[Duration]])&lt;=0,Tasks[[#This Row],[_LeafLateFinish]],WORKDAY.INTL(Tasks[[#This Row],[_LeafLateFinish]],-(Tasks[[#This Row],[Duration]]-1),WorkWeek,Holidays)))</f>
        <v>46303</v>
      </c>
      <c r="CG14"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2</v>
      </c>
      <c r="CH14" s="99" t="b">
        <f aca="false">AND(Tasks[[#This Row],[_IsLeaf]]=1,Tasks[[#This Row],[_LeafProgress]]&lt;1,N(Tasks[[#This Row],[_LeafTotalSlack]])&lt;=CriticalSlackDays)</f>
        <v>0</v>
      </c>
      <c r="CI14" s="100" t="n">
        <f aca="false">IF(Tasks[[#This Row],[Task Name]]="","",IF(Tasks[[#This Row],[_IsSummary]],MIN(INDEX(Tasks[_LeafCalcStart],Tasks[[#This Row],[_Row]]+1):INDEX(Tasks[_LeafCalcStart],Tasks[[#This Row],[_Row]]+Tasks[[#This Row],[_Descendants]])),Tasks[[#This Row],[_LeafCalcStart]]))</f>
        <v>46296</v>
      </c>
      <c r="CJ14" s="100" t="n">
        <f aca="false">IF(Tasks[[#This Row],[Task Name]]="","",IF(Tasks[[#This Row],[_IsSummary]],MAX(INDEX(Tasks[_LeafCalcFinish],Tasks[[#This Row],[_Row]]+1):INDEX(Tasks[_LeafCalcFinish],Tasks[[#This Row],[_Row]]+Tasks[[#This Row],[_Descendants]])),Tasks[[#This Row],[_LeafCalcFinish]]))</f>
        <v>46296</v>
      </c>
      <c r="CK1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4"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46288</v>
      </c>
      <c r="CN14"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46296</v>
      </c>
      <c r="CO14"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46290</v>
      </c>
      <c r="CP14"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46301</v>
      </c>
      <c r="CQ14" s="41" t="n">
        <f aca="false">IF(AND(Tasks[[#This Row],[_IsLeaf]]=1,Tasks[[#This Row],[_LeafWork]]&gt;0),NETWORKDAYS.INTL(ProjectStart,Tasks[[#This Row],[_LeafFcstStart]],WorkWeek,Holidays),0)</f>
        <v>0</v>
      </c>
      <c r="CR14" s="41" t="n">
        <f aca="false">IF(AND(Tasks[[#This Row],[_IsLeaf]]=1,Tasks[[#This Row],[_LeafWork]]&gt;0),MAX(Tasks[[#This Row],[_StartWorkday]],NETWORKDAYS.INTL(ProjectStart,Tasks[[#This Row],[_LeafFcstFinish]],WorkWeek,Holidays)),0)</f>
        <v>0</v>
      </c>
      <c r="CS14" s="41" t="n">
        <f aca="false">IF(AND(Tasks[[#This Row],[_IsLeaf]]=1,Tasks[[#This Row],[_LeafWork]]&gt;0),Tasks[[#This Row],[_LeafWork]]/(Tasks[[#This Row],[_FinishWorkday]]-Tasks[[#This Row],[_StartWorkday]]+1),0)</f>
        <v>0</v>
      </c>
      <c r="CT14" s="41" t="n">
        <f aca="false">Tasks[[#This Row],[_WorkPerWorkday]]*(Tasks[[#This Row],[_StartWorkday]]-1)</f>
        <v>-0</v>
      </c>
      <c r="CU14" s="41" t="n">
        <f aca="false">IF(Tasks[[#This Row],[_IsLeaf]]=1,MAX(N(Tasks[[#This Row],[Duration]]),0.1),0)</f>
        <v>0.1</v>
      </c>
      <c r="CV14" s="41" t="n">
        <f aca="false">Tasks[[#This Row],[_WeightDur]]*Tasks[[#This Row],[_LeafProgress]]</f>
        <v>0.1</v>
      </c>
      <c r="CW1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7</v>
      </c>
      <c r="CX1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8</v>
      </c>
      <c r="CY1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7</v>
      </c>
      <c r="CZ1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8</v>
      </c>
      <c r="DA14" s="41" t="str">
        <f aca="false">IF(Tasks[[#This Row],[Task Name]]="","",Tasks[[#This Row],[_Pred1UIDText]]&amp;IF(AND(Tasks[[#This Row],[_Pred1UIDText]]&lt;&gt;"",Tasks[[#This Row],[_Pred2UIDText]]&lt;&gt;""),",","")&amp;Tasks[[#This Row],[_Pred2UIDText]])</f>
        <v>7,8</v>
      </c>
      <c r="DB14" s="41" t="str">
        <f aca="false">IF(AND(Tasks[[#This Row],[_IsLeaf]]=1,N(Tasks[[#This Row],[Duration]])=0,Tasks[[#This Row],[_LeafProgress]]&lt;1),Tasks[[#This Row],[_LeafFcstFinish]]+Tasks[[#This Row],[_Row]]/100000,"")</f>
        <v/>
      </c>
      <c r="DC1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DD14" s="41" t="n">
        <f aca="false">IF(NOT(Tasks[[#This Row],[_IsLeaf]]=1),0,IF(Tasks[[#This Row],[Baseline Cost]]="",Tasks[[#This Row],[_LeafCost]],N(Tasks[[#This Row],[Baseline Cost]])))</f>
        <v>0</v>
      </c>
      <c r="DE14" s="41" t="n">
        <f aca="false">Tasks[[#This Row],[_LeafBudget]]*Tasks[[#This Row],[_PlannedPct]]</f>
        <v>0</v>
      </c>
      <c r="DF14" s="41" t="n">
        <f aca="false">Tasks[[#This Row],[_LeafBudget]]*Tasks[[#This Row],[_LeafProgress]]</f>
        <v>0</v>
      </c>
      <c r="DG14" s="41" t="n">
        <f aca="false">IF(NOT(Tasks[[#This Row],[_IsLeaf]]=1),0,IF(Tasks[[#This Row],[Actual Cost]]="",Tasks[[#This Row],[_LeafCost]]*Tasks[[#This Row],[_LeafProgress]],N(Tasks[[#This Row],[Actual Cost]])))</f>
        <v>0</v>
      </c>
      <c r="DH14" s="41" t="str">
        <f aca="false">IF(Tasks[[#This Row],[Task Name]]="","",LEFT(Tasks[[#This Row],[WBS]],FIND(".",Tasks[[#This Row],[WBS]]&amp;".")-1))</f>
        <v>2</v>
      </c>
      <c r="DI14" s="41" t="str">
        <f aca="false">IF(AND(Tasks[[#This Row],[Task Name]]&lt;&gt;"",Tasks[[#This Row],[_Level]]=1),Tasks[[#This Row],[_Row]],"")</f>
        <v/>
      </c>
      <c r="DJ14" s="101" t="n">
        <f aca="false">IF(AND(Tasks[[#This Row],[_IsLeaf]]=1,N(Tasks[[#This Row],[Duration]])=0),Tasks[[#This Row],[Planned Finish]]+Tasks[[#This Row],[_Row]]/100000,"")</f>
        <v>46296.00009</v>
      </c>
      <c r="DK14" s="41" t="str">
        <f aca="false">IF(AND(Tasks[[#This Row],[_IsLeaf]]=1,Tasks[[#This Row],[_LeafProgress]]&lt;1,OR(N(Tasks[[#This Row],[Finish Var]])&gt;0,Tasks[[#This Row],[Status]]="Late Start")),MAX(0,Tasks[[#This Row],[Finish Var]])+1-Tasks[[#This Row],[_Row]]/1000000,"")</f>
        <v/>
      </c>
      <c r="DL14" s="41" t="str">
        <f aca="false">IF(AND(Tasks[[#This Row],[_IsLeaf]]=1,N(Tasks[[#This Row],[Actual Start]])=0,Tasks[[#This Row],[_LeafFcstStart]]&gt;=StatusDate,Tasks[[#This Row],[_LeafFcstStart]]&lt;=LookaheadEnd),Tasks[[#This Row],[_LeafFcstStart]]+Tasks[[#This Row],[_Row]]/100000,"")</f>
        <v/>
      </c>
      <c r="DM14" s="41" t="str">
        <f aca="false">IF(AND(Tasks[[#This Row],[_IsLeaf]]=1,Tasks[[#This Row],[_LeafProgress]]&lt;1,Tasks[[#This Row],[_LeafFcstFinish]]&gt;=StatusDate,Tasks[[#This Row],[_LeafFcstFinish]]&lt;=LookaheadEnd),Tasks[[#This Row],[_LeafFcstFinish]]+Tasks[[#This Row],[_Row]]/100000,"")</f>
        <v/>
      </c>
      <c r="DN14" s="41" t="str">
        <f aca="false">IF(Tasks[[#This Row],[_LeafCritical]],Tasks[[#This Row],[_LeafFcstStart]]+Tasks[[#This Row],[_Row]]/100000,"")</f>
        <v/>
      </c>
      <c r="DO14" s="41" t="n">
        <f aca="false">Tasks[[#This Row],[_LeafWork]]*Tasks[[#This Row],[_LeafProgress]]</f>
        <v>0</v>
      </c>
      <c r="DP14" s="100" t="n">
        <f aca="false">IF(AND(Tasks[[#This Row],[_IsLeaf]]=1,Tasks[[#This Row],[_LeafProgress]]&gt;=1),IF(N(Tasks[[#This Row],[Actual Finish]])&gt;0,Tasks[[#This Row],[Actual Finish]],Tasks[[#This Row],[_LeafFcstFinish]]),"")</f>
        <v>46301</v>
      </c>
      <c r="DQ14" s="41" t="n">
        <f aca="false">IF(Tasks[[#This Row],[_IsLeaf]]=1,N(Tasks[[#This Row],[Story Points]]),0)</f>
        <v>0</v>
      </c>
      <c r="DR14" s="41" t="str">
        <f aca="false">IF(AND(Tasks[[#This Row],[_IsLeaf]]=1,CurrentSprint&lt;&gt;"",Tasks[[#This Row],[Sprint]]=CurrentSprint),Tasks[[#This Row],[_Row]],"")</f>
        <v/>
      </c>
    </row>
    <row r="15" customFormat="false" ht="15" hidden="false" customHeight="false" outlineLevel="0" collapsed="false">
      <c r="A15" s="28" t="n">
        <f aca="false">IF(Tasks[[#This Row],[Task Name]]="","",COUNTA(Tasks[[#Headers],[Task Name]]:Tasks[[#This Row],[Task Name]])-1)</f>
        <v>10</v>
      </c>
      <c r="B15" s="29" t="n">
        <v>10</v>
      </c>
      <c r="C1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v>
      </c>
      <c r="D15" s="29" t="n">
        <v>1</v>
      </c>
      <c r="E15" s="30" t="s">
        <v>600</v>
      </c>
      <c r="F15" s="29" t="s">
        <v>584</v>
      </c>
      <c r="G15" s="29"/>
      <c r="H15" s="29"/>
      <c r="I15" s="29"/>
      <c r="J15" s="29"/>
      <c r="K15" s="29"/>
      <c r="L15" s="29"/>
      <c r="M15" s="29"/>
      <c r="N15" s="73"/>
      <c r="O15" s="73"/>
      <c r="P15" s="25" t="n">
        <f aca="false">IF(Tasks[[#This Row],[Task Name]]="","",IF(N(Tasks[[#This Row],[Baseline Start]])&gt;0,Tasks[[#This Row],[Baseline Start]],Tasks[[#This Row],[_CalcStart]]))</f>
        <v>46297</v>
      </c>
      <c r="Q15" s="25" t="n">
        <f aca="false">IF(Tasks[[#This Row],[Task Name]]="","",IF(N(Tasks[[#This Row],[Baseline Finish]])&gt;0,Tasks[[#This Row],[Baseline Finish]],Tasks[[#This Row],[_CalcFinish]]))</f>
        <v>46325</v>
      </c>
      <c r="R15" s="73"/>
      <c r="S15" s="73"/>
      <c r="T15" s="25" t="n">
        <f aca="false">IF(Tasks[[#This Row],[Task Name]]="","",IF(Tasks[[#This Row],[_IsSummary]],MIN(INDEX(Tasks[_LeafFcstStart],Tasks[[#This Row],[_Row]]+1):INDEX(Tasks[_LeafFcstStart],Tasks[[#This Row],[_Row]]+Tasks[[#This Row],[_Descendants]])),Tasks[[#This Row],[_LeafFcstStart]]))</f>
        <v>46302</v>
      </c>
      <c r="U15" s="25" t="n">
        <f aca="false">IF(Tasks[[#This Row],[Task Name]]="","",IF(Tasks[[#This Row],[_IsSummary]],MAX(INDEX(Tasks[_LeafFcstFinish],Tasks[[#This Row],[_Row]]+1):INDEX(Tasks[_LeafFcstFinish],Tasks[[#This Row],[_Row]]+Tasks[[#This Row],[_Descendants]])),Tasks[[#This Row],[_LeafFcstFinish]]))</f>
        <v>46335</v>
      </c>
      <c r="V15" s="43" t="n">
        <f aca="false">IF(Tasks[[#This Row],[Task Name]]="","",IF(Tasks[[#This Row],[Forecast Start]]&gt;=Tasks[[#This Row],[Planned Start]],NETWORKDAYS.INTL(Tasks[[#This Row],[Planned Start]],Tasks[[#This Row],[Forecast Start]],WorkWeek,Holidays)-1,1-NETWORKDAYS.INTL(Tasks[[#This Row],[Forecast Start]],Tasks[[#This Row],[Planned Start]],WorkWeek,Holidays)))</f>
        <v>3</v>
      </c>
      <c r="W15"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X15" s="25" t="n">
        <f aca="false">IF(Tasks[[#This Row],[Task Name]]="","",IF(Tasks[[#This Row],[_IsSummary]],MIN(INDEX(Tasks[_LeafLateStart],Tasks[[#This Row],[_Row]]+1):INDEX(Tasks[_LeafLateStart],Tasks[[#This Row],[_Row]]+Tasks[[#This Row],[_Descendants]])),Tasks[[#This Row],[_LeafLateStart]]))</f>
        <v>46304</v>
      </c>
      <c r="Y15" s="25" t="n">
        <f aca="false">IF(Tasks[[#This Row],[Task Name]]="","",IF(Tasks[[#This Row],[_IsSummary]],MAX(INDEX(Tasks[_LeafLateFinish],Tasks[[#This Row],[_Row]]+1):INDEX(Tasks[_LeafLateFinish],Tasks[[#This Row],[_Row]]+Tasks[[#This Row],[_Descendants]])),Tasks[[#This Row],[_LeafLateFinish]]))</f>
        <v>46332</v>
      </c>
      <c r="Z15" s="43" t="n">
        <f aca="false">IF(Tasks[[#This Row],[Task Name]]="","",IF(Tasks[[#This Row],[_IsSummary]],MIN(INDEX(Tasks[_LeafTotalSlack],Tasks[[#This Row],[_Row]]+1):INDEX(Tasks[_LeafTotalSlack],Tasks[[#This Row],[_Row]]+Tasks[[#This Row],[_Descendants]])),Tasks[[#This Row],[_LeafTotalSlack]]))</f>
        <v>-1</v>
      </c>
      <c r="AA1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 s="28" t="str">
        <f aca="false">IF(Tasks[[#This Row],[Task Name]]="","",IF(IF(Tasks[[#This Row],[_IsSummary]],COUNTIF(INDEX(Tasks[_LeafCritical],Tasks[[#This Row],[_Row]]+1):INDEX(Tasks[_LeafCritical],Tasks[[#This Row],[_Row]]+Tasks[[#This Row],[_Descendants]]),TRUE())&gt;0,Tasks[[#This Row],[_LeafCritical]]),"Yes",""))</f>
        <v>Yes</v>
      </c>
      <c r="AC1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 s="24" t="str">
        <f aca="false">IF(Tasks[[#This Row],[Task Name]]="","",TRIM(IF(Tasks[[#This Row],[_Pred1Problem]]&lt;&gt;"","Pred 1: "&amp;Tasks[[#This Row],[_Pred1Problem]]&amp;". ","")&amp;IF(Tasks[[#This Row],[_Pred2Problem]]&lt;&gt;"","Pred 2: "&amp;Tasks[[#This Row],[_Pred2Problem]]&amp;".","")))</f>
        <v/>
      </c>
      <c r="AE15" s="88"/>
      <c r="AF15"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0.451306413301663</v>
      </c>
      <c r="AG15" s="28" t="str">
        <f aca="false">IF(Tasks[[#This Row],[Task Name]]="","",IF(Tasks[[#This Row],[Progress]]&gt;=1,"Complete",IF(OR(N(Tasks[[#This Row],[Actual Start]])&gt;0,Tasks[[#This Row],[Progress]]&gt;0),IF(Tasks[[#This Row],[Finish Var]]&gt;0,"Behind","In Progress"),IF(Tasks[[#This Row],[Planned Start]]&lt;StatusDate,"Late Start","Not Started"))))</f>
        <v>Behind</v>
      </c>
      <c r="AH15" s="30"/>
      <c r="AI15" s="88"/>
      <c r="AJ15" s="95" t="n">
        <f aca="false">IF(Tasks[[#This Row],[Task Name]]="","",IF(Tasks[[#This Row],[_IsSummary]],SUM(INDEX(Tasks[_LeafWork],Tasks[[#This Row],[_Row]]+1):INDEX(Tasks[_LeafWork],Tasks[[#This Row],[_Row]]+Tasks[[#This Row],[_Descendants]])),Tasks[[#This Row],[_LeafWork]]))</f>
        <v>324</v>
      </c>
      <c r="AK15" s="96" t="n">
        <f aca="false">IF(Tasks[[#This Row],[Task Name]]="","",IF(Tasks[[#This Row],[_IsSummary]],SUM(INDEX(Tasks[_LeafCost],Tasks[[#This Row],[_Row]]+1):INDEX(Tasks[_LeafCost],Tasks[[#This Row],[_Row]]+Tasks[[#This Row],[_Descendants]])),Tasks[[#This Row],[_LeafCost]]))</f>
        <v>26700</v>
      </c>
      <c r="AL15" s="97"/>
      <c r="AM15" s="29"/>
      <c r="AN1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5" s="82"/>
      <c r="AP15" s="24" t="str">
        <f aca="false">IF(Tasks[[#This Row],[Task Name]]="","",Tasks[[#This Row],[_Pred1IDText]]&amp;IF(AND(Tasks[[#This Row],[_Pred1IDText]]&lt;&gt;"",Tasks[[#This Row],[_Pred2IDText]]&lt;&gt;""),",","")&amp;Tasks[[#This Row],[_Pred2IDText]])</f>
        <v/>
      </c>
      <c r="AQ15" s="30"/>
      <c r="AR15" s="25" t="n">
        <f aca="false">IF(Tasks[[#This Row],[Task Name]]="","",Tasks[[#This Row],[Forecast Start]])</f>
        <v>46302</v>
      </c>
      <c r="AS15" s="25" t="n">
        <f aca="false">IF(Tasks[[#This Row],[Task Name]]="","",Tasks[[#This Row],[Forecast Finish]])</f>
        <v>46335</v>
      </c>
      <c r="AT15" s="28" t="n">
        <f aca="false">IF(Tasks[[#This Row],[Task Name]]="","",IF(Tasks[[#This Row],[_IsSummary]],NETWORKDAYS.INTL(Tasks[[#This Row],[Forecast Start]],Tasks[[#This Row],[Forecast Finish]],WorkWeek,Holidays),N(Tasks[[#This Row],[Duration]])))</f>
        <v>24</v>
      </c>
      <c r="AU15" s="95" t="n">
        <f aca="false">IF(Tasks[[#This Row],[Task Name]]="","",Tasks[[#This Row],[Work]])</f>
        <v>324</v>
      </c>
      <c r="AV15" s="96" t="n">
        <f aca="false">IF(Tasks[[#This Row],[Task Name]]="","",Tasks[[#This Row],[Cost]])</f>
        <v>26700</v>
      </c>
      <c r="AW15" s="73"/>
      <c r="AX15" s="73"/>
      <c r="AY15" s="29"/>
      <c r="AZ15" s="98"/>
      <c r="BA15" s="97"/>
      <c r="BB15" s="28" t="str">
        <f aca="false">IF(OR(Tasks[[#This Row],[Task Name]]="",Tasks[[#This Row],[Baseline Duration]]=""),"",Tasks[[#This Row],[BL Source Duration]]-N(Tasks[[#This Row],[Baseline Duration]]))</f>
        <v/>
      </c>
      <c r="BC15" s="95" t="str">
        <f aca="false">IF(OR(Tasks[[#This Row],[Task Name]]="",Tasks[[#This Row],[Baseline Work]]=""),"",Tasks[[#This Row],[Work]]-N(Tasks[[#This Row],[Baseline Work]]))</f>
        <v/>
      </c>
      <c r="BD15" s="96" t="str">
        <f aca="false">IF(OR(Tasks[[#This Row],[Task Name]]="",Tasks[[#This Row],[Baseline Cost]]=""),"",Tasks[[#This Row],[Cost]]-N(Tasks[[#This Row],[Baseline Cost]]))</f>
        <v/>
      </c>
      <c r="BE15" s="96" t="n">
        <f aca="false">IF(Tasks[[#This Row],[Task Name]]="","",IF(Tasks[[#This Row],[_IsSummary]],SUM(INDEX(Tasks[_LeafBudget],Tasks[[#This Row],[_Row]]+1):INDEX(Tasks[_LeafBudget],Tasks[[#This Row],[_Row]]+Tasks[[#This Row],[_Descendants]])),Tasks[[#This Row],[_LeafBudget]]))</f>
        <v>26700</v>
      </c>
      <c r="BF15" s="96" t="n">
        <f aca="false">IF(Tasks[[#This Row],[Task Name]]="","",IF(Tasks[[#This Row],[_IsSummary]],SUM(INDEX(Tasks[_LeafPV],Tasks[[#This Row],[_Row]]+1):INDEX(Tasks[_LeafPV],Tasks[[#This Row],[_Row]]+Tasks[[#This Row],[_Descendants]])),Tasks[[#This Row],[_LeafPV]]))</f>
        <v>20480</v>
      </c>
      <c r="BG15" s="96" t="n">
        <f aca="false">IF(Tasks[[#This Row],[Task Name]]="","",IF(Tasks[[#This Row],[_IsSummary]],SUM(INDEX(Tasks[_LeafEV],Tasks[[#This Row],[_Row]]+1):INDEX(Tasks[_LeafEV],Tasks[[#This Row],[_Row]]+Tasks[[#This Row],[_Descendants]])),Tasks[[#This Row],[_LeafEV]]))</f>
        <v>12560</v>
      </c>
      <c r="BH15" s="96" t="n">
        <f aca="false">IF(Tasks[[#This Row],[Task Name]]="","",IF(Tasks[[#This Row],[_IsSummary]],SUM(INDEX(Tasks[_LeafAC],Tasks[[#This Row],[_Row]]+1):INDEX(Tasks[_LeafAC],Tasks[[#This Row],[_Row]]+Tasks[[#This Row],[_Descendants]])),Tasks[[#This Row],[_LeafAC]]))</f>
        <v>13240</v>
      </c>
      <c r="BI15" s="41" t="n">
        <f aca="false">IF(Tasks[[#This Row],[Task Name]]="","",MAX(1,N(Tasks[[#This Row],[Level]])))</f>
        <v>1</v>
      </c>
      <c r="BJ15" s="41" t="n">
        <f aca="false">ROW()-ROW(Tasks[[#Headers],[ID]])</f>
        <v>10</v>
      </c>
      <c r="BK15" s="41" t="n">
        <f aca="false">IF(OR(Tasks[[#This Row],[Task Name]]="",Tasks[[#This Row],[_Level]]&lt;=1),0,IFERROR(LOOKUP(2,1/(Tasks[[#Headers],[_Level]]:Tasks[[#This Row],[_Level]]=Tasks[[#This Row],[_Level]]-1),ROW(Tasks[[#Headers],[_Level]]:Tasks[[#This Row],[_Level]])),0))</f>
        <v>0</v>
      </c>
      <c r="BL15" s="41" t="n">
        <f aca="false">IFERROR(N(INDEX(Tasks[_Level],Tasks[[#This Row],[_Row]]+1)),0)</f>
        <v>2</v>
      </c>
      <c r="BM15" s="99" t="b">
        <f aca="false">AND(Tasks[[#This Row],[Task Name]]&lt;&gt;"",Tasks[[#This Row],[_NextLevel]]&gt;Tasks[[#This Row],[_Level]])</f>
        <v>1</v>
      </c>
      <c r="BN15" s="41" t="n">
        <f aca="false">IF(Tasks[[#This Row],[_IsSummary]],COUNTIF(Tasks[WBS],Tasks[[#This Row],[WBS]]&amp;".*"),0)</f>
        <v>9</v>
      </c>
      <c r="BO15" s="41" t="n">
        <f aca="false">IF(AND(Tasks[[#This Row],[Task Name]]&lt;&gt;"",NOT(Tasks[[#This Row],[_IsSummary]])),1,0)</f>
        <v>0</v>
      </c>
      <c r="BP15" s="41" t="n">
        <f aca="false">IF(N(Tasks[[#This Row],[Pred1 UID]])=0,0,IFERROR(MATCH(Tasks[[#This Row],[Pred1 UID]],Tasks[UID],0),-1))</f>
        <v>0</v>
      </c>
      <c r="BQ15" s="41" t="n">
        <f aca="false">IF(N(Tasks[[#This Row],[Pred2 UID]])=0,0,IFERROR(MATCH(Tasks[[#This Row],[Pred2 UID]],Tasks[UID],0),-1))</f>
        <v>0</v>
      </c>
      <c r="BR15"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5" s="100" t="str">
        <f aca="false">IF(NOT(Tasks[[#This Row],[_IsLeaf]]=1),"",IF(N(Tasks[[#This Row],[Duration]])&lt;=0,Tasks[[#This Row],[_LeafCalcStart]],WORKDAY.INTL(Tasks[[#This Row],[_LeafCalcStart]],Tasks[[#This Row],[Duration]]-1,WorkWeek,Holidays)))</f>
        <v/>
      </c>
      <c r="BT15"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5"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5" s="41" t="n">
        <f aca="false">IF(NOT(Tasks[[#This Row],[_IsLeaf]]=1),0,IF(N(Tasks[[#This Row],[Actual Finish]])&gt;0,1,MIN(1,N(Tasks[[#This Row],[% Complete]]))))</f>
        <v>0</v>
      </c>
      <c r="BW15" s="41" t="n">
        <f aca="false">IF(OR(NOT(Tasks[[#This Row],[_IsLeaf]]=1),Tasks[[#This Row],[Resource]]=""),0,N(Tasks[[#This Row],[Duration]])*HoursPerDay*IF(Tasks[[#This Row],[Units]]="",DefaultUnits,Tasks[[#This Row],[Units]]))</f>
        <v>0</v>
      </c>
      <c r="BX15" s="41" t="n">
        <f aca="false">IF(Tasks[[#This Row],[_LeafWork]]=0,0,Tasks[[#This Row],[_LeafWork]]*IFERROR(INDEX(res_Rate,MATCH(Tasks[[#This Row],[Resource]],res_Name,0)),0))</f>
        <v>0</v>
      </c>
      <c r="BY1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5" s="41" t="n">
        <f aca="false">IF(NOT(Tasks[[#This Row],[_IsLeaf]]=1),0,MAX(_xlfn.MAXIFS(Tasks[_Row],Tasks[Pred1 UID],Tasks[[#This Row],[UID]]),_xlfn.MAXIFS(Tasks[_Row],Tasks[Pred2 UID],Tasks[[#This Row],[UID]])))</f>
        <v>0</v>
      </c>
      <c r="CD15"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5" s="100" t="str">
        <f aca="false">IF(NOT(Tasks[[#This Row],[_IsLeaf]]=1),"",MIN(ProjectFinish,IF(N(Tasks[[#This Row],[Deadline]])&gt;0,Tasks[[#This Row],[Deadline]],2958465),Tasks[[#This Row],[_SuccessorFinishLimit]]))</f>
        <v/>
      </c>
      <c r="CF15" s="100" t="str">
        <f aca="false">IF(NOT(Tasks[[#This Row],[_IsLeaf]]=1),"",IF(N(Tasks[[#This Row],[Duration]])&lt;=0,Tasks[[#This Row],[_LeafLateFinish]],WORKDAY.INTL(Tasks[[#This Row],[_LeafLateFinish]],-(Tasks[[#This Row],[Duration]]-1),WorkWeek,Holidays)))</f>
        <v/>
      </c>
      <c r="CG1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5" s="99" t="b">
        <f aca="false">AND(Tasks[[#This Row],[_IsLeaf]]=1,Tasks[[#This Row],[_LeafProgress]]&lt;1,N(Tasks[[#This Row],[_LeafTotalSlack]])&lt;=CriticalSlackDays)</f>
        <v>0</v>
      </c>
      <c r="CI15" s="100" t="n">
        <f aca="false">IF(Tasks[[#This Row],[Task Name]]="","",IF(Tasks[[#This Row],[_IsSummary]],MIN(INDEX(Tasks[_LeafCalcStart],Tasks[[#This Row],[_Row]]+1):INDEX(Tasks[_LeafCalcStart],Tasks[[#This Row],[_Row]]+Tasks[[#This Row],[_Descendants]])),Tasks[[#This Row],[_LeafCalcStart]]))</f>
        <v>46297</v>
      </c>
      <c r="CJ15" s="100" t="n">
        <f aca="false">IF(Tasks[[#This Row],[Task Name]]="","",IF(Tasks[[#This Row],[_IsSummary]],MAX(INDEX(Tasks[_LeafCalcFinish],Tasks[[#This Row],[_Row]]+1):INDEX(Tasks[_LeafCalcFinish],Tasks[[#This Row],[_Row]]+Tasks[[#This Row],[_Descendants]])),Tasks[[#This Row],[_LeafCalcFinish]]))</f>
        <v>46325</v>
      </c>
      <c r="CK1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5"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5"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5"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5"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5" s="41" t="n">
        <f aca="false">IF(AND(Tasks[[#This Row],[_IsLeaf]]=1,Tasks[[#This Row],[_LeafWork]]&gt;0),NETWORKDAYS.INTL(ProjectStart,Tasks[[#This Row],[_LeafFcstStart]],WorkWeek,Holidays),0)</f>
        <v>0</v>
      </c>
      <c r="CR15" s="41" t="n">
        <f aca="false">IF(AND(Tasks[[#This Row],[_IsLeaf]]=1,Tasks[[#This Row],[_LeafWork]]&gt;0),MAX(Tasks[[#This Row],[_StartWorkday]],NETWORKDAYS.INTL(ProjectStart,Tasks[[#This Row],[_LeafFcstFinish]],WorkWeek,Holidays)),0)</f>
        <v>0</v>
      </c>
      <c r="CS15" s="41" t="n">
        <f aca="false">IF(AND(Tasks[[#This Row],[_IsLeaf]]=1,Tasks[[#This Row],[_LeafWork]]&gt;0),Tasks[[#This Row],[_LeafWork]]/(Tasks[[#This Row],[_FinishWorkday]]-Tasks[[#This Row],[_StartWorkday]]+1),0)</f>
        <v>0</v>
      </c>
      <c r="CT15" s="41" t="n">
        <f aca="false">Tasks[[#This Row],[_WorkPerWorkday]]*(Tasks[[#This Row],[_StartWorkday]]-1)</f>
        <v>-0</v>
      </c>
      <c r="CU15" s="41" t="n">
        <f aca="false">IF(Tasks[[#This Row],[_IsLeaf]]=1,MAX(N(Tasks[[#This Row],[Duration]]),0.1),0)</f>
        <v>0</v>
      </c>
      <c r="CV15" s="41" t="n">
        <f aca="false">Tasks[[#This Row],[_WeightDur]]*Tasks[[#This Row],[_LeafProgress]]</f>
        <v>0</v>
      </c>
      <c r="CW1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5" s="41" t="str">
        <f aca="false">IF(Tasks[[#This Row],[Task Name]]="","",Tasks[[#This Row],[_Pred1UIDText]]&amp;IF(AND(Tasks[[#This Row],[_Pred1UIDText]]&lt;&gt;"",Tasks[[#This Row],[_Pred2UIDText]]&lt;&gt;""),",","")&amp;Tasks[[#This Row],[_Pred2UIDText]])</f>
        <v/>
      </c>
      <c r="DB15" s="41" t="str">
        <f aca="false">IF(AND(Tasks[[#This Row],[_IsLeaf]]=1,N(Tasks[[#This Row],[Duration]])=0,Tasks[[#This Row],[_LeafProgress]]&lt;1),Tasks[[#This Row],[_LeafFcstFinish]]+Tasks[[#This Row],[_Row]]/100000,"")</f>
        <v/>
      </c>
      <c r="DC1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5" s="41" t="n">
        <f aca="false">IF(NOT(Tasks[[#This Row],[_IsLeaf]]=1),0,IF(Tasks[[#This Row],[Baseline Cost]]="",Tasks[[#This Row],[_LeafCost]],N(Tasks[[#This Row],[Baseline Cost]])))</f>
        <v>0</v>
      </c>
      <c r="DE15" s="41" t="n">
        <f aca="false">Tasks[[#This Row],[_LeafBudget]]*Tasks[[#This Row],[_PlannedPct]]</f>
        <v>0</v>
      </c>
      <c r="DF15" s="41" t="n">
        <f aca="false">Tasks[[#This Row],[_LeafBudget]]*Tasks[[#This Row],[_LeafProgress]]</f>
        <v>0</v>
      </c>
      <c r="DG15" s="41" t="n">
        <f aca="false">IF(NOT(Tasks[[#This Row],[_IsLeaf]]=1),0,IF(Tasks[[#This Row],[Actual Cost]]="",Tasks[[#This Row],[_LeafCost]]*Tasks[[#This Row],[_LeafProgress]],N(Tasks[[#This Row],[Actual Cost]])))</f>
        <v>0</v>
      </c>
      <c r="DH15" s="41" t="str">
        <f aca="false">IF(Tasks[[#This Row],[Task Name]]="","",LEFT(Tasks[[#This Row],[WBS]],FIND(".",Tasks[[#This Row],[WBS]]&amp;".")-1))</f>
        <v>3</v>
      </c>
      <c r="DI15" s="41" t="n">
        <f aca="false">IF(AND(Tasks[[#This Row],[Task Name]]&lt;&gt;"",Tasks[[#This Row],[_Level]]=1),Tasks[[#This Row],[_Row]],"")</f>
        <v>10</v>
      </c>
      <c r="DJ15" s="41" t="str">
        <f aca="false">IF(AND(Tasks[[#This Row],[_IsLeaf]]=1,N(Tasks[[#This Row],[Duration]])=0),Tasks[[#This Row],[Planned Finish]]+Tasks[[#This Row],[_Row]]/100000,"")</f>
        <v/>
      </c>
      <c r="DK15" s="41" t="str">
        <f aca="false">IF(AND(Tasks[[#This Row],[_IsLeaf]]=1,Tasks[[#This Row],[_LeafProgress]]&lt;1,OR(N(Tasks[[#This Row],[Finish Var]])&gt;0,Tasks[[#This Row],[Status]]="Late Start")),MAX(0,Tasks[[#This Row],[Finish Var]])+1-Tasks[[#This Row],[_Row]]/1000000,"")</f>
        <v/>
      </c>
      <c r="DL15" s="41" t="str">
        <f aca="false">IF(AND(Tasks[[#This Row],[_IsLeaf]]=1,N(Tasks[[#This Row],[Actual Start]])=0,Tasks[[#This Row],[_LeafFcstStart]]&gt;=StatusDate,Tasks[[#This Row],[_LeafFcstStart]]&lt;=LookaheadEnd),Tasks[[#This Row],[_LeafFcstStart]]+Tasks[[#This Row],[_Row]]/100000,"")</f>
        <v/>
      </c>
      <c r="DM15" s="41" t="str">
        <f aca="false">IF(AND(Tasks[[#This Row],[_IsLeaf]]=1,Tasks[[#This Row],[_LeafProgress]]&lt;1,Tasks[[#This Row],[_LeafFcstFinish]]&gt;=StatusDate,Tasks[[#This Row],[_LeafFcstFinish]]&lt;=LookaheadEnd),Tasks[[#This Row],[_LeafFcstFinish]]+Tasks[[#This Row],[_Row]]/100000,"")</f>
        <v/>
      </c>
      <c r="DN15" s="41" t="str">
        <f aca="false">IF(Tasks[[#This Row],[_LeafCritical]],Tasks[[#This Row],[_LeafFcstStart]]+Tasks[[#This Row],[_Row]]/100000,"")</f>
        <v/>
      </c>
      <c r="DO15" s="41" t="n">
        <f aca="false">Tasks[[#This Row],[_LeafWork]]*Tasks[[#This Row],[_LeafProgress]]</f>
        <v>0</v>
      </c>
      <c r="DP15" s="100" t="str">
        <f aca="false">IF(AND(Tasks[[#This Row],[_IsLeaf]]=1,Tasks[[#This Row],[_LeafProgress]]&gt;=1),IF(N(Tasks[[#This Row],[Actual Finish]])&gt;0,Tasks[[#This Row],[Actual Finish]],Tasks[[#This Row],[_LeafFcstFinish]]),"")</f>
        <v/>
      </c>
      <c r="DQ15" s="41" t="n">
        <f aca="false">IF(Tasks[[#This Row],[_IsLeaf]]=1,N(Tasks[[#This Row],[Story Points]]),0)</f>
        <v>0</v>
      </c>
      <c r="DR15" s="41" t="str">
        <f aca="false">IF(AND(Tasks[[#This Row],[_IsLeaf]]=1,CurrentSprint&lt;&gt;"",Tasks[[#This Row],[Sprint]]=CurrentSprint),Tasks[[#This Row],[_Row]],"")</f>
        <v/>
      </c>
    </row>
    <row r="16" customFormat="false" ht="15" hidden="false" customHeight="false" outlineLevel="0" collapsed="false">
      <c r="A16" s="28" t="n">
        <f aca="false">IF(Tasks[[#This Row],[Task Name]]="","",COUNTA(Tasks[[#Headers],[Task Name]]:Tasks[[#This Row],[Task Name]])-1)</f>
        <v>11</v>
      </c>
      <c r="B16" s="29" t="n">
        <v>11</v>
      </c>
      <c r="C1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v>
      </c>
      <c r="D16" s="29" t="n">
        <v>2</v>
      </c>
      <c r="E16" s="30" t="s">
        <v>601</v>
      </c>
      <c r="F16" s="29" t="s">
        <v>584</v>
      </c>
      <c r="G16" s="29"/>
      <c r="H16" s="29"/>
      <c r="I16" s="29"/>
      <c r="J16" s="29"/>
      <c r="K16" s="29"/>
      <c r="L16" s="29"/>
      <c r="M16" s="29"/>
      <c r="N16" s="73"/>
      <c r="O16" s="73"/>
      <c r="P16" s="25" t="n">
        <f aca="false">IF(Tasks[[#This Row],[Task Name]]="","",IF(N(Tasks[[#This Row],[Baseline Start]])&gt;0,Tasks[[#This Row],[Baseline Start]],Tasks[[#This Row],[_CalcStart]]))</f>
        <v>46297</v>
      </c>
      <c r="Q16" s="25" t="n">
        <f aca="false">IF(Tasks[[#This Row],[Task Name]]="","",IF(N(Tasks[[#This Row],[Baseline Finish]])&gt;0,Tasks[[#This Row],[Baseline Finish]],Tasks[[#This Row],[_CalcFinish]]))</f>
        <v>46325</v>
      </c>
      <c r="R16" s="73"/>
      <c r="S16" s="73"/>
      <c r="T16" s="25" t="n">
        <f aca="false">IF(Tasks[[#This Row],[Task Name]]="","",IF(Tasks[[#This Row],[_IsSummary]],MIN(INDEX(Tasks[_LeafFcstStart],Tasks[[#This Row],[_Row]]+1):INDEX(Tasks[_LeafFcstStart],Tasks[[#This Row],[_Row]]+Tasks[[#This Row],[_Descendants]])),Tasks[[#This Row],[_LeafFcstStart]]))</f>
        <v>46302</v>
      </c>
      <c r="U16" s="25" t="n">
        <f aca="false">IF(Tasks[[#This Row],[Task Name]]="","",IF(Tasks[[#This Row],[_IsSummary]],MAX(INDEX(Tasks[_LeafFcstFinish],Tasks[[#This Row],[_Row]]+1):INDEX(Tasks[_LeafFcstFinish],Tasks[[#This Row],[_Row]]+Tasks[[#This Row],[_Descendants]])),Tasks[[#This Row],[_LeafFcstFinish]]))</f>
        <v>46335</v>
      </c>
      <c r="V16" s="43" t="n">
        <f aca="false">IF(Tasks[[#This Row],[Task Name]]="","",IF(Tasks[[#This Row],[Forecast Start]]&gt;=Tasks[[#This Row],[Planned Start]],NETWORKDAYS.INTL(Tasks[[#This Row],[Planned Start]],Tasks[[#This Row],[Forecast Start]],WorkWeek,Holidays)-1,1-NETWORKDAYS.INTL(Tasks[[#This Row],[Forecast Start]],Tasks[[#This Row],[Planned Start]],WorkWeek,Holidays)))</f>
        <v>3</v>
      </c>
      <c r="W16"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X16" s="25" t="n">
        <f aca="false">IF(Tasks[[#This Row],[Task Name]]="","",IF(Tasks[[#This Row],[_IsSummary]],MIN(INDEX(Tasks[_LeafLateStart],Tasks[[#This Row],[_Row]]+1):INDEX(Tasks[_LeafLateStart],Tasks[[#This Row],[_Row]]+Tasks[[#This Row],[_Descendants]])),Tasks[[#This Row],[_LeafLateStart]]))</f>
        <v>46304</v>
      </c>
      <c r="Y16" s="25" t="n">
        <f aca="false">IF(Tasks[[#This Row],[Task Name]]="","",IF(Tasks[[#This Row],[_IsSummary]],MAX(INDEX(Tasks[_LeafLateFinish],Tasks[[#This Row],[_Row]]+1):INDEX(Tasks[_LeafLateFinish],Tasks[[#This Row],[_Row]]+Tasks[[#This Row],[_Descendants]])),Tasks[[#This Row],[_LeafLateFinish]]))</f>
        <v>46332</v>
      </c>
      <c r="Z16" s="43" t="n">
        <f aca="false">IF(Tasks[[#This Row],[Task Name]]="","",IF(Tasks[[#This Row],[_IsSummary]],MIN(INDEX(Tasks[_LeafTotalSlack],Tasks[[#This Row],[_Row]]+1):INDEX(Tasks[_LeafTotalSlack],Tasks[[#This Row],[_Row]]+Tasks[[#This Row],[_Descendants]])),Tasks[[#This Row],[_LeafTotalSlack]]))</f>
        <v>-1</v>
      </c>
      <c r="AA1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 s="28" t="str">
        <f aca="false">IF(Tasks[[#This Row],[Task Name]]="","",IF(IF(Tasks[[#This Row],[_IsSummary]],COUNTIF(INDEX(Tasks[_LeafCritical],Tasks[[#This Row],[_Row]]+1):INDEX(Tasks[_LeafCritical],Tasks[[#This Row],[_Row]]+Tasks[[#This Row],[_Descendants]]),TRUE())&gt;0,Tasks[[#This Row],[_LeafCritical]]),"Yes",""))</f>
        <v>Yes</v>
      </c>
      <c r="AC1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 s="24" t="str">
        <f aca="false">IF(Tasks[[#This Row],[Task Name]]="","",TRIM(IF(Tasks[[#This Row],[_Pred1Problem]]&lt;&gt;"","Pred 1: "&amp;Tasks[[#This Row],[_Pred1Problem]]&amp;". ","")&amp;IF(Tasks[[#This Row],[_Pred2Problem]]&lt;&gt;"","Pred 2: "&amp;Tasks[[#This Row],[_Pred2Problem]]&amp;".","")))</f>
        <v/>
      </c>
      <c r="AE16" s="88"/>
      <c r="AF16"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0.476190476190476</v>
      </c>
      <c r="AG16" s="28" t="str">
        <f aca="false">IF(Tasks[[#This Row],[Task Name]]="","",IF(Tasks[[#This Row],[Progress]]&gt;=1,"Complete",IF(OR(N(Tasks[[#This Row],[Actual Start]])&gt;0,Tasks[[#This Row],[Progress]]&gt;0),IF(Tasks[[#This Row],[Finish Var]]&gt;0,"Behind","In Progress"),IF(Tasks[[#This Row],[Planned Start]]&lt;StatusDate,"Late Start","Not Started"))))</f>
        <v>Behind</v>
      </c>
      <c r="AH16" s="30"/>
      <c r="AI16" s="88"/>
      <c r="AJ16" s="95" t="n">
        <f aca="false">IF(Tasks[[#This Row],[Task Name]]="","",IF(Tasks[[#This Row],[_IsSummary]],SUM(INDEX(Tasks[_LeafWork],Tasks[[#This Row],[_Row]]+1):INDEX(Tasks[_LeafWork],Tasks[[#This Row],[_Row]]+Tasks[[#This Row],[_Descendants]])),Tasks[[#This Row],[_LeafWork]]))</f>
        <v>168</v>
      </c>
      <c r="AK16" s="96" t="n">
        <f aca="false">IF(Tasks[[#This Row],[Task Name]]="","",IF(Tasks[[#This Row],[_IsSummary]],SUM(INDEX(Tasks[_LeafCost],Tasks[[#This Row],[_Row]]+1):INDEX(Tasks[_LeafCost],Tasks[[#This Row],[_Row]]+Tasks[[#This Row],[_Descendants]])),Tasks[[#This Row],[_LeafCost]]))</f>
        <v>14280</v>
      </c>
      <c r="AL16" s="97"/>
      <c r="AM16" s="29"/>
      <c r="AN1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6" s="82"/>
      <c r="AP16" s="24" t="str">
        <f aca="false">IF(Tasks[[#This Row],[Task Name]]="","",Tasks[[#This Row],[_Pred1IDText]]&amp;IF(AND(Tasks[[#This Row],[_Pred1IDText]]&lt;&gt;"",Tasks[[#This Row],[_Pred2IDText]]&lt;&gt;""),",","")&amp;Tasks[[#This Row],[_Pred2IDText]])</f>
        <v/>
      </c>
      <c r="AQ16" s="30" t="s">
        <v>602</v>
      </c>
      <c r="AR16" s="25" t="n">
        <f aca="false">IF(Tasks[[#This Row],[Task Name]]="","",Tasks[[#This Row],[Forecast Start]])</f>
        <v>46302</v>
      </c>
      <c r="AS16" s="25" t="n">
        <f aca="false">IF(Tasks[[#This Row],[Task Name]]="","",Tasks[[#This Row],[Forecast Finish]])</f>
        <v>46335</v>
      </c>
      <c r="AT16" s="28" t="n">
        <f aca="false">IF(Tasks[[#This Row],[Task Name]]="","",IF(Tasks[[#This Row],[_IsSummary]],NETWORKDAYS.INTL(Tasks[[#This Row],[Forecast Start]],Tasks[[#This Row],[Forecast Finish]],WorkWeek,Holidays),N(Tasks[[#This Row],[Duration]])))</f>
        <v>24</v>
      </c>
      <c r="AU16" s="95" t="n">
        <f aca="false">IF(Tasks[[#This Row],[Task Name]]="","",Tasks[[#This Row],[Work]])</f>
        <v>168</v>
      </c>
      <c r="AV16" s="96" t="n">
        <f aca="false">IF(Tasks[[#This Row],[Task Name]]="","",Tasks[[#This Row],[Cost]])</f>
        <v>14280</v>
      </c>
      <c r="AW16" s="73"/>
      <c r="AX16" s="73"/>
      <c r="AY16" s="29"/>
      <c r="AZ16" s="98"/>
      <c r="BA16" s="97"/>
      <c r="BB16" s="28" t="str">
        <f aca="false">IF(OR(Tasks[[#This Row],[Task Name]]="",Tasks[[#This Row],[Baseline Duration]]=""),"",Tasks[[#This Row],[BL Source Duration]]-N(Tasks[[#This Row],[Baseline Duration]]))</f>
        <v/>
      </c>
      <c r="BC16" s="95" t="str">
        <f aca="false">IF(OR(Tasks[[#This Row],[Task Name]]="",Tasks[[#This Row],[Baseline Work]]=""),"",Tasks[[#This Row],[Work]]-N(Tasks[[#This Row],[Baseline Work]]))</f>
        <v/>
      </c>
      <c r="BD16" s="96" t="str">
        <f aca="false">IF(OR(Tasks[[#This Row],[Task Name]]="",Tasks[[#This Row],[Baseline Cost]]=""),"",Tasks[[#This Row],[Cost]]-N(Tasks[[#This Row],[Baseline Cost]]))</f>
        <v/>
      </c>
      <c r="BE16" s="96" t="n">
        <f aca="false">IF(Tasks[[#This Row],[Task Name]]="","",IF(Tasks[[#This Row],[_IsSummary]],SUM(INDEX(Tasks[_LeafBudget],Tasks[[#This Row],[_Row]]+1):INDEX(Tasks[_LeafBudget],Tasks[[#This Row],[_Row]]+Tasks[[#This Row],[_Descendants]])),Tasks[[#This Row],[_LeafBudget]]))</f>
        <v>14280</v>
      </c>
      <c r="BF16" s="96" t="n">
        <f aca="false">IF(Tasks[[#This Row],[Task Name]]="","",IF(Tasks[[#This Row],[_IsSummary]],SUM(INDEX(Tasks[_LeafPV],Tasks[[#This Row],[_Row]]+1):INDEX(Tasks[_LeafPV],Tasks[[#This Row],[_Row]]+Tasks[[#This Row],[_Descendants]])),Tasks[[#This Row],[_LeafPV]]))</f>
        <v>10880</v>
      </c>
      <c r="BG16" s="96" t="n">
        <f aca="false">IF(Tasks[[#This Row],[Task Name]]="","",IF(Tasks[[#This Row],[_IsSummary]],SUM(INDEX(Tasks[_LeafEV],Tasks[[#This Row],[_Row]]+1):INDEX(Tasks[_LeafEV],Tasks[[#This Row],[_Row]]+Tasks[[#This Row],[_Descendants]])),Tasks[[#This Row],[_LeafEV]]))</f>
        <v>6800</v>
      </c>
      <c r="BH16" s="96" t="n">
        <f aca="false">IF(Tasks[[#This Row],[Task Name]]="","",IF(Tasks[[#This Row],[_IsSummary]],SUM(INDEX(Tasks[_LeafAC],Tasks[[#This Row],[_Row]]+1):INDEX(Tasks[_LeafAC],Tasks[[#This Row],[_Row]]+Tasks[[#This Row],[_Descendants]])),Tasks[[#This Row],[_LeafAC]]))</f>
        <v>7480</v>
      </c>
      <c r="BI16" s="41" t="n">
        <f aca="false">IF(Tasks[[#This Row],[Task Name]]="","",MAX(1,N(Tasks[[#This Row],[Level]])))</f>
        <v>2</v>
      </c>
      <c r="BJ16" s="41" t="n">
        <f aca="false">ROW()-ROW(Tasks[[#Headers],[ID]])</f>
        <v>11</v>
      </c>
      <c r="BK16" s="41" t="n">
        <f aca="false">IF(OR(Tasks[[#This Row],[Task Name]]="",Tasks[[#This Row],[_Level]]&lt;=1),0,IFERROR(LOOKUP(2,1/(Tasks[[#Headers],[_Level]]:Tasks[[#This Row],[_Level]]=Tasks[[#This Row],[_Level]]-1),ROW(Tasks[[#Headers],[_Level]]:Tasks[[#This Row],[_Level]])),0))</f>
        <v>15</v>
      </c>
      <c r="BL16" s="41" t="n">
        <f aca="false">IFERROR(N(INDEX(Tasks[_Level],Tasks[[#This Row],[_Row]]+1)),0)</f>
        <v>3</v>
      </c>
      <c r="BM16" s="99" t="b">
        <f aca="false">AND(Tasks[[#This Row],[Task Name]]&lt;&gt;"",Tasks[[#This Row],[_NextLevel]]&gt;Tasks[[#This Row],[_Level]])</f>
        <v>1</v>
      </c>
      <c r="BN16" s="41" t="n">
        <f aca="false">IF(Tasks[[#This Row],[_IsSummary]],COUNTIF(Tasks[WBS],Tasks[[#This Row],[WBS]]&amp;".*"),0)</f>
        <v>3</v>
      </c>
      <c r="BO16" s="41" t="n">
        <f aca="false">IF(AND(Tasks[[#This Row],[Task Name]]&lt;&gt;"",NOT(Tasks[[#This Row],[_IsSummary]])),1,0)</f>
        <v>0</v>
      </c>
      <c r="BP16" s="41" t="n">
        <f aca="false">IF(N(Tasks[[#This Row],[Pred1 UID]])=0,0,IFERROR(MATCH(Tasks[[#This Row],[Pred1 UID]],Tasks[UID],0),-1))</f>
        <v>0</v>
      </c>
      <c r="BQ16" s="41" t="n">
        <f aca="false">IF(N(Tasks[[#This Row],[Pred2 UID]])=0,0,IFERROR(MATCH(Tasks[[#This Row],[Pred2 UID]],Tasks[UID],0),-1))</f>
        <v>0</v>
      </c>
      <c r="BR16"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6" s="100" t="str">
        <f aca="false">IF(NOT(Tasks[[#This Row],[_IsLeaf]]=1),"",IF(N(Tasks[[#This Row],[Duration]])&lt;=0,Tasks[[#This Row],[_LeafCalcStart]],WORKDAY.INTL(Tasks[[#This Row],[_LeafCalcStart]],Tasks[[#This Row],[Duration]]-1,WorkWeek,Holidays)))</f>
        <v/>
      </c>
      <c r="BT16"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6"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6" s="41" t="n">
        <f aca="false">IF(NOT(Tasks[[#This Row],[_IsLeaf]]=1),0,IF(N(Tasks[[#This Row],[Actual Finish]])&gt;0,1,MIN(1,N(Tasks[[#This Row],[% Complete]]))))</f>
        <v>0</v>
      </c>
      <c r="BW16" s="41" t="n">
        <f aca="false">IF(OR(NOT(Tasks[[#This Row],[_IsLeaf]]=1),Tasks[[#This Row],[Resource]]=""),0,N(Tasks[[#This Row],[Duration]])*HoursPerDay*IF(Tasks[[#This Row],[Units]]="",DefaultUnits,Tasks[[#This Row],[Units]]))</f>
        <v>0</v>
      </c>
      <c r="BX16" s="41" t="n">
        <f aca="false">IF(Tasks[[#This Row],[_LeafWork]]=0,0,Tasks[[#This Row],[_LeafWork]]*IFERROR(INDEX(res_Rate,MATCH(Tasks[[#This Row],[Resource]],res_Name,0)),0))</f>
        <v>0</v>
      </c>
      <c r="BY1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6" s="41" t="n">
        <f aca="false">IF(NOT(Tasks[[#This Row],[_IsLeaf]]=1),0,MAX(_xlfn.MAXIFS(Tasks[_Row],Tasks[Pred1 UID],Tasks[[#This Row],[UID]]),_xlfn.MAXIFS(Tasks[_Row],Tasks[Pred2 UID],Tasks[[#This Row],[UID]])))</f>
        <v>0</v>
      </c>
      <c r="CD16"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6" s="100" t="str">
        <f aca="false">IF(NOT(Tasks[[#This Row],[_IsLeaf]]=1),"",MIN(ProjectFinish,IF(N(Tasks[[#This Row],[Deadline]])&gt;0,Tasks[[#This Row],[Deadline]],2958465),Tasks[[#This Row],[_SuccessorFinishLimit]]))</f>
        <v/>
      </c>
      <c r="CF16" s="100" t="str">
        <f aca="false">IF(NOT(Tasks[[#This Row],[_IsLeaf]]=1),"",IF(N(Tasks[[#This Row],[Duration]])&lt;=0,Tasks[[#This Row],[_LeafLateFinish]],WORKDAY.INTL(Tasks[[#This Row],[_LeafLateFinish]],-(Tasks[[#This Row],[Duration]]-1),WorkWeek,Holidays)))</f>
        <v/>
      </c>
      <c r="CG1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6" s="99" t="b">
        <f aca="false">AND(Tasks[[#This Row],[_IsLeaf]]=1,Tasks[[#This Row],[_LeafProgress]]&lt;1,N(Tasks[[#This Row],[_LeafTotalSlack]])&lt;=CriticalSlackDays)</f>
        <v>0</v>
      </c>
      <c r="CI16" s="100" t="n">
        <f aca="false">IF(Tasks[[#This Row],[Task Name]]="","",IF(Tasks[[#This Row],[_IsSummary]],MIN(INDEX(Tasks[_LeafCalcStart],Tasks[[#This Row],[_Row]]+1):INDEX(Tasks[_LeafCalcStart],Tasks[[#This Row],[_Row]]+Tasks[[#This Row],[_Descendants]])),Tasks[[#This Row],[_LeafCalcStart]]))</f>
        <v>46297</v>
      </c>
      <c r="CJ16" s="100" t="n">
        <f aca="false">IF(Tasks[[#This Row],[Task Name]]="","",IF(Tasks[[#This Row],[_IsSummary]],MAX(INDEX(Tasks[_LeafCalcFinish],Tasks[[#This Row],[_Row]]+1):INDEX(Tasks[_LeafCalcFinish],Tasks[[#This Row],[_Row]]+Tasks[[#This Row],[_Descendants]])),Tasks[[#This Row],[_LeafCalcFinish]]))</f>
        <v>46325</v>
      </c>
      <c r="CK1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6"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6"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6"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6"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6" s="41" t="n">
        <f aca="false">IF(AND(Tasks[[#This Row],[_IsLeaf]]=1,Tasks[[#This Row],[_LeafWork]]&gt;0),NETWORKDAYS.INTL(ProjectStart,Tasks[[#This Row],[_LeafFcstStart]],WorkWeek,Holidays),0)</f>
        <v>0</v>
      </c>
      <c r="CR16" s="41" t="n">
        <f aca="false">IF(AND(Tasks[[#This Row],[_IsLeaf]]=1,Tasks[[#This Row],[_LeafWork]]&gt;0),MAX(Tasks[[#This Row],[_StartWorkday]],NETWORKDAYS.INTL(ProjectStart,Tasks[[#This Row],[_LeafFcstFinish]],WorkWeek,Holidays)),0)</f>
        <v>0</v>
      </c>
      <c r="CS16" s="41" t="n">
        <f aca="false">IF(AND(Tasks[[#This Row],[_IsLeaf]]=1,Tasks[[#This Row],[_LeafWork]]&gt;0),Tasks[[#This Row],[_LeafWork]]/(Tasks[[#This Row],[_FinishWorkday]]-Tasks[[#This Row],[_StartWorkday]]+1),0)</f>
        <v>0</v>
      </c>
      <c r="CT16" s="41" t="n">
        <f aca="false">Tasks[[#This Row],[_WorkPerWorkday]]*(Tasks[[#This Row],[_StartWorkday]]-1)</f>
        <v>-0</v>
      </c>
      <c r="CU16" s="41" t="n">
        <f aca="false">IF(Tasks[[#This Row],[_IsLeaf]]=1,MAX(N(Tasks[[#This Row],[Duration]]),0.1),0)</f>
        <v>0</v>
      </c>
      <c r="CV16" s="41" t="n">
        <f aca="false">Tasks[[#This Row],[_WeightDur]]*Tasks[[#This Row],[_LeafProgress]]</f>
        <v>0</v>
      </c>
      <c r="CW1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6" s="41" t="str">
        <f aca="false">IF(Tasks[[#This Row],[Task Name]]="","",Tasks[[#This Row],[_Pred1UIDText]]&amp;IF(AND(Tasks[[#This Row],[_Pred1UIDText]]&lt;&gt;"",Tasks[[#This Row],[_Pred2UIDText]]&lt;&gt;""),",","")&amp;Tasks[[#This Row],[_Pred2UIDText]])</f>
        <v/>
      </c>
      <c r="DB16" s="41" t="str">
        <f aca="false">IF(AND(Tasks[[#This Row],[_IsLeaf]]=1,N(Tasks[[#This Row],[Duration]])=0,Tasks[[#This Row],[_LeafProgress]]&lt;1),Tasks[[#This Row],[_LeafFcstFinish]]+Tasks[[#This Row],[_Row]]/100000,"")</f>
        <v/>
      </c>
      <c r="DC1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6" s="41" t="n">
        <f aca="false">IF(NOT(Tasks[[#This Row],[_IsLeaf]]=1),0,IF(Tasks[[#This Row],[Baseline Cost]]="",Tasks[[#This Row],[_LeafCost]],N(Tasks[[#This Row],[Baseline Cost]])))</f>
        <v>0</v>
      </c>
      <c r="DE16" s="41" t="n">
        <f aca="false">Tasks[[#This Row],[_LeafBudget]]*Tasks[[#This Row],[_PlannedPct]]</f>
        <v>0</v>
      </c>
      <c r="DF16" s="41" t="n">
        <f aca="false">Tasks[[#This Row],[_LeafBudget]]*Tasks[[#This Row],[_LeafProgress]]</f>
        <v>0</v>
      </c>
      <c r="DG16" s="41" t="n">
        <f aca="false">IF(NOT(Tasks[[#This Row],[_IsLeaf]]=1),0,IF(Tasks[[#This Row],[Actual Cost]]="",Tasks[[#This Row],[_LeafCost]]*Tasks[[#This Row],[_LeafProgress]],N(Tasks[[#This Row],[Actual Cost]])))</f>
        <v>0</v>
      </c>
      <c r="DH16" s="41" t="str">
        <f aca="false">IF(Tasks[[#This Row],[Task Name]]="","",LEFT(Tasks[[#This Row],[WBS]],FIND(".",Tasks[[#This Row],[WBS]]&amp;".")-1))</f>
        <v>3</v>
      </c>
      <c r="DI16" s="41" t="str">
        <f aca="false">IF(AND(Tasks[[#This Row],[Task Name]]&lt;&gt;"",Tasks[[#This Row],[_Level]]=1),Tasks[[#This Row],[_Row]],"")</f>
        <v/>
      </c>
      <c r="DJ16" s="41" t="str">
        <f aca="false">IF(AND(Tasks[[#This Row],[_IsLeaf]]=1,N(Tasks[[#This Row],[Duration]])=0),Tasks[[#This Row],[Planned Finish]]+Tasks[[#This Row],[_Row]]/100000,"")</f>
        <v/>
      </c>
      <c r="DK16" s="41" t="str">
        <f aca="false">IF(AND(Tasks[[#This Row],[_IsLeaf]]=1,Tasks[[#This Row],[_LeafProgress]]&lt;1,OR(N(Tasks[[#This Row],[Finish Var]])&gt;0,Tasks[[#This Row],[Status]]="Late Start")),MAX(0,Tasks[[#This Row],[Finish Var]])+1-Tasks[[#This Row],[_Row]]/1000000,"")</f>
        <v/>
      </c>
      <c r="DL16" s="41" t="str">
        <f aca="false">IF(AND(Tasks[[#This Row],[_IsLeaf]]=1,N(Tasks[[#This Row],[Actual Start]])=0,Tasks[[#This Row],[_LeafFcstStart]]&gt;=StatusDate,Tasks[[#This Row],[_LeafFcstStart]]&lt;=LookaheadEnd),Tasks[[#This Row],[_LeafFcstStart]]+Tasks[[#This Row],[_Row]]/100000,"")</f>
        <v/>
      </c>
      <c r="DM16" s="41" t="str">
        <f aca="false">IF(AND(Tasks[[#This Row],[_IsLeaf]]=1,Tasks[[#This Row],[_LeafProgress]]&lt;1,Tasks[[#This Row],[_LeafFcstFinish]]&gt;=StatusDate,Tasks[[#This Row],[_LeafFcstFinish]]&lt;=LookaheadEnd),Tasks[[#This Row],[_LeafFcstFinish]]+Tasks[[#This Row],[_Row]]/100000,"")</f>
        <v/>
      </c>
      <c r="DN16" s="41" t="str">
        <f aca="false">IF(Tasks[[#This Row],[_LeafCritical]],Tasks[[#This Row],[_LeafFcstStart]]+Tasks[[#This Row],[_Row]]/100000,"")</f>
        <v/>
      </c>
      <c r="DO16" s="41" t="n">
        <f aca="false">Tasks[[#This Row],[_LeafWork]]*Tasks[[#This Row],[_LeafProgress]]</f>
        <v>0</v>
      </c>
      <c r="DP16" s="100" t="str">
        <f aca="false">IF(AND(Tasks[[#This Row],[_IsLeaf]]=1,Tasks[[#This Row],[_LeafProgress]]&gt;=1),IF(N(Tasks[[#This Row],[Actual Finish]])&gt;0,Tasks[[#This Row],[Actual Finish]],Tasks[[#This Row],[_LeafFcstFinish]]),"")</f>
        <v/>
      </c>
      <c r="DQ16" s="41" t="n">
        <f aca="false">IF(Tasks[[#This Row],[_IsLeaf]]=1,N(Tasks[[#This Row],[Story Points]]),0)</f>
        <v>0</v>
      </c>
      <c r="DR16" s="41" t="str">
        <f aca="false">IF(AND(Tasks[[#This Row],[_IsLeaf]]=1,CurrentSprint&lt;&gt;"",Tasks[[#This Row],[Sprint]]=CurrentSprint),Tasks[[#This Row],[_Row]],"")</f>
        <v/>
      </c>
    </row>
    <row r="17" customFormat="false" ht="15" hidden="false" customHeight="false" outlineLevel="0" collapsed="false">
      <c r="A17" s="28" t="n">
        <f aca="false">IF(Tasks[[#This Row],[Task Name]]="","",COUNTA(Tasks[[#Headers],[Task Name]]:Tasks[[#This Row],[Task Name]])-1)</f>
        <v>12</v>
      </c>
      <c r="B17" s="29" t="n">
        <v>12</v>
      </c>
      <c r="C1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3.1.1</v>
      </c>
      <c r="D17" s="29" t="n">
        <v>3</v>
      </c>
      <c r="E17" s="30" t="s">
        <v>603</v>
      </c>
      <c r="F17" s="29" t="s">
        <v>584</v>
      </c>
      <c r="G17" s="29" t="n">
        <v>5</v>
      </c>
      <c r="H17" s="29" t="n">
        <v>9</v>
      </c>
      <c r="I17" s="29" t="s">
        <v>589</v>
      </c>
      <c r="J17" s="29"/>
      <c r="K17" s="29"/>
      <c r="L17" s="29"/>
      <c r="M17" s="29"/>
      <c r="N17" s="73"/>
      <c r="O17" s="73"/>
      <c r="P17" s="25" t="n">
        <f aca="false">IF(Tasks[[#This Row],[Task Name]]="","",IF(N(Tasks[[#This Row],[Baseline Start]])&gt;0,Tasks[[#This Row],[Baseline Start]],Tasks[[#This Row],[_CalcStart]]))</f>
        <v>46297</v>
      </c>
      <c r="Q17" s="25" t="n">
        <f aca="false">IF(Tasks[[#This Row],[Task Name]]="","",IF(N(Tasks[[#This Row],[Baseline Finish]])&gt;0,Tasks[[#This Row],[Baseline Finish]],Tasks[[#This Row],[_CalcFinish]]))</f>
        <v>46303</v>
      </c>
      <c r="R17" s="73" t="n">
        <v>46302</v>
      </c>
      <c r="S17" s="73" t="n">
        <v>46309</v>
      </c>
      <c r="T17" s="25" t="n">
        <f aca="false">IF(Tasks[[#This Row],[Task Name]]="","",IF(Tasks[[#This Row],[_IsSummary]],MIN(INDEX(Tasks[_LeafFcstStart],Tasks[[#This Row],[_Row]]+1):INDEX(Tasks[_LeafFcstStart],Tasks[[#This Row],[_Row]]+Tasks[[#This Row],[_Descendants]])),Tasks[[#This Row],[_LeafFcstStart]]))</f>
        <v>46302</v>
      </c>
      <c r="U17" s="25" t="n">
        <f aca="false">IF(Tasks[[#This Row],[Task Name]]="","",IF(Tasks[[#This Row],[_IsSummary]],MAX(INDEX(Tasks[_LeafFcstFinish],Tasks[[#This Row],[_Row]]+1):INDEX(Tasks[_LeafFcstFinish],Tasks[[#This Row],[_Row]]+Tasks[[#This Row],[_Descendants]])),Tasks[[#This Row],[_LeafFcstFinish]]))</f>
        <v>46309</v>
      </c>
      <c r="V17" s="43" t="n">
        <f aca="false">IF(Tasks[[#This Row],[Task Name]]="","",IF(Tasks[[#This Row],[Forecast Start]]&gt;=Tasks[[#This Row],[Planned Start]],NETWORKDAYS.INTL(Tasks[[#This Row],[Planned Start]],Tasks[[#This Row],[Forecast Start]],WorkWeek,Holidays)-1,1-NETWORKDAYS.INTL(Tasks[[#This Row],[Forecast Start]],Tasks[[#This Row],[Planned Start]],WorkWeek,Holidays)))</f>
        <v>3</v>
      </c>
      <c r="W17" s="43" t="n">
        <f aca="false">IF(Tasks[[#This Row],[Task Name]]="","",IF(Tasks[[#This Row],[Forecast Finish]]&gt;=Tasks[[#This Row],[Planned Finish]],NETWORKDAYS.INTL(Tasks[[#This Row],[Planned Finish]],Tasks[[#This Row],[Forecast Finish]],WorkWeek,Holidays)-1,1-NETWORKDAYS.INTL(Tasks[[#This Row],[Forecast Finish]],Tasks[[#This Row],[Planned Finish]],WorkWeek,Holidays)))</f>
        <v>4</v>
      </c>
      <c r="X17" s="25" t="n">
        <f aca="false">IF(Tasks[[#This Row],[Task Name]]="","",IF(Tasks[[#This Row],[_IsSummary]],MIN(INDEX(Tasks[_LeafLateStart],Tasks[[#This Row],[_Row]]+1):INDEX(Tasks[_LeafLateStart],Tasks[[#This Row],[_Row]]+Tasks[[#This Row],[_Descendants]])),Tasks[[#This Row],[_LeafLateStart]]))</f>
        <v>46304</v>
      </c>
      <c r="Y17" s="25" t="n">
        <f aca="false">IF(Tasks[[#This Row],[Task Name]]="","",IF(Tasks[[#This Row],[_IsSummary]],MAX(INDEX(Tasks[_LeafLateFinish],Tasks[[#This Row],[_Row]]+1):INDEX(Tasks[_LeafLateFinish],Tasks[[#This Row],[_Row]]+Tasks[[#This Row],[_Descendants]])),Tasks[[#This Row],[_LeafLateFinish]]))</f>
        <v>46310</v>
      </c>
      <c r="Z17" s="43" t="n">
        <f aca="false">IF(Tasks[[#This Row],[Task Name]]="","",IF(Tasks[[#This Row],[_IsSummary]],MIN(INDEX(Tasks[_LeafTotalSlack],Tasks[[#This Row],[_Row]]+1):INDEX(Tasks[_LeafTotalSlack],Tasks[[#This Row],[_Row]]+Tasks[[#This Row],[_Descendants]])),Tasks[[#This Row],[_LeafTotalSlack]]))</f>
        <v>1</v>
      </c>
      <c r="AA17"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17" s="28" t="str">
        <f aca="false">IF(Tasks[[#This Row],[Task Name]]="","",IF(IF(Tasks[[#This Row],[_IsSummary]],COUNTIF(INDEX(Tasks[_LeafCritical],Tasks[[#This Row],[_Row]]+1):INDEX(Tasks[_LeafCritical],Tasks[[#This Row],[_Row]]+Tasks[[#This Row],[_Descendants]]),TRUE())&gt;0,Tasks[[#This Row],[_LeafCritical]]),"Yes",""))</f>
        <v/>
      </c>
      <c r="AC1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 s="24" t="str">
        <f aca="false">IF(Tasks[[#This Row],[Task Name]]="","",TRIM(IF(Tasks[[#This Row],[_Pred1Problem]]&lt;&gt;"","Pred 1: "&amp;Tasks[[#This Row],[_Pred1Problem]]&amp;". ","")&amp;IF(Tasks[[#This Row],[_Pred2Problem]]&lt;&gt;"","Pred 2: "&amp;Tasks[[#This Row],[_Pred2Problem]]&amp;".","")))</f>
        <v/>
      </c>
      <c r="AE17" s="88" t="n">
        <v>1</v>
      </c>
      <c r="AF17"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G17" s="28" t="str">
        <f aca="false">IF(Tasks[[#This Row],[Task Name]]="","",IF(Tasks[[#This Row],[Progress]]&gt;=1,"Complete",IF(OR(N(Tasks[[#This Row],[Actual Start]])&gt;0,Tasks[[#This Row],[Progress]]&gt;0),IF(Tasks[[#This Row],[Finish Var]]&gt;0,"Behind","In Progress"),IF(Tasks[[#This Row],[Planned Start]]&lt;StatusDate,"Late Start","Not Started"))))</f>
        <v>Complete</v>
      </c>
      <c r="AH17" s="30" t="s">
        <v>276</v>
      </c>
      <c r="AI17" s="88"/>
      <c r="AJ17" s="95" t="n">
        <f aca="false">IF(Tasks[[#This Row],[Task Name]]="","",IF(Tasks[[#This Row],[_IsSummary]],SUM(INDEX(Tasks[_LeafWork],Tasks[[#This Row],[_Row]]+1):INDEX(Tasks[_LeafWork],Tasks[[#This Row],[_Row]]+Tasks[[#This Row],[_Descendants]])),Tasks[[#This Row],[_LeafWork]]))</f>
        <v>40</v>
      </c>
      <c r="AK17" s="96" t="n">
        <f aca="false">IF(Tasks[[#This Row],[Task Name]]="","",IF(Tasks[[#This Row],[_IsSummary]],SUM(INDEX(Tasks[_LeafCost],Tasks[[#This Row],[_Row]]+1):INDEX(Tasks[_LeafCost],Tasks[[#This Row],[_Row]]+Tasks[[#This Row],[_Descendants]])),Tasks[[#This Row],[_LeafCost]]))</f>
        <v>3400</v>
      </c>
      <c r="AL17" s="97"/>
      <c r="AM17" s="29"/>
      <c r="AN1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3</v>
      </c>
      <c r="AO17" s="82" t="n">
        <v>5</v>
      </c>
      <c r="AP17" s="24" t="str">
        <f aca="false">IF(Tasks[[#This Row],[Task Name]]="","",Tasks[[#This Row],[_Pred1IDText]]&amp;IF(AND(Tasks[[#This Row],[_Pred1IDText]]&lt;&gt;"",Tasks[[#This Row],[_Pred2IDText]]&lt;&gt;""),",","")&amp;Tasks[[#This Row],[_Pred2IDText]])</f>
        <v>9</v>
      </c>
      <c r="AQ17" s="30"/>
      <c r="AR17" s="25" t="n">
        <f aca="false">IF(Tasks[[#This Row],[Task Name]]="","",Tasks[[#This Row],[Forecast Start]])</f>
        <v>46302</v>
      </c>
      <c r="AS17" s="25" t="n">
        <f aca="false">IF(Tasks[[#This Row],[Task Name]]="","",Tasks[[#This Row],[Forecast Finish]])</f>
        <v>46309</v>
      </c>
      <c r="AT17" s="28" t="n">
        <f aca="false">IF(Tasks[[#This Row],[Task Name]]="","",IF(Tasks[[#This Row],[_IsSummary]],NETWORKDAYS.INTL(Tasks[[#This Row],[Forecast Start]],Tasks[[#This Row],[Forecast Finish]],WorkWeek,Holidays),N(Tasks[[#This Row],[Duration]])))</f>
        <v>5</v>
      </c>
      <c r="AU17" s="95" t="n">
        <f aca="false">IF(Tasks[[#This Row],[Task Name]]="","",Tasks[[#This Row],[Work]])</f>
        <v>40</v>
      </c>
      <c r="AV17" s="96" t="n">
        <f aca="false">IF(Tasks[[#This Row],[Task Name]]="","",Tasks[[#This Row],[Cost]])</f>
        <v>3400</v>
      </c>
      <c r="AW17" s="73"/>
      <c r="AX17" s="73"/>
      <c r="AY17" s="29"/>
      <c r="AZ17" s="98"/>
      <c r="BA17" s="97"/>
      <c r="BB17" s="28" t="str">
        <f aca="false">IF(OR(Tasks[[#This Row],[Task Name]]="",Tasks[[#This Row],[Baseline Duration]]=""),"",Tasks[[#This Row],[BL Source Duration]]-N(Tasks[[#This Row],[Baseline Duration]]))</f>
        <v/>
      </c>
      <c r="BC17" s="95" t="str">
        <f aca="false">IF(OR(Tasks[[#This Row],[Task Name]]="",Tasks[[#This Row],[Baseline Work]]=""),"",Tasks[[#This Row],[Work]]-N(Tasks[[#This Row],[Baseline Work]]))</f>
        <v/>
      </c>
      <c r="BD17" s="96" t="str">
        <f aca="false">IF(OR(Tasks[[#This Row],[Task Name]]="",Tasks[[#This Row],[Baseline Cost]]=""),"",Tasks[[#This Row],[Cost]]-N(Tasks[[#This Row],[Baseline Cost]]))</f>
        <v/>
      </c>
      <c r="BE17" s="96" t="n">
        <f aca="false">IF(Tasks[[#This Row],[Task Name]]="","",IF(Tasks[[#This Row],[_IsSummary]],SUM(INDEX(Tasks[_LeafBudget],Tasks[[#This Row],[_Row]]+1):INDEX(Tasks[_LeafBudget],Tasks[[#This Row],[_Row]]+Tasks[[#This Row],[_Descendants]])),Tasks[[#This Row],[_LeafBudget]]))</f>
        <v>3400</v>
      </c>
      <c r="BF17" s="96" t="n">
        <f aca="false">IF(Tasks[[#This Row],[Task Name]]="","",IF(Tasks[[#This Row],[_IsSummary]],SUM(INDEX(Tasks[_LeafPV],Tasks[[#This Row],[_Row]]+1):INDEX(Tasks[_LeafPV],Tasks[[#This Row],[_Row]]+Tasks[[#This Row],[_Descendants]])),Tasks[[#This Row],[_LeafPV]]))</f>
        <v>3400</v>
      </c>
      <c r="BG17" s="96" t="n">
        <f aca="false">IF(Tasks[[#This Row],[Task Name]]="","",IF(Tasks[[#This Row],[_IsSummary]],SUM(INDEX(Tasks[_LeafEV],Tasks[[#This Row],[_Row]]+1):INDEX(Tasks[_LeafEV],Tasks[[#This Row],[_Row]]+Tasks[[#This Row],[_Descendants]])),Tasks[[#This Row],[_LeafEV]]))</f>
        <v>3400</v>
      </c>
      <c r="BH17" s="96" t="n">
        <f aca="false">IF(Tasks[[#This Row],[Task Name]]="","",IF(Tasks[[#This Row],[_IsSummary]],SUM(INDEX(Tasks[_LeafAC],Tasks[[#This Row],[_Row]]+1):INDEX(Tasks[_LeafAC],Tasks[[#This Row],[_Row]]+Tasks[[#This Row],[_Descendants]])),Tasks[[#This Row],[_LeafAC]]))</f>
        <v>3400</v>
      </c>
      <c r="BI17" s="41" t="n">
        <f aca="false">IF(Tasks[[#This Row],[Task Name]]="","",MAX(1,N(Tasks[[#This Row],[Level]])))</f>
        <v>3</v>
      </c>
      <c r="BJ17" s="41" t="n">
        <f aca="false">ROW()-ROW(Tasks[[#Headers],[ID]])</f>
        <v>12</v>
      </c>
      <c r="BK17" s="41" t="n">
        <f aca="false">IF(OR(Tasks[[#This Row],[Task Name]]="",Tasks[[#This Row],[_Level]]&lt;=1),0,IFERROR(LOOKUP(2,1/(Tasks[[#Headers],[_Level]]:Tasks[[#This Row],[_Level]]=Tasks[[#This Row],[_Level]]-1),ROW(Tasks[[#Headers],[_Level]]:Tasks[[#This Row],[_Level]])),0))</f>
        <v>16</v>
      </c>
      <c r="BL17" s="41" t="n">
        <f aca="false">IFERROR(N(INDEX(Tasks[_Level],Tasks[[#This Row],[_Row]]+1)),0)</f>
        <v>3</v>
      </c>
      <c r="BM17" s="99" t="b">
        <f aca="false">AND(Tasks[[#This Row],[Task Name]]&lt;&gt;"",Tasks[[#This Row],[_NextLevel]]&gt;Tasks[[#This Row],[_Level]])</f>
        <v>0</v>
      </c>
      <c r="BN17" s="41" t="n">
        <f aca="false">IF(Tasks[[#This Row],[_IsSummary]],COUNTIF(Tasks[WBS],Tasks[[#This Row],[WBS]]&amp;".*"),0)</f>
        <v>0</v>
      </c>
      <c r="BO17" s="41" t="n">
        <f aca="false">IF(AND(Tasks[[#This Row],[Task Name]]&lt;&gt;"",NOT(Tasks[[#This Row],[_IsSummary]])),1,0)</f>
        <v>1</v>
      </c>
      <c r="BP17" s="41" t="n">
        <f aca="false">IF(N(Tasks[[#This Row],[Pred1 UID]])=0,0,IFERROR(MATCH(Tasks[[#This Row],[Pred1 UID]],Tasks[UID],0),-1))</f>
        <v>9</v>
      </c>
      <c r="BQ17" s="41" t="n">
        <f aca="false">IF(N(Tasks[[#This Row],[Pred2 UID]])=0,0,IFERROR(MATCH(Tasks[[#This Row],[Pred2 UID]],Tasks[UID],0),-1))</f>
        <v>0</v>
      </c>
      <c r="BR17" s="100"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46297</v>
      </c>
      <c r="BS17" s="100" t="n">
        <f aca="false">IF(NOT(Tasks[[#This Row],[_IsLeaf]]=1),"",IF(N(Tasks[[#This Row],[Duration]])&lt;=0,Tasks[[#This Row],[_LeafCalcStart]],WORKDAY.INTL(Tasks[[#This Row],[_LeafCalcStart]],Tasks[[#This Row],[Duration]]-1,WorkWeek,Holidays)))</f>
        <v>46303</v>
      </c>
      <c r="BT17" s="100"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46302</v>
      </c>
      <c r="BU17" s="100"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46309</v>
      </c>
      <c r="BV17" s="41" t="n">
        <f aca="false">IF(NOT(Tasks[[#This Row],[_IsLeaf]]=1),0,IF(N(Tasks[[#This Row],[Actual Finish]])&gt;0,1,MIN(1,N(Tasks[[#This Row],[% Complete]]))))</f>
        <v>1</v>
      </c>
      <c r="BW17" s="41" t="n">
        <f aca="false">IF(OR(NOT(Tasks[[#This Row],[_IsLeaf]]=1),Tasks[[#This Row],[Resource]]=""),0,N(Tasks[[#This Row],[Duration]])*HoursPerDay*IF(Tasks[[#This Row],[Units]]="",DefaultUnits,Tasks[[#This Row],[Units]]))</f>
        <v>40</v>
      </c>
      <c r="BX17" s="41" t="n">
        <f aca="false">IF(Tasks[[#This Row],[_LeafWork]]=0,0,Tasks[[#This Row],[_LeafWork]]*IFERROR(INDEX(res_Rate,MATCH(Tasks[[#This Row],[Resource]],res_Name,0)),0))</f>
        <v>3400</v>
      </c>
      <c r="BY17" s="101"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2912162</v>
      </c>
      <c r="BZ1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7"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B1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7" s="41" t="n">
        <f aca="false">IF(NOT(Tasks[[#This Row],[_IsLeaf]]=1),0,MAX(_xlfn.MAXIFS(Tasks[_Row],Tasks[Pred1 UID],Tasks[[#This Row],[UID]]),_xlfn.MAXIFS(Tasks[_Row],Tasks[Pred2 UID],Tasks[[#This Row],[UID]])))</f>
        <v>13</v>
      </c>
      <c r="CD17" s="100"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46310</v>
      </c>
      <c r="CE17" s="100" t="n">
        <f aca="false">IF(NOT(Tasks[[#This Row],[_IsLeaf]]=1),"",MIN(ProjectFinish,IF(N(Tasks[[#This Row],[Deadline]])&gt;0,Tasks[[#This Row],[Deadline]],2958465),Tasks[[#This Row],[_SuccessorFinishLimit]]))</f>
        <v>46310</v>
      </c>
      <c r="CF17" s="100" t="n">
        <f aca="false">IF(NOT(Tasks[[#This Row],[_IsLeaf]]=1),"",IF(N(Tasks[[#This Row],[Duration]])&lt;=0,Tasks[[#This Row],[_LeafLateFinish]],WORKDAY.INTL(Tasks[[#This Row],[_LeafLateFinish]],-(Tasks[[#This Row],[Duration]]-1),WorkWeek,Holidays)))</f>
        <v>46304</v>
      </c>
      <c r="CG17"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CH17" s="99" t="b">
        <f aca="false">AND(Tasks[[#This Row],[_IsLeaf]]=1,Tasks[[#This Row],[_LeafProgress]]&lt;1,N(Tasks[[#This Row],[_LeafTotalSlack]])&lt;=CriticalSlackDays)</f>
        <v>0</v>
      </c>
      <c r="CI17" s="100" t="n">
        <f aca="false">IF(Tasks[[#This Row],[Task Name]]="","",IF(Tasks[[#This Row],[_IsSummary]],MIN(INDEX(Tasks[_LeafCalcStart],Tasks[[#This Row],[_Row]]+1):INDEX(Tasks[_LeafCalcStart],Tasks[[#This Row],[_Row]]+Tasks[[#This Row],[_Descendants]])),Tasks[[#This Row],[_LeafCalcStart]]))</f>
        <v>46297</v>
      </c>
      <c r="CJ17" s="100" t="n">
        <f aca="false">IF(Tasks[[#This Row],[Task Name]]="","",IF(Tasks[[#This Row],[_IsSummary]],MAX(INDEX(Tasks[_LeafCalcFinish],Tasks[[#This Row],[_Row]]+1):INDEX(Tasks[_LeafCalcFinish],Tasks[[#This Row],[_Row]]+Tasks[[#This Row],[_Descendants]])),Tasks[[#This Row],[_LeafCalcFinish]]))</f>
        <v>46303</v>
      </c>
      <c r="CK1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7"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46297</v>
      </c>
      <c r="CN17"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7"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46302</v>
      </c>
      <c r="CP17"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7" s="41" t="n">
        <f aca="false">IF(AND(Tasks[[#This Row],[_IsLeaf]]=1,Tasks[[#This Row],[_LeafWork]]&gt;0),NETWORKDAYS.INTL(ProjectStart,Tasks[[#This Row],[_LeafFcstStart]],WorkWeek,Holidays),0)</f>
        <v>23</v>
      </c>
      <c r="CR17" s="41" t="n">
        <f aca="false">IF(AND(Tasks[[#This Row],[_IsLeaf]]=1,Tasks[[#This Row],[_LeafWork]]&gt;0),MAX(Tasks[[#This Row],[_StartWorkday]],NETWORKDAYS.INTL(ProjectStart,Tasks[[#This Row],[_LeafFcstFinish]],WorkWeek,Holidays)),0)</f>
        <v>28</v>
      </c>
      <c r="CS17" s="41" t="n">
        <f aca="false">IF(AND(Tasks[[#This Row],[_IsLeaf]]=1,Tasks[[#This Row],[_LeafWork]]&gt;0),Tasks[[#This Row],[_LeafWork]]/(Tasks[[#This Row],[_FinishWorkday]]-Tasks[[#This Row],[_StartWorkday]]+1),0)</f>
        <v>6.66666666666667</v>
      </c>
      <c r="CT17" s="41" t="n">
        <f aca="false">Tasks[[#This Row],[_WorkPerWorkday]]*(Tasks[[#This Row],[_StartWorkday]]-1)</f>
        <v>146.666666666667</v>
      </c>
      <c r="CU17" s="41" t="n">
        <f aca="false">IF(Tasks[[#This Row],[_IsLeaf]]=1,MAX(N(Tasks[[#This Row],[Duration]]),0.1),0)</f>
        <v>5</v>
      </c>
      <c r="CV17" s="41" t="n">
        <f aca="false">Tasks[[#This Row],[_WeightDur]]*Tasks[[#This Row],[_LeafProgress]]</f>
        <v>5</v>
      </c>
      <c r="CW1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9</v>
      </c>
      <c r="CX1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9</v>
      </c>
      <c r="CZ1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7" s="41" t="str">
        <f aca="false">IF(Tasks[[#This Row],[Task Name]]="","",Tasks[[#This Row],[_Pred1UIDText]]&amp;IF(AND(Tasks[[#This Row],[_Pred1UIDText]]&lt;&gt;"",Tasks[[#This Row],[_Pred2UIDText]]&lt;&gt;""),",","")&amp;Tasks[[#This Row],[_Pred2UIDText]])</f>
        <v>9</v>
      </c>
      <c r="DB17" s="41" t="str">
        <f aca="false">IF(AND(Tasks[[#This Row],[_IsLeaf]]=1,N(Tasks[[#This Row],[Duration]])=0,Tasks[[#This Row],[_LeafProgress]]&lt;1),Tasks[[#This Row],[_LeafFcstFinish]]+Tasks[[#This Row],[_Row]]/100000,"")</f>
        <v/>
      </c>
      <c r="DC1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DD17" s="41" t="n">
        <f aca="false">IF(NOT(Tasks[[#This Row],[_IsLeaf]]=1),0,IF(Tasks[[#This Row],[Baseline Cost]]="",Tasks[[#This Row],[_LeafCost]],N(Tasks[[#This Row],[Baseline Cost]])))</f>
        <v>3400</v>
      </c>
      <c r="DE17" s="41" t="n">
        <f aca="false">Tasks[[#This Row],[_LeafBudget]]*Tasks[[#This Row],[_PlannedPct]]</f>
        <v>3400</v>
      </c>
      <c r="DF17" s="41" t="n">
        <f aca="false">Tasks[[#This Row],[_LeafBudget]]*Tasks[[#This Row],[_LeafProgress]]</f>
        <v>3400</v>
      </c>
      <c r="DG17" s="41" t="n">
        <f aca="false">IF(NOT(Tasks[[#This Row],[_IsLeaf]]=1),0,IF(Tasks[[#This Row],[Actual Cost]]="",Tasks[[#This Row],[_LeafCost]]*Tasks[[#This Row],[_LeafProgress]],N(Tasks[[#This Row],[Actual Cost]])))</f>
        <v>3400</v>
      </c>
      <c r="DH17" s="41" t="str">
        <f aca="false">IF(Tasks[[#This Row],[Task Name]]="","",LEFT(Tasks[[#This Row],[WBS]],FIND(".",Tasks[[#This Row],[WBS]]&amp;".")-1))</f>
        <v>3</v>
      </c>
      <c r="DI17" s="41" t="str">
        <f aca="false">IF(AND(Tasks[[#This Row],[Task Name]]&lt;&gt;"",Tasks[[#This Row],[_Level]]=1),Tasks[[#This Row],[_Row]],"")</f>
        <v/>
      </c>
      <c r="DJ17" s="41" t="str">
        <f aca="false">IF(AND(Tasks[[#This Row],[_IsLeaf]]=1,N(Tasks[[#This Row],[Duration]])=0),Tasks[[#This Row],[Planned Finish]]+Tasks[[#This Row],[_Row]]/100000,"")</f>
        <v/>
      </c>
      <c r="DK17" s="41" t="str">
        <f aca="false">IF(AND(Tasks[[#This Row],[_IsLeaf]]=1,Tasks[[#This Row],[_LeafProgress]]&lt;1,OR(N(Tasks[[#This Row],[Finish Var]])&gt;0,Tasks[[#This Row],[Status]]="Late Start")),MAX(0,Tasks[[#This Row],[Finish Var]])+1-Tasks[[#This Row],[_Row]]/1000000,"")</f>
        <v/>
      </c>
      <c r="DL17" s="41" t="str">
        <f aca="false">IF(AND(Tasks[[#This Row],[_IsLeaf]]=1,N(Tasks[[#This Row],[Actual Start]])=0,Tasks[[#This Row],[_LeafFcstStart]]&gt;=StatusDate,Tasks[[#This Row],[_LeafFcstStart]]&lt;=LookaheadEnd),Tasks[[#This Row],[_LeafFcstStart]]+Tasks[[#This Row],[_Row]]/100000,"")</f>
        <v/>
      </c>
      <c r="DM17" s="41" t="str">
        <f aca="false">IF(AND(Tasks[[#This Row],[_IsLeaf]]=1,Tasks[[#This Row],[_LeafProgress]]&lt;1,Tasks[[#This Row],[_LeafFcstFinish]]&gt;=StatusDate,Tasks[[#This Row],[_LeafFcstFinish]]&lt;=LookaheadEnd),Tasks[[#This Row],[_LeafFcstFinish]]+Tasks[[#This Row],[_Row]]/100000,"")</f>
        <v/>
      </c>
      <c r="DN17" s="41" t="str">
        <f aca="false">IF(Tasks[[#This Row],[_LeafCritical]],Tasks[[#This Row],[_LeafFcstStart]]+Tasks[[#This Row],[_Row]]/100000,"")</f>
        <v/>
      </c>
      <c r="DO17" s="41" t="n">
        <f aca="false">Tasks[[#This Row],[_LeafWork]]*Tasks[[#This Row],[_LeafProgress]]</f>
        <v>40</v>
      </c>
      <c r="DP17" s="100" t="n">
        <f aca="false">IF(AND(Tasks[[#This Row],[_IsLeaf]]=1,Tasks[[#This Row],[_LeafProgress]]&gt;=1),IF(N(Tasks[[#This Row],[Actual Finish]])&gt;0,Tasks[[#This Row],[Actual Finish]],Tasks[[#This Row],[_LeafFcstFinish]]),"")</f>
        <v>46309</v>
      </c>
      <c r="DQ17" s="41" t="n">
        <f aca="false">IF(Tasks[[#This Row],[_IsLeaf]]=1,N(Tasks[[#This Row],[Story Points]]),0)</f>
        <v>5</v>
      </c>
      <c r="DR17" s="41" t="str">
        <f aca="false">IF(AND(Tasks[[#This Row],[_IsLeaf]]=1,CurrentSprint&lt;&gt;"",Tasks[[#This Row],[Sprint]]=CurrentSprint),Tasks[[#This Row],[_Row]],"")</f>
        <v/>
      </c>
    </row>
    <row r="18" customFormat="false" ht="15" hidden="false" customHeight="false" outlineLevel="0" collapsed="false">
      <c r="A18" s="28" t="n">
        <f aca="false">IF(Tasks[[#This Row],[Task Name]]="","",COUNTA(Tasks[[#Headers],[Task Name]]:Tasks[[#This Row],[Task Name]])-1)</f>
        <v>13</v>
      </c>
      <c r="B18" s="29" t="n">
        <v>13</v>
      </c>
      <c r="C1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3.1.2</v>
      </c>
      <c r="D18" s="29" t="n">
        <v>3</v>
      </c>
      <c r="E18" s="30" t="s">
        <v>604</v>
      </c>
      <c r="F18" s="29" t="s">
        <v>584</v>
      </c>
      <c r="G18" s="29" t="n">
        <v>10</v>
      </c>
      <c r="H18" s="29" t="n">
        <v>12</v>
      </c>
      <c r="I18" s="29" t="s">
        <v>589</v>
      </c>
      <c r="J18" s="29"/>
      <c r="K18" s="29"/>
      <c r="L18" s="29"/>
      <c r="M18" s="29"/>
      <c r="N18" s="73"/>
      <c r="O18" s="73"/>
      <c r="P18" s="25" t="n">
        <f aca="false">IF(Tasks[[#This Row],[Task Name]]="","",IF(N(Tasks[[#This Row],[Baseline Start]])&gt;0,Tasks[[#This Row],[Baseline Start]],Tasks[[#This Row],[_CalcStart]]))</f>
        <v>46304</v>
      </c>
      <c r="Q18" s="25" t="n">
        <f aca="false">IF(Tasks[[#This Row],[Task Name]]="","",IF(N(Tasks[[#This Row],[Baseline Finish]])&gt;0,Tasks[[#This Row],[Baseline Finish]],Tasks[[#This Row],[_CalcFinish]]))</f>
        <v>46317</v>
      </c>
      <c r="R18" s="73" t="n">
        <v>46310</v>
      </c>
      <c r="S18" s="73"/>
      <c r="T18" s="25" t="n">
        <f aca="false">IF(Tasks[[#This Row],[Task Name]]="","",IF(Tasks[[#This Row],[_IsSummary]],MIN(INDEX(Tasks[_LeafFcstStart],Tasks[[#This Row],[_Row]]+1):INDEX(Tasks[_LeafFcstStart],Tasks[[#This Row],[_Row]]+Tasks[[#This Row],[_Descendants]])),Tasks[[#This Row],[_LeafFcstStart]]))</f>
        <v>46310</v>
      </c>
      <c r="U18" s="25" t="n">
        <f aca="false">IF(Tasks[[#This Row],[Task Name]]="","",IF(Tasks[[#This Row],[_IsSummary]],MAX(INDEX(Tasks[_LeafFcstFinish],Tasks[[#This Row],[_Row]]+1):INDEX(Tasks[_LeafFcstFinish],Tasks[[#This Row],[_Row]]+Tasks[[#This Row],[_Descendants]])),Tasks[[#This Row],[_LeafFcstFinish]]))</f>
        <v>46325</v>
      </c>
      <c r="V18" s="43" t="n">
        <f aca="false">IF(Tasks[[#This Row],[Task Name]]="","",IF(Tasks[[#This Row],[Forecast Start]]&gt;=Tasks[[#This Row],[Planned Start]],NETWORKDAYS.INTL(Tasks[[#This Row],[Planned Start]],Tasks[[#This Row],[Forecast Start]],WorkWeek,Holidays)-1,1-NETWORKDAYS.INTL(Tasks[[#This Row],[Forecast Start]],Tasks[[#This Row],[Planned Start]],WorkWeek,Holidays)))</f>
        <v>4</v>
      </c>
      <c r="W18"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X18" s="25" t="n">
        <f aca="false">IF(Tasks[[#This Row],[Task Name]]="","",IF(Tasks[[#This Row],[_IsSummary]],MIN(INDEX(Tasks[_LeafLateStart],Tasks[[#This Row],[_Row]]+1):INDEX(Tasks[_LeafLateStart],Tasks[[#This Row],[_Row]]+Tasks[[#This Row],[_Descendants]])),Tasks[[#This Row],[_LeafLateStart]]))</f>
        <v>46311</v>
      </c>
      <c r="Y18" s="25" t="n">
        <f aca="false">IF(Tasks[[#This Row],[Task Name]]="","",IF(Tasks[[#This Row],[_IsSummary]],MAX(INDEX(Tasks[_LeafLateFinish],Tasks[[#This Row],[_Row]]+1):INDEX(Tasks[_LeafLateFinish],Tasks[[#This Row],[_Row]]+Tasks[[#This Row],[_Descendants]])),Tasks[[#This Row],[_LeafLateFinish]]))</f>
        <v>46324</v>
      </c>
      <c r="Z18" s="43" t="n">
        <f aca="false">IF(Tasks[[#This Row],[Task Name]]="","",IF(Tasks[[#This Row],[_IsSummary]],MIN(INDEX(Tasks[_LeafTotalSlack],Tasks[[#This Row],[_Row]]+1):INDEX(Tasks[_LeafTotalSlack],Tasks[[#This Row],[_Row]]+Tasks[[#This Row],[_Descendants]])),Tasks[[#This Row],[_LeafTotalSlack]]))</f>
        <v>-1</v>
      </c>
      <c r="AA18"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-1</v>
      </c>
      <c r="AB18" s="28" t="str">
        <f aca="false">IF(Tasks[[#This Row],[Task Name]]="","",IF(IF(Tasks[[#This Row],[_IsSummary]],COUNTIF(INDEX(Tasks[_LeafCritical],Tasks[[#This Row],[_Row]]+1):INDEX(Tasks[_LeafCritical],Tasks[[#This Row],[_Row]]+Tasks[[#This Row],[_Descendants]]),TRUE())&gt;0,Tasks[[#This Row],[_LeafCritical]]),"Yes",""))</f>
        <v>Yes</v>
      </c>
      <c r="AC1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 s="24" t="str">
        <f aca="false">IF(Tasks[[#This Row],[Task Name]]="","",TRIM(IF(Tasks[[#This Row],[_Pred1Problem]]&lt;&gt;"","Pred 1: "&amp;Tasks[[#This Row],[_Pred1Problem]]&amp;". ","")&amp;IF(Tasks[[#This Row],[_Pred2Problem]]&lt;&gt;"","Pred 2: "&amp;Tasks[[#This Row],[_Pred2Problem]]&amp;".","")))</f>
        <v/>
      </c>
      <c r="AE18" s="88" t="n">
        <v>0.5</v>
      </c>
      <c r="AF18"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0.5</v>
      </c>
      <c r="AG18" s="28" t="str">
        <f aca="false">IF(Tasks[[#This Row],[Task Name]]="","",IF(Tasks[[#This Row],[Progress]]&gt;=1,"Complete",IF(OR(N(Tasks[[#This Row],[Actual Start]])&gt;0,Tasks[[#This Row],[Progress]]&gt;0),IF(Tasks[[#This Row],[Finish Var]]&gt;0,"Behind","In Progress"),IF(Tasks[[#This Row],[Planned Start]]&lt;StatusDate,"Late Start","Not Started"))))</f>
        <v>Behind</v>
      </c>
      <c r="AH18" s="30" t="s">
        <v>276</v>
      </c>
      <c r="AI18" s="88"/>
      <c r="AJ18" s="95" t="n">
        <f aca="false">IF(Tasks[[#This Row],[Task Name]]="","",IF(Tasks[[#This Row],[_IsSummary]],SUM(INDEX(Tasks[_LeafWork],Tasks[[#This Row],[_Row]]+1):INDEX(Tasks[_LeafWork],Tasks[[#This Row],[_Row]]+Tasks[[#This Row],[_Descendants]])),Tasks[[#This Row],[_LeafWork]]))</f>
        <v>80</v>
      </c>
      <c r="AK18" s="96" t="n">
        <f aca="false">IF(Tasks[[#This Row],[Task Name]]="","",IF(Tasks[[#This Row],[_IsSummary]],SUM(INDEX(Tasks[_LeafCost],Tasks[[#This Row],[_Row]]+1):INDEX(Tasks[_LeafCost],Tasks[[#This Row],[_Row]]+Tasks[[#This Row],[_Descendants]])),Tasks[[#This Row],[_LeafCost]]))</f>
        <v>6800</v>
      </c>
      <c r="AL18" s="97" t="n">
        <v>4080</v>
      </c>
      <c r="AM18" s="29"/>
      <c r="AN1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3</v>
      </c>
      <c r="AO18" s="82" t="n">
        <v>8</v>
      </c>
      <c r="AP18" s="24" t="str">
        <f aca="false">IF(Tasks[[#This Row],[Task Name]]="","",Tasks[[#This Row],[_Pred1IDText]]&amp;IF(AND(Tasks[[#This Row],[_Pred1IDText]]&lt;&gt;"",Tasks[[#This Row],[_Pred2IDText]]&lt;&gt;""),",","")&amp;Tasks[[#This Row],[_Pred2IDText]])</f>
        <v>12</v>
      </c>
      <c r="AQ18" s="30" t="s">
        <v>605</v>
      </c>
      <c r="AR18" s="25" t="n">
        <f aca="false">IF(Tasks[[#This Row],[Task Name]]="","",Tasks[[#This Row],[Forecast Start]])</f>
        <v>46310</v>
      </c>
      <c r="AS18" s="25" t="n">
        <f aca="false">IF(Tasks[[#This Row],[Task Name]]="","",Tasks[[#This Row],[Forecast Finish]])</f>
        <v>46325</v>
      </c>
      <c r="AT18" s="28" t="n">
        <f aca="false">IF(Tasks[[#This Row],[Task Name]]="","",IF(Tasks[[#This Row],[_IsSummary]],NETWORKDAYS.INTL(Tasks[[#This Row],[Forecast Start]],Tasks[[#This Row],[Forecast Finish]],WorkWeek,Holidays),N(Tasks[[#This Row],[Duration]])))</f>
        <v>10</v>
      </c>
      <c r="AU18" s="95" t="n">
        <f aca="false">IF(Tasks[[#This Row],[Task Name]]="","",Tasks[[#This Row],[Work]])</f>
        <v>80</v>
      </c>
      <c r="AV18" s="96" t="n">
        <f aca="false">IF(Tasks[[#This Row],[Task Name]]="","",Tasks[[#This Row],[Cost]])</f>
        <v>6800</v>
      </c>
      <c r="AW18" s="73"/>
      <c r="AX18" s="73"/>
      <c r="AY18" s="29"/>
      <c r="AZ18" s="98"/>
      <c r="BA18" s="97"/>
      <c r="BB18" s="28" t="str">
        <f aca="false">IF(OR(Tasks[[#This Row],[Task Name]]="",Tasks[[#This Row],[Baseline Duration]]=""),"",Tasks[[#This Row],[BL Source Duration]]-N(Tasks[[#This Row],[Baseline Duration]]))</f>
        <v/>
      </c>
      <c r="BC18" s="95" t="str">
        <f aca="false">IF(OR(Tasks[[#This Row],[Task Name]]="",Tasks[[#This Row],[Baseline Work]]=""),"",Tasks[[#This Row],[Work]]-N(Tasks[[#This Row],[Baseline Work]]))</f>
        <v/>
      </c>
      <c r="BD18" s="96" t="str">
        <f aca="false">IF(OR(Tasks[[#This Row],[Task Name]]="",Tasks[[#This Row],[Baseline Cost]]=""),"",Tasks[[#This Row],[Cost]]-N(Tasks[[#This Row],[Baseline Cost]]))</f>
        <v/>
      </c>
      <c r="BE18" s="96" t="n">
        <f aca="false">IF(Tasks[[#This Row],[Task Name]]="","",IF(Tasks[[#This Row],[_IsSummary]],SUM(INDEX(Tasks[_LeafBudget],Tasks[[#This Row],[_Row]]+1):INDEX(Tasks[_LeafBudget],Tasks[[#This Row],[_Row]]+Tasks[[#This Row],[_Descendants]])),Tasks[[#This Row],[_LeafBudget]]))</f>
        <v>6800</v>
      </c>
      <c r="BF18" s="96" t="n">
        <f aca="false">IF(Tasks[[#This Row],[Task Name]]="","",IF(Tasks[[#This Row],[_IsSummary]],SUM(INDEX(Tasks[_LeafPV],Tasks[[#This Row],[_Row]]+1):INDEX(Tasks[_LeafPV],Tasks[[#This Row],[_Row]]+Tasks[[#This Row],[_Descendants]])),Tasks[[#This Row],[_LeafPV]]))</f>
        <v>6800</v>
      </c>
      <c r="BG18" s="96" t="n">
        <f aca="false">IF(Tasks[[#This Row],[Task Name]]="","",IF(Tasks[[#This Row],[_IsSummary]],SUM(INDEX(Tasks[_LeafEV],Tasks[[#This Row],[_Row]]+1):INDEX(Tasks[_LeafEV],Tasks[[#This Row],[_Row]]+Tasks[[#This Row],[_Descendants]])),Tasks[[#This Row],[_LeafEV]]))</f>
        <v>3400</v>
      </c>
      <c r="BH18" s="96" t="n">
        <f aca="false">IF(Tasks[[#This Row],[Task Name]]="","",IF(Tasks[[#This Row],[_IsSummary]],SUM(INDEX(Tasks[_LeafAC],Tasks[[#This Row],[_Row]]+1):INDEX(Tasks[_LeafAC],Tasks[[#This Row],[_Row]]+Tasks[[#This Row],[_Descendants]])),Tasks[[#This Row],[_LeafAC]]))</f>
        <v>4080</v>
      </c>
      <c r="BI18" s="41" t="n">
        <f aca="false">IF(Tasks[[#This Row],[Task Name]]="","",MAX(1,N(Tasks[[#This Row],[Level]])))</f>
        <v>3</v>
      </c>
      <c r="BJ18" s="41" t="n">
        <f aca="false">ROW()-ROW(Tasks[[#Headers],[ID]])</f>
        <v>13</v>
      </c>
      <c r="BK18" s="41" t="n">
        <f aca="false">IF(OR(Tasks[[#This Row],[Task Name]]="",Tasks[[#This Row],[_Level]]&lt;=1),0,IFERROR(LOOKUP(2,1/(Tasks[[#Headers],[_Level]]:Tasks[[#This Row],[_Level]]=Tasks[[#This Row],[_Level]]-1),ROW(Tasks[[#Headers],[_Level]]:Tasks[[#This Row],[_Level]])),0))</f>
        <v>16</v>
      </c>
      <c r="BL18" s="41" t="n">
        <f aca="false">IFERROR(N(INDEX(Tasks[_Level],Tasks[[#This Row],[_Row]]+1)),0)</f>
        <v>3</v>
      </c>
      <c r="BM18" s="99" t="b">
        <f aca="false">AND(Tasks[[#This Row],[Task Name]]&lt;&gt;"",Tasks[[#This Row],[_NextLevel]]&gt;Tasks[[#This Row],[_Level]])</f>
        <v>0</v>
      </c>
      <c r="BN18" s="41" t="n">
        <f aca="false">IF(Tasks[[#This Row],[_IsSummary]],COUNTIF(Tasks[WBS],Tasks[[#This Row],[WBS]]&amp;".*"),0)</f>
        <v>0</v>
      </c>
      <c r="BO18" s="41" t="n">
        <f aca="false">IF(AND(Tasks[[#This Row],[Task Name]]&lt;&gt;"",NOT(Tasks[[#This Row],[_IsSummary]])),1,0)</f>
        <v>1</v>
      </c>
      <c r="BP18" s="41" t="n">
        <f aca="false">IF(N(Tasks[[#This Row],[Pred1 UID]])=0,0,IFERROR(MATCH(Tasks[[#This Row],[Pred1 UID]],Tasks[UID],0),-1))</f>
        <v>12</v>
      </c>
      <c r="BQ18" s="41" t="n">
        <f aca="false">IF(N(Tasks[[#This Row],[Pred2 UID]])=0,0,IFERROR(MATCH(Tasks[[#This Row],[Pred2 UID]],Tasks[UID],0),-1))</f>
        <v>0</v>
      </c>
      <c r="BR18" s="100"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46304</v>
      </c>
      <c r="BS18" s="100" t="n">
        <f aca="false">IF(NOT(Tasks[[#This Row],[_IsLeaf]]=1),"",IF(N(Tasks[[#This Row],[Duration]])&lt;=0,Tasks[[#This Row],[_LeafCalcStart]],WORKDAY.INTL(Tasks[[#This Row],[_LeafCalcStart]],Tasks[[#This Row],[Duration]]-1,WorkWeek,Holidays)))</f>
        <v>46317</v>
      </c>
      <c r="BT18" s="100"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46310</v>
      </c>
      <c r="BU18" s="100"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46325</v>
      </c>
      <c r="BV18" s="41" t="n">
        <f aca="false">IF(NOT(Tasks[[#This Row],[_IsLeaf]]=1),0,IF(N(Tasks[[#This Row],[Actual Finish]])&gt;0,1,MIN(1,N(Tasks[[#This Row],[% Complete]]))))</f>
        <v>0.5</v>
      </c>
      <c r="BW18" s="41" t="n">
        <f aca="false">IF(OR(NOT(Tasks[[#This Row],[_IsLeaf]]=1),Tasks[[#This Row],[Resource]]=""),0,N(Tasks[[#This Row],[Duration]])*HoursPerDay*IF(Tasks[[#This Row],[Units]]="",DefaultUnits,Tasks[[#This Row],[Units]]))</f>
        <v>80</v>
      </c>
      <c r="BX18" s="41" t="n">
        <f aca="false">IF(Tasks[[#This Row],[_LeafWork]]=0,0,Tasks[[#This Row],[_LeafWork]]*IFERROR(INDEX(res_Rate,MATCH(Tasks[[#This Row],[Resource]],res_Name,0)),0))</f>
        <v>6800</v>
      </c>
      <c r="BY18" s="101"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2912155</v>
      </c>
      <c r="BZ1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8"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B1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8" s="41" t="n">
        <f aca="false">IF(NOT(Tasks[[#This Row],[_IsLeaf]]=1),0,MAX(_xlfn.MAXIFS(Tasks[_Row],Tasks[Pred1 UID],Tasks[[#This Row],[UID]]),_xlfn.MAXIFS(Tasks[_Row],Tasks[Pred2 UID],Tasks[[#This Row],[UID]])))</f>
        <v>17</v>
      </c>
      <c r="CD18" s="100"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46324</v>
      </c>
      <c r="CE18" s="100" t="n">
        <f aca="false">IF(NOT(Tasks[[#This Row],[_IsLeaf]]=1),"",MIN(ProjectFinish,IF(N(Tasks[[#This Row],[Deadline]])&gt;0,Tasks[[#This Row],[Deadline]],2958465),Tasks[[#This Row],[_SuccessorFinishLimit]]))</f>
        <v>46324</v>
      </c>
      <c r="CF18" s="100" t="n">
        <f aca="false">IF(NOT(Tasks[[#This Row],[_IsLeaf]]=1),"",IF(N(Tasks[[#This Row],[Duration]])&lt;=0,Tasks[[#This Row],[_LeafLateFinish]],WORKDAY.INTL(Tasks[[#This Row],[_LeafLateFinish]],-(Tasks[[#This Row],[Duration]]-1),WorkWeek,Holidays)))</f>
        <v>46311</v>
      </c>
      <c r="CG18"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CH18" s="99" t="b">
        <f aca="false">AND(Tasks[[#This Row],[_IsLeaf]]=1,Tasks[[#This Row],[_LeafProgress]]&lt;1,N(Tasks[[#This Row],[_LeafTotalSlack]])&lt;=CriticalSlackDays)</f>
        <v>1</v>
      </c>
      <c r="CI18" s="100" t="n">
        <f aca="false">IF(Tasks[[#This Row],[Task Name]]="","",IF(Tasks[[#This Row],[_IsSummary]],MIN(INDEX(Tasks[_LeafCalcStart],Tasks[[#This Row],[_Row]]+1):INDEX(Tasks[_LeafCalcStart],Tasks[[#This Row],[_Row]]+Tasks[[#This Row],[_Descendants]])),Tasks[[#This Row],[_LeafCalcStart]]))</f>
        <v>46304</v>
      </c>
      <c r="CJ18" s="100" t="n">
        <f aca="false">IF(Tasks[[#This Row],[Task Name]]="","",IF(Tasks[[#This Row],[_IsSummary]],MAX(INDEX(Tasks[_LeafCalcFinish],Tasks[[#This Row],[_Row]]+1):INDEX(Tasks[_LeafCalcFinish],Tasks[[#This Row],[_Row]]+Tasks[[#This Row],[_Descendants]])),Tasks[[#This Row],[_LeafCalcFinish]]))</f>
        <v>46317</v>
      </c>
      <c r="CK1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8"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46304</v>
      </c>
      <c r="CN18"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8"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46310</v>
      </c>
      <c r="CP18"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8" s="41" t="n">
        <f aca="false">IF(AND(Tasks[[#This Row],[_IsLeaf]]=1,Tasks[[#This Row],[_LeafWork]]&gt;0),NETWORKDAYS.INTL(ProjectStart,Tasks[[#This Row],[_LeafFcstStart]],WorkWeek,Holidays),0)</f>
        <v>29</v>
      </c>
      <c r="CR18" s="41" t="n">
        <f aca="false">IF(AND(Tasks[[#This Row],[_IsLeaf]]=1,Tasks[[#This Row],[_LeafWork]]&gt;0),MAX(Tasks[[#This Row],[_StartWorkday]],NETWORKDAYS.INTL(ProjectStart,Tasks[[#This Row],[_LeafFcstFinish]],WorkWeek,Holidays)),0)</f>
        <v>40</v>
      </c>
      <c r="CS18" s="41" t="n">
        <f aca="false">IF(AND(Tasks[[#This Row],[_IsLeaf]]=1,Tasks[[#This Row],[_LeafWork]]&gt;0),Tasks[[#This Row],[_LeafWork]]/(Tasks[[#This Row],[_FinishWorkday]]-Tasks[[#This Row],[_StartWorkday]]+1),0)</f>
        <v>6.66666666666667</v>
      </c>
      <c r="CT18" s="41" t="n">
        <f aca="false">Tasks[[#This Row],[_WorkPerWorkday]]*(Tasks[[#This Row],[_StartWorkday]]-1)</f>
        <v>186.666666666667</v>
      </c>
      <c r="CU18" s="41" t="n">
        <f aca="false">IF(Tasks[[#This Row],[_IsLeaf]]=1,MAX(N(Tasks[[#This Row],[Duration]]),0.1),0)</f>
        <v>10</v>
      </c>
      <c r="CV18" s="41" t="n">
        <f aca="false">Tasks[[#This Row],[_WeightDur]]*Tasks[[#This Row],[_LeafProgress]]</f>
        <v>5</v>
      </c>
      <c r="CW1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12</v>
      </c>
      <c r="CX1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12</v>
      </c>
      <c r="CZ1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8" s="41" t="str">
        <f aca="false">IF(Tasks[[#This Row],[Task Name]]="","",Tasks[[#This Row],[_Pred1UIDText]]&amp;IF(AND(Tasks[[#This Row],[_Pred1UIDText]]&lt;&gt;"",Tasks[[#This Row],[_Pred2UIDText]]&lt;&gt;""),",","")&amp;Tasks[[#This Row],[_Pred2UIDText]])</f>
        <v>12</v>
      </c>
      <c r="DB18" s="41" t="str">
        <f aca="false">IF(AND(Tasks[[#This Row],[_IsLeaf]]=1,N(Tasks[[#This Row],[Duration]])=0,Tasks[[#This Row],[_LeafProgress]]&lt;1),Tasks[[#This Row],[_LeafFcstFinish]]+Tasks[[#This Row],[_Row]]/100000,"")</f>
        <v/>
      </c>
      <c r="DC1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DD18" s="41" t="n">
        <f aca="false">IF(NOT(Tasks[[#This Row],[_IsLeaf]]=1),0,IF(Tasks[[#This Row],[Baseline Cost]]="",Tasks[[#This Row],[_LeafCost]],N(Tasks[[#This Row],[Baseline Cost]])))</f>
        <v>6800</v>
      </c>
      <c r="DE18" s="41" t="n">
        <f aca="false">Tasks[[#This Row],[_LeafBudget]]*Tasks[[#This Row],[_PlannedPct]]</f>
        <v>6800</v>
      </c>
      <c r="DF18" s="41" t="n">
        <f aca="false">Tasks[[#This Row],[_LeafBudget]]*Tasks[[#This Row],[_LeafProgress]]</f>
        <v>3400</v>
      </c>
      <c r="DG18" s="41" t="n">
        <f aca="false">IF(NOT(Tasks[[#This Row],[_IsLeaf]]=1),0,IF(Tasks[[#This Row],[Actual Cost]]="",Tasks[[#This Row],[_LeafCost]]*Tasks[[#This Row],[_LeafProgress]],N(Tasks[[#This Row],[Actual Cost]])))</f>
        <v>4080</v>
      </c>
      <c r="DH18" s="41" t="str">
        <f aca="false">IF(Tasks[[#This Row],[Task Name]]="","",LEFT(Tasks[[#This Row],[WBS]],FIND(".",Tasks[[#This Row],[WBS]]&amp;".")-1))</f>
        <v>3</v>
      </c>
      <c r="DI18" s="41" t="str">
        <f aca="false">IF(AND(Tasks[[#This Row],[Task Name]]&lt;&gt;"",Tasks[[#This Row],[_Level]]=1),Tasks[[#This Row],[_Row]],"")</f>
        <v/>
      </c>
      <c r="DJ18" s="41" t="str">
        <f aca="false">IF(AND(Tasks[[#This Row],[_IsLeaf]]=1,N(Tasks[[#This Row],[Duration]])=0),Tasks[[#This Row],[Planned Finish]]+Tasks[[#This Row],[_Row]]/100000,"")</f>
        <v/>
      </c>
      <c r="DK18" s="41" t="n">
        <f aca="false">IF(AND(Tasks[[#This Row],[_IsLeaf]]=1,Tasks[[#This Row],[_LeafProgress]]&lt;1,OR(N(Tasks[[#This Row],[Finish Var]])&gt;0,Tasks[[#This Row],[Status]]="Late Start")),MAX(0,Tasks[[#This Row],[Finish Var]])+1-Tasks[[#This Row],[_Row]]/1000000,"")</f>
        <v>6.999987</v>
      </c>
      <c r="DL18" s="41" t="str">
        <f aca="false">IF(AND(Tasks[[#This Row],[_IsLeaf]]=1,N(Tasks[[#This Row],[Actual Start]])=0,Tasks[[#This Row],[_LeafFcstStart]]&gt;=StatusDate,Tasks[[#This Row],[_LeafFcstStart]]&lt;=LookaheadEnd),Tasks[[#This Row],[_LeafFcstStart]]+Tasks[[#This Row],[_Row]]/100000,"")</f>
        <v/>
      </c>
      <c r="DM18" s="101" t="n">
        <f aca="false">IF(AND(Tasks[[#This Row],[_IsLeaf]]=1,Tasks[[#This Row],[_LeafProgress]]&lt;1,Tasks[[#This Row],[_LeafFcstFinish]]&gt;=StatusDate,Tasks[[#This Row],[_LeafFcstFinish]]&lt;=LookaheadEnd),Tasks[[#This Row],[_LeafFcstFinish]]+Tasks[[#This Row],[_Row]]/100000,"")</f>
        <v>46325.00013</v>
      </c>
      <c r="DN18" s="101" t="n">
        <f aca="false">IF(Tasks[[#This Row],[_LeafCritical]],Tasks[[#This Row],[_LeafFcstStart]]+Tasks[[#This Row],[_Row]]/100000,"")</f>
        <v>46310.00013</v>
      </c>
      <c r="DO18" s="41" t="n">
        <f aca="false">Tasks[[#This Row],[_LeafWork]]*Tasks[[#This Row],[_LeafProgress]]</f>
        <v>40</v>
      </c>
      <c r="DP18" s="100" t="str">
        <f aca="false">IF(AND(Tasks[[#This Row],[_IsLeaf]]=1,Tasks[[#This Row],[_LeafProgress]]&gt;=1),IF(N(Tasks[[#This Row],[Actual Finish]])&gt;0,Tasks[[#This Row],[Actual Finish]],Tasks[[#This Row],[_LeafFcstFinish]]),"")</f>
        <v/>
      </c>
      <c r="DQ18" s="41" t="n">
        <f aca="false">IF(Tasks[[#This Row],[_IsLeaf]]=1,N(Tasks[[#This Row],[Story Points]]),0)</f>
        <v>8</v>
      </c>
      <c r="DR18" s="41" t="str">
        <f aca="false">IF(AND(Tasks[[#This Row],[_IsLeaf]]=1,CurrentSprint&lt;&gt;"",Tasks[[#This Row],[Sprint]]=CurrentSprint),Tasks[[#This Row],[_Row]],"")</f>
        <v/>
      </c>
    </row>
    <row r="19" customFormat="false" ht="15" hidden="false" customHeight="false" outlineLevel="0" collapsed="false">
      <c r="A19" s="28" t="n">
        <f aca="false">IF(Tasks[[#This Row],[Task Name]]="","",COUNTA(Tasks[[#Headers],[Task Name]]:Tasks[[#This Row],[Task Name]])-1)</f>
        <v>14</v>
      </c>
      <c r="B19" s="29" t="n">
        <v>14</v>
      </c>
      <c r="C1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3.1.3</v>
      </c>
      <c r="D19" s="29" t="n">
        <v>3</v>
      </c>
      <c r="E19" s="30" t="s">
        <v>606</v>
      </c>
      <c r="F19" s="29" t="s">
        <v>584</v>
      </c>
      <c r="G19" s="29" t="n">
        <v>6</v>
      </c>
      <c r="H19" s="29" t="n">
        <v>13</v>
      </c>
      <c r="I19" s="29" t="s">
        <v>589</v>
      </c>
      <c r="J19" s="29"/>
      <c r="K19" s="29"/>
      <c r="L19" s="29"/>
      <c r="M19" s="29"/>
      <c r="N19" s="73"/>
      <c r="O19" s="73"/>
      <c r="P19" s="25" t="n">
        <f aca="false">IF(Tasks[[#This Row],[Task Name]]="","",IF(N(Tasks[[#This Row],[Baseline Start]])&gt;0,Tasks[[#This Row],[Baseline Start]],Tasks[[#This Row],[_CalcStart]]))</f>
        <v>46318</v>
      </c>
      <c r="Q19" s="25" t="n">
        <f aca="false">IF(Tasks[[#This Row],[Task Name]]="","",IF(N(Tasks[[#This Row],[Baseline Finish]])&gt;0,Tasks[[#This Row],[Baseline Finish]],Tasks[[#This Row],[_CalcFinish]]))</f>
        <v>46325</v>
      </c>
      <c r="R19" s="73"/>
      <c r="S19" s="73"/>
      <c r="T19" s="25" t="n">
        <f aca="false">IF(Tasks[[#This Row],[Task Name]]="","",IF(Tasks[[#This Row],[_IsSummary]],MIN(INDEX(Tasks[_LeafFcstStart],Tasks[[#This Row],[_Row]]+1):INDEX(Tasks[_LeafFcstStart],Tasks[[#This Row],[_Row]]+Tasks[[#This Row],[_Descendants]])),Tasks[[#This Row],[_LeafFcstStart]]))</f>
        <v>46328</v>
      </c>
      <c r="U19" s="25" t="n">
        <f aca="false">IF(Tasks[[#This Row],[Task Name]]="","",IF(Tasks[[#This Row],[_IsSummary]],MAX(INDEX(Tasks[_LeafFcstFinish],Tasks[[#This Row],[_Row]]+1):INDEX(Tasks[_LeafFcstFinish],Tasks[[#This Row],[_Row]]+Tasks[[#This Row],[_Descendants]])),Tasks[[#This Row],[_LeafFcstFinish]]))</f>
        <v>46335</v>
      </c>
      <c r="V19" s="43" t="n">
        <f aca="false">IF(Tasks[[#This Row],[Task Name]]="","",IF(Tasks[[#This Row],[Forecast Start]]&gt;=Tasks[[#This Row],[Planned Start]],NETWORKDAYS.INTL(Tasks[[#This Row],[Planned Start]],Tasks[[#This Row],[Forecast Start]],WorkWeek,Holidays)-1,1-NETWORKDAYS.INTL(Tasks[[#This Row],[Forecast Start]],Tasks[[#This Row],[Planned Start]],WorkWeek,Holidays)))</f>
        <v>6</v>
      </c>
      <c r="W19"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X19" s="25" t="n">
        <f aca="false">IF(Tasks[[#This Row],[Task Name]]="","",IF(Tasks[[#This Row],[_IsSummary]],MIN(INDEX(Tasks[_LeafLateStart],Tasks[[#This Row],[_Row]]+1):INDEX(Tasks[_LeafLateStart],Tasks[[#This Row],[_Row]]+Tasks[[#This Row],[_Descendants]])),Tasks[[#This Row],[_LeafLateStart]]))</f>
        <v>46325</v>
      </c>
      <c r="Y19" s="25" t="n">
        <f aca="false">IF(Tasks[[#This Row],[Task Name]]="","",IF(Tasks[[#This Row],[_IsSummary]],MAX(INDEX(Tasks[_LeafLateFinish],Tasks[[#This Row],[_Row]]+1):INDEX(Tasks[_LeafLateFinish],Tasks[[#This Row],[_Row]]+Tasks[[#This Row],[_Descendants]])),Tasks[[#This Row],[_LeafLateFinish]]))</f>
        <v>46332</v>
      </c>
      <c r="Z19" s="43" t="n">
        <f aca="false">IF(Tasks[[#This Row],[Task Name]]="","",IF(Tasks[[#This Row],[_IsSummary]],MIN(INDEX(Tasks[_LeafTotalSlack],Tasks[[#This Row],[_Row]]+1):INDEX(Tasks[_LeafTotalSlack],Tasks[[#This Row],[_Row]]+Tasks[[#This Row],[_Descendants]])),Tasks[[#This Row],[_LeafTotalSlack]]))</f>
        <v>-1</v>
      </c>
      <c r="AA19"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-1</v>
      </c>
      <c r="AB19" s="28" t="str">
        <f aca="false">IF(Tasks[[#This Row],[Task Name]]="","",IF(IF(Tasks[[#This Row],[_IsSummary]],COUNTIF(INDEX(Tasks[_LeafCritical],Tasks[[#This Row],[_Row]]+1):INDEX(Tasks[_LeafCritical],Tasks[[#This Row],[_Row]]+Tasks[[#This Row],[_Descendants]]),TRUE())&gt;0,Tasks[[#This Row],[_LeafCritical]]),"Yes",""))</f>
        <v>Yes</v>
      </c>
      <c r="AC1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 s="24" t="str">
        <f aca="false">IF(Tasks[[#This Row],[Task Name]]="","",TRIM(IF(Tasks[[#This Row],[_Pred1Problem]]&lt;&gt;"","Pred 1: "&amp;Tasks[[#This Row],[_Pred1Problem]]&amp;". ","")&amp;IF(Tasks[[#This Row],[_Pred2Problem]]&lt;&gt;"","Pred 2: "&amp;Tasks[[#This Row],[_Pred2Problem]]&amp;".","")))</f>
        <v/>
      </c>
      <c r="AE19" s="88"/>
      <c r="AF19"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19" s="28" t="str">
        <f aca="false">IF(Tasks[[#This Row],[Task Name]]="","",IF(Tasks[[#This Row],[Progress]]&gt;=1,"Complete",IF(OR(N(Tasks[[#This Row],[Actual Start]])&gt;0,Tasks[[#This Row],[Progress]]&gt;0),IF(Tasks[[#This Row],[Finish Var]]&gt;0,"Behind","In Progress"),IF(Tasks[[#This Row],[Planned Start]]&lt;StatusDate,"Late Start","Not Started"))))</f>
        <v>Late Start</v>
      </c>
      <c r="AH19" s="30" t="s">
        <v>276</v>
      </c>
      <c r="AI19" s="88"/>
      <c r="AJ19" s="95" t="n">
        <f aca="false">IF(Tasks[[#This Row],[Task Name]]="","",IF(Tasks[[#This Row],[_IsSummary]],SUM(INDEX(Tasks[_LeafWork],Tasks[[#This Row],[_Row]]+1):INDEX(Tasks[_LeafWork],Tasks[[#This Row],[_Row]]+Tasks[[#This Row],[_Descendants]])),Tasks[[#This Row],[_LeafWork]]))</f>
        <v>48</v>
      </c>
      <c r="AK19" s="96" t="n">
        <f aca="false">IF(Tasks[[#This Row],[Task Name]]="","",IF(Tasks[[#This Row],[_IsSummary]],SUM(INDEX(Tasks[_LeafCost],Tasks[[#This Row],[_Row]]+1):INDEX(Tasks[_LeafCost],Tasks[[#This Row],[_Row]]+Tasks[[#This Row],[_Descendants]])),Tasks[[#This Row],[_LeafCost]]))</f>
        <v>4080</v>
      </c>
      <c r="AL19" s="97"/>
      <c r="AM19" s="29"/>
      <c r="AN1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5</v>
      </c>
      <c r="AO19" s="82" t="n">
        <v>5</v>
      </c>
      <c r="AP19" s="24" t="str">
        <f aca="false">IF(Tasks[[#This Row],[Task Name]]="","",Tasks[[#This Row],[_Pred1IDText]]&amp;IF(AND(Tasks[[#This Row],[_Pred1IDText]]&lt;&gt;"",Tasks[[#This Row],[_Pred2IDText]]&lt;&gt;""),",","")&amp;Tasks[[#This Row],[_Pred2IDText]])</f>
        <v>13</v>
      </c>
      <c r="AQ19" s="30"/>
      <c r="AR19" s="25" t="n">
        <f aca="false">IF(Tasks[[#This Row],[Task Name]]="","",Tasks[[#This Row],[Forecast Start]])</f>
        <v>46328</v>
      </c>
      <c r="AS19" s="25" t="n">
        <f aca="false">IF(Tasks[[#This Row],[Task Name]]="","",Tasks[[#This Row],[Forecast Finish]])</f>
        <v>46335</v>
      </c>
      <c r="AT19" s="28" t="n">
        <f aca="false">IF(Tasks[[#This Row],[Task Name]]="","",IF(Tasks[[#This Row],[_IsSummary]],NETWORKDAYS.INTL(Tasks[[#This Row],[Forecast Start]],Tasks[[#This Row],[Forecast Finish]],WorkWeek,Holidays),N(Tasks[[#This Row],[Duration]])))</f>
        <v>6</v>
      </c>
      <c r="AU19" s="95" t="n">
        <f aca="false">IF(Tasks[[#This Row],[Task Name]]="","",Tasks[[#This Row],[Work]])</f>
        <v>48</v>
      </c>
      <c r="AV19" s="96" t="n">
        <f aca="false">IF(Tasks[[#This Row],[Task Name]]="","",Tasks[[#This Row],[Cost]])</f>
        <v>4080</v>
      </c>
      <c r="AW19" s="73"/>
      <c r="AX19" s="73"/>
      <c r="AY19" s="29"/>
      <c r="AZ19" s="98"/>
      <c r="BA19" s="97"/>
      <c r="BB19" s="28" t="str">
        <f aca="false">IF(OR(Tasks[[#This Row],[Task Name]]="",Tasks[[#This Row],[Baseline Duration]]=""),"",Tasks[[#This Row],[BL Source Duration]]-N(Tasks[[#This Row],[Baseline Duration]]))</f>
        <v/>
      </c>
      <c r="BC19" s="95" t="str">
        <f aca="false">IF(OR(Tasks[[#This Row],[Task Name]]="",Tasks[[#This Row],[Baseline Work]]=""),"",Tasks[[#This Row],[Work]]-N(Tasks[[#This Row],[Baseline Work]]))</f>
        <v/>
      </c>
      <c r="BD19" s="96" t="str">
        <f aca="false">IF(OR(Tasks[[#This Row],[Task Name]]="",Tasks[[#This Row],[Baseline Cost]]=""),"",Tasks[[#This Row],[Cost]]-N(Tasks[[#This Row],[Baseline Cost]]))</f>
        <v/>
      </c>
      <c r="BE19" s="96" t="n">
        <f aca="false">IF(Tasks[[#This Row],[Task Name]]="","",IF(Tasks[[#This Row],[_IsSummary]],SUM(INDEX(Tasks[_LeafBudget],Tasks[[#This Row],[_Row]]+1):INDEX(Tasks[_LeafBudget],Tasks[[#This Row],[_Row]]+Tasks[[#This Row],[_Descendants]])),Tasks[[#This Row],[_LeafBudget]]))</f>
        <v>4080</v>
      </c>
      <c r="BF19" s="96" t="n">
        <f aca="false">IF(Tasks[[#This Row],[Task Name]]="","",IF(Tasks[[#This Row],[_IsSummary]],SUM(INDEX(Tasks[_LeafPV],Tasks[[#This Row],[_Row]]+1):INDEX(Tasks[_LeafPV],Tasks[[#This Row],[_Row]]+Tasks[[#This Row],[_Descendants]])),Tasks[[#This Row],[_LeafPV]]))</f>
        <v>680</v>
      </c>
      <c r="BG19" s="96" t="n">
        <f aca="false">IF(Tasks[[#This Row],[Task Name]]="","",IF(Tasks[[#This Row],[_IsSummary]],SUM(INDEX(Tasks[_LeafEV],Tasks[[#This Row],[_Row]]+1):INDEX(Tasks[_LeafEV],Tasks[[#This Row],[_Row]]+Tasks[[#This Row],[_Descendants]])),Tasks[[#This Row],[_LeafEV]]))</f>
        <v>0</v>
      </c>
      <c r="BH19" s="96" t="n">
        <f aca="false">IF(Tasks[[#This Row],[Task Name]]="","",IF(Tasks[[#This Row],[_IsSummary]],SUM(INDEX(Tasks[_LeafAC],Tasks[[#This Row],[_Row]]+1):INDEX(Tasks[_LeafAC],Tasks[[#This Row],[_Row]]+Tasks[[#This Row],[_Descendants]])),Tasks[[#This Row],[_LeafAC]]))</f>
        <v>0</v>
      </c>
      <c r="BI19" s="41" t="n">
        <f aca="false">IF(Tasks[[#This Row],[Task Name]]="","",MAX(1,N(Tasks[[#This Row],[Level]])))</f>
        <v>3</v>
      </c>
      <c r="BJ19" s="41" t="n">
        <f aca="false">ROW()-ROW(Tasks[[#Headers],[ID]])</f>
        <v>14</v>
      </c>
      <c r="BK19" s="41" t="n">
        <f aca="false">IF(OR(Tasks[[#This Row],[Task Name]]="",Tasks[[#This Row],[_Level]]&lt;=1),0,IFERROR(LOOKUP(2,1/(Tasks[[#Headers],[_Level]]:Tasks[[#This Row],[_Level]]=Tasks[[#This Row],[_Level]]-1),ROW(Tasks[[#Headers],[_Level]]:Tasks[[#This Row],[_Level]])),0))</f>
        <v>16</v>
      </c>
      <c r="BL19" s="41" t="n">
        <f aca="false">IFERROR(N(INDEX(Tasks[_Level],Tasks[[#This Row],[_Row]]+1)),0)</f>
        <v>2</v>
      </c>
      <c r="BM19" s="99" t="b">
        <f aca="false">AND(Tasks[[#This Row],[Task Name]]&lt;&gt;"",Tasks[[#This Row],[_NextLevel]]&gt;Tasks[[#This Row],[_Level]])</f>
        <v>0</v>
      </c>
      <c r="BN19" s="41" t="n">
        <f aca="false">IF(Tasks[[#This Row],[_IsSummary]],COUNTIF(Tasks[WBS],Tasks[[#This Row],[WBS]]&amp;".*"),0)</f>
        <v>0</v>
      </c>
      <c r="BO19" s="41" t="n">
        <f aca="false">IF(AND(Tasks[[#This Row],[Task Name]]&lt;&gt;"",NOT(Tasks[[#This Row],[_IsSummary]])),1,0)</f>
        <v>1</v>
      </c>
      <c r="BP19" s="41" t="n">
        <f aca="false">IF(N(Tasks[[#This Row],[Pred1 UID]])=0,0,IFERROR(MATCH(Tasks[[#This Row],[Pred1 UID]],Tasks[UID],0),-1))</f>
        <v>13</v>
      </c>
      <c r="BQ19" s="41" t="n">
        <f aca="false">IF(N(Tasks[[#This Row],[Pred2 UID]])=0,0,IFERROR(MATCH(Tasks[[#This Row],[Pred2 UID]],Tasks[UID],0),-1))</f>
        <v>0</v>
      </c>
      <c r="BR19" s="100"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46318</v>
      </c>
      <c r="BS19" s="100" t="n">
        <f aca="false">IF(NOT(Tasks[[#This Row],[_IsLeaf]]=1),"",IF(N(Tasks[[#This Row],[Duration]])&lt;=0,Tasks[[#This Row],[_LeafCalcStart]],WORKDAY.INTL(Tasks[[#This Row],[_LeafCalcStart]],Tasks[[#This Row],[Duration]]-1,WorkWeek,Holidays)))</f>
        <v>46325</v>
      </c>
      <c r="BT19" s="100"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46328</v>
      </c>
      <c r="BU19" s="100"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46335</v>
      </c>
      <c r="BV19" s="41" t="n">
        <f aca="false">IF(NOT(Tasks[[#This Row],[_IsLeaf]]=1),0,IF(N(Tasks[[#This Row],[Actual Finish]])&gt;0,1,MIN(1,N(Tasks[[#This Row],[% Complete]]))))</f>
        <v>0</v>
      </c>
      <c r="BW19" s="41" t="n">
        <f aca="false">IF(OR(NOT(Tasks[[#This Row],[_IsLeaf]]=1),Tasks[[#This Row],[Resource]]=""),0,N(Tasks[[#This Row],[Duration]])*HoursPerDay*IF(Tasks[[#This Row],[Units]]="",DefaultUnits,Tasks[[#This Row],[Units]]))</f>
        <v>48</v>
      </c>
      <c r="BX19" s="41" t="n">
        <f aca="false">IF(Tasks[[#This Row],[_LeafWork]]=0,0,Tasks[[#This Row],[_LeafWork]]*IFERROR(INDEX(res_Rate,MATCH(Tasks[[#This Row],[Resource]],res_Name,0)),0))</f>
        <v>4080</v>
      </c>
      <c r="BY19" s="101"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2912141</v>
      </c>
      <c r="BZ1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9"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B1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9" s="41" t="n">
        <f aca="false">IF(NOT(Tasks[[#This Row],[_IsLeaf]]=1),0,MAX(_xlfn.MAXIFS(Tasks[_Row],Tasks[Pred1 UID],Tasks[[#This Row],[UID]]),_xlfn.MAXIFS(Tasks[_Row],Tasks[Pred2 UID],Tasks[[#This Row],[UID]])))</f>
        <v>19</v>
      </c>
      <c r="CD19" s="100"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46332</v>
      </c>
      <c r="CE19" s="100" t="n">
        <f aca="false">IF(NOT(Tasks[[#This Row],[_IsLeaf]]=1),"",MIN(ProjectFinish,IF(N(Tasks[[#This Row],[Deadline]])&gt;0,Tasks[[#This Row],[Deadline]],2958465),Tasks[[#This Row],[_SuccessorFinishLimit]]))</f>
        <v>46332</v>
      </c>
      <c r="CF19" s="100" t="n">
        <f aca="false">IF(NOT(Tasks[[#This Row],[_IsLeaf]]=1),"",IF(N(Tasks[[#This Row],[Duration]])&lt;=0,Tasks[[#This Row],[_LeafLateFinish]],WORKDAY.INTL(Tasks[[#This Row],[_LeafLateFinish]],-(Tasks[[#This Row],[Duration]]-1),WorkWeek,Holidays)))</f>
        <v>46325</v>
      </c>
      <c r="CG19"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CH19" s="99" t="b">
        <f aca="false">AND(Tasks[[#This Row],[_IsLeaf]]=1,Tasks[[#This Row],[_LeafProgress]]&lt;1,N(Tasks[[#This Row],[_LeafTotalSlack]])&lt;=CriticalSlackDays)</f>
        <v>1</v>
      </c>
      <c r="CI19" s="100" t="n">
        <f aca="false">IF(Tasks[[#This Row],[Task Name]]="","",IF(Tasks[[#This Row],[_IsSummary]],MIN(INDEX(Tasks[_LeafCalcStart],Tasks[[#This Row],[_Row]]+1):INDEX(Tasks[_LeafCalcStart],Tasks[[#This Row],[_Row]]+Tasks[[#This Row],[_Descendants]])),Tasks[[#This Row],[_LeafCalcStart]]))</f>
        <v>46318</v>
      </c>
      <c r="CJ19" s="100" t="n">
        <f aca="false">IF(Tasks[[#This Row],[Task Name]]="","",IF(Tasks[[#This Row],[_IsSummary]],MAX(INDEX(Tasks[_LeafCalcFinish],Tasks[[#This Row],[_Row]]+1):INDEX(Tasks[_LeafCalcFinish],Tasks[[#This Row],[_Row]]+Tasks[[#This Row],[_Descendants]])),Tasks[[#This Row],[_LeafCalcFinish]]))</f>
        <v>46325</v>
      </c>
      <c r="CK1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9"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46318</v>
      </c>
      <c r="CN19"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9"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46328</v>
      </c>
      <c r="CP19"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9" s="41" t="n">
        <f aca="false">IF(AND(Tasks[[#This Row],[_IsLeaf]]=1,Tasks[[#This Row],[_LeafWork]]&gt;0),NETWORKDAYS.INTL(ProjectStart,Tasks[[#This Row],[_LeafFcstStart]],WorkWeek,Holidays),0)</f>
        <v>41</v>
      </c>
      <c r="CR19" s="41" t="n">
        <f aca="false">IF(AND(Tasks[[#This Row],[_IsLeaf]]=1,Tasks[[#This Row],[_LeafWork]]&gt;0),MAX(Tasks[[#This Row],[_StartWorkday]],NETWORKDAYS.INTL(ProjectStart,Tasks[[#This Row],[_LeafFcstFinish]],WorkWeek,Holidays)),0)</f>
        <v>46</v>
      </c>
      <c r="CS19" s="41" t="n">
        <f aca="false">IF(AND(Tasks[[#This Row],[_IsLeaf]]=1,Tasks[[#This Row],[_LeafWork]]&gt;0),Tasks[[#This Row],[_LeafWork]]/(Tasks[[#This Row],[_FinishWorkday]]-Tasks[[#This Row],[_StartWorkday]]+1),0)</f>
        <v>8</v>
      </c>
      <c r="CT19" s="41" t="n">
        <f aca="false">Tasks[[#This Row],[_WorkPerWorkday]]*(Tasks[[#This Row],[_StartWorkday]]-1)</f>
        <v>320</v>
      </c>
      <c r="CU19" s="41" t="n">
        <f aca="false">IF(Tasks[[#This Row],[_IsLeaf]]=1,MAX(N(Tasks[[#This Row],[Duration]]),0.1),0)</f>
        <v>6</v>
      </c>
      <c r="CV19" s="41" t="n">
        <f aca="false">Tasks[[#This Row],[_WeightDur]]*Tasks[[#This Row],[_LeafProgress]]</f>
        <v>0</v>
      </c>
      <c r="CW1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13</v>
      </c>
      <c r="CX1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13</v>
      </c>
      <c r="CZ1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9" s="41" t="str">
        <f aca="false">IF(Tasks[[#This Row],[Task Name]]="","",Tasks[[#This Row],[_Pred1UIDText]]&amp;IF(AND(Tasks[[#This Row],[_Pred1UIDText]]&lt;&gt;"",Tasks[[#This Row],[_Pred2UIDText]]&lt;&gt;""),",","")&amp;Tasks[[#This Row],[_Pred2UIDText]])</f>
        <v>13</v>
      </c>
      <c r="DB19" s="41" t="str">
        <f aca="false">IF(AND(Tasks[[#This Row],[_IsLeaf]]=1,N(Tasks[[#This Row],[Duration]])=0,Tasks[[#This Row],[_LeafProgress]]&lt;1),Tasks[[#This Row],[_LeafFcstFinish]]+Tasks[[#This Row],[_Row]]/100000,"")</f>
        <v/>
      </c>
      <c r="DC1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0.166666666666667</v>
      </c>
      <c r="DD19" s="41" t="n">
        <f aca="false">IF(NOT(Tasks[[#This Row],[_IsLeaf]]=1),0,IF(Tasks[[#This Row],[Baseline Cost]]="",Tasks[[#This Row],[_LeafCost]],N(Tasks[[#This Row],[Baseline Cost]])))</f>
        <v>4080</v>
      </c>
      <c r="DE19" s="41" t="n">
        <f aca="false">Tasks[[#This Row],[_LeafBudget]]*Tasks[[#This Row],[_PlannedPct]]</f>
        <v>680</v>
      </c>
      <c r="DF19" s="41" t="n">
        <f aca="false">Tasks[[#This Row],[_LeafBudget]]*Tasks[[#This Row],[_LeafProgress]]</f>
        <v>0</v>
      </c>
      <c r="DG19" s="41" t="n">
        <f aca="false">IF(NOT(Tasks[[#This Row],[_IsLeaf]]=1),0,IF(Tasks[[#This Row],[Actual Cost]]="",Tasks[[#This Row],[_LeafCost]]*Tasks[[#This Row],[_LeafProgress]],N(Tasks[[#This Row],[Actual Cost]])))</f>
        <v>0</v>
      </c>
      <c r="DH19" s="41" t="str">
        <f aca="false">IF(Tasks[[#This Row],[Task Name]]="","",LEFT(Tasks[[#This Row],[WBS]],FIND(".",Tasks[[#This Row],[WBS]]&amp;".")-1))</f>
        <v>3</v>
      </c>
      <c r="DI19" s="41" t="str">
        <f aca="false">IF(AND(Tasks[[#This Row],[Task Name]]&lt;&gt;"",Tasks[[#This Row],[_Level]]=1),Tasks[[#This Row],[_Row]],"")</f>
        <v/>
      </c>
      <c r="DJ19" s="41" t="str">
        <f aca="false">IF(AND(Tasks[[#This Row],[_IsLeaf]]=1,N(Tasks[[#This Row],[Duration]])=0),Tasks[[#This Row],[Planned Finish]]+Tasks[[#This Row],[_Row]]/100000,"")</f>
        <v/>
      </c>
      <c r="DK19" s="41" t="n">
        <f aca="false">IF(AND(Tasks[[#This Row],[_IsLeaf]]=1,Tasks[[#This Row],[_LeafProgress]]&lt;1,OR(N(Tasks[[#This Row],[Finish Var]])&gt;0,Tasks[[#This Row],[Status]]="Late Start")),MAX(0,Tasks[[#This Row],[Finish Var]])+1-Tasks[[#This Row],[_Row]]/1000000,"")</f>
        <v>6.999986</v>
      </c>
      <c r="DL19" s="101" t="n">
        <f aca="false">IF(AND(Tasks[[#This Row],[_IsLeaf]]=1,N(Tasks[[#This Row],[Actual Start]])=0,Tasks[[#This Row],[_LeafFcstStart]]&gt;=StatusDate,Tasks[[#This Row],[_LeafFcstStart]]&lt;=LookaheadEnd),Tasks[[#This Row],[_LeafFcstStart]]+Tasks[[#This Row],[_Row]]/100000,"")</f>
        <v>46328.00014</v>
      </c>
      <c r="DM19" s="41" t="str">
        <f aca="false">IF(AND(Tasks[[#This Row],[_IsLeaf]]=1,Tasks[[#This Row],[_LeafProgress]]&lt;1,Tasks[[#This Row],[_LeafFcstFinish]]&gt;=StatusDate,Tasks[[#This Row],[_LeafFcstFinish]]&lt;=LookaheadEnd),Tasks[[#This Row],[_LeafFcstFinish]]+Tasks[[#This Row],[_Row]]/100000,"")</f>
        <v/>
      </c>
      <c r="DN19" s="101" t="n">
        <f aca="false">IF(Tasks[[#This Row],[_LeafCritical]],Tasks[[#This Row],[_LeafFcstStart]]+Tasks[[#This Row],[_Row]]/100000,"")</f>
        <v>46328.00014</v>
      </c>
      <c r="DO19" s="41" t="n">
        <f aca="false">Tasks[[#This Row],[_LeafWork]]*Tasks[[#This Row],[_LeafProgress]]</f>
        <v>0</v>
      </c>
      <c r="DP19" s="100" t="str">
        <f aca="false">IF(AND(Tasks[[#This Row],[_IsLeaf]]=1,Tasks[[#This Row],[_LeafProgress]]&gt;=1),IF(N(Tasks[[#This Row],[Actual Finish]])&gt;0,Tasks[[#This Row],[Actual Finish]],Tasks[[#This Row],[_LeafFcstFinish]]),"")</f>
        <v/>
      </c>
      <c r="DQ19" s="41" t="n">
        <f aca="false">IF(Tasks[[#This Row],[_IsLeaf]]=1,N(Tasks[[#This Row],[Story Points]]),0)</f>
        <v>5</v>
      </c>
      <c r="DR19" s="41" t="str">
        <f aca="false">IF(AND(Tasks[[#This Row],[_IsLeaf]]=1,CurrentSprint&lt;&gt;"",Tasks[[#This Row],[Sprint]]=CurrentSprint),Tasks[[#This Row],[_Row]],"")</f>
        <v/>
      </c>
    </row>
    <row r="20" customFormat="false" ht="15" hidden="false" customHeight="false" outlineLevel="0" collapsed="false">
      <c r="A20" s="28" t="n">
        <f aca="false">IF(Tasks[[#This Row],[Task Name]]="","",COUNTA(Tasks[[#Headers],[Task Name]]:Tasks[[#This Row],[Task Name]])-1)</f>
        <v>15</v>
      </c>
      <c r="B20" s="29" t="n">
        <v>15</v>
      </c>
      <c r="C2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v>
      </c>
      <c r="D20" s="29" t="n">
        <v>2</v>
      </c>
      <c r="E20" s="30" t="s">
        <v>607</v>
      </c>
      <c r="F20" s="29" t="s">
        <v>584</v>
      </c>
      <c r="G20" s="29"/>
      <c r="H20" s="29"/>
      <c r="I20" s="29"/>
      <c r="J20" s="29"/>
      <c r="K20" s="29"/>
      <c r="L20" s="29"/>
      <c r="M20" s="29"/>
      <c r="N20" s="73"/>
      <c r="O20" s="73"/>
      <c r="P20" s="25" t="n">
        <f aca="false">IF(Tasks[[#This Row],[Task Name]]="","",IF(N(Tasks[[#This Row],[Baseline Start]])&gt;0,Tasks[[#This Row],[Baseline Start]],Tasks[[#This Row],[_CalcStart]]))</f>
        <v>46297</v>
      </c>
      <c r="Q20" s="25" t="n">
        <f aca="false">IF(Tasks[[#This Row],[Task Name]]="","",IF(N(Tasks[[#This Row],[Baseline Finish]])&gt;0,Tasks[[#This Row],[Baseline Finish]],Tasks[[#This Row],[_CalcFinish]]))</f>
        <v>46324</v>
      </c>
      <c r="R20" s="73"/>
      <c r="S20" s="73"/>
      <c r="T20" s="25" t="n">
        <f aca="false">IF(Tasks[[#This Row],[Task Name]]="","",IF(Tasks[[#This Row],[_IsSummary]],MIN(INDEX(Tasks[_LeafFcstStart],Tasks[[#This Row],[_Row]]+1):INDEX(Tasks[_LeafFcstStart],Tasks[[#This Row],[_Row]]+Tasks[[#This Row],[_Descendants]])),Tasks[[#This Row],[_LeafFcstStart]]))</f>
        <v>46302</v>
      </c>
      <c r="U20" s="25" t="n">
        <f aca="false">IF(Tasks[[#This Row],[Task Name]]="","",IF(Tasks[[#This Row],[_IsSummary]],MAX(INDEX(Tasks[_LeafFcstFinish],Tasks[[#This Row],[_Row]]+1):INDEX(Tasks[_LeafFcstFinish],Tasks[[#This Row],[_Row]]+Tasks[[#This Row],[_Descendants]])),Tasks[[#This Row],[_LeafFcstFinish]]))</f>
        <v>46332</v>
      </c>
      <c r="V20" s="43" t="n">
        <f aca="false">IF(Tasks[[#This Row],[Task Name]]="","",IF(Tasks[[#This Row],[Forecast Start]]&gt;=Tasks[[#This Row],[Planned Start]],NETWORKDAYS.INTL(Tasks[[#This Row],[Planned Start]],Tasks[[#This Row],[Forecast Start]],WorkWeek,Holidays)-1,1-NETWORKDAYS.INTL(Tasks[[#This Row],[Forecast Start]],Tasks[[#This Row],[Planned Start]],WorkWeek,Holidays)))</f>
        <v>3</v>
      </c>
      <c r="W20"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X20" s="25" t="n">
        <f aca="false">IF(Tasks[[#This Row],[Task Name]]="","",IF(Tasks[[#This Row],[_IsSummary]],MIN(INDEX(Tasks[_LeafLateStart],Tasks[[#This Row],[_Row]]+1):INDEX(Tasks[_LeafLateStart],Tasks[[#This Row],[_Row]]+Tasks[[#This Row],[_Descendants]])),Tasks[[#This Row],[_LeafLateStart]]))</f>
        <v>46308</v>
      </c>
      <c r="Y20" s="25" t="n">
        <f aca="false">IF(Tasks[[#This Row],[Task Name]]="","",IF(Tasks[[#This Row],[_IsSummary]],MAX(INDEX(Tasks[_LeafLateFinish],Tasks[[#This Row],[_Row]]+1):INDEX(Tasks[_LeafLateFinish],Tasks[[#This Row],[_Row]]+Tasks[[#This Row],[_Descendants]])),Tasks[[#This Row],[_LeafLateFinish]]))</f>
        <v>46332</v>
      </c>
      <c r="Z20" s="43" t="n">
        <f aca="false">IF(Tasks[[#This Row],[Task Name]]="","",IF(Tasks[[#This Row],[_IsSummary]],MIN(INDEX(Tasks[_LeafTotalSlack],Tasks[[#This Row],[_Row]]+1):INDEX(Tasks[_LeafTotalSlack],Tasks[[#This Row],[_Row]]+Tasks[[#This Row],[_Descendants]])),Tasks[[#This Row],[_LeafTotalSlack]]))</f>
        <v>0</v>
      </c>
      <c r="AA2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 s="28" t="str">
        <f aca="false">IF(Tasks[[#This Row],[Task Name]]="","",IF(IF(Tasks[[#This Row],[_IsSummary]],COUNTIF(INDEX(Tasks[_LeafCritical],Tasks[[#This Row],[_Row]]+1):INDEX(Tasks[_LeafCritical],Tasks[[#This Row],[_Row]]+Tasks[[#This Row],[_Descendants]]),TRUE())&gt;0,Tasks[[#This Row],[_LeafCritical]]),"Yes",""))</f>
        <v>Yes</v>
      </c>
      <c r="AC2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 s="24" t="str">
        <f aca="false">IF(Tasks[[#This Row],[Task Name]]="","",TRIM(IF(Tasks[[#This Row],[_Pred1Problem]]&lt;&gt;"","Pred 1: "&amp;Tasks[[#This Row],[_Pred1Problem]]&amp;". ","")&amp;IF(Tasks[[#This Row],[_Pred2Problem]]&lt;&gt;"","Pred 2: "&amp;Tasks[[#This Row],[_Pred2Problem]]&amp;".","")))</f>
        <v/>
      </c>
      <c r="AE20" s="88"/>
      <c r="AF20"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0.428571428571429</v>
      </c>
      <c r="AG20" s="28" t="str">
        <f aca="false">IF(Tasks[[#This Row],[Task Name]]="","",IF(Tasks[[#This Row],[Progress]]&gt;=1,"Complete",IF(OR(N(Tasks[[#This Row],[Actual Start]])&gt;0,Tasks[[#This Row],[Progress]]&gt;0),IF(Tasks[[#This Row],[Finish Var]]&gt;0,"Behind","In Progress"),IF(Tasks[[#This Row],[Planned Start]]&lt;StatusDate,"Late Start","Not Started"))))</f>
        <v>Behind</v>
      </c>
      <c r="AH20" s="30"/>
      <c r="AI20" s="88"/>
      <c r="AJ20" s="95" t="n">
        <f aca="false">IF(Tasks[[#This Row],[Task Name]]="","",IF(Tasks[[#This Row],[_IsSummary]],SUM(INDEX(Tasks[_LeafWork],Tasks[[#This Row],[_Row]]+1):INDEX(Tasks[_LeafWork],Tasks[[#This Row],[_Row]]+Tasks[[#This Row],[_Descendants]])),Tasks[[#This Row],[_LeafWork]]))</f>
        <v>156</v>
      </c>
      <c r="AK20" s="96" t="n">
        <f aca="false">IF(Tasks[[#This Row],[Task Name]]="","",IF(Tasks[[#This Row],[_IsSummary]],SUM(INDEX(Tasks[_LeafCost],Tasks[[#This Row],[_Row]]+1):INDEX(Tasks[_LeafCost],Tasks[[#This Row],[_Row]]+Tasks[[#This Row],[_Descendants]])),Tasks[[#This Row],[_LeafCost]]))</f>
        <v>12420</v>
      </c>
      <c r="AL20" s="97"/>
      <c r="AM20" s="29"/>
      <c r="AN2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0" s="82"/>
      <c r="AP20" s="24" t="str">
        <f aca="false">IF(Tasks[[#This Row],[Task Name]]="","",Tasks[[#This Row],[_Pred1IDText]]&amp;IF(AND(Tasks[[#This Row],[_Pred1IDText]]&lt;&gt;"",Tasks[[#This Row],[_Pred2IDText]]&lt;&gt;""),",","")&amp;Tasks[[#This Row],[_Pred2IDText]])</f>
        <v/>
      </c>
      <c r="AQ20" s="30"/>
      <c r="AR20" s="25" t="n">
        <f aca="false">IF(Tasks[[#This Row],[Task Name]]="","",Tasks[[#This Row],[Forecast Start]])</f>
        <v>46302</v>
      </c>
      <c r="AS20" s="25" t="n">
        <f aca="false">IF(Tasks[[#This Row],[Task Name]]="","",Tasks[[#This Row],[Forecast Finish]])</f>
        <v>46332</v>
      </c>
      <c r="AT20" s="28" t="n">
        <f aca="false">IF(Tasks[[#This Row],[Task Name]]="","",IF(Tasks[[#This Row],[_IsSummary]],NETWORKDAYS.INTL(Tasks[[#This Row],[Forecast Start]],Tasks[[#This Row],[Forecast Finish]],WorkWeek,Holidays),N(Tasks[[#This Row],[Duration]])))</f>
        <v>23</v>
      </c>
      <c r="AU20" s="95" t="n">
        <f aca="false">IF(Tasks[[#This Row],[Task Name]]="","",Tasks[[#This Row],[Work]])</f>
        <v>156</v>
      </c>
      <c r="AV20" s="96" t="n">
        <f aca="false">IF(Tasks[[#This Row],[Task Name]]="","",Tasks[[#This Row],[Cost]])</f>
        <v>12420</v>
      </c>
      <c r="AW20" s="73"/>
      <c r="AX20" s="73"/>
      <c r="AY20" s="29"/>
      <c r="AZ20" s="98"/>
      <c r="BA20" s="97"/>
      <c r="BB20" s="28" t="str">
        <f aca="false">IF(OR(Tasks[[#This Row],[Task Name]]="",Tasks[[#This Row],[Baseline Duration]]=""),"",Tasks[[#This Row],[BL Source Duration]]-N(Tasks[[#This Row],[Baseline Duration]]))</f>
        <v/>
      </c>
      <c r="BC20" s="95" t="str">
        <f aca="false">IF(OR(Tasks[[#This Row],[Task Name]]="",Tasks[[#This Row],[Baseline Work]]=""),"",Tasks[[#This Row],[Work]]-N(Tasks[[#This Row],[Baseline Work]]))</f>
        <v/>
      </c>
      <c r="BD20" s="96" t="str">
        <f aca="false">IF(OR(Tasks[[#This Row],[Task Name]]="",Tasks[[#This Row],[Baseline Cost]]=""),"",Tasks[[#This Row],[Cost]]-N(Tasks[[#This Row],[Baseline Cost]]))</f>
        <v/>
      </c>
      <c r="BE20" s="96" t="n">
        <f aca="false">IF(Tasks[[#This Row],[Task Name]]="","",IF(Tasks[[#This Row],[_IsSummary]],SUM(INDEX(Tasks[_LeafBudget],Tasks[[#This Row],[_Row]]+1):INDEX(Tasks[_LeafBudget],Tasks[[#This Row],[_Row]]+Tasks[[#This Row],[_Descendants]])),Tasks[[#This Row],[_LeafBudget]]))</f>
        <v>12420</v>
      </c>
      <c r="BF20" s="96" t="n">
        <f aca="false">IF(Tasks[[#This Row],[Task Name]]="","",IF(Tasks[[#This Row],[_IsSummary]],SUM(INDEX(Tasks[_LeafPV],Tasks[[#This Row],[_Row]]+1):INDEX(Tasks[_LeafPV],Tasks[[#This Row],[_Row]]+Tasks[[#This Row],[_Descendants]])),Tasks[[#This Row],[_LeafPV]]))</f>
        <v>9600</v>
      </c>
      <c r="BG20" s="96" t="n">
        <f aca="false">IF(Tasks[[#This Row],[Task Name]]="","",IF(Tasks[[#This Row],[_IsSummary]],SUM(INDEX(Tasks[_LeafEV],Tasks[[#This Row],[_Row]]+1):INDEX(Tasks[_LeafEV],Tasks[[#This Row],[_Row]]+Tasks[[#This Row],[_Descendants]])),Tasks[[#This Row],[_LeafEV]]))</f>
        <v>5760</v>
      </c>
      <c r="BH20" s="96" t="n">
        <f aca="false">IF(Tasks[[#This Row],[Task Name]]="","",IF(Tasks[[#This Row],[_IsSummary]],SUM(INDEX(Tasks[_LeafAC],Tasks[[#This Row],[_Row]]+1):INDEX(Tasks[_LeafAC],Tasks[[#This Row],[_Row]]+Tasks[[#This Row],[_Descendants]])),Tasks[[#This Row],[_LeafAC]]))</f>
        <v>5760</v>
      </c>
      <c r="BI20" s="41" t="n">
        <f aca="false">IF(Tasks[[#This Row],[Task Name]]="","",MAX(1,N(Tasks[[#This Row],[Level]])))</f>
        <v>2</v>
      </c>
      <c r="BJ20" s="41" t="n">
        <f aca="false">ROW()-ROW(Tasks[[#Headers],[ID]])</f>
        <v>15</v>
      </c>
      <c r="BK20" s="41" t="n">
        <f aca="false">IF(OR(Tasks[[#This Row],[Task Name]]="",Tasks[[#This Row],[_Level]]&lt;=1),0,IFERROR(LOOKUP(2,1/(Tasks[[#Headers],[_Level]]:Tasks[[#This Row],[_Level]]=Tasks[[#This Row],[_Level]]-1),ROW(Tasks[[#Headers],[_Level]]:Tasks[[#This Row],[_Level]])),0))</f>
        <v>15</v>
      </c>
      <c r="BL20" s="41" t="n">
        <f aca="false">IFERROR(N(INDEX(Tasks[_Level],Tasks[[#This Row],[_Row]]+1)),0)</f>
        <v>3</v>
      </c>
      <c r="BM20" s="99" t="b">
        <f aca="false">AND(Tasks[[#This Row],[Task Name]]&lt;&gt;"",Tasks[[#This Row],[_NextLevel]]&gt;Tasks[[#This Row],[_Level]])</f>
        <v>1</v>
      </c>
      <c r="BN20" s="41" t="n">
        <f aca="false">IF(Tasks[[#This Row],[_IsSummary]],COUNTIF(Tasks[WBS],Tasks[[#This Row],[WBS]]&amp;".*"),0)</f>
        <v>3</v>
      </c>
      <c r="BO20" s="41" t="n">
        <f aca="false">IF(AND(Tasks[[#This Row],[Task Name]]&lt;&gt;"",NOT(Tasks[[#This Row],[_IsSummary]])),1,0)</f>
        <v>0</v>
      </c>
      <c r="BP20" s="41" t="n">
        <f aca="false">IF(N(Tasks[[#This Row],[Pred1 UID]])=0,0,IFERROR(MATCH(Tasks[[#This Row],[Pred1 UID]],Tasks[UID],0),-1))</f>
        <v>0</v>
      </c>
      <c r="BQ20" s="41" t="n">
        <f aca="false">IF(N(Tasks[[#This Row],[Pred2 UID]])=0,0,IFERROR(MATCH(Tasks[[#This Row],[Pred2 UID]],Tasks[UID],0),-1))</f>
        <v>0</v>
      </c>
      <c r="BR20"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0" s="100" t="str">
        <f aca="false">IF(NOT(Tasks[[#This Row],[_IsLeaf]]=1),"",IF(N(Tasks[[#This Row],[Duration]])&lt;=0,Tasks[[#This Row],[_LeafCalcStart]],WORKDAY.INTL(Tasks[[#This Row],[_LeafCalcStart]],Tasks[[#This Row],[Duration]]-1,WorkWeek,Holidays)))</f>
        <v/>
      </c>
      <c r="BT20"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0"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0" s="41" t="n">
        <f aca="false">IF(NOT(Tasks[[#This Row],[_IsLeaf]]=1),0,IF(N(Tasks[[#This Row],[Actual Finish]])&gt;0,1,MIN(1,N(Tasks[[#This Row],[% Complete]]))))</f>
        <v>0</v>
      </c>
      <c r="BW20" s="41" t="n">
        <f aca="false">IF(OR(NOT(Tasks[[#This Row],[_IsLeaf]]=1),Tasks[[#This Row],[Resource]]=""),0,N(Tasks[[#This Row],[Duration]])*HoursPerDay*IF(Tasks[[#This Row],[Units]]="",DefaultUnits,Tasks[[#This Row],[Units]]))</f>
        <v>0</v>
      </c>
      <c r="BX20" s="41" t="n">
        <f aca="false">IF(Tasks[[#This Row],[_LeafWork]]=0,0,Tasks[[#This Row],[_LeafWork]]*IFERROR(INDEX(res_Rate,MATCH(Tasks[[#This Row],[Resource]],res_Name,0)),0))</f>
        <v>0</v>
      </c>
      <c r="BY2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0" s="41" t="n">
        <f aca="false">IF(NOT(Tasks[[#This Row],[_IsLeaf]]=1),0,MAX(_xlfn.MAXIFS(Tasks[_Row],Tasks[Pred1 UID],Tasks[[#This Row],[UID]]),_xlfn.MAXIFS(Tasks[_Row],Tasks[Pred2 UID],Tasks[[#This Row],[UID]])))</f>
        <v>0</v>
      </c>
      <c r="CD20"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0" s="100" t="str">
        <f aca="false">IF(NOT(Tasks[[#This Row],[_IsLeaf]]=1),"",MIN(ProjectFinish,IF(N(Tasks[[#This Row],[Deadline]])&gt;0,Tasks[[#This Row],[Deadline]],2958465),Tasks[[#This Row],[_SuccessorFinishLimit]]))</f>
        <v/>
      </c>
      <c r="CF20" s="100" t="str">
        <f aca="false">IF(NOT(Tasks[[#This Row],[_IsLeaf]]=1),"",IF(N(Tasks[[#This Row],[Duration]])&lt;=0,Tasks[[#This Row],[_LeafLateFinish]],WORKDAY.INTL(Tasks[[#This Row],[_LeafLateFinish]],-(Tasks[[#This Row],[Duration]]-1),WorkWeek,Holidays)))</f>
        <v/>
      </c>
      <c r="CG2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0" s="99" t="b">
        <f aca="false">AND(Tasks[[#This Row],[_IsLeaf]]=1,Tasks[[#This Row],[_LeafProgress]]&lt;1,N(Tasks[[#This Row],[_LeafTotalSlack]])&lt;=CriticalSlackDays)</f>
        <v>0</v>
      </c>
      <c r="CI20" s="100" t="n">
        <f aca="false">IF(Tasks[[#This Row],[Task Name]]="","",IF(Tasks[[#This Row],[_IsSummary]],MIN(INDEX(Tasks[_LeafCalcStart],Tasks[[#This Row],[_Row]]+1):INDEX(Tasks[_LeafCalcStart],Tasks[[#This Row],[_Row]]+Tasks[[#This Row],[_Descendants]])),Tasks[[#This Row],[_LeafCalcStart]]))</f>
        <v>46297</v>
      </c>
      <c r="CJ20" s="100" t="n">
        <f aca="false">IF(Tasks[[#This Row],[Task Name]]="","",IF(Tasks[[#This Row],[_IsSummary]],MAX(INDEX(Tasks[_LeafCalcFinish],Tasks[[#This Row],[_Row]]+1):INDEX(Tasks[_LeafCalcFinish],Tasks[[#This Row],[_Row]]+Tasks[[#This Row],[_Descendants]])),Tasks[[#This Row],[_LeafCalcFinish]]))</f>
        <v>46324</v>
      </c>
      <c r="CK2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0"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0"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0"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0"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0" s="41" t="n">
        <f aca="false">IF(AND(Tasks[[#This Row],[_IsLeaf]]=1,Tasks[[#This Row],[_LeafWork]]&gt;0),NETWORKDAYS.INTL(ProjectStart,Tasks[[#This Row],[_LeafFcstStart]],WorkWeek,Holidays),0)</f>
        <v>0</v>
      </c>
      <c r="CR20" s="41" t="n">
        <f aca="false">IF(AND(Tasks[[#This Row],[_IsLeaf]]=1,Tasks[[#This Row],[_LeafWork]]&gt;0),MAX(Tasks[[#This Row],[_StartWorkday]],NETWORKDAYS.INTL(ProjectStart,Tasks[[#This Row],[_LeafFcstFinish]],WorkWeek,Holidays)),0)</f>
        <v>0</v>
      </c>
      <c r="CS20" s="41" t="n">
        <f aca="false">IF(AND(Tasks[[#This Row],[_IsLeaf]]=1,Tasks[[#This Row],[_LeafWork]]&gt;0),Tasks[[#This Row],[_LeafWork]]/(Tasks[[#This Row],[_FinishWorkday]]-Tasks[[#This Row],[_StartWorkday]]+1),0)</f>
        <v>0</v>
      </c>
      <c r="CT20" s="41" t="n">
        <f aca="false">Tasks[[#This Row],[_WorkPerWorkday]]*(Tasks[[#This Row],[_StartWorkday]]-1)</f>
        <v>-0</v>
      </c>
      <c r="CU20" s="41" t="n">
        <f aca="false">IF(Tasks[[#This Row],[_IsLeaf]]=1,MAX(N(Tasks[[#This Row],[Duration]]),0.1),0)</f>
        <v>0</v>
      </c>
      <c r="CV20" s="41" t="n">
        <f aca="false">Tasks[[#This Row],[_WeightDur]]*Tasks[[#This Row],[_LeafProgress]]</f>
        <v>0</v>
      </c>
      <c r="CW2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0" s="41" t="str">
        <f aca="false">IF(Tasks[[#This Row],[Task Name]]="","",Tasks[[#This Row],[_Pred1UIDText]]&amp;IF(AND(Tasks[[#This Row],[_Pred1UIDText]]&lt;&gt;"",Tasks[[#This Row],[_Pred2UIDText]]&lt;&gt;""),",","")&amp;Tasks[[#This Row],[_Pred2UIDText]])</f>
        <v/>
      </c>
      <c r="DB20" s="41" t="str">
        <f aca="false">IF(AND(Tasks[[#This Row],[_IsLeaf]]=1,N(Tasks[[#This Row],[Duration]])=0,Tasks[[#This Row],[_LeafProgress]]&lt;1),Tasks[[#This Row],[_LeafFcstFinish]]+Tasks[[#This Row],[_Row]]/100000,"")</f>
        <v/>
      </c>
      <c r="DC2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0" s="41" t="n">
        <f aca="false">IF(NOT(Tasks[[#This Row],[_IsLeaf]]=1),0,IF(Tasks[[#This Row],[Baseline Cost]]="",Tasks[[#This Row],[_LeafCost]],N(Tasks[[#This Row],[Baseline Cost]])))</f>
        <v>0</v>
      </c>
      <c r="DE20" s="41" t="n">
        <f aca="false">Tasks[[#This Row],[_LeafBudget]]*Tasks[[#This Row],[_PlannedPct]]</f>
        <v>0</v>
      </c>
      <c r="DF20" s="41" t="n">
        <f aca="false">Tasks[[#This Row],[_LeafBudget]]*Tasks[[#This Row],[_LeafProgress]]</f>
        <v>0</v>
      </c>
      <c r="DG20" s="41" t="n">
        <f aca="false">IF(NOT(Tasks[[#This Row],[_IsLeaf]]=1),0,IF(Tasks[[#This Row],[Actual Cost]]="",Tasks[[#This Row],[_LeafCost]]*Tasks[[#This Row],[_LeafProgress]],N(Tasks[[#This Row],[Actual Cost]])))</f>
        <v>0</v>
      </c>
      <c r="DH20" s="41" t="str">
        <f aca="false">IF(Tasks[[#This Row],[Task Name]]="","",LEFT(Tasks[[#This Row],[WBS]],FIND(".",Tasks[[#This Row],[WBS]]&amp;".")-1))</f>
        <v>3</v>
      </c>
      <c r="DI20" s="41" t="str">
        <f aca="false">IF(AND(Tasks[[#This Row],[Task Name]]&lt;&gt;"",Tasks[[#This Row],[_Level]]=1),Tasks[[#This Row],[_Row]],"")</f>
        <v/>
      </c>
      <c r="DJ20" s="41" t="str">
        <f aca="false">IF(AND(Tasks[[#This Row],[_IsLeaf]]=1,N(Tasks[[#This Row],[Duration]])=0),Tasks[[#This Row],[Planned Finish]]+Tasks[[#This Row],[_Row]]/100000,"")</f>
        <v/>
      </c>
      <c r="DK20" s="41" t="str">
        <f aca="false">IF(AND(Tasks[[#This Row],[_IsLeaf]]=1,Tasks[[#This Row],[_LeafProgress]]&lt;1,OR(N(Tasks[[#This Row],[Finish Var]])&gt;0,Tasks[[#This Row],[Status]]="Late Start")),MAX(0,Tasks[[#This Row],[Finish Var]])+1-Tasks[[#This Row],[_Row]]/1000000,"")</f>
        <v/>
      </c>
      <c r="DL20" s="41" t="str">
        <f aca="false">IF(AND(Tasks[[#This Row],[_IsLeaf]]=1,N(Tasks[[#This Row],[Actual Start]])=0,Tasks[[#This Row],[_LeafFcstStart]]&gt;=StatusDate,Tasks[[#This Row],[_LeafFcstStart]]&lt;=LookaheadEnd),Tasks[[#This Row],[_LeafFcstStart]]+Tasks[[#This Row],[_Row]]/100000,"")</f>
        <v/>
      </c>
      <c r="DM20" s="41" t="str">
        <f aca="false">IF(AND(Tasks[[#This Row],[_IsLeaf]]=1,Tasks[[#This Row],[_LeafProgress]]&lt;1,Tasks[[#This Row],[_LeafFcstFinish]]&gt;=StatusDate,Tasks[[#This Row],[_LeafFcstFinish]]&lt;=LookaheadEnd),Tasks[[#This Row],[_LeafFcstFinish]]+Tasks[[#This Row],[_Row]]/100000,"")</f>
        <v/>
      </c>
      <c r="DN20" s="41" t="str">
        <f aca="false">IF(Tasks[[#This Row],[_LeafCritical]],Tasks[[#This Row],[_LeafFcstStart]]+Tasks[[#This Row],[_Row]]/100000,"")</f>
        <v/>
      </c>
      <c r="DO20" s="41" t="n">
        <f aca="false">Tasks[[#This Row],[_LeafWork]]*Tasks[[#This Row],[_LeafProgress]]</f>
        <v>0</v>
      </c>
      <c r="DP20" s="100" t="str">
        <f aca="false">IF(AND(Tasks[[#This Row],[_IsLeaf]]=1,Tasks[[#This Row],[_LeafProgress]]&gt;=1),IF(N(Tasks[[#This Row],[Actual Finish]])&gt;0,Tasks[[#This Row],[Actual Finish]],Tasks[[#This Row],[_LeafFcstFinish]]),"")</f>
        <v/>
      </c>
      <c r="DQ20" s="41" t="n">
        <f aca="false">IF(Tasks[[#This Row],[_IsLeaf]]=1,N(Tasks[[#This Row],[Story Points]]),0)</f>
        <v>0</v>
      </c>
      <c r="DR20" s="41" t="str">
        <f aca="false">IF(AND(Tasks[[#This Row],[_IsLeaf]]=1,CurrentSprint&lt;&gt;"",Tasks[[#This Row],[Sprint]]=CurrentSprint),Tasks[[#This Row],[_Row]],"")</f>
        <v/>
      </c>
    </row>
    <row r="21" customFormat="false" ht="15" hidden="false" customHeight="false" outlineLevel="0" collapsed="false">
      <c r="A21" s="28" t="n">
        <f aca="false">IF(Tasks[[#This Row],[Task Name]]="","",COUNTA(Tasks[[#Headers],[Task Name]]:Tasks[[#This Row],[Task Name]])-1)</f>
        <v>16</v>
      </c>
      <c r="B21" s="29" t="n">
        <v>16</v>
      </c>
      <c r="C2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3.2.1</v>
      </c>
      <c r="D21" s="29" t="n">
        <v>3</v>
      </c>
      <c r="E21" s="30" t="s">
        <v>608</v>
      </c>
      <c r="F21" s="29" t="s">
        <v>584</v>
      </c>
      <c r="G21" s="29" t="n">
        <v>6</v>
      </c>
      <c r="H21" s="29" t="n">
        <v>9</v>
      </c>
      <c r="I21" s="29" t="s">
        <v>589</v>
      </c>
      <c r="J21" s="29"/>
      <c r="K21" s="29"/>
      <c r="L21" s="29"/>
      <c r="M21" s="29"/>
      <c r="N21" s="73"/>
      <c r="O21" s="73"/>
      <c r="P21" s="25" t="n">
        <f aca="false">IF(Tasks[[#This Row],[Task Name]]="","",IF(N(Tasks[[#This Row],[Baseline Start]])&gt;0,Tasks[[#This Row],[Baseline Start]],Tasks[[#This Row],[_CalcStart]]))</f>
        <v>46297</v>
      </c>
      <c r="Q21" s="25" t="n">
        <f aca="false">IF(Tasks[[#This Row],[Task Name]]="","",IF(N(Tasks[[#This Row],[Baseline Finish]])&gt;0,Tasks[[#This Row],[Baseline Finish]],Tasks[[#This Row],[_CalcFinish]]))</f>
        <v>46304</v>
      </c>
      <c r="R21" s="73" t="n">
        <v>46302</v>
      </c>
      <c r="S21" s="73" t="n">
        <v>46311</v>
      </c>
      <c r="T21" s="25" t="n">
        <f aca="false">IF(Tasks[[#This Row],[Task Name]]="","",IF(Tasks[[#This Row],[_IsSummary]],MIN(INDEX(Tasks[_LeafFcstStart],Tasks[[#This Row],[_Row]]+1):INDEX(Tasks[_LeafFcstStart],Tasks[[#This Row],[_Row]]+Tasks[[#This Row],[_Descendants]])),Tasks[[#This Row],[_LeafFcstStart]]))</f>
        <v>46302</v>
      </c>
      <c r="U21" s="25" t="n">
        <f aca="false">IF(Tasks[[#This Row],[Task Name]]="","",IF(Tasks[[#This Row],[_IsSummary]],MAX(INDEX(Tasks[_LeafFcstFinish],Tasks[[#This Row],[_Row]]+1):INDEX(Tasks[_LeafFcstFinish],Tasks[[#This Row],[_Row]]+Tasks[[#This Row],[_Descendants]])),Tasks[[#This Row],[_LeafFcstFinish]]))</f>
        <v>46311</v>
      </c>
      <c r="V21" s="43" t="n">
        <f aca="false">IF(Tasks[[#This Row],[Task Name]]="","",IF(Tasks[[#This Row],[Forecast Start]]&gt;=Tasks[[#This Row],[Planned Start]],NETWORKDAYS.INTL(Tasks[[#This Row],[Planned Start]],Tasks[[#This Row],[Forecast Start]],WorkWeek,Holidays)-1,1-NETWORKDAYS.INTL(Tasks[[#This Row],[Forecast Start]],Tasks[[#This Row],[Planned Start]],WorkWeek,Holidays)))</f>
        <v>3</v>
      </c>
      <c r="W21" s="43" t="n">
        <f aca="false">IF(Tasks[[#This Row],[Task Name]]="","",IF(Tasks[[#This Row],[Forecast Finish]]&gt;=Tasks[[#This Row],[Planned Finish]],NETWORKDAYS.INTL(Tasks[[#This Row],[Planned Finish]],Tasks[[#This Row],[Forecast Finish]],WorkWeek,Holidays)-1,1-NETWORKDAYS.INTL(Tasks[[#This Row],[Forecast Finish]],Tasks[[#This Row],[Planned Finish]],WorkWeek,Holidays)))</f>
        <v>5</v>
      </c>
      <c r="X21" s="25" t="n">
        <f aca="false">IF(Tasks[[#This Row],[Task Name]]="","",IF(Tasks[[#This Row],[_IsSummary]],MIN(INDEX(Tasks[_LeafLateStart],Tasks[[#This Row],[_Row]]+1):INDEX(Tasks[_LeafLateStart],Tasks[[#This Row],[_Row]]+Tasks[[#This Row],[_Descendants]])),Tasks[[#This Row],[_LeafLateStart]]))</f>
        <v>46308</v>
      </c>
      <c r="Y21" s="25" t="n">
        <f aca="false">IF(Tasks[[#This Row],[Task Name]]="","",IF(Tasks[[#This Row],[_IsSummary]],MAX(INDEX(Tasks[_LeafLateFinish],Tasks[[#This Row],[_Row]]+1):INDEX(Tasks[_LeafLateFinish],Tasks[[#This Row],[_Row]]+Tasks[[#This Row],[_Descendants]])),Tasks[[#This Row],[_LeafLateFinish]]))</f>
        <v>46315</v>
      </c>
      <c r="Z21" s="43" t="n">
        <f aca="false">IF(Tasks[[#This Row],[Task Name]]="","",IF(Tasks[[#This Row],[_IsSummary]],MIN(INDEX(Tasks[_LeafTotalSlack],Tasks[[#This Row],[_Row]]+1):INDEX(Tasks[_LeafTotalSlack],Tasks[[#This Row],[_Row]]+Tasks[[#This Row],[_Descendants]])),Tasks[[#This Row],[_LeafTotalSlack]]))</f>
        <v>2</v>
      </c>
      <c r="AA21"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21" s="28" t="str">
        <f aca="false">IF(Tasks[[#This Row],[Task Name]]="","",IF(IF(Tasks[[#This Row],[_IsSummary]],COUNTIF(INDEX(Tasks[_LeafCritical],Tasks[[#This Row],[_Row]]+1):INDEX(Tasks[_LeafCritical],Tasks[[#This Row],[_Row]]+Tasks[[#This Row],[_Descendants]]),TRUE())&gt;0,Tasks[[#This Row],[_LeafCritical]]),"Yes",""))</f>
        <v/>
      </c>
      <c r="AC2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1" s="24" t="str">
        <f aca="false">IF(Tasks[[#This Row],[Task Name]]="","",TRIM(IF(Tasks[[#This Row],[_Pred1Problem]]&lt;&gt;"","Pred 1: "&amp;Tasks[[#This Row],[_Pred1Problem]]&amp;". ","")&amp;IF(Tasks[[#This Row],[_Pred2Problem]]&lt;&gt;"","Pred 2: "&amp;Tasks[[#This Row],[_Pred2Problem]]&amp;".","")))</f>
        <v/>
      </c>
      <c r="AE21" s="88" t="n">
        <v>1</v>
      </c>
      <c r="AF21"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G21" s="28" t="str">
        <f aca="false">IF(Tasks[[#This Row],[Task Name]]="","",IF(Tasks[[#This Row],[Progress]]&gt;=1,"Complete",IF(OR(N(Tasks[[#This Row],[Actual Start]])&gt;0,Tasks[[#This Row],[Progress]]&gt;0),IF(Tasks[[#This Row],[Finish Var]]&gt;0,"Behind","In Progress"),IF(Tasks[[#This Row],[Planned Start]]&lt;StatusDate,"Late Start","Not Started"))))</f>
        <v>Complete</v>
      </c>
      <c r="AH21" s="30" t="s">
        <v>609</v>
      </c>
      <c r="AI21" s="88"/>
      <c r="AJ21" s="95" t="n">
        <f aca="false">IF(Tasks[[#This Row],[Task Name]]="","",IF(Tasks[[#This Row],[_IsSummary]],SUM(INDEX(Tasks[_LeafWork],Tasks[[#This Row],[_Row]]+1):INDEX(Tasks[_LeafWork],Tasks[[#This Row],[_Row]]+Tasks[[#This Row],[_Descendants]])),Tasks[[#This Row],[_LeafWork]]))</f>
        <v>48</v>
      </c>
      <c r="AK21" s="96" t="n">
        <f aca="false">IF(Tasks[[#This Row],[Task Name]]="","",IF(Tasks[[#This Row],[_IsSummary]],SUM(INDEX(Tasks[_LeafCost],Tasks[[#This Row],[_Row]]+1):INDEX(Tasks[_LeafCost],Tasks[[#This Row],[_Row]]+Tasks[[#This Row],[_Descendants]])),Tasks[[#This Row],[_LeafCost]]))</f>
        <v>3840</v>
      </c>
      <c r="AL21" s="97"/>
      <c r="AM21" s="29"/>
      <c r="AN2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3</v>
      </c>
      <c r="AO21" s="82" t="n">
        <v>5</v>
      </c>
      <c r="AP21" s="24" t="str">
        <f aca="false">IF(Tasks[[#This Row],[Task Name]]="","",Tasks[[#This Row],[_Pred1IDText]]&amp;IF(AND(Tasks[[#This Row],[_Pred1IDText]]&lt;&gt;"",Tasks[[#This Row],[_Pred2IDText]]&lt;&gt;""),",","")&amp;Tasks[[#This Row],[_Pred2IDText]])</f>
        <v>9</v>
      </c>
      <c r="AQ21" s="30"/>
      <c r="AR21" s="25" t="n">
        <f aca="false">IF(Tasks[[#This Row],[Task Name]]="","",Tasks[[#This Row],[Forecast Start]])</f>
        <v>46302</v>
      </c>
      <c r="AS21" s="25" t="n">
        <f aca="false">IF(Tasks[[#This Row],[Task Name]]="","",Tasks[[#This Row],[Forecast Finish]])</f>
        <v>46311</v>
      </c>
      <c r="AT21" s="28" t="n">
        <f aca="false">IF(Tasks[[#This Row],[Task Name]]="","",IF(Tasks[[#This Row],[_IsSummary]],NETWORKDAYS.INTL(Tasks[[#This Row],[Forecast Start]],Tasks[[#This Row],[Forecast Finish]],WorkWeek,Holidays),N(Tasks[[#This Row],[Duration]])))</f>
        <v>6</v>
      </c>
      <c r="AU21" s="95" t="n">
        <f aca="false">IF(Tasks[[#This Row],[Task Name]]="","",Tasks[[#This Row],[Work]])</f>
        <v>48</v>
      </c>
      <c r="AV21" s="96" t="n">
        <f aca="false">IF(Tasks[[#This Row],[Task Name]]="","",Tasks[[#This Row],[Cost]])</f>
        <v>3840</v>
      </c>
      <c r="AW21" s="73"/>
      <c r="AX21" s="73"/>
      <c r="AY21" s="29"/>
      <c r="AZ21" s="98"/>
      <c r="BA21" s="97"/>
      <c r="BB21" s="28" t="str">
        <f aca="false">IF(OR(Tasks[[#This Row],[Task Name]]="",Tasks[[#This Row],[Baseline Duration]]=""),"",Tasks[[#This Row],[BL Source Duration]]-N(Tasks[[#This Row],[Baseline Duration]]))</f>
        <v/>
      </c>
      <c r="BC21" s="95" t="str">
        <f aca="false">IF(OR(Tasks[[#This Row],[Task Name]]="",Tasks[[#This Row],[Baseline Work]]=""),"",Tasks[[#This Row],[Work]]-N(Tasks[[#This Row],[Baseline Work]]))</f>
        <v/>
      </c>
      <c r="BD21" s="96" t="str">
        <f aca="false">IF(OR(Tasks[[#This Row],[Task Name]]="",Tasks[[#This Row],[Baseline Cost]]=""),"",Tasks[[#This Row],[Cost]]-N(Tasks[[#This Row],[Baseline Cost]]))</f>
        <v/>
      </c>
      <c r="BE21" s="96" t="n">
        <f aca="false">IF(Tasks[[#This Row],[Task Name]]="","",IF(Tasks[[#This Row],[_IsSummary]],SUM(INDEX(Tasks[_LeafBudget],Tasks[[#This Row],[_Row]]+1):INDEX(Tasks[_LeafBudget],Tasks[[#This Row],[_Row]]+Tasks[[#This Row],[_Descendants]])),Tasks[[#This Row],[_LeafBudget]]))</f>
        <v>3840</v>
      </c>
      <c r="BF21" s="96" t="n">
        <f aca="false">IF(Tasks[[#This Row],[Task Name]]="","",IF(Tasks[[#This Row],[_IsSummary]],SUM(INDEX(Tasks[_LeafPV],Tasks[[#This Row],[_Row]]+1):INDEX(Tasks[_LeafPV],Tasks[[#This Row],[_Row]]+Tasks[[#This Row],[_Descendants]])),Tasks[[#This Row],[_LeafPV]]))</f>
        <v>3840</v>
      </c>
      <c r="BG21" s="96" t="n">
        <f aca="false">IF(Tasks[[#This Row],[Task Name]]="","",IF(Tasks[[#This Row],[_IsSummary]],SUM(INDEX(Tasks[_LeafEV],Tasks[[#This Row],[_Row]]+1):INDEX(Tasks[_LeafEV],Tasks[[#This Row],[_Row]]+Tasks[[#This Row],[_Descendants]])),Tasks[[#This Row],[_LeafEV]]))</f>
        <v>3840</v>
      </c>
      <c r="BH21" s="96" t="n">
        <f aca="false">IF(Tasks[[#This Row],[Task Name]]="","",IF(Tasks[[#This Row],[_IsSummary]],SUM(INDEX(Tasks[_LeafAC],Tasks[[#This Row],[_Row]]+1):INDEX(Tasks[_LeafAC],Tasks[[#This Row],[_Row]]+Tasks[[#This Row],[_Descendants]])),Tasks[[#This Row],[_LeafAC]]))</f>
        <v>3840</v>
      </c>
      <c r="BI21" s="41" t="n">
        <f aca="false">IF(Tasks[[#This Row],[Task Name]]="","",MAX(1,N(Tasks[[#This Row],[Level]])))</f>
        <v>3</v>
      </c>
      <c r="BJ21" s="41" t="n">
        <f aca="false">ROW()-ROW(Tasks[[#Headers],[ID]])</f>
        <v>16</v>
      </c>
      <c r="BK21" s="41" t="n">
        <f aca="false">IF(OR(Tasks[[#This Row],[Task Name]]="",Tasks[[#This Row],[_Level]]&lt;=1),0,IFERROR(LOOKUP(2,1/(Tasks[[#Headers],[_Level]]:Tasks[[#This Row],[_Level]]=Tasks[[#This Row],[_Level]]-1),ROW(Tasks[[#Headers],[_Level]]:Tasks[[#This Row],[_Level]])),0))</f>
        <v>20</v>
      </c>
      <c r="BL21" s="41" t="n">
        <f aca="false">IFERROR(N(INDEX(Tasks[_Level],Tasks[[#This Row],[_Row]]+1)),0)</f>
        <v>3</v>
      </c>
      <c r="BM21" s="99" t="b">
        <f aca="false">AND(Tasks[[#This Row],[Task Name]]&lt;&gt;"",Tasks[[#This Row],[_NextLevel]]&gt;Tasks[[#This Row],[_Level]])</f>
        <v>0</v>
      </c>
      <c r="BN21" s="41" t="n">
        <f aca="false">IF(Tasks[[#This Row],[_IsSummary]],COUNTIF(Tasks[WBS],Tasks[[#This Row],[WBS]]&amp;".*"),0)</f>
        <v>0</v>
      </c>
      <c r="BO21" s="41" t="n">
        <f aca="false">IF(AND(Tasks[[#This Row],[Task Name]]&lt;&gt;"",NOT(Tasks[[#This Row],[_IsSummary]])),1,0)</f>
        <v>1</v>
      </c>
      <c r="BP21" s="41" t="n">
        <f aca="false">IF(N(Tasks[[#This Row],[Pred1 UID]])=0,0,IFERROR(MATCH(Tasks[[#This Row],[Pred1 UID]],Tasks[UID],0),-1))</f>
        <v>9</v>
      </c>
      <c r="BQ21" s="41" t="n">
        <f aca="false">IF(N(Tasks[[#This Row],[Pred2 UID]])=0,0,IFERROR(MATCH(Tasks[[#This Row],[Pred2 UID]],Tasks[UID],0),-1))</f>
        <v>0</v>
      </c>
      <c r="BR21" s="100"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46297</v>
      </c>
      <c r="BS21" s="100" t="n">
        <f aca="false">IF(NOT(Tasks[[#This Row],[_IsLeaf]]=1),"",IF(N(Tasks[[#This Row],[Duration]])&lt;=0,Tasks[[#This Row],[_LeafCalcStart]],WORKDAY.INTL(Tasks[[#This Row],[_LeafCalcStart]],Tasks[[#This Row],[Duration]]-1,WorkWeek,Holidays)))</f>
        <v>46304</v>
      </c>
      <c r="BT21" s="100"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46302</v>
      </c>
      <c r="BU21" s="100"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46311</v>
      </c>
      <c r="BV21" s="41" t="n">
        <f aca="false">IF(NOT(Tasks[[#This Row],[_IsLeaf]]=1),0,IF(N(Tasks[[#This Row],[Actual Finish]])&gt;0,1,MIN(1,N(Tasks[[#This Row],[% Complete]]))))</f>
        <v>1</v>
      </c>
      <c r="BW21" s="41" t="n">
        <f aca="false">IF(OR(NOT(Tasks[[#This Row],[_IsLeaf]]=1),Tasks[[#This Row],[Resource]]=""),0,N(Tasks[[#This Row],[Duration]])*HoursPerDay*IF(Tasks[[#This Row],[Units]]="",DefaultUnits,Tasks[[#This Row],[Units]]))</f>
        <v>48</v>
      </c>
      <c r="BX21" s="41" t="n">
        <f aca="false">IF(Tasks[[#This Row],[_LeafWork]]=0,0,Tasks[[#This Row],[_LeafWork]]*IFERROR(INDEX(res_Rate,MATCH(Tasks[[#This Row],[Resource]],res_Name,0)),0))</f>
        <v>3840</v>
      </c>
      <c r="BY21" s="101"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2912158</v>
      </c>
      <c r="BZ2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1"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B2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1" s="41" t="n">
        <f aca="false">IF(NOT(Tasks[[#This Row],[_IsLeaf]]=1),0,MAX(_xlfn.MAXIFS(Tasks[_Row],Tasks[Pred1 UID],Tasks[[#This Row],[UID]]),_xlfn.MAXIFS(Tasks[_Row],Tasks[Pred2 UID],Tasks[[#This Row],[UID]])))</f>
        <v>17</v>
      </c>
      <c r="CD21" s="100"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46315</v>
      </c>
      <c r="CE21" s="100" t="n">
        <f aca="false">IF(NOT(Tasks[[#This Row],[_IsLeaf]]=1),"",MIN(ProjectFinish,IF(N(Tasks[[#This Row],[Deadline]])&gt;0,Tasks[[#This Row],[Deadline]],2958465),Tasks[[#This Row],[_SuccessorFinishLimit]]))</f>
        <v>46315</v>
      </c>
      <c r="CF21" s="100" t="n">
        <f aca="false">IF(NOT(Tasks[[#This Row],[_IsLeaf]]=1),"",IF(N(Tasks[[#This Row],[Duration]])&lt;=0,Tasks[[#This Row],[_LeafLateFinish]],WORKDAY.INTL(Tasks[[#This Row],[_LeafLateFinish]],-(Tasks[[#This Row],[Duration]]-1),WorkWeek,Holidays)))</f>
        <v>46308</v>
      </c>
      <c r="CG21"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2</v>
      </c>
      <c r="CH21" s="99" t="b">
        <f aca="false">AND(Tasks[[#This Row],[_IsLeaf]]=1,Tasks[[#This Row],[_LeafProgress]]&lt;1,N(Tasks[[#This Row],[_LeafTotalSlack]])&lt;=CriticalSlackDays)</f>
        <v>0</v>
      </c>
      <c r="CI21" s="100" t="n">
        <f aca="false">IF(Tasks[[#This Row],[Task Name]]="","",IF(Tasks[[#This Row],[_IsSummary]],MIN(INDEX(Tasks[_LeafCalcStart],Tasks[[#This Row],[_Row]]+1):INDEX(Tasks[_LeafCalcStart],Tasks[[#This Row],[_Row]]+Tasks[[#This Row],[_Descendants]])),Tasks[[#This Row],[_LeafCalcStart]]))</f>
        <v>46297</v>
      </c>
      <c r="CJ21" s="100" t="n">
        <f aca="false">IF(Tasks[[#This Row],[Task Name]]="","",IF(Tasks[[#This Row],[_IsSummary]],MAX(INDEX(Tasks[_LeafCalcFinish],Tasks[[#This Row],[_Row]]+1):INDEX(Tasks[_LeafCalcFinish],Tasks[[#This Row],[_Row]]+Tasks[[#This Row],[_Descendants]])),Tasks[[#This Row],[_LeafCalcFinish]]))</f>
        <v>46304</v>
      </c>
      <c r="CK2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1"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46297</v>
      </c>
      <c r="CN21"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1"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46302</v>
      </c>
      <c r="CP21"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1" s="41" t="n">
        <f aca="false">IF(AND(Tasks[[#This Row],[_IsLeaf]]=1,Tasks[[#This Row],[_LeafWork]]&gt;0),NETWORKDAYS.INTL(ProjectStart,Tasks[[#This Row],[_LeafFcstStart]],WorkWeek,Holidays),0)</f>
        <v>23</v>
      </c>
      <c r="CR21" s="41" t="n">
        <f aca="false">IF(AND(Tasks[[#This Row],[_IsLeaf]]=1,Tasks[[#This Row],[_LeafWork]]&gt;0),MAX(Tasks[[#This Row],[_StartWorkday]],NETWORKDAYS.INTL(ProjectStart,Tasks[[#This Row],[_LeafFcstFinish]],WorkWeek,Holidays)),0)</f>
        <v>30</v>
      </c>
      <c r="CS21" s="41" t="n">
        <f aca="false">IF(AND(Tasks[[#This Row],[_IsLeaf]]=1,Tasks[[#This Row],[_LeafWork]]&gt;0),Tasks[[#This Row],[_LeafWork]]/(Tasks[[#This Row],[_FinishWorkday]]-Tasks[[#This Row],[_StartWorkday]]+1),0)</f>
        <v>6</v>
      </c>
      <c r="CT21" s="41" t="n">
        <f aca="false">Tasks[[#This Row],[_WorkPerWorkday]]*(Tasks[[#This Row],[_StartWorkday]]-1)</f>
        <v>132</v>
      </c>
      <c r="CU21" s="41" t="n">
        <f aca="false">IF(Tasks[[#This Row],[_IsLeaf]]=1,MAX(N(Tasks[[#This Row],[Duration]]),0.1),0)</f>
        <v>6</v>
      </c>
      <c r="CV21" s="41" t="n">
        <f aca="false">Tasks[[#This Row],[_WeightDur]]*Tasks[[#This Row],[_LeafProgress]]</f>
        <v>6</v>
      </c>
      <c r="CW2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9</v>
      </c>
      <c r="CX2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9</v>
      </c>
      <c r="CZ2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1" s="41" t="str">
        <f aca="false">IF(Tasks[[#This Row],[Task Name]]="","",Tasks[[#This Row],[_Pred1UIDText]]&amp;IF(AND(Tasks[[#This Row],[_Pred1UIDText]]&lt;&gt;"",Tasks[[#This Row],[_Pred2UIDText]]&lt;&gt;""),",","")&amp;Tasks[[#This Row],[_Pred2UIDText]])</f>
        <v>9</v>
      </c>
      <c r="DB21" s="41" t="str">
        <f aca="false">IF(AND(Tasks[[#This Row],[_IsLeaf]]=1,N(Tasks[[#This Row],[Duration]])=0,Tasks[[#This Row],[_LeafProgress]]&lt;1),Tasks[[#This Row],[_LeafFcstFinish]]+Tasks[[#This Row],[_Row]]/100000,"")</f>
        <v/>
      </c>
      <c r="DC2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DD21" s="41" t="n">
        <f aca="false">IF(NOT(Tasks[[#This Row],[_IsLeaf]]=1),0,IF(Tasks[[#This Row],[Baseline Cost]]="",Tasks[[#This Row],[_LeafCost]],N(Tasks[[#This Row],[Baseline Cost]])))</f>
        <v>3840</v>
      </c>
      <c r="DE21" s="41" t="n">
        <f aca="false">Tasks[[#This Row],[_LeafBudget]]*Tasks[[#This Row],[_PlannedPct]]</f>
        <v>3840</v>
      </c>
      <c r="DF21" s="41" t="n">
        <f aca="false">Tasks[[#This Row],[_LeafBudget]]*Tasks[[#This Row],[_LeafProgress]]</f>
        <v>3840</v>
      </c>
      <c r="DG21" s="41" t="n">
        <f aca="false">IF(NOT(Tasks[[#This Row],[_IsLeaf]]=1),0,IF(Tasks[[#This Row],[Actual Cost]]="",Tasks[[#This Row],[_LeafCost]]*Tasks[[#This Row],[_LeafProgress]],N(Tasks[[#This Row],[Actual Cost]])))</f>
        <v>3840</v>
      </c>
      <c r="DH21" s="41" t="str">
        <f aca="false">IF(Tasks[[#This Row],[Task Name]]="","",LEFT(Tasks[[#This Row],[WBS]],FIND(".",Tasks[[#This Row],[WBS]]&amp;".")-1))</f>
        <v>3</v>
      </c>
      <c r="DI21" s="41" t="str">
        <f aca="false">IF(AND(Tasks[[#This Row],[Task Name]]&lt;&gt;"",Tasks[[#This Row],[_Level]]=1),Tasks[[#This Row],[_Row]],"")</f>
        <v/>
      </c>
      <c r="DJ21" s="41" t="str">
        <f aca="false">IF(AND(Tasks[[#This Row],[_IsLeaf]]=1,N(Tasks[[#This Row],[Duration]])=0),Tasks[[#This Row],[Planned Finish]]+Tasks[[#This Row],[_Row]]/100000,"")</f>
        <v/>
      </c>
      <c r="DK21" s="41" t="str">
        <f aca="false">IF(AND(Tasks[[#This Row],[_IsLeaf]]=1,Tasks[[#This Row],[_LeafProgress]]&lt;1,OR(N(Tasks[[#This Row],[Finish Var]])&gt;0,Tasks[[#This Row],[Status]]="Late Start")),MAX(0,Tasks[[#This Row],[Finish Var]])+1-Tasks[[#This Row],[_Row]]/1000000,"")</f>
        <v/>
      </c>
      <c r="DL21" s="41" t="str">
        <f aca="false">IF(AND(Tasks[[#This Row],[_IsLeaf]]=1,N(Tasks[[#This Row],[Actual Start]])=0,Tasks[[#This Row],[_LeafFcstStart]]&gt;=StatusDate,Tasks[[#This Row],[_LeafFcstStart]]&lt;=LookaheadEnd),Tasks[[#This Row],[_LeafFcstStart]]+Tasks[[#This Row],[_Row]]/100000,"")</f>
        <v/>
      </c>
      <c r="DM21" s="41" t="str">
        <f aca="false">IF(AND(Tasks[[#This Row],[_IsLeaf]]=1,Tasks[[#This Row],[_LeafProgress]]&lt;1,Tasks[[#This Row],[_LeafFcstFinish]]&gt;=StatusDate,Tasks[[#This Row],[_LeafFcstFinish]]&lt;=LookaheadEnd),Tasks[[#This Row],[_LeafFcstFinish]]+Tasks[[#This Row],[_Row]]/100000,"")</f>
        <v/>
      </c>
      <c r="DN21" s="41" t="str">
        <f aca="false">IF(Tasks[[#This Row],[_LeafCritical]],Tasks[[#This Row],[_LeafFcstStart]]+Tasks[[#This Row],[_Row]]/100000,"")</f>
        <v/>
      </c>
      <c r="DO21" s="41" t="n">
        <f aca="false">Tasks[[#This Row],[_LeafWork]]*Tasks[[#This Row],[_LeafProgress]]</f>
        <v>48</v>
      </c>
      <c r="DP21" s="100" t="n">
        <f aca="false">IF(AND(Tasks[[#This Row],[_IsLeaf]]=1,Tasks[[#This Row],[_LeafProgress]]&gt;=1),IF(N(Tasks[[#This Row],[Actual Finish]])&gt;0,Tasks[[#This Row],[Actual Finish]],Tasks[[#This Row],[_LeafFcstFinish]]),"")</f>
        <v>46311</v>
      </c>
      <c r="DQ21" s="41" t="n">
        <f aca="false">IF(Tasks[[#This Row],[_IsLeaf]]=1,N(Tasks[[#This Row],[Story Points]]),0)</f>
        <v>5</v>
      </c>
      <c r="DR21" s="41" t="str">
        <f aca="false">IF(AND(Tasks[[#This Row],[_IsLeaf]]=1,CurrentSprint&lt;&gt;"",Tasks[[#This Row],[Sprint]]=CurrentSprint),Tasks[[#This Row],[_Row]],"")</f>
        <v/>
      </c>
    </row>
    <row r="22" customFormat="false" ht="15" hidden="false" customHeight="false" outlineLevel="0" collapsed="false">
      <c r="A22" s="28" t="n">
        <f aca="false">IF(Tasks[[#This Row],[Task Name]]="","",COUNTA(Tasks[[#Headers],[Task Name]]:Tasks[[#This Row],[Task Name]])-1)</f>
        <v>17</v>
      </c>
      <c r="B22" s="29" t="n">
        <v>17</v>
      </c>
      <c r="C2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3.2.2</v>
      </c>
      <c r="D22" s="29" t="n">
        <v>3</v>
      </c>
      <c r="E22" s="30" t="s">
        <v>610</v>
      </c>
      <c r="F22" s="29" t="s">
        <v>584</v>
      </c>
      <c r="G22" s="29" t="n">
        <v>12</v>
      </c>
      <c r="H22" s="29" t="n">
        <v>16</v>
      </c>
      <c r="I22" s="29" t="s">
        <v>589</v>
      </c>
      <c r="J22" s="29"/>
      <c r="K22" s="29" t="n">
        <v>13</v>
      </c>
      <c r="L22" s="29" t="s">
        <v>595</v>
      </c>
      <c r="M22" s="29" t="n">
        <v>2</v>
      </c>
      <c r="N22" s="73"/>
      <c r="O22" s="73"/>
      <c r="P22" s="25" t="n">
        <f aca="false">IF(Tasks[[#This Row],[Task Name]]="","",IF(N(Tasks[[#This Row],[Baseline Start]])&gt;0,Tasks[[#This Row],[Baseline Start]],Tasks[[#This Row],[_CalcStart]]))</f>
        <v>46308</v>
      </c>
      <c r="Q22" s="25" t="n">
        <f aca="false">IF(Tasks[[#This Row],[Task Name]]="","",IF(N(Tasks[[#This Row],[Baseline Finish]])&gt;0,Tasks[[#This Row],[Baseline Finish]],Tasks[[#This Row],[_CalcFinish]]))</f>
        <v>46323</v>
      </c>
      <c r="R22" s="73" t="n">
        <v>46314</v>
      </c>
      <c r="S22" s="73"/>
      <c r="T22" s="25" t="n">
        <f aca="false">IF(Tasks[[#This Row],[Task Name]]="","",IF(Tasks[[#This Row],[_IsSummary]],MIN(INDEX(Tasks[_LeafFcstStart],Tasks[[#This Row],[_Row]]+1):INDEX(Tasks[_LeafFcstStart],Tasks[[#This Row],[_Row]]+Tasks[[#This Row],[_Descendants]])),Tasks[[#This Row],[_LeafFcstStart]]))</f>
        <v>46314</v>
      </c>
      <c r="U22" s="25" t="n">
        <f aca="false">IF(Tasks[[#This Row],[Task Name]]="","",IF(Tasks[[#This Row],[_IsSummary]],MAX(INDEX(Tasks[_LeafFcstFinish],Tasks[[#This Row],[_Row]]+1):INDEX(Tasks[_LeafFcstFinish],Tasks[[#This Row],[_Row]]+Tasks[[#This Row],[_Descendants]])),Tasks[[#This Row],[_LeafFcstFinish]]))</f>
        <v>46331</v>
      </c>
      <c r="V22" s="43" t="n">
        <f aca="false">IF(Tasks[[#This Row],[Task Name]]="","",IF(Tasks[[#This Row],[Forecast Start]]&gt;=Tasks[[#This Row],[Planned Start]],NETWORKDAYS.INTL(Tasks[[#This Row],[Planned Start]],Tasks[[#This Row],[Forecast Start]],WorkWeek,Holidays)-1,1-NETWORKDAYS.INTL(Tasks[[#This Row],[Forecast Start]],Tasks[[#This Row],[Planned Start]],WorkWeek,Holidays)))</f>
        <v>4</v>
      </c>
      <c r="W22"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X22" s="25" t="n">
        <f aca="false">IF(Tasks[[#This Row],[Task Name]]="","",IF(Tasks[[#This Row],[_IsSummary]],MIN(INDEX(Tasks[_LeafLateStart],Tasks[[#This Row],[_Row]]+1):INDEX(Tasks[_LeafLateStart],Tasks[[#This Row],[_Row]]+Tasks[[#This Row],[_Descendants]])),Tasks[[#This Row],[_LeafLateStart]]))</f>
        <v>46316</v>
      </c>
      <c r="Y22" s="25" t="n">
        <f aca="false">IF(Tasks[[#This Row],[Task Name]]="","",IF(Tasks[[#This Row],[_IsSummary]],MAX(INDEX(Tasks[_LeafLateFinish],Tasks[[#This Row],[_Row]]+1):INDEX(Tasks[_LeafLateFinish],Tasks[[#This Row],[_Row]]+Tasks[[#This Row],[_Descendants]])),Tasks[[#This Row],[_LeafLateFinish]]))</f>
        <v>46331</v>
      </c>
      <c r="Z22" s="43" t="n">
        <f aca="false">IF(Tasks[[#This Row],[Task Name]]="","",IF(Tasks[[#This Row],[_IsSummary]],MIN(INDEX(Tasks[_LeafTotalSlack],Tasks[[#This Row],[_Row]]+1):INDEX(Tasks[_LeafTotalSlack],Tasks[[#This Row],[_Row]]+Tasks[[#This Row],[_Descendants]])),Tasks[[#This Row],[_LeafTotalSlack]]))</f>
        <v>0</v>
      </c>
      <c r="AA22"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22" s="28" t="str">
        <f aca="false">IF(Tasks[[#This Row],[Task Name]]="","",IF(IF(Tasks[[#This Row],[_IsSummary]],COUNTIF(INDEX(Tasks[_LeafCritical],Tasks[[#This Row],[_Row]]+1):INDEX(Tasks[_LeafCritical],Tasks[[#This Row],[_Row]]+Tasks[[#This Row],[_Descendants]]),TRUE())&gt;0,Tasks[[#This Row],[_LeafCritical]]),"Yes",""))</f>
        <v>Yes</v>
      </c>
      <c r="AC2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2" s="24" t="str">
        <f aca="false">IF(Tasks[[#This Row],[Task Name]]="","",TRIM(IF(Tasks[[#This Row],[_Pred1Problem]]&lt;&gt;"","Pred 1: "&amp;Tasks[[#This Row],[_Pred1Problem]]&amp;". ","")&amp;IF(Tasks[[#This Row],[_Pred2Problem]]&lt;&gt;"","Pred 2: "&amp;Tasks[[#This Row],[_Pred2Problem]]&amp;".","")))</f>
        <v/>
      </c>
      <c r="AE22" s="88" t="n">
        <v>0.25</v>
      </c>
      <c r="AF22"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0.25</v>
      </c>
      <c r="AG22" s="28" t="str">
        <f aca="false">IF(Tasks[[#This Row],[Task Name]]="","",IF(Tasks[[#This Row],[Progress]]&gt;=1,"Complete",IF(OR(N(Tasks[[#This Row],[Actual Start]])&gt;0,Tasks[[#This Row],[Progress]]&gt;0),IF(Tasks[[#This Row],[Finish Var]]&gt;0,"Behind","In Progress"),IF(Tasks[[#This Row],[Planned Start]]&lt;StatusDate,"Late Start","Not Started"))))</f>
        <v>Behind</v>
      </c>
      <c r="AH22" s="30" t="s">
        <v>609</v>
      </c>
      <c r="AI22" s="88"/>
      <c r="AJ22" s="95" t="n">
        <f aca="false">IF(Tasks[[#This Row],[Task Name]]="","",IF(Tasks[[#This Row],[_IsSummary]],SUM(INDEX(Tasks[_LeafWork],Tasks[[#This Row],[_Row]]+1):INDEX(Tasks[_LeafWork],Tasks[[#This Row],[_Row]]+Tasks[[#This Row],[_Descendants]])),Tasks[[#This Row],[_LeafWork]]))</f>
        <v>96</v>
      </c>
      <c r="AK22" s="96" t="n">
        <f aca="false">IF(Tasks[[#This Row],[Task Name]]="","",IF(Tasks[[#This Row],[_IsSummary]],SUM(INDEX(Tasks[_LeafCost],Tasks[[#This Row],[_Row]]+1):INDEX(Tasks[_LeafCost],Tasks[[#This Row],[_Row]]+Tasks[[#This Row],[_Descendants]])),Tasks[[#This Row],[_LeafCost]]))</f>
        <v>7680</v>
      </c>
      <c r="AL22" s="97"/>
      <c r="AM22" s="29"/>
      <c r="AN2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4</v>
      </c>
      <c r="AO22" s="82" t="n">
        <v>8</v>
      </c>
      <c r="AP22" s="24" t="str">
        <f aca="false">IF(Tasks[[#This Row],[Task Name]]="","",Tasks[[#This Row],[_Pred1IDText]]&amp;IF(AND(Tasks[[#This Row],[_Pred1IDText]]&lt;&gt;"",Tasks[[#This Row],[_Pred2IDText]]&lt;&gt;""),",","")&amp;Tasks[[#This Row],[_Pred2IDText]])</f>
        <v>16,13SS+2d</v>
      </c>
      <c r="AQ22" s="30"/>
      <c r="AR22" s="25" t="n">
        <f aca="false">IF(Tasks[[#This Row],[Task Name]]="","",Tasks[[#This Row],[Forecast Start]])</f>
        <v>46314</v>
      </c>
      <c r="AS22" s="25" t="n">
        <f aca="false">IF(Tasks[[#This Row],[Task Name]]="","",Tasks[[#This Row],[Forecast Finish]])</f>
        <v>46331</v>
      </c>
      <c r="AT22" s="28" t="n">
        <f aca="false">IF(Tasks[[#This Row],[Task Name]]="","",IF(Tasks[[#This Row],[_IsSummary]],NETWORKDAYS.INTL(Tasks[[#This Row],[Forecast Start]],Tasks[[#This Row],[Forecast Finish]],WorkWeek,Holidays),N(Tasks[[#This Row],[Duration]])))</f>
        <v>12</v>
      </c>
      <c r="AU22" s="95" t="n">
        <f aca="false">IF(Tasks[[#This Row],[Task Name]]="","",Tasks[[#This Row],[Work]])</f>
        <v>96</v>
      </c>
      <c r="AV22" s="96" t="n">
        <f aca="false">IF(Tasks[[#This Row],[Task Name]]="","",Tasks[[#This Row],[Cost]])</f>
        <v>7680</v>
      </c>
      <c r="AW22" s="73"/>
      <c r="AX22" s="73"/>
      <c r="AY22" s="29"/>
      <c r="AZ22" s="98"/>
      <c r="BA22" s="97"/>
      <c r="BB22" s="28" t="str">
        <f aca="false">IF(OR(Tasks[[#This Row],[Task Name]]="",Tasks[[#This Row],[Baseline Duration]]=""),"",Tasks[[#This Row],[BL Source Duration]]-N(Tasks[[#This Row],[Baseline Duration]]))</f>
        <v/>
      </c>
      <c r="BC22" s="95" t="str">
        <f aca="false">IF(OR(Tasks[[#This Row],[Task Name]]="",Tasks[[#This Row],[Baseline Work]]=""),"",Tasks[[#This Row],[Work]]-N(Tasks[[#This Row],[Baseline Work]]))</f>
        <v/>
      </c>
      <c r="BD22" s="96" t="str">
        <f aca="false">IF(OR(Tasks[[#This Row],[Task Name]]="",Tasks[[#This Row],[Baseline Cost]]=""),"",Tasks[[#This Row],[Cost]]-N(Tasks[[#This Row],[Baseline Cost]]))</f>
        <v/>
      </c>
      <c r="BE22" s="96" t="n">
        <f aca="false">IF(Tasks[[#This Row],[Task Name]]="","",IF(Tasks[[#This Row],[_IsSummary]],SUM(INDEX(Tasks[_LeafBudget],Tasks[[#This Row],[_Row]]+1):INDEX(Tasks[_LeafBudget],Tasks[[#This Row],[_Row]]+Tasks[[#This Row],[_Descendants]])),Tasks[[#This Row],[_LeafBudget]]))</f>
        <v>7680</v>
      </c>
      <c r="BF22" s="96" t="n">
        <f aca="false">IF(Tasks[[#This Row],[Task Name]]="","",IF(Tasks[[#This Row],[_IsSummary]],SUM(INDEX(Tasks[_LeafPV],Tasks[[#This Row],[_Row]]+1):INDEX(Tasks[_LeafPV],Tasks[[#This Row],[_Row]]+Tasks[[#This Row],[_Descendants]])),Tasks[[#This Row],[_LeafPV]]))</f>
        <v>5760</v>
      </c>
      <c r="BG22" s="96" t="n">
        <f aca="false">IF(Tasks[[#This Row],[Task Name]]="","",IF(Tasks[[#This Row],[_IsSummary]],SUM(INDEX(Tasks[_LeafEV],Tasks[[#This Row],[_Row]]+1):INDEX(Tasks[_LeafEV],Tasks[[#This Row],[_Row]]+Tasks[[#This Row],[_Descendants]])),Tasks[[#This Row],[_LeafEV]]))</f>
        <v>1920</v>
      </c>
      <c r="BH22" s="96" t="n">
        <f aca="false">IF(Tasks[[#This Row],[Task Name]]="","",IF(Tasks[[#This Row],[_IsSummary]],SUM(INDEX(Tasks[_LeafAC],Tasks[[#This Row],[_Row]]+1):INDEX(Tasks[_LeafAC],Tasks[[#This Row],[_Row]]+Tasks[[#This Row],[_Descendants]])),Tasks[[#This Row],[_LeafAC]]))</f>
        <v>1920</v>
      </c>
      <c r="BI22" s="41" t="n">
        <f aca="false">IF(Tasks[[#This Row],[Task Name]]="","",MAX(1,N(Tasks[[#This Row],[Level]])))</f>
        <v>3</v>
      </c>
      <c r="BJ22" s="41" t="n">
        <f aca="false">ROW()-ROW(Tasks[[#Headers],[ID]])</f>
        <v>17</v>
      </c>
      <c r="BK22" s="41" t="n">
        <f aca="false">IF(OR(Tasks[[#This Row],[Task Name]]="",Tasks[[#This Row],[_Level]]&lt;=1),0,IFERROR(LOOKUP(2,1/(Tasks[[#Headers],[_Level]]:Tasks[[#This Row],[_Level]]=Tasks[[#This Row],[_Level]]-1),ROW(Tasks[[#Headers],[_Level]]:Tasks[[#This Row],[_Level]])),0))</f>
        <v>20</v>
      </c>
      <c r="BL22" s="41" t="n">
        <f aca="false">IFERROR(N(INDEX(Tasks[_Level],Tasks[[#This Row],[_Row]]+1)),0)</f>
        <v>3</v>
      </c>
      <c r="BM22" s="99" t="b">
        <f aca="false">AND(Tasks[[#This Row],[Task Name]]&lt;&gt;"",Tasks[[#This Row],[_NextLevel]]&gt;Tasks[[#This Row],[_Level]])</f>
        <v>0</v>
      </c>
      <c r="BN22" s="41" t="n">
        <f aca="false">IF(Tasks[[#This Row],[_IsSummary]],COUNTIF(Tasks[WBS],Tasks[[#This Row],[WBS]]&amp;".*"),0)</f>
        <v>0</v>
      </c>
      <c r="BO22" s="41" t="n">
        <f aca="false">IF(AND(Tasks[[#This Row],[Task Name]]&lt;&gt;"",NOT(Tasks[[#This Row],[_IsSummary]])),1,0)</f>
        <v>1</v>
      </c>
      <c r="BP22" s="41" t="n">
        <f aca="false">IF(N(Tasks[[#This Row],[Pred1 UID]])=0,0,IFERROR(MATCH(Tasks[[#This Row],[Pred1 UID]],Tasks[UID],0),-1))</f>
        <v>16</v>
      </c>
      <c r="BQ22" s="41" t="n">
        <f aca="false">IF(N(Tasks[[#This Row],[Pred2 UID]])=0,0,IFERROR(MATCH(Tasks[[#This Row],[Pred2 UID]],Tasks[UID],0),-1))</f>
        <v>13</v>
      </c>
      <c r="BR22" s="100"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46308</v>
      </c>
      <c r="BS22" s="100" t="n">
        <f aca="false">IF(NOT(Tasks[[#This Row],[_IsLeaf]]=1),"",IF(N(Tasks[[#This Row],[Duration]])&lt;=0,Tasks[[#This Row],[_LeafCalcStart]],WORKDAY.INTL(Tasks[[#This Row],[_LeafCalcStart]],Tasks[[#This Row],[Duration]]-1,WorkWeek,Holidays)))</f>
        <v>46323</v>
      </c>
      <c r="BT22" s="100"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46314</v>
      </c>
      <c r="BU22" s="100"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46331</v>
      </c>
      <c r="BV22" s="41" t="n">
        <f aca="false">IF(NOT(Tasks[[#This Row],[_IsLeaf]]=1),0,IF(N(Tasks[[#This Row],[Actual Finish]])&gt;0,1,MIN(1,N(Tasks[[#This Row],[% Complete]]))))</f>
        <v>0.25</v>
      </c>
      <c r="BW22" s="41" t="n">
        <f aca="false">IF(OR(NOT(Tasks[[#This Row],[_IsLeaf]]=1),Tasks[[#This Row],[Resource]]=""),0,N(Tasks[[#This Row],[Duration]])*HoursPerDay*IF(Tasks[[#This Row],[Units]]="",DefaultUnits,Tasks[[#This Row],[Units]]))</f>
        <v>96</v>
      </c>
      <c r="BX22" s="41" t="n">
        <f aca="false">IF(Tasks[[#This Row],[_LeafWork]]=0,0,Tasks[[#This Row],[_LeafWork]]*IFERROR(INDEX(res_Rate,MATCH(Tasks[[#This Row],[Resource]],res_Name,0)),0))</f>
        <v>7680</v>
      </c>
      <c r="BY22" s="101"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2912150</v>
      </c>
      <c r="BZ22" s="101" t="n">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2912140</v>
      </c>
      <c r="CA22"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B22" s="41" t="n">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100000</v>
      </c>
      <c r="CC22" s="41" t="n">
        <f aca="false">IF(NOT(Tasks[[#This Row],[_IsLeaf]]=1),0,MAX(_xlfn.MAXIFS(Tasks[_Row],Tasks[Pred1 UID],Tasks[[#This Row],[UID]]),_xlfn.MAXIFS(Tasks[_Row],Tasks[Pred2 UID],Tasks[[#This Row],[UID]])))</f>
        <v>18</v>
      </c>
      <c r="CD22" s="100"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46331</v>
      </c>
      <c r="CE22" s="100" t="n">
        <f aca="false">IF(NOT(Tasks[[#This Row],[_IsLeaf]]=1),"",MIN(ProjectFinish,IF(N(Tasks[[#This Row],[Deadline]])&gt;0,Tasks[[#This Row],[Deadline]],2958465),Tasks[[#This Row],[_SuccessorFinishLimit]]))</f>
        <v>46331</v>
      </c>
      <c r="CF22" s="100" t="n">
        <f aca="false">IF(NOT(Tasks[[#This Row],[_IsLeaf]]=1),"",IF(N(Tasks[[#This Row],[Duration]])&lt;=0,Tasks[[#This Row],[_LeafLateFinish]],WORKDAY.INTL(Tasks[[#This Row],[_LeafLateFinish]],-(Tasks[[#This Row],[Duration]]-1),WorkWeek,Holidays)))</f>
        <v>46316</v>
      </c>
      <c r="CG22"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CH22" s="99" t="b">
        <f aca="false">AND(Tasks[[#This Row],[_IsLeaf]]=1,Tasks[[#This Row],[_LeafProgress]]&lt;1,N(Tasks[[#This Row],[_LeafTotalSlack]])&lt;=CriticalSlackDays)</f>
        <v>1</v>
      </c>
      <c r="CI22" s="100" t="n">
        <f aca="false">IF(Tasks[[#This Row],[Task Name]]="","",IF(Tasks[[#This Row],[_IsSummary]],MIN(INDEX(Tasks[_LeafCalcStart],Tasks[[#This Row],[_Row]]+1):INDEX(Tasks[_LeafCalcStart],Tasks[[#This Row],[_Row]]+Tasks[[#This Row],[_Descendants]])),Tasks[[#This Row],[_LeafCalcStart]]))</f>
        <v>46308</v>
      </c>
      <c r="CJ22" s="100" t="n">
        <f aca="false">IF(Tasks[[#This Row],[Task Name]]="","",IF(Tasks[[#This Row],[_IsSummary]],MAX(INDEX(Tasks[_LeafCalcFinish],Tasks[[#This Row],[_Row]]+1):INDEX(Tasks[_LeafCalcFinish],Tasks[[#This Row],[_Row]]+Tasks[[#This Row],[_Descendants]])),Tasks[[#This Row],[_LeafCalcFinish]]))</f>
        <v>46323</v>
      </c>
      <c r="CK2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2"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46307</v>
      </c>
      <c r="CN22"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46308</v>
      </c>
      <c r="CO22"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46314</v>
      </c>
      <c r="CP22"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46314</v>
      </c>
      <c r="CQ22" s="41" t="n">
        <f aca="false">IF(AND(Tasks[[#This Row],[_IsLeaf]]=1,Tasks[[#This Row],[_LeafWork]]&gt;0),NETWORKDAYS.INTL(ProjectStart,Tasks[[#This Row],[_LeafFcstStart]],WorkWeek,Holidays),0)</f>
        <v>31</v>
      </c>
      <c r="CR22" s="41" t="n">
        <f aca="false">IF(AND(Tasks[[#This Row],[_IsLeaf]]=1,Tasks[[#This Row],[_LeafWork]]&gt;0),MAX(Tasks[[#This Row],[_StartWorkday]],NETWORKDAYS.INTL(ProjectStart,Tasks[[#This Row],[_LeafFcstFinish]],WorkWeek,Holidays)),0)</f>
        <v>44</v>
      </c>
      <c r="CS22" s="41" t="n">
        <f aca="false">IF(AND(Tasks[[#This Row],[_IsLeaf]]=1,Tasks[[#This Row],[_LeafWork]]&gt;0),Tasks[[#This Row],[_LeafWork]]/(Tasks[[#This Row],[_FinishWorkday]]-Tasks[[#This Row],[_StartWorkday]]+1),0)</f>
        <v>6.85714285714286</v>
      </c>
      <c r="CT22" s="41" t="n">
        <f aca="false">Tasks[[#This Row],[_WorkPerWorkday]]*(Tasks[[#This Row],[_StartWorkday]]-1)</f>
        <v>205.714285714286</v>
      </c>
      <c r="CU22" s="41" t="n">
        <f aca="false">IF(Tasks[[#This Row],[_IsLeaf]]=1,MAX(N(Tasks[[#This Row],[Duration]]),0.1),0)</f>
        <v>12</v>
      </c>
      <c r="CV22" s="41" t="n">
        <f aca="false">Tasks[[#This Row],[_WeightDur]]*Tasks[[#This Row],[_LeafProgress]]</f>
        <v>3</v>
      </c>
      <c r="CW2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16</v>
      </c>
      <c r="CX2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13SS+2d</v>
      </c>
      <c r="CY2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16</v>
      </c>
      <c r="CZ2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13SS+2d</v>
      </c>
      <c r="DA22" s="41" t="str">
        <f aca="false">IF(Tasks[[#This Row],[Task Name]]="","",Tasks[[#This Row],[_Pred1UIDText]]&amp;IF(AND(Tasks[[#This Row],[_Pred1UIDText]]&lt;&gt;"",Tasks[[#This Row],[_Pred2UIDText]]&lt;&gt;""),",","")&amp;Tasks[[#This Row],[_Pred2UIDText]])</f>
        <v>16,13SS+2d</v>
      </c>
      <c r="DB22" s="41" t="str">
        <f aca="false">IF(AND(Tasks[[#This Row],[_IsLeaf]]=1,N(Tasks[[#This Row],[Duration]])=0,Tasks[[#This Row],[_LeafProgress]]&lt;1),Tasks[[#This Row],[_LeafFcstFinish]]+Tasks[[#This Row],[_Row]]/100000,"")</f>
        <v/>
      </c>
      <c r="DC2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0.75</v>
      </c>
      <c r="DD22" s="41" t="n">
        <f aca="false">IF(NOT(Tasks[[#This Row],[_IsLeaf]]=1),0,IF(Tasks[[#This Row],[Baseline Cost]]="",Tasks[[#This Row],[_LeafCost]],N(Tasks[[#This Row],[Baseline Cost]])))</f>
        <v>7680</v>
      </c>
      <c r="DE22" s="41" t="n">
        <f aca="false">Tasks[[#This Row],[_LeafBudget]]*Tasks[[#This Row],[_PlannedPct]]</f>
        <v>5760</v>
      </c>
      <c r="DF22" s="41" t="n">
        <f aca="false">Tasks[[#This Row],[_LeafBudget]]*Tasks[[#This Row],[_LeafProgress]]</f>
        <v>1920</v>
      </c>
      <c r="DG22" s="41" t="n">
        <f aca="false">IF(NOT(Tasks[[#This Row],[_IsLeaf]]=1),0,IF(Tasks[[#This Row],[Actual Cost]]="",Tasks[[#This Row],[_LeafCost]]*Tasks[[#This Row],[_LeafProgress]],N(Tasks[[#This Row],[Actual Cost]])))</f>
        <v>1920</v>
      </c>
      <c r="DH22" s="41" t="str">
        <f aca="false">IF(Tasks[[#This Row],[Task Name]]="","",LEFT(Tasks[[#This Row],[WBS]],FIND(".",Tasks[[#This Row],[WBS]]&amp;".")-1))</f>
        <v>3</v>
      </c>
      <c r="DI22" s="41" t="str">
        <f aca="false">IF(AND(Tasks[[#This Row],[Task Name]]&lt;&gt;"",Tasks[[#This Row],[_Level]]=1),Tasks[[#This Row],[_Row]],"")</f>
        <v/>
      </c>
      <c r="DJ22" s="41" t="str">
        <f aca="false">IF(AND(Tasks[[#This Row],[_IsLeaf]]=1,N(Tasks[[#This Row],[Duration]])=0),Tasks[[#This Row],[Planned Finish]]+Tasks[[#This Row],[_Row]]/100000,"")</f>
        <v/>
      </c>
      <c r="DK22" s="41" t="n">
        <f aca="false">IF(AND(Tasks[[#This Row],[_IsLeaf]]=1,Tasks[[#This Row],[_LeafProgress]]&lt;1,OR(N(Tasks[[#This Row],[Finish Var]])&gt;0,Tasks[[#This Row],[Status]]="Late Start")),MAX(0,Tasks[[#This Row],[Finish Var]])+1-Tasks[[#This Row],[_Row]]/1000000,"")</f>
        <v>6.999983</v>
      </c>
      <c r="DL22" s="41" t="str">
        <f aca="false">IF(AND(Tasks[[#This Row],[_IsLeaf]]=1,N(Tasks[[#This Row],[Actual Start]])=0,Tasks[[#This Row],[_LeafFcstStart]]&gt;=StatusDate,Tasks[[#This Row],[_LeafFcstStart]]&lt;=LookaheadEnd),Tasks[[#This Row],[_LeafFcstStart]]+Tasks[[#This Row],[_Row]]/100000,"")</f>
        <v/>
      </c>
      <c r="DM22" s="101" t="n">
        <f aca="false">IF(AND(Tasks[[#This Row],[_IsLeaf]]=1,Tasks[[#This Row],[_LeafProgress]]&lt;1,Tasks[[#This Row],[_LeafFcstFinish]]&gt;=StatusDate,Tasks[[#This Row],[_LeafFcstFinish]]&lt;=LookaheadEnd),Tasks[[#This Row],[_LeafFcstFinish]]+Tasks[[#This Row],[_Row]]/100000,"")</f>
        <v>46331.00017</v>
      </c>
      <c r="DN22" s="101" t="n">
        <f aca="false">IF(Tasks[[#This Row],[_LeafCritical]],Tasks[[#This Row],[_LeafFcstStart]]+Tasks[[#This Row],[_Row]]/100000,"")</f>
        <v>46314.00017</v>
      </c>
      <c r="DO22" s="41" t="n">
        <f aca="false">Tasks[[#This Row],[_LeafWork]]*Tasks[[#This Row],[_LeafProgress]]</f>
        <v>24</v>
      </c>
      <c r="DP22" s="100" t="str">
        <f aca="false">IF(AND(Tasks[[#This Row],[_IsLeaf]]=1,Tasks[[#This Row],[_LeafProgress]]&gt;=1),IF(N(Tasks[[#This Row],[Actual Finish]])&gt;0,Tasks[[#This Row],[Actual Finish]],Tasks[[#This Row],[_LeafFcstFinish]]),"")</f>
        <v/>
      </c>
      <c r="DQ22" s="41" t="n">
        <f aca="false">IF(Tasks[[#This Row],[_IsLeaf]]=1,N(Tasks[[#This Row],[Story Points]]),0)</f>
        <v>8</v>
      </c>
      <c r="DR22" s="41" t="n">
        <f aca="false">IF(AND(Tasks[[#This Row],[_IsLeaf]]=1,CurrentSprint&lt;&gt;"",Tasks[[#This Row],[Sprint]]=CurrentSprint),Tasks[[#This Row],[_Row]],"")</f>
        <v>17</v>
      </c>
    </row>
    <row r="23" customFormat="false" ht="15" hidden="false" customHeight="false" outlineLevel="0" collapsed="false">
      <c r="A23" s="28" t="n">
        <f aca="false">IF(Tasks[[#This Row],[Task Name]]="","",COUNTA(Tasks[[#Headers],[Task Name]]:Tasks[[#This Row],[Task Name]])-1)</f>
        <v>18</v>
      </c>
      <c r="B23" s="29" t="n">
        <v>18</v>
      </c>
      <c r="C2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3.2.3</v>
      </c>
      <c r="D23" s="29" t="n">
        <v>3</v>
      </c>
      <c r="E23" s="30" t="s">
        <v>611</v>
      </c>
      <c r="F23" s="29" t="s">
        <v>584</v>
      </c>
      <c r="G23" s="29" t="n">
        <v>3</v>
      </c>
      <c r="H23" s="29" t="n">
        <v>17</v>
      </c>
      <c r="I23" s="29" t="s">
        <v>612</v>
      </c>
      <c r="J23" s="29" t="n">
        <v>1</v>
      </c>
      <c r="K23" s="29"/>
      <c r="L23" s="29"/>
      <c r="M23" s="29"/>
      <c r="N23" s="73"/>
      <c r="O23" s="73"/>
      <c r="P23" s="25" t="n">
        <f aca="false">IF(Tasks[[#This Row],[Task Name]]="","",IF(N(Tasks[[#This Row],[Baseline Start]])&gt;0,Tasks[[#This Row],[Baseline Start]],Tasks[[#This Row],[_CalcStart]]))</f>
        <v>46322</v>
      </c>
      <c r="Q23" s="25" t="n">
        <f aca="false">IF(Tasks[[#This Row],[Task Name]]="","",IF(N(Tasks[[#This Row],[Baseline Finish]])&gt;0,Tasks[[#This Row],[Baseline Finish]],Tasks[[#This Row],[_CalcFinish]]))</f>
        <v>46324</v>
      </c>
      <c r="R23" s="73"/>
      <c r="S23" s="73"/>
      <c r="T23" s="25" t="n">
        <f aca="false">IF(Tasks[[#This Row],[Task Name]]="","",IF(Tasks[[#This Row],[_IsSummary]],MIN(INDEX(Tasks[_LeafFcstStart],Tasks[[#This Row],[_Row]]+1):INDEX(Tasks[_LeafFcstStart],Tasks[[#This Row],[_Row]]+Tasks[[#This Row],[_Descendants]])),Tasks[[#This Row],[_LeafFcstStart]]))</f>
        <v>46330</v>
      </c>
      <c r="U23" s="25" t="n">
        <f aca="false">IF(Tasks[[#This Row],[Task Name]]="","",IF(Tasks[[#This Row],[_IsSummary]],MAX(INDEX(Tasks[_LeafFcstFinish],Tasks[[#This Row],[_Row]]+1):INDEX(Tasks[_LeafFcstFinish],Tasks[[#This Row],[_Row]]+Tasks[[#This Row],[_Descendants]])),Tasks[[#This Row],[_LeafFcstFinish]]))</f>
        <v>46332</v>
      </c>
      <c r="V23" s="43" t="n">
        <f aca="false">IF(Tasks[[#This Row],[Task Name]]="","",IF(Tasks[[#This Row],[Forecast Start]]&gt;=Tasks[[#This Row],[Planned Start]],NETWORKDAYS.INTL(Tasks[[#This Row],[Planned Start]],Tasks[[#This Row],[Forecast Start]],WorkWeek,Holidays)-1,1-NETWORKDAYS.INTL(Tasks[[#This Row],[Forecast Start]],Tasks[[#This Row],[Planned Start]],WorkWeek,Holidays)))</f>
        <v>6</v>
      </c>
      <c r="W23"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X23" s="25" t="n">
        <f aca="false">IF(Tasks[[#This Row],[Task Name]]="","",IF(Tasks[[#This Row],[_IsSummary]],MIN(INDEX(Tasks[_LeafLateStart],Tasks[[#This Row],[_Row]]+1):INDEX(Tasks[_LeafLateStart],Tasks[[#This Row],[_Row]]+Tasks[[#This Row],[_Descendants]])),Tasks[[#This Row],[_LeafLateStart]]))</f>
        <v>46330</v>
      </c>
      <c r="Y23" s="25" t="n">
        <f aca="false">IF(Tasks[[#This Row],[Task Name]]="","",IF(Tasks[[#This Row],[_IsSummary]],MAX(INDEX(Tasks[_LeafLateFinish],Tasks[[#This Row],[_Row]]+1):INDEX(Tasks[_LeafLateFinish],Tasks[[#This Row],[_Row]]+Tasks[[#This Row],[_Descendants]])),Tasks[[#This Row],[_LeafLateFinish]]))</f>
        <v>46332</v>
      </c>
      <c r="Z23" s="43" t="n">
        <f aca="false">IF(Tasks[[#This Row],[Task Name]]="","",IF(Tasks[[#This Row],[_IsSummary]],MIN(INDEX(Tasks[_LeafTotalSlack],Tasks[[#This Row],[_Row]]+1):INDEX(Tasks[_LeafTotalSlack],Tasks[[#This Row],[_Row]]+Tasks[[#This Row],[_Descendants]])),Tasks[[#This Row],[_LeafTotalSlack]]))</f>
        <v>0</v>
      </c>
      <c r="AA23"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23" s="28" t="str">
        <f aca="false">IF(Tasks[[#This Row],[Task Name]]="","",IF(IF(Tasks[[#This Row],[_IsSummary]],COUNTIF(INDEX(Tasks[_LeafCritical],Tasks[[#This Row],[_Row]]+1):INDEX(Tasks[_LeafCritical],Tasks[[#This Row],[_Row]]+Tasks[[#This Row],[_Descendants]]),TRUE())&gt;0,Tasks[[#This Row],[_LeafCritical]]),"Yes",""))</f>
        <v>Yes</v>
      </c>
      <c r="AC2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3" s="24" t="str">
        <f aca="false">IF(Tasks[[#This Row],[Task Name]]="","",TRIM(IF(Tasks[[#This Row],[_Pred1Problem]]&lt;&gt;"","Pred 1: "&amp;Tasks[[#This Row],[_Pred1Problem]]&amp;". ","")&amp;IF(Tasks[[#This Row],[_Pred2Problem]]&lt;&gt;"","Pred 2: "&amp;Tasks[[#This Row],[_Pred2Problem]]&amp;".","")))</f>
        <v/>
      </c>
      <c r="AE23" s="88"/>
      <c r="AF23"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23" s="28" t="str">
        <f aca="false">IF(Tasks[[#This Row],[Task Name]]="","",IF(Tasks[[#This Row],[Progress]]&gt;=1,"Complete",IF(OR(N(Tasks[[#This Row],[Actual Start]])&gt;0,Tasks[[#This Row],[Progress]]&gt;0),IF(Tasks[[#This Row],[Finish Var]]&gt;0,"Behind","In Progress"),IF(Tasks[[#This Row],[Planned Start]]&lt;StatusDate,"Late Start","Not Started"))))</f>
        <v>Not Started</v>
      </c>
      <c r="AH23" s="30" t="s">
        <v>281</v>
      </c>
      <c r="AI23" s="88" t="n">
        <v>0.5</v>
      </c>
      <c r="AJ23" s="95" t="n">
        <f aca="false">IF(Tasks[[#This Row],[Task Name]]="","",IF(Tasks[[#This Row],[_IsSummary]],SUM(INDEX(Tasks[_LeafWork],Tasks[[#This Row],[_Row]]+1):INDEX(Tasks[_LeafWork],Tasks[[#This Row],[_Row]]+Tasks[[#This Row],[_Descendants]])),Tasks[[#This Row],[_LeafWork]]))</f>
        <v>12</v>
      </c>
      <c r="AK23" s="96" t="n">
        <f aca="false">IF(Tasks[[#This Row],[Task Name]]="","",IF(Tasks[[#This Row],[_IsSummary]],SUM(INDEX(Tasks[_LeafCost],Tasks[[#This Row],[_Row]]+1):INDEX(Tasks[_LeafCost],Tasks[[#This Row],[_Row]]+Tasks[[#This Row],[_Descendants]])),Tasks[[#This Row],[_LeafCost]]))</f>
        <v>900</v>
      </c>
      <c r="AL23" s="97"/>
      <c r="AM23" s="29"/>
      <c r="AN2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5</v>
      </c>
      <c r="AO23" s="82" t="n">
        <v>3</v>
      </c>
      <c r="AP23" s="24" t="str">
        <f aca="false">IF(Tasks[[#This Row],[Task Name]]="","",Tasks[[#This Row],[_Pred1IDText]]&amp;IF(AND(Tasks[[#This Row],[_Pred1IDText]]&lt;&gt;"",Tasks[[#This Row],[_Pred2IDText]]&lt;&gt;""),",","")&amp;Tasks[[#This Row],[_Pred2IDText]])</f>
        <v>17FF+1d</v>
      </c>
      <c r="AQ23" s="30" t="s">
        <v>613</v>
      </c>
      <c r="AR23" s="25" t="n">
        <f aca="false">IF(Tasks[[#This Row],[Task Name]]="","",Tasks[[#This Row],[Forecast Start]])</f>
        <v>46330</v>
      </c>
      <c r="AS23" s="25" t="n">
        <f aca="false">IF(Tasks[[#This Row],[Task Name]]="","",Tasks[[#This Row],[Forecast Finish]])</f>
        <v>46332</v>
      </c>
      <c r="AT23" s="28" t="n">
        <f aca="false">IF(Tasks[[#This Row],[Task Name]]="","",IF(Tasks[[#This Row],[_IsSummary]],NETWORKDAYS.INTL(Tasks[[#This Row],[Forecast Start]],Tasks[[#This Row],[Forecast Finish]],WorkWeek,Holidays),N(Tasks[[#This Row],[Duration]])))</f>
        <v>3</v>
      </c>
      <c r="AU23" s="95" t="n">
        <f aca="false">IF(Tasks[[#This Row],[Task Name]]="","",Tasks[[#This Row],[Work]])</f>
        <v>12</v>
      </c>
      <c r="AV23" s="96" t="n">
        <f aca="false">IF(Tasks[[#This Row],[Task Name]]="","",Tasks[[#This Row],[Cost]])</f>
        <v>900</v>
      </c>
      <c r="AW23" s="73"/>
      <c r="AX23" s="73"/>
      <c r="AY23" s="29"/>
      <c r="AZ23" s="98"/>
      <c r="BA23" s="97"/>
      <c r="BB23" s="28" t="str">
        <f aca="false">IF(OR(Tasks[[#This Row],[Task Name]]="",Tasks[[#This Row],[Baseline Duration]]=""),"",Tasks[[#This Row],[BL Source Duration]]-N(Tasks[[#This Row],[Baseline Duration]]))</f>
        <v/>
      </c>
      <c r="BC23" s="95" t="str">
        <f aca="false">IF(OR(Tasks[[#This Row],[Task Name]]="",Tasks[[#This Row],[Baseline Work]]=""),"",Tasks[[#This Row],[Work]]-N(Tasks[[#This Row],[Baseline Work]]))</f>
        <v/>
      </c>
      <c r="BD23" s="96" t="str">
        <f aca="false">IF(OR(Tasks[[#This Row],[Task Name]]="",Tasks[[#This Row],[Baseline Cost]]=""),"",Tasks[[#This Row],[Cost]]-N(Tasks[[#This Row],[Baseline Cost]]))</f>
        <v/>
      </c>
      <c r="BE23" s="96" t="n">
        <f aca="false">IF(Tasks[[#This Row],[Task Name]]="","",IF(Tasks[[#This Row],[_IsSummary]],SUM(INDEX(Tasks[_LeafBudget],Tasks[[#This Row],[_Row]]+1):INDEX(Tasks[_LeafBudget],Tasks[[#This Row],[_Row]]+Tasks[[#This Row],[_Descendants]])),Tasks[[#This Row],[_LeafBudget]]))</f>
        <v>900</v>
      </c>
      <c r="BF23" s="96" t="n">
        <f aca="false">IF(Tasks[[#This Row],[Task Name]]="","",IF(Tasks[[#This Row],[_IsSummary]],SUM(INDEX(Tasks[_LeafPV],Tasks[[#This Row],[_Row]]+1):INDEX(Tasks[_LeafPV],Tasks[[#This Row],[_Row]]+Tasks[[#This Row],[_Descendants]])),Tasks[[#This Row],[_LeafPV]]))</f>
        <v>0</v>
      </c>
      <c r="BG23" s="96" t="n">
        <f aca="false">IF(Tasks[[#This Row],[Task Name]]="","",IF(Tasks[[#This Row],[_IsSummary]],SUM(INDEX(Tasks[_LeafEV],Tasks[[#This Row],[_Row]]+1):INDEX(Tasks[_LeafEV],Tasks[[#This Row],[_Row]]+Tasks[[#This Row],[_Descendants]])),Tasks[[#This Row],[_LeafEV]]))</f>
        <v>0</v>
      </c>
      <c r="BH23" s="96" t="n">
        <f aca="false">IF(Tasks[[#This Row],[Task Name]]="","",IF(Tasks[[#This Row],[_IsSummary]],SUM(INDEX(Tasks[_LeafAC],Tasks[[#This Row],[_Row]]+1):INDEX(Tasks[_LeafAC],Tasks[[#This Row],[_Row]]+Tasks[[#This Row],[_Descendants]])),Tasks[[#This Row],[_LeafAC]]))</f>
        <v>0</v>
      </c>
      <c r="BI23" s="41" t="n">
        <f aca="false">IF(Tasks[[#This Row],[Task Name]]="","",MAX(1,N(Tasks[[#This Row],[Level]])))</f>
        <v>3</v>
      </c>
      <c r="BJ23" s="41" t="n">
        <f aca="false">ROW()-ROW(Tasks[[#Headers],[ID]])</f>
        <v>18</v>
      </c>
      <c r="BK23" s="41" t="n">
        <f aca="false">IF(OR(Tasks[[#This Row],[Task Name]]="",Tasks[[#This Row],[_Level]]&lt;=1),0,IFERROR(LOOKUP(2,1/(Tasks[[#Headers],[_Level]]:Tasks[[#This Row],[_Level]]=Tasks[[#This Row],[_Level]]-1),ROW(Tasks[[#Headers],[_Level]]:Tasks[[#This Row],[_Level]])),0))</f>
        <v>20</v>
      </c>
      <c r="BL23" s="41" t="n">
        <f aca="false">IFERROR(N(INDEX(Tasks[_Level],Tasks[[#This Row],[_Row]]+1)),0)</f>
        <v>2</v>
      </c>
      <c r="BM23" s="99" t="b">
        <f aca="false">AND(Tasks[[#This Row],[Task Name]]&lt;&gt;"",Tasks[[#This Row],[_NextLevel]]&gt;Tasks[[#This Row],[_Level]])</f>
        <v>0</v>
      </c>
      <c r="BN23" s="41" t="n">
        <f aca="false">IF(Tasks[[#This Row],[_IsSummary]],COUNTIF(Tasks[WBS],Tasks[[#This Row],[WBS]]&amp;".*"),0)</f>
        <v>0</v>
      </c>
      <c r="BO23" s="41" t="n">
        <f aca="false">IF(AND(Tasks[[#This Row],[Task Name]]&lt;&gt;"",NOT(Tasks[[#This Row],[_IsSummary]])),1,0)</f>
        <v>1</v>
      </c>
      <c r="BP23" s="41" t="n">
        <f aca="false">IF(N(Tasks[[#This Row],[Pred1 UID]])=0,0,IFERROR(MATCH(Tasks[[#This Row],[Pred1 UID]],Tasks[UID],0),-1))</f>
        <v>17</v>
      </c>
      <c r="BQ23" s="41" t="n">
        <f aca="false">IF(N(Tasks[[#This Row],[Pred2 UID]])=0,0,IFERROR(MATCH(Tasks[[#This Row],[Pred2 UID]],Tasks[UID],0),-1))</f>
        <v>0</v>
      </c>
      <c r="BR23" s="100"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46322</v>
      </c>
      <c r="BS23" s="100" t="n">
        <f aca="false">IF(NOT(Tasks[[#This Row],[_IsLeaf]]=1),"",IF(N(Tasks[[#This Row],[Duration]])&lt;=0,Tasks[[#This Row],[_LeafCalcStart]],WORKDAY.INTL(Tasks[[#This Row],[_LeafCalcStart]],Tasks[[#This Row],[Duration]]-1,WorkWeek,Holidays)))</f>
        <v>46324</v>
      </c>
      <c r="BT23" s="100"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46330</v>
      </c>
      <c r="BU23" s="100"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46332</v>
      </c>
      <c r="BV23" s="41" t="n">
        <f aca="false">IF(NOT(Tasks[[#This Row],[_IsLeaf]]=1),0,IF(N(Tasks[[#This Row],[Actual Finish]])&gt;0,1,MIN(1,N(Tasks[[#This Row],[% Complete]]))))</f>
        <v>0</v>
      </c>
      <c r="BW23" s="41" t="n">
        <f aca="false">IF(OR(NOT(Tasks[[#This Row],[_IsLeaf]]=1),Tasks[[#This Row],[Resource]]=""),0,N(Tasks[[#This Row],[Duration]])*HoursPerDay*IF(Tasks[[#This Row],[Units]]="",DefaultUnits,Tasks[[#This Row],[Units]]))</f>
        <v>12</v>
      </c>
      <c r="BX23" s="41" t="n">
        <f aca="false">IF(Tasks[[#This Row],[_LeafWork]]=0,0,Tasks[[#This Row],[_LeafWork]]*IFERROR(INDEX(res_Rate,MATCH(Tasks[[#This Row],[Resource]],res_Name,0)),0))</f>
        <v>900</v>
      </c>
      <c r="BY23" s="101"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2912134</v>
      </c>
      <c r="BZ2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3"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B2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3" s="41" t="n">
        <f aca="false">IF(NOT(Tasks[[#This Row],[_IsLeaf]]=1),0,MAX(_xlfn.MAXIFS(Tasks[_Row],Tasks[Pred1 UID],Tasks[[#This Row],[UID]]),_xlfn.MAXIFS(Tasks[_Row],Tasks[Pred2 UID],Tasks[[#This Row],[UID]])))</f>
        <v>19</v>
      </c>
      <c r="CD23" s="100"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46332</v>
      </c>
      <c r="CE23" s="100" t="n">
        <f aca="false">IF(NOT(Tasks[[#This Row],[_IsLeaf]]=1),"",MIN(ProjectFinish,IF(N(Tasks[[#This Row],[Deadline]])&gt;0,Tasks[[#This Row],[Deadline]],2958465),Tasks[[#This Row],[_SuccessorFinishLimit]]))</f>
        <v>46332</v>
      </c>
      <c r="CF23" s="100" t="n">
        <f aca="false">IF(NOT(Tasks[[#This Row],[_IsLeaf]]=1),"",IF(N(Tasks[[#This Row],[Duration]])&lt;=0,Tasks[[#This Row],[_LeafLateFinish]],WORKDAY.INTL(Tasks[[#This Row],[_LeafLateFinish]],-(Tasks[[#This Row],[Duration]]-1),WorkWeek,Holidays)))</f>
        <v>46330</v>
      </c>
      <c r="CG23"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CH23" s="99" t="b">
        <f aca="false">AND(Tasks[[#This Row],[_IsLeaf]]=1,Tasks[[#This Row],[_LeafProgress]]&lt;1,N(Tasks[[#This Row],[_LeafTotalSlack]])&lt;=CriticalSlackDays)</f>
        <v>1</v>
      </c>
      <c r="CI23" s="100" t="n">
        <f aca="false">IF(Tasks[[#This Row],[Task Name]]="","",IF(Tasks[[#This Row],[_IsSummary]],MIN(INDEX(Tasks[_LeafCalcStart],Tasks[[#This Row],[_Row]]+1):INDEX(Tasks[_LeafCalcStart],Tasks[[#This Row],[_Row]]+Tasks[[#This Row],[_Descendants]])),Tasks[[#This Row],[_LeafCalcStart]]))</f>
        <v>46322</v>
      </c>
      <c r="CJ23" s="100" t="n">
        <f aca="false">IF(Tasks[[#This Row],[Task Name]]="","",IF(Tasks[[#This Row],[_IsSummary]],MAX(INDEX(Tasks[_LeafCalcFinish],Tasks[[#This Row],[_Row]]+1):INDEX(Tasks[_LeafCalcFinish],Tasks[[#This Row],[_Row]]+Tasks[[#This Row],[_Descendants]])),Tasks[[#This Row],[_LeafCalcFinish]]))</f>
        <v>46324</v>
      </c>
      <c r="CK2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3"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46322</v>
      </c>
      <c r="CN23"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3"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46330</v>
      </c>
      <c r="CP23"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3" s="41" t="n">
        <f aca="false">IF(AND(Tasks[[#This Row],[_IsLeaf]]=1,Tasks[[#This Row],[_LeafWork]]&gt;0),NETWORKDAYS.INTL(ProjectStart,Tasks[[#This Row],[_LeafFcstStart]],WorkWeek,Holidays),0)</f>
        <v>43</v>
      </c>
      <c r="CR23" s="41" t="n">
        <f aca="false">IF(AND(Tasks[[#This Row],[_IsLeaf]]=1,Tasks[[#This Row],[_LeafWork]]&gt;0),MAX(Tasks[[#This Row],[_StartWorkday]],NETWORKDAYS.INTL(ProjectStart,Tasks[[#This Row],[_LeafFcstFinish]],WorkWeek,Holidays)),0)</f>
        <v>45</v>
      </c>
      <c r="CS23" s="41" t="n">
        <f aca="false">IF(AND(Tasks[[#This Row],[_IsLeaf]]=1,Tasks[[#This Row],[_LeafWork]]&gt;0),Tasks[[#This Row],[_LeafWork]]/(Tasks[[#This Row],[_FinishWorkday]]-Tasks[[#This Row],[_StartWorkday]]+1),0)</f>
        <v>4</v>
      </c>
      <c r="CT23" s="41" t="n">
        <f aca="false">Tasks[[#This Row],[_WorkPerWorkday]]*(Tasks[[#This Row],[_StartWorkday]]-1)</f>
        <v>168</v>
      </c>
      <c r="CU23" s="41" t="n">
        <f aca="false">IF(Tasks[[#This Row],[_IsLeaf]]=1,MAX(N(Tasks[[#This Row],[Duration]]),0.1),0)</f>
        <v>3</v>
      </c>
      <c r="CV23" s="41" t="n">
        <f aca="false">Tasks[[#This Row],[_WeightDur]]*Tasks[[#This Row],[_LeafProgress]]</f>
        <v>0</v>
      </c>
      <c r="CW2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17FF+1d</v>
      </c>
      <c r="CX2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17FF+1d</v>
      </c>
      <c r="CZ2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3" s="41" t="str">
        <f aca="false">IF(Tasks[[#This Row],[Task Name]]="","",Tasks[[#This Row],[_Pred1UIDText]]&amp;IF(AND(Tasks[[#This Row],[_Pred1UIDText]]&lt;&gt;"",Tasks[[#This Row],[_Pred2UIDText]]&lt;&gt;""),",","")&amp;Tasks[[#This Row],[_Pred2UIDText]])</f>
        <v>17FF+1d</v>
      </c>
      <c r="DB23" s="41" t="str">
        <f aca="false">IF(AND(Tasks[[#This Row],[_IsLeaf]]=1,N(Tasks[[#This Row],[Duration]])=0,Tasks[[#This Row],[_LeafProgress]]&lt;1),Tasks[[#This Row],[_LeafFcstFinish]]+Tasks[[#This Row],[_Row]]/100000,"")</f>
        <v/>
      </c>
      <c r="DC2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3" s="41" t="n">
        <f aca="false">IF(NOT(Tasks[[#This Row],[_IsLeaf]]=1),0,IF(Tasks[[#This Row],[Baseline Cost]]="",Tasks[[#This Row],[_LeafCost]],N(Tasks[[#This Row],[Baseline Cost]])))</f>
        <v>900</v>
      </c>
      <c r="DE23" s="41" t="n">
        <f aca="false">Tasks[[#This Row],[_LeafBudget]]*Tasks[[#This Row],[_PlannedPct]]</f>
        <v>0</v>
      </c>
      <c r="DF23" s="41" t="n">
        <f aca="false">Tasks[[#This Row],[_LeafBudget]]*Tasks[[#This Row],[_LeafProgress]]</f>
        <v>0</v>
      </c>
      <c r="DG23" s="41" t="n">
        <f aca="false">IF(NOT(Tasks[[#This Row],[_IsLeaf]]=1),0,IF(Tasks[[#This Row],[Actual Cost]]="",Tasks[[#This Row],[_LeafCost]]*Tasks[[#This Row],[_LeafProgress]],N(Tasks[[#This Row],[Actual Cost]])))</f>
        <v>0</v>
      </c>
      <c r="DH23" s="41" t="str">
        <f aca="false">IF(Tasks[[#This Row],[Task Name]]="","",LEFT(Tasks[[#This Row],[WBS]],FIND(".",Tasks[[#This Row],[WBS]]&amp;".")-1))</f>
        <v>3</v>
      </c>
      <c r="DI23" s="41" t="str">
        <f aca="false">IF(AND(Tasks[[#This Row],[Task Name]]&lt;&gt;"",Tasks[[#This Row],[_Level]]=1),Tasks[[#This Row],[_Row]],"")</f>
        <v/>
      </c>
      <c r="DJ23" s="41" t="str">
        <f aca="false">IF(AND(Tasks[[#This Row],[_IsLeaf]]=1,N(Tasks[[#This Row],[Duration]])=0),Tasks[[#This Row],[Planned Finish]]+Tasks[[#This Row],[_Row]]/100000,"")</f>
        <v/>
      </c>
      <c r="DK23" s="41" t="n">
        <f aca="false">IF(AND(Tasks[[#This Row],[_IsLeaf]]=1,Tasks[[#This Row],[_LeafProgress]]&lt;1,OR(N(Tasks[[#This Row],[Finish Var]])&gt;0,Tasks[[#This Row],[Status]]="Late Start")),MAX(0,Tasks[[#This Row],[Finish Var]])+1-Tasks[[#This Row],[_Row]]/1000000,"")</f>
        <v>6.999982</v>
      </c>
      <c r="DL23" s="101" t="n">
        <f aca="false">IF(AND(Tasks[[#This Row],[_IsLeaf]]=1,N(Tasks[[#This Row],[Actual Start]])=0,Tasks[[#This Row],[_LeafFcstStart]]&gt;=StatusDate,Tasks[[#This Row],[_LeafFcstStart]]&lt;=LookaheadEnd),Tasks[[#This Row],[_LeafFcstStart]]+Tasks[[#This Row],[_Row]]/100000,"")</f>
        <v>46330.00018</v>
      </c>
      <c r="DM23" s="101" t="n">
        <f aca="false">IF(AND(Tasks[[#This Row],[_IsLeaf]]=1,Tasks[[#This Row],[_LeafProgress]]&lt;1,Tasks[[#This Row],[_LeafFcstFinish]]&gt;=StatusDate,Tasks[[#This Row],[_LeafFcstFinish]]&lt;=LookaheadEnd),Tasks[[#This Row],[_LeafFcstFinish]]+Tasks[[#This Row],[_Row]]/100000,"")</f>
        <v>46332.00018</v>
      </c>
      <c r="DN23" s="101" t="n">
        <f aca="false">IF(Tasks[[#This Row],[_LeafCritical]],Tasks[[#This Row],[_LeafFcstStart]]+Tasks[[#This Row],[_Row]]/100000,"")</f>
        <v>46330.00018</v>
      </c>
      <c r="DO23" s="41" t="n">
        <f aca="false">Tasks[[#This Row],[_LeafWork]]*Tasks[[#This Row],[_LeafProgress]]</f>
        <v>0</v>
      </c>
      <c r="DP23" s="100" t="str">
        <f aca="false">IF(AND(Tasks[[#This Row],[_IsLeaf]]=1,Tasks[[#This Row],[_LeafProgress]]&gt;=1),IF(N(Tasks[[#This Row],[Actual Finish]])&gt;0,Tasks[[#This Row],[Actual Finish]],Tasks[[#This Row],[_LeafFcstFinish]]),"")</f>
        <v/>
      </c>
      <c r="DQ23" s="41" t="n">
        <f aca="false">IF(Tasks[[#This Row],[_IsLeaf]]=1,N(Tasks[[#This Row],[Story Points]]),0)</f>
        <v>3</v>
      </c>
      <c r="DR23" s="41" t="str">
        <f aca="false">IF(AND(Tasks[[#This Row],[_IsLeaf]]=1,CurrentSprint&lt;&gt;"",Tasks[[#This Row],[Sprint]]=CurrentSprint),Tasks[[#This Row],[_Row]],"")</f>
        <v/>
      </c>
    </row>
    <row r="24" customFormat="false" ht="15" hidden="false" customHeight="false" outlineLevel="0" collapsed="false">
      <c r="A24" s="28" t="n">
        <f aca="false">IF(Tasks[[#This Row],[Task Name]]="","",COUNTA(Tasks[[#Headers],[Task Name]]:Tasks[[#This Row],[Task Name]])-1)</f>
        <v>19</v>
      </c>
      <c r="B24" s="29" t="n">
        <v>19</v>
      </c>
      <c r="C2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3.3</v>
      </c>
      <c r="D24" s="29" t="n">
        <v>2</v>
      </c>
      <c r="E24" s="30" t="s">
        <v>614</v>
      </c>
      <c r="F24" s="29" t="s">
        <v>584</v>
      </c>
      <c r="G24" s="29" t="n">
        <v>0</v>
      </c>
      <c r="H24" s="29" t="n">
        <v>14</v>
      </c>
      <c r="I24" s="29" t="s">
        <v>589</v>
      </c>
      <c r="J24" s="29"/>
      <c r="K24" s="29" t="n">
        <v>18</v>
      </c>
      <c r="L24" s="29" t="s">
        <v>589</v>
      </c>
      <c r="M24" s="29"/>
      <c r="N24" s="73"/>
      <c r="O24" s="73" t="n">
        <v>46332</v>
      </c>
      <c r="P24" s="25" t="n">
        <f aca="false">IF(Tasks[[#This Row],[Task Name]]="","",IF(N(Tasks[[#This Row],[Baseline Start]])&gt;0,Tasks[[#This Row],[Baseline Start]],Tasks[[#This Row],[_CalcStart]]))</f>
        <v>46325</v>
      </c>
      <c r="Q24" s="25" t="n">
        <f aca="false">IF(Tasks[[#This Row],[Task Name]]="","",IF(N(Tasks[[#This Row],[Baseline Finish]])&gt;0,Tasks[[#This Row],[Baseline Finish]],Tasks[[#This Row],[_CalcFinish]]))</f>
        <v>46325</v>
      </c>
      <c r="R24" s="73"/>
      <c r="S24" s="73"/>
      <c r="T24" s="25" t="n">
        <f aca="false">IF(Tasks[[#This Row],[Task Name]]="","",IF(Tasks[[#This Row],[_IsSummary]],MIN(INDEX(Tasks[_LeafFcstStart],Tasks[[#This Row],[_Row]]+1):INDEX(Tasks[_LeafFcstStart],Tasks[[#This Row],[_Row]]+Tasks[[#This Row],[_Descendants]])),Tasks[[#This Row],[_LeafFcstStart]]))</f>
        <v>46335</v>
      </c>
      <c r="U24" s="25" t="n">
        <f aca="false">IF(Tasks[[#This Row],[Task Name]]="","",IF(Tasks[[#This Row],[_IsSummary]],MAX(INDEX(Tasks[_LeafFcstFinish],Tasks[[#This Row],[_Row]]+1):INDEX(Tasks[_LeafFcstFinish],Tasks[[#This Row],[_Row]]+Tasks[[#This Row],[_Descendants]])),Tasks[[#This Row],[_LeafFcstFinish]]))</f>
        <v>46335</v>
      </c>
      <c r="V24" s="43" t="n">
        <f aca="false">IF(Tasks[[#This Row],[Task Name]]="","",IF(Tasks[[#This Row],[Forecast Start]]&gt;=Tasks[[#This Row],[Planned Start]],NETWORKDAYS.INTL(Tasks[[#This Row],[Planned Start]],Tasks[[#This Row],[Forecast Start]],WorkWeek,Holidays)-1,1-NETWORKDAYS.INTL(Tasks[[#This Row],[Forecast Start]],Tasks[[#This Row],[Planned Start]],WorkWeek,Holidays)))</f>
        <v>6</v>
      </c>
      <c r="W24"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X24" s="25" t="n">
        <f aca="false">IF(Tasks[[#This Row],[Task Name]]="","",IF(Tasks[[#This Row],[_IsSummary]],MIN(INDEX(Tasks[_LeafLateStart],Tasks[[#This Row],[_Row]]+1):INDEX(Tasks[_LeafLateStart],Tasks[[#This Row],[_Row]]+Tasks[[#This Row],[_Descendants]])),Tasks[[#This Row],[_LeafLateStart]]))</f>
        <v>46332</v>
      </c>
      <c r="Y24" s="25" t="n">
        <f aca="false">IF(Tasks[[#This Row],[Task Name]]="","",IF(Tasks[[#This Row],[_IsSummary]],MAX(INDEX(Tasks[_LeafLateFinish],Tasks[[#This Row],[_Row]]+1):INDEX(Tasks[_LeafLateFinish],Tasks[[#This Row],[_Row]]+Tasks[[#This Row],[_Descendants]])),Tasks[[#This Row],[_LeafLateFinish]]))</f>
        <v>46332</v>
      </c>
      <c r="Z24" s="43" t="n">
        <f aca="false">IF(Tasks[[#This Row],[Task Name]]="","",IF(Tasks[[#This Row],[_IsSummary]],MIN(INDEX(Tasks[_LeafTotalSlack],Tasks[[#This Row],[_Row]]+1):INDEX(Tasks[_LeafTotalSlack],Tasks[[#This Row],[_Row]]+Tasks[[#This Row],[_Descendants]])),Tasks[[#This Row],[_LeafTotalSlack]]))</f>
        <v>-1</v>
      </c>
      <c r="AA24"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-1</v>
      </c>
      <c r="AB24" s="28" t="str">
        <f aca="false">IF(Tasks[[#This Row],[Task Name]]="","",IF(IF(Tasks[[#This Row],[_IsSummary]],COUNTIF(INDEX(Tasks[_LeafCritical],Tasks[[#This Row],[_Row]]+1):INDEX(Tasks[_LeafCritical],Tasks[[#This Row],[_Row]]+Tasks[[#This Row],[_Descendants]]),TRUE())&gt;0,Tasks[[#This Row],[_LeafCritical]]),"Yes",""))</f>
        <v>Yes</v>
      </c>
      <c r="AC2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Late by 1d</v>
      </c>
      <c r="AD24" s="24" t="str">
        <f aca="false">IF(Tasks[[#This Row],[Task Name]]="","",TRIM(IF(Tasks[[#This Row],[_Pred1Problem]]&lt;&gt;"","Pred 1: "&amp;Tasks[[#This Row],[_Pred1Problem]]&amp;". ","")&amp;IF(Tasks[[#This Row],[_Pred2Problem]]&lt;&gt;"","Pred 2: "&amp;Tasks[[#This Row],[_Pred2Problem]]&amp;".","")))</f>
        <v/>
      </c>
      <c r="AE24" s="88"/>
      <c r="AF24"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24" s="28" t="str">
        <f aca="false">IF(Tasks[[#This Row],[Task Name]]="","",IF(Tasks[[#This Row],[Progress]]&gt;=1,"Complete",IF(OR(N(Tasks[[#This Row],[Actual Start]])&gt;0,Tasks[[#This Row],[Progress]]&gt;0),IF(Tasks[[#This Row],[Finish Var]]&gt;0,"Behind","In Progress"),IF(Tasks[[#This Row],[Planned Start]]&lt;StatusDate,"Late Start","Not Started"))))</f>
        <v>Not Started</v>
      </c>
      <c r="AH24" s="30"/>
      <c r="AI24" s="88"/>
      <c r="AJ24" s="95" t="n">
        <f aca="false">IF(Tasks[[#This Row],[Task Name]]="","",IF(Tasks[[#This Row],[_IsSummary]],SUM(INDEX(Tasks[_LeafWork],Tasks[[#This Row],[_Row]]+1):INDEX(Tasks[_LeafWork],Tasks[[#This Row],[_Row]]+Tasks[[#This Row],[_Descendants]])),Tasks[[#This Row],[_LeafWork]]))</f>
        <v>0</v>
      </c>
      <c r="AK24" s="96" t="n">
        <f aca="false">IF(Tasks[[#This Row],[Task Name]]="","",IF(Tasks[[#This Row],[_IsSummary]],SUM(INDEX(Tasks[_LeafCost],Tasks[[#This Row],[_Row]]+1):INDEX(Tasks[_LeafCost],Tasks[[#This Row],[_Row]]+Tasks[[#This Row],[_Descendants]])),Tasks[[#This Row],[_LeafCost]]))</f>
        <v>0</v>
      </c>
      <c r="AL24" s="97"/>
      <c r="AM24" s="29"/>
      <c r="AN2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5</v>
      </c>
      <c r="AO24" s="82"/>
      <c r="AP24" s="24" t="str">
        <f aca="false">IF(Tasks[[#This Row],[Task Name]]="","",Tasks[[#This Row],[_Pred1IDText]]&amp;IF(AND(Tasks[[#This Row],[_Pred1IDText]]&lt;&gt;"",Tasks[[#This Row],[_Pred2IDText]]&lt;&gt;""),",","")&amp;Tasks[[#This Row],[_Pred2IDText]])</f>
        <v>14,18</v>
      </c>
      <c r="AQ24" s="30" t="s">
        <v>615</v>
      </c>
      <c r="AR24" s="25" t="n">
        <f aca="false">IF(Tasks[[#This Row],[Task Name]]="","",Tasks[[#This Row],[Forecast Start]])</f>
        <v>46335</v>
      </c>
      <c r="AS24" s="25" t="n">
        <f aca="false">IF(Tasks[[#This Row],[Task Name]]="","",Tasks[[#This Row],[Forecast Finish]])</f>
        <v>46335</v>
      </c>
      <c r="AT24" s="28" t="n">
        <f aca="false">IF(Tasks[[#This Row],[Task Name]]="","",IF(Tasks[[#This Row],[_IsSummary]],NETWORKDAYS.INTL(Tasks[[#This Row],[Forecast Start]],Tasks[[#This Row],[Forecast Finish]],WorkWeek,Holidays),N(Tasks[[#This Row],[Duration]])))</f>
        <v>0</v>
      </c>
      <c r="AU24" s="95" t="n">
        <f aca="false">IF(Tasks[[#This Row],[Task Name]]="","",Tasks[[#This Row],[Work]])</f>
        <v>0</v>
      </c>
      <c r="AV24" s="96" t="n">
        <f aca="false">IF(Tasks[[#This Row],[Task Name]]="","",Tasks[[#This Row],[Cost]])</f>
        <v>0</v>
      </c>
      <c r="AW24" s="73"/>
      <c r="AX24" s="73"/>
      <c r="AY24" s="29"/>
      <c r="AZ24" s="98"/>
      <c r="BA24" s="97"/>
      <c r="BB24" s="28" t="str">
        <f aca="false">IF(OR(Tasks[[#This Row],[Task Name]]="",Tasks[[#This Row],[Baseline Duration]]=""),"",Tasks[[#This Row],[BL Source Duration]]-N(Tasks[[#This Row],[Baseline Duration]]))</f>
        <v/>
      </c>
      <c r="BC24" s="95" t="str">
        <f aca="false">IF(OR(Tasks[[#This Row],[Task Name]]="",Tasks[[#This Row],[Baseline Work]]=""),"",Tasks[[#This Row],[Work]]-N(Tasks[[#This Row],[Baseline Work]]))</f>
        <v/>
      </c>
      <c r="BD24" s="96" t="str">
        <f aca="false">IF(OR(Tasks[[#This Row],[Task Name]]="",Tasks[[#This Row],[Baseline Cost]]=""),"",Tasks[[#This Row],[Cost]]-N(Tasks[[#This Row],[Baseline Cost]]))</f>
        <v/>
      </c>
      <c r="BE24" s="96" t="n">
        <f aca="false">IF(Tasks[[#This Row],[Task Name]]="","",IF(Tasks[[#This Row],[_IsSummary]],SUM(INDEX(Tasks[_LeafBudget],Tasks[[#This Row],[_Row]]+1):INDEX(Tasks[_LeafBudget],Tasks[[#This Row],[_Row]]+Tasks[[#This Row],[_Descendants]])),Tasks[[#This Row],[_LeafBudget]]))</f>
        <v>0</v>
      </c>
      <c r="BF24" s="96" t="n">
        <f aca="false">IF(Tasks[[#This Row],[Task Name]]="","",IF(Tasks[[#This Row],[_IsSummary]],SUM(INDEX(Tasks[_LeafPV],Tasks[[#This Row],[_Row]]+1):INDEX(Tasks[_LeafPV],Tasks[[#This Row],[_Row]]+Tasks[[#This Row],[_Descendants]])),Tasks[[#This Row],[_LeafPV]]))</f>
        <v>0</v>
      </c>
      <c r="BG24" s="96" t="n">
        <f aca="false">IF(Tasks[[#This Row],[Task Name]]="","",IF(Tasks[[#This Row],[_IsSummary]],SUM(INDEX(Tasks[_LeafEV],Tasks[[#This Row],[_Row]]+1):INDEX(Tasks[_LeafEV],Tasks[[#This Row],[_Row]]+Tasks[[#This Row],[_Descendants]])),Tasks[[#This Row],[_LeafEV]]))</f>
        <v>0</v>
      </c>
      <c r="BH24" s="96" t="n">
        <f aca="false">IF(Tasks[[#This Row],[Task Name]]="","",IF(Tasks[[#This Row],[_IsSummary]],SUM(INDEX(Tasks[_LeafAC],Tasks[[#This Row],[_Row]]+1):INDEX(Tasks[_LeafAC],Tasks[[#This Row],[_Row]]+Tasks[[#This Row],[_Descendants]])),Tasks[[#This Row],[_LeafAC]]))</f>
        <v>0</v>
      </c>
      <c r="BI24" s="41" t="n">
        <f aca="false">IF(Tasks[[#This Row],[Task Name]]="","",MAX(1,N(Tasks[[#This Row],[Level]])))</f>
        <v>2</v>
      </c>
      <c r="BJ24" s="41" t="n">
        <f aca="false">ROW()-ROW(Tasks[[#Headers],[ID]])</f>
        <v>19</v>
      </c>
      <c r="BK24" s="41" t="n">
        <f aca="false">IF(OR(Tasks[[#This Row],[Task Name]]="",Tasks[[#This Row],[_Level]]&lt;=1),0,IFERROR(LOOKUP(2,1/(Tasks[[#Headers],[_Level]]:Tasks[[#This Row],[_Level]]=Tasks[[#This Row],[_Level]]-1),ROW(Tasks[[#Headers],[_Level]]:Tasks[[#This Row],[_Level]])),0))</f>
        <v>15</v>
      </c>
      <c r="BL24" s="41" t="n">
        <f aca="false">IFERROR(N(INDEX(Tasks[_Level],Tasks[[#This Row],[_Row]]+1)),0)</f>
        <v>1</v>
      </c>
      <c r="BM24" s="99" t="b">
        <f aca="false">AND(Tasks[[#This Row],[Task Name]]&lt;&gt;"",Tasks[[#This Row],[_NextLevel]]&gt;Tasks[[#This Row],[_Level]])</f>
        <v>0</v>
      </c>
      <c r="BN24" s="41" t="n">
        <f aca="false">IF(Tasks[[#This Row],[_IsSummary]],COUNTIF(Tasks[WBS],Tasks[[#This Row],[WBS]]&amp;".*"),0)</f>
        <v>0</v>
      </c>
      <c r="BO24" s="41" t="n">
        <f aca="false">IF(AND(Tasks[[#This Row],[Task Name]]&lt;&gt;"",NOT(Tasks[[#This Row],[_IsSummary]])),1,0)</f>
        <v>1</v>
      </c>
      <c r="BP24" s="41" t="n">
        <f aca="false">IF(N(Tasks[[#This Row],[Pred1 UID]])=0,0,IFERROR(MATCH(Tasks[[#This Row],[Pred1 UID]],Tasks[UID],0),-1))</f>
        <v>14</v>
      </c>
      <c r="BQ24" s="41" t="n">
        <f aca="false">IF(N(Tasks[[#This Row],[Pred2 UID]])=0,0,IFERROR(MATCH(Tasks[[#This Row],[Pred2 UID]],Tasks[UID],0),-1))</f>
        <v>18</v>
      </c>
      <c r="BR24" s="100"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46325</v>
      </c>
      <c r="BS24" s="100" t="n">
        <f aca="false">IF(NOT(Tasks[[#This Row],[_IsLeaf]]=1),"",IF(N(Tasks[[#This Row],[Duration]])&lt;=0,Tasks[[#This Row],[_LeafCalcStart]],WORKDAY.INTL(Tasks[[#This Row],[_LeafCalcStart]],Tasks[[#This Row],[Duration]]-1,WorkWeek,Holidays)))</f>
        <v>46325</v>
      </c>
      <c r="BT24" s="100"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46335</v>
      </c>
      <c r="BU24" s="100"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46335</v>
      </c>
      <c r="BV24" s="41" t="n">
        <f aca="false">IF(NOT(Tasks[[#This Row],[_IsLeaf]]=1),0,IF(N(Tasks[[#This Row],[Actual Finish]])&gt;0,1,MIN(1,N(Tasks[[#This Row],[% Complete]]))))</f>
        <v>0</v>
      </c>
      <c r="BW24" s="41" t="n">
        <f aca="false">IF(OR(NOT(Tasks[[#This Row],[_IsLeaf]]=1),Tasks[[#This Row],[Resource]]=""),0,N(Tasks[[#This Row],[Duration]])*HoursPerDay*IF(Tasks[[#This Row],[Units]]="",DefaultUnits,Tasks[[#This Row],[Units]]))</f>
        <v>0</v>
      </c>
      <c r="BX24" s="41" t="n">
        <f aca="false">IF(Tasks[[#This Row],[_LeafWork]]=0,0,Tasks[[#This Row],[_LeafWork]]*IFERROR(INDEX(res_Rate,MATCH(Tasks[[#This Row],[Resource]],res_Name,0)),0))</f>
        <v>0</v>
      </c>
      <c r="BY24" s="101"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2912133</v>
      </c>
      <c r="BZ24" s="101" t="n">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2912133</v>
      </c>
      <c r="CA24"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B24" s="41" t="n">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99999</v>
      </c>
      <c r="CC24" s="41" t="n">
        <f aca="false">IF(NOT(Tasks[[#This Row],[_IsLeaf]]=1),0,MAX(_xlfn.MAXIFS(Tasks[_Row],Tasks[Pred1 UID],Tasks[[#This Row],[UID]]),_xlfn.MAXIFS(Tasks[_Row],Tasks[Pred2 UID],Tasks[[#This Row],[UID]])))</f>
        <v>21</v>
      </c>
      <c r="CD24" s="100"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46350</v>
      </c>
      <c r="CE24" s="100" t="n">
        <f aca="false">IF(NOT(Tasks[[#This Row],[_IsLeaf]]=1),"",MIN(ProjectFinish,IF(N(Tasks[[#This Row],[Deadline]])&gt;0,Tasks[[#This Row],[Deadline]],2958465),Tasks[[#This Row],[_SuccessorFinishLimit]]))</f>
        <v>46332</v>
      </c>
      <c r="CF24" s="100" t="n">
        <f aca="false">IF(NOT(Tasks[[#This Row],[_IsLeaf]]=1),"",IF(N(Tasks[[#This Row],[Duration]])&lt;=0,Tasks[[#This Row],[_LeafLateFinish]],WORKDAY.INTL(Tasks[[#This Row],[_LeafLateFinish]],-(Tasks[[#This Row],[Duration]]-1),WorkWeek,Holidays)))</f>
        <v>46332</v>
      </c>
      <c r="CG24"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CH24" s="99" t="b">
        <f aca="false">AND(Tasks[[#This Row],[_IsLeaf]]=1,Tasks[[#This Row],[_LeafProgress]]&lt;1,N(Tasks[[#This Row],[_LeafTotalSlack]])&lt;=CriticalSlackDays)</f>
        <v>1</v>
      </c>
      <c r="CI24" s="100" t="n">
        <f aca="false">IF(Tasks[[#This Row],[Task Name]]="","",IF(Tasks[[#This Row],[_IsSummary]],MIN(INDEX(Tasks[_LeafCalcStart],Tasks[[#This Row],[_Row]]+1):INDEX(Tasks[_LeafCalcStart],Tasks[[#This Row],[_Row]]+Tasks[[#This Row],[_Descendants]])),Tasks[[#This Row],[_LeafCalcStart]]))</f>
        <v>46325</v>
      </c>
      <c r="CJ24" s="100" t="n">
        <f aca="false">IF(Tasks[[#This Row],[Task Name]]="","",IF(Tasks[[#This Row],[_IsSummary]],MAX(INDEX(Tasks[_LeafCalcFinish],Tasks[[#This Row],[_Row]]+1):INDEX(Tasks[_LeafCalcFinish],Tasks[[#This Row],[_Row]]+Tasks[[#This Row],[_Descendants]])),Tasks[[#This Row],[_LeafCalcFinish]]))</f>
        <v>46325</v>
      </c>
      <c r="CK2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4"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46325</v>
      </c>
      <c r="CN24"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46324</v>
      </c>
      <c r="CO24"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46335</v>
      </c>
      <c r="CP24"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46332</v>
      </c>
      <c r="CQ24" s="41" t="n">
        <f aca="false">IF(AND(Tasks[[#This Row],[_IsLeaf]]=1,Tasks[[#This Row],[_LeafWork]]&gt;0),NETWORKDAYS.INTL(ProjectStart,Tasks[[#This Row],[_LeafFcstStart]],WorkWeek,Holidays),0)</f>
        <v>0</v>
      </c>
      <c r="CR24" s="41" t="n">
        <f aca="false">IF(AND(Tasks[[#This Row],[_IsLeaf]]=1,Tasks[[#This Row],[_LeafWork]]&gt;0),MAX(Tasks[[#This Row],[_StartWorkday]],NETWORKDAYS.INTL(ProjectStart,Tasks[[#This Row],[_LeafFcstFinish]],WorkWeek,Holidays)),0)</f>
        <v>0</v>
      </c>
      <c r="CS24" s="41" t="n">
        <f aca="false">IF(AND(Tasks[[#This Row],[_IsLeaf]]=1,Tasks[[#This Row],[_LeafWork]]&gt;0),Tasks[[#This Row],[_LeafWork]]/(Tasks[[#This Row],[_FinishWorkday]]-Tasks[[#This Row],[_StartWorkday]]+1),0)</f>
        <v>0</v>
      </c>
      <c r="CT24" s="41" t="n">
        <f aca="false">Tasks[[#This Row],[_WorkPerWorkday]]*(Tasks[[#This Row],[_StartWorkday]]-1)</f>
        <v>-0</v>
      </c>
      <c r="CU24" s="41" t="n">
        <f aca="false">IF(Tasks[[#This Row],[_IsLeaf]]=1,MAX(N(Tasks[[#This Row],[Duration]]),0.1),0)</f>
        <v>0.1</v>
      </c>
      <c r="CV24" s="41" t="n">
        <f aca="false">Tasks[[#This Row],[_WeightDur]]*Tasks[[#This Row],[_LeafProgress]]</f>
        <v>0</v>
      </c>
      <c r="CW2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14</v>
      </c>
      <c r="CX2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18</v>
      </c>
      <c r="CY2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14</v>
      </c>
      <c r="CZ2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18</v>
      </c>
      <c r="DA24" s="41" t="str">
        <f aca="false">IF(Tasks[[#This Row],[Task Name]]="","",Tasks[[#This Row],[_Pred1UIDText]]&amp;IF(AND(Tasks[[#This Row],[_Pred1UIDText]]&lt;&gt;"",Tasks[[#This Row],[_Pred2UIDText]]&lt;&gt;""),",","")&amp;Tasks[[#This Row],[_Pred2UIDText]])</f>
        <v>14,18</v>
      </c>
      <c r="DB24" s="101" t="n">
        <f aca="false">IF(AND(Tasks[[#This Row],[_IsLeaf]]=1,N(Tasks[[#This Row],[Duration]])=0,Tasks[[#This Row],[_LeafProgress]]&lt;1),Tasks[[#This Row],[_LeafFcstFinish]]+Tasks[[#This Row],[_Row]]/100000,"")</f>
        <v>46335.00019</v>
      </c>
      <c r="DC2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4" s="41" t="n">
        <f aca="false">IF(NOT(Tasks[[#This Row],[_IsLeaf]]=1),0,IF(Tasks[[#This Row],[Baseline Cost]]="",Tasks[[#This Row],[_LeafCost]],N(Tasks[[#This Row],[Baseline Cost]])))</f>
        <v>0</v>
      </c>
      <c r="DE24" s="41" t="n">
        <f aca="false">Tasks[[#This Row],[_LeafBudget]]*Tasks[[#This Row],[_PlannedPct]]</f>
        <v>0</v>
      </c>
      <c r="DF24" s="41" t="n">
        <f aca="false">Tasks[[#This Row],[_LeafBudget]]*Tasks[[#This Row],[_LeafProgress]]</f>
        <v>0</v>
      </c>
      <c r="DG24" s="41" t="n">
        <f aca="false">IF(NOT(Tasks[[#This Row],[_IsLeaf]]=1),0,IF(Tasks[[#This Row],[Actual Cost]]="",Tasks[[#This Row],[_LeafCost]]*Tasks[[#This Row],[_LeafProgress]],N(Tasks[[#This Row],[Actual Cost]])))</f>
        <v>0</v>
      </c>
      <c r="DH24" s="41" t="str">
        <f aca="false">IF(Tasks[[#This Row],[Task Name]]="","",LEFT(Tasks[[#This Row],[WBS]],FIND(".",Tasks[[#This Row],[WBS]]&amp;".")-1))</f>
        <v>3</v>
      </c>
      <c r="DI24" s="41" t="str">
        <f aca="false">IF(AND(Tasks[[#This Row],[Task Name]]&lt;&gt;"",Tasks[[#This Row],[_Level]]=1),Tasks[[#This Row],[_Row]],"")</f>
        <v/>
      </c>
      <c r="DJ24" s="101" t="n">
        <f aca="false">IF(AND(Tasks[[#This Row],[_IsLeaf]]=1,N(Tasks[[#This Row],[Duration]])=0),Tasks[[#This Row],[Planned Finish]]+Tasks[[#This Row],[_Row]]/100000,"")</f>
        <v>46325.00019</v>
      </c>
      <c r="DK24" s="41" t="n">
        <f aca="false">IF(AND(Tasks[[#This Row],[_IsLeaf]]=1,Tasks[[#This Row],[_LeafProgress]]&lt;1,OR(N(Tasks[[#This Row],[Finish Var]])&gt;0,Tasks[[#This Row],[Status]]="Late Start")),MAX(0,Tasks[[#This Row],[Finish Var]])+1-Tasks[[#This Row],[_Row]]/1000000,"")</f>
        <v>6.999981</v>
      </c>
      <c r="DL24" s="41" t="str">
        <f aca="false">IF(AND(Tasks[[#This Row],[_IsLeaf]]=1,N(Tasks[[#This Row],[Actual Start]])=0,Tasks[[#This Row],[_LeafFcstStart]]&gt;=StatusDate,Tasks[[#This Row],[_LeafFcstStart]]&lt;=LookaheadEnd),Tasks[[#This Row],[_LeafFcstStart]]+Tasks[[#This Row],[_Row]]/100000,"")</f>
        <v/>
      </c>
      <c r="DM24" s="41" t="str">
        <f aca="false">IF(AND(Tasks[[#This Row],[_IsLeaf]]=1,Tasks[[#This Row],[_LeafProgress]]&lt;1,Tasks[[#This Row],[_LeafFcstFinish]]&gt;=StatusDate,Tasks[[#This Row],[_LeafFcstFinish]]&lt;=LookaheadEnd),Tasks[[#This Row],[_LeafFcstFinish]]+Tasks[[#This Row],[_Row]]/100000,"")</f>
        <v/>
      </c>
      <c r="DN24" s="101" t="n">
        <f aca="false">IF(Tasks[[#This Row],[_LeafCritical]],Tasks[[#This Row],[_LeafFcstStart]]+Tasks[[#This Row],[_Row]]/100000,"")</f>
        <v>46335.00019</v>
      </c>
      <c r="DO24" s="41" t="n">
        <f aca="false">Tasks[[#This Row],[_LeafWork]]*Tasks[[#This Row],[_LeafProgress]]</f>
        <v>0</v>
      </c>
      <c r="DP24" s="100" t="str">
        <f aca="false">IF(AND(Tasks[[#This Row],[_IsLeaf]]=1,Tasks[[#This Row],[_LeafProgress]]&gt;=1),IF(N(Tasks[[#This Row],[Actual Finish]])&gt;0,Tasks[[#This Row],[Actual Finish]],Tasks[[#This Row],[_LeafFcstFinish]]),"")</f>
        <v/>
      </c>
      <c r="DQ24" s="41" t="n">
        <f aca="false">IF(Tasks[[#This Row],[_IsLeaf]]=1,N(Tasks[[#This Row],[Story Points]]),0)</f>
        <v>0</v>
      </c>
      <c r="DR24" s="41" t="str">
        <f aca="false">IF(AND(Tasks[[#This Row],[_IsLeaf]]=1,CurrentSprint&lt;&gt;"",Tasks[[#This Row],[Sprint]]=CurrentSprint),Tasks[[#This Row],[_Row]],"")</f>
        <v/>
      </c>
    </row>
    <row r="25" customFormat="false" ht="15" hidden="false" customHeight="false" outlineLevel="0" collapsed="false">
      <c r="A25" s="28" t="n">
        <f aca="false">IF(Tasks[[#This Row],[Task Name]]="","",COUNTA(Tasks[[#Headers],[Task Name]]:Tasks[[#This Row],[Task Name]])-1)</f>
        <v>20</v>
      </c>
      <c r="B25" s="29" t="n">
        <v>20</v>
      </c>
      <c r="C2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v>
      </c>
      <c r="D25" s="29" t="n">
        <v>1</v>
      </c>
      <c r="E25" s="30" t="s">
        <v>616</v>
      </c>
      <c r="F25" s="29" t="s">
        <v>584</v>
      </c>
      <c r="G25" s="29"/>
      <c r="H25" s="29"/>
      <c r="I25" s="29"/>
      <c r="J25" s="29"/>
      <c r="K25" s="29"/>
      <c r="L25" s="29"/>
      <c r="M25" s="29"/>
      <c r="N25" s="73"/>
      <c r="O25" s="73"/>
      <c r="P25" s="25" t="n">
        <f aca="false">IF(Tasks[[#This Row],[Task Name]]="","",IF(N(Tasks[[#This Row],[Baseline Start]])&gt;0,Tasks[[#This Row],[Baseline Start]],Tasks[[#This Row],[_CalcStart]]))</f>
        <v>46328</v>
      </c>
      <c r="Q25" s="25" t="n">
        <f aca="false">IF(Tasks[[#This Row],[Task Name]]="","",IF(N(Tasks[[#This Row],[Baseline Finish]])&gt;0,Tasks[[#This Row],[Baseline Finish]],Tasks[[#This Row],[_CalcFinish]]))</f>
        <v>46391</v>
      </c>
      <c r="R25" s="73"/>
      <c r="S25" s="73"/>
      <c r="T25" s="25" t="n">
        <f aca="false">IF(Tasks[[#This Row],[Task Name]]="","",IF(Tasks[[#This Row],[_IsSummary]],MIN(INDEX(Tasks[_LeafFcstStart],Tasks[[#This Row],[_Row]]+1):INDEX(Tasks[_LeafFcstStart],Tasks[[#This Row],[_Row]]+Tasks[[#This Row],[_Descendants]])),Tasks[[#This Row],[_LeafFcstStart]]))</f>
        <v>46336</v>
      </c>
      <c r="U25" s="25" t="n">
        <f aca="false">IF(Tasks[[#This Row],[Task Name]]="","",IF(Tasks[[#This Row],[_IsSummary]],MAX(INDEX(Tasks[_LeafFcstFinish],Tasks[[#This Row],[_Row]]+1):INDEX(Tasks[_LeafFcstFinish],Tasks[[#This Row],[_Row]]+Tasks[[#This Row],[_Descendants]])),Tasks[[#This Row],[_LeafFcstFinish]]))</f>
        <v>46391</v>
      </c>
      <c r="V25" s="43" t="n">
        <f aca="false">IF(Tasks[[#This Row],[Task Name]]="","",IF(Tasks[[#This Row],[Forecast Start]]&gt;=Tasks[[#This Row],[Planned Start]],NETWORKDAYS.INTL(Tasks[[#This Row],[Planned Start]],Tasks[[#This Row],[Forecast Start]],WorkWeek,Holidays)-1,1-NETWORKDAYS.INTL(Tasks[[#This Row],[Forecast Start]],Tasks[[#This Row],[Planned Start]],WorkWeek,Holidays)))</f>
        <v>6</v>
      </c>
      <c r="W25"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X25" s="25" t="n">
        <f aca="false">IF(Tasks[[#This Row],[Task Name]]="","",IF(Tasks[[#This Row],[_IsSummary]],MIN(INDEX(Tasks[_LeafLateStart],Tasks[[#This Row],[_Row]]+1):INDEX(Tasks[_LeafLateStart],Tasks[[#This Row],[_Row]]+Tasks[[#This Row],[_Descendants]])),Tasks[[#This Row],[_LeafLateStart]]))</f>
        <v>46351</v>
      </c>
      <c r="Y25" s="25" t="n">
        <f aca="false">IF(Tasks[[#This Row],[Task Name]]="","",IF(Tasks[[#This Row],[_IsSummary]],MAX(INDEX(Tasks[_LeafLateFinish],Tasks[[#This Row],[_Row]]+1):INDEX(Tasks[_LeafLateFinish],Tasks[[#This Row],[_Row]]+Tasks[[#This Row],[_Descendants]])),Tasks[[#This Row],[_LeafLateFinish]]))</f>
        <v>46391</v>
      </c>
      <c r="Z25" s="43" t="n">
        <f aca="false">IF(Tasks[[#This Row],[Task Name]]="","",IF(Tasks[[#This Row],[_IsSummary]],MIN(INDEX(Tasks[_LeafTotalSlack],Tasks[[#This Row],[_Row]]+1):INDEX(Tasks[_LeafTotalSlack],Tasks[[#This Row],[_Row]]+Tasks[[#This Row],[_Descendants]])),Tasks[[#This Row],[_LeafTotalSlack]]))</f>
        <v>0</v>
      </c>
      <c r="AA2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5" s="28" t="str">
        <f aca="false">IF(Tasks[[#This Row],[Task Name]]="","",IF(IF(Tasks[[#This Row],[_IsSummary]],COUNTIF(INDEX(Tasks[_LeafCritical],Tasks[[#This Row],[_Row]]+1):INDEX(Tasks[_LeafCritical],Tasks[[#This Row],[_Row]]+Tasks[[#This Row],[_Descendants]]),TRUE())&gt;0,Tasks[[#This Row],[_LeafCritical]]),"Yes",""))</f>
        <v>Yes</v>
      </c>
      <c r="AC2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5" s="24" t="str">
        <f aca="false">IF(Tasks[[#This Row],[Task Name]]="","",TRIM(IF(Tasks[[#This Row],[_Pred1Problem]]&lt;&gt;"","Pred 1: "&amp;Tasks[[#This Row],[_Pred1Problem]]&amp;". ","")&amp;IF(Tasks[[#This Row],[_Pred2Problem]]&lt;&gt;"","Pred 2: "&amp;Tasks[[#This Row],[_Pred2Problem]]&amp;".","")))</f>
        <v/>
      </c>
      <c r="AE25" s="88"/>
      <c r="AF25"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25" s="28" t="str">
        <f aca="false">IF(Tasks[[#This Row],[Task Name]]="","",IF(Tasks[[#This Row],[Progress]]&gt;=1,"Complete",IF(OR(N(Tasks[[#This Row],[Actual Start]])&gt;0,Tasks[[#This Row],[Progress]]&gt;0),IF(Tasks[[#This Row],[Finish Var]]&gt;0,"Behind","In Progress"),IF(Tasks[[#This Row],[Planned Start]]&lt;StatusDate,"Late Start","Not Started"))))</f>
        <v>Not Started</v>
      </c>
      <c r="AH25" s="30"/>
      <c r="AI25" s="88"/>
      <c r="AJ25" s="95" t="n">
        <f aca="false">IF(Tasks[[#This Row],[Task Name]]="","",IF(Tasks[[#This Row],[_IsSummary]],SUM(INDEX(Tasks[_LeafWork],Tasks[[#This Row],[_Row]]+1):INDEX(Tasks[_LeafWork],Tasks[[#This Row],[_Row]]+Tasks[[#This Row],[_Descendants]])),Tasks[[#This Row],[_LeafWork]]))</f>
        <v>180</v>
      </c>
      <c r="AK25" s="96" t="n">
        <f aca="false">IF(Tasks[[#This Row],[Task Name]]="","",IF(Tasks[[#This Row],[_IsSummary]],SUM(INDEX(Tasks[_LeafCost],Tasks[[#This Row],[_Row]]+1):INDEX(Tasks[_LeafCost],Tasks[[#This Row],[_Row]]+Tasks[[#This Row],[_Descendants]])),Tasks[[#This Row],[_LeafCost]]))</f>
        <v>13180</v>
      </c>
      <c r="AL25" s="97"/>
      <c r="AM25" s="29"/>
      <c r="AN2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5" s="82"/>
      <c r="AP25" s="24" t="str">
        <f aca="false">IF(Tasks[[#This Row],[Task Name]]="","",Tasks[[#This Row],[_Pred1IDText]]&amp;IF(AND(Tasks[[#This Row],[_Pred1IDText]]&lt;&gt;"",Tasks[[#This Row],[_Pred2IDText]]&lt;&gt;""),",","")&amp;Tasks[[#This Row],[_Pred2IDText]])</f>
        <v/>
      </c>
      <c r="AQ25" s="30"/>
      <c r="AR25" s="25" t="n">
        <f aca="false">IF(Tasks[[#This Row],[Task Name]]="","",Tasks[[#This Row],[Forecast Start]])</f>
        <v>46336</v>
      </c>
      <c r="AS25" s="25" t="n">
        <f aca="false">IF(Tasks[[#This Row],[Task Name]]="","",Tasks[[#This Row],[Forecast Finish]])</f>
        <v>46391</v>
      </c>
      <c r="AT25" s="28" t="n">
        <f aca="false">IF(Tasks[[#This Row],[Task Name]]="","",IF(Tasks[[#This Row],[_IsSummary]],NETWORKDAYS.INTL(Tasks[[#This Row],[Forecast Start]],Tasks[[#This Row],[Forecast Finish]],WorkWeek,Holidays),N(Tasks[[#This Row],[Duration]])))</f>
        <v>36</v>
      </c>
      <c r="AU25" s="95" t="n">
        <f aca="false">IF(Tasks[[#This Row],[Task Name]]="","",Tasks[[#This Row],[Work]])</f>
        <v>180</v>
      </c>
      <c r="AV25" s="96" t="n">
        <f aca="false">IF(Tasks[[#This Row],[Task Name]]="","",Tasks[[#This Row],[Cost]])</f>
        <v>13180</v>
      </c>
      <c r="AW25" s="73"/>
      <c r="AX25" s="73"/>
      <c r="AY25" s="29"/>
      <c r="AZ25" s="98"/>
      <c r="BA25" s="97"/>
      <c r="BB25" s="28" t="str">
        <f aca="false">IF(OR(Tasks[[#This Row],[Task Name]]="",Tasks[[#This Row],[Baseline Duration]]=""),"",Tasks[[#This Row],[BL Source Duration]]-N(Tasks[[#This Row],[Baseline Duration]]))</f>
        <v/>
      </c>
      <c r="BC25" s="95" t="str">
        <f aca="false">IF(OR(Tasks[[#This Row],[Task Name]]="",Tasks[[#This Row],[Baseline Work]]=""),"",Tasks[[#This Row],[Work]]-N(Tasks[[#This Row],[Baseline Work]]))</f>
        <v/>
      </c>
      <c r="BD25" s="96" t="str">
        <f aca="false">IF(OR(Tasks[[#This Row],[Task Name]]="",Tasks[[#This Row],[Baseline Cost]]=""),"",Tasks[[#This Row],[Cost]]-N(Tasks[[#This Row],[Baseline Cost]]))</f>
        <v/>
      </c>
      <c r="BE25" s="96" t="n">
        <f aca="false">IF(Tasks[[#This Row],[Task Name]]="","",IF(Tasks[[#This Row],[_IsSummary]],SUM(INDEX(Tasks[_LeafBudget],Tasks[[#This Row],[_Row]]+1):INDEX(Tasks[_LeafBudget],Tasks[[#This Row],[_Row]]+Tasks[[#This Row],[_Descendants]])),Tasks[[#This Row],[_LeafBudget]]))</f>
        <v>13180</v>
      </c>
      <c r="BF25" s="96" t="n">
        <f aca="false">IF(Tasks[[#This Row],[Task Name]]="","",IF(Tasks[[#This Row],[_IsSummary]],SUM(INDEX(Tasks[_LeafPV],Tasks[[#This Row],[_Row]]+1):INDEX(Tasks[_LeafPV],Tasks[[#This Row],[_Row]]+Tasks[[#This Row],[_Descendants]])),Tasks[[#This Row],[_LeafPV]]))</f>
        <v>0</v>
      </c>
      <c r="BG25" s="96" t="n">
        <f aca="false">IF(Tasks[[#This Row],[Task Name]]="","",IF(Tasks[[#This Row],[_IsSummary]],SUM(INDEX(Tasks[_LeafEV],Tasks[[#This Row],[_Row]]+1):INDEX(Tasks[_LeafEV],Tasks[[#This Row],[_Row]]+Tasks[[#This Row],[_Descendants]])),Tasks[[#This Row],[_LeafEV]]))</f>
        <v>0</v>
      </c>
      <c r="BH25" s="96" t="n">
        <f aca="false">IF(Tasks[[#This Row],[Task Name]]="","",IF(Tasks[[#This Row],[_IsSummary]],SUM(INDEX(Tasks[_LeafAC],Tasks[[#This Row],[_Row]]+1):INDEX(Tasks[_LeafAC],Tasks[[#This Row],[_Row]]+Tasks[[#This Row],[_Descendants]])),Tasks[[#This Row],[_LeafAC]]))</f>
        <v>0</v>
      </c>
      <c r="BI25" s="41" t="n">
        <f aca="false">IF(Tasks[[#This Row],[Task Name]]="","",MAX(1,N(Tasks[[#This Row],[Level]])))</f>
        <v>1</v>
      </c>
      <c r="BJ25" s="41" t="n">
        <f aca="false">ROW()-ROW(Tasks[[#Headers],[ID]])</f>
        <v>20</v>
      </c>
      <c r="BK25" s="41" t="n">
        <f aca="false">IF(OR(Tasks[[#This Row],[Task Name]]="",Tasks[[#This Row],[_Level]]&lt;=1),0,IFERROR(LOOKUP(2,1/(Tasks[[#Headers],[_Level]]:Tasks[[#This Row],[_Level]]=Tasks[[#This Row],[_Level]]-1),ROW(Tasks[[#Headers],[_Level]]:Tasks[[#This Row],[_Level]])),0))</f>
        <v>0</v>
      </c>
      <c r="BL25" s="41" t="n">
        <f aca="false">IFERROR(N(INDEX(Tasks[_Level],Tasks[[#This Row],[_Row]]+1)),0)</f>
        <v>2</v>
      </c>
      <c r="BM25" s="99" t="b">
        <f aca="false">AND(Tasks[[#This Row],[Task Name]]&lt;&gt;"",Tasks[[#This Row],[_NextLevel]]&gt;Tasks[[#This Row],[_Level]])</f>
        <v>1</v>
      </c>
      <c r="BN25" s="41" t="n">
        <f aca="false">IF(Tasks[[#This Row],[_IsSummary]],COUNTIF(Tasks[WBS],Tasks[[#This Row],[WBS]]&amp;".*"),0)</f>
        <v>6</v>
      </c>
      <c r="BO25" s="41" t="n">
        <f aca="false">IF(AND(Tasks[[#This Row],[Task Name]]&lt;&gt;"",NOT(Tasks[[#This Row],[_IsSummary]])),1,0)</f>
        <v>0</v>
      </c>
      <c r="BP25" s="41" t="n">
        <f aca="false">IF(N(Tasks[[#This Row],[Pred1 UID]])=0,0,IFERROR(MATCH(Tasks[[#This Row],[Pred1 UID]],Tasks[UID],0),-1))</f>
        <v>0</v>
      </c>
      <c r="BQ25" s="41" t="n">
        <f aca="false">IF(N(Tasks[[#This Row],[Pred2 UID]])=0,0,IFERROR(MATCH(Tasks[[#This Row],[Pred2 UID]],Tasks[UID],0),-1))</f>
        <v>0</v>
      </c>
      <c r="BR25"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5" s="100" t="str">
        <f aca="false">IF(NOT(Tasks[[#This Row],[_IsLeaf]]=1),"",IF(N(Tasks[[#This Row],[Duration]])&lt;=0,Tasks[[#This Row],[_LeafCalcStart]],WORKDAY.INTL(Tasks[[#This Row],[_LeafCalcStart]],Tasks[[#This Row],[Duration]]-1,WorkWeek,Holidays)))</f>
        <v/>
      </c>
      <c r="BT25"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5"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5" s="41" t="n">
        <f aca="false">IF(NOT(Tasks[[#This Row],[_IsLeaf]]=1),0,IF(N(Tasks[[#This Row],[Actual Finish]])&gt;0,1,MIN(1,N(Tasks[[#This Row],[% Complete]]))))</f>
        <v>0</v>
      </c>
      <c r="BW25" s="41" t="n">
        <f aca="false">IF(OR(NOT(Tasks[[#This Row],[_IsLeaf]]=1),Tasks[[#This Row],[Resource]]=""),0,N(Tasks[[#This Row],[Duration]])*HoursPerDay*IF(Tasks[[#This Row],[Units]]="",DefaultUnits,Tasks[[#This Row],[Units]]))</f>
        <v>0</v>
      </c>
      <c r="BX25" s="41" t="n">
        <f aca="false">IF(Tasks[[#This Row],[_LeafWork]]=0,0,Tasks[[#This Row],[_LeafWork]]*IFERROR(INDEX(res_Rate,MATCH(Tasks[[#This Row],[Resource]],res_Name,0)),0))</f>
        <v>0</v>
      </c>
      <c r="BY2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5" s="41" t="n">
        <f aca="false">IF(NOT(Tasks[[#This Row],[_IsLeaf]]=1),0,MAX(_xlfn.MAXIFS(Tasks[_Row],Tasks[Pred1 UID],Tasks[[#This Row],[UID]]),_xlfn.MAXIFS(Tasks[_Row],Tasks[Pred2 UID],Tasks[[#This Row],[UID]])))</f>
        <v>0</v>
      </c>
      <c r="CD25"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5" s="100" t="str">
        <f aca="false">IF(NOT(Tasks[[#This Row],[_IsLeaf]]=1),"",MIN(ProjectFinish,IF(N(Tasks[[#This Row],[Deadline]])&gt;0,Tasks[[#This Row],[Deadline]],2958465),Tasks[[#This Row],[_SuccessorFinishLimit]]))</f>
        <v/>
      </c>
      <c r="CF25" s="100" t="str">
        <f aca="false">IF(NOT(Tasks[[#This Row],[_IsLeaf]]=1),"",IF(N(Tasks[[#This Row],[Duration]])&lt;=0,Tasks[[#This Row],[_LeafLateFinish]],WORKDAY.INTL(Tasks[[#This Row],[_LeafLateFinish]],-(Tasks[[#This Row],[Duration]]-1),WorkWeek,Holidays)))</f>
        <v/>
      </c>
      <c r="CG2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5" s="99" t="b">
        <f aca="false">AND(Tasks[[#This Row],[_IsLeaf]]=1,Tasks[[#This Row],[_LeafProgress]]&lt;1,N(Tasks[[#This Row],[_LeafTotalSlack]])&lt;=CriticalSlackDays)</f>
        <v>0</v>
      </c>
      <c r="CI25" s="100" t="n">
        <f aca="false">IF(Tasks[[#This Row],[Task Name]]="","",IF(Tasks[[#This Row],[_IsSummary]],MIN(INDEX(Tasks[_LeafCalcStart],Tasks[[#This Row],[_Row]]+1):INDEX(Tasks[_LeafCalcStart],Tasks[[#This Row],[_Row]]+Tasks[[#This Row],[_Descendants]])),Tasks[[#This Row],[_LeafCalcStart]]))</f>
        <v>46328</v>
      </c>
      <c r="CJ25" s="100" t="n">
        <f aca="false">IF(Tasks[[#This Row],[Task Name]]="","",IF(Tasks[[#This Row],[_IsSummary]],MAX(INDEX(Tasks[_LeafCalcFinish],Tasks[[#This Row],[_Row]]+1):INDEX(Tasks[_LeafCalcFinish],Tasks[[#This Row],[_Row]]+Tasks[[#This Row],[_Descendants]])),Tasks[[#This Row],[_LeafCalcFinish]]))</f>
        <v>46391</v>
      </c>
      <c r="CK2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5"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5"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5"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5"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5" s="41" t="n">
        <f aca="false">IF(AND(Tasks[[#This Row],[_IsLeaf]]=1,Tasks[[#This Row],[_LeafWork]]&gt;0),NETWORKDAYS.INTL(ProjectStart,Tasks[[#This Row],[_LeafFcstStart]],WorkWeek,Holidays),0)</f>
        <v>0</v>
      </c>
      <c r="CR25" s="41" t="n">
        <f aca="false">IF(AND(Tasks[[#This Row],[_IsLeaf]]=1,Tasks[[#This Row],[_LeafWork]]&gt;0),MAX(Tasks[[#This Row],[_StartWorkday]],NETWORKDAYS.INTL(ProjectStart,Tasks[[#This Row],[_LeafFcstFinish]],WorkWeek,Holidays)),0)</f>
        <v>0</v>
      </c>
      <c r="CS25" s="41" t="n">
        <f aca="false">IF(AND(Tasks[[#This Row],[_IsLeaf]]=1,Tasks[[#This Row],[_LeafWork]]&gt;0),Tasks[[#This Row],[_LeafWork]]/(Tasks[[#This Row],[_FinishWorkday]]-Tasks[[#This Row],[_StartWorkday]]+1),0)</f>
        <v>0</v>
      </c>
      <c r="CT25" s="41" t="n">
        <f aca="false">Tasks[[#This Row],[_WorkPerWorkday]]*(Tasks[[#This Row],[_StartWorkday]]-1)</f>
        <v>-0</v>
      </c>
      <c r="CU25" s="41" t="n">
        <f aca="false">IF(Tasks[[#This Row],[_IsLeaf]]=1,MAX(N(Tasks[[#This Row],[Duration]]),0.1),0)</f>
        <v>0</v>
      </c>
      <c r="CV25" s="41" t="n">
        <f aca="false">Tasks[[#This Row],[_WeightDur]]*Tasks[[#This Row],[_LeafProgress]]</f>
        <v>0</v>
      </c>
      <c r="CW2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5" s="41" t="str">
        <f aca="false">IF(Tasks[[#This Row],[Task Name]]="","",Tasks[[#This Row],[_Pred1UIDText]]&amp;IF(AND(Tasks[[#This Row],[_Pred1UIDText]]&lt;&gt;"",Tasks[[#This Row],[_Pred2UIDText]]&lt;&gt;""),",","")&amp;Tasks[[#This Row],[_Pred2UIDText]])</f>
        <v/>
      </c>
      <c r="DB25" s="41" t="str">
        <f aca="false">IF(AND(Tasks[[#This Row],[_IsLeaf]]=1,N(Tasks[[#This Row],[Duration]])=0,Tasks[[#This Row],[_LeafProgress]]&lt;1),Tasks[[#This Row],[_LeafFcstFinish]]+Tasks[[#This Row],[_Row]]/100000,"")</f>
        <v/>
      </c>
      <c r="DC2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5" s="41" t="n">
        <f aca="false">IF(NOT(Tasks[[#This Row],[_IsLeaf]]=1),0,IF(Tasks[[#This Row],[Baseline Cost]]="",Tasks[[#This Row],[_LeafCost]],N(Tasks[[#This Row],[Baseline Cost]])))</f>
        <v>0</v>
      </c>
      <c r="DE25" s="41" t="n">
        <f aca="false">Tasks[[#This Row],[_LeafBudget]]*Tasks[[#This Row],[_PlannedPct]]</f>
        <v>0</v>
      </c>
      <c r="DF25" s="41" t="n">
        <f aca="false">Tasks[[#This Row],[_LeafBudget]]*Tasks[[#This Row],[_LeafProgress]]</f>
        <v>0</v>
      </c>
      <c r="DG25" s="41" t="n">
        <f aca="false">IF(NOT(Tasks[[#This Row],[_IsLeaf]]=1),0,IF(Tasks[[#This Row],[Actual Cost]]="",Tasks[[#This Row],[_LeafCost]]*Tasks[[#This Row],[_LeafProgress]],N(Tasks[[#This Row],[Actual Cost]])))</f>
        <v>0</v>
      </c>
      <c r="DH25" s="41" t="str">
        <f aca="false">IF(Tasks[[#This Row],[Task Name]]="","",LEFT(Tasks[[#This Row],[WBS]],FIND(".",Tasks[[#This Row],[WBS]]&amp;".")-1))</f>
        <v>4</v>
      </c>
      <c r="DI25" s="41" t="n">
        <f aca="false">IF(AND(Tasks[[#This Row],[Task Name]]&lt;&gt;"",Tasks[[#This Row],[_Level]]=1),Tasks[[#This Row],[_Row]],"")</f>
        <v>20</v>
      </c>
      <c r="DJ25" s="41" t="str">
        <f aca="false">IF(AND(Tasks[[#This Row],[_IsLeaf]]=1,N(Tasks[[#This Row],[Duration]])=0),Tasks[[#This Row],[Planned Finish]]+Tasks[[#This Row],[_Row]]/100000,"")</f>
        <v/>
      </c>
      <c r="DK25" s="41" t="str">
        <f aca="false">IF(AND(Tasks[[#This Row],[_IsLeaf]]=1,Tasks[[#This Row],[_LeafProgress]]&lt;1,OR(N(Tasks[[#This Row],[Finish Var]])&gt;0,Tasks[[#This Row],[Status]]="Late Start")),MAX(0,Tasks[[#This Row],[Finish Var]])+1-Tasks[[#This Row],[_Row]]/1000000,"")</f>
        <v/>
      </c>
      <c r="DL25" s="41" t="str">
        <f aca="false">IF(AND(Tasks[[#This Row],[_IsLeaf]]=1,N(Tasks[[#This Row],[Actual Start]])=0,Tasks[[#This Row],[_LeafFcstStart]]&gt;=StatusDate,Tasks[[#This Row],[_LeafFcstStart]]&lt;=LookaheadEnd),Tasks[[#This Row],[_LeafFcstStart]]+Tasks[[#This Row],[_Row]]/100000,"")</f>
        <v/>
      </c>
      <c r="DM25" s="41" t="str">
        <f aca="false">IF(AND(Tasks[[#This Row],[_IsLeaf]]=1,Tasks[[#This Row],[_LeafProgress]]&lt;1,Tasks[[#This Row],[_LeafFcstFinish]]&gt;=StatusDate,Tasks[[#This Row],[_LeafFcstFinish]]&lt;=LookaheadEnd),Tasks[[#This Row],[_LeafFcstFinish]]+Tasks[[#This Row],[_Row]]/100000,"")</f>
        <v/>
      </c>
      <c r="DN25" s="41" t="str">
        <f aca="false">IF(Tasks[[#This Row],[_LeafCritical]],Tasks[[#This Row],[_LeafFcstStart]]+Tasks[[#This Row],[_Row]]/100000,"")</f>
        <v/>
      </c>
      <c r="DO25" s="41" t="n">
        <f aca="false">Tasks[[#This Row],[_LeafWork]]*Tasks[[#This Row],[_LeafProgress]]</f>
        <v>0</v>
      </c>
      <c r="DP25" s="100" t="str">
        <f aca="false">IF(AND(Tasks[[#This Row],[_IsLeaf]]=1,Tasks[[#This Row],[_LeafProgress]]&gt;=1),IF(N(Tasks[[#This Row],[Actual Finish]])&gt;0,Tasks[[#This Row],[Actual Finish]],Tasks[[#This Row],[_LeafFcstFinish]]),"")</f>
        <v/>
      </c>
      <c r="DQ25" s="41" t="n">
        <f aca="false">IF(Tasks[[#This Row],[_IsLeaf]]=1,N(Tasks[[#This Row],[Story Points]]),0)</f>
        <v>0</v>
      </c>
      <c r="DR25" s="41" t="str">
        <f aca="false">IF(AND(Tasks[[#This Row],[_IsLeaf]]=1,CurrentSprint&lt;&gt;"",Tasks[[#This Row],[Sprint]]=CurrentSprint),Tasks[[#This Row],[_Row]],"")</f>
        <v/>
      </c>
    </row>
    <row r="26" customFormat="false" ht="15" hidden="false" customHeight="false" outlineLevel="0" collapsed="false">
      <c r="A26" s="28" t="n">
        <f aca="false">IF(Tasks[[#This Row],[Task Name]]="","",COUNTA(Tasks[[#Headers],[Task Name]]:Tasks[[#This Row],[Task Name]])-1)</f>
        <v>21</v>
      </c>
      <c r="B26" s="29" t="n">
        <v>21</v>
      </c>
      <c r="C2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4.1</v>
      </c>
      <c r="D26" s="29" t="n">
        <v>2</v>
      </c>
      <c r="E26" s="30" t="s">
        <v>617</v>
      </c>
      <c r="F26" s="29" t="s">
        <v>584</v>
      </c>
      <c r="G26" s="29" t="n">
        <v>8</v>
      </c>
      <c r="H26" s="29" t="n">
        <v>19</v>
      </c>
      <c r="I26" s="29" t="s">
        <v>589</v>
      </c>
      <c r="J26" s="29"/>
      <c r="K26" s="29"/>
      <c r="L26" s="29"/>
      <c r="M26" s="29"/>
      <c r="N26" s="73"/>
      <c r="O26" s="73"/>
      <c r="P26" s="25" t="n">
        <f aca="false">IF(Tasks[[#This Row],[Task Name]]="","",IF(N(Tasks[[#This Row],[Baseline Start]])&gt;0,Tasks[[#This Row],[Baseline Start]],Tasks[[#This Row],[_CalcStart]]))</f>
        <v>46328</v>
      </c>
      <c r="Q26" s="25" t="n">
        <f aca="false">IF(Tasks[[#This Row],[Task Name]]="","",IF(N(Tasks[[#This Row],[Baseline Finish]])&gt;0,Tasks[[#This Row],[Baseline Finish]],Tasks[[#This Row],[_CalcFinish]]))</f>
        <v>46337</v>
      </c>
      <c r="R26" s="73"/>
      <c r="S26" s="73"/>
      <c r="T26" s="25" t="n">
        <f aca="false">IF(Tasks[[#This Row],[Task Name]]="","",IF(Tasks[[#This Row],[_IsSummary]],MIN(INDEX(Tasks[_LeafFcstStart],Tasks[[#This Row],[_Row]]+1):INDEX(Tasks[_LeafFcstStart],Tasks[[#This Row],[_Row]]+Tasks[[#This Row],[_Descendants]])),Tasks[[#This Row],[_LeafFcstStart]]))</f>
        <v>46336</v>
      </c>
      <c r="U26" s="25" t="n">
        <f aca="false">IF(Tasks[[#This Row],[Task Name]]="","",IF(Tasks[[#This Row],[_IsSummary]],MAX(INDEX(Tasks[_LeafFcstFinish],Tasks[[#This Row],[_Row]]+1):INDEX(Tasks[_LeafFcstFinish],Tasks[[#This Row],[_Row]]+Tasks[[#This Row],[_Descendants]])),Tasks[[#This Row],[_LeafFcstFinish]]))</f>
        <v>46345</v>
      </c>
      <c r="V26" s="43" t="n">
        <f aca="false">IF(Tasks[[#This Row],[Task Name]]="","",IF(Tasks[[#This Row],[Forecast Start]]&gt;=Tasks[[#This Row],[Planned Start]],NETWORKDAYS.INTL(Tasks[[#This Row],[Planned Start]],Tasks[[#This Row],[Forecast Start]],WorkWeek,Holidays)-1,1-NETWORKDAYS.INTL(Tasks[[#This Row],[Forecast Start]],Tasks[[#This Row],[Planned Start]],WorkWeek,Holidays)))</f>
        <v>6</v>
      </c>
      <c r="W26"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X26" s="25" t="n">
        <f aca="false">IF(Tasks[[#This Row],[Task Name]]="","",IF(Tasks[[#This Row],[_IsSummary]],MIN(INDEX(Tasks[_LeafLateStart],Tasks[[#This Row],[_Row]]+1):INDEX(Tasks[_LeafLateStart],Tasks[[#This Row],[_Row]]+Tasks[[#This Row],[_Descendants]])),Tasks[[#This Row],[_LeafLateStart]]))</f>
        <v>46351</v>
      </c>
      <c r="Y26" s="25" t="n">
        <f aca="false">IF(Tasks[[#This Row],[Task Name]]="","",IF(Tasks[[#This Row],[_IsSummary]],MAX(INDEX(Tasks[_LeafLateFinish],Tasks[[#This Row],[_Row]]+1):INDEX(Tasks[_LeafLateFinish],Tasks[[#This Row],[_Row]]+Tasks[[#This Row],[_Descendants]])),Tasks[[#This Row],[_LeafLateFinish]]))</f>
        <v>46360</v>
      </c>
      <c r="Z26" s="43" t="n">
        <f aca="false">IF(Tasks[[#This Row],[Task Name]]="","",IF(Tasks[[#This Row],[_IsSummary]],MIN(INDEX(Tasks[_LeafTotalSlack],Tasks[[#This Row],[_Row]]+1):INDEX(Tasks[_LeafTotalSlack],Tasks[[#This Row],[_Row]]+Tasks[[#This Row],[_Descendants]])),Tasks[[#This Row],[_LeafTotalSlack]]))</f>
        <v>11</v>
      </c>
      <c r="AA26"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26" s="28" t="str">
        <f aca="false">IF(Tasks[[#This Row],[Task Name]]="","",IF(IF(Tasks[[#This Row],[_IsSummary]],COUNTIF(INDEX(Tasks[_LeafCritical],Tasks[[#This Row],[_Row]]+1):INDEX(Tasks[_LeafCritical],Tasks[[#This Row],[_Row]]+Tasks[[#This Row],[_Descendants]]),TRUE())&gt;0,Tasks[[#This Row],[_LeafCritical]]),"Yes",""))</f>
        <v/>
      </c>
      <c r="AC2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6" s="24" t="str">
        <f aca="false">IF(Tasks[[#This Row],[Task Name]]="","",TRIM(IF(Tasks[[#This Row],[_Pred1Problem]]&lt;&gt;"","Pred 1: "&amp;Tasks[[#This Row],[_Pred1Problem]]&amp;". ","")&amp;IF(Tasks[[#This Row],[_Pred2Problem]]&lt;&gt;"","Pred 2: "&amp;Tasks[[#This Row],[_Pred2Problem]]&amp;".","")))</f>
        <v/>
      </c>
      <c r="AE26" s="88"/>
      <c r="AF26"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26" s="28" t="str">
        <f aca="false">IF(Tasks[[#This Row],[Task Name]]="","",IF(Tasks[[#This Row],[Progress]]&gt;=1,"Complete",IF(OR(N(Tasks[[#This Row],[Actual Start]])&gt;0,Tasks[[#This Row],[Progress]]&gt;0),IF(Tasks[[#This Row],[Finish Var]]&gt;0,"Behind","In Progress"),IF(Tasks[[#This Row],[Planned Start]]&lt;StatusDate,"Late Start","Not Started"))))</f>
        <v>Not Started</v>
      </c>
      <c r="AH26" s="30" t="s">
        <v>618</v>
      </c>
      <c r="AI26" s="88"/>
      <c r="AJ26" s="95" t="n">
        <f aca="false">IF(Tasks[[#This Row],[Task Name]]="","",IF(Tasks[[#This Row],[_IsSummary]],SUM(INDEX(Tasks[_LeafWork],Tasks[[#This Row],[_Row]]+1):INDEX(Tasks[_LeafWork],Tasks[[#This Row],[_Row]]+Tasks[[#This Row],[_Descendants]])),Tasks[[#This Row],[_LeafWork]]))</f>
        <v>64</v>
      </c>
      <c r="AK26" s="96" t="n">
        <f aca="false">IF(Tasks[[#This Row],[Task Name]]="","",IF(Tasks[[#This Row],[_IsSummary]],SUM(INDEX(Tasks[_LeafCost],Tasks[[#This Row],[_Row]]+1):INDEX(Tasks[_LeafCost],Tasks[[#This Row],[_Row]]+Tasks[[#This Row],[_Descendants]])),Tasks[[#This Row],[_LeafCost]]))</f>
        <v>4160</v>
      </c>
      <c r="AL26" s="97"/>
      <c r="AM26" s="29"/>
      <c r="AN2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5</v>
      </c>
      <c r="AO26" s="82" t="n">
        <v>8</v>
      </c>
      <c r="AP26" s="24" t="str">
        <f aca="false">IF(Tasks[[#This Row],[Task Name]]="","",Tasks[[#This Row],[_Pred1IDText]]&amp;IF(AND(Tasks[[#This Row],[_Pred1IDText]]&lt;&gt;"",Tasks[[#This Row],[_Pred2IDText]]&lt;&gt;""),",","")&amp;Tasks[[#This Row],[_Pred2IDText]])</f>
        <v>19</v>
      </c>
      <c r="AQ26" s="30"/>
      <c r="AR26" s="25" t="n">
        <f aca="false">IF(Tasks[[#This Row],[Task Name]]="","",Tasks[[#This Row],[Forecast Start]])</f>
        <v>46336</v>
      </c>
      <c r="AS26" s="25" t="n">
        <f aca="false">IF(Tasks[[#This Row],[Task Name]]="","",Tasks[[#This Row],[Forecast Finish]])</f>
        <v>46345</v>
      </c>
      <c r="AT26" s="28" t="n">
        <f aca="false">IF(Tasks[[#This Row],[Task Name]]="","",IF(Tasks[[#This Row],[_IsSummary]],NETWORKDAYS.INTL(Tasks[[#This Row],[Forecast Start]],Tasks[[#This Row],[Forecast Finish]],WorkWeek,Holidays),N(Tasks[[#This Row],[Duration]])))</f>
        <v>8</v>
      </c>
      <c r="AU26" s="95" t="n">
        <f aca="false">IF(Tasks[[#This Row],[Task Name]]="","",Tasks[[#This Row],[Work]])</f>
        <v>64</v>
      </c>
      <c r="AV26" s="96" t="n">
        <f aca="false">IF(Tasks[[#This Row],[Task Name]]="","",Tasks[[#This Row],[Cost]])</f>
        <v>4160</v>
      </c>
      <c r="AW26" s="73"/>
      <c r="AX26" s="73"/>
      <c r="AY26" s="29"/>
      <c r="AZ26" s="98"/>
      <c r="BA26" s="97"/>
      <c r="BB26" s="28" t="str">
        <f aca="false">IF(OR(Tasks[[#This Row],[Task Name]]="",Tasks[[#This Row],[Baseline Duration]]=""),"",Tasks[[#This Row],[BL Source Duration]]-N(Tasks[[#This Row],[Baseline Duration]]))</f>
        <v/>
      </c>
      <c r="BC26" s="95" t="str">
        <f aca="false">IF(OR(Tasks[[#This Row],[Task Name]]="",Tasks[[#This Row],[Baseline Work]]=""),"",Tasks[[#This Row],[Work]]-N(Tasks[[#This Row],[Baseline Work]]))</f>
        <v/>
      </c>
      <c r="BD26" s="96" t="str">
        <f aca="false">IF(OR(Tasks[[#This Row],[Task Name]]="",Tasks[[#This Row],[Baseline Cost]]=""),"",Tasks[[#This Row],[Cost]]-N(Tasks[[#This Row],[Baseline Cost]]))</f>
        <v/>
      </c>
      <c r="BE26" s="96" t="n">
        <f aca="false">IF(Tasks[[#This Row],[Task Name]]="","",IF(Tasks[[#This Row],[_IsSummary]],SUM(INDEX(Tasks[_LeafBudget],Tasks[[#This Row],[_Row]]+1):INDEX(Tasks[_LeafBudget],Tasks[[#This Row],[_Row]]+Tasks[[#This Row],[_Descendants]])),Tasks[[#This Row],[_LeafBudget]]))</f>
        <v>4160</v>
      </c>
      <c r="BF26" s="96" t="n">
        <f aca="false">IF(Tasks[[#This Row],[Task Name]]="","",IF(Tasks[[#This Row],[_IsSummary]],SUM(INDEX(Tasks[_LeafPV],Tasks[[#This Row],[_Row]]+1):INDEX(Tasks[_LeafPV],Tasks[[#This Row],[_Row]]+Tasks[[#This Row],[_Descendants]])),Tasks[[#This Row],[_LeafPV]]))</f>
        <v>0</v>
      </c>
      <c r="BG26" s="96" t="n">
        <f aca="false">IF(Tasks[[#This Row],[Task Name]]="","",IF(Tasks[[#This Row],[_IsSummary]],SUM(INDEX(Tasks[_LeafEV],Tasks[[#This Row],[_Row]]+1):INDEX(Tasks[_LeafEV],Tasks[[#This Row],[_Row]]+Tasks[[#This Row],[_Descendants]])),Tasks[[#This Row],[_LeafEV]]))</f>
        <v>0</v>
      </c>
      <c r="BH26" s="96" t="n">
        <f aca="false">IF(Tasks[[#This Row],[Task Name]]="","",IF(Tasks[[#This Row],[_IsSummary]],SUM(INDEX(Tasks[_LeafAC],Tasks[[#This Row],[_Row]]+1):INDEX(Tasks[_LeafAC],Tasks[[#This Row],[_Row]]+Tasks[[#This Row],[_Descendants]])),Tasks[[#This Row],[_LeafAC]]))</f>
        <v>0</v>
      </c>
      <c r="BI26" s="41" t="n">
        <f aca="false">IF(Tasks[[#This Row],[Task Name]]="","",MAX(1,N(Tasks[[#This Row],[Level]])))</f>
        <v>2</v>
      </c>
      <c r="BJ26" s="41" t="n">
        <f aca="false">ROW()-ROW(Tasks[[#Headers],[ID]])</f>
        <v>21</v>
      </c>
      <c r="BK26" s="41" t="n">
        <f aca="false">IF(OR(Tasks[[#This Row],[Task Name]]="",Tasks[[#This Row],[_Level]]&lt;=1),0,IFERROR(LOOKUP(2,1/(Tasks[[#Headers],[_Level]]:Tasks[[#This Row],[_Level]]=Tasks[[#This Row],[_Level]]-1),ROW(Tasks[[#Headers],[_Level]]:Tasks[[#This Row],[_Level]])),0))</f>
        <v>25</v>
      </c>
      <c r="BL26" s="41" t="n">
        <f aca="false">IFERROR(N(INDEX(Tasks[_Level],Tasks[[#This Row],[_Row]]+1)),0)</f>
        <v>2</v>
      </c>
      <c r="BM26" s="99" t="b">
        <f aca="false">AND(Tasks[[#This Row],[Task Name]]&lt;&gt;"",Tasks[[#This Row],[_NextLevel]]&gt;Tasks[[#This Row],[_Level]])</f>
        <v>0</v>
      </c>
      <c r="BN26" s="41" t="n">
        <f aca="false">IF(Tasks[[#This Row],[_IsSummary]],COUNTIF(Tasks[WBS],Tasks[[#This Row],[WBS]]&amp;".*"),0)</f>
        <v>0</v>
      </c>
      <c r="BO26" s="41" t="n">
        <f aca="false">IF(AND(Tasks[[#This Row],[Task Name]]&lt;&gt;"",NOT(Tasks[[#This Row],[_IsSummary]])),1,0)</f>
        <v>1</v>
      </c>
      <c r="BP26" s="41" t="n">
        <f aca="false">IF(N(Tasks[[#This Row],[Pred1 UID]])=0,0,IFERROR(MATCH(Tasks[[#This Row],[Pred1 UID]],Tasks[UID],0),-1))</f>
        <v>19</v>
      </c>
      <c r="BQ26" s="41" t="n">
        <f aca="false">IF(N(Tasks[[#This Row],[Pred2 UID]])=0,0,IFERROR(MATCH(Tasks[[#This Row],[Pred2 UID]],Tasks[UID],0),-1))</f>
        <v>0</v>
      </c>
      <c r="BR26" s="100"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46328</v>
      </c>
      <c r="BS26" s="100" t="n">
        <f aca="false">IF(NOT(Tasks[[#This Row],[_IsLeaf]]=1),"",IF(N(Tasks[[#This Row],[Duration]])&lt;=0,Tasks[[#This Row],[_LeafCalcStart]],WORKDAY.INTL(Tasks[[#This Row],[_LeafCalcStart]],Tasks[[#This Row],[Duration]]-1,WorkWeek,Holidays)))</f>
        <v>46337</v>
      </c>
      <c r="BT26" s="100"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46336</v>
      </c>
      <c r="BU26" s="100"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46345</v>
      </c>
      <c r="BV26" s="41" t="n">
        <f aca="false">IF(NOT(Tasks[[#This Row],[_IsLeaf]]=1),0,IF(N(Tasks[[#This Row],[Actual Finish]])&gt;0,1,MIN(1,N(Tasks[[#This Row],[% Complete]]))))</f>
        <v>0</v>
      </c>
      <c r="BW26" s="41" t="n">
        <f aca="false">IF(OR(NOT(Tasks[[#This Row],[_IsLeaf]]=1),Tasks[[#This Row],[Resource]]=""),0,N(Tasks[[#This Row],[Duration]])*HoursPerDay*IF(Tasks[[#This Row],[Units]]="",DefaultUnits,Tasks[[#This Row],[Units]]))</f>
        <v>64</v>
      </c>
      <c r="BX26" s="41" t="n">
        <f aca="false">IF(Tasks[[#This Row],[_LeafWork]]=0,0,Tasks[[#This Row],[_LeafWork]]*IFERROR(INDEX(res_Rate,MATCH(Tasks[[#This Row],[Resource]],res_Name,0)),0))</f>
        <v>4160</v>
      </c>
      <c r="BY26" s="101"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2912115</v>
      </c>
      <c r="BZ2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6"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B2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6" s="41" t="n">
        <f aca="false">IF(NOT(Tasks[[#This Row],[_IsLeaf]]=1),0,MAX(_xlfn.MAXIFS(Tasks[_Row],Tasks[Pred1 UID],Tasks[[#This Row],[UID]]),_xlfn.MAXIFS(Tasks[_Row],Tasks[Pred2 UID],Tasks[[#This Row],[UID]])))</f>
        <v>23</v>
      </c>
      <c r="CD26" s="100"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46360</v>
      </c>
      <c r="CE26" s="100" t="n">
        <f aca="false">IF(NOT(Tasks[[#This Row],[_IsLeaf]]=1),"",MIN(ProjectFinish,IF(N(Tasks[[#This Row],[Deadline]])&gt;0,Tasks[[#This Row],[Deadline]],2958465),Tasks[[#This Row],[_SuccessorFinishLimit]]))</f>
        <v>46360</v>
      </c>
      <c r="CF26" s="100" t="n">
        <f aca="false">IF(NOT(Tasks[[#This Row],[_IsLeaf]]=1),"",IF(N(Tasks[[#This Row],[Duration]])&lt;=0,Tasks[[#This Row],[_LeafLateFinish]],WORKDAY.INTL(Tasks[[#This Row],[_LeafLateFinish]],-(Tasks[[#This Row],[Duration]]-1),WorkWeek,Holidays)))</f>
        <v>46351</v>
      </c>
      <c r="CG26"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11</v>
      </c>
      <c r="CH26" s="99" t="b">
        <f aca="false">AND(Tasks[[#This Row],[_IsLeaf]]=1,Tasks[[#This Row],[_LeafProgress]]&lt;1,N(Tasks[[#This Row],[_LeafTotalSlack]])&lt;=CriticalSlackDays)</f>
        <v>0</v>
      </c>
      <c r="CI26" s="100" t="n">
        <f aca="false">IF(Tasks[[#This Row],[Task Name]]="","",IF(Tasks[[#This Row],[_IsSummary]],MIN(INDEX(Tasks[_LeafCalcStart],Tasks[[#This Row],[_Row]]+1):INDEX(Tasks[_LeafCalcStart],Tasks[[#This Row],[_Row]]+Tasks[[#This Row],[_Descendants]])),Tasks[[#This Row],[_LeafCalcStart]]))</f>
        <v>46328</v>
      </c>
      <c r="CJ26" s="100" t="n">
        <f aca="false">IF(Tasks[[#This Row],[Task Name]]="","",IF(Tasks[[#This Row],[_IsSummary]],MAX(INDEX(Tasks[_LeafCalcFinish],Tasks[[#This Row],[_Row]]+1):INDEX(Tasks[_LeafCalcFinish],Tasks[[#This Row],[_Row]]+Tasks[[#This Row],[_Descendants]])),Tasks[[#This Row],[_LeafCalcFinish]]))</f>
        <v>46337</v>
      </c>
      <c r="CK2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6"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46328</v>
      </c>
      <c r="CN26"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6"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46336</v>
      </c>
      <c r="CP26"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6" s="41" t="n">
        <f aca="false">IF(AND(Tasks[[#This Row],[_IsLeaf]]=1,Tasks[[#This Row],[_LeafWork]]&gt;0),NETWORKDAYS.INTL(ProjectStart,Tasks[[#This Row],[_LeafFcstStart]],WorkWeek,Holidays),0)</f>
        <v>47</v>
      </c>
      <c r="CR26" s="41" t="n">
        <f aca="false">IF(AND(Tasks[[#This Row],[_IsLeaf]]=1,Tasks[[#This Row],[_LeafWork]]&gt;0),MAX(Tasks[[#This Row],[_StartWorkday]],NETWORKDAYS.INTL(ProjectStart,Tasks[[#This Row],[_LeafFcstFinish]],WorkWeek,Holidays)),0)</f>
        <v>54</v>
      </c>
      <c r="CS26" s="41" t="n">
        <f aca="false">IF(AND(Tasks[[#This Row],[_IsLeaf]]=1,Tasks[[#This Row],[_LeafWork]]&gt;0),Tasks[[#This Row],[_LeafWork]]/(Tasks[[#This Row],[_FinishWorkday]]-Tasks[[#This Row],[_StartWorkday]]+1),0)</f>
        <v>8</v>
      </c>
      <c r="CT26" s="41" t="n">
        <f aca="false">Tasks[[#This Row],[_WorkPerWorkday]]*(Tasks[[#This Row],[_StartWorkday]]-1)</f>
        <v>368</v>
      </c>
      <c r="CU26" s="41" t="n">
        <f aca="false">IF(Tasks[[#This Row],[_IsLeaf]]=1,MAX(N(Tasks[[#This Row],[Duration]]),0.1),0)</f>
        <v>8</v>
      </c>
      <c r="CV26" s="41" t="n">
        <f aca="false">Tasks[[#This Row],[_WeightDur]]*Tasks[[#This Row],[_LeafProgress]]</f>
        <v>0</v>
      </c>
      <c r="CW2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19</v>
      </c>
      <c r="CX2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19</v>
      </c>
      <c r="CZ2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6" s="41" t="str">
        <f aca="false">IF(Tasks[[#This Row],[Task Name]]="","",Tasks[[#This Row],[_Pred1UIDText]]&amp;IF(AND(Tasks[[#This Row],[_Pred1UIDText]]&lt;&gt;"",Tasks[[#This Row],[_Pred2UIDText]]&lt;&gt;""),",","")&amp;Tasks[[#This Row],[_Pred2UIDText]])</f>
        <v>19</v>
      </c>
      <c r="DB26" s="41" t="str">
        <f aca="false">IF(AND(Tasks[[#This Row],[_IsLeaf]]=1,N(Tasks[[#This Row],[Duration]])=0,Tasks[[#This Row],[_LeafProgress]]&lt;1),Tasks[[#This Row],[_LeafFcstFinish]]+Tasks[[#This Row],[_Row]]/100000,"")</f>
        <v/>
      </c>
      <c r="DC2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6" s="41" t="n">
        <f aca="false">IF(NOT(Tasks[[#This Row],[_IsLeaf]]=1),0,IF(Tasks[[#This Row],[Baseline Cost]]="",Tasks[[#This Row],[_LeafCost]],N(Tasks[[#This Row],[Baseline Cost]])))</f>
        <v>4160</v>
      </c>
      <c r="DE26" s="41" t="n">
        <f aca="false">Tasks[[#This Row],[_LeafBudget]]*Tasks[[#This Row],[_PlannedPct]]</f>
        <v>0</v>
      </c>
      <c r="DF26" s="41" t="n">
        <f aca="false">Tasks[[#This Row],[_LeafBudget]]*Tasks[[#This Row],[_LeafProgress]]</f>
        <v>0</v>
      </c>
      <c r="DG26" s="41" t="n">
        <f aca="false">IF(NOT(Tasks[[#This Row],[_IsLeaf]]=1),0,IF(Tasks[[#This Row],[Actual Cost]]="",Tasks[[#This Row],[_LeafCost]]*Tasks[[#This Row],[_LeafProgress]],N(Tasks[[#This Row],[Actual Cost]])))</f>
        <v>0</v>
      </c>
      <c r="DH26" s="41" t="str">
        <f aca="false">IF(Tasks[[#This Row],[Task Name]]="","",LEFT(Tasks[[#This Row],[WBS]],FIND(".",Tasks[[#This Row],[WBS]]&amp;".")-1))</f>
        <v>4</v>
      </c>
      <c r="DI26" s="41" t="str">
        <f aca="false">IF(AND(Tasks[[#This Row],[Task Name]]&lt;&gt;"",Tasks[[#This Row],[_Level]]=1),Tasks[[#This Row],[_Row]],"")</f>
        <v/>
      </c>
      <c r="DJ26" s="41" t="str">
        <f aca="false">IF(AND(Tasks[[#This Row],[_IsLeaf]]=1,N(Tasks[[#This Row],[Duration]])=0),Tasks[[#This Row],[Planned Finish]]+Tasks[[#This Row],[_Row]]/100000,"")</f>
        <v/>
      </c>
      <c r="DK26" s="41" t="n">
        <f aca="false">IF(AND(Tasks[[#This Row],[_IsLeaf]]=1,Tasks[[#This Row],[_LeafProgress]]&lt;1,OR(N(Tasks[[#This Row],[Finish Var]])&gt;0,Tasks[[#This Row],[Status]]="Late Start")),MAX(0,Tasks[[#This Row],[Finish Var]])+1-Tasks[[#This Row],[_Row]]/1000000,"")</f>
        <v>6.999979</v>
      </c>
      <c r="DL26" s="41" t="str">
        <f aca="false">IF(AND(Tasks[[#This Row],[_IsLeaf]]=1,N(Tasks[[#This Row],[Actual Start]])=0,Tasks[[#This Row],[_LeafFcstStart]]&gt;=StatusDate,Tasks[[#This Row],[_LeafFcstStart]]&lt;=LookaheadEnd),Tasks[[#This Row],[_LeafFcstStart]]+Tasks[[#This Row],[_Row]]/100000,"")</f>
        <v/>
      </c>
      <c r="DM26" s="41" t="str">
        <f aca="false">IF(AND(Tasks[[#This Row],[_IsLeaf]]=1,Tasks[[#This Row],[_LeafProgress]]&lt;1,Tasks[[#This Row],[_LeafFcstFinish]]&gt;=StatusDate,Tasks[[#This Row],[_LeafFcstFinish]]&lt;=LookaheadEnd),Tasks[[#This Row],[_LeafFcstFinish]]+Tasks[[#This Row],[_Row]]/100000,"")</f>
        <v/>
      </c>
      <c r="DN26" s="41" t="str">
        <f aca="false">IF(Tasks[[#This Row],[_LeafCritical]],Tasks[[#This Row],[_LeafFcstStart]]+Tasks[[#This Row],[_Row]]/100000,"")</f>
        <v/>
      </c>
      <c r="DO26" s="41" t="n">
        <f aca="false">Tasks[[#This Row],[_LeafWork]]*Tasks[[#This Row],[_LeafProgress]]</f>
        <v>0</v>
      </c>
      <c r="DP26" s="100" t="str">
        <f aca="false">IF(AND(Tasks[[#This Row],[_IsLeaf]]=1,Tasks[[#This Row],[_LeafProgress]]&gt;=1),IF(N(Tasks[[#This Row],[Actual Finish]])&gt;0,Tasks[[#This Row],[Actual Finish]],Tasks[[#This Row],[_LeafFcstFinish]]),"")</f>
        <v/>
      </c>
      <c r="DQ26" s="41" t="n">
        <f aca="false">IF(Tasks[[#This Row],[_IsLeaf]]=1,N(Tasks[[#This Row],[Story Points]]),0)</f>
        <v>8</v>
      </c>
      <c r="DR26" s="41" t="str">
        <f aca="false">IF(AND(Tasks[[#This Row],[_IsLeaf]]=1,CurrentSprint&lt;&gt;"",Tasks[[#This Row],[Sprint]]=CurrentSprint),Tasks[[#This Row],[_Row]],"")</f>
        <v/>
      </c>
    </row>
    <row r="27" customFormat="false" ht="15" hidden="false" customHeight="false" outlineLevel="0" collapsed="false">
      <c r="A27" s="28" t="n">
        <f aca="false">IF(Tasks[[#This Row],[Task Name]]="","",COUNTA(Tasks[[#Headers],[Task Name]]:Tasks[[#This Row],[Task Name]])-1)</f>
        <v>22</v>
      </c>
      <c r="B27" s="29" t="n">
        <v>22</v>
      </c>
      <c r="C2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4.2</v>
      </c>
      <c r="D27" s="29" t="n">
        <v>2</v>
      </c>
      <c r="E27" s="30" t="s">
        <v>619</v>
      </c>
      <c r="F27" s="29" t="s">
        <v>584</v>
      </c>
      <c r="G27" s="29" t="n">
        <v>6</v>
      </c>
      <c r="H27" s="29" t="n">
        <v>21</v>
      </c>
      <c r="I27" s="29" t="s">
        <v>589</v>
      </c>
      <c r="J27" s="29"/>
      <c r="K27" s="29"/>
      <c r="L27" s="29"/>
      <c r="M27" s="29"/>
      <c r="N27" s="73" t="n">
        <v>46363</v>
      </c>
      <c r="O27" s="73"/>
      <c r="P27" s="25" t="n">
        <f aca="false">IF(Tasks[[#This Row],[Task Name]]="","",IF(N(Tasks[[#This Row],[Baseline Start]])&gt;0,Tasks[[#This Row],[Baseline Start]],Tasks[[#This Row],[_CalcStart]]))</f>
        <v>46363</v>
      </c>
      <c r="Q27" s="25" t="n">
        <f aca="false">IF(Tasks[[#This Row],[Task Name]]="","",IF(N(Tasks[[#This Row],[Baseline Finish]])&gt;0,Tasks[[#This Row],[Baseline Finish]],Tasks[[#This Row],[_CalcFinish]]))</f>
        <v>46370</v>
      </c>
      <c r="R27" s="73"/>
      <c r="S27" s="73"/>
      <c r="T27" s="25" t="n">
        <f aca="false">IF(Tasks[[#This Row],[Task Name]]="","",IF(Tasks[[#This Row],[_IsSummary]],MIN(INDEX(Tasks[_LeafFcstStart],Tasks[[#This Row],[_Row]]+1):INDEX(Tasks[_LeafFcstStart],Tasks[[#This Row],[_Row]]+Tasks[[#This Row],[_Descendants]])),Tasks[[#This Row],[_LeafFcstStart]]))</f>
        <v>46363</v>
      </c>
      <c r="U27" s="25" t="n">
        <f aca="false">IF(Tasks[[#This Row],[Task Name]]="","",IF(Tasks[[#This Row],[_IsSummary]],MAX(INDEX(Tasks[_LeafFcstFinish],Tasks[[#This Row],[_Row]]+1):INDEX(Tasks[_LeafFcstFinish],Tasks[[#This Row],[_Row]]+Tasks[[#This Row],[_Descendants]])),Tasks[[#This Row],[_LeafFcstFinish]]))</f>
        <v>46370</v>
      </c>
      <c r="V27"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W27"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X27" s="25" t="n">
        <f aca="false">IF(Tasks[[#This Row],[Task Name]]="","",IF(Tasks[[#This Row],[_IsSummary]],MIN(INDEX(Tasks[_LeafLateStart],Tasks[[#This Row],[_Row]]+1):INDEX(Tasks[_LeafLateStart],Tasks[[#This Row],[_Row]]+Tasks[[#This Row],[_Descendants]])),Tasks[[#This Row],[_LeafLateStart]]))</f>
        <v>46363</v>
      </c>
      <c r="Y27" s="25" t="n">
        <f aca="false">IF(Tasks[[#This Row],[Task Name]]="","",IF(Tasks[[#This Row],[_IsSummary]],MAX(INDEX(Tasks[_LeafLateFinish],Tasks[[#This Row],[_Row]]+1):INDEX(Tasks[_LeafLateFinish],Tasks[[#This Row],[_Row]]+Tasks[[#This Row],[_Descendants]])),Tasks[[#This Row],[_LeafLateFinish]]))</f>
        <v>46370</v>
      </c>
      <c r="Z27" s="43" t="n">
        <f aca="false">IF(Tasks[[#This Row],[Task Name]]="","",IF(Tasks[[#This Row],[_IsSummary]],MIN(INDEX(Tasks[_LeafTotalSlack],Tasks[[#This Row],[_Row]]+1):INDEX(Tasks[_LeafTotalSlack],Tasks[[#This Row],[_Row]]+Tasks[[#This Row],[_Descendants]])),Tasks[[#This Row],[_LeafTotalSlack]]))</f>
        <v>0</v>
      </c>
      <c r="AA27"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27" s="28" t="str">
        <f aca="false">IF(Tasks[[#This Row],[Task Name]]="","",IF(IF(Tasks[[#This Row],[_IsSummary]],COUNTIF(INDEX(Tasks[_LeafCritical],Tasks[[#This Row],[_Row]]+1):INDEX(Tasks[_LeafCritical],Tasks[[#This Row],[_Row]]+Tasks[[#This Row],[_Descendants]]),TRUE())&gt;0,Tasks[[#This Row],[_LeafCritical]]),"Yes",""))</f>
        <v>Yes</v>
      </c>
      <c r="AC2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7" s="24" t="str">
        <f aca="false">IF(Tasks[[#This Row],[Task Name]]="","",TRIM(IF(Tasks[[#This Row],[_Pred1Problem]]&lt;&gt;"","Pred 1: "&amp;Tasks[[#This Row],[_Pred1Problem]]&amp;". ","")&amp;IF(Tasks[[#This Row],[_Pred2Problem]]&lt;&gt;"","Pred 2: "&amp;Tasks[[#This Row],[_Pred2Problem]]&amp;".","")))</f>
        <v/>
      </c>
      <c r="AE27" s="88"/>
      <c r="AF27"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27" s="28" t="str">
        <f aca="false">IF(Tasks[[#This Row],[Task Name]]="","",IF(Tasks[[#This Row],[Progress]]&gt;=1,"Complete",IF(OR(N(Tasks[[#This Row],[Actual Start]])&gt;0,Tasks[[#This Row],[Progress]]&gt;0),IF(Tasks[[#This Row],[Finish Var]]&gt;0,"Behind","In Progress"),IF(Tasks[[#This Row],[Planned Start]]&lt;StatusDate,"Late Start","Not Started"))))</f>
        <v>Not Started</v>
      </c>
      <c r="AH27" s="30" t="s">
        <v>290</v>
      </c>
      <c r="AI27" s="88"/>
      <c r="AJ27" s="95" t="n">
        <f aca="false">IF(Tasks[[#This Row],[Task Name]]="","",IF(Tasks[[#This Row],[_IsSummary]],SUM(INDEX(Tasks[_LeafWork],Tasks[[#This Row],[_Row]]+1):INDEX(Tasks[_LeafWork],Tasks[[#This Row],[_Row]]+Tasks[[#This Row],[_Descendants]])),Tasks[[#This Row],[_LeafWork]]))</f>
        <v>48</v>
      </c>
      <c r="AK27" s="96" t="n">
        <f aca="false">IF(Tasks[[#This Row],[Task Name]]="","",IF(Tasks[[#This Row],[_IsSummary]],SUM(INDEX(Tasks[_LeafCost],Tasks[[#This Row],[_Row]]+1):INDEX(Tasks[_LeafCost],Tasks[[#This Row],[_Row]]+Tasks[[#This Row],[_Descendants]])),Tasks[[#This Row],[_LeafCost]]))</f>
        <v>3360</v>
      </c>
      <c r="AL27" s="97"/>
      <c r="AM27" s="29"/>
      <c r="AN2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7</v>
      </c>
      <c r="AO27" s="82" t="n">
        <v>5</v>
      </c>
      <c r="AP27" s="24" t="str">
        <f aca="false">IF(Tasks[[#This Row],[Task Name]]="","",Tasks[[#This Row],[_Pred1IDText]]&amp;IF(AND(Tasks[[#This Row],[_Pred1IDText]]&lt;&gt;"",Tasks[[#This Row],[_Pred2IDText]]&lt;&gt;""),",","")&amp;Tasks[[#This Row],[_Pred2IDText]])</f>
        <v>21</v>
      </c>
      <c r="AQ27" s="30" t="s">
        <v>620</v>
      </c>
      <c r="AR27" s="25" t="n">
        <f aca="false">IF(Tasks[[#This Row],[Task Name]]="","",Tasks[[#This Row],[Forecast Start]])</f>
        <v>46363</v>
      </c>
      <c r="AS27" s="25" t="n">
        <f aca="false">IF(Tasks[[#This Row],[Task Name]]="","",Tasks[[#This Row],[Forecast Finish]])</f>
        <v>46370</v>
      </c>
      <c r="AT27" s="28" t="n">
        <f aca="false">IF(Tasks[[#This Row],[Task Name]]="","",IF(Tasks[[#This Row],[_IsSummary]],NETWORKDAYS.INTL(Tasks[[#This Row],[Forecast Start]],Tasks[[#This Row],[Forecast Finish]],WorkWeek,Holidays),N(Tasks[[#This Row],[Duration]])))</f>
        <v>6</v>
      </c>
      <c r="AU27" s="95" t="n">
        <f aca="false">IF(Tasks[[#This Row],[Task Name]]="","",Tasks[[#This Row],[Work]])</f>
        <v>48</v>
      </c>
      <c r="AV27" s="96" t="n">
        <f aca="false">IF(Tasks[[#This Row],[Task Name]]="","",Tasks[[#This Row],[Cost]])</f>
        <v>3360</v>
      </c>
      <c r="AW27" s="73"/>
      <c r="AX27" s="73"/>
      <c r="AY27" s="29"/>
      <c r="AZ27" s="98"/>
      <c r="BA27" s="97"/>
      <c r="BB27" s="28" t="str">
        <f aca="false">IF(OR(Tasks[[#This Row],[Task Name]]="",Tasks[[#This Row],[Baseline Duration]]=""),"",Tasks[[#This Row],[BL Source Duration]]-N(Tasks[[#This Row],[Baseline Duration]]))</f>
        <v/>
      </c>
      <c r="BC27" s="95" t="str">
        <f aca="false">IF(OR(Tasks[[#This Row],[Task Name]]="",Tasks[[#This Row],[Baseline Work]]=""),"",Tasks[[#This Row],[Work]]-N(Tasks[[#This Row],[Baseline Work]]))</f>
        <v/>
      </c>
      <c r="BD27" s="96" t="str">
        <f aca="false">IF(OR(Tasks[[#This Row],[Task Name]]="",Tasks[[#This Row],[Baseline Cost]]=""),"",Tasks[[#This Row],[Cost]]-N(Tasks[[#This Row],[Baseline Cost]]))</f>
        <v/>
      </c>
      <c r="BE27" s="96" t="n">
        <f aca="false">IF(Tasks[[#This Row],[Task Name]]="","",IF(Tasks[[#This Row],[_IsSummary]],SUM(INDEX(Tasks[_LeafBudget],Tasks[[#This Row],[_Row]]+1):INDEX(Tasks[_LeafBudget],Tasks[[#This Row],[_Row]]+Tasks[[#This Row],[_Descendants]])),Tasks[[#This Row],[_LeafBudget]]))</f>
        <v>3360</v>
      </c>
      <c r="BF27" s="96" t="n">
        <f aca="false">IF(Tasks[[#This Row],[Task Name]]="","",IF(Tasks[[#This Row],[_IsSummary]],SUM(INDEX(Tasks[_LeafPV],Tasks[[#This Row],[_Row]]+1):INDEX(Tasks[_LeafPV],Tasks[[#This Row],[_Row]]+Tasks[[#This Row],[_Descendants]])),Tasks[[#This Row],[_LeafPV]]))</f>
        <v>0</v>
      </c>
      <c r="BG27" s="96" t="n">
        <f aca="false">IF(Tasks[[#This Row],[Task Name]]="","",IF(Tasks[[#This Row],[_IsSummary]],SUM(INDEX(Tasks[_LeafEV],Tasks[[#This Row],[_Row]]+1):INDEX(Tasks[_LeafEV],Tasks[[#This Row],[_Row]]+Tasks[[#This Row],[_Descendants]])),Tasks[[#This Row],[_LeafEV]]))</f>
        <v>0</v>
      </c>
      <c r="BH27" s="96" t="n">
        <f aca="false">IF(Tasks[[#This Row],[Task Name]]="","",IF(Tasks[[#This Row],[_IsSummary]],SUM(INDEX(Tasks[_LeafAC],Tasks[[#This Row],[_Row]]+1):INDEX(Tasks[_LeafAC],Tasks[[#This Row],[_Row]]+Tasks[[#This Row],[_Descendants]])),Tasks[[#This Row],[_LeafAC]]))</f>
        <v>0</v>
      </c>
      <c r="BI27" s="41" t="n">
        <f aca="false">IF(Tasks[[#This Row],[Task Name]]="","",MAX(1,N(Tasks[[#This Row],[Level]])))</f>
        <v>2</v>
      </c>
      <c r="BJ27" s="41" t="n">
        <f aca="false">ROW()-ROW(Tasks[[#Headers],[ID]])</f>
        <v>22</v>
      </c>
      <c r="BK27" s="41" t="n">
        <f aca="false">IF(OR(Tasks[[#This Row],[Task Name]]="",Tasks[[#This Row],[_Level]]&lt;=1),0,IFERROR(LOOKUP(2,1/(Tasks[[#Headers],[_Level]]:Tasks[[#This Row],[_Level]]=Tasks[[#This Row],[_Level]]-1),ROW(Tasks[[#Headers],[_Level]]:Tasks[[#This Row],[_Level]])),0))</f>
        <v>25</v>
      </c>
      <c r="BL27" s="41" t="n">
        <f aca="false">IFERROR(N(INDEX(Tasks[_Level],Tasks[[#This Row],[_Row]]+1)),0)</f>
        <v>2</v>
      </c>
      <c r="BM27" s="99" t="b">
        <f aca="false">AND(Tasks[[#This Row],[Task Name]]&lt;&gt;"",Tasks[[#This Row],[_NextLevel]]&gt;Tasks[[#This Row],[_Level]])</f>
        <v>0</v>
      </c>
      <c r="BN27" s="41" t="n">
        <f aca="false">IF(Tasks[[#This Row],[_IsSummary]],COUNTIF(Tasks[WBS],Tasks[[#This Row],[WBS]]&amp;".*"),0)</f>
        <v>0</v>
      </c>
      <c r="BO27" s="41" t="n">
        <f aca="false">IF(AND(Tasks[[#This Row],[Task Name]]&lt;&gt;"",NOT(Tasks[[#This Row],[_IsSummary]])),1,0)</f>
        <v>1</v>
      </c>
      <c r="BP27" s="41" t="n">
        <f aca="false">IF(N(Tasks[[#This Row],[Pred1 UID]])=0,0,IFERROR(MATCH(Tasks[[#This Row],[Pred1 UID]],Tasks[UID],0),-1))</f>
        <v>21</v>
      </c>
      <c r="BQ27" s="41" t="n">
        <f aca="false">IF(N(Tasks[[#This Row],[Pred2 UID]])=0,0,IFERROR(MATCH(Tasks[[#This Row],[Pred2 UID]],Tasks[UID],0),-1))</f>
        <v>0</v>
      </c>
      <c r="BR27" s="100"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46363</v>
      </c>
      <c r="BS27" s="100" t="n">
        <f aca="false">IF(NOT(Tasks[[#This Row],[_IsLeaf]]=1),"",IF(N(Tasks[[#This Row],[Duration]])&lt;=0,Tasks[[#This Row],[_LeafCalcStart]],WORKDAY.INTL(Tasks[[#This Row],[_LeafCalcStart]],Tasks[[#This Row],[Duration]]-1,WorkWeek,Holidays)))</f>
        <v>46370</v>
      </c>
      <c r="BT27" s="100"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46363</v>
      </c>
      <c r="BU27" s="100"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46370</v>
      </c>
      <c r="BV27" s="41" t="n">
        <f aca="false">IF(NOT(Tasks[[#This Row],[_IsLeaf]]=1),0,IF(N(Tasks[[#This Row],[Actual Finish]])&gt;0,1,MIN(1,N(Tasks[[#This Row],[% Complete]]))))</f>
        <v>0</v>
      </c>
      <c r="BW27" s="41" t="n">
        <f aca="false">IF(OR(NOT(Tasks[[#This Row],[_IsLeaf]]=1),Tasks[[#This Row],[Resource]]=""),0,N(Tasks[[#This Row],[Duration]])*HoursPerDay*IF(Tasks[[#This Row],[Units]]="",DefaultUnits,Tasks[[#This Row],[Units]]))</f>
        <v>48</v>
      </c>
      <c r="BX27" s="41" t="n">
        <f aca="false">IF(Tasks[[#This Row],[_LeafWork]]=0,0,Tasks[[#This Row],[_LeafWork]]*IFERROR(INDEX(res_Rate,MATCH(Tasks[[#This Row],[Resource]],res_Name,0)),0))</f>
        <v>3360</v>
      </c>
      <c r="BY27" s="101"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2912105</v>
      </c>
      <c r="BZ2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7"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99989</v>
      </c>
      <c r="CB2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7" s="41" t="n">
        <f aca="false">IF(NOT(Tasks[[#This Row],[_IsLeaf]]=1),0,MAX(_xlfn.MAXIFS(Tasks[_Row],Tasks[Pred1 UID],Tasks[[#This Row],[UID]]),_xlfn.MAXIFS(Tasks[_Row],Tasks[Pred2 UID],Tasks[[#This Row],[UID]])))</f>
        <v>24</v>
      </c>
      <c r="CD27" s="100"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46370</v>
      </c>
      <c r="CE27" s="100" t="n">
        <f aca="false">IF(NOT(Tasks[[#This Row],[_IsLeaf]]=1),"",MIN(ProjectFinish,IF(N(Tasks[[#This Row],[Deadline]])&gt;0,Tasks[[#This Row],[Deadline]],2958465),Tasks[[#This Row],[_SuccessorFinishLimit]]))</f>
        <v>46370</v>
      </c>
      <c r="CF27" s="100" t="n">
        <f aca="false">IF(NOT(Tasks[[#This Row],[_IsLeaf]]=1),"",IF(N(Tasks[[#This Row],[Duration]])&lt;=0,Tasks[[#This Row],[_LeafLateFinish]],WORKDAY.INTL(Tasks[[#This Row],[_LeafLateFinish]],-(Tasks[[#This Row],[Duration]]-1),WorkWeek,Holidays)))</f>
        <v>46363</v>
      </c>
      <c r="CG27"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CH27" s="99" t="b">
        <f aca="false">AND(Tasks[[#This Row],[_IsLeaf]]=1,Tasks[[#This Row],[_LeafProgress]]&lt;1,N(Tasks[[#This Row],[_LeafTotalSlack]])&lt;=CriticalSlackDays)</f>
        <v>1</v>
      </c>
      <c r="CI27" s="100" t="n">
        <f aca="false">IF(Tasks[[#This Row],[Task Name]]="","",IF(Tasks[[#This Row],[_IsSummary]],MIN(INDEX(Tasks[_LeafCalcStart],Tasks[[#This Row],[_Row]]+1):INDEX(Tasks[_LeafCalcStart],Tasks[[#This Row],[_Row]]+Tasks[[#This Row],[_Descendants]])),Tasks[[#This Row],[_LeafCalcStart]]))</f>
        <v>46363</v>
      </c>
      <c r="CJ27" s="100" t="n">
        <f aca="false">IF(Tasks[[#This Row],[Task Name]]="","",IF(Tasks[[#This Row],[_IsSummary]],MAX(INDEX(Tasks[_LeafCalcFinish],Tasks[[#This Row],[_Row]]+1):INDEX(Tasks[_LeafCalcFinish],Tasks[[#This Row],[_Row]]+Tasks[[#This Row],[_Descendants]])),Tasks[[#This Row],[_LeafCalcFinish]]))</f>
        <v>46370</v>
      </c>
      <c r="CK2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7"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46338</v>
      </c>
      <c r="CN27"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7"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46346</v>
      </c>
      <c r="CP27"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7" s="41" t="n">
        <f aca="false">IF(AND(Tasks[[#This Row],[_IsLeaf]]=1,Tasks[[#This Row],[_LeafWork]]&gt;0),NETWORKDAYS.INTL(ProjectStart,Tasks[[#This Row],[_LeafFcstStart]],WorkWeek,Holidays),0)</f>
        <v>66</v>
      </c>
      <c r="CR27" s="41" t="n">
        <f aca="false">IF(AND(Tasks[[#This Row],[_IsLeaf]]=1,Tasks[[#This Row],[_LeafWork]]&gt;0),MAX(Tasks[[#This Row],[_StartWorkday]],NETWORKDAYS.INTL(ProjectStart,Tasks[[#This Row],[_LeafFcstFinish]],WorkWeek,Holidays)),0)</f>
        <v>71</v>
      </c>
      <c r="CS27" s="41" t="n">
        <f aca="false">IF(AND(Tasks[[#This Row],[_IsLeaf]]=1,Tasks[[#This Row],[_LeafWork]]&gt;0),Tasks[[#This Row],[_LeafWork]]/(Tasks[[#This Row],[_FinishWorkday]]-Tasks[[#This Row],[_StartWorkday]]+1),0)</f>
        <v>8</v>
      </c>
      <c r="CT27" s="41" t="n">
        <f aca="false">Tasks[[#This Row],[_WorkPerWorkday]]*(Tasks[[#This Row],[_StartWorkday]]-1)</f>
        <v>520</v>
      </c>
      <c r="CU27" s="41" t="n">
        <f aca="false">IF(Tasks[[#This Row],[_IsLeaf]]=1,MAX(N(Tasks[[#This Row],[Duration]]),0.1),0)</f>
        <v>6</v>
      </c>
      <c r="CV27" s="41" t="n">
        <f aca="false">Tasks[[#This Row],[_WeightDur]]*Tasks[[#This Row],[_LeafProgress]]</f>
        <v>0</v>
      </c>
      <c r="CW2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21</v>
      </c>
      <c r="CX2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21</v>
      </c>
      <c r="CZ2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7" s="41" t="str">
        <f aca="false">IF(Tasks[[#This Row],[Task Name]]="","",Tasks[[#This Row],[_Pred1UIDText]]&amp;IF(AND(Tasks[[#This Row],[_Pred1UIDText]]&lt;&gt;"",Tasks[[#This Row],[_Pred2UIDText]]&lt;&gt;""),",","")&amp;Tasks[[#This Row],[_Pred2UIDText]])</f>
        <v>21</v>
      </c>
      <c r="DB27" s="41" t="str">
        <f aca="false">IF(AND(Tasks[[#This Row],[_IsLeaf]]=1,N(Tasks[[#This Row],[Duration]])=0,Tasks[[#This Row],[_LeafProgress]]&lt;1),Tasks[[#This Row],[_LeafFcstFinish]]+Tasks[[#This Row],[_Row]]/100000,"")</f>
        <v/>
      </c>
      <c r="DC2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7" s="41" t="n">
        <f aca="false">IF(NOT(Tasks[[#This Row],[_IsLeaf]]=1),0,IF(Tasks[[#This Row],[Baseline Cost]]="",Tasks[[#This Row],[_LeafCost]],N(Tasks[[#This Row],[Baseline Cost]])))</f>
        <v>3360</v>
      </c>
      <c r="DE27" s="41" t="n">
        <f aca="false">Tasks[[#This Row],[_LeafBudget]]*Tasks[[#This Row],[_PlannedPct]]</f>
        <v>0</v>
      </c>
      <c r="DF27" s="41" t="n">
        <f aca="false">Tasks[[#This Row],[_LeafBudget]]*Tasks[[#This Row],[_LeafProgress]]</f>
        <v>0</v>
      </c>
      <c r="DG27" s="41" t="n">
        <f aca="false">IF(NOT(Tasks[[#This Row],[_IsLeaf]]=1),0,IF(Tasks[[#This Row],[Actual Cost]]="",Tasks[[#This Row],[_LeafCost]]*Tasks[[#This Row],[_LeafProgress]],N(Tasks[[#This Row],[Actual Cost]])))</f>
        <v>0</v>
      </c>
      <c r="DH27" s="41" t="str">
        <f aca="false">IF(Tasks[[#This Row],[Task Name]]="","",LEFT(Tasks[[#This Row],[WBS]],FIND(".",Tasks[[#This Row],[WBS]]&amp;".")-1))</f>
        <v>4</v>
      </c>
      <c r="DI27" s="41" t="str">
        <f aca="false">IF(AND(Tasks[[#This Row],[Task Name]]&lt;&gt;"",Tasks[[#This Row],[_Level]]=1),Tasks[[#This Row],[_Row]],"")</f>
        <v/>
      </c>
      <c r="DJ27" s="41" t="str">
        <f aca="false">IF(AND(Tasks[[#This Row],[_IsLeaf]]=1,N(Tasks[[#This Row],[Duration]])=0),Tasks[[#This Row],[Planned Finish]]+Tasks[[#This Row],[_Row]]/100000,"")</f>
        <v/>
      </c>
      <c r="DK27" s="41" t="str">
        <f aca="false">IF(AND(Tasks[[#This Row],[_IsLeaf]]=1,Tasks[[#This Row],[_LeafProgress]]&lt;1,OR(N(Tasks[[#This Row],[Finish Var]])&gt;0,Tasks[[#This Row],[Status]]="Late Start")),MAX(0,Tasks[[#This Row],[Finish Var]])+1-Tasks[[#This Row],[_Row]]/1000000,"")</f>
        <v/>
      </c>
      <c r="DL27" s="41" t="str">
        <f aca="false">IF(AND(Tasks[[#This Row],[_IsLeaf]]=1,N(Tasks[[#This Row],[Actual Start]])=0,Tasks[[#This Row],[_LeafFcstStart]]&gt;=StatusDate,Tasks[[#This Row],[_LeafFcstStart]]&lt;=LookaheadEnd),Tasks[[#This Row],[_LeafFcstStart]]+Tasks[[#This Row],[_Row]]/100000,"")</f>
        <v/>
      </c>
      <c r="DM27" s="41" t="str">
        <f aca="false">IF(AND(Tasks[[#This Row],[_IsLeaf]]=1,Tasks[[#This Row],[_LeafProgress]]&lt;1,Tasks[[#This Row],[_LeafFcstFinish]]&gt;=StatusDate,Tasks[[#This Row],[_LeafFcstFinish]]&lt;=LookaheadEnd),Tasks[[#This Row],[_LeafFcstFinish]]+Tasks[[#This Row],[_Row]]/100000,"")</f>
        <v/>
      </c>
      <c r="DN27" s="101" t="n">
        <f aca="false">IF(Tasks[[#This Row],[_LeafCritical]],Tasks[[#This Row],[_LeafFcstStart]]+Tasks[[#This Row],[_Row]]/100000,"")</f>
        <v>46363.00022</v>
      </c>
      <c r="DO27" s="41" t="n">
        <f aca="false">Tasks[[#This Row],[_LeafWork]]*Tasks[[#This Row],[_LeafProgress]]</f>
        <v>0</v>
      </c>
      <c r="DP27" s="100" t="str">
        <f aca="false">IF(AND(Tasks[[#This Row],[_IsLeaf]]=1,Tasks[[#This Row],[_LeafProgress]]&gt;=1),IF(N(Tasks[[#This Row],[Actual Finish]])&gt;0,Tasks[[#This Row],[Actual Finish]],Tasks[[#This Row],[_LeafFcstFinish]]),"")</f>
        <v/>
      </c>
      <c r="DQ27" s="41" t="n">
        <f aca="false">IF(Tasks[[#This Row],[_IsLeaf]]=1,N(Tasks[[#This Row],[Story Points]]),0)</f>
        <v>5</v>
      </c>
      <c r="DR27" s="41" t="str">
        <f aca="false">IF(AND(Tasks[[#This Row],[_IsLeaf]]=1,CurrentSprint&lt;&gt;"",Tasks[[#This Row],[Sprint]]=CurrentSprint),Tasks[[#This Row],[_Row]],"")</f>
        <v/>
      </c>
    </row>
    <row r="28" customFormat="false" ht="15" hidden="false" customHeight="false" outlineLevel="0" collapsed="false">
      <c r="A28" s="28" t="n">
        <f aca="false">IF(Tasks[[#This Row],[Task Name]]="","",COUNTA(Tasks[[#Headers],[Task Name]]:Tasks[[#This Row],[Task Name]])-1)</f>
        <v>23</v>
      </c>
      <c r="B28" s="29" t="n">
        <v>23</v>
      </c>
      <c r="C2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4.3</v>
      </c>
      <c r="D28" s="29" t="n">
        <v>2</v>
      </c>
      <c r="E28" s="30" t="s">
        <v>621</v>
      </c>
      <c r="F28" s="29" t="s">
        <v>584</v>
      </c>
      <c r="G28" s="29" t="n">
        <v>5</v>
      </c>
      <c r="H28" s="29" t="n">
        <v>21</v>
      </c>
      <c r="I28" s="29" t="s">
        <v>595</v>
      </c>
      <c r="J28" s="29" t="n">
        <v>2</v>
      </c>
      <c r="K28" s="29"/>
      <c r="L28" s="29"/>
      <c r="M28" s="29"/>
      <c r="N28" s="73"/>
      <c r="O28" s="73"/>
      <c r="P28" s="25" t="n">
        <f aca="false">IF(Tasks[[#This Row],[Task Name]]="","",IF(N(Tasks[[#This Row],[Baseline Start]])&gt;0,Tasks[[#This Row],[Baseline Start]],Tasks[[#This Row],[_CalcStart]]))</f>
        <v>46330</v>
      </c>
      <c r="Q28" s="25" t="n">
        <f aca="false">IF(Tasks[[#This Row],[Task Name]]="","",IF(N(Tasks[[#This Row],[Baseline Finish]])&gt;0,Tasks[[#This Row],[Baseline Finish]],Tasks[[#This Row],[_CalcFinish]]))</f>
        <v>46336</v>
      </c>
      <c r="R28" s="73"/>
      <c r="S28" s="73"/>
      <c r="T28" s="25" t="n">
        <f aca="false">IF(Tasks[[#This Row],[Task Name]]="","",IF(Tasks[[#This Row],[_IsSummary]],MIN(INDEX(Tasks[_LeafFcstStart],Tasks[[#This Row],[_Row]]+1):INDEX(Tasks[_LeafFcstStart],Tasks[[#This Row],[_Row]]+Tasks[[#This Row],[_Descendants]])),Tasks[[#This Row],[_LeafFcstStart]]))</f>
        <v>46338</v>
      </c>
      <c r="U28" s="25" t="n">
        <f aca="false">IF(Tasks[[#This Row],[Task Name]]="","",IF(Tasks[[#This Row],[_IsSummary]],MAX(INDEX(Tasks[_LeafFcstFinish],Tasks[[#This Row],[_Row]]+1):INDEX(Tasks[_LeafFcstFinish],Tasks[[#This Row],[_Row]]+Tasks[[#This Row],[_Descendants]])),Tasks[[#This Row],[_LeafFcstFinish]]))</f>
        <v>46344</v>
      </c>
      <c r="V28" s="43" t="n">
        <f aca="false">IF(Tasks[[#This Row],[Task Name]]="","",IF(Tasks[[#This Row],[Forecast Start]]&gt;=Tasks[[#This Row],[Planned Start]],NETWORKDAYS.INTL(Tasks[[#This Row],[Planned Start]],Tasks[[#This Row],[Forecast Start]],WorkWeek,Holidays)-1,1-NETWORKDAYS.INTL(Tasks[[#This Row],[Forecast Start]],Tasks[[#This Row],[Planned Start]],WorkWeek,Holidays)))</f>
        <v>6</v>
      </c>
      <c r="W28"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X28" s="25" t="n">
        <f aca="false">IF(Tasks[[#This Row],[Task Name]]="","",IF(Tasks[[#This Row],[_IsSummary]],MIN(INDEX(Tasks[_LeafLateStart],Tasks[[#This Row],[_Row]]+1):INDEX(Tasks[_LeafLateStart],Tasks[[#This Row],[_Row]]+Tasks[[#This Row],[_Descendants]])),Tasks[[#This Row],[_LeafLateStart]]))</f>
        <v>46364</v>
      </c>
      <c r="Y28" s="25" t="n">
        <f aca="false">IF(Tasks[[#This Row],[Task Name]]="","",IF(Tasks[[#This Row],[_IsSummary]],MAX(INDEX(Tasks[_LeafLateFinish],Tasks[[#This Row],[_Row]]+1):INDEX(Tasks[_LeafLateFinish],Tasks[[#This Row],[_Row]]+Tasks[[#This Row],[_Descendants]])),Tasks[[#This Row],[_LeafLateFinish]]))</f>
        <v>46370</v>
      </c>
      <c r="Z28" s="43" t="n">
        <f aca="false">IF(Tasks[[#This Row],[Task Name]]="","",IF(Tasks[[#This Row],[_IsSummary]],MIN(INDEX(Tasks[_LeafTotalSlack],Tasks[[#This Row],[_Row]]+1):INDEX(Tasks[_LeafTotalSlack],Tasks[[#This Row],[_Row]]+Tasks[[#This Row],[_Descendants]])),Tasks[[#This Row],[_LeafTotalSlack]]))</f>
        <v>18</v>
      </c>
      <c r="AA28"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18</v>
      </c>
      <c r="AB28" s="28" t="str">
        <f aca="false">IF(Tasks[[#This Row],[Task Name]]="","",IF(IF(Tasks[[#This Row],[_IsSummary]],COUNTIF(INDEX(Tasks[_LeafCritical],Tasks[[#This Row],[_Row]]+1):INDEX(Tasks[_LeafCritical],Tasks[[#This Row],[_Row]]+Tasks[[#This Row],[_Descendants]]),TRUE())&gt;0,Tasks[[#This Row],[_LeafCritical]]),"Yes",""))</f>
        <v/>
      </c>
      <c r="AC2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8" s="24" t="str">
        <f aca="false">IF(Tasks[[#This Row],[Task Name]]="","",TRIM(IF(Tasks[[#This Row],[_Pred1Problem]]&lt;&gt;"","Pred 1: "&amp;Tasks[[#This Row],[_Pred1Problem]]&amp;". ","")&amp;IF(Tasks[[#This Row],[_Pred2Problem]]&lt;&gt;"","Pred 2: "&amp;Tasks[[#This Row],[_Pred2Problem]]&amp;".","")))</f>
        <v/>
      </c>
      <c r="AE28" s="88"/>
      <c r="AF28"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28" s="28" t="str">
        <f aca="false">IF(Tasks[[#This Row],[Task Name]]="","",IF(Tasks[[#This Row],[Progress]]&gt;=1,"Complete",IF(OR(N(Tasks[[#This Row],[Actual Start]])&gt;0,Tasks[[#This Row],[Progress]]&gt;0),IF(Tasks[[#This Row],[Finish Var]]&gt;0,"Behind","In Progress"),IF(Tasks[[#This Row],[Planned Start]]&lt;StatusDate,"Late Start","Not Started"))))</f>
        <v>Not Started</v>
      </c>
      <c r="AH28" s="30" t="s">
        <v>281</v>
      </c>
      <c r="AI28" s="88" t="n">
        <v>0.5</v>
      </c>
      <c r="AJ28" s="95" t="n">
        <f aca="false">IF(Tasks[[#This Row],[Task Name]]="","",IF(Tasks[[#This Row],[_IsSummary]],SUM(INDEX(Tasks[_LeafWork],Tasks[[#This Row],[_Row]]+1):INDEX(Tasks[_LeafWork],Tasks[[#This Row],[_Row]]+Tasks[[#This Row],[_Descendants]])),Tasks[[#This Row],[_LeafWork]]))</f>
        <v>20</v>
      </c>
      <c r="AK28" s="96" t="n">
        <f aca="false">IF(Tasks[[#This Row],[Task Name]]="","",IF(Tasks[[#This Row],[_IsSummary]],SUM(INDEX(Tasks[_LeafCost],Tasks[[#This Row],[_Row]]+1):INDEX(Tasks[_LeafCost],Tasks[[#This Row],[_Row]]+Tasks[[#This Row],[_Descendants]])),Tasks[[#This Row],[_LeafCost]]))</f>
        <v>1500</v>
      </c>
      <c r="AL28" s="97"/>
      <c r="AM28" s="29"/>
      <c r="AN2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5</v>
      </c>
      <c r="AO28" s="82" t="n">
        <v>3</v>
      </c>
      <c r="AP28" s="24" t="str">
        <f aca="false">IF(Tasks[[#This Row],[Task Name]]="","",Tasks[[#This Row],[_Pred1IDText]]&amp;IF(AND(Tasks[[#This Row],[_Pred1IDText]]&lt;&gt;"",Tasks[[#This Row],[_Pred2IDText]]&lt;&gt;""),",","")&amp;Tasks[[#This Row],[_Pred2IDText]])</f>
        <v>21SS+2d</v>
      </c>
      <c r="AQ28" s="30"/>
      <c r="AR28" s="25" t="n">
        <f aca="false">IF(Tasks[[#This Row],[Task Name]]="","",Tasks[[#This Row],[Forecast Start]])</f>
        <v>46338</v>
      </c>
      <c r="AS28" s="25" t="n">
        <f aca="false">IF(Tasks[[#This Row],[Task Name]]="","",Tasks[[#This Row],[Forecast Finish]])</f>
        <v>46344</v>
      </c>
      <c r="AT28" s="28" t="n">
        <f aca="false">IF(Tasks[[#This Row],[Task Name]]="","",IF(Tasks[[#This Row],[_IsSummary]],NETWORKDAYS.INTL(Tasks[[#This Row],[Forecast Start]],Tasks[[#This Row],[Forecast Finish]],WorkWeek,Holidays),N(Tasks[[#This Row],[Duration]])))</f>
        <v>5</v>
      </c>
      <c r="AU28" s="95" t="n">
        <f aca="false">IF(Tasks[[#This Row],[Task Name]]="","",Tasks[[#This Row],[Work]])</f>
        <v>20</v>
      </c>
      <c r="AV28" s="96" t="n">
        <f aca="false">IF(Tasks[[#This Row],[Task Name]]="","",Tasks[[#This Row],[Cost]])</f>
        <v>1500</v>
      </c>
      <c r="AW28" s="73"/>
      <c r="AX28" s="73"/>
      <c r="AY28" s="29"/>
      <c r="AZ28" s="98"/>
      <c r="BA28" s="97"/>
      <c r="BB28" s="28" t="str">
        <f aca="false">IF(OR(Tasks[[#This Row],[Task Name]]="",Tasks[[#This Row],[Baseline Duration]]=""),"",Tasks[[#This Row],[BL Source Duration]]-N(Tasks[[#This Row],[Baseline Duration]]))</f>
        <v/>
      </c>
      <c r="BC28" s="95" t="str">
        <f aca="false">IF(OR(Tasks[[#This Row],[Task Name]]="",Tasks[[#This Row],[Baseline Work]]=""),"",Tasks[[#This Row],[Work]]-N(Tasks[[#This Row],[Baseline Work]]))</f>
        <v/>
      </c>
      <c r="BD28" s="96" t="str">
        <f aca="false">IF(OR(Tasks[[#This Row],[Task Name]]="",Tasks[[#This Row],[Baseline Cost]]=""),"",Tasks[[#This Row],[Cost]]-N(Tasks[[#This Row],[Baseline Cost]]))</f>
        <v/>
      </c>
      <c r="BE28" s="96" t="n">
        <f aca="false">IF(Tasks[[#This Row],[Task Name]]="","",IF(Tasks[[#This Row],[_IsSummary]],SUM(INDEX(Tasks[_LeafBudget],Tasks[[#This Row],[_Row]]+1):INDEX(Tasks[_LeafBudget],Tasks[[#This Row],[_Row]]+Tasks[[#This Row],[_Descendants]])),Tasks[[#This Row],[_LeafBudget]]))</f>
        <v>1500</v>
      </c>
      <c r="BF28" s="96" t="n">
        <f aca="false">IF(Tasks[[#This Row],[Task Name]]="","",IF(Tasks[[#This Row],[_IsSummary]],SUM(INDEX(Tasks[_LeafPV],Tasks[[#This Row],[_Row]]+1):INDEX(Tasks[_LeafPV],Tasks[[#This Row],[_Row]]+Tasks[[#This Row],[_Descendants]])),Tasks[[#This Row],[_LeafPV]]))</f>
        <v>0</v>
      </c>
      <c r="BG28" s="96" t="n">
        <f aca="false">IF(Tasks[[#This Row],[Task Name]]="","",IF(Tasks[[#This Row],[_IsSummary]],SUM(INDEX(Tasks[_LeafEV],Tasks[[#This Row],[_Row]]+1):INDEX(Tasks[_LeafEV],Tasks[[#This Row],[_Row]]+Tasks[[#This Row],[_Descendants]])),Tasks[[#This Row],[_LeafEV]]))</f>
        <v>0</v>
      </c>
      <c r="BH28" s="96" t="n">
        <f aca="false">IF(Tasks[[#This Row],[Task Name]]="","",IF(Tasks[[#This Row],[_IsSummary]],SUM(INDEX(Tasks[_LeafAC],Tasks[[#This Row],[_Row]]+1):INDEX(Tasks[_LeafAC],Tasks[[#This Row],[_Row]]+Tasks[[#This Row],[_Descendants]])),Tasks[[#This Row],[_LeafAC]]))</f>
        <v>0</v>
      </c>
      <c r="BI28" s="41" t="n">
        <f aca="false">IF(Tasks[[#This Row],[Task Name]]="","",MAX(1,N(Tasks[[#This Row],[Level]])))</f>
        <v>2</v>
      </c>
      <c r="BJ28" s="41" t="n">
        <f aca="false">ROW()-ROW(Tasks[[#Headers],[ID]])</f>
        <v>23</v>
      </c>
      <c r="BK28" s="41" t="n">
        <f aca="false">IF(OR(Tasks[[#This Row],[Task Name]]="",Tasks[[#This Row],[_Level]]&lt;=1),0,IFERROR(LOOKUP(2,1/(Tasks[[#Headers],[_Level]]:Tasks[[#This Row],[_Level]]=Tasks[[#This Row],[_Level]]-1),ROW(Tasks[[#Headers],[_Level]]:Tasks[[#This Row],[_Level]])),0))</f>
        <v>25</v>
      </c>
      <c r="BL28" s="41" t="n">
        <f aca="false">IFERROR(N(INDEX(Tasks[_Level],Tasks[[#This Row],[_Row]]+1)),0)</f>
        <v>2</v>
      </c>
      <c r="BM28" s="99" t="b">
        <f aca="false">AND(Tasks[[#This Row],[Task Name]]&lt;&gt;"",Tasks[[#This Row],[_NextLevel]]&gt;Tasks[[#This Row],[_Level]])</f>
        <v>0</v>
      </c>
      <c r="BN28" s="41" t="n">
        <f aca="false">IF(Tasks[[#This Row],[_IsSummary]],COUNTIF(Tasks[WBS],Tasks[[#This Row],[WBS]]&amp;".*"),0)</f>
        <v>0</v>
      </c>
      <c r="BO28" s="41" t="n">
        <f aca="false">IF(AND(Tasks[[#This Row],[Task Name]]&lt;&gt;"",NOT(Tasks[[#This Row],[_IsSummary]])),1,0)</f>
        <v>1</v>
      </c>
      <c r="BP28" s="41" t="n">
        <f aca="false">IF(N(Tasks[[#This Row],[Pred1 UID]])=0,0,IFERROR(MATCH(Tasks[[#This Row],[Pred1 UID]],Tasks[UID],0),-1))</f>
        <v>21</v>
      </c>
      <c r="BQ28" s="41" t="n">
        <f aca="false">IF(N(Tasks[[#This Row],[Pred2 UID]])=0,0,IFERROR(MATCH(Tasks[[#This Row],[Pred2 UID]],Tasks[UID],0),-1))</f>
        <v>0</v>
      </c>
      <c r="BR28" s="100"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46330</v>
      </c>
      <c r="BS28" s="100" t="n">
        <f aca="false">IF(NOT(Tasks[[#This Row],[_IsLeaf]]=1),"",IF(N(Tasks[[#This Row],[Duration]])&lt;=0,Tasks[[#This Row],[_LeafCalcStart]],WORKDAY.INTL(Tasks[[#This Row],[_LeafCalcStart]],Tasks[[#This Row],[Duration]]-1,WorkWeek,Holidays)))</f>
        <v>46336</v>
      </c>
      <c r="BT28" s="100"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46338</v>
      </c>
      <c r="BU28" s="100"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46344</v>
      </c>
      <c r="BV28" s="41" t="n">
        <f aca="false">IF(NOT(Tasks[[#This Row],[_IsLeaf]]=1),0,IF(N(Tasks[[#This Row],[Actual Finish]])&gt;0,1,MIN(1,N(Tasks[[#This Row],[% Complete]]))))</f>
        <v>0</v>
      </c>
      <c r="BW28" s="41" t="n">
        <f aca="false">IF(OR(NOT(Tasks[[#This Row],[_IsLeaf]]=1),Tasks[[#This Row],[Resource]]=""),0,N(Tasks[[#This Row],[Duration]])*HoursPerDay*IF(Tasks[[#This Row],[Units]]="",DefaultUnits,Tasks[[#This Row],[Units]]))</f>
        <v>20</v>
      </c>
      <c r="BX28" s="41" t="n">
        <f aca="false">IF(Tasks[[#This Row],[_LeafWork]]=0,0,Tasks[[#This Row],[_LeafWork]]*IFERROR(INDEX(res_Rate,MATCH(Tasks[[#This Row],[Resource]],res_Name,0)),0))</f>
        <v>1500</v>
      </c>
      <c r="BY28" s="101"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2912094</v>
      </c>
      <c r="BZ2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8"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B2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8" s="41" t="n">
        <f aca="false">IF(NOT(Tasks[[#This Row],[_IsLeaf]]=1),0,MAX(_xlfn.MAXIFS(Tasks[_Row],Tasks[Pred1 UID],Tasks[[#This Row],[UID]]),_xlfn.MAXIFS(Tasks[_Row],Tasks[Pred2 UID],Tasks[[#This Row],[UID]])))</f>
        <v>24</v>
      </c>
      <c r="CD28" s="100"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46370</v>
      </c>
      <c r="CE28" s="100" t="n">
        <f aca="false">IF(NOT(Tasks[[#This Row],[_IsLeaf]]=1),"",MIN(ProjectFinish,IF(N(Tasks[[#This Row],[Deadline]])&gt;0,Tasks[[#This Row],[Deadline]],2958465),Tasks[[#This Row],[_SuccessorFinishLimit]]))</f>
        <v>46370</v>
      </c>
      <c r="CF28" s="100" t="n">
        <f aca="false">IF(NOT(Tasks[[#This Row],[_IsLeaf]]=1),"",IF(N(Tasks[[#This Row],[Duration]])&lt;=0,Tasks[[#This Row],[_LeafLateFinish]],WORKDAY.INTL(Tasks[[#This Row],[_LeafLateFinish]],-(Tasks[[#This Row],[Duration]]-1),WorkWeek,Holidays)))</f>
        <v>46364</v>
      </c>
      <c r="CG28"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18</v>
      </c>
      <c r="CH28" s="99" t="b">
        <f aca="false">AND(Tasks[[#This Row],[_IsLeaf]]=1,Tasks[[#This Row],[_LeafProgress]]&lt;1,N(Tasks[[#This Row],[_LeafTotalSlack]])&lt;=CriticalSlackDays)</f>
        <v>0</v>
      </c>
      <c r="CI28" s="100" t="n">
        <f aca="false">IF(Tasks[[#This Row],[Task Name]]="","",IF(Tasks[[#This Row],[_IsSummary]],MIN(INDEX(Tasks[_LeafCalcStart],Tasks[[#This Row],[_Row]]+1):INDEX(Tasks[_LeafCalcStart],Tasks[[#This Row],[_Row]]+Tasks[[#This Row],[_Descendants]])),Tasks[[#This Row],[_LeafCalcStart]]))</f>
        <v>46330</v>
      </c>
      <c r="CJ28" s="100" t="n">
        <f aca="false">IF(Tasks[[#This Row],[Task Name]]="","",IF(Tasks[[#This Row],[_IsSummary]],MAX(INDEX(Tasks[_LeafCalcFinish],Tasks[[#This Row],[_Row]]+1):INDEX(Tasks[_LeafCalcFinish],Tasks[[#This Row],[_Row]]+Tasks[[#This Row],[_Descendants]])),Tasks[[#This Row],[_LeafCalcFinish]]))</f>
        <v>46336</v>
      </c>
      <c r="CK2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8"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46330</v>
      </c>
      <c r="CN28"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8"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46338</v>
      </c>
      <c r="CP28"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8" s="41" t="n">
        <f aca="false">IF(AND(Tasks[[#This Row],[_IsLeaf]]=1,Tasks[[#This Row],[_LeafWork]]&gt;0),NETWORKDAYS.INTL(ProjectStart,Tasks[[#This Row],[_LeafFcstStart]],WorkWeek,Holidays),0)</f>
        <v>49</v>
      </c>
      <c r="CR28" s="41" t="n">
        <f aca="false">IF(AND(Tasks[[#This Row],[_IsLeaf]]=1,Tasks[[#This Row],[_LeafWork]]&gt;0),MAX(Tasks[[#This Row],[_StartWorkday]],NETWORKDAYS.INTL(ProjectStart,Tasks[[#This Row],[_LeafFcstFinish]],WorkWeek,Holidays)),0)</f>
        <v>53</v>
      </c>
      <c r="CS28" s="41" t="n">
        <f aca="false">IF(AND(Tasks[[#This Row],[_IsLeaf]]=1,Tasks[[#This Row],[_LeafWork]]&gt;0),Tasks[[#This Row],[_LeafWork]]/(Tasks[[#This Row],[_FinishWorkday]]-Tasks[[#This Row],[_StartWorkday]]+1),0)</f>
        <v>4</v>
      </c>
      <c r="CT28" s="41" t="n">
        <f aca="false">Tasks[[#This Row],[_WorkPerWorkday]]*(Tasks[[#This Row],[_StartWorkday]]-1)</f>
        <v>192</v>
      </c>
      <c r="CU28" s="41" t="n">
        <f aca="false">IF(Tasks[[#This Row],[_IsLeaf]]=1,MAX(N(Tasks[[#This Row],[Duration]]),0.1),0)</f>
        <v>5</v>
      </c>
      <c r="CV28" s="41" t="n">
        <f aca="false">Tasks[[#This Row],[_WeightDur]]*Tasks[[#This Row],[_LeafProgress]]</f>
        <v>0</v>
      </c>
      <c r="CW2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21SS+2d</v>
      </c>
      <c r="CX2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21SS+2d</v>
      </c>
      <c r="CZ2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8" s="41" t="str">
        <f aca="false">IF(Tasks[[#This Row],[Task Name]]="","",Tasks[[#This Row],[_Pred1UIDText]]&amp;IF(AND(Tasks[[#This Row],[_Pred1UIDText]]&lt;&gt;"",Tasks[[#This Row],[_Pred2UIDText]]&lt;&gt;""),",","")&amp;Tasks[[#This Row],[_Pred2UIDText]])</f>
        <v>21SS+2d</v>
      </c>
      <c r="DB28" s="41" t="str">
        <f aca="false">IF(AND(Tasks[[#This Row],[_IsLeaf]]=1,N(Tasks[[#This Row],[Duration]])=0,Tasks[[#This Row],[_LeafProgress]]&lt;1),Tasks[[#This Row],[_LeafFcstFinish]]+Tasks[[#This Row],[_Row]]/100000,"")</f>
        <v/>
      </c>
      <c r="DC2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8" s="41" t="n">
        <f aca="false">IF(NOT(Tasks[[#This Row],[_IsLeaf]]=1),0,IF(Tasks[[#This Row],[Baseline Cost]]="",Tasks[[#This Row],[_LeafCost]],N(Tasks[[#This Row],[Baseline Cost]])))</f>
        <v>1500</v>
      </c>
      <c r="DE28" s="41" t="n">
        <f aca="false">Tasks[[#This Row],[_LeafBudget]]*Tasks[[#This Row],[_PlannedPct]]</f>
        <v>0</v>
      </c>
      <c r="DF28" s="41" t="n">
        <f aca="false">Tasks[[#This Row],[_LeafBudget]]*Tasks[[#This Row],[_LeafProgress]]</f>
        <v>0</v>
      </c>
      <c r="DG28" s="41" t="n">
        <f aca="false">IF(NOT(Tasks[[#This Row],[_IsLeaf]]=1),0,IF(Tasks[[#This Row],[Actual Cost]]="",Tasks[[#This Row],[_LeafCost]]*Tasks[[#This Row],[_LeafProgress]],N(Tasks[[#This Row],[Actual Cost]])))</f>
        <v>0</v>
      </c>
      <c r="DH28" s="41" t="str">
        <f aca="false">IF(Tasks[[#This Row],[Task Name]]="","",LEFT(Tasks[[#This Row],[WBS]],FIND(".",Tasks[[#This Row],[WBS]]&amp;".")-1))</f>
        <v>4</v>
      </c>
      <c r="DI28" s="41" t="str">
        <f aca="false">IF(AND(Tasks[[#This Row],[Task Name]]&lt;&gt;"",Tasks[[#This Row],[_Level]]=1),Tasks[[#This Row],[_Row]],"")</f>
        <v/>
      </c>
      <c r="DJ28" s="41" t="str">
        <f aca="false">IF(AND(Tasks[[#This Row],[_IsLeaf]]=1,N(Tasks[[#This Row],[Duration]])=0),Tasks[[#This Row],[Planned Finish]]+Tasks[[#This Row],[_Row]]/100000,"")</f>
        <v/>
      </c>
      <c r="DK28" s="41" t="n">
        <f aca="false">IF(AND(Tasks[[#This Row],[_IsLeaf]]=1,Tasks[[#This Row],[_LeafProgress]]&lt;1,OR(N(Tasks[[#This Row],[Finish Var]])&gt;0,Tasks[[#This Row],[Status]]="Late Start")),MAX(0,Tasks[[#This Row],[Finish Var]])+1-Tasks[[#This Row],[_Row]]/1000000,"")</f>
        <v>6.999977</v>
      </c>
      <c r="DL28" s="41" t="str">
        <f aca="false">IF(AND(Tasks[[#This Row],[_IsLeaf]]=1,N(Tasks[[#This Row],[Actual Start]])=0,Tasks[[#This Row],[_LeafFcstStart]]&gt;=StatusDate,Tasks[[#This Row],[_LeafFcstStart]]&lt;=LookaheadEnd),Tasks[[#This Row],[_LeafFcstStart]]+Tasks[[#This Row],[_Row]]/100000,"")</f>
        <v/>
      </c>
      <c r="DM28" s="41" t="str">
        <f aca="false">IF(AND(Tasks[[#This Row],[_IsLeaf]]=1,Tasks[[#This Row],[_LeafProgress]]&lt;1,Tasks[[#This Row],[_LeafFcstFinish]]&gt;=StatusDate,Tasks[[#This Row],[_LeafFcstFinish]]&lt;=LookaheadEnd),Tasks[[#This Row],[_LeafFcstFinish]]+Tasks[[#This Row],[_Row]]/100000,"")</f>
        <v/>
      </c>
      <c r="DN28" s="41" t="str">
        <f aca="false">IF(Tasks[[#This Row],[_LeafCritical]],Tasks[[#This Row],[_LeafFcstStart]]+Tasks[[#This Row],[_Row]]/100000,"")</f>
        <v/>
      </c>
      <c r="DO28" s="41" t="n">
        <f aca="false">Tasks[[#This Row],[_LeafWork]]*Tasks[[#This Row],[_LeafProgress]]</f>
        <v>0</v>
      </c>
      <c r="DP28" s="100" t="str">
        <f aca="false">IF(AND(Tasks[[#This Row],[_IsLeaf]]=1,Tasks[[#This Row],[_LeafProgress]]&gt;=1),IF(N(Tasks[[#This Row],[Actual Finish]])&gt;0,Tasks[[#This Row],[Actual Finish]],Tasks[[#This Row],[_LeafFcstFinish]]),"")</f>
        <v/>
      </c>
      <c r="DQ28" s="41" t="n">
        <f aca="false">IF(Tasks[[#This Row],[_IsLeaf]]=1,N(Tasks[[#This Row],[Story Points]]),0)</f>
        <v>3</v>
      </c>
      <c r="DR28" s="41" t="str">
        <f aca="false">IF(AND(Tasks[[#This Row],[_IsLeaf]]=1,CurrentSprint&lt;&gt;"",Tasks[[#This Row],[Sprint]]=CurrentSprint),Tasks[[#This Row],[_Row]],"")</f>
        <v/>
      </c>
    </row>
    <row r="29" customFormat="false" ht="15" hidden="false" customHeight="false" outlineLevel="0" collapsed="false">
      <c r="A29" s="28" t="n">
        <f aca="false">IF(Tasks[[#This Row],[Task Name]]="","",COUNTA(Tasks[[#Headers],[Task Name]]:Tasks[[#This Row],[Task Name]])-1)</f>
        <v>24</v>
      </c>
      <c r="B29" s="29" t="n">
        <v>24</v>
      </c>
      <c r="C2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4.4</v>
      </c>
      <c r="D29" s="29" t="n">
        <v>2</v>
      </c>
      <c r="E29" s="30" t="s">
        <v>622</v>
      </c>
      <c r="F29" s="29" t="s">
        <v>584</v>
      </c>
      <c r="G29" s="29" t="n">
        <v>1</v>
      </c>
      <c r="H29" s="29" t="n">
        <v>22</v>
      </c>
      <c r="I29" s="29" t="s">
        <v>589</v>
      </c>
      <c r="J29" s="29"/>
      <c r="K29" s="29" t="n">
        <v>23</v>
      </c>
      <c r="L29" s="29" t="s">
        <v>589</v>
      </c>
      <c r="M29" s="29"/>
      <c r="N29" s="73"/>
      <c r="O29" s="73"/>
      <c r="P29" s="25" t="n">
        <f aca="false">IF(Tasks[[#This Row],[Task Name]]="","",IF(N(Tasks[[#This Row],[Baseline Start]])&gt;0,Tasks[[#This Row],[Baseline Start]],Tasks[[#This Row],[_CalcStart]]))</f>
        <v>46371</v>
      </c>
      <c r="Q29" s="25" t="n">
        <f aca="false">IF(Tasks[[#This Row],[Task Name]]="","",IF(N(Tasks[[#This Row],[Baseline Finish]])&gt;0,Tasks[[#This Row],[Baseline Finish]],Tasks[[#This Row],[_CalcFinish]]))</f>
        <v>46371</v>
      </c>
      <c r="R29" s="73"/>
      <c r="S29" s="73"/>
      <c r="T29" s="25" t="n">
        <f aca="false">IF(Tasks[[#This Row],[Task Name]]="","",IF(Tasks[[#This Row],[_IsSummary]],MIN(INDEX(Tasks[_LeafFcstStart],Tasks[[#This Row],[_Row]]+1):INDEX(Tasks[_LeafFcstStart],Tasks[[#This Row],[_Row]]+Tasks[[#This Row],[_Descendants]])),Tasks[[#This Row],[_LeafFcstStart]]))</f>
        <v>46371</v>
      </c>
      <c r="U29" s="25" t="n">
        <f aca="false">IF(Tasks[[#This Row],[Task Name]]="","",IF(Tasks[[#This Row],[_IsSummary]],MAX(INDEX(Tasks[_LeafFcstFinish],Tasks[[#This Row],[_Row]]+1):INDEX(Tasks[_LeafFcstFinish],Tasks[[#This Row],[_Row]]+Tasks[[#This Row],[_Descendants]])),Tasks[[#This Row],[_LeafFcstFinish]]))</f>
        <v>46371</v>
      </c>
      <c r="V29"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W29"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X29" s="25" t="n">
        <f aca="false">IF(Tasks[[#This Row],[Task Name]]="","",IF(Tasks[[#This Row],[_IsSummary]],MIN(INDEX(Tasks[_LeafLateStart],Tasks[[#This Row],[_Row]]+1):INDEX(Tasks[_LeafLateStart],Tasks[[#This Row],[_Row]]+Tasks[[#This Row],[_Descendants]])),Tasks[[#This Row],[_LeafLateStart]]))</f>
        <v>46371</v>
      </c>
      <c r="Y29" s="25" t="n">
        <f aca="false">IF(Tasks[[#This Row],[Task Name]]="","",IF(Tasks[[#This Row],[_IsSummary]],MAX(INDEX(Tasks[_LeafLateFinish],Tasks[[#This Row],[_Row]]+1):INDEX(Tasks[_LeafLateFinish],Tasks[[#This Row],[_Row]]+Tasks[[#This Row],[_Descendants]])),Tasks[[#This Row],[_LeafLateFinish]]))</f>
        <v>46371</v>
      </c>
      <c r="Z29" s="43" t="n">
        <f aca="false">IF(Tasks[[#This Row],[Task Name]]="","",IF(Tasks[[#This Row],[_IsSummary]],MIN(INDEX(Tasks[_LeafTotalSlack],Tasks[[#This Row],[_Row]]+1):INDEX(Tasks[_LeafTotalSlack],Tasks[[#This Row],[_Row]]+Tasks[[#This Row],[_Descendants]])),Tasks[[#This Row],[_LeafTotalSlack]]))</f>
        <v>0</v>
      </c>
      <c r="AA29"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29" s="28" t="str">
        <f aca="false">IF(Tasks[[#This Row],[Task Name]]="","",IF(IF(Tasks[[#This Row],[_IsSummary]],COUNTIF(INDEX(Tasks[_LeafCritical],Tasks[[#This Row],[_Row]]+1):INDEX(Tasks[_LeafCritical],Tasks[[#This Row],[_Row]]+Tasks[[#This Row],[_Descendants]]),TRUE())&gt;0,Tasks[[#This Row],[_LeafCritical]]),"Yes",""))</f>
        <v>Yes</v>
      </c>
      <c r="AC2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9" s="24" t="str">
        <f aca="false">IF(Tasks[[#This Row],[Task Name]]="","",TRIM(IF(Tasks[[#This Row],[_Pred1Problem]]&lt;&gt;"","Pred 1: "&amp;Tasks[[#This Row],[_Pred1Problem]]&amp;". ","")&amp;IF(Tasks[[#This Row],[_Pred2Problem]]&lt;&gt;"","Pred 2: "&amp;Tasks[[#This Row],[_Pred2Problem]]&amp;".","")))</f>
        <v/>
      </c>
      <c r="AE29" s="88"/>
      <c r="AF29"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29" s="28" t="str">
        <f aca="false">IF(Tasks[[#This Row],[Task Name]]="","",IF(Tasks[[#This Row],[Progress]]&gt;=1,"Complete",IF(OR(N(Tasks[[#This Row],[Actual Start]])&gt;0,Tasks[[#This Row],[Progress]]&gt;0),IF(Tasks[[#This Row],[Finish Var]]&gt;0,"Behind","In Progress"),IF(Tasks[[#This Row],[Planned Start]]&lt;StatusDate,"Late Start","Not Started"))))</f>
        <v>Not Started</v>
      </c>
      <c r="AH29" s="30" t="s">
        <v>285</v>
      </c>
      <c r="AI29" s="88"/>
      <c r="AJ29" s="95" t="n">
        <f aca="false">IF(Tasks[[#This Row],[Task Name]]="","",IF(Tasks[[#This Row],[_IsSummary]],SUM(INDEX(Tasks[_LeafWork],Tasks[[#This Row],[_Row]]+1):INDEX(Tasks[_LeafWork],Tasks[[#This Row],[_Row]]+Tasks[[#This Row],[_Descendants]])),Tasks[[#This Row],[_LeafWork]]))</f>
        <v>8</v>
      </c>
      <c r="AK29" s="96" t="n">
        <f aca="false">IF(Tasks[[#This Row],[Task Name]]="","",IF(Tasks[[#This Row],[_IsSummary]],SUM(INDEX(Tasks[_LeafCost],Tasks[[#This Row],[_Row]]+1):INDEX(Tasks[_LeafCost],Tasks[[#This Row],[_Row]]+Tasks[[#This Row],[_Descendants]])),Tasks[[#This Row],[_LeafCost]]))</f>
        <v>760</v>
      </c>
      <c r="AL29" s="97"/>
      <c r="AM29" s="29"/>
      <c r="AN2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8</v>
      </c>
      <c r="AO29" s="82" t="n">
        <v>1</v>
      </c>
      <c r="AP29" s="24" t="str">
        <f aca="false">IF(Tasks[[#This Row],[Task Name]]="","",Tasks[[#This Row],[_Pred1IDText]]&amp;IF(AND(Tasks[[#This Row],[_Pred1IDText]]&lt;&gt;"",Tasks[[#This Row],[_Pred2IDText]]&lt;&gt;""),",","")&amp;Tasks[[#This Row],[_Pred2IDText]])</f>
        <v>22,23</v>
      </c>
      <c r="AQ29" s="30"/>
      <c r="AR29" s="25" t="n">
        <f aca="false">IF(Tasks[[#This Row],[Task Name]]="","",Tasks[[#This Row],[Forecast Start]])</f>
        <v>46371</v>
      </c>
      <c r="AS29" s="25" t="n">
        <f aca="false">IF(Tasks[[#This Row],[Task Name]]="","",Tasks[[#This Row],[Forecast Finish]])</f>
        <v>46371</v>
      </c>
      <c r="AT29" s="28" t="n">
        <f aca="false">IF(Tasks[[#This Row],[Task Name]]="","",IF(Tasks[[#This Row],[_IsSummary]],NETWORKDAYS.INTL(Tasks[[#This Row],[Forecast Start]],Tasks[[#This Row],[Forecast Finish]],WorkWeek,Holidays),N(Tasks[[#This Row],[Duration]])))</f>
        <v>1</v>
      </c>
      <c r="AU29" s="95" t="n">
        <f aca="false">IF(Tasks[[#This Row],[Task Name]]="","",Tasks[[#This Row],[Work]])</f>
        <v>8</v>
      </c>
      <c r="AV29" s="96" t="n">
        <f aca="false">IF(Tasks[[#This Row],[Task Name]]="","",Tasks[[#This Row],[Cost]])</f>
        <v>760</v>
      </c>
      <c r="AW29" s="73"/>
      <c r="AX29" s="73"/>
      <c r="AY29" s="29"/>
      <c r="AZ29" s="98"/>
      <c r="BA29" s="97"/>
      <c r="BB29" s="28" t="str">
        <f aca="false">IF(OR(Tasks[[#This Row],[Task Name]]="",Tasks[[#This Row],[Baseline Duration]]=""),"",Tasks[[#This Row],[BL Source Duration]]-N(Tasks[[#This Row],[Baseline Duration]]))</f>
        <v/>
      </c>
      <c r="BC29" s="95" t="str">
        <f aca="false">IF(OR(Tasks[[#This Row],[Task Name]]="",Tasks[[#This Row],[Baseline Work]]=""),"",Tasks[[#This Row],[Work]]-N(Tasks[[#This Row],[Baseline Work]]))</f>
        <v/>
      </c>
      <c r="BD29" s="96" t="str">
        <f aca="false">IF(OR(Tasks[[#This Row],[Task Name]]="",Tasks[[#This Row],[Baseline Cost]]=""),"",Tasks[[#This Row],[Cost]]-N(Tasks[[#This Row],[Baseline Cost]]))</f>
        <v/>
      </c>
      <c r="BE29" s="96" t="n">
        <f aca="false">IF(Tasks[[#This Row],[Task Name]]="","",IF(Tasks[[#This Row],[_IsSummary]],SUM(INDEX(Tasks[_LeafBudget],Tasks[[#This Row],[_Row]]+1):INDEX(Tasks[_LeafBudget],Tasks[[#This Row],[_Row]]+Tasks[[#This Row],[_Descendants]])),Tasks[[#This Row],[_LeafBudget]]))</f>
        <v>760</v>
      </c>
      <c r="BF29" s="96" t="n">
        <f aca="false">IF(Tasks[[#This Row],[Task Name]]="","",IF(Tasks[[#This Row],[_IsSummary]],SUM(INDEX(Tasks[_LeafPV],Tasks[[#This Row],[_Row]]+1):INDEX(Tasks[_LeafPV],Tasks[[#This Row],[_Row]]+Tasks[[#This Row],[_Descendants]])),Tasks[[#This Row],[_LeafPV]]))</f>
        <v>0</v>
      </c>
      <c r="BG29" s="96" t="n">
        <f aca="false">IF(Tasks[[#This Row],[Task Name]]="","",IF(Tasks[[#This Row],[_IsSummary]],SUM(INDEX(Tasks[_LeafEV],Tasks[[#This Row],[_Row]]+1):INDEX(Tasks[_LeafEV],Tasks[[#This Row],[_Row]]+Tasks[[#This Row],[_Descendants]])),Tasks[[#This Row],[_LeafEV]]))</f>
        <v>0</v>
      </c>
      <c r="BH29" s="96" t="n">
        <f aca="false">IF(Tasks[[#This Row],[Task Name]]="","",IF(Tasks[[#This Row],[_IsSummary]],SUM(INDEX(Tasks[_LeafAC],Tasks[[#This Row],[_Row]]+1):INDEX(Tasks[_LeafAC],Tasks[[#This Row],[_Row]]+Tasks[[#This Row],[_Descendants]])),Tasks[[#This Row],[_LeafAC]]))</f>
        <v>0</v>
      </c>
      <c r="BI29" s="41" t="n">
        <f aca="false">IF(Tasks[[#This Row],[Task Name]]="","",MAX(1,N(Tasks[[#This Row],[Level]])))</f>
        <v>2</v>
      </c>
      <c r="BJ29" s="41" t="n">
        <f aca="false">ROW()-ROW(Tasks[[#Headers],[ID]])</f>
        <v>24</v>
      </c>
      <c r="BK29" s="41" t="n">
        <f aca="false">IF(OR(Tasks[[#This Row],[Task Name]]="",Tasks[[#This Row],[_Level]]&lt;=1),0,IFERROR(LOOKUP(2,1/(Tasks[[#Headers],[_Level]]:Tasks[[#This Row],[_Level]]=Tasks[[#This Row],[_Level]]-1),ROW(Tasks[[#Headers],[_Level]]:Tasks[[#This Row],[_Level]])),0))</f>
        <v>25</v>
      </c>
      <c r="BL29" s="41" t="n">
        <f aca="false">IFERROR(N(INDEX(Tasks[_Level],Tasks[[#This Row],[_Row]]+1)),0)</f>
        <v>2</v>
      </c>
      <c r="BM29" s="99" t="b">
        <f aca="false">AND(Tasks[[#This Row],[Task Name]]&lt;&gt;"",Tasks[[#This Row],[_NextLevel]]&gt;Tasks[[#This Row],[_Level]])</f>
        <v>0</v>
      </c>
      <c r="BN29" s="41" t="n">
        <f aca="false">IF(Tasks[[#This Row],[_IsSummary]],COUNTIF(Tasks[WBS],Tasks[[#This Row],[WBS]]&amp;".*"),0)</f>
        <v>0</v>
      </c>
      <c r="BO29" s="41" t="n">
        <f aca="false">IF(AND(Tasks[[#This Row],[Task Name]]&lt;&gt;"",NOT(Tasks[[#This Row],[_IsSummary]])),1,0)</f>
        <v>1</v>
      </c>
      <c r="BP29" s="41" t="n">
        <f aca="false">IF(N(Tasks[[#This Row],[Pred1 UID]])=0,0,IFERROR(MATCH(Tasks[[#This Row],[Pred1 UID]],Tasks[UID],0),-1))</f>
        <v>22</v>
      </c>
      <c r="BQ29" s="41" t="n">
        <f aca="false">IF(N(Tasks[[#This Row],[Pred2 UID]])=0,0,IFERROR(MATCH(Tasks[[#This Row],[Pred2 UID]],Tasks[UID],0),-1))</f>
        <v>23</v>
      </c>
      <c r="BR29" s="100"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46371</v>
      </c>
      <c r="BS29" s="100" t="n">
        <f aca="false">IF(NOT(Tasks[[#This Row],[_IsLeaf]]=1),"",IF(N(Tasks[[#This Row],[Duration]])&lt;=0,Tasks[[#This Row],[_LeafCalcStart]],WORKDAY.INTL(Tasks[[#This Row],[_LeafCalcStart]],Tasks[[#This Row],[Duration]]-1,WorkWeek,Holidays)))</f>
        <v>46371</v>
      </c>
      <c r="BT29" s="100"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46371</v>
      </c>
      <c r="BU29" s="100"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46371</v>
      </c>
      <c r="BV29" s="41" t="n">
        <f aca="false">IF(NOT(Tasks[[#This Row],[_IsLeaf]]=1),0,IF(N(Tasks[[#This Row],[Actual Finish]])&gt;0,1,MIN(1,N(Tasks[[#This Row],[% Complete]]))))</f>
        <v>0</v>
      </c>
      <c r="BW29" s="41" t="n">
        <f aca="false">IF(OR(NOT(Tasks[[#This Row],[_IsLeaf]]=1),Tasks[[#This Row],[Resource]]=""),0,N(Tasks[[#This Row],[Duration]])*HoursPerDay*IF(Tasks[[#This Row],[Units]]="",DefaultUnits,Tasks[[#This Row],[Units]]))</f>
        <v>8</v>
      </c>
      <c r="BX29" s="41" t="n">
        <f aca="false">IF(Tasks[[#This Row],[_LeafWork]]=0,0,Tasks[[#This Row],[_LeafWork]]*IFERROR(INDEX(res_Rate,MATCH(Tasks[[#This Row],[Resource]],res_Name,0)),0))</f>
        <v>760</v>
      </c>
      <c r="BY29" s="101"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2912095</v>
      </c>
      <c r="BZ29" s="101" t="n">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2912095</v>
      </c>
      <c r="CA29"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B29" s="41" t="n">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99982</v>
      </c>
      <c r="CC29" s="41" t="n">
        <f aca="false">IF(NOT(Tasks[[#This Row],[_IsLeaf]]=1),0,MAX(_xlfn.MAXIFS(Tasks[_Row],Tasks[Pred1 UID],Tasks[[#This Row],[UID]]),_xlfn.MAXIFS(Tasks[_Row],Tasks[Pred2 UID],Tasks[[#This Row],[UID]])))</f>
        <v>25</v>
      </c>
      <c r="CD29" s="100"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46371</v>
      </c>
      <c r="CE29" s="100" t="n">
        <f aca="false">IF(NOT(Tasks[[#This Row],[_IsLeaf]]=1),"",MIN(ProjectFinish,IF(N(Tasks[[#This Row],[Deadline]])&gt;0,Tasks[[#This Row],[Deadline]],2958465),Tasks[[#This Row],[_SuccessorFinishLimit]]))</f>
        <v>46371</v>
      </c>
      <c r="CF29" s="100" t="n">
        <f aca="false">IF(NOT(Tasks[[#This Row],[_IsLeaf]]=1),"",IF(N(Tasks[[#This Row],[Duration]])&lt;=0,Tasks[[#This Row],[_LeafLateFinish]],WORKDAY.INTL(Tasks[[#This Row],[_LeafLateFinish]],-(Tasks[[#This Row],[Duration]]-1),WorkWeek,Holidays)))</f>
        <v>46371</v>
      </c>
      <c r="CG29"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CH29" s="99" t="b">
        <f aca="false">AND(Tasks[[#This Row],[_IsLeaf]]=1,Tasks[[#This Row],[_LeafProgress]]&lt;1,N(Tasks[[#This Row],[_LeafTotalSlack]])&lt;=CriticalSlackDays)</f>
        <v>1</v>
      </c>
      <c r="CI29" s="100" t="n">
        <f aca="false">IF(Tasks[[#This Row],[Task Name]]="","",IF(Tasks[[#This Row],[_IsSummary]],MIN(INDEX(Tasks[_LeafCalcStart],Tasks[[#This Row],[_Row]]+1):INDEX(Tasks[_LeafCalcStart],Tasks[[#This Row],[_Row]]+Tasks[[#This Row],[_Descendants]])),Tasks[[#This Row],[_LeafCalcStart]]))</f>
        <v>46371</v>
      </c>
      <c r="CJ29" s="100" t="n">
        <f aca="false">IF(Tasks[[#This Row],[Task Name]]="","",IF(Tasks[[#This Row],[_IsSummary]],MAX(INDEX(Tasks[_LeafCalcFinish],Tasks[[#This Row],[_Row]]+1):INDEX(Tasks[_LeafCalcFinish],Tasks[[#This Row],[_Row]]+Tasks[[#This Row],[_Descendants]])),Tasks[[#This Row],[_LeafCalcFinish]]))</f>
        <v>46371</v>
      </c>
      <c r="CK2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9"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46371</v>
      </c>
      <c r="CN29"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46337</v>
      </c>
      <c r="CO29"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46371</v>
      </c>
      <c r="CP29"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46345</v>
      </c>
      <c r="CQ29" s="41" t="n">
        <f aca="false">IF(AND(Tasks[[#This Row],[_IsLeaf]]=1,Tasks[[#This Row],[_LeafWork]]&gt;0),NETWORKDAYS.INTL(ProjectStart,Tasks[[#This Row],[_LeafFcstStart]],WorkWeek,Holidays),0)</f>
        <v>72</v>
      </c>
      <c r="CR29" s="41" t="n">
        <f aca="false">IF(AND(Tasks[[#This Row],[_IsLeaf]]=1,Tasks[[#This Row],[_LeafWork]]&gt;0),MAX(Tasks[[#This Row],[_StartWorkday]],NETWORKDAYS.INTL(ProjectStart,Tasks[[#This Row],[_LeafFcstFinish]],WorkWeek,Holidays)),0)</f>
        <v>72</v>
      </c>
      <c r="CS29" s="41" t="n">
        <f aca="false">IF(AND(Tasks[[#This Row],[_IsLeaf]]=1,Tasks[[#This Row],[_LeafWork]]&gt;0),Tasks[[#This Row],[_LeafWork]]/(Tasks[[#This Row],[_FinishWorkday]]-Tasks[[#This Row],[_StartWorkday]]+1),0)</f>
        <v>8</v>
      </c>
      <c r="CT29" s="41" t="n">
        <f aca="false">Tasks[[#This Row],[_WorkPerWorkday]]*(Tasks[[#This Row],[_StartWorkday]]-1)</f>
        <v>568</v>
      </c>
      <c r="CU29" s="41" t="n">
        <f aca="false">IF(Tasks[[#This Row],[_IsLeaf]]=1,MAX(N(Tasks[[#This Row],[Duration]]),0.1),0)</f>
        <v>1</v>
      </c>
      <c r="CV29" s="41" t="n">
        <f aca="false">Tasks[[#This Row],[_WeightDur]]*Tasks[[#This Row],[_LeafProgress]]</f>
        <v>0</v>
      </c>
      <c r="CW2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22</v>
      </c>
      <c r="CX2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23</v>
      </c>
      <c r="CY2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22</v>
      </c>
      <c r="CZ2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23</v>
      </c>
      <c r="DA29" s="41" t="str">
        <f aca="false">IF(Tasks[[#This Row],[Task Name]]="","",Tasks[[#This Row],[_Pred1UIDText]]&amp;IF(AND(Tasks[[#This Row],[_Pred1UIDText]]&lt;&gt;"",Tasks[[#This Row],[_Pred2UIDText]]&lt;&gt;""),",","")&amp;Tasks[[#This Row],[_Pred2UIDText]])</f>
        <v>22,23</v>
      </c>
      <c r="DB29" s="41" t="str">
        <f aca="false">IF(AND(Tasks[[#This Row],[_IsLeaf]]=1,N(Tasks[[#This Row],[Duration]])=0,Tasks[[#This Row],[_LeafProgress]]&lt;1),Tasks[[#This Row],[_LeafFcstFinish]]+Tasks[[#This Row],[_Row]]/100000,"")</f>
        <v/>
      </c>
      <c r="DC2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9" s="41" t="n">
        <f aca="false">IF(NOT(Tasks[[#This Row],[_IsLeaf]]=1),0,IF(Tasks[[#This Row],[Baseline Cost]]="",Tasks[[#This Row],[_LeafCost]],N(Tasks[[#This Row],[Baseline Cost]])))</f>
        <v>760</v>
      </c>
      <c r="DE29" s="41" t="n">
        <f aca="false">Tasks[[#This Row],[_LeafBudget]]*Tasks[[#This Row],[_PlannedPct]]</f>
        <v>0</v>
      </c>
      <c r="DF29" s="41" t="n">
        <f aca="false">Tasks[[#This Row],[_LeafBudget]]*Tasks[[#This Row],[_LeafProgress]]</f>
        <v>0</v>
      </c>
      <c r="DG29" s="41" t="n">
        <f aca="false">IF(NOT(Tasks[[#This Row],[_IsLeaf]]=1),0,IF(Tasks[[#This Row],[Actual Cost]]="",Tasks[[#This Row],[_LeafCost]]*Tasks[[#This Row],[_LeafProgress]],N(Tasks[[#This Row],[Actual Cost]])))</f>
        <v>0</v>
      </c>
      <c r="DH29" s="41" t="str">
        <f aca="false">IF(Tasks[[#This Row],[Task Name]]="","",LEFT(Tasks[[#This Row],[WBS]],FIND(".",Tasks[[#This Row],[WBS]]&amp;".")-1))</f>
        <v>4</v>
      </c>
      <c r="DI29" s="41" t="str">
        <f aca="false">IF(AND(Tasks[[#This Row],[Task Name]]&lt;&gt;"",Tasks[[#This Row],[_Level]]=1),Tasks[[#This Row],[_Row]],"")</f>
        <v/>
      </c>
      <c r="DJ29" s="41" t="str">
        <f aca="false">IF(AND(Tasks[[#This Row],[_IsLeaf]]=1,N(Tasks[[#This Row],[Duration]])=0),Tasks[[#This Row],[Planned Finish]]+Tasks[[#This Row],[_Row]]/100000,"")</f>
        <v/>
      </c>
      <c r="DK29" s="41" t="str">
        <f aca="false">IF(AND(Tasks[[#This Row],[_IsLeaf]]=1,Tasks[[#This Row],[_LeafProgress]]&lt;1,OR(N(Tasks[[#This Row],[Finish Var]])&gt;0,Tasks[[#This Row],[Status]]="Late Start")),MAX(0,Tasks[[#This Row],[Finish Var]])+1-Tasks[[#This Row],[_Row]]/1000000,"")</f>
        <v/>
      </c>
      <c r="DL29" s="41" t="str">
        <f aca="false">IF(AND(Tasks[[#This Row],[_IsLeaf]]=1,N(Tasks[[#This Row],[Actual Start]])=0,Tasks[[#This Row],[_LeafFcstStart]]&gt;=StatusDate,Tasks[[#This Row],[_LeafFcstStart]]&lt;=LookaheadEnd),Tasks[[#This Row],[_LeafFcstStart]]+Tasks[[#This Row],[_Row]]/100000,"")</f>
        <v/>
      </c>
      <c r="DM29" s="41" t="str">
        <f aca="false">IF(AND(Tasks[[#This Row],[_IsLeaf]]=1,Tasks[[#This Row],[_LeafProgress]]&lt;1,Tasks[[#This Row],[_LeafFcstFinish]]&gt;=StatusDate,Tasks[[#This Row],[_LeafFcstFinish]]&lt;=LookaheadEnd),Tasks[[#This Row],[_LeafFcstFinish]]+Tasks[[#This Row],[_Row]]/100000,"")</f>
        <v/>
      </c>
      <c r="DN29" s="101" t="n">
        <f aca="false">IF(Tasks[[#This Row],[_LeafCritical]],Tasks[[#This Row],[_LeafFcstStart]]+Tasks[[#This Row],[_Row]]/100000,"")</f>
        <v>46371.00024</v>
      </c>
      <c r="DO29" s="41" t="n">
        <f aca="false">Tasks[[#This Row],[_LeafWork]]*Tasks[[#This Row],[_LeafProgress]]</f>
        <v>0</v>
      </c>
      <c r="DP29" s="100" t="str">
        <f aca="false">IF(AND(Tasks[[#This Row],[_IsLeaf]]=1,Tasks[[#This Row],[_LeafProgress]]&gt;=1),IF(N(Tasks[[#This Row],[Actual Finish]])&gt;0,Tasks[[#This Row],[Actual Finish]],Tasks[[#This Row],[_LeafFcstFinish]]),"")</f>
        <v/>
      </c>
      <c r="DQ29" s="41" t="n">
        <f aca="false">IF(Tasks[[#This Row],[_IsLeaf]]=1,N(Tasks[[#This Row],[Story Points]]),0)</f>
        <v>1</v>
      </c>
      <c r="DR29" s="41" t="str">
        <f aca="false">IF(AND(Tasks[[#This Row],[_IsLeaf]]=1,CurrentSprint&lt;&gt;"",Tasks[[#This Row],[Sprint]]=CurrentSprint),Tasks[[#This Row],[_Row]],"")</f>
        <v/>
      </c>
    </row>
    <row r="30" customFormat="false" ht="15" hidden="false" customHeight="false" outlineLevel="0" collapsed="false">
      <c r="A30" s="28" t="n">
        <f aca="false">IF(Tasks[[#This Row],[Task Name]]="","",COUNTA(Tasks[[#Headers],[Task Name]]:Tasks[[#This Row],[Task Name]])-1)</f>
        <v>25</v>
      </c>
      <c r="B30" s="29" t="n">
        <v>25</v>
      </c>
      <c r="C3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4.5</v>
      </c>
      <c r="D30" s="29" t="n">
        <v>2</v>
      </c>
      <c r="E30" s="30" t="s">
        <v>623</v>
      </c>
      <c r="F30" s="29" t="s">
        <v>584</v>
      </c>
      <c r="G30" s="29" t="n">
        <v>0</v>
      </c>
      <c r="H30" s="29" t="n">
        <v>24</v>
      </c>
      <c r="I30" s="29" t="s">
        <v>589</v>
      </c>
      <c r="J30" s="29"/>
      <c r="K30" s="29"/>
      <c r="L30" s="29"/>
      <c r="M30" s="29"/>
      <c r="N30" s="73"/>
      <c r="O30" s="73" t="n">
        <v>46374</v>
      </c>
      <c r="P30" s="25" t="n">
        <f aca="false">IF(Tasks[[#This Row],[Task Name]]="","",IF(N(Tasks[[#This Row],[Baseline Start]])&gt;0,Tasks[[#This Row],[Baseline Start]],Tasks[[#This Row],[_CalcStart]]))</f>
        <v>46371</v>
      </c>
      <c r="Q30" s="25" t="n">
        <f aca="false">IF(Tasks[[#This Row],[Task Name]]="","",IF(N(Tasks[[#This Row],[Baseline Finish]])&gt;0,Tasks[[#This Row],[Baseline Finish]],Tasks[[#This Row],[_CalcFinish]]))</f>
        <v>46371</v>
      </c>
      <c r="R30" s="73"/>
      <c r="S30" s="73"/>
      <c r="T30" s="25" t="n">
        <f aca="false">IF(Tasks[[#This Row],[Task Name]]="","",IF(Tasks[[#This Row],[_IsSummary]],MIN(INDEX(Tasks[_LeafFcstStart],Tasks[[#This Row],[_Row]]+1):INDEX(Tasks[_LeafFcstStart],Tasks[[#This Row],[_Row]]+Tasks[[#This Row],[_Descendants]])),Tasks[[#This Row],[_LeafFcstStart]]))</f>
        <v>46371</v>
      </c>
      <c r="U30" s="25" t="n">
        <f aca="false">IF(Tasks[[#This Row],[Task Name]]="","",IF(Tasks[[#This Row],[_IsSummary]],MAX(INDEX(Tasks[_LeafFcstFinish],Tasks[[#This Row],[_Row]]+1):INDEX(Tasks[_LeafFcstFinish],Tasks[[#This Row],[_Row]]+Tasks[[#This Row],[_Descendants]])),Tasks[[#This Row],[_LeafFcstFinish]]))</f>
        <v>46371</v>
      </c>
      <c r="V30"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W30"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X30" s="25" t="n">
        <f aca="false">IF(Tasks[[#This Row],[Task Name]]="","",IF(Tasks[[#This Row],[_IsSummary]],MIN(INDEX(Tasks[_LeafLateStart],Tasks[[#This Row],[_Row]]+1):INDEX(Tasks[_LeafLateStart],Tasks[[#This Row],[_Row]]+Tasks[[#This Row],[_Descendants]])),Tasks[[#This Row],[_LeafLateStart]]))</f>
        <v>46371</v>
      </c>
      <c r="Y30" s="25" t="n">
        <f aca="false">IF(Tasks[[#This Row],[Task Name]]="","",IF(Tasks[[#This Row],[_IsSummary]],MAX(INDEX(Tasks[_LeafLateFinish],Tasks[[#This Row],[_Row]]+1):INDEX(Tasks[_LeafLateFinish],Tasks[[#This Row],[_Row]]+Tasks[[#This Row],[_Descendants]])),Tasks[[#This Row],[_LeafLateFinish]]))</f>
        <v>46371</v>
      </c>
      <c r="Z30" s="43" t="n">
        <f aca="false">IF(Tasks[[#This Row],[Task Name]]="","",IF(Tasks[[#This Row],[_IsSummary]],MIN(INDEX(Tasks[_LeafTotalSlack],Tasks[[#This Row],[_Row]]+1):INDEX(Tasks[_LeafTotalSlack],Tasks[[#This Row],[_Row]]+Tasks[[#This Row],[_Descendants]])),Tasks[[#This Row],[_LeafTotalSlack]]))</f>
        <v>0</v>
      </c>
      <c r="AA30"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30" s="28" t="str">
        <f aca="false">IF(Tasks[[#This Row],[Task Name]]="","",IF(IF(Tasks[[#This Row],[_IsSummary]],COUNTIF(INDEX(Tasks[_LeafCritical],Tasks[[#This Row],[_Row]]+1):INDEX(Tasks[_LeafCritical],Tasks[[#This Row],[_Row]]+Tasks[[#This Row],[_Descendants]]),TRUE())&gt;0,Tasks[[#This Row],[_LeafCritical]]),"Yes",""))</f>
        <v>Yes</v>
      </c>
      <c r="AC3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OK</v>
      </c>
      <c r="AD30" s="24" t="str">
        <f aca="false">IF(Tasks[[#This Row],[Task Name]]="","",TRIM(IF(Tasks[[#This Row],[_Pred1Problem]]&lt;&gt;"","Pred 1: "&amp;Tasks[[#This Row],[_Pred1Problem]]&amp;". ","")&amp;IF(Tasks[[#This Row],[_Pred2Problem]]&lt;&gt;"","Pred 2: "&amp;Tasks[[#This Row],[_Pred2Problem]]&amp;".","")))</f>
        <v/>
      </c>
      <c r="AE30" s="88"/>
      <c r="AF30"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30" s="28" t="str">
        <f aca="false">IF(Tasks[[#This Row],[Task Name]]="","",IF(Tasks[[#This Row],[Progress]]&gt;=1,"Complete",IF(OR(N(Tasks[[#This Row],[Actual Start]])&gt;0,Tasks[[#This Row],[Progress]]&gt;0),IF(Tasks[[#This Row],[Finish Var]]&gt;0,"Behind","In Progress"),IF(Tasks[[#This Row],[Planned Start]]&lt;StatusDate,"Late Start","Not Started"))))</f>
        <v>Not Started</v>
      </c>
      <c r="AH30" s="30"/>
      <c r="AI30" s="88"/>
      <c r="AJ30" s="95" t="n">
        <f aca="false">IF(Tasks[[#This Row],[Task Name]]="","",IF(Tasks[[#This Row],[_IsSummary]],SUM(INDEX(Tasks[_LeafWork],Tasks[[#This Row],[_Row]]+1):INDEX(Tasks[_LeafWork],Tasks[[#This Row],[_Row]]+Tasks[[#This Row],[_Descendants]])),Tasks[[#This Row],[_LeafWork]]))</f>
        <v>0</v>
      </c>
      <c r="AK30" s="96" t="n">
        <f aca="false">IF(Tasks[[#This Row],[Task Name]]="","",IF(Tasks[[#This Row],[_IsSummary]],SUM(INDEX(Tasks[_LeafCost],Tasks[[#This Row],[_Row]]+1):INDEX(Tasks[_LeafCost],Tasks[[#This Row],[_Row]]+Tasks[[#This Row],[_Descendants]])),Tasks[[#This Row],[_LeafCost]]))</f>
        <v>0</v>
      </c>
      <c r="AL30" s="97"/>
      <c r="AM30" s="29"/>
      <c r="AN3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8</v>
      </c>
      <c r="AO30" s="82"/>
      <c r="AP30" s="24" t="str">
        <f aca="false">IF(Tasks[[#This Row],[Task Name]]="","",Tasks[[#This Row],[_Pred1IDText]]&amp;IF(AND(Tasks[[#This Row],[_Pred1IDText]]&lt;&gt;"",Tasks[[#This Row],[_Pred2IDText]]&lt;&gt;""),",","")&amp;Tasks[[#This Row],[_Pred2IDText]])</f>
        <v>24</v>
      </c>
      <c r="AQ30" s="30" t="s">
        <v>624</v>
      </c>
      <c r="AR30" s="25" t="n">
        <f aca="false">IF(Tasks[[#This Row],[Task Name]]="","",Tasks[[#This Row],[Forecast Start]])</f>
        <v>46371</v>
      </c>
      <c r="AS30" s="25" t="n">
        <f aca="false">IF(Tasks[[#This Row],[Task Name]]="","",Tasks[[#This Row],[Forecast Finish]])</f>
        <v>46371</v>
      </c>
      <c r="AT30" s="28" t="n">
        <f aca="false">IF(Tasks[[#This Row],[Task Name]]="","",IF(Tasks[[#This Row],[_IsSummary]],NETWORKDAYS.INTL(Tasks[[#This Row],[Forecast Start]],Tasks[[#This Row],[Forecast Finish]],WorkWeek,Holidays),N(Tasks[[#This Row],[Duration]])))</f>
        <v>0</v>
      </c>
      <c r="AU30" s="95" t="n">
        <f aca="false">IF(Tasks[[#This Row],[Task Name]]="","",Tasks[[#This Row],[Work]])</f>
        <v>0</v>
      </c>
      <c r="AV30" s="96" t="n">
        <f aca="false">IF(Tasks[[#This Row],[Task Name]]="","",Tasks[[#This Row],[Cost]])</f>
        <v>0</v>
      </c>
      <c r="AW30" s="73"/>
      <c r="AX30" s="73"/>
      <c r="AY30" s="29"/>
      <c r="AZ30" s="98"/>
      <c r="BA30" s="97"/>
      <c r="BB30" s="28" t="str">
        <f aca="false">IF(OR(Tasks[[#This Row],[Task Name]]="",Tasks[[#This Row],[Baseline Duration]]=""),"",Tasks[[#This Row],[BL Source Duration]]-N(Tasks[[#This Row],[Baseline Duration]]))</f>
        <v/>
      </c>
      <c r="BC30" s="95" t="str">
        <f aca="false">IF(OR(Tasks[[#This Row],[Task Name]]="",Tasks[[#This Row],[Baseline Work]]=""),"",Tasks[[#This Row],[Work]]-N(Tasks[[#This Row],[Baseline Work]]))</f>
        <v/>
      </c>
      <c r="BD30" s="96" t="str">
        <f aca="false">IF(OR(Tasks[[#This Row],[Task Name]]="",Tasks[[#This Row],[Baseline Cost]]=""),"",Tasks[[#This Row],[Cost]]-N(Tasks[[#This Row],[Baseline Cost]]))</f>
        <v/>
      </c>
      <c r="BE30" s="96" t="n">
        <f aca="false">IF(Tasks[[#This Row],[Task Name]]="","",IF(Tasks[[#This Row],[_IsSummary]],SUM(INDEX(Tasks[_LeafBudget],Tasks[[#This Row],[_Row]]+1):INDEX(Tasks[_LeafBudget],Tasks[[#This Row],[_Row]]+Tasks[[#This Row],[_Descendants]])),Tasks[[#This Row],[_LeafBudget]]))</f>
        <v>0</v>
      </c>
      <c r="BF30" s="96" t="n">
        <f aca="false">IF(Tasks[[#This Row],[Task Name]]="","",IF(Tasks[[#This Row],[_IsSummary]],SUM(INDEX(Tasks[_LeafPV],Tasks[[#This Row],[_Row]]+1):INDEX(Tasks[_LeafPV],Tasks[[#This Row],[_Row]]+Tasks[[#This Row],[_Descendants]])),Tasks[[#This Row],[_LeafPV]]))</f>
        <v>0</v>
      </c>
      <c r="BG30" s="96" t="n">
        <f aca="false">IF(Tasks[[#This Row],[Task Name]]="","",IF(Tasks[[#This Row],[_IsSummary]],SUM(INDEX(Tasks[_LeafEV],Tasks[[#This Row],[_Row]]+1):INDEX(Tasks[_LeafEV],Tasks[[#This Row],[_Row]]+Tasks[[#This Row],[_Descendants]])),Tasks[[#This Row],[_LeafEV]]))</f>
        <v>0</v>
      </c>
      <c r="BH30" s="96" t="n">
        <f aca="false">IF(Tasks[[#This Row],[Task Name]]="","",IF(Tasks[[#This Row],[_IsSummary]],SUM(INDEX(Tasks[_LeafAC],Tasks[[#This Row],[_Row]]+1):INDEX(Tasks[_LeafAC],Tasks[[#This Row],[_Row]]+Tasks[[#This Row],[_Descendants]])),Tasks[[#This Row],[_LeafAC]]))</f>
        <v>0</v>
      </c>
      <c r="BI30" s="41" t="n">
        <f aca="false">IF(Tasks[[#This Row],[Task Name]]="","",MAX(1,N(Tasks[[#This Row],[Level]])))</f>
        <v>2</v>
      </c>
      <c r="BJ30" s="41" t="n">
        <f aca="false">ROW()-ROW(Tasks[[#Headers],[ID]])</f>
        <v>25</v>
      </c>
      <c r="BK30" s="41" t="n">
        <f aca="false">IF(OR(Tasks[[#This Row],[Task Name]]="",Tasks[[#This Row],[_Level]]&lt;=1),0,IFERROR(LOOKUP(2,1/(Tasks[[#Headers],[_Level]]:Tasks[[#This Row],[_Level]]=Tasks[[#This Row],[_Level]]-1),ROW(Tasks[[#Headers],[_Level]]:Tasks[[#This Row],[_Level]])),0))</f>
        <v>25</v>
      </c>
      <c r="BL30" s="41" t="n">
        <f aca="false">IFERROR(N(INDEX(Tasks[_Level],Tasks[[#This Row],[_Row]]+1)),0)</f>
        <v>2</v>
      </c>
      <c r="BM30" s="99" t="b">
        <f aca="false">AND(Tasks[[#This Row],[Task Name]]&lt;&gt;"",Tasks[[#This Row],[_NextLevel]]&gt;Tasks[[#This Row],[_Level]])</f>
        <v>0</v>
      </c>
      <c r="BN30" s="41" t="n">
        <f aca="false">IF(Tasks[[#This Row],[_IsSummary]],COUNTIF(Tasks[WBS],Tasks[[#This Row],[WBS]]&amp;".*"),0)</f>
        <v>0</v>
      </c>
      <c r="BO30" s="41" t="n">
        <f aca="false">IF(AND(Tasks[[#This Row],[Task Name]]&lt;&gt;"",NOT(Tasks[[#This Row],[_IsSummary]])),1,0)</f>
        <v>1</v>
      </c>
      <c r="BP30" s="41" t="n">
        <f aca="false">IF(N(Tasks[[#This Row],[Pred1 UID]])=0,0,IFERROR(MATCH(Tasks[[#This Row],[Pred1 UID]],Tasks[UID],0),-1))</f>
        <v>24</v>
      </c>
      <c r="BQ30" s="41" t="n">
        <f aca="false">IF(N(Tasks[[#This Row],[Pred2 UID]])=0,0,IFERROR(MATCH(Tasks[[#This Row],[Pred2 UID]],Tasks[UID],0),-1))</f>
        <v>0</v>
      </c>
      <c r="BR30" s="100"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46371</v>
      </c>
      <c r="BS30" s="100" t="n">
        <f aca="false">IF(NOT(Tasks[[#This Row],[_IsLeaf]]=1),"",IF(N(Tasks[[#This Row],[Duration]])&lt;=0,Tasks[[#This Row],[_LeafCalcStart]],WORKDAY.INTL(Tasks[[#This Row],[_LeafCalcStart]],Tasks[[#This Row],[Duration]]-1,WorkWeek,Holidays)))</f>
        <v>46371</v>
      </c>
      <c r="BT30" s="100"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46371</v>
      </c>
      <c r="BU30" s="100"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46371</v>
      </c>
      <c r="BV30" s="41" t="n">
        <f aca="false">IF(NOT(Tasks[[#This Row],[_IsLeaf]]=1),0,IF(N(Tasks[[#This Row],[Actual Finish]])&gt;0,1,MIN(1,N(Tasks[[#This Row],[% Complete]]))))</f>
        <v>0</v>
      </c>
      <c r="BW30" s="41" t="n">
        <f aca="false">IF(OR(NOT(Tasks[[#This Row],[_IsLeaf]]=1),Tasks[[#This Row],[Resource]]=""),0,N(Tasks[[#This Row],[Duration]])*HoursPerDay*IF(Tasks[[#This Row],[Units]]="",DefaultUnits,Tasks[[#This Row],[Units]]))</f>
        <v>0</v>
      </c>
      <c r="BX30" s="41" t="n">
        <f aca="false">IF(Tasks[[#This Row],[_LeafWork]]=0,0,Tasks[[#This Row],[_LeafWork]]*IFERROR(INDEX(res_Rate,MATCH(Tasks[[#This Row],[Resource]],res_Name,0)),0))</f>
        <v>0</v>
      </c>
      <c r="BY30" s="101"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2912094</v>
      </c>
      <c r="BZ3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30"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B3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30" s="41" t="n">
        <f aca="false">IF(NOT(Tasks[[#This Row],[_IsLeaf]]=1),0,MAX(_xlfn.MAXIFS(Tasks[_Row],Tasks[Pred1 UID],Tasks[[#This Row],[UID]]),_xlfn.MAXIFS(Tasks[_Row],Tasks[Pred2 UID],Tasks[[#This Row],[UID]])))</f>
        <v>26</v>
      </c>
      <c r="CD30" s="100"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46371</v>
      </c>
      <c r="CE30" s="100" t="n">
        <f aca="false">IF(NOT(Tasks[[#This Row],[_IsLeaf]]=1),"",MIN(ProjectFinish,IF(N(Tasks[[#This Row],[Deadline]])&gt;0,Tasks[[#This Row],[Deadline]],2958465),Tasks[[#This Row],[_SuccessorFinishLimit]]))</f>
        <v>46371</v>
      </c>
      <c r="CF30" s="100" t="n">
        <f aca="false">IF(NOT(Tasks[[#This Row],[_IsLeaf]]=1),"",IF(N(Tasks[[#This Row],[Duration]])&lt;=0,Tasks[[#This Row],[_LeafLateFinish]],WORKDAY.INTL(Tasks[[#This Row],[_LeafLateFinish]],-(Tasks[[#This Row],[Duration]]-1),WorkWeek,Holidays)))</f>
        <v>46371</v>
      </c>
      <c r="CG30"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CH30" s="99" t="b">
        <f aca="false">AND(Tasks[[#This Row],[_IsLeaf]]=1,Tasks[[#This Row],[_LeafProgress]]&lt;1,N(Tasks[[#This Row],[_LeafTotalSlack]])&lt;=CriticalSlackDays)</f>
        <v>1</v>
      </c>
      <c r="CI30" s="100" t="n">
        <f aca="false">IF(Tasks[[#This Row],[Task Name]]="","",IF(Tasks[[#This Row],[_IsSummary]],MIN(INDEX(Tasks[_LeafCalcStart],Tasks[[#This Row],[_Row]]+1):INDEX(Tasks[_LeafCalcStart],Tasks[[#This Row],[_Row]]+Tasks[[#This Row],[_Descendants]])),Tasks[[#This Row],[_LeafCalcStart]]))</f>
        <v>46371</v>
      </c>
      <c r="CJ30" s="100" t="n">
        <f aca="false">IF(Tasks[[#This Row],[Task Name]]="","",IF(Tasks[[#This Row],[_IsSummary]],MAX(INDEX(Tasks[_LeafCalcFinish],Tasks[[#This Row],[_Row]]+1):INDEX(Tasks[_LeafCalcFinish],Tasks[[#This Row],[_Row]]+Tasks[[#This Row],[_Descendants]])),Tasks[[#This Row],[_LeafCalcFinish]]))</f>
        <v>46371</v>
      </c>
      <c r="CK3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3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30"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46371</v>
      </c>
      <c r="CN30"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30"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46371</v>
      </c>
      <c r="CP30"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30" s="41" t="n">
        <f aca="false">IF(AND(Tasks[[#This Row],[_IsLeaf]]=1,Tasks[[#This Row],[_LeafWork]]&gt;0),NETWORKDAYS.INTL(ProjectStart,Tasks[[#This Row],[_LeafFcstStart]],WorkWeek,Holidays),0)</f>
        <v>0</v>
      </c>
      <c r="CR30" s="41" t="n">
        <f aca="false">IF(AND(Tasks[[#This Row],[_IsLeaf]]=1,Tasks[[#This Row],[_LeafWork]]&gt;0),MAX(Tasks[[#This Row],[_StartWorkday]],NETWORKDAYS.INTL(ProjectStart,Tasks[[#This Row],[_LeafFcstFinish]],WorkWeek,Holidays)),0)</f>
        <v>0</v>
      </c>
      <c r="CS30" s="41" t="n">
        <f aca="false">IF(AND(Tasks[[#This Row],[_IsLeaf]]=1,Tasks[[#This Row],[_LeafWork]]&gt;0),Tasks[[#This Row],[_LeafWork]]/(Tasks[[#This Row],[_FinishWorkday]]-Tasks[[#This Row],[_StartWorkday]]+1),0)</f>
        <v>0</v>
      </c>
      <c r="CT30" s="41" t="n">
        <f aca="false">Tasks[[#This Row],[_WorkPerWorkday]]*(Tasks[[#This Row],[_StartWorkday]]-1)</f>
        <v>-0</v>
      </c>
      <c r="CU30" s="41" t="n">
        <f aca="false">IF(Tasks[[#This Row],[_IsLeaf]]=1,MAX(N(Tasks[[#This Row],[Duration]]),0.1),0)</f>
        <v>0.1</v>
      </c>
      <c r="CV30" s="41" t="n">
        <f aca="false">Tasks[[#This Row],[_WeightDur]]*Tasks[[#This Row],[_LeafProgress]]</f>
        <v>0</v>
      </c>
      <c r="CW3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24</v>
      </c>
      <c r="CX3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3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24</v>
      </c>
      <c r="CZ3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30" s="41" t="str">
        <f aca="false">IF(Tasks[[#This Row],[Task Name]]="","",Tasks[[#This Row],[_Pred1UIDText]]&amp;IF(AND(Tasks[[#This Row],[_Pred1UIDText]]&lt;&gt;"",Tasks[[#This Row],[_Pred2UIDText]]&lt;&gt;""),",","")&amp;Tasks[[#This Row],[_Pred2UIDText]])</f>
        <v>24</v>
      </c>
      <c r="DB30" s="101" t="n">
        <f aca="false">IF(AND(Tasks[[#This Row],[_IsLeaf]]=1,N(Tasks[[#This Row],[Duration]])=0,Tasks[[#This Row],[_LeafProgress]]&lt;1),Tasks[[#This Row],[_LeafFcstFinish]]+Tasks[[#This Row],[_Row]]/100000,"")</f>
        <v>46371.00025</v>
      </c>
      <c r="DC3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30" s="41" t="n">
        <f aca="false">IF(NOT(Tasks[[#This Row],[_IsLeaf]]=1),0,IF(Tasks[[#This Row],[Baseline Cost]]="",Tasks[[#This Row],[_LeafCost]],N(Tasks[[#This Row],[Baseline Cost]])))</f>
        <v>0</v>
      </c>
      <c r="DE30" s="41" t="n">
        <f aca="false">Tasks[[#This Row],[_LeafBudget]]*Tasks[[#This Row],[_PlannedPct]]</f>
        <v>0</v>
      </c>
      <c r="DF30" s="41" t="n">
        <f aca="false">Tasks[[#This Row],[_LeafBudget]]*Tasks[[#This Row],[_LeafProgress]]</f>
        <v>0</v>
      </c>
      <c r="DG30" s="41" t="n">
        <f aca="false">IF(NOT(Tasks[[#This Row],[_IsLeaf]]=1),0,IF(Tasks[[#This Row],[Actual Cost]]="",Tasks[[#This Row],[_LeafCost]]*Tasks[[#This Row],[_LeafProgress]],N(Tasks[[#This Row],[Actual Cost]])))</f>
        <v>0</v>
      </c>
      <c r="DH30" s="41" t="str">
        <f aca="false">IF(Tasks[[#This Row],[Task Name]]="","",LEFT(Tasks[[#This Row],[WBS]],FIND(".",Tasks[[#This Row],[WBS]]&amp;".")-1))</f>
        <v>4</v>
      </c>
      <c r="DI30" s="41" t="str">
        <f aca="false">IF(AND(Tasks[[#This Row],[Task Name]]&lt;&gt;"",Tasks[[#This Row],[_Level]]=1),Tasks[[#This Row],[_Row]],"")</f>
        <v/>
      </c>
      <c r="DJ30" s="101" t="n">
        <f aca="false">IF(AND(Tasks[[#This Row],[_IsLeaf]]=1,N(Tasks[[#This Row],[Duration]])=0),Tasks[[#This Row],[Planned Finish]]+Tasks[[#This Row],[_Row]]/100000,"")</f>
        <v>46371.00025</v>
      </c>
      <c r="DK30" s="41" t="str">
        <f aca="false">IF(AND(Tasks[[#This Row],[_IsLeaf]]=1,Tasks[[#This Row],[_LeafProgress]]&lt;1,OR(N(Tasks[[#This Row],[Finish Var]])&gt;0,Tasks[[#This Row],[Status]]="Late Start")),MAX(0,Tasks[[#This Row],[Finish Var]])+1-Tasks[[#This Row],[_Row]]/1000000,"")</f>
        <v/>
      </c>
      <c r="DL30" s="41" t="str">
        <f aca="false">IF(AND(Tasks[[#This Row],[_IsLeaf]]=1,N(Tasks[[#This Row],[Actual Start]])=0,Tasks[[#This Row],[_LeafFcstStart]]&gt;=StatusDate,Tasks[[#This Row],[_LeafFcstStart]]&lt;=LookaheadEnd),Tasks[[#This Row],[_LeafFcstStart]]+Tasks[[#This Row],[_Row]]/100000,"")</f>
        <v/>
      </c>
      <c r="DM30" s="41" t="str">
        <f aca="false">IF(AND(Tasks[[#This Row],[_IsLeaf]]=1,Tasks[[#This Row],[_LeafProgress]]&lt;1,Tasks[[#This Row],[_LeafFcstFinish]]&gt;=StatusDate,Tasks[[#This Row],[_LeafFcstFinish]]&lt;=LookaheadEnd),Tasks[[#This Row],[_LeafFcstFinish]]+Tasks[[#This Row],[_Row]]/100000,"")</f>
        <v/>
      </c>
      <c r="DN30" s="101" t="n">
        <f aca="false">IF(Tasks[[#This Row],[_LeafCritical]],Tasks[[#This Row],[_LeafFcstStart]]+Tasks[[#This Row],[_Row]]/100000,"")</f>
        <v>46371.00025</v>
      </c>
      <c r="DO30" s="41" t="n">
        <f aca="false">Tasks[[#This Row],[_LeafWork]]*Tasks[[#This Row],[_LeafProgress]]</f>
        <v>0</v>
      </c>
      <c r="DP30" s="100" t="str">
        <f aca="false">IF(AND(Tasks[[#This Row],[_IsLeaf]]=1,Tasks[[#This Row],[_LeafProgress]]&gt;=1),IF(N(Tasks[[#This Row],[Actual Finish]])&gt;0,Tasks[[#This Row],[Actual Finish]],Tasks[[#This Row],[_LeafFcstFinish]]),"")</f>
        <v/>
      </c>
      <c r="DQ30" s="41" t="n">
        <f aca="false">IF(Tasks[[#This Row],[_IsLeaf]]=1,N(Tasks[[#This Row],[Story Points]]),0)</f>
        <v>0</v>
      </c>
      <c r="DR30" s="41" t="str">
        <f aca="false">IF(AND(Tasks[[#This Row],[_IsLeaf]]=1,CurrentSprint&lt;&gt;"",Tasks[[#This Row],[Sprint]]=CurrentSprint),Tasks[[#This Row],[_Row]],"")</f>
        <v/>
      </c>
    </row>
    <row r="31" customFormat="false" ht="15" hidden="false" customHeight="false" outlineLevel="0" collapsed="false">
      <c r="A31" s="28" t="n">
        <f aca="false">IF(Tasks[[#This Row],[Task Name]]="","",COUNTA(Tasks[[#Headers],[Task Name]]:Tasks[[#This Row],[Task Name]])-1)</f>
        <v>26</v>
      </c>
      <c r="B31" s="29" t="n">
        <v>26</v>
      </c>
      <c r="C3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4.6</v>
      </c>
      <c r="D31" s="29" t="n">
        <v>2</v>
      </c>
      <c r="E31" s="30" t="s">
        <v>625</v>
      </c>
      <c r="F31" s="29" t="s">
        <v>584</v>
      </c>
      <c r="G31" s="29" t="n">
        <v>10</v>
      </c>
      <c r="H31" s="29" t="n">
        <v>25</v>
      </c>
      <c r="I31" s="29" t="s">
        <v>589</v>
      </c>
      <c r="J31" s="29"/>
      <c r="K31" s="29"/>
      <c r="L31" s="29"/>
      <c r="M31" s="29"/>
      <c r="N31" s="73"/>
      <c r="O31" s="73"/>
      <c r="P31" s="25" t="n">
        <f aca="false">IF(Tasks[[#This Row],[Task Name]]="","",IF(N(Tasks[[#This Row],[Baseline Start]])&gt;0,Tasks[[#This Row],[Baseline Start]],Tasks[[#This Row],[_CalcStart]]))</f>
        <v>46372</v>
      </c>
      <c r="Q31" s="25" t="n">
        <f aca="false">IF(Tasks[[#This Row],[Task Name]]="","",IF(N(Tasks[[#This Row],[Baseline Finish]])&gt;0,Tasks[[#This Row],[Baseline Finish]],Tasks[[#This Row],[_CalcFinish]]))</f>
        <v>46391</v>
      </c>
      <c r="R31" s="73"/>
      <c r="S31" s="73"/>
      <c r="T31" s="25" t="n">
        <f aca="false">IF(Tasks[[#This Row],[Task Name]]="","",IF(Tasks[[#This Row],[_IsSummary]],MIN(INDEX(Tasks[_LeafFcstStart],Tasks[[#This Row],[_Row]]+1):INDEX(Tasks[_LeafFcstStart],Tasks[[#This Row],[_Row]]+Tasks[[#This Row],[_Descendants]])),Tasks[[#This Row],[_LeafFcstStart]]))</f>
        <v>46372</v>
      </c>
      <c r="U31" s="25" t="n">
        <f aca="false">IF(Tasks[[#This Row],[Task Name]]="","",IF(Tasks[[#This Row],[_IsSummary]],MAX(INDEX(Tasks[_LeafFcstFinish],Tasks[[#This Row],[_Row]]+1):INDEX(Tasks[_LeafFcstFinish],Tasks[[#This Row],[_Row]]+Tasks[[#This Row],[_Descendants]])),Tasks[[#This Row],[_LeafFcstFinish]]))</f>
        <v>46391</v>
      </c>
      <c r="V31"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W31"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X31" s="25" t="n">
        <f aca="false">IF(Tasks[[#This Row],[Task Name]]="","",IF(Tasks[[#This Row],[_IsSummary]],MIN(INDEX(Tasks[_LeafLateStart],Tasks[[#This Row],[_Row]]+1):INDEX(Tasks[_LeafLateStart],Tasks[[#This Row],[_Row]]+Tasks[[#This Row],[_Descendants]])),Tasks[[#This Row],[_LeafLateStart]]))</f>
        <v>46372</v>
      </c>
      <c r="Y31" s="25" t="n">
        <f aca="false">IF(Tasks[[#This Row],[Task Name]]="","",IF(Tasks[[#This Row],[_IsSummary]],MAX(INDEX(Tasks[_LeafLateFinish],Tasks[[#This Row],[_Row]]+1):INDEX(Tasks[_LeafLateFinish],Tasks[[#This Row],[_Row]]+Tasks[[#This Row],[_Descendants]])),Tasks[[#This Row],[_LeafLateFinish]]))</f>
        <v>46391</v>
      </c>
      <c r="Z31" s="43" t="n">
        <f aca="false">IF(Tasks[[#This Row],[Task Name]]="","",IF(Tasks[[#This Row],[_IsSummary]],MIN(INDEX(Tasks[_LeafTotalSlack],Tasks[[#This Row],[_Row]]+1):INDEX(Tasks[_LeafTotalSlack],Tasks[[#This Row],[_Row]]+Tasks[[#This Row],[_Descendants]])),Tasks[[#This Row],[_LeafTotalSlack]]))</f>
        <v>0</v>
      </c>
      <c r="AA31"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31" s="28" t="str">
        <f aca="false">IF(Tasks[[#This Row],[Task Name]]="","",IF(IF(Tasks[[#This Row],[_IsSummary]],COUNTIF(INDEX(Tasks[_LeafCritical],Tasks[[#This Row],[_Row]]+1):INDEX(Tasks[_LeafCritical],Tasks[[#This Row],[_Row]]+Tasks[[#This Row],[_Descendants]]),TRUE())&gt;0,Tasks[[#This Row],[_LeafCritical]]),"Yes",""))</f>
        <v>Yes</v>
      </c>
      <c r="AC3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1" s="24" t="str">
        <f aca="false">IF(Tasks[[#This Row],[Task Name]]="","",TRIM(IF(Tasks[[#This Row],[_Pred1Problem]]&lt;&gt;"","Pred 1: "&amp;Tasks[[#This Row],[_Pred1Problem]]&amp;". ","")&amp;IF(Tasks[[#This Row],[_Pred2Problem]]&lt;&gt;"","Pred 2: "&amp;Tasks[[#This Row],[_Pred2Problem]]&amp;".","")))</f>
        <v/>
      </c>
      <c r="AE31" s="88"/>
      <c r="AF31"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31" s="28" t="str">
        <f aca="false">IF(Tasks[[#This Row],[Task Name]]="","",IF(Tasks[[#This Row],[Progress]]&gt;=1,"Complete",IF(OR(N(Tasks[[#This Row],[Actual Start]])&gt;0,Tasks[[#This Row],[Progress]]&gt;0),IF(Tasks[[#This Row],[Finish Var]]&gt;0,"Behind","In Progress"),IF(Tasks[[#This Row],[Planned Start]]&lt;StatusDate,"Late Start","Not Started"))))</f>
        <v>Not Started</v>
      </c>
      <c r="AH31" s="30" t="s">
        <v>276</v>
      </c>
      <c r="AI31" s="88" t="n">
        <v>0.5</v>
      </c>
      <c r="AJ31" s="95" t="n">
        <f aca="false">IF(Tasks[[#This Row],[Task Name]]="","",IF(Tasks[[#This Row],[_IsSummary]],SUM(INDEX(Tasks[_LeafWork],Tasks[[#This Row],[_Row]]+1):INDEX(Tasks[_LeafWork],Tasks[[#This Row],[_Row]]+Tasks[[#This Row],[_Descendants]])),Tasks[[#This Row],[_LeafWork]]))</f>
        <v>40</v>
      </c>
      <c r="AK31" s="96" t="n">
        <f aca="false">IF(Tasks[[#This Row],[Task Name]]="","",IF(Tasks[[#This Row],[_IsSummary]],SUM(INDEX(Tasks[_LeafCost],Tasks[[#This Row],[_Row]]+1):INDEX(Tasks[_LeafCost],Tasks[[#This Row],[_Row]]+Tasks[[#This Row],[_Descendants]])),Tasks[[#This Row],[_LeafCost]]))</f>
        <v>3400</v>
      </c>
      <c r="AL31" s="97"/>
      <c r="AM31" s="29"/>
      <c r="AN3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8</v>
      </c>
      <c r="AO31" s="82" t="n">
        <v>5</v>
      </c>
      <c r="AP31" s="24" t="str">
        <f aca="false">IF(Tasks[[#This Row],[Task Name]]="","",Tasks[[#This Row],[_Pred1IDText]]&amp;IF(AND(Tasks[[#This Row],[_Pred1IDText]]&lt;&gt;"",Tasks[[#This Row],[_Pred2IDText]]&lt;&gt;""),",","")&amp;Tasks[[#This Row],[_Pred2IDText]])</f>
        <v>25</v>
      </c>
      <c r="AQ31" s="30"/>
      <c r="AR31" s="25" t="n">
        <f aca="false">IF(Tasks[[#This Row],[Task Name]]="","",Tasks[[#This Row],[Forecast Start]])</f>
        <v>46372</v>
      </c>
      <c r="AS31" s="25" t="n">
        <f aca="false">IF(Tasks[[#This Row],[Task Name]]="","",Tasks[[#This Row],[Forecast Finish]])</f>
        <v>46391</v>
      </c>
      <c r="AT31" s="28" t="n">
        <f aca="false">IF(Tasks[[#This Row],[Task Name]]="","",IF(Tasks[[#This Row],[_IsSummary]],NETWORKDAYS.INTL(Tasks[[#This Row],[Forecast Start]],Tasks[[#This Row],[Forecast Finish]],WorkWeek,Holidays),N(Tasks[[#This Row],[Duration]])))</f>
        <v>10</v>
      </c>
      <c r="AU31" s="95" t="n">
        <f aca="false">IF(Tasks[[#This Row],[Task Name]]="","",Tasks[[#This Row],[Work]])</f>
        <v>40</v>
      </c>
      <c r="AV31" s="96" t="n">
        <f aca="false">IF(Tasks[[#This Row],[Task Name]]="","",Tasks[[#This Row],[Cost]])</f>
        <v>3400</v>
      </c>
      <c r="AW31" s="73"/>
      <c r="AX31" s="73"/>
      <c r="AY31" s="29"/>
      <c r="AZ31" s="98"/>
      <c r="BA31" s="97"/>
      <c r="BB31" s="28" t="str">
        <f aca="false">IF(OR(Tasks[[#This Row],[Task Name]]="",Tasks[[#This Row],[Baseline Duration]]=""),"",Tasks[[#This Row],[BL Source Duration]]-N(Tasks[[#This Row],[Baseline Duration]]))</f>
        <v/>
      </c>
      <c r="BC31" s="95" t="str">
        <f aca="false">IF(OR(Tasks[[#This Row],[Task Name]]="",Tasks[[#This Row],[Baseline Work]]=""),"",Tasks[[#This Row],[Work]]-N(Tasks[[#This Row],[Baseline Work]]))</f>
        <v/>
      </c>
      <c r="BD31" s="96" t="str">
        <f aca="false">IF(OR(Tasks[[#This Row],[Task Name]]="",Tasks[[#This Row],[Baseline Cost]]=""),"",Tasks[[#This Row],[Cost]]-N(Tasks[[#This Row],[Baseline Cost]]))</f>
        <v/>
      </c>
      <c r="BE31" s="96" t="n">
        <f aca="false">IF(Tasks[[#This Row],[Task Name]]="","",IF(Tasks[[#This Row],[_IsSummary]],SUM(INDEX(Tasks[_LeafBudget],Tasks[[#This Row],[_Row]]+1):INDEX(Tasks[_LeafBudget],Tasks[[#This Row],[_Row]]+Tasks[[#This Row],[_Descendants]])),Tasks[[#This Row],[_LeafBudget]]))</f>
        <v>3400</v>
      </c>
      <c r="BF31" s="96" t="n">
        <f aca="false">IF(Tasks[[#This Row],[Task Name]]="","",IF(Tasks[[#This Row],[_IsSummary]],SUM(INDEX(Tasks[_LeafPV],Tasks[[#This Row],[_Row]]+1):INDEX(Tasks[_LeafPV],Tasks[[#This Row],[_Row]]+Tasks[[#This Row],[_Descendants]])),Tasks[[#This Row],[_LeafPV]]))</f>
        <v>0</v>
      </c>
      <c r="BG31" s="96" t="n">
        <f aca="false">IF(Tasks[[#This Row],[Task Name]]="","",IF(Tasks[[#This Row],[_IsSummary]],SUM(INDEX(Tasks[_LeafEV],Tasks[[#This Row],[_Row]]+1):INDEX(Tasks[_LeafEV],Tasks[[#This Row],[_Row]]+Tasks[[#This Row],[_Descendants]])),Tasks[[#This Row],[_LeafEV]]))</f>
        <v>0</v>
      </c>
      <c r="BH31" s="96" t="n">
        <f aca="false">IF(Tasks[[#This Row],[Task Name]]="","",IF(Tasks[[#This Row],[_IsSummary]],SUM(INDEX(Tasks[_LeafAC],Tasks[[#This Row],[_Row]]+1):INDEX(Tasks[_LeafAC],Tasks[[#This Row],[_Row]]+Tasks[[#This Row],[_Descendants]])),Tasks[[#This Row],[_LeafAC]]))</f>
        <v>0</v>
      </c>
      <c r="BI31" s="41" t="n">
        <f aca="false">IF(Tasks[[#This Row],[Task Name]]="","",MAX(1,N(Tasks[[#This Row],[Level]])))</f>
        <v>2</v>
      </c>
      <c r="BJ31" s="41" t="n">
        <f aca="false">ROW()-ROW(Tasks[[#Headers],[ID]])</f>
        <v>26</v>
      </c>
      <c r="BK31" s="41" t="n">
        <f aca="false">IF(OR(Tasks[[#This Row],[Task Name]]="",Tasks[[#This Row],[_Level]]&lt;=1),0,IFERROR(LOOKUP(2,1/(Tasks[[#Headers],[_Level]]:Tasks[[#This Row],[_Level]]=Tasks[[#This Row],[_Level]]-1),ROW(Tasks[[#Headers],[_Level]]:Tasks[[#This Row],[_Level]])),0))</f>
        <v>25</v>
      </c>
      <c r="BL31" s="41" t="n">
        <f aca="false">IFERROR(N(INDEX(Tasks[_Level],Tasks[[#This Row],[_Row]]+1)),0)</f>
        <v>1</v>
      </c>
      <c r="BM31" s="99" t="b">
        <f aca="false">AND(Tasks[[#This Row],[Task Name]]&lt;&gt;"",Tasks[[#This Row],[_NextLevel]]&gt;Tasks[[#This Row],[_Level]])</f>
        <v>0</v>
      </c>
      <c r="BN31" s="41" t="n">
        <f aca="false">IF(Tasks[[#This Row],[_IsSummary]],COUNTIF(Tasks[WBS],Tasks[[#This Row],[WBS]]&amp;".*"),0)</f>
        <v>0</v>
      </c>
      <c r="BO31" s="41" t="n">
        <f aca="false">IF(AND(Tasks[[#This Row],[Task Name]]&lt;&gt;"",NOT(Tasks[[#This Row],[_IsSummary]])),1,0)</f>
        <v>1</v>
      </c>
      <c r="BP31" s="41" t="n">
        <f aca="false">IF(N(Tasks[[#This Row],[Pred1 UID]])=0,0,IFERROR(MATCH(Tasks[[#This Row],[Pred1 UID]],Tasks[UID],0),-1))</f>
        <v>25</v>
      </c>
      <c r="BQ31" s="41" t="n">
        <f aca="false">IF(N(Tasks[[#This Row],[Pred2 UID]])=0,0,IFERROR(MATCH(Tasks[[#This Row],[Pred2 UID]],Tasks[UID],0),-1))</f>
        <v>0</v>
      </c>
      <c r="BR31" s="100"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46372</v>
      </c>
      <c r="BS31" s="100" t="n">
        <f aca="false">IF(NOT(Tasks[[#This Row],[_IsLeaf]]=1),"",IF(N(Tasks[[#This Row],[Duration]])&lt;=0,Tasks[[#This Row],[_LeafCalcStart]],WORKDAY.INTL(Tasks[[#This Row],[_LeafCalcStart]],Tasks[[#This Row],[Duration]]-1,WorkWeek,Holidays)))</f>
        <v>46391</v>
      </c>
      <c r="BT31" s="100"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46372</v>
      </c>
      <c r="BU31" s="100"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46391</v>
      </c>
      <c r="BV31" s="41" t="n">
        <f aca="false">IF(NOT(Tasks[[#This Row],[_IsLeaf]]=1),0,IF(N(Tasks[[#This Row],[Actual Finish]])&gt;0,1,MIN(1,N(Tasks[[#This Row],[% Complete]]))))</f>
        <v>0</v>
      </c>
      <c r="BW31" s="41" t="n">
        <f aca="false">IF(OR(NOT(Tasks[[#This Row],[_IsLeaf]]=1),Tasks[[#This Row],[Resource]]=""),0,N(Tasks[[#This Row],[Duration]])*HoursPerDay*IF(Tasks[[#This Row],[Units]]="",DefaultUnits,Tasks[[#This Row],[Units]]))</f>
        <v>40</v>
      </c>
      <c r="BX31" s="41" t="n">
        <f aca="false">IF(Tasks[[#This Row],[_LeafWork]]=0,0,Tasks[[#This Row],[_LeafWork]]*IFERROR(INDEX(res_Rate,MATCH(Tasks[[#This Row],[Resource]],res_Name,0)),0))</f>
        <v>3400</v>
      </c>
      <c r="BY31" s="101"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2912094</v>
      </c>
      <c r="BZ3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31"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B3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31" s="41" t="n">
        <f aca="false">IF(NOT(Tasks[[#This Row],[_IsLeaf]]=1),0,MAX(_xlfn.MAXIFS(Tasks[_Row],Tasks[Pred1 UID],Tasks[[#This Row],[UID]]),_xlfn.MAXIFS(Tasks[_Row],Tasks[Pred2 UID],Tasks[[#This Row],[UID]])))</f>
        <v>29</v>
      </c>
      <c r="CD31" s="100"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46391</v>
      </c>
      <c r="CE31" s="100" t="n">
        <f aca="false">IF(NOT(Tasks[[#This Row],[_IsLeaf]]=1),"",MIN(ProjectFinish,IF(N(Tasks[[#This Row],[Deadline]])&gt;0,Tasks[[#This Row],[Deadline]],2958465),Tasks[[#This Row],[_SuccessorFinishLimit]]))</f>
        <v>46391</v>
      </c>
      <c r="CF31" s="100" t="n">
        <f aca="false">IF(NOT(Tasks[[#This Row],[_IsLeaf]]=1),"",IF(N(Tasks[[#This Row],[Duration]])&lt;=0,Tasks[[#This Row],[_LeafLateFinish]],WORKDAY.INTL(Tasks[[#This Row],[_LeafLateFinish]],-(Tasks[[#This Row],[Duration]]-1),WorkWeek,Holidays)))</f>
        <v>46372</v>
      </c>
      <c r="CG31"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CH31" s="99" t="b">
        <f aca="false">AND(Tasks[[#This Row],[_IsLeaf]]=1,Tasks[[#This Row],[_LeafProgress]]&lt;1,N(Tasks[[#This Row],[_LeafTotalSlack]])&lt;=CriticalSlackDays)</f>
        <v>1</v>
      </c>
      <c r="CI31" s="100" t="n">
        <f aca="false">IF(Tasks[[#This Row],[Task Name]]="","",IF(Tasks[[#This Row],[_IsSummary]],MIN(INDEX(Tasks[_LeafCalcStart],Tasks[[#This Row],[_Row]]+1):INDEX(Tasks[_LeafCalcStart],Tasks[[#This Row],[_Row]]+Tasks[[#This Row],[_Descendants]])),Tasks[[#This Row],[_LeafCalcStart]]))</f>
        <v>46372</v>
      </c>
      <c r="CJ31" s="100" t="n">
        <f aca="false">IF(Tasks[[#This Row],[Task Name]]="","",IF(Tasks[[#This Row],[_IsSummary]],MAX(INDEX(Tasks[_LeafCalcFinish],Tasks[[#This Row],[_Row]]+1):INDEX(Tasks[_LeafCalcFinish],Tasks[[#This Row],[_Row]]+Tasks[[#This Row],[_Descendants]])),Tasks[[#This Row],[_LeafCalcFinish]]))</f>
        <v>46391</v>
      </c>
      <c r="CK3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3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31"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46372</v>
      </c>
      <c r="CN31"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31"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46372</v>
      </c>
      <c r="CP31"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31" s="41" t="n">
        <f aca="false">IF(AND(Tasks[[#This Row],[_IsLeaf]]=1,Tasks[[#This Row],[_LeafWork]]&gt;0),NETWORKDAYS.INTL(ProjectStart,Tasks[[#This Row],[_LeafFcstStart]],WorkWeek,Holidays),0)</f>
        <v>73</v>
      </c>
      <c r="CR31" s="41" t="n">
        <f aca="false">IF(AND(Tasks[[#This Row],[_IsLeaf]]=1,Tasks[[#This Row],[_LeafWork]]&gt;0),MAX(Tasks[[#This Row],[_StartWorkday]],NETWORKDAYS.INTL(ProjectStart,Tasks[[#This Row],[_LeafFcstFinish]],WorkWeek,Holidays)),0)</f>
        <v>82</v>
      </c>
      <c r="CS31" s="41" t="n">
        <f aca="false">IF(AND(Tasks[[#This Row],[_IsLeaf]]=1,Tasks[[#This Row],[_LeafWork]]&gt;0),Tasks[[#This Row],[_LeafWork]]/(Tasks[[#This Row],[_FinishWorkday]]-Tasks[[#This Row],[_StartWorkday]]+1),0)</f>
        <v>4</v>
      </c>
      <c r="CT31" s="41" t="n">
        <f aca="false">Tasks[[#This Row],[_WorkPerWorkday]]*(Tasks[[#This Row],[_StartWorkday]]-1)</f>
        <v>288</v>
      </c>
      <c r="CU31" s="41" t="n">
        <f aca="false">IF(Tasks[[#This Row],[_IsLeaf]]=1,MAX(N(Tasks[[#This Row],[Duration]]),0.1),0)</f>
        <v>10</v>
      </c>
      <c r="CV31" s="41" t="n">
        <f aca="false">Tasks[[#This Row],[_WeightDur]]*Tasks[[#This Row],[_LeafProgress]]</f>
        <v>0</v>
      </c>
      <c r="CW3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25</v>
      </c>
      <c r="CX3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3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25</v>
      </c>
      <c r="CZ3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31" s="41" t="str">
        <f aca="false">IF(Tasks[[#This Row],[Task Name]]="","",Tasks[[#This Row],[_Pred1UIDText]]&amp;IF(AND(Tasks[[#This Row],[_Pred1UIDText]]&lt;&gt;"",Tasks[[#This Row],[_Pred2UIDText]]&lt;&gt;""),",","")&amp;Tasks[[#This Row],[_Pred2UIDText]])</f>
        <v>25</v>
      </c>
      <c r="DB31" s="41" t="str">
        <f aca="false">IF(AND(Tasks[[#This Row],[_IsLeaf]]=1,N(Tasks[[#This Row],[Duration]])=0,Tasks[[#This Row],[_LeafProgress]]&lt;1),Tasks[[#This Row],[_LeafFcstFinish]]+Tasks[[#This Row],[_Row]]/100000,"")</f>
        <v/>
      </c>
      <c r="DC3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31" s="41" t="n">
        <f aca="false">IF(NOT(Tasks[[#This Row],[_IsLeaf]]=1),0,IF(Tasks[[#This Row],[Baseline Cost]]="",Tasks[[#This Row],[_LeafCost]],N(Tasks[[#This Row],[Baseline Cost]])))</f>
        <v>3400</v>
      </c>
      <c r="DE31" s="41" t="n">
        <f aca="false">Tasks[[#This Row],[_LeafBudget]]*Tasks[[#This Row],[_PlannedPct]]</f>
        <v>0</v>
      </c>
      <c r="DF31" s="41" t="n">
        <f aca="false">Tasks[[#This Row],[_LeafBudget]]*Tasks[[#This Row],[_LeafProgress]]</f>
        <v>0</v>
      </c>
      <c r="DG31" s="41" t="n">
        <f aca="false">IF(NOT(Tasks[[#This Row],[_IsLeaf]]=1),0,IF(Tasks[[#This Row],[Actual Cost]]="",Tasks[[#This Row],[_LeafCost]]*Tasks[[#This Row],[_LeafProgress]],N(Tasks[[#This Row],[Actual Cost]])))</f>
        <v>0</v>
      </c>
      <c r="DH31" s="41" t="str">
        <f aca="false">IF(Tasks[[#This Row],[Task Name]]="","",LEFT(Tasks[[#This Row],[WBS]],FIND(".",Tasks[[#This Row],[WBS]]&amp;".")-1))</f>
        <v>4</v>
      </c>
      <c r="DI31" s="41" t="str">
        <f aca="false">IF(AND(Tasks[[#This Row],[Task Name]]&lt;&gt;"",Tasks[[#This Row],[_Level]]=1),Tasks[[#This Row],[_Row]],"")</f>
        <v/>
      </c>
      <c r="DJ31" s="41" t="str">
        <f aca="false">IF(AND(Tasks[[#This Row],[_IsLeaf]]=1,N(Tasks[[#This Row],[Duration]])=0),Tasks[[#This Row],[Planned Finish]]+Tasks[[#This Row],[_Row]]/100000,"")</f>
        <v/>
      </c>
      <c r="DK31" s="41" t="str">
        <f aca="false">IF(AND(Tasks[[#This Row],[_IsLeaf]]=1,Tasks[[#This Row],[_LeafProgress]]&lt;1,OR(N(Tasks[[#This Row],[Finish Var]])&gt;0,Tasks[[#This Row],[Status]]="Late Start")),MAX(0,Tasks[[#This Row],[Finish Var]])+1-Tasks[[#This Row],[_Row]]/1000000,"")</f>
        <v/>
      </c>
      <c r="DL31" s="41" t="str">
        <f aca="false">IF(AND(Tasks[[#This Row],[_IsLeaf]]=1,N(Tasks[[#This Row],[Actual Start]])=0,Tasks[[#This Row],[_LeafFcstStart]]&gt;=StatusDate,Tasks[[#This Row],[_LeafFcstStart]]&lt;=LookaheadEnd),Tasks[[#This Row],[_LeafFcstStart]]+Tasks[[#This Row],[_Row]]/100000,"")</f>
        <v/>
      </c>
      <c r="DM31" s="41" t="str">
        <f aca="false">IF(AND(Tasks[[#This Row],[_IsLeaf]]=1,Tasks[[#This Row],[_LeafProgress]]&lt;1,Tasks[[#This Row],[_LeafFcstFinish]]&gt;=StatusDate,Tasks[[#This Row],[_LeafFcstFinish]]&lt;=LookaheadEnd),Tasks[[#This Row],[_LeafFcstFinish]]+Tasks[[#This Row],[_Row]]/100000,"")</f>
        <v/>
      </c>
      <c r="DN31" s="101" t="n">
        <f aca="false">IF(Tasks[[#This Row],[_LeafCritical]],Tasks[[#This Row],[_LeafFcstStart]]+Tasks[[#This Row],[_Row]]/100000,"")</f>
        <v>46372.00026</v>
      </c>
      <c r="DO31" s="41" t="n">
        <f aca="false">Tasks[[#This Row],[_LeafWork]]*Tasks[[#This Row],[_LeafProgress]]</f>
        <v>0</v>
      </c>
      <c r="DP31" s="100" t="str">
        <f aca="false">IF(AND(Tasks[[#This Row],[_IsLeaf]]=1,Tasks[[#This Row],[_LeafProgress]]&gt;=1),IF(N(Tasks[[#This Row],[Actual Finish]])&gt;0,Tasks[[#This Row],[Actual Finish]],Tasks[[#This Row],[_LeafFcstFinish]]),"")</f>
        <v/>
      </c>
      <c r="DQ31" s="41" t="n">
        <f aca="false">IF(Tasks[[#This Row],[_IsLeaf]]=1,N(Tasks[[#This Row],[Story Points]]),0)</f>
        <v>5</v>
      </c>
      <c r="DR31" s="41" t="str">
        <f aca="false">IF(AND(Tasks[[#This Row],[_IsLeaf]]=1,CurrentSprint&lt;&gt;"",Tasks[[#This Row],[Sprint]]=CurrentSprint),Tasks[[#This Row],[_Row]],"")</f>
        <v/>
      </c>
    </row>
    <row r="32" customFormat="false" ht="15" hidden="false" customHeight="false" outlineLevel="0" collapsed="false">
      <c r="A32" s="28" t="n">
        <f aca="false">IF(Tasks[[#This Row],[Task Name]]="","",COUNTA(Tasks[[#Headers],[Task Name]]:Tasks[[#This Row],[Task Name]])-1)</f>
        <v>27</v>
      </c>
      <c r="B32" s="29" t="n">
        <v>27</v>
      </c>
      <c r="C3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5</v>
      </c>
      <c r="D32" s="29" t="n">
        <v>1</v>
      </c>
      <c r="E32" s="30" t="s">
        <v>626</v>
      </c>
      <c r="F32" s="29" t="s">
        <v>584</v>
      </c>
      <c r="G32" s="29"/>
      <c r="H32" s="29"/>
      <c r="I32" s="29"/>
      <c r="J32" s="29"/>
      <c r="K32" s="29"/>
      <c r="L32" s="29"/>
      <c r="M32" s="29"/>
      <c r="N32" s="73"/>
      <c r="O32" s="73"/>
      <c r="P32" s="25" t="n">
        <f aca="false">IF(Tasks[[#This Row],[Task Name]]="","",IF(N(Tasks[[#This Row],[Baseline Start]])&gt;0,Tasks[[#This Row],[Baseline Start]],Tasks[[#This Row],[_CalcStart]]))</f>
        <v>46342</v>
      </c>
      <c r="Q32" s="25" t="n">
        <f aca="false">IF(Tasks[[#This Row],[Task Name]]="","",IF(N(Tasks[[#This Row],[Baseline Finish]])&gt;0,Tasks[[#This Row],[Baseline Finish]],Tasks[[#This Row],[_CalcFinish]]))</f>
        <v>46393</v>
      </c>
      <c r="R32" s="73"/>
      <c r="S32" s="73"/>
      <c r="T32" s="25" t="n">
        <f aca="false">IF(Tasks[[#This Row],[Task Name]]="","",IF(Tasks[[#This Row],[_IsSummary]],MIN(INDEX(Tasks[_LeafFcstStart],Tasks[[#This Row],[_Row]]+1):INDEX(Tasks[_LeafFcstStart],Tasks[[#This Row],[_Row]]+Tasks[[#This Row],[_Descendants]])),Tasks[[#This Row],[_LeafFcstStart]]))</f>
        <v>46342</v>
      </c>
      <c r="U32" s="25" t="n">
        <f aca="false">IF(Tasks[[#This Row],[Task Name]]="","",IF(Tasks[[#This Row],[_IsSummary]],MAX(INDEX(Tasks[_LeafFcstFinish],Tasks[[#This Row],[_Row]]+1):INDEX(Tasks[_LeafFcstFinish],Tasks[[#This Row],[_Row]]+Tasks[[#This Row],[_Descendants]])),Tasks[[#This Row],[_LeafFcstFinish]]))</f>
        <v>46393</v>
      </c>
      <c r="V32"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W32"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X32" s="25" t="n">
        <f aca="false">IF(Tasks[[#This Row],[Task Name]]="","",IF(Tasks[[#This Row],[_IsSummary]],MIN(INDEX(Tasks[_LeafLateStart],Tasks[[#This Row],[_Row]]+1):INDEX(Tasks[_LeafLateStart],Tasks[[#This Row],[_Row]]+Tasks[[#This Row],[_Descendants]])),Tasks[[#This Row],[_LeafLateStart]]))</f>
        <v>46392</v>
      </c>
      <c r="Y32" s="25" t="n">
        <f aca="false">IF(Tasks[[#This Row],[Task Name]]="","",IF(Tasks[[#This Row],[_IsSummary]],MAX(INDEX(Tasks[_LeafLateFinish],Tasks[[#This Row],[_Row]]+1):INDEX(Tasks[_LeafLateFinish],Tasks[[#This Row],[_Row]]+Tasks[[#This Row],[_Descendants]])),Tasks[[#This Row],[_LeafLateFinish]]))</f>
        <v>46393</v>
      </c>
      <c r="Z32" s="43" t="n">
        <f aca="false">IF(Tasks[[#This Row],[Task Name]]="","",IF(Tasks[[#This Row],[_IsSummary]],MIN(INDEX(Tasks[_LeafTotalSlack],Tasks[[#This Row],[_Row]]+1):INDEX(Tasks[_LeafTotalSlack],Tasks[[#This Row],[_Row]]+Tasks[[#This Row],[_Descendants]])),Tasks[[#This Row],[_LeafTotalSlack]]))</f>
        <v>0</v>
      </c>
      <c r="AA3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2" s="28" t="str">
        <f aca="false">IF(Tasks[[#This Row],[Task Name]]="","",IF(IF(Tasks[[#This Row],[_IsSummary]],COUNTIF(INDEX(Tasks[_LeafCritical],Tasks[[#This Row],[_Row]]+1):INDEX(Tasks[_LeafCritical],Tasks[[#This Row],[_Row]]+Tasks[[#This Row],[_Descendants]]),TRUE())&gt;0,Tasks[[#This Row],[_LeafCritical]]),"Yes",""))</f>
        <v>Yes</v>
      </c>
      <c r="AC3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2" s="24" t="str">
        <f aca="false">IF(Tasks[[#This Row],[Task Name]]="","",TRIM(IF(Tasks[[#This Row],[_Pred1Problem]]&lt;&gt;"","Pred 1: "&amp;Tasks[[#This Row],[_Pred1Problem]]&amp;". ","")&amp;IF(Tasks[[#This Row],[_Pred2Problem]]&lt;&gt;"","Pred 2: "&amp;Tasks[[#This Row],[_Pred2Problem]]&amp;".","")))</f>
        <v/>
      </c>
      <c r="AE32" s="88"/>
      <c r="AF32"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32" s="28" t="str">
        <f aca="false">IF(Tasks[[#This Row],[Task Name]]="","",IF(Tasks[[#This Row],[Progress]]&gt;=1,"Complete",IF(OR(N(Tasks[[#This Row],[Actual Start]])&gt;0,Tasks[[#This Row],[Progress]]&gt;0),IF(Tasks[[#This Row],[Finish Var]]&gt;0,"Behind","In Progress"),IF(Tasks[[#This Row],[Planned Start]]&lt;StatusDate,"Late Start","Not Started"))))</f>
        <v>Not Started</v>
      </c>
      <c r="AH32" s="30"/>
      <c r="AI32" s="88"/>
      <c r="AJ32" s="95" t="n">
        <f aca="false">IF(Tasks[[#This Row],[Task Name]]="","",IF(Tasks[[#This Row],[_IsSummary]],SUM(INDEX(Tasks[_LeafWork],Tasks[[#This Row],[_Row]]+1):INDEX(Tasks[_LeafWork],Tasks[[#This Row],[_Row]]+Tasks[[#This Row],[_Descendants]])),Tasks[[#This Row],[_LeafWork]]))</f>
        <v>24</v>
      </c>
      <c r="AK32" s="96" t="n">
        <f aca="false">IF(Tasks[[#This Row],[Task Name]]="","",IF(Tasks[[#This Row],[_IsSummary]],SUM(INDEX(Tasks[_LeafCost],Tasks[[#This Row],[_Row]]+1):INDEX(Tasks[_LeafCost],Tasks[[#This Row],[_Row]]+Tasks[[#This Row],[_Descendants]])),Tasks[[#This Row],[_LeafCost]]))</f>
        <v>2280</v>
      </c>
      <c r="AL32" s="97"/>
      <c r="AM32" s="29"/>
      <c r="AN3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32" s="82"/>
      <c r="AP32" s="24" t="str">
        <f aca="false">IF(Tasks[[#This Row],[Task Name]]="","",Tasks[[#This Row],[_Pred1IDText]]&amp;IF(AND(Tasks[[#This Row],[_Pred1IDText]]&lt;&gt;"",Tasks[[#This Row],[_Pred2IDText]]&lt;&gt;""),",","")&amp;Tasks[[#This Row],[_Pred2IDText]])</f>
        <v/>
      </c>
      <c r="AQ32" s="30"/>
      <c r="AR32" s="25" t="n">
        <f aca="false">IF(Tasks[[#This Row],[Task Name]]="","",Tasks[[#This Row],[Forecast Start]])</f>
        <v>46342</v>
      </c>
      <c r="AS32" s="25" t="n">
        <f aca="false">IF(Tasks[[#This Row],[Task Name]]="","",Tasks[[#This Row],[Forecast Finish]])</f>
        <v>46393</v>
      </c>
      <c r="AT32" s="28" t="n">
        <f aca="false">IF(Tasks[[#This Row],[Task Name]]="","",IF(Tasks[[#This Row],[_IsSummary]],NETWORKDAYS.INTL(Tasks[[#This Row],[Forecast Start]],Tasks[[#This Row],[Forecast Finish]],WorkWeek,Holidays),N(Tasks[[#This Row],[Duration]])))</f>
        <v>34</v>
      </c>
      <c r="AU32" s="95" t="n">
        <f aca="false">IF(Tasks[[#This Row],[Task Name]]="","",Tasks[[#This Row],[Work]])</f>
        <v>24</v>
      </c>
      <c r="AV32" s="96" t="n">
        <f aca="false">IF(Tasks[[#This Row],[Task Name]]="","",Tasks[[#This Row],[Cost]])</f>
        <v>2280</v>
      </c>
      <c r="AW32" s="73"/>
      <c r="AX32" s="73"/>
      <c r="AY32" s="29"/>
      <c r="AZ32" s="98"/>
      <c r="BA32" s="97"/>
      <c r="BB32" s="28" t="str">
        <f aca="false">IF(OR(Tasks[[#This Row],[Task Name]]="",Tasks[[#This Row],[Baseline Duration]]=""),"",Tasks[[#This Row],[BL Source Duration]]-N(Tasks[[#This Row],[Baseline Duration]]))</f>
        <v/>
      </c>
      <c r="BC32" s="95" t="str">
        <f aca="false">IF(OR(Tasks[[#This Row],[Task Name]]="",Tasks[[#This Row],[Baseline Work]]=""),"",Tasks[[#This Row],[Work]]-N(Tasks[[#This Row],[Baseline Work]]))</f>
        <v/>
      </c>
      <c r="BD32" s="96" t="str">
        <f aca="false">IF(OR(Tasks[[#This Row],[Task Name]]="",Tasks[[#This Row],[Baseline Cost]]=""),"",Tasks[[#This Row],[Cost]]-N(Tasks[[#This Row],[Baseline Cost]]))</f>
        <v/>
      </c>
      <c r="BE32" s="96" t="n">
        <f aca="false">IF(Tasks[[#This Row],[Task Name]]="","",IF(Tasks[[#This Row],[_IsSummary]],SUM(INDEX(Tasks[_LeafBudget],Tasks[[#This Row],[_Row]]+1):INDEX(Tasks[_LeafBudget],Tasks[[#This Row],[_Row]]+Tasks[[#This Row],[_Descendants]])),Tasks[[#This Row],[_LeafBudget]]))</f>
        <v>2280</v>
      </c>
      <c r="BF32" s="96" t="n">
        <f aca="false">IF(Tasks[[#This Row],[Task Name]]="","",IF(Tasks[[#This Row],[_IsSummary]],SUM(INDEX(Tasks[_LeafPV],Tasks[[#This Row],[_Row]]+1):INDEX(Tasks[_LeafPV],Tasks[[#This Row],[_Row]]+Tasks[[#This Row],[_Descendants]])),Tasks[[#This Row],[_LeafPV]]))</f>
        <v>0</v>
      </c>
      <c r="BG32" s="96" t="n">
        <f aca="false">IF(Tasks[[#This Row],[Task Name]]="","",IF(Tasks[[#This Row],[_IsSummary]],SUM(INDEX(Tasks[_LeafEV],Tasks[[#This Row],[_Row]]+1):INDEX(Tasks[_LeafEV],Tasks[[#This Row],[_Row]]+Tasks[[#This Row],[_Descendants]])),Tasks[[#This Row],[_LeafEV]]))</f>
        <v>0</v>
      </c>
      <c r="BH32" s="96" t="n">
        <f aca="false">IF(Tasks[[#This Row],[Task Name]]="","",IF(Tasks[[#This Row],[_IsSummary]],SUM(INDEX(Tasks[_LeafAC],Tasks[[#This Row],[_Row]]+1):INDEX(Tasks[_LeafAC],Tasks[[#This Row],[_Row]]+Tasks[[#This Row],[_Descendants]])),Tasks[[#This Row],[_LeafAC]]))</f>
        <v>0</v>
      </c>
      <c r="BI32" s="41" t="n">
        <f aca="false">IF(Tasks[[#This Row],[Task Name]]="","",MAX(1,N(Tasks[[#This Row],[Level]])))</f>
        <v>1</v>
      </c>
      <c r="BJ32" s="41" t="n">
        <f aca="false">ROW()-ROW(Tasks[[#Headers],[ID]])</f>
        <v>27</v>
      </c>
      <c r="BK32" s="41" t="n">
        <f aca="false">IF(OR(Tasks[[#This Row],[Task Name]]="",Tasks[[#This Row],[_Level]]&lt;=1),0,IFERROR(LOOKUP(2,1/(Tasks[[#Headers],[_Level]]:Tasks[[#This Row],[_Level]]=Tasks[[#This Row],[_Level]]-1),ROW(Tasks[[#Headers],[_Level]]:Tasks[[#This Row],[_Level]])),0))</f>
        <v>0</v>
      </c>
      <c r="BL32" s="41" t="n">
        <f aca="false">IFERROR(N(INDEX(Tasks[_Level],Tasks[[#This Row],[_Row]]+1)),0)</f>
        <v>2</v>
      </c>
      <c r="BM32" s="99" t="b">
        <f aca="false">AND(Tasks[[#This Row],[Task Name]]&lt;&gt;"",Tasks[[#This Row],[_NextLevel]]&gt;Tasks[[#This Row],[_Level]])</f>
        <v>1</v>
      </c>
      <c r="BN32" s="41" t="n">
        <f aca="false">IF(Tasks[[#This Row],[_IsSummary]],COUNTIF(Tasks[WBS],Tasks[[#This Row],[WBS]]&amp;".*"),0)</f>
        <v>3</v>
      </c>
      <c r="BO32" s="41" t="n">
        <f aca="false">IF(AND(Tasks[[#This Row],[Task Name]]&lt;&gt;"",NOT(Tasks[[#This Row],[_IsSummary]])),1,0)</f>
        <v>0</v>
      </c>
      <c r="BP32" s="41" t="n">
        <f aca="false">IF(N(Tasks[[#This Row],[Pred1 UID]])=0,0,IFERROR(MATCH(Tasks[[#This Row],[Pred1 UID]],Tasks[UID],0),-1))</f>
        <v>0</v>
      </c>
      <c r="BQ32" s="41" t="n">
        <f aca="false">IF(N(Tasks[[#This Row],[Pred2 UID]])=0,0,IFERROR(MATCH(Tasks[[#This Row],[Pred2 UID]],Tasks[UID],0),-1))</f>
        <v>0</v>
      </c>
      <c r="BR32"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32" s="100" t="str">
        <f aca="false">IF(NOT(Tasks[[#This Row],[_IsLeaf]]=1),"",IF(N(Tasks[[#This Row],[Duration]])&lt;=0,Tasks[[#This Row],[_LeafCalcStart]],WORKDAY.INTL(Tasks[[#This Row],[_LeafCalcStart]],Tasks[[#This Row],[Duration]]-1,WorkWeek,Holidays)))</f>
        <v/>
      </c>
      <c r="BT32"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32"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32" s="41" t="n">
        <f aca="false">IF(NOT(Tasks[[#This Row],[_IsLeaf]]=1),0,IF(N(Tasks[[#This Row],[Actual Finish]])&gt;0,1,MIN(1,N(Tasks[[#This Row],[% Complete]]))))</f>
        <v>0</v>
      </c>
      <c r="BW32" s="41" t="n">
        <f aca="false">IF(OR(NOT(Tasks[[#This Row],[_IsLeaf]]=1),Tasks[[#This Row],[Resource]]=""),0,N(Tasks[[#This Row],[Duration]])*HoursPerDay*IF(Tasks[[#This Row],[Units]]="",DefaultUnits,Tasks[[#This Row],[Units]]))</f>
        <v>0</v>
      </c>
      <c r="BX32" s="41" t="n">
        <f aca="false">IF(Tasks[[#This Row],[_LeafWork]]=0,0,Tasks[[#This Row],[_LeafWork]]*IFERROR(INDEX(res_Rate,MATCH(Tasks[[#This Row],[Resource]],res_Name,0)),0))</f>
        <v>0</v>
      </c>
      <c r="BY3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3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3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3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32" s="41" t="n">
        <f aca="false">IF(NOT(Tasks[[#This Row],[_IsLeaf]]=1),0,MAX(_xlfn.MAXIFS(Tasks[_Row],Tasks[Pred1 UID],Tasks[[#This Row],[UID]]),_xlfn.MAXIFS(Tasks[_Row],Tasks[Pred2 UID],Tasks[[#This Row],[UID]])))</f>
        <v>0</v>
      </c>
      <c r="CD32"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32" s="100" t="str">
        <f aca="false">IF(NOT(Tasks[[#This Row],[_IsLeaf]]=1),"",MIN(ProjectFinish,IF(N(Tasks[[#This Row],[Deadline]])&gt;0,Tasks[[#This Row],[Deadline]],2958465),Tasks[[#This Row],[_SuccessorFinishLimit]]))</f>
        <v/>
      </c>
      <c r="CF32" s="100" t="str">
        <f aca="false">IF(NOT(Tasks[[#This Row],[_IsLeaf]]=1),"",IF(N(Tasks[[#This Row],[Duration]])&lt;=0,Tasks[[#This Row],[_LeafLateFinish]],WORKDAY.INTL(Tasks[[#This Row],[_LeafLateFinish]],-(Tasks[[#This Row],[Duration]]-1),WorkWeek,Holidays)))</f>
        <v/>
      </c>
      <c r="CG3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32" s="99" t="b">
        <f aca="false">AND(Tasks[[#This Row],[_IsLeaf]]=1,Tasks[[#This Row],[_LeafProgress]]&lt;1,N(Tasks[[#This Row],[_LeafTotalSlack]])&lt;=CriticalSlackDays)</f>
        <v>0</v>
      </c>
      <c r="CI32" s="100" t="n">
        <f aca="false">IF(Tasks[[#This Row],[Task Name]]="","",IF(Tasks[[#This Row],[_IsSummary]],MIN(INDEX(Tasks[_LeafCalcStart],Tasks[[#This Row],[_Row]]+1):INDEX(Tasks[_LeafCalcStart],Tasks[[#This Row],[_Row]]+Tasks[[#This Row],[_Descendants]])),Tasks[[#This Row],[_LeafCalcStart]]))</f>
        <v>46342</v>
      </c>
      <c r="CJ32" s="100" t="n">
        <f aca="false">IF(Tasks[[#This Row],[Task Name]]="","",IF(Tasks[[#This Row],[_IsSummary]],MAX(INDEX(Tasks[_LeafCalcFinish],Tasks[[#This Row],[_Row]]+1):INDEX(Tasks[_LeafCalcFinish],Tasks[[#This Row],[_Row]]+Tasks[[#This Row],[_Descendants]])),Tasks[[#This Row],[_LeafCalcFinish]]))</f>
        <v>46393</v>
      </c>
      <c r="CK3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3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32"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32"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32"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32"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32" s="41" t="n">
        <f aca="false">IF(AND(Tasks[[#This Row],[_IsLeaf]]=1,Tasks[[#This Row],[_LeafWork]]&gt;0),NETWORKDAYS.INTL(ProjectStart,Tasks[[#This Row],[_LeafFcstStart]],WorkWeek,Holidays),0)</f>
        <v>0</v>
      </c>
      <c r="CR32" s="41" t="n">
        <f aca="false">IF(AND(Tasks[[#This Row],[_IsLeaf]]=1,Tasks[[#This Row],[_LeafWork]]&gt;0),MAX(Tasks[[#This Row],[_StartWorkday]],NETWORKDAYS.INTL(ProjectStart,Tasks[[#This Row],[_LeafFcstFinish]],WorkWeek,Holidays)),0)</f>
        <v>0</v>
      </c>
      <c r="CS32" s="41" t="n">
        <f aca="false">IF(AND(Tasks[[#This Row],[_IsLeaf]]=1,Tasks[[#This Row],[_LeafWork]]&gt;0),Tasks[[#This Row],[_LeafWork]]/(Tasks[[#This Row],[_FinishWorkday]]-Tasks[[#This Row],[_StartWorkday]]+1),0)</f>
        <v>0</v>
      </c>
      <c r="CT32" s="41" t="n">
        <f aca="false">Tasks[[#This Row],[_WorkPerWorkday]]*(Tasks[[#This Row],[_StartWorkday]]-1)</f>
        <v>-0</v>
      </c>
      <c r="CU32" s="41" t="n">
        <f aca="false">IF(Tasks[[#This Row],[_IsLeaf]]=1,MAX(N(Tasks[[#This Row],[Duration]]),0.1),0)</f>
        <v>0</v>
      </c>
      <c r="CV32" s="41" t="n">
        <f aca="false">Tasks[[#This Row],[_WeightDur]]*Tasks[[#This Row],[_LeafProgress]]</f>
        <v>0</v>
      </c>
      <c r="CW3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3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3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3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32" s="41" t="str">
        <f aca="false">IF(Tasks[[#This Row],[Task Name]]="","",Tasks[[#This Row],[_Pred1UIDText]]&amp;IF(AND(Tasks[[#This Row],[_Pred1UIDText]]&lt;&gt;"",Tasks[[#This Row],[_Pred2UIDText]]&lt;&gt;""),",","")&amp;Tasks[[#This Row],[_Pred2UIDText]])</f>
        <v/>
      </c>
      <c r="DB32" s="41" t="str">
        <f aca="false">IF(AND(Tasks[[#This Row],[_IsLeaf]]=1,N(Tasks[[#This Row],[Duration]])=0,Tasks[[#This Row],[_LeafProgress]]&lt;1),Tasks[[#This Row],[_LeafFcstFinish]]+Tasks[[#This Row],[_Row]]/100000,"")</f>
        <v/>
      </c>
      <c r="DC3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32" s="41" t="n">
        <f aca="false">IF(NOT(Tasks[[#This Row],[_IsLeaf]]=1),0,IF(Tasks[[#This Row],[Baseline Cost]]="",Tasks[[#This Row],[_LeafCost]],N(Tasks[[#This Row],[Baseline Cost]])))</f>
        <v>0</v>
      </c>
      <c r="DE32" s="41" t="n">
        <f aca="false">Tasks[[#This Row],[_LeafBudget]]*Tasks[[#This Row],[_PlannedPct]]</f>
        <v>0</v>
      </c>
      <c r="DF32" s="41" t="n">
        <f aca="false">Tasks[[#This Row],[_LeafBudget]]*Tasks[[#This Row],[_LeafProgress]]</f>
        <v>0</v>
      </c>
      <c r="DG32" s="41" t="n">
        <f aca="false">IF(NOT(Tasks[[#This Row],[_IsLeaf]]=1),0,IF(Tasks[[#This Row],[Actual Cost]]="",Tasks[[#This Row],[_LeafCost]]*Tasks[[#This Row],[_LeafProgress]],N(Tasks[[#This Row],[Actual Cost]])))</f>
        <v>0</v>
      </c>
      <c r="DH32" s="41" t="str">
        <f aca="false">IF(Tasks[[#This Row],[Task Name]]="","",LEFT(Tasks[[#This Row],[WBS]],FIND(".",Tasks[[#This Row],[WBS]]&amp;".")-1))</f>
        <v>5</v>
      </c>
      <c r="DI32" s="41" t="n">
        <f aca="false">IF(AND(Tasks[[#This Row],[Task Name]]&lt;&gt;"",Tasks[[#This Row],[_Level]]=1),Tasks[[#This Row],[_Row]],"")</f>
        <v>27</v>
      </c>
      <c r="DJ32" s="41" t="str">
        <f aca="false">IF(AND(Tasks[[#This Row],[_IsLeaf]]=1,N(Tasks[[#This Row],[Duration]])=0),Tasks[[#This Row],[Planned Finish]]+Tasks[[#This Row],[_Row]]/100000,"")</f>
        <v/>
      </c>
      <c r="DK32" s="41" t="str">
        <f aca="false">IF(AND(Tasks[[#This Row],[_IsLeaf]]=1,Tasks[[#This Row],[_LeafProgress]]&lt;1,OR(N(Tasks[[#This Row],[Finish Var]])&gt;0,Tasks[[#This Row],[Status]]="Late Start")),MAX(0,Tasks[[#This Row],[Finish Var]])+1-Tasks[[#This Row],[_Row]]/1000000,"")</f>
        <v/>
      </c>
      <c r="DL32" s="41" t="str">
        <f aca="false">IF(AND(Tasks[[#This Row],[_IsLeaf]]=1,N(Tasks[[#This Row],[Actual Start]])=0,Tasks[[#This Row],[_LeafFcstStart]]&gt;=StatusDate,Tasks[[#This Row],[_LeafFcstStart]]&lt;=LookaheadEnd),Tasks[[#This Row],[_LeafFcstStart]]+Tasks[[#This Row],[_Row]]/100000,"")</f>
        <v/>
      </c>
      <c r="DM32" s="41" t="str">
        <f aca="false">IF(AND(Tasks[[#This Row],[_IsLeaf]]=1,Tasks[[#This Row],[_LeafProgress]]&lt;1,Tasks[[#This Row],[_LeafFcstFinish]]&gt;=StatusDate,Tasks[[#This Row],[_LeafFcstFinish]]&lt;=LookaheadEnd),Tasks[[#This Row],[_LeafFcstFinish]]+Tasks[[#This Row],[_Row]]/100000,"")</f>
        <v/>
      </c>
      <c r="DN32" s="41" t="str">
        <f aca="false">IF(Tasks[[#This Row],[_LeafCritical]],Tasks[[#This Row],[_LeafFcstStart]]+Tasks[[#This Row],[_Row]]/100000,"")</f>
        <v/>
      </c>
      <c r="DO32" s="41" t="n">
        <f aca="false">Tasks[[#This Row],[_LeafWork]]*Tasks[[#This Row],[_LeafProgress]]</f>
        <v>0</v>
      </c>
      <c r="DP32" s="100" t="str">
        <f aca="false">IF(AND(Tasks[[#This Row],[_IsLeaf]]=1,Tasks[[#This Row],[_LeafProgress]]&gt;=1),IF(N(Tasks[[#This Row],[Actual Finish]])&gt;0,Tasks[[#This Row],[Actual Finish]],Tasks[[#This Row],[_LeafFcstFinish]]),"")</f>
        <v/>
      </c>
      <c r="DQ32" s="41" t="n">
        <f aca="false">IF(Tasks[[#This Row],[_IsLeaf]]=1,N(Tasks[[#This Row],[Story Points]]),0)</f>
        <v>0</v>
      </c>
      <c r="DR32" s="41" t="str">
        <f aca="false">IF(AND(Tasks[[#This Row],[_IsLeaf]]=1,CurrentSprint&lt;&gt;"",Tasks[[#This Row],[Sprint]]=CurrentSprint),Tasks[[#This Row],[_Row]],"")</f>
        <v/>
      </c>
    </row>
    <row r="33" customFormat="false" ht="15" hidden="false" customHeight="false" outlineLevel="0" collapsed="false">
      <c r="A33" s="28" t="n">
        <f aca="false">IF(Tasks[[#This Row],[Task Name]]="","",COUNTA(Tasks[[#Headers],[Task Name]]:Tasks[[#This Row],[Task Name]])-1)</f>
        <v>28</v>
      </c>
      <c r="B33" s="29" t="n">
        <v>28</v>
      </c>
      <c r="C3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5.1</v>
      </c>
      <c r="D33" s="29" t="n">
        <v>2</v>
      </c>
      <c r="E33" s="30" t="s">
        <v>627</v>
      </c>
      <c r="F33" s="29" t="s">
        <v>628</v>
      </c>
      <c r="G33" s="29" t="n">
        <v>1</v>
      </c>
      <c r="H33" s="29"/>
      <c r="I33" s="29"/>
      <c r="J33" s="29"/>
      <c r="K33" s="29"/>
      <c r="L33" s="29"/>
      <c r="M33" s="29"/>
      <c r="N33" s="73" t="n">
        <v>46342</v>
      </c>
      <c r="O33" s="73"/>
      <c r="P33" s="25" t="n">
        <f aca="false">IF(Tasks[[#This Row],[Task Name]]="","",IF(N(Tasks[[#This Row],[Baseline Start]])&gt;0,Tasks[[#This Row],[Baseline Start]],Tasks[[#This Row],[_CalcStart]]))</f>
        <v>46342</v>
      </c>
      <c r="Q33" s="25" t="n">
        <f aca="false">IF(Tasks[[#This Row],[Task Name]]="","",IF(N(Tasks[[#This Row],[Baseline Finish]])&gt;0,Tasks[[#This Row],[Baseline Finish]],Tasks[[#This Row],[_CalcFinish]]))</f>
        <v>46342</v>
      </c>
      <c r="R33" s="73"/>
      <c r="S33" s="73"/>
      <c r="T33" s="25" t="n">
        <f aca="false">IF(Tasks[[#This Row],[Task Name]]="","",IF(Tasks[[#This Row],[_IsSummary]],MIN(INDEX(Tasks[_LeafFcstStart],Tasks[[#This Row],[_Row]]+1):INDEX(Tasks[_LeafFcstStart],Tasks[[#This Row],[_Row]]+Tasks[[#This Row],[_Descendants]])),Tasks[[#This Row],[_LeafFcstStart]]))</f>
        <v>46342</v>
      </c>
      <c r="U33" s="25" t="n">
        <f aca="false">IF(Tasks[[#This Row],[Task Name]]="","",IF(Tasks[[#This Row],[_IsSummary]],MAX(INDEX(Tasks[_LeafFcstFinish],Tasks[[#This Row],[_Row]]+1):INDEX(Tasks[_LeafFcstFinish],Tasks[[#This Row],[_Row]]+Tasks[[#This Row],[_Descendants]])),Tasks[[#This Row],[_LeafFcstFinish]]))</f>
        <v>46342</v>
      </c>
      <c r="V33"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W33"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X33" s="25" t="n">
        <f aca="false">IF(Tasks[[#This Row],[Task Name]]="","",IF(Tasks[[#This Row],[_IsSummary]],MIN(INDEX(Tasks[_LeafLateStart],Tasks[[#This Row],[_Row]]+1):INDEX(Tasks[_LeafLateStart],Tasks[[#This Row],[_Row]]+Tasks[[#This Row],[_Descendants]])),Tasks[[#This Row],[_LeafLateStart]]))</f>
        <v>46393</v>
      </c>
      <c r="Y33" s="25" t="n">
        <f aca="false">IF(Tasks[[#This Row],[Task Name]]="","",IF(Tasks[[#This Row],[_IsSummary]],MAX(INDEX(Tasks[_LeafLateFinish],Tasks[[#This Row],[_Row]]+1):INDEX(Tasks[_LeafLateFinish],Tasks[[#This Row],[_Row]]+Tasks[[#This Row],[_Descendants]])),Tasks[[#This Row],[_LeafLateFinish]]))</f>
        <v>46393</v>
      </c>
      <c r="Z33" s="43" t="n">
        <f aca="false">IF(Tasks[[#This Row],[Task Name]]="","",IF(Tasks[[#This Row],[_IsSummary]],MIN(INDEX(Tasks[_LeafTotalSlack],Tasks[[#This Row],[_Row]]+1):INDEX(Tasks[_LeafTotalSlack],Tasks[[#This Row],[_Row]]+Tasks[[#This Row],[_Descendants]])),Tasks[[#This Row],[_LeafTotalSlack]]))</f>
        <v>33</v>
      </c>
      <c r="AA33"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33</v>
      </c>
      <c r="AB33" s="28" t="str">
        <f aca="false">IF(Tasks[[#This Row],[Task Name]]="","",IF(IF(Tasks[[#This Row],[_IsSummary]],COUNTIF(INDEX(Tasks[_LeafCritical],Tasks[[#This Row],[_Row]]+1):INDEX(Tasks[_LeafCritical],Tasks[[#This Row],[_Row]]+Tasks[[#This Row],[_Descendants]]),TRUE())&gt;0,Tasks[[#This Row],[_LeafCritical]]),"Yes",""))</f>
        <v/>
      </c>
      <c r="AC3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3" s="24" t="str">
        <f aca="false">IF(Tasks[[#This Row],[Task Name]]="","",TRIM(IF(Tasks[[#This Row],[_Pred1Problem]]&lt;&gt;"","Pred 1: "&amp;Tasks[[#This Row],[_Pred1Problem]]&amp;". ","")&amp;IF(Tasks[[#This Row],[_Pred2Problem]]&lt;&gt;"","Pred 2: "&amp;Tasks[[#This Row],[_Pred2Problem]]&amp;".","")))</f>
        <v/>
      </c>
      <c r="AE33" s="88"/>
      <c r="AF33"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33" s="28" t="str">
        <f aca="false">IF(Tasks[[#This Row],[Task Name]]="","",IF(Tasks[[#This Row],[Progress]]&gt;=1,"Complete",IF(OR(N(Tasks[[#This Row],[Actual Start]])&gt;0,Tasks[[#This Row],[Progress]]&gt;0),IF(Tasks[[#This Row],[Finish Var]]&gt;0,"Behind","In Progress"),IF(Tasks[[#This Row],[Planned Start]]&lt;StatusDate,"Late Start","Not Started"))))</f>
        <v>Not Started</v>
      </c>
      <c r="AH33" s="30" t="s">
        <v>285</v>
      </c>
      <c r="AI33" s="88"/>
      <c r="AJ33" s="95" t="n">
        <f aca="false">IF(Tasks[[#This Row],[Task Name]]="","",IF(Tasks[[#This Row],[_IsSummary]],SUM(INDEX(Tasks[_LeafWork],Tasks[[#This Row],[_Row]]+1):INDEX(Tasks[_LeafWork],Tasks[[#This Row],[_Row]]+Tasks[[#This Row],[_Descendants]])),Tasks[[#This Row],[_LeafWork]]))</f>
        <v>8</v>
      </c>
      <c r="AK33" s="96" t="n">
        <f aca="false">IF(Tasks[[#This Row],[Task Name]]="","",IF(Tasks[[#This Row],[_IsSummary]],SUM(INDEX(Tasks[_LeafCost],Tasks[[#This Row],[_Row]]+1):INDEX(Tasks[_LeafCost],Tasks[[#This Row],[_Row]]+Tasks[[#This Row],[_Descendants]])),Tasks[[#This Row],[_LeafCost]]))</f>
        <v>760</v>
      </c>
      <c r="AL33" s="97"/>
      <c r="AM33" s="29"/>
      <c r="AN3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6</v>
      </c>
      <c r="AO33" s="82" t="n">
        <v>1</v>
      </c>
      <c r="AP33" s="24" t="str">
        <f aca="false">IF(Tasks[[#This Row],[Task Name]]="","",Tasks[[#This Row],[_Pred1IDText]]&amp;IF(AND(Tasks[[#This Row],[_Pred1IDText]]&lt;&gt;"",Tasks[[#This Row],[_Pred2IDText]]&lt;&gt;""),",","")&amp;Tasks[[#This Row],[_Pred2IDText]])</f>
        <v/>
      </c>
      <c r="AQ33" s="30" t="s">
        <v>629</v>
      </c>
      <c r="AR33" s="25" t="n">
        <f aca="false">IF(Tasks[[#This Row],[Task Name]]="","",Tasks[[#This Row],[Forecast Start]])</f>
        <v>46342</v>
      </c>
      <c r="AS33" s="25" t="n">
        <f aca="false">IF(Tasks[[#This Row],[Task Name]]="","",Tasks[[#This Row],[Forecast Finish]])</f>
        <v>46342</v>
      </c>
      <c r="AT33" s="28" t="n">
        <f aca="false">IF(Tasks[[#This Row],[Task Name]]="","",IF(Tasks[[#This Row],[_IsSummary]],NETWORKDAYS.INTL(Tasks[[#This Row],[Forecast Start]],Tasks[[#This Row],[Forecast Finish]],WorkWeek,Holidays),N(Tasks[[#This Row],[Duration]])))</f>
        <v>1</v>
      </c>
      <c r="AU33" s="95" t="n">
        <f aca="false">IF(Tasks[[#This Row],[Task Name]]="","",Tasks[[#This Row],[Work]])</f>
        <v>8</v>
      </c>
      <c r="AV33" s="96" t="n">
        <f aca="false">IF(Tasks[[#This Row],[Task Name]]="","",Tasks[[#This Row],[Cost]])</f>
        <v>760</v>
      </c>
      <c r="AW33" s="73"/>
      <c r="AX33" s="73"/>
      <c r="AY33" s="29"/>
      <c r="AZ33" s="98"/>
      <c r="BA33" s="97"/>
      <c r="BB33" s="28" t="str">
        <f aca="false">IF(OR(Tasks[[#This Row],[Task Name]]="",Tasks[[#This Row],[Baseline Duration]]=""),"",Tasks[[#This Row],[BL Source Duration]]-N(Tasks[[#This Row],[Baseline Duration]]))</f>
        <v/>
      </c>
      <c r="BC33" s="95" t="str">
        <f aca="false">IF(OR(Tasks[[#This Row],[Task Name]]="",Tasks[[#This Row],[Baseline Work]]=""),"",Tasks[[#This Row],[Work]]-N(Tasks[[#This Row],[Baseline Work]]))</f>
        <v/>
      </c>
      <c r="BD33" s="96" t="str">
        <f aca="false">IF(OR(Tasks[[#This Row],[Task Name]]="",Tasks[[#This Row],[Baseline Cost]]=""),"",Tasks[[#This Row],[Cost]]-N(Tasks[[#This Row],[Baseline Cost]]))</f>
        <v/>
      </c>
      <c r="BE33" s="96" t="n">
        <f aca="false">IF(Tasks[[#This Row],[Task Name]]="","",IF(Tasks[[#This Row],[_IsSummary]],SUM(INDEX(Tasks[_LeafBudget],Tasks[[#This Row],[_Row]]+1):INDEX(Tasks[_LeafBudget],Tasks[[#This Row],[_Row]]+Tasks[[#This Row],[_Descendants]])),Tasks[[#This Row],[_LeafBudget]]))</f>
        <v>760</v>
      </c>
      <c r="BF33" s="96" t="n">
        <f aca="false">IF(Tasks[[#This Row],[Task Name]]="","",IF(Tasks[[#This Row],[_IsSummary]],SUM(INDEX(Tasks[_LeafPV],Tasks[[#This Row],[_Row]]+1):INDEX(Tasks[_LeafPV],Tasks[[#This Row],[_Row]]+Tasks[[#This Row],[_Descendants]])),Tasks[[#This Row],[_LeafPV]]))</f>
        <v>0</v>
      </c>
      <c r="BG33" s="96" t="n">
        <f aca="false">IF(Tasks[[#This Row],[Task Name]]="","",IF(Tasks[[#This Row],[_IsSummary]],SUM(INDEX(Tasks[_LeafEV],Tasks[[#This Row],[_Row]]+1):INDEX(Tasks[_LeafEV],Tasks[[#This Row],[_Row]]+Tasks[[#This Row],[_Descendants]])),Tasks[[#This Row],[_LeafEV]]))</f>
        <v>0</v>
      </c>
      <c r="BH33" s="96" t="n">
        <f aca="false">IF(Tasks[[#This Row],[Task Name]]="","",IF(Tasks[[#This Row],[_IsSummary]],SUM(INDEX(Tasks[_LeafAC],Tasks[[#This Row],[_Row]]+1):INDEX(Tasks[_LeafAC],Tasks[[#This Row],[_Row]]+Tasks[[#This Row],[_Descendants]])),Tasks[[#This Row],[_LeafAC]]))</f>
        <v>0</v>
      </c>
      <c r="BI33" s="41" t="n">
        <f aca="false">IF(Tasks[[#This Row],[Task Name]]="","",MAX(1,N(Tasks[[#This Row],[Level]])))</f>
        <v>2</v>
      </c>
      <c r="BJ33" s="41" t="n">
        <f aca="false">ROW()-ROW(Tasks[[#Headers],[ID]])</f>
        <v>28</v>
      </c>
      <c r="BK33" s="41" t="n">
        <f aca="false">IF(OR(Tasks[[#This Row],[Task Name]]="",Tasks[[#This Row],[_Level]]&lt;=1),0,IFERROR(LOOKUP(2,1/(Tasks[[#Headers],[_Level]]:Tasks[[#This Row],[_Level]]=Tasks[[#This Row],[_Level]]-1),ROW(Tasks[[#Headers],[_Level]]:Tasks[[#This Row],[_Level]])),0))</f>
        <v>32</v>
      </c>
      <c r="BL33" s="41" t="n">
        <f aca="false">IFERROR(N(INDEX(Tasks[_Level],Tasks[[#This Row],[_Row]]+1)),0)</f>
        <v>2</v>
      </c>
      <c r="BM33" s="99" t="b">
        <f aca="false">AND(Tasks[[#This Row],[Task Name]]&lt;&gt;"",Tasks[[#This Row],[_NextLevel]]&gt;Tasks[[#This Row],[_Level]])</f>
        <v>0</v>
      </c>
      <c r="BN33" s="41" t="n">
        <f aca="false">IF(Tasks[[#This Row],[_IsSummary]],COUNTIF(Tasks[WBS],Tasks[[#This Row],[WBS]]&amp;".*"),0)</f>
        <v>0</v>
      </c>
      <c r="BO33" s="41" t="n">
        <f aca="false">IF(AND(Tasks[[#This Row],[Task Name]]&lt;&gt;"",NOT(Tasks[[#This Row],[_IsSummary]])),1,0)</f>
        <v>1</v>
      </c>
      <c r="BP33" s="41" t="n">
        <f aca="false">IF(N(Tasks[[#This Row],[Pred1 UID]])=0,0,IFERROR(MATCH(Tasks[[#This Row],[Pred1 UID]],Tasks[UID],0),-1))</f>
        <v>0</v>
      </c>
      <c r="BQ33" s="41" t="n">
        <f aca="false">IF(N(Tasks[[#This Row],[Pred2 UID]])=0,0,IFERROR(MATCH(Tasks[[#This Row],[Pred2 UID]],Tasks[UID],0),-1))</f>
        <v>0</v>
      </c>
      <c r="BR33" s="100"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46342</v>
      </c>
      <c r="BS33" s="100" t="n">
        <f aca="false">IF(NOT(Tasks[[#This Row],[_IsLeaf]]=1),"",IF(N(Tasks[[#This Row],[Duration]])&lt;=0,Tasks[[#This Row],[_LeafCalcStart]],WORKDAY.INTL(Tasks[[#This Row],[_LeafCalcStart]],Tasks[[#This Row],[Duration]]-1,WorkWeek,Holidays)))</f>
        <v>46342</v>
      </c>
      <c r="BT33" s="100"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46342</v>
      </c>
      <c r="BU33" s="100"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46342</v>
      </c>
      <c r="BV33" s="41" t="n">
        <f aca="false">IF(NOT(Tasks[[#This Row],[_IsLeaf]]=1),0,IF(N(Tasks[[#This Row],[Actual Finish]])&gt;0,1,MIN(1,N(Tasks[[#This Row],[% Complete]]))))</f>
        <v>0</v>
      </c>
      <c r="BW33" s="41" t="n">
        <f aca="false">IF(OR(NOT(Tasks[[#This Row],[_IsLeaf]]=1),Tasks[[#This Row],[Resource]]=""),0,N(Tasks[[#This Row],[Duration]])*HoursPerDay*IF(Tasks[[#This Row],[Units]]="",DefaultUnits,Tasks[[#This Row],[Units]]))</f>
        <v>8</v>
      </c>
      <c r="BX33" s="41" t="n">
        <f aca="false">IF(Tasks[[#This Row],[_LeafWork]]=0,0,Tasks[[#This Row],[_LeafWork]]*IFERROR(INDEX(res_Rate,MATCH(Tasks[[#This Row],[Resource]],res_Name,0)),0))</f>
        <v>760</v>
      </c>
      <c r="BY3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3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3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3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33" s="41" t="n">
        <f aca="false">IF(NOT(Tasks[[#This Row],[_IsLeaf]]=1),0,MAX(_xlfn.MAXIFS(Tasks[_Row],Tasks[Pred1 UID],Tasks[[#This Row],[UID]]),_xlfn.MAXIFS(Tasks[_Row],Tasks[Pred2 UID],Tasks[[#This Row],[UID]])))</f>
        <v>0</v>
      </c>
      <c r="CD33" s="100"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2958465</v>
      </c>
      <c r="CE33" s="100" t="n">
        <f aca="false">IF(NOT(Tasks[[#This Row],[_IsLeaf]]=1),"",MIN(ProjectFinish,IF(N(Tasks[[#This Row],[Deadline]])&gt;0,Tasks[[#This Row],[Deadline]],2958465),Tasks[[#This Row],[_SuccessorFinishLimit]]))</f>
        <v>46393</v>
      </c>
      <c r="CF33" s="100" t="n">
        <f aca="false">IF(NOT(Tasks[[#This Row],[_IsLeaf]]=1),"",IF(N(Tasks[[#This Row],[Duration]])&lt;=0,Tasks[[#This Row],[_LeafLateFinish]],WORKDAY.INTL(Tasks[[#This Row],[_LeafLateFinish]],-(Tasks[[#This Row],[Duration]]-1),WorkWeek,Holidays)))</f>
        <v>46393</v>
      </c>
      <c r="CG33"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33</v>
      </c>
      <c r="CH33" s="99" t="b">
        <f aca="false">AND(Tasks[[#This Row],[_IsLeaf]]=1,Tasks[[#This Row],[_LeafProgress]]&lt;1,N(Tasks[[#This Row],[_LeafTotalSlack]])&lt;=CriticalSlackDays)</f>
        <v>0</v>
      </c>
      <c r="CI33" s="100" t="n">
        <f aca="false">IF(Tasks[[#This Row],[Task Name]]="","",IF(Tasks[[#This Row],[_IsSummary]],MIN(INDEX(Tasks[_LeafCalcStart],Tasks[[#This Row],[_Row]]+1):INDEX(Tasks[_LeafCalcStart],Tasks[[#This Row],[_Row]]+Tasks[[#This Row],[_Descendants]])),Tasks[[#This Row],[_LeafCalcStart]]))</f>
        <v>46342</v>
      </c>
      <c r="CJ33" s="100" t="n">
        <f aca="false">IF(Tasks[[#This Row],[Task Name]]="","",IF(Tasks[[#This Row],[_IsSummary]],MAX(INDEX(Tasks[_LeafCalcFinish],Tasks[[#This Row],[_Row]]+1):INDEX(Tasks[_LeafCalcFinish],Tasks[[#This Row],[_Row]]+Tasks[[#This Row],[_Descendants]])),Tasks[[#This Row],[_LeafCalcFinish]]))</f>
        <v>46342</v>
      </c>
      <c r="CK3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3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33"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33"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33"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33"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33" s="41" t="n">
        <f aca="false">IF(AND(Tasks[[#This Row],[_IsLeaf]]=1,Tasks[[#This Row],[_LeafWork]]&gt;0),NETWORKDAYS.INTL(ProjectStart,Tasks[[#This Row],[_LeafFcstStart]],WorkWeek,Holidays),0)</f>
        <v>51</v>
      </c>
      <c r="CR33" s="41" t="n">
        <f aca="false">IF(AND(Tasks[[#This Row],[_IsLeaf]]=1,Tasks[[#This Row],[_LeafWork]]&gt;0),MAX(Tasks[[#This Row],[_StartWorkday]],NETWORKDAYS.INTL(ProjectStart,Tasks[[#This Row],[_LeafFcstFinish]],WorkWeek,Holidays)),0)</f>
        <v>51</v>
      </c>
      <c r="CS33" s="41" t="n">
        <f aca="false">IF(AND(Tasks[[#This Row],[_IsLeaf]]=1,Tasks[[#This Row],[_LeafWork]]&gt;0),Tasks[[#This Row],[_LeafWork]]/(Tasks[[#This Row],[_FinishWorkday]]-Tasks[[#This Row],[_StartWorkday]]+1),0)</f>
        <v>8</v>
      </c>
      <c r="CT33" s="41" t="n">
        <f aca="false">Tasks[[#This Row],[_WorkPerWorkday]]*(Tasks[[#This Row],[_StartWorkday]]-1)</f>
        <v>400</v>
      </c>
      <c r="CU33" s="41" t="n">
        <f aca="false">IF(Tasks[[#This Row],[_IsLeaf]]=1,MAX(N(Tasks[[#This Row],[Duration]]),0.1),0)</f>
        <v>1</v>
      </c>
      <c r="CV33" s="41" t="n">
        <f aca="false">Tasks[[#This Row],[_WeightDur]]*Tasks[[#This Row],[_LeafProgress]]</f>
        <v>0</v>
      </c>
      <c r="CW3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3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3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3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33" s="41" t="str">
        <f aca="false">IF(Tasks[[#This Row],[Task Name]]="","",Tasks[[#This Row],[_Pred1UIDText]]&amp;IF(AND(Tasks[[#This Row],[_Pred1UIDText]]&lt;&gt;"",Tasks[[#This Row],[_Pred2UIDText]]&lt;&gt;""),",","")&amp;Tasks[[#This Row],[_Pred2UIDText]])</f>
        <v/>
      </c>
      <c r="DB33" s="41" t="str">
        <f aca="false">IF(AND(Tasks[[#This Row],[_IsLeaf]]=1,N(Tasks[[#This Row],[Duration]])=0,Tasks[[#This Row],[_LeafProgress]]&lt;1),Tasks[[#This Row],[_LeafFcstFinish]]+Tasks[[#This Row],[_Row]]/100000,"")</f>
        <v/>
      </c>
      <c r="DC3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33" s="41" t="n">
        <f aca="false">IF(NOT(Tasks[[#This Row],[_IsLeaf]]=1),0,IF(Tasks[[#This Row],[Baseline Cost]]="",Tasks[[#This Row],[_LeafCost]],N(Tasks[[#This Row],[Baseline Cost]])))</f>
        <v>760</v>
      </c>
      <c r="DE33" s="41" t="n">
        <f aca="false">Tasks[[#This Row],[_LeafBudget]]*Tasks[[#This Row],[_PlannedPct]]</f>
        <v>0</v>
      </c>
      <c r="DF33" s="41" t="n">
        <f aca="false">Tasks[[#This Row],[_LeafBudget]]*Tasks[[#This Row],[_LeafProgress]]</f>
        <v>0</v>
      </c>
      <c r="DG33" s="41" t="n">
        <f aca="false">IF(NOT(Tasks[[#This Row],[_IsLeaf]]=1),0,IF(Tasks[[#This Row],[Actual Cost]]="",Tasks[[#This Row],[_LeafCost]]*Tasks[[#This Row],[_LeafProgress]],N(Tasks[[#This Row],[Actual Cost]])))</f>
        <v>0</v>
      </c>
      <c r="DH33" s="41" t="str">
        <f aca="false">IF(Tasks[[#This Row],[Task Name]]="","",LEFT(Tasks[[#This Row],[WBS]],FIND(".",Tasks[[#This Row],[WBS]]&amp;".")-1))</f>
        <v>5</v>
      </c>
      <c r="DI33" s="41" t="str">
        <f aca="false">IF(AND(Tasks[[#This Row],[Task Name]]&lt;&gt;"",Tasks[[#This Row],[_Level]]=1),Tasks[[#This Row],[_Row]],"")</f>
        <v/>
      </c>
      <c r="DJ33" s="41" t="str">
        <f aca="false">IF(AND(Tasks[[#This Row],[_IsLeaf]]=1,N(Tasks[[#This Row],[Duration]])=0),Tasks[[#This Row],[Planned Finish]]+Tasks[[#This Row],[_Row]]/100000,"")</f>
        <v/>
      </c>
      <c r="DK33" s="41" t="str">
        <f aca="false">IF(AND(Tasks[[#This Row],[_IsLeaf]]=1,Tasks[[#This Row],[_LeafProgress]]&lt;1,OR(N(Tasks[[#This Row],[Finish Var]])&gt;0,Tasks[[#This Row],[Status]]="Late Start")),MAX(0,Tasks[[#This Row],[Finish Var]])+1-Tasks[[#This Row],[_Row]]/1000000,"")</f>
        <v/>
      </c>
      <c r="DL33" s="41" t="str">
        <f aca="false">IF(AND(Tasks[[#This Row],[_IsLeaf]]=1,N(Tasks[[#This Row],[Actual Start]])=0,Tasks[[#This Row],[_LeafFcstStart]]&gt;=StatusDate,Tasks[[#This Row],[_LeafFcstStart]]&lt;=LookaheadEnd),Tasks[[#This Row],[_LeafFcstStart]]+Tasks[[#This Row],[_Row]]/100000,"")</f>
        <v/>
      </c>
      <c r="DM33" s="41" t="str">
        <f aca="false">IF(AND(Tasks[[#This Row],[_IsLeaf]]=1,Tasks[[#This Row],[_LeafProgress]]&lt;1,Tasks[[#This Row],[_LeafFcstFinish]]&gt;=StatusDate,Tasks[[#This Row],[_LeafFcstFinish]]&lt;=LookaheadEnd),Tasks[[#This Row],[_LeafFcstFinish]]+Tasks[[#This Row],[_Row]]/100000,"")</f>
        <v/>
      </c>
      <c r="DN33" s="41" t="str">
        <f aca="false">IF(Tasks[[#This Row],[_LeafCritical]],Tasks[[#This Row],[_LeafFcstStart]]+Tasks[[#This Row],[_Row]]/100000,"")</f>
        <v/>
      </c>
      <c r="DO33" s="41" t="n">
        <f aca="false">Tasks[[#This Row],[_LeafWork]]*Tasks[[#This Row],[_LeafProgress]]</f>
        <v>0</v>
      </c>
      <c r="DP33" s="100" t="str">
        <f aca="false">IF(AND(Tasks[[#This Row],[_IsLeaf]]=1,Tasks[[#This Row],[_LeafProgress]]&gt;=1),IF(N(Tasks[[#This Row],[Actual Finish]])&gt;0,Tasks[[#This Row],[Actual Finish]],Tasks[[#This Row],[_LeafFcstFinish]]),"")</f>
        <v/>
      </c>
      <c r="DQ33" s="41" t="n">
        <f aca="false">IF(Tasks[[#This Row],[_IsLeaf]]=1,N(Tasks[[#This Row],[Story Points]]),0)</f>
        <v>1</v>
      </c>
      <c r="DR33" s="41" t="str">
        <f aca="false">IF(AND(Tasks[[#This Row],[_IsLeaf]]=1,CurrentSprint&lt;&gt;"",Tasks[[#This Row],[Sprint]]=CurrentSprint),Tasks[[#This Row],[_Row]],"")</f>
        <v/>
      </c>
    </row>
    <row r="34" customFormat="false" ht="15" hidden="false" customHeight="false" outlineLevel="0" collapsed="false">
      <c r="A34" s="28" t="n">
        <f aca="false">IF(Tasks[[#This Row],[Task Name]]="","",COUNTA(Tasks[[#Headers],[Task Name]]:Tasks[[#This Row],[Task Name]])-1)</f>
        <v>29</v>
      </c>
      <c r="B34" s="29" t="n">
        <v>29</v>
      </c>
      <c r="C3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5.2</v>
      </c>
      <c r="D34" s="29" t="n">
        <v>2</v>
      </c>
      <c r="E34" s="30" t="s">
        <v>630</v>
      </c>
      <c r="F34" s="29" t="s">
        <v>584</v>
      </c>
      <c r="G34" s="29" t="n">
        <v>2</v>
      </c>
      <c r="H34" s="29" t="n">
        <v>26</v>
      </c>
      <c r="I34" s="29" t="s">
        <v>589</v>
      </c>
      <c r="J34" s="29"/>
      <c r="K34" s="29"/>
      <c r="L34" s="29"/>
      <c r="M34" s="29"/>
      <c r="N34" s="73"/>
      <c r="O34" s="73"/>
      <c r="P34" s="25" t="n">
        <f aca="false">IF(Tasks[[#This Row],[Task Name]]="","",IF(N(Tasks[[#This Row],[Baseline Start]])&gt;0,Tasks[[#This Row],[Baseline Start]],Tasks[[#This Row],[_CalcStart]]))</f>
        <v>46392</v>
      </c>
      <c r="Q34" s="25" t="n">
        <f aca="false">IF(Tasks[[#This Row],[Task Name]]="","",IF(N(Tasks[[#This Row],[Baseline Finish]])&gt;0,Tasks[[#This Row],[Baseline Finish]],Tasks[[#This Row],[_CalcFinish]]))</f>
        <v>46393</v>
      </c>
      <c r="R34" s="73"/>
      <c r="S34" s="73"/>
      <c r="T34" s="25" t="n">
        <f aca="false">IF(Tasks[[#This Row],[Task Name]]="","",IF(Tasks[[#This Row],[_IsSummary]],MIN(INDEX(Tasks[_LeafFcstStart],Tasks[[#This Row],[_Row]]+1):INDEX(Tasks[_LeafFcstStart],Tasks[[#This Row],[_Row]]+Tasks[[#This Row],[_Descendants]])),Tasks[[#This Row],[_LeafFcstStart]]))</f>
        <v>46392</v>
      </c>
      <c r="U34" s="25" t="n">
        <f aca="false">IF(Tasks[[#This Row],[Task Name]]="","",IF(Tasks[[#This Row],[_IsSummary]],MAX(INDEX(Tasks[_LeafFcstFinish],Tasks[[#This Row],[_Row]]+1):INDEX(Tasks[_LeafFcstFinish],Tasks[[#This Row],[_Row]]+Tasks[[#This Row],[_Descendants]])),Tasks[[#This Row],[_LeafFcstFinish]]))</f>
        <v>46393</v>
      </c>
      <c r="V34"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W34"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X34" s="25" t="n">
        <f aca="false">IF(Tasks[[#This Row],[Task Name]]="","",IF(Tasks[[#This Row],[_IsSummary]],MIN(INDEX(Tasks[_LeafLateStart],Tasks[[#This Row],[_Row]]+1):INDEX(Tasks[_LeafLateStart],Tasks[[#This Row],[_Row]]+Tasks[[#This Row],[_Descendants]])),Tasks[[#This Row],[_LeafLateStart]]))</f>
        <v>46392</v>
      </c>
      <c r="Y34" s="25" t="n">
        <f aca="false">IF(Tasks[[#This Row],[Task Name]]="","",IF(Tasks[[#This Row],[_IsSummary]],MAX(INDEX(Tasks[_LeafLateFinish],Tasks[[#This Row],[_Row]]+1):INDEX(Tasks[_LeafLateFinish],Tasks[[#This Row],[_Row]]+Tasks[[#This Row],[_Descendants]])),Tasks[[#This Row],[_LeafLateFinish]]))</f>
        <v>46393</v>
      </c>
      <c r="Z34" s="43" t="n">
        <f aca="false">IF(Tasks[[#This Row],[Task Name]]="","",IF(Tasks[[#This Row],[_IsSummary]],MIN(INDEX(Tasks[_LeafTotalSlack],Tasks[[#This Row],[_Row]]+1):INDEX(Tasks[_LeafTotalSlack],Tasks[[#This Row],[_Row]]+Tasks[[#This Row],[_Descendants]])),Tasks[[#This Row],[_LeafTotalSlack]]))</f>
        <v>0</v>
      </c>
      <c r="AA34"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34" s="28" t="str">
        <f aca="false">IF(Tasks[[#This Row],[Task Name]]="","",IF(IF(Tasks[[#This Row],[_IsSummary]],COUNTIF(INDEX(Tasks[_LeafCritical],Tasks[[#This Row],[_Row]]+1):INDEX(Tasks[_LeafCritical],Tasks[[#This Row],[_Row]]+Tasks[[#This Row],[_Descendants]]),TRUE())&gt;0,Tasks[[#This Row],[_LeafCritical]]),"Yes",""))</f>
        <v>Yes</v>
      </c>
      <c r="AC3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4" s="24" t="str">
        <f aca="false">IF(Tasks[[#This Row],[Task Name]]="","",TRIM(IF(Tasks[[#This Row],[_Pred1Problem]]&lt;&gt;"","Pred 1: "&amp;Tasks[[#This Row],[_Pred1Problem]]&amp;". ","")&amp;IF(Tasks[[#This Row],[_Pred2Problem]]&lt;&gt;"","Pred 2: "&amp;Tasks[[#This Row],[_Pred2Problem]]&amp;".","")))</f>
        <v/>
      </c>
      <c r="AE34" s="88"/>
      <c r="AF34"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34" s="28" t="str">
        <f aca="false">IF(Tasks[[#This Row],[Task Name]]="","",IF(Tasks[[#This Row],[Progress]]&gt;=1,"Complete",IF(OR(N(Tasks[[#This Row],[Actual Start]])&gt;0,Tasks[[#This Row],[Progress]]&gt;0),IF(Tasks[[#This Row],[Finish Var]]&gt;0,"Behind","In Progress"),IF(Tasks[[#This Row],[Planned Start]]&lt;StatusDate,"Late Start","Not Started"))))</f>
        <v>Not Started</v>
      </c>
      <c r="AH34" s="30" t="s">
        <v>285</v>
      </c>
      <c r="AI34" s="88"/>
      <c r="AJ34" s="95" t="n">
        <f aca="false">IF(Tasks[[#This Row],[Task Name]]="","",IF(Tasks[[#This Row],[_IsSummary]],SUM(INDEX(Tasks[_LeafWork],Tasks[[#This Row],[_Row]]+1):INDEX(Tasks[_LeafWork],Tasks[[#This Row],[_Row]]+Tasks[[#This Row],[_Descendants]])),Tasks[[#This Row],[_LeafWork]]))</f>
        <v>16</v>
      </c>
      <c r="AK34" s="96" t="n">
        <f aca="false">IF(Tasks[[#This Row],[Task Name]]="","",IF(Tasks[[#This Row],[_IsSummary]],SUM(INDEX(Tasks[_LeafCost],Tasks[[#This Row],[_Row]]+1):INDEX(Tasks[_LeafCost],Tasks[[#This Row],[_Row]]+Tasks[[#This Row],[_Descendants]])),Tasks[[#This Row],[_LeafCost]]))</f>
        <v>1520</v>
      </c>
      <c r="AL34" s="97"/>
      <c r="AM34" s="29"/>
      <c r="AN3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9</v>
      </c>
      <c r="AO34" s="82" t="n">
        <v>2</v>
      </c>
      <c r="AP34" s="24" t="str">
        <f aca="false">IF(Tasks[[#This Row],[Task Name]]="","",Tasks[[#This Row],[_Pred1IDText]]&amp;IF(AND(Tasks[[#This Row],[_Pred1IDText]]&lt;&gt;"",Tasks[[#This Row],[_Pred2IDText]]&lt;&gt;""),",","")&amp;Tasks[[#This Row],[_Pred2IDText]])</f>
        <v>26</v>
      </c>
      <c r="AQ34" s="30"/>
      <c r="AR34" s="25" t="n">
        <f aca="false">IF(Tasks[[#This Row],[Task Name]]="","",Tasks[[#This Row],[Forecast Start]])</f>
        <v>46392</v>
      </c>
      <c r="AS34" s="25" t="n">
        <f aca="false">IF(Tasks[[#This Row],[Task Name]]="","",Tasks[[#This Row],[Forecast Finish]])</f>
        <v>46393</v>
      </c>
      <c r="AT34" s="28" t="n">
        <f aca="false">IF(Tasks[[#This Row],[Task Name]]="","",IF(Tasks[[#This Row],[_IsSummary]],NETWORKDAYS.INTL(Tasks[[#This Row],[Forecast Start]],Tasks[[#This Row],[Forecast Finish]],WorkWeek,Holidays),N(Tasks[[#This Row],[Duration]])))</f>
        <v>2</v>
      </c>
      <c r="AU34" s="95" t="n">
        <f aca="false">IF(Tasks[[#This Row],[Task Name]]="","",Tasks[[#This Row],[Work]])</f>
        <v>16</v>
      </c>
      <c r="AV34" s="96" t="n">
        <f aca="false">IF(Tasks[[#This Row],[Task Name]]="","",Tasks[[#This Row],[Cost]])</f>
        <v>1520</v>
      </c>
      <c r="AW34" s="73"/>
      <c r="AX34" s="73"/>
      <c r="AY34" s="29"/>
      <c r="AZ34" s="98"/>
      <c r="BA34" s="97"/>
      <c r="BB34" s="28" t="str">
        <f aca="false">IF(OR(Tasks[[#This Row],[Task Name]]="",Tasks[[#This Row],[Baseline Duration]]=""),"",Tasks[[#This Row],[BL Source Duration]]-N(Tasks[[#This Row],[Baseline Duration]]))</f>
        <v/>
      </c>
      <c r="BC34" s="95" t="str">
        <f aca="false">IF(OR(Tasks[[#This Row],[Task Name]]="",Tasks[[#This Row],[Baseline Work]]=""),"",Tasks[[#This Row],[Work]]-N(Tasks[[#This Row],[Baseline Work]]))</f>
        <v/>
      </c>
      <c r="BD34" s="96" t="str">
        <f aca="false">IF(OR(Tasks[[#This Row],[Task Name]]="",Tasks[[#This Row],[Baseline Cost]]=""),"",Tasks[[#This Row],[Cost]]-N(Tasks[[#This Row],[Baseline Cost]]))</f>
        <v/>
      </c>
      <c r="BE34" s="96" t="n">
        <f aca="false">IF(Tasks[[#This Row],[Task Name]]="","",IF(Tasks[[#This Row],[_IsSummary]],SUM(INDEX(Tasks[_LeafBudget],Tasks[[#This Row],[_Row]]+1):INDEX(Tasks[_LeafBudget],Tasks[[#This Row],[_Row]]+Tasks[[#This Row],[_Descendants]])),Tasks[[#This Row],[_LeafBudget]]))</f>
        <v>1520</v>
      </c>
      <c r="BF34" s="96" t="n">
        <f aca="false">IF(Tasks[[#This Row],[Task Name]]="","",IF(Tasks[[#This Row],[_IsSummary]],SUM(INDEX(Tasks[_LeafPV],Tasks[[#This Row],[_Row]]+1):INDEX(Tasks[_LeafPV],Tasks[[#This Row],[_Row]]+Tasks[[#This Row],[_Descendants]])),Tasks[[#This Row],[_LeafPV]]))</f>
        <v>0</v>
      </c>
      <c r="BG34" s="96" t="n">
        <f aca="false">IF(Tasks[[#This Row],[Task Name]]="","",IF(Tasks[[#This Row],[_IsSummary]],SUM(INDEX(Tasks[_LeafEV],Tasks[[#This Row],[_Row]]+1):INDEX(Tasks[_LeafEV],Tasks[[#This Row],[_Row]]+Tasks[[#This Row],[_Descendants]])),Tasks[[#This Row],[_LeafEV]]))</f>
        <v>0</v>
      </c>
      <c r="BH34" s="96" t="n">
        <f aca="false">IF(Tasks[[#This Row],[Task Name]]="","",IF(Tasks[[#This Row],[_IsSummary]],SUM(INDEX(Tasks[_LeafAC],Tasks[[#This Row],[_Row]]+1):INDEX(Tasks[_LeafAC],Tasks[[#This Row],[_Row]]+Tasks[[#This Row],[_Descendants]])),Tasks[[#This Row],[_LeafAC]]))</f>
        <v>0</v>
      </c>
      <c r="BI34" s="41" t="n">
        <f aca="false">IF(Tasks[[#This Row],[Task Name]]="","",MAX(1,N(Tasks[[#This Row],[Level]])))</f>
        <v>2</v>
      </c>
      <c r="BJ34" s="41" t="n">
        <f aca="false">ROW()-ROW(Tasks[[#Headers],[ID]])</f>
        <v>29</v>
      </c>
      <c r="BK34" s="41" t="n">
        <f aca="false">IF(OR(Tasks[[#This Row],[Task Name]]="",Tasks[[#This Row],[_Level]]&lt;=1),0,IFERROR(LOOKUP(2,1/(Tasks[[#Headers],[_Level]]:Tasks[[#This Row],[_Level]]=Tasks[[#This Row],[_Level]]-1),ROW(Tasks[[#Headers],[_Level]]:Tasks[[#This Row],[_Level]])),0))</f>
        <v>32</v>
      </c>
      <c r="BL34" s="41" t="n">
        <f aca="false">IFERROR(N(INDEX(Tasks[_Level],Tasks[[#This Row],[_Row]]+1)),0)</f>
        <v>2</v>
      </c>
      <c r="BM34" s="99" t="b">
        <f aca="false">AND(Tasks[[#This Row],[Task Name]]&lt;&gt;"",Tasks[[#This Row],[_NextLevel]]&gt;Tasks[[#This Row],[_Level]])</f>
        <v>0</v>
      </c>
      <c r="BN34" s="41" t="n">
        <f aca="false">IF(Tasks[[#This Row],[_IsSummary]],COUNTIF(Tasks[WBS],Tasks[[#This Row],[WBS]]&amp;".*"),0)</f>
        <v>0</v>
      </c>
      <c r="BO34" s="41" t="n">
        <f aca="false">IF(AND(Tasks[[#This Row],[Task Name]]&lt;&gt;"",NOT(Tasks[[#This Row],[_IsSummary]])),1,0)</f>
        <v>1</v>
      </c>
      <c r="BP34" s="41" t="n">
        <f aca="false">IF(N(Tasks[[#This Row],[Pred1 UID]])=0,0,IFERROR(MATCH(Tasks[[#This Row],[Pred1 UID]],Tasks[UID],0),-1))</f>
        <v>26</v>
      </c>
      <c r="BQ34" s="41" t="n">
        <f aca="false">IF(N(Tasks[[#This Row],[Pred2 UID]])=0,0,IFERROR(MATCH(Tasks[[#This Row],[Pred2 UID]],Tasks[UID],0),-1))</f>
        <v>0</v>
      </c>
      <c r="BR34" s="100"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46392</v>
      </c>
      <c r="BS34" s="100" t="n">
        <f aca="false">IF(NOT(Tasks[[#This Row],[_IsLeaf]]=1),"",IF(N(Tasks[[#This Row],[Duration]])&lt;=0,Tasks[[#This Row],[_LeafCalcStart]],WORKDAY.INTL(Tasks[[#This Row],[_LeafCalcStart]],Tasks[[#This Row],[Duration]]-1,WorkWeek,Holidays)))</f>
        <v>46393</v>
      </c>
      <c r="BT34" s="100"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46392</v>
      </c>
      <c r="BU34" s="100"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46393</v>
      </c>
      <c r="BV34" s="41" t="n">
        <f aca="false">IF(NOT(Tasks[[#This Row],[_IsLeaf]]=1),0,IF(N(Tasks[[#This Row],[Actual Finish]])&gt;0,1,MIN(1,N(Tasks[[#This Row],[% Complete]]))))</f>
        <v>0</v>
      </c>
      <c r="BW34" s="41" t="n">
        <f aca="false">IF(OR(NOT(Tasks[[#This Row],[_IsLeaf]]=1),Tasks[[#This Row],[Resource]]=""),0,N(Tasks[[#This Row],[Duration]])*HoursPerDay*IF(Tasks[[#This Row],[Units]]="",DefaultUnits,Tasks[[#This Row],[Units]]))</f>
        <v>16</v>
      </c>
      <c r="BX34" s="41" t="n">
        <f aca="false">IF(Tasks[[#This Row],[_LeafWork]]=0,0,Tasks[[#This Row],[_LeafWork]]*IFERROR(INDEX(res_Rate,MATCH(Tasks[[#This Row],[Resource]],res_Name,0)),0))</f>
        <v>1520</v>
      </c>
      <c r="BY34" s="101"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2912074</v>
      </c>
      <c r="BZ3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34"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B3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34" s="41" t="n">
        <f aca="false">IF(NOT(Tasks[[#This Row],[_IsLeaf]]=1),0,MAX(_xlfn.MAXIFS(Tasks[_Row],Tasks[Pred1 UID],Tasks[[#This Row],[UID]]),_xlfn.MAXIFS(Tasks[_Row],Tasks[Pred2 UID],Tasks[[#This Row],[UID]])))</f>
        <v>30</v>
      </c>
      <c r="CD34" s="100"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46393</v>
      </c>
      <c r="CE34" s="100" t="n">
        <f aca="false">IF(NOT(Tasks[[#This Row],[_IsLeaf]]=1),"",MIN(ProjectFinish,IF(N(Tasks[[#This Row],[Deadline]])&gt;0,Tasks[[#This Row],[Deadline]],2958465),Tasks[[#This Row],[_SuccessorFinishLimit]]))</f>
        <v>46393</v>
      </c>
      <c r="CF34" s="100" t="n">
        <f aca="false">IF(NOT(Tasks[[#This Row],[_IsLeaf]]=1),"",IF(N(Tasks[[#This Row],[Duration]])&lt;=0,Tasks[[#This Row],[_LeafLateFinish]],WORKDAY.INTL(Tasks[[#This Row],[_LeafLateFinish]],-(Tasks[[#This Row],[Duration]]-1),WorkWeek,Holidays)))</f>
        <v>46392</v>
      </c>
      <c r="CG34"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CH34" s="99" t="b">
        <f aca="false">AND(Tasks[[#This Row],[_IsLeaf]]=1,Tasks[[#This Row],[_LeafProgress]]&lt;1,N(Tasks[[#This Row],[_LeafTotalSlack]])&lt;=CriticalSlackDays)</f>
        <v>1</v>
      </c>
      <c r="CI34" s="100" t="n">
        <f aca="false">IF(Tasks[[#This Row],[Task Name]]="","",IF(Tasks[[#This Row],[_IsSummary]],MIN(INDEX(Tasks[_LeafCalcStart],Tasks[[#This Row],[_Row]]+1):INDEX(Tasks[_LeafCalcStart],Tasks[[#This Row],[_Row]]+Tasks[[#This Row],[_Descendants]])),Tasks[[#This Row],[_LeafCalcStart]]))</f>
        <v>46392</v>
      </c>
      <c r="CJ34" s="100" t="n">
        <f aca="false">IF(Tasks[[#This Row],[Task Name]]="","",IF(Tasks[[#This Row],[_IsSummary]],MAX(INDEX(Tasks[_LeafCalcFinish],Tasks[[#This Row],[_Row]]+1):INDEX(Tasks[_LeafCalcFinish],Tasks[[#This Row],[_Row]]+Tasks[[#This Row],[_Descendants]])),Tasks[[#This Row],[_LeafCalcFinish]]))</f>
        <v>46393</v>
      </c>
      <c r="CK3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3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34"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46392</v>
      </c>
      <c r="CN34"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34"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46392</v>
      </c>
      <c r="CP34"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34" s="41" t="n">
        <f aca="false">IF(AND(Tasks[[#This Row],[_IsLeaf]]=1,Tasks[[#This Row],[_LeafWork]]&gt;0),NETWORKDAYS.INTL(ProjectStart,Tasks[[#This Row],[_LeafFcstStart]],WorkWeek,Holidays),0)</f>
        <v>83</v>
      </c>
      <c r="CR34" s="41" t="n">
        <f aca="false">IF(AND(Tasks[[#This Row],[_IsLeaf]]=1,Tasks[[#This Row],[_LeafWork]]&gt;0),MAX(Tasks[[#This Row],[_StartWorkday]],NETWORKDAYS.INTL(ProjectStart,Tasks[[#This Row],[_LeafFcstFinish]],WorkWeek,Holidays)),0)</f>
        <v>84</v>
      </c>
      <c r="CS34" s="41" t="n">
        <f aca="false">IF(AND(Tasks[[#This Row],[_IsLeaf]]=1,Tasks[[#This Row],[_LeafWork]]&gt;0),Tasks[[#This Row],[_LeafWork]]/(Tasks[[#This Row],[_FinishWorkday]]-Tasks[[#This Row],[_StartWorkday]]+1),0)</f>
        <v>8</v>
      </c>
      <c r="CT34" s="41" t="n">
        <f aca="false">Tasks[[#This Row],[_WorkPerWorkday]]*(Tasks[[#This Row],[_StartWorkday]]-1)</f>
        <v>656</v>
      </c>
      <c r="CU34" s="41" t="n">
        <f aca="false">IF(Tasks[[#This Row],[_IsLeaf]]=1,MAX(N(Tasks[[#This Row],[Duration]]),0.1),0)</f>
        <v>2</v>
      </c>
      <c r="CV34" s="41" t="n">
        <f aca="false">Tasks[[#This Row],[_WeightDur]]*Tasks[[#This Row],[_LeafProgress]]</f>
        <v>0</v>
      </c>
      <c r="CW3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26</v>
      </c>
      <c r="CX3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3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26</v>
      </c>
      <c r="CZ3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34" s="41" t="str">
        <f aca="false">IF(Tasks[[#This Row],[Task Name]]="","",Tasks[[#This Row],[_Pred1UIDText]]&amp;IF(AND(Tasks[[#This Row],[_Pred1UIDText]]&lt;&gt;"",Tasks[[#This Row],[_Pred2UIDText]]&lt;&gt;""),",","")&amp;Tasks[[#This Row],[_Pred2UIDText]])</f>
        <v>26</v>
      </c>
      <c r="DB34" s="41" t="str">
        <f aca="false">IF(AND(Tasks[[#This Row],[_IsLeaf]]=1,N(Tasks[[#This Row],[Duration]])=0,Tasks[[#This Row],[_LeafProgress]]&lt;1),Tasks[[#This Row],[_LeafFcstFinish]]+Tasks[[#This Row],[_Row]]/100000,"")</f>
        <v/>
      </c>
      <c r="DC3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34" s="41" t="n">
        <f aca="false">IF(NOT(Tasks[[#This Row],[_IsLeaf]]=1),0,IF(Tasks[[#This Row],[Baseline Cost]]="",Tasks[[#This Row],[_LeafCost]],N(Tasks[[#This Row],[Baseline Cost]])))</f>
        <v>1520</v>
      </c>
      <c r="DE34" s="41" t="n">
        <f aca="false">Tasks[[#This Row],[_LeafBudget]]*Tasks[[#This Row],[_PlannedPct]]</f>
        <v>0</v>
      </c>
      <c r="DF34" s="41" t="n">
        <f aca="false">Tasks[[#This Row],[_LeafBudget]]*Tasks[[#This Row],[_LeafProgress]]</f>
        <v>0</v>
      </c>
      <c r="DG34" s="41" t="n">
        <f aca="false">IF(NOT(Tasks[[#This Row],[_IsLeaf]]=1),0,IF(Tasks[[#This Row],[Actual Cost]]="",Tasks[[#This Row],[_LeafCost]]*Tasks[[#This Row],[_LeafProgress]],N(Tasks[[#This Row],[Actual Cost]])))</f>
        <v>0</v>
      </c>
      <c r="DH34" s="41" t="str">
        <f aca="false">IF(Tasks[[#This Row],[Task Name]]="","",LEFT(Tasks[[#This Row],[WBS]],FIND(".",Tasks[[#This Row],[WBS]]&amp;".")-1))</f>
        <v>5</v>
      </c>
      <c r="DI34" s="41" t="str">
        <f aca="false">IF(AND(Tasks[[#This Row],[Task Name]]&lt;&gt;"",Tasks[[#This Row],[_Level]]=1),Tasks[[#This Row],[_Row]],"")</f>
        <v/>
      </c>
      <c r="DJ34" s="41" t="str">
        <f aca="false">IF(AND(Tasks[[#This Row],[_IsLeaf]]=1,N(Tasks[[#This Row],[Duration]])=0),Tasks[[#This Row],[Planned Finish]]+Tasks[[#This Row],[_Row]]/100000,"")</f>
        <v/>
      </c>
      <c r="DK34" s="41" t="str">
        <f aca="false">IF(AND(Tasks[[#This Row],[_IsLeaf]]=1,Tasks[[#This Row],[_LeafProgress]]&lt;1,OR(N(Tasks[[#This Row],[Finish Var]])&gt;0,Tasks[[#This Row],[Status]]="Late Start")),MAX(0,Tasks[[#This Row],[Finish Var]])+1-Tasks[[#This Row],[_Row]]/1000000,"")</f>
        <v/>
      </c>
      <c r="DL34" s="41" t="str">
        <f aca="false">IF(AND(Tasks[[#This Row],[_IsLeaf]]=1,N(Tasks[[#This Row],[Actual Start]])=0,Tasks[[#This Row],[_LeafFcstStart]]&gt;=StatusDate,Tasks[[#This Row],[_LeafFcstStart]]&lt;=LookaheadEnd),Tasks[[#This Row],[_LeafFcstStart]]+Tasks[[#This Row],[_Row]]/100000,"")</f>
        <v/>
      </c>
      <c r="DM34" s="41" t="str">
        <f aca="false">IF(AND(Tasks[[#This Row],[_IsLeaf]]=1,Tasks[[#This Row],[_LeafProgress]]&lt;1,Tasks[[#This Row],[_LeafFcstFinish]]&gt;=StatusDate,Tasks[[#This Row],[_LeafFcstFinish]]&lt;=LookaheadEnd),Tasks[[#This Row],[_LeafFcstFinish]]+Tasks[[#This Row],[_Row]]/100000,"")</f>
        <v/>
      </c>
      <c r="DN34" s="101" t="n">
        <f aca="false">IF(Tasks[[#This Row],[_LeafCritical]],Tasks[[#This Row],[_LeafFcstStart]]+Tasks[[#This Row],[_Row]]/100000,"")</f>
        <v>46392.00029</v>
      </c>
      <c r="DO34" s="41" t="n">
        <f aca="false">Tasks[[#This Row],[_LeafWork]]*Tasks[[#This Row],[_LeafProgress]]</f>
        <v>0</v>
      </c>
      <c r="DP34" s="100" t="str">
        <f aca="false">IF(AND(Tasks[[#This Row],[_IsLeaf]]=1,Tasks[[#This Row],[_LeafProgress]]&gt;=1),IF(N(Tasks[[#This Row],[Actual Finish]])&gt;0,Tasks[[#This Row],[Actual Finish]],Tasks[[#This Row],[_LeafFcstFinish]]),"")</f>
        <v/>
      </c>
      <c r="DQ34" s="41" t="n">
        <f aca="false">IF(Tasks[[#This Row],[_IsLeaf]]=1,N(Tasks[[#This Row],[Story Points]]),0)</f>
        <v>2</v>
      </c>
      <c r="DR34" s="41" t="str">
        <f aca="false">IF(AND(Tasks[[#This Row],[_IsLeaf]]=1,CurrentSprint&lt;&gt;"",Tasks[[#This Row],[Sprint]]=CurrentSprint),Tasks[[#This Row],[_Row]],"")</f>
        <v/>
      </c>
    </row>
    <row r="35" customFormat="false" ht="15" hidden="false" customHeight="false" outlineLevel="0" collapsed="false">
      <c r="A35" s="28" t="n">
        <f aca="false">IF(Tasks[[#This Row],[Task Name]]="","",COUNTA(Tasks[[#Headers],[Task Name]]:Tasks[[#This Row],[Task Name]])-1)</f>
        <v>30</v>
      </c>
      <c r="B35" s="29" t="n">
        <v>30</v>
      </c>
      <c r="C3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5.3</v>
      </c>
      <c r="D35" s="29" t="n">
        <v>2</v>
      </c>
      <c r="E35" s="30" t="s">
        <v>631</v>
      </c>
      <c r="F35" s="29" t="s">
        <v>584</v>
      </c>
      <c r="G35" s="29" t="n">
        <v>0</v>
      </c>
      <c r="H35" s="29" t="n">
        <v>29</v>
      </c>
      <c r="I35" s="29" t="s">
        <v>589</v>
      </c>
      <c r="J35" s="29"/>
      <c r="K35" s="29"/>
      <c r="L35" s="29"/>
      <c r="M35" s="29"/>
      <c r="N35" s="73"/>
      <c r="O35" s="73"/>
      <c r="P35" s="25" t="n">
        <f aca="false">IF(Tasks[[#This Row],[Task Name]]="","",IF(N(Tasks[[#This Row],[Baseline Start]])&gt;0,Tasks[[#This Row],[Baseline Start]],Tasks[[#This Row],[_CalcStart]]))</f>
        <v>46393</v>
      </c>
      <c r="Q35" s="25" t="n">
        <f aca="false">IF(Tasks[[#This Row],[Task Name]]="","",IF(N(Tasks[[#This Row],[Baseline Finish]])&gt;0,Tasks[[#This Row],[Baseline Finish]],Tasks[[#This Row],[_CalcFinish]]))</f>
        <v>46393</v>
      </c>
      <c r="R35" s="73"/>
      <c r="S35" s="73"/>
      <c r="T35" s="25" t="n">
        <f aca="false">IF(Tasks[[#This Row],[Task Name]]="","",IF(Tasks[[#This Row],[_IsSummary]],MIN(INDEX(Tasks[_LeafFcstStart],Tasks[[#This Row],[_Row]]+1):INDEX(Tasks[_LeafFcstStart],Tasks[[#This Row],[_Row]]+Tasks[[#This Row],[_Descendants]])),Tasks[[#This Row],[_LeafFcstStart]]))</f>
        <v>46393</v>
      </c>
      <c r="U35" s="25" t="n">
        <f aca="false">IF(Tasks[[#This Row],[Task Name]]="","",IF(Tasks[[#This Row],[_IsSummary]],MAX(INDEX(Tasks[_LeafFcstFinish],Tasks[[#This Row],[_Row]]+1):INDEX(Tasks[_LeafFcstFinish],Tasks[[#This Row],[_Row]]+Tasks[[#This Row],[_Descendants]])),Tasks[[#This Row],[_LeafFcstFinish]]))</f>
        <v>46393</v>
      </c>
      <c r="V35"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W35"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X35" s="25" t="n">
        <f aca="false">IF(Tasks[[#This Row],[Task Name]]="","",IF(Tasks[[#This Row],[_IsSummary]],MIN(INDEX(Tasks[_LeafLateStart],Tasks[[#This Row],[_Row]]+1):INDEX(Tasks[_LeafLateStart],Tasks[[#This Row],[_Row]]+Tasks[[#This Row],[_Descendants]])),Tasks[[#This Row],[_LeafLateStart]]))</f>
        <v>46393</v>
      </c>
      <c r="Y35" s="25" t="n">
        <f aca="false">IF(Tasks[[#This Row],[Task Name]]="","",IF(Tasks[[#This Row],[_IsSummary]],MAX(INDEX(Tasks[_LeafLateFinish],Tasks[[#This Row],[_Row]]+1):INDEX(Tasks[_LeafLateFinish],Tasks[[#This Row],[_Row]]+Tasks[[#This Row],[_Descendants]])),Tasks[[#This Row],[_LeafLateFinish]]))</f>
        <v>46393</v>
      </c>
      <c r="Z35" s="43" t="n">
        <f aca="false">IF(Tasks[[#This Row],[Task Name]]="","",IF(Tasks[[#This Row],[_IsSummary]],MIN(INDEX(Tasks[_LeafTotalSlack],Tasks[[#This Row],[_Row]]+1):INDEX(Tasks[_LeafTotalSlack],Tasks[[#This Row],[_Row]]+Tasks[[#This Row],[_Descendants]])),Tasks[[#This Row],[_LeafTotalSlack]]))</f>
        <v>0</v>
      </c>
      <c r="AA35"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35" s="28" t="str">
        <f aca="false">IF(Tasks[[#This Row],[Task Name]]="","",IF(IF(Tasks[[#This Row],[_IsSummary]],COUNTIF(INDEX(Tasks[_LeafCritical],Tasks[[#This Row],[_Row]]+1):INDEX(Tasks[_LeafCritical],Tasks[[#This Row],[_Row]]+Tasks[[#This Row],[_Descendants]]),TRUE())&gt;0,Tasks[[#This Row],[_LeafCritical]]),"Yes",""))</f>
        <v>Yes</v>
      </c>
      <c r="AC3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5" s="24" t="str">
        <f aca="false">IF(Tasks[[#This Row],[Task Name]]="","",TRIM(IF(Tasks[[#This Row],[_Pred1Problem]]&lt;&gt;"","Pred 1: "&amp;Tasks[[#This Row],[_Pred1Problem]]&amp;". ","")&amp;IF(Tasks[[#This Row],[_Pred2Problem]]&lt;&gt;"","Pred 2: "&amp;Tasks[[#This Row],[_Pred2Problem]]&amp;".","")))</f>
        <v/>
      </c>
      <c r="AE35" s="88"/>
      <c r="AF35" s="9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35" s="28" t="str">
        <f aca="false">IF(Tasks[[#This Row],[Task Name]]="","",IF(Tasks[[#This Row],[Progress]]&gt;=1,"Complete",IF(OR(N(Tasks[[#This Row],[Actual Start]])&gt;0,Tasks[[#This Row],[Progress]]&gt;0),IF(Tasks[[#This Row],[Finish Var]]&gt;0,"Behind","In Progress"),IF(Tasks[[#This Row],[Planned Start]]&lt;StatusDate,"Late Start","Not Started"))))</f>
        <v>Not Started</v>
      </c>
      <c r="AH35" s="30"/>
      <c r="AI35" s="88"/>
      <c r="AJ35" s="95" t="n">
        <f aca="false">IF(Tasks[[#This Row],[Task Name]]="","",IF(Tasks[[#This Row],[_IsSummary]],SUM(INDEX(Tasks[_LeafWork],Tasks[[#This Row],[_Row]]+1):INDEX(Tasks[_LeafWork],Tasks[[#This Row],[_Row]]+Tasks[[#This Row],[_Descendants]])),Tasks[[#This Row],[_LeafWork]]))</f>
        <v>0</v>
      </c>
      <c r="AK35" s="96" t="n">
        <f aca="false">IF(Tasks[[#This Row],[Task Name]]="","",IF(Tasks[[#This Row],[_IsSummary]],SUM(INDEX(Tasks[_LeafCost],Tasks[[#This Row],[_Row]]+1):INDEX(Tasks[_LeafCost],Tasks[[#This Row],[_Row]]+Tasks[[#This Row],[_Descendants]])),Tasks[[#This Row],[_LeafCost]]))</f>
        <v>0</v>
      </c>
      <c r="AL35" s="97"/>
      <c r="AM35" s="29"/>
      <c r="AN3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9</v>
      </c>
      <c r="AO35" s="82"/>
      <c r="AP35" s="24" t="str">
        <f aca="false">IF(Tasks[[#This Row],[Task Name]]="","",Tasks[[#This Row],[_Pred1IDText]]&amp;IF(AND(Tasks[[#This Row],[_Pred1IDText]]&lt;&gt;"",Tasks[[#This Row],[_Pred2IDText]]&lt;&gt;""),",","")&amp;Tasks[[#This Row],[_Pred2IDText]])</f>
        <v>29</v>
      </c>
      <c r="AQ35" s="30" t="s">
        <v>213</v>
      </c>
      <c r="AR35" s="25" t="n">
        <f aca="false">IF(Tasks[[#This Row],[Task Name]]="","",Tasks[[#This Row],[Forecast Start]])</f>
        <v>46393</v>
      </c>
      <c r="AS35" s="25" t="n">
        <f aca="false">IF(Tasks[[#This Row],[Task Name]]="","",Tasks[[#This Row],[Forecast Finish]])</f>
        <v>46393</v>
      </c>
      <c r="AT35" s="28" t="n">
        <f aca="false">IF(Tasks[[#This Row],[Task Name]]="","",IF(Tasks[[#This Row],[_IsSummary]],NETWORKDAYS.INTL(Tasks[[#This Row],[Forecast Start]],Tasks[[#This Row],[Forecast Finish]],WorkWeek,Holidays),N(Tasks[[#This Row],[Duration]])))</f>
        <v>0</v>
      </c>
      <c r="AU35" s="95" t="n">
        <f aca="false">IF(Tasks[[#This Row],[Task Name]]="","",Tasks[[#This Row],[Work]])</f>
        <v>0</v>
      </c>
      <c r="AV35" s="96" t="n">
        <f aca="false">IF(Tasks[[#This Row],[Task Name]]="","",Tasks[[#This Row],[Cost]])</f>
        <v>0</v>
      </c>
      <c r="AW35" s="73"/>
      <c r="AX35" s="73"/>
      <c r="AY35" s="29"/>
      <c r="AZ35" s="98"/>
      <c r="BA35" s="97"/>
      <c r="BB35" s="28" t="str">
        <f aca="false">IF(OR(Tasks[[#This Row],[Task Name]]="",Tasks[[#This Row],[Baseline Duration]]=""),"",Tasks[[#This Row],[BL Source Duration]]-N(Tasks[[#This Row],[Baseline Duration]]))</f>
        <v/>
      </c>
      <c r="BC35" s="95" t="str">
        <f aca="false">IF(OR(Tasks[[#This Row],[Task Name]]="",Tasks[[#This Row],[Baseline Work]]=""),"",Tasks[[#This Row],[Work]]-N(Tasks[[#This Row],[Baseline Work]]))</f>
        <v/>
      </c>
      <c r="BD35" s="96" t="str">
        <f aca="false">IF(OR(Tasks[[#This Row],[Task Name]]="",Tasks[[#This Row],[Baseline Cost]]=""),"",Tasks[[#This Row],[Cost]]-N(Tasks[[#This Row],[Baseline Cost]]))</f>
        <v/>
      </c>
      <c r="BE35" s="96" t="n">
        <f aca="false">IF(Tasks[[#This Row],[Task Name]]="","",IF(Tasks[[#This Row],[_IsSummary]],SUM(INDEX(Tasks[_LeafBudget],Tasks[[#This Row],[_Row]]+1):INDEX(Tasks[_LeafBudget],Tasks[[#This Row],[_Row]]+Tasks[[#This Row],[_Descendants]])),Tasks[[#This Row],[_LeafBudget]]))</f>
        <v>0</v>
      </c>
      <c r="BF35" s="96" t="n">
        <f aca="false">IF(Tasks[[#This Row],[Task Name]]="","",IF(Tasks[[#This Row],[_IsSummary]],SUM(INDEX(Tasks[_LeafPV],Tasks[[#This Row],[_Row]]+1):INDEX(Tasks[_LeafPV],Tasks[[#This Row],[_Row]]+Tasks[[#This Row],[_Descendants]])),Tasks[[#This Row],[_LeafPV]]))</f>
        <v>0</v>
      </c>
      <c r="BG35" s="96" t="n">
        <f aca="false">IF(Tasks[[#This Row],[Task Name]]="","",IF(Tasks[[#This Row],[_IsSummary]],SUM(INDEX(Tasks[_LeafEV],Tasks[[#This Row],[_Row]]+1):INDEX(Tasks[_LeafEV],Tasks[[#This Row],[_Row]]+Tasks[[#This Row],[_Descendants]])),Tasks[[#This Row],[_LeafEV]]))</f>
        <v>0</v>
      </c>
      <c r="BH35" s="96" t="n">
        <f aca="false">IF(Tasks[[#This Row],[Task Name]]="","",IF(Tasks[[#This Row],[_IsSummary]],SUM(INDEX(Tasks[_LeafAC],Tasks[[#This Row],[_Row]]+1):INDEX(Tasks[_LeafAC],Tasks[[#This Row],[_Row]]+Tasks[[#This Row],[_Descendants]])),Tasks[[#This Row],[_LeafAC]]))</f>
        <v>0</v>
      </c>
      <c r="BI35" s="41" t="n">
        <f aca="false">IF(Tasks[[#This Row],[Task Name]]="","",MAX(1,N(Tasks[[#This Row],[Level]])))</f>
        <v>2</v>
      </c>
      <c r="BJ35" s="41" t="n">
        <f aca="false">ROW()-ROW(Tasks[[#Headers],[ID]])</f>
        <v>30</v>
      </c>
      <c r="BK35" s="41" t="n">
        <f aca="false">IF(OR(Tasks[[#This Row],[Task Name]]="",Tasks[[#This Row],[_Level]]&lt;=1),0,IFERROR(LOOKUP(2,1/(Tasks[[#Headers],[_Level]]:Tasks[[#This Row],[_Level]]=Tasks[[#This Row],[_Level]]-1),ROW(Tasks[[#Headers],[_Level]]:Tasks[[#This Row],[_Level]])),0))</f>
        <v>32</v>
      </c>
      <c r="BL35" s="41" t="n">
        <f aca="false">IFERROR(N(INDEX(Tasks[_Level],Tasks[[#This Row],[_Row]]+1)),0)</f>
        <v>0</v>
      </c>
      <c r="BM35" s="99" t="b">
        <f aca="false">AND(Tasks[[#This Row],[Task Name]]&lt;&gt;"",Tasks[[#This Row],[_NextLevel]]&gt;Tasks[[#This Row],[_Level]])</f>
        <v>0</v>
      </c>
      <c r="BN35" s="41" t="n">
        <f aca="false">IF(Tasks[[#This Row],[_IsSummary]],COUNTIF(Tasks[WBS],Tasks[[#This Row],[WBS]]&amp;".*"),0)</f>
        <v>0</v>
      </c>
      <c r="BO35" s="41" t="n">
        <f aca="false">IF(AND(Tasks[[#This Row],[Task Name]]&lt;&gt;"",NOT(Tasks[[#This Row],[_IsSummary]])),1,0)</f>
        <v>1</v>
      </c>
      <c r="BP35" s="41" t="n">
        <f aca="false">IF(N(Tasks[[#This Row],[Pred1 UID]])=0,0,IFERROR(MATCH(Tasks[[#This Row],[Pred1 UID]],Tasks[UID],0),-1))</f>
        <v>29</v>
      </c>
      <c r="BQ35" s="41" t="n">
        <f aca="false">IF(N(Tasks[[#This Row],[Pred2 UID]])=0,0,IFERROR(MATCH(Tasks[[#This Row],[Pred2 UID]],Tasks[UID],0),-1))</f>
        <v>0</v>
      </c>
      <c r="BR35" s="100"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46393</v>
      </c>
      <c r="BS35" s="100" t="n">
        <f aca="false">IF(NOT(Tasks[[#This Row],[_IsLeaf]]=1),"",IF(N(Tasks[[#This Row],[Duration]])&lt;=0,Tasks[[#This Row],[_LeafCalcStart]],WORKDAY.INTL(Tasks[[#This Row],[_LeafCalcStart]],Tasks[[#This Row],[Duration]]-1,WorkWeek,Holidays)))</f>
        <v>46393</v>
      </c>
      <c r="BT35" s="100"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46393</v>
      </c>
      <c r="BU35" s="100"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46393</v>
      </c>
      <c r="BV35" s="41" t="n">
        <f aca="false">IF(NOT(Tasks[[#This Row],[_IsLeaf]]=1),0,IF(N(Tasks[[#This Row],[Actual Finish]])&gt;0,1,MIN(1,N(Tasks[[#This Row],[% Complete]]))))</f>
        <v>0</v>
      </c>
      <c r="BW35" s="41" t="n">
        <f aca="false">IF(OR(NOT(Tasks[[#This Row],[_IsLeaf]]=1),Tasks[[#This Row],[Resource]]=""),0,N(Tasks[[#This Row],[Duration]])*HoursPerDay*IF(Tasks[[#This Row],[Units]]="",DefaultUnits,Tasks[[#This Row],[Units]]))</f>
        <v>0</v>
      </c>
      <c r="BX35" s="41" t="n">
        <f aca="false">IF(Tasks[[#This Row],[_LeafWork]]=0,0,Tasks[[#This Row],[_LeafWork]]*IFERROR(INDEX(res_Rate,MATCH(Tasks[[#This Row],[Resource]],res_Name,0)),0))</f>
        <v>0</v>
      </c>
      <c r="BY35" s="101"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2912072</v>
      </c>
      <c r="BZ3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35"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B3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35" s="41" t="n">
        <f aca="false">IF(NOT(Tasks[[#This Row],[_IsLeaf]]=1),0,MAX(_xlfn.MAXIFS(Tasks[_Row],Tasks[Pred1 UID],Tasks[[#This Row],[UID]]),_xlfn.MAXIFS(Tasks[_Row],Tasks[Pred2 UID],Tasks[[#This Row],[UID]])))</f>
        <v>0</v>
      </c>
      <c r="CD35" s="100"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2958465</v>
      </c>
      <c r="CE35" s="100" t="n">
        <f aca="false">IF(NOT(Tasks[[#This Row],[_IsLeaf]]=1),"",MIN(ProjectFinish,IF(N(Tasks[[#This Row],[Deadline]])&gt;0,Tasks[[#This Row],[Deadline]],2958465),Tasks[[#This Row],[_SuccessorFinishLimit]]))</f>
        <v>46393</v>
      </c>
      <c r="CF35" s="100" t="n">
        <f aca="false">IF(NOT(Tasks[[#This Row],[_IsLeaf]]=1),"",IF(N(Tasks[[#This Row],[Duration]])&lt;=0,Tasks[[#This Row],[_LeafLateFinish]],WORKDAY.INTL(Tasks[[#This Row],[_LeafLateFinish]],-(Tasks[[#This Row],[Duration]]-1),WorkWeek,Holidays)))</f>
        <v>46393</v>
      </c>
      <c r="CG35"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CH35" s="99" t="b">
        <f aca="false">AND(Tasks[[#This Row],[_IsLeaf]]=1,Tasks[[#This Row],[_LeafProgress]]&lt;1,N(Tasks[[#This Row],[_LeafTotalSlack]])&lt;=CriticalSlackDays)</f>
        <v>1</v>
      </c>
      <c r="CI35" s="100" t="n">
        <f aca="false">IF(Tasks[[#This Row],[Task Name]]="","",IF(Tasks[[#This Row],[_IsSummary]],MIN(INDEX(Tasks[_LeafCalcStart],Tasks[[#This Row],[_Row]]+1):INDEX(Tasks[_LeafCalcStart],Tasks[[#This Row],[_Row]]+Tasks[[#This Row],[_Descendants]])),Tasks[[#This Row],[_LeafCalcStart]]))</f>
        <v>46393</v>
      </c>
      <c r="CJ35" s="100" t="n">
        <f aca="false">IF(Tasks[[#This Row],[Task Name]]="","",IF(Tasks[[#This Row],[_IsSummary]],MAX(INDEX(Tasks[_LeafCalcFinish],Tasks[[#This Row],[_Row]]+1):INDEX(Tasks[_LeafCalcFinish],Tasks[[#This Row],[_Row]]+Tasks[[#This Row],[_Descendants]])),Tasks[[#This Row],[_LeafCalcFinish]]))</f>
        <v>46393</v>
      </c>
      <c r="CK3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3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35"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46393</v>
      </c>
      <c r="CN35"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35"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46393</v>
      </c>
      <c r="CP35"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35" s="41" t="n">
        <f aca="false">IF(AND(Tasks[[#This Row],[_IsLeaf]]=1,Tasks[[#This Row],[_LeafWork]]&gt;0),NETWORKDAYS.INTL(ProjectStart,Tasks[[#This Row],[_LeafFcstStart]],WorkWeek,Holidays),0)</f>
        <v>0</v>
      </c>
      <c r="CR35" s="41" t="n">
        <f aca="false">IF(AND(Tasks[[#This Row],[_IsLeaf]]=1,Tasks[[#This Row],[_LeafWork]]&gt;0),MAX(Tasks[[#This Row],[_StartWorkday]],NETWORKDAYS.INTL(ProjectStart,Tasks[[#This Row],[_LeafFcstFinish]],WorkWeek,Holidays)),0)</f>
        <v>0</v>
      </c>
      <c r="CS35" s="41" t="n">
        <f aca="false">IF(AND(Tasks[[#This Row],[_IsLeaf]]=1,Tasks[[#This Row],[_LeafWork]]&gt;0),Tasks[[#This Row],[_LeafWork]]/(Tasks[[#This Row],[_FinishWorkday]]-Tasks[[#This Row],[_StartWorkday]]+1),0)</f>
        <v>0</v>
      </c>
      <c r="CT35" s="41" t="n">
        <f aca="false">Tasks[[#This Row],[_WorkPerWorkday]]*(Tasks[[#This Row],[_StartWorkday]]-1)</f>
        <v>-0</v>
      </c>
      <c r="CU35" s="41" t="n">
        <f aca="false">IF(Tasks[[#This Row],[_IsLeaf]]=1,MAX(N(Tasks[[#This Row],[Duration]]),0.1),0)</f>
        <v>0.1</v>
      </c>
      <c r="CV35" s="41" t="n">
        <f aca="false">Tasks[[#This Row],[_WeightDur]]*Tasks[[#This Row],[_LeafProgress]]</f>
        <v>0</v>
      </c>
      <c r="CW3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29</v>
      </c>
      <c r="CX3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3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29</v>
      </c>
      <c r="CZ3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35" s="41" t="str">
        <f aca="false">IF(Tasks[[#This Row],[Task Name]]="","",Tasks[[#This Row],[_Pred1UIDText]]&amp;IF(AND(Tasks[[#This Row],[_Pred1UIDText]]&lt;&gt;"",Tasks[[#This Row],[_Pred2UIDText]]&lt;&gt;""),",","")&amp;Tasks[[#This Row],[_Pred2UIDText]])</f>
        <v>29</v>
      </c>
      <c r="DB35" s="101" t="n">
        <f aca="false">IF(AND(Tasks[[#This Row],[_IsLeaf]]=1,N(Tasks[[#This Row],[Duration]])=0,Tasks[[#This Row],[_LeafProgress]]&lt;1),Tasks[[#This Row],[_LeafFcstFinish]]+Tasks[[#This Row],[_Row]]/100000,"")</f>
        <v>46393.0003</v>
      </c>
      <c r="DC3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35" s="41" t="n">
        <f aca="false">IF(NOT(Tasks[[#This Row],[_IsLeaf]]=1),0,IF(Tasks[[#This Row],[Baseline Cost]]="",Tasks[[#This Row],[_LeafCost]],N(Tasks[[#This Row],[Baseline Cost]])))</f>
        <v>0</v>
      </c>
      <c r="DE35" s="41" t="n">
        <f aca="false">Tasks[[#This Row],[_LeafBudget]]*Tasks[[#This Row],[_PlannedPct]]</f>
        <v>0</v>
      </c>
      <c r="DF35" s="41" t="n">
        <f aca="false">Tasks[[#This Row],[_LeafBudget]]*Tasks[[#This Row],[_LeafProgress]]</f>
        <v>0</v>
      </c>
      <c r="DG35" s="41" t="n">
        <f aca="false">IF(NOT(Tasks[[#This Row],[_IsLeaf]]=1),0,IF(Tasks[[#This Row],[Actual Cost]]="",Tasks[[#This Row],[_LeafCost]]*Tasks[[#This Row],[_LeafProgress]],N(Tasks[[#This Row],[Actual Cost]])))</f>
        <v>0</v>
      </c>
      <c r="DH35" s="41" t="str">
        <f aca="false">IF(Tasks[[#This Row],[Task Name]]="","",LEFT(Tasks[[#This Row],[WBS]],FIND(".",Tasks[[#This Row],[WBS]]&amp;".")-1))</f>
        <v>5</v>
      </c>
      <c r="DI35" s="41" t="str">
        <f aca="false">IF(AND(Tasks[[#This Row],[Task Name]]&lt;&gt;"",Tasks[[#This Row],[_Level]]=1),Tasks[[#This Row],[_Row]],"")</f>
        <v/>
      </c>
      <c r="DJ35" s="101" t="n">
        <f aca="false">IF(AND(Tasks[[#This Row],[_IsLeaf]]=1,N(Tasks[[#This Row],[Duration]])=0),Tasks[[#This Row],[Planned Finish]]+Tasks[[#This Row],[_Row]]/100000,"")</f>
        <v>46393.0003</v>
      </c>
      <c r="DK35" s="41" t="str">
        <f aca="false">IF(AND(Tasks[[#This Row],[_IsLeaf]]=1,Tasks[[#This Row],[_LeafProgress]]&lt;1,OR(N(Tasks[[#This Row],[Finish Var]])&gt;0,Tasks[[#This Row],[Status]]="Late Start")),MAX(0,Tasks[[#This Row],[Finish Var]])+1-Tasks[[#This Row],[_Row]]/1000000,"")</f>
        <v/>
      </c>
      <c r="DL35" s="41" t="str">
        <f aca="false">IF(AND(Tasks[[#This Row],[_IsLeaf]]=1,N(Tasks[[#This Row],[Actual Start]])=0,Tasks[[#This Row],[_LeafFcstStart]]&gt;=StatusDate,Tasks[[#This Row],[_LeafFcstStart]]&lt;=LookaheadEnd),Tasks[[#This Row],[_LeafFcstStart]]+Tasks[[#This Row],[_Row]]/100000,"")</f>
        <v/>
      </c>
      <c r="DM35" s="41" t="str">
        <f aca="false">IF(AND(Tasks[[#This Row],[_IsLeaf]]=1,Tasks[[#This Row],[_LeafProgress]]&lt;1,Tasks[[#This Row],[_LeafFcstFinish]]&gt;=StatusDate,Tasks[[#This Row],[_LeafFcstFinish]]&lt;=LookaheadEnd),Tasks[[#This Row],[_LeafFcstFinish]]+Tasks[[#This Row],[_Row]]/100000,"")</f>
        <v/>
      </c>
      <c r="DN35" s="101" t="n">
        <f aca="false">IF(Tasks[[#This Row],[_LeafCritical]],Tasks[[#This Row],[_LeafFcstStart]]+Tasks[[#This Row],[_Row]]/100000,"")</f>
        <v>46393.0003</v>
      </c>
      <c r="DO35" s="41" t="n">
        <f aca="false">Tasks[[#This Row],[_LeafWork]]*Tasks[[#This Row],[_LeafProgress]]</f>
        <v>0</v>
      </c>
      <c r="DP35" s="100" t="str">
        <f aca="false">IF(AND(Tasks[[#This Row],[_IsLeaf]]=1,Tasks[[#This Row],[_LeafProgress]]&gt;=1),IF(N(Tasks[[#This Row],[Actual Finish]])&gt;0,Tasks[[#This Row],[Actual Finish]],Tasks[[#This Row],[_LeafFcstFinish]]),"")</f>
        <v/>
      </c>
      <c r="DQ35" s="41" t="n">
        <f aca="false">IF(Tasks[[#This Row],[_IsLeaf]]=1,N(Tasks[[#This Row],[Story Points]]),0)</f>
        <v>0</v>
      </c>
      <c r="DR35" s="41" t="str">
        <f aca="false">IF(AND(Tasks[[#This Row],[_IsLeaf]]=1,CurrentSprint&lt;&gt;"",Tasks[[#This Row],[Sprint]]=CurrentSprint),Tasks[[#This Row],[_Row]],"")</f>
        <v/>
      </c>
    </row>
    <row r="36" customFormat="false" ht="15" hidden="false" customHeight="false" outlineLevel="0" collapsed="false">
      <c r="A36" s="28" t="str">
        <f aca="false">IF(Tasks[[#This Row],[Task Name]]="","",COUNTA(Tasks[[#Headers],[Task Name]]:Tasks[[#This Row],[Task Name]])-1)</f>
        <v/>
      </c>
      <c r="B36" s="29" t="n">
        <v>31</v>
      </c>
      <c r="C3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6" s="29"/>
      <c r="E36" s="30"/>
      <c r="F36" s="29"/>
      <c r="G36" s="29"/>
      <c r="H36" s="29"/>
      <c r="I36" s="29"/>
      <c r="J36" s="29"/>
      <c r="K36" s="29"/>
      <c r="L36" s="29"/>
      <c r="M36" s="29"/>
      <c r="N36" s="73"/>
      <c r="O36" s="73"/>
      <c r="P36" s="25" t="str">
        <f aca="false">IF(Tasks[[#This Row],[Task Name]]="","",IF(N(Tasks[[#This Row],[Baseline Start]])&gt;0,Tasks[[#This Row],[Baseline Start]],Tasks[[#This Row],[_CalcStart]]))</f>
        <v/>
      </c>
      <c r="Q36" s="25" t="str">
        <f aca="false">IF(Tasks[[#This Row],[Task Name]]="","",IF(N(Tasks[[#This Row],[Baseline Finish]])&gt;0,Tasks[[#This Row],[Baseline Finish]],Tasks[[#This Row],[_CalcFinish]]))</f>
        <v/>
      </c>
      <c r="R36" s="73"/>
      <c r="S36" s="73"/>
      <c r="T36" s="25" t="str">
        <f aca="false">IF(Tasks[[#This Row],[Task Name]]="","",IF(Tasks[[#This Row],[_IsSummary]],MIN(INDEX(Tasks[_LeafFcstStart],Tasks[[#This Row],[_Row]]+1):INDEX(Tasks[_LeafFcstStart],Tasks[[#This Row],[_Row]]+Tasks[[#This Row],[_Descendants]])),Tasks[[#This Row],[_LeafFcstStart]]))</f>
        <v/>
      </c>
      <c r="U36" s="25" t="str">
        <f aca="false">IF(Tasks[[#This Row],[Task Name]]="","",IF(Tasks[[#This Row],[_IsSummary]],MAX(INDEX(Tasks[_LeafFcstFinish],Tasks[[#This Row],[_Row]]+1):INDEX(Tasks[_LeafFcstFinish],Tasks[[#This Row],[_Row]]+Tasks[[#This Row],[_Descendants]])),Tasks[[#This Row],[_LeafFcstFinish]]))</f>
        <v/>
      </c>
      <c r="V3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3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6" s="25" t="str">
        <f aca="false">IF(Tasks[[#This Row],[Task Name]]="","",IF(Tasks[[#This Row],[_IsSummary]],MIN(INDEX(Tasks[_LeafLateStart],Tasks[[#This Row],[_Row]]+1):INDEX(Tasks[_LeafLateStart],Tasks[[#This Row],[_Row]]+Tasks[[#This Row],[_Descendants]])),Tasks[[#This Row],[_LeafLateStart]]))</f>
        <v/>
      </c>
      <c r="Y36" s="25" t="str">
        <f aca="false">IF(Tasks[[#This Row],[Task Name]]="","",IF(Tasks[[#This Row],[_IsSummary]],MAX(INDEX(Tasks[_LeafLateFinish],Tasks[[#This Row],[_Row]]+1):INDEX(Tasks[_LeafLateFinish],Tasks[[#This Row],[_Row]]+Tasks[[#This Row],[_Descendants]])),Tasks[[#This Row],[_LeafLateFinish]]))</f>
        <v/>
      </c>
      <c r="Z36" s="43" t="str">
        <f aca="false">IF(Tasks[[#This Row],[Task Name]]="","",IF(Tasks[[#This Row],[_IsSummary]],MIN(INDEX(Tasks[_LeafTotalSlack],Tasks[[#This Row],[_Row]]+1):INDEX(Tasks[_LeafTotalSlack],Tasks[[#This Row],[_Row]]+Tasks[[#This Row],[_Descendants]])),Tasks[[#This Row],[_LeafTotalSlack]]))</f>
        <v/>
      </c>
      <c r="AA3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6" s="28" t="str">
        <f aca="false">IF(Tasks[[#This Row],[Task Name]]="","",IF(IF(Tasks[[#This Row],[_IsSummary]],COUNTIF(INDEX(Tasks[_LeafCritical],Tasks[[#This Row],[_Row]]+1):INDEX(Tasks[_LeafCritical],Tasks[[#This Row],[_Row]]+Tasks[[#This Row],[_Descendants]]),TRUE())&gt;0,Tasks[[#This Row],[_LeafCritical]]),"Yes",""))</f>
        <v/>
      </c>
      <c r="AC3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6" s="24" t="str">
        <f aca="false">IF(Tasks[[#This Row],[Task Name]]="","",TRIM(IF(Tasks[[#This Row],[_Pred1Problem]]&lt;&gt;"","Pred 1: "&amp;Tasks[[#This Row],[_Pred1Problem]]&amp;". ","")&amp;IF(Tasks[[#This Row],[_Pred2Problem]]&lt;&gt;"","Pred 2: "&amp;Tasks[[#This Row],[_Pred2Problem]]&amp;".","")))</f>
        <v/>
      </c>
      <c r="AE36" s="88"/>
      <c r="AF36"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6" s="28" t="str">
        <f aca="false">IF(Tasks[[#This Row],[Task Name]]="","",IF(Tasks[[#This Row],[Progress]]&gt;=1,"Complete",IF(OR(N(Tasks[[#This Row],[Actual Start]])&gt;0,Tasks[[#This Row],[Progress]]&gt;0),IF(Tasks[[#This Row],[Finish Var]]&gt;0,"Behind","In Progress"),IF(Tasks[[#This Row],[Planned Start]]&lt;StatusDate,"Late Start","Not Started"))))</f>
        <v/>
      </c>
      <c r="AH36" s="30"/>
      <c r="AI36" s="88"/>
      <c r="AJ36" s="95" t="str">
        <f aca="false">IF(Tasks[[#This Row],[Task Name]]="","",IF(Tasks[[#This Row],[_IsSummary]],SUM(INDEX(Tasks[_LeafWork],Tasks[[#This Row],[_Row]]+1):INDEX(Tasks[_LeafWork],Tasks[[#This Row],[_Row]]+Tasks[[#This Row],[_Descendants]])),Tasks[[#This Row],[_LeafWork]]))</f>
        <v/>
      </c>
      <c r="AK36" s="96" t="str">
        <f aca="false">IF(Tasks[[#This Row],[Task Name]]="","",IF(Tasks[[#This Row],[_IsSummary]],SUM(INDEX(Tasks[_LeafCost],Tasks[[#This Row],[_Row]]+1):INDEX(Tasks[_LeafCost],Tasks[[#This Row],[_Row]]+Tasks[[#This Row],[_Descendants]])),Tasks[[#This Row],[_LeafCost]]))</f>
        <v/>
      </c>
      <c r="AL36" s="97"/>
      <c r="AM36" s="29"/>
      <c r="AN3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36" s="82"/>
      <c r="AP36" s="24" t="str">
        <f aca="false">IF(Tasks[[#This Row],[Task Name]]="","",Tasks[[#This Row],[_Pred1IDText]]&amp;IF(AND(Tasks[[#This Row],[_Pred1IDText]]&lt;&gt;"",Tasks[[#This Row],[_Pred2IDText]]&lt;&gt;""),",","")&amp;Tasks[[#This Row],[_Pred2IDText]])</f>
        <v/>
      </c>
      <c r="AQ36" s="30"/>
      <c r="AR36" s="25" t="str">
        <f aca="false">IF(Tasks[[#This Row],[Task Name]]="","",Tasks[[#This Row],[Forecast Start]])</f>
        <v/>
      </c>
      <c r="AS36" s="25" t="str">
        <f aca="false">IF(Tasks[[#This Row],[Task Name]]="","",Tasks[[#This Row],[Forecast Finish]])</f>
        <v/>
      </c>
      <c r="AT36" s="28" t="str">
        <f aca="false">IF(Tasks[[#This Row],[Task Name]]="","",IF(Tasks[[#This Row],[_IsSummary]],NETWORKDAYS.INTL(Tasks[[#This Row],[Forecast Start]],Tasks[[#This Row],[Forecast Finish]],WorkWeek,Holidays),N(Tasks[[#This Row],[Duration]])))</f>
        <v/>
      </c>
      <c r="AU36" s="95" t="str">
        <f aca="false">IF(Tasks[[#This Row],[Task Name]]="","",Tasks[[#This Row],[Work]])</f>
        <v/>
      </c>
      <c r="AV36" s="96" t="str">
        <f aca="false">IF(Tasks[[#This Row],[Task Name]]="","",Tasks[[#This Row],[Cost]])</f>
        <v/>
      </c>
      <c r="AW36" s="73"/>
      <c r="AX36" s="73"/>
      <c r="AY36" s="29"/>
      <c r="AZ36" s="98"/>
      <c r="BA36" s="97"/>
      <c r="BB36" s="28" t="str">
        <f aca="false">IF(OR(Tasks[[#This Row],[Task Name]]="",Tasks[[#This Row],[Baseline Duration]]=""),"",Tasks[[#This Row],[BL Source Duration]]-N(Tasks[[#This Row],[Baseline Duration]]))</f>
        <v/>
      </c>
      <c r="BC36" s="95" t="str">
        <f aca="false">IF(OR(Tasks[[#This Row],[Task Name]]="",Tasks[[#This Row],[Baseline Work]]=""),"",Tasks[[#This Row],[Work]]-N(Tasks[[#This Row],[Baseline Work]]))</f>
        <v/>
      </c>
      <c r="BD36" s="96" t="str">
        <f aca="false">IF(OR(Tasks[[#This Row],[Task Name]]="",Tasks[[#This Row],[Baseline Cost]]=""),"",Tasks[[#This Row],[Cost]]-N(Tasks[[#This Row],[Baseline Cost]]))</f>
        <v/>
      </c>
      <c r="BE36" s="96" t="str">
        <f aca="false">IF(Tasks[[#This Row],[Task Name]]="","",IF(Tasks[[#This Row],[_IsSummary]],SUM(INDEX(Tasks[_LeafBudget],Tasks[[#This Row],[_Row]]+1):INDEX(Tasks[_LeafBudget],Tasks[[#This Row],[_Row]]+Tasks[[#This Row],[_Descendants]])),Tasks[[#This Row],[_LeafBudget]]))</f>
        <v/>
      </c>
      <c r="BF36" s="96" t="str">
        <f aca="false">IF(Tasks[[#This Row],[Task Name]]="","",IF(Tasks[[#This Row],[_IsSummary]],SUM(INDEX(Tasks[_LeafPV],Tasks[[#This Row],[_Row]]+1):INDEX(Tasks[_LeafPV],Tasks[[#This Row],[_Row]]+Tasks[[#This Row],[_Descendants]])),Tasks[[#This Row],[_LeafPV]]))</f>
        <v/>
      </c>
      <c r="BG36" s="96" t="str">
        <f aca="false">IF(Tasks[[#This Row],[Task Name]]="","",IF(Tasks[[#This Row],[_IsSummary]],SUM(INDEX(Tasks[_LeafEV],Tasks[[#This Row],[_Row]]+1):INDEX(Tasks[_LeafEV],Tasks[[#This Row],[_Row]]+Tasks[[#This Row],[_Descendants]])),Tasks[[#This Row],[_LeafEV]]))</f>
        <v/>
      </c>
      <c r="BH36" s="96" t="str">
        <f aca="false">IF(Tasks[[#This Row],[Task Name]]="","",IF(Tasks[[#This Row],[_IsSummary]],SUM(INDEX(Tasks[_LeafAC],Tasks[[#This Row],[_Row]]+1):INDEX(Tasks[_LeafAC],Tasks[[#This Row],[_Row]]+Tasks[[#This Row],[_Descendants]])),Tasks[[#This Row],[_LeafAC]]))</f>
        <v/>
      </c>
      <c r="BI36" s="41" t="str">
        <f aca="false">IF(Tasks[[#This Row],[Task Name]]="","",MAX(1,N(Tasks[[#This Row],[Level]])))</f>
        <v/>
      </c>
      <c r="BJ36" s="41" t="n">
        <f aca="false">ROW()-ROW(Tasks[[#Headers],[ID]])</f>
        <v>31</v>
      </c>
      <c r="BK36" s="41" t="n">
        <f aca="false">IF(OR(Tasks[[#This Row],[Task Name]]="",Tasks[[#This Row],[_Level]]&lt;=1),0,IFERROR(LOOKUP(2,1/(Tasks[[#Headers],[_Level]]:Tasks[[#This Row],[_Level]]=Tasks[[#This Row],[_Level]]-1),ROW(Tasks[[#Headers],[_Level]]:Tasks[[#This Row],[_Level]])),0))</f>
        <v>0</v>
      </c>
      <c r="BL36" s="41" t="n">
        <f aca="false">IFERROR(N(INDEX(Tasks[_Level],Tasks[[#This Row],[_Row]]+1)),0)</f>
        <v>0</v>
      </c>
      <c r="BM36" s="99" t="b">
        <f aca="false">AND(Tasks[[#This Row],[Task Name]]&lt;&gt;"",Tasks[[#This Row],[_NextLevel]]&gt;Tasks[[#This Row],[_Level]])</f>
        <v>0</v>
      </c>
      <c r="BN36" s="41" t="n">
        <f aca="false">IF(Tasks[[#This Row],[_IsSummary]],COUNTIF(Tasks[WBS],Tasks[[#This Row],[WBS]]&amp;".*"),0)</f>
        <v>0</v>
      </c>
      <c r="BO36" s="41" t="n">
        <f aca="false">IF(AND(Tasks[[#This Row],[Task Name]]&lt;&gt;"",NOT(Tasks[[#This Row],[_IsSummary]])),1,0)</f>
        <v>0</v>
      </c>
      <c r="BP36" s="41" t="n">
        <f aca="false">IF(N(Tasks[[#This Row],[Pred1 UID]])=0,0,IFERROR(MATCH(Tasks[[#This Row],[Pred1 UID]],Tasks[UID],0),-1))</f>
        <v>0</v>
      </c>
      <c r="BQ36" s="41" t="n">
        <f aca="false">IF(N(Tasks[[#This Row],[Pred2 UID]])=0,0,IFERROR(MATCH(Tasks[[#This Row],[Pred2 UID]],Tasks[UID],0),-1))</f>
        <v>0</v>
      </c>
      <c r="BR36"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36" s="100" t="str">
        <f aca="false">IF(NOT(Tasks[[#This Row],[_IsLeaf]]=1),"",IF(N(Tasks[[#This Row],[Duration]])&lt;=0,Tasks[[#This Row],[_LeafCalcStart]],WORKDAY.INTL(Tasks[[#This Row],[_LeafCalcStart]],Tasks[[#This Row],[Duration]]-1,WorkWeek,Holidays)))</f>
        <v/>
      </c>
      <c r="BT36"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36"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36" s="41" t="n">
        <f aca="false">IF(NOT(Tasks[[#This Row],[_IsLeaf]]=1),0,IF(N(Tasks[[#This Row],[Actual Finish]])&gt;0,1,MIN(1,N(Tasks[[#This Row],[% Complete]]))))</f>
        <v>0</v>
      </c>
      <c r="BW36" s="41" t="n">
        <f aca="false">IF(OR(NOT(Tasks[[#This Row],[_IsLeaf]]=1),Tasks[[#This Row],[Resource]]=""),0,N(Tasks[[#This Row],[Duration]])*HoursPerDay*IF(Tasks[[#This Row],[Units]]="",DefaultUnits,Tasks[[#This Row],[Units]]))</f>
        <v>0</v>
      </c>
      <c r="BX36" s="41" t="n">
        <f aca="false">IF(Tasks[[#This Row],[_LeafWork]]=0,0,Tasks[[#This Row],[_LeafWork]]*IFERROR(INDEX(res_Rate,MATCH(Tasks[[#This Row],[Resource]],res_Name,0)),0))</f>
        <v>0</v>
      </c>
      <c r="BY3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3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3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3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36" s="41" t="n">
        <f aca="false">IF(NOT(Tasks[[#This Row],[_IsLeaf]]=1),0,MAX(_xlfn.MAXIFS(Tasks[_Row],Tasks[Pred1 UID],Tasks[[#This Row],[UID]]),_xlfn.MAXIFS(Tasks[_Row],Tasks[Pred2 UID],Tasks[[#This Row],[UID]])))</f>
        <v>0</v>
      </c>
      <c r="CD36"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36" s="100" t="str">
        <f aca="false">IF(NOT(Tasks[[#This Row],[_IsLeaf]]=1),"",MIN(ProjectFinish,IF(N(Tasks[[#This Row],[Deadline]])&gt;0,Tasks[[#This Row],[Deadline]],2958465),Tasks[[#This Row],[_SuccessorFinishLimit]]))</f>
        <v/>
      </c>
      <c r="CF36" s="100" t="str">
        <f aca="false">IF(NOT(Tasks[[#This Row],[_IsLeaf]]=1),"",IF(N(Tasks[[#This Row],[Duration]])&lt;=0,Tasks[[#This Row],[_LeafLateFinish]],WORKDAY.INTL(Tasks[[#This Row],[_LeafLateFinish]],-(Tasks[[#This Row],[Duration]]-1),WorkWeek,Holidays)))</f>
        <v/>
      </c>
      <c r="CG3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36" s="99" t="b">
        <f aca="false">AND(Tasks[[#This Row],[_IsLeaf]]=1,Tasks[[#This Row],[_LeafProgress]]&lt;1,N(Tasks[[#This Row],[_LeafTotalSlack]])&lt;=CriticalSlackDays)</f>
        <v>0</v>
      </c>
      <c r="CI36" s="100" t="str">
        <f aca="false">IF(Tasks[[#This Row],[Task Name]]="","",IF(Tasks[[#This Row],[_IsSummary]],MIN(INDEX(Tasks[_LeafCalcStart],Tasks[[#This Row],[_Row]]+1):INDEX(Tasks[_LeafCalcStart],Tasks[[#This Row],[_Row]]+Tasks[[#This Row],[_Descendants]])),Tasks[[#This Row],[_LeafCalcStart]]))</f>
        <v/>
      </c>
      <c r="CJ36" s="100" t="str">
        <f aca="false">IF(Tasks[[#This Row],[Task Name]]="","",IF(Tasks[[#This Row],[_IsSummary]],MAX(INDEX(Tasks[_LeafCalcFinish],Tasks[[#This Row],[_Row]]+1):INDEX(Tasks[_LeafCalcFinish],Tasks[[#This Row],[_Row]]+Tasks[[#This Row],[_Descendants]])),Tasks[[#This Row],[_LeafCalcFinish]]))</f>
        <v/>
      </c>
      <c r="CK3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3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36"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36"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36"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36"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36" s="41" t="n">
        <f aca="false">IF(AND(Tasks[[#This Row],[_IsLeaf]]=1,Tasks[[#This Row],[_LeafWork]]&gt;0),NETWORKDAYS.INTL(ProjectStart,Tasks[[#This Row],[_LeafFcstStart]],WorkWeek,Holidays),0)</f>
        <v>0</v>
      </c>
      <c r="CR36" s="41" t="n">
        <f aca="false">IF(AND(Tasks[[#This Row],[_IsLeaf]]=1,Tasks[[#This Row],[_LeafWork]]&gt;0),MAX(Tasks[[#This Row],[_StartWorkday]],NETWORKDAYS.INTL(ProjectStart,Tasks[[#This Row],[_LeafFcstFinish]],WorkWeek,Holidays)),0)</f>
        <v>0</v>
      </c>
      <c r="CS36" s="41" t="n">
        <f aca="false">IF(AND(Tasks[[#This Row],[_IsLeaf]]=1,Tasks[[#This Row],[_LeafWork]]&gt;0),Tasks[[#This Row],[_LeafWork]]/(Tasks[[#This Row],[_FinishWorkday]]-Tasks[[#This Row],[_StartWorkday]]+1),0)</f>
        <v>0</v>
      </c>
      <c r="CT36" s="41" t="n">
        <f aca="false">Tasks[[#This Row],[_WorkPerWorkday]]*(Tasks[[#This Row],[_StartWorkday]]-1)</f>
        <v>-0</v>
      </c>
      <c r="CU36" s="41" t="n">
        <f aca="false">IF(Tasks[[#This Row],[_IsLeaf]]=1,MAX(N(Tasks[[#This Row],[Duration]]),0.1),0)</f>
        <v>0</v>
      </c>
      <c r="CV36" s="41" t="n">
        <f aca="false">Tasks[[#This Row],[_WeightDur]]*Tasks[[#This Row],[_LeafProgress]]</f>
        <v>0</v>
      </c>
      <c r="CW3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3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3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3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36" s="41" t="str">
        <f aca="false">IF(Tasks[[#This Row],[Task Name]]="","",Tasks[[#This Row],[_Pred1UIDText]]&amp;IF(AND(Tasks[[#This Row],[_Pred1UIDText]]&lt;&gt;"",Tasks[[#This Row],[_Pred2UIDText]]&lt;&gt;""),",","")&amp;Tasks[[#This Row],[_Pred2UIDText]])</f>
        <v/>
      </c>
      <c r="DB36" s="41" t="str">
        <f aca="false">IF(AND(Tasks[[#This Row],[_IsLeaf]]=1,N(Tasks[[#This Row],[Duration]])=0,Tasks[[#This Row],[_LeafProgress]]&lt;1),Tasks[[#This Row],[_LeafFcstFinish]]+Tasks[[#This Row],[_Row]]/100000,"")</f>
        <v/>
      </c>
      <c r="DC3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36" s="41" t="n">
        <f aca="false">IF(NOT(Tasks[[#This Row],[_IsLeaf]]=1),0,IF(Tasks[[#This Row],[Baseline Cost]]="",Tasks[[#This Row],[_LeafCost]],N(Tasks[[#This Row],[Baseline Cost]])))</f>
        <v>0</v>
      </c>
      <c r="DE36" s="41" t="n">
        <f aca="false">Tasks[[#This Row],[_LeafBudget]]*Tasks[[#This Row],[_PlannedPct]]</f>
        <v>0</v>
      </c>
      <c r="DF36" s="41" t="n">
        <f aca="false">Tasks[[#This Row],[_LeafBudget]]*Tasks[[#This Row],[_LeafProgress]]</f>
        <v>0</v>
      </c>
      <c r="DG36" s="41" t="n">
        <f aca="false">IF(NOT(Tasks[[#This Row],[_IsLeaf]]=1),0,IF(Tasks[[#This Row],[Actual Cost]]="",Tasks[[#This Row],[_LeafCost]]*Tasks[[#This Row],[_LeafProgress]],N(Tasks[[#This Row],[Actual Cost]])))</f>
        <v>0</v>
      </c>
      <c r="DH36" s="41" t="str">
        <f aca="false">IF(Tasks[[#This Row],[Task Name]]="","",LEFT(Tasks[[#This Row],[WBS]],FIND(".",Tasks[[#This Row],[WBS]]&amp;".")-1))</f>
        <v/>
      </c>
      <c r="DI36" s="41" t="str">
        <f aca="false">IF(AND(Tasks[[#This Row],[Task Name]]&lt;&gt;"",Tasks[[#This Row],[_Level]]=1),Tasks[[#This Row],[_Row]],"")</f>
        <v/>
      </c>
      <c r="DJ36" s="41" t="str">
        <f aca="false">IF(AND(Tasks[[#This Row],[_IsLeaf]]=1,N(Tasks[[#This Row],[Duration]])=0),Tasks[[#This Row],[Planned Finish]]+Tasks[[#This Row],[_Row]]/100000,"")</f>
        <v/>
      </c>
      <c r="DK36" s="41" t="str">
        <f aca="false">IF(AND(Tasks[[#This Row],[_IsLeaf]]=1,Tasks[[#This Row],[_LeafProgress]]&lt;1,OR(N(Tasks[[#This Row],[Finish Var]])&gt;0,Tasks[[#This Row],[Status]]="Late Start")),MAX(0,Tasks[[#This Row],[Finish Var]])+1-Tasks[[#This Row],[_Row]]/1000000,"")</f>
        <v/>
      </c>
      <c r="DL36" s="41" t="str">
        <f aca="false">IF(AND(Tasks[[#This Row],[_IsLeaf]]=1,N(Tasks[[#This Row],[Actual Start]])=0,Tasks[[#This Row],[_LeafFcstStart]]&gt;=StatusDate,Tasks[[#This Row],[_LeafFcstStart]]&lt;=LookaheadEnd),Tasks[[#This Row],[_LeafFcstStart]]+Tasks[[#This Row],[_Row]]/100000,"")</f>
        <v/>
      </c>
      <c r="DM36" s="41" t="str">
        <f aca="false">IF(AND(Tasks[[#This Row],[_IsLeaf]]=1,Tasks[[#This Row],[_LeafProgress]]&lt;1,Tasks[[#This Row],[_LeafFcstFinish]]&gt;=StatusDate,Tasks[[#This Row],[_LeafFcstFinish]]&lt;=LookaheadEnd),Tasks[[#This Row],[_LeafFcstFinish]]+Tasks[[#This Row],[_Row]]/100000,"")</f>
        <v/>
      </c>
      <c r="DN36" s="41" t="str">
        <f aca="false">IF(Tasks[[#This Row],[_LeafCritical]],Tasks[[#This Row],[_LeafFcstStart]]+Tasks[[#This Row],[_Row]]/100000,"")</f>
        <v/>
      </c>
      <c r="DO36" s="41" t="n">
        <f aca="false">Tasks[[#This Row],[_LeafWork]]*Tasks[[#This Row],[_LeafProgress]]</f>
        <v>0</v>
      </c>
      <c r="DP36" s="100" t="str">
        <f aca="false">IF(AND(Tasks[[#This Row],[_IsLeaf]]=1,Tasks[[#This Row],[_LeafProgress]]&gt;=1),IF(N(Tasks[[#This Row],[Actual Finish]])&gt;0,Tasks[[#This Row],[Actual Finish]],Tasks[[#This Row],[_LeafFcstFinish]]),"")</f>
        <v/>
      </c>
      <c r="DQ36" s="41" t="n">
        <f aca="false">IF(Tasks[[#This Row],[_IsLeaf]]=1,N(Tasks[[#This Row],[Story Points]]),0)</f>
        <v>0</v>
      </c>
      <c r="DR36" s="41" t="str">
        <f aca="false">IF(AND(Tasks[[#This Row],[_IsLeaf]]=1,CurrentSprint&lt;&gt;"",Tasks[[#This Row],[Sprint]]=CurrentSprint),Tasks[[#This Row],[_Row]],"")</f>
        <v/>
      </c>
    </row>
    <row r="37" customFormat="false" ht="15" hidden="false" customHeight="false" outlineLevel="0" collapsed="false">
      <c r="A37" s="28" t="str">
        <f aca="false">IF(Tasks[[#This Row],[Task Name]]="","",COUNTA(Tasks[[#Headers],[Task Name]]:Tasks[[#This Row],[Task Name]])-1)</f>
        <v/>
      </c>
      <c r="B37" s="29" t="n">
        <v>32</v>
      </c>
      <c r="C3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7" s="29"/>
      <c r="E37" s="30"/>
      <c r="F37" s="29"/>
      <c r="G37" s="29"/>
      <c r="H37" s="29"/>
      <c r="I37" s="29"/>
      <c r="J37" s="29"/>
      <c r="K37" s="29"/>
      <c r="L37" s="29"/>
      <c r="M37" s="29"/>
      <c r="N37" s="73"/>
      <c r="O37" s="73"/>
      <c r="P37" s="25" t="str">
        <f aca="false">IF(Tasks[[#This Row],[Task Name]]="","",IF(N(Tasks[[#This Row],[Baseline Start]])&gt;0,Tasks[[#This Row],[Baseline Start]],Tasks[[#This Row],[_CalcStart]]))</f>
        <v/>
      </c>
      <c r="Q37" s="25" t="str">
        <f aca="false">IF(Tasks[[#This Row],[Task Name]]="","",IF(N(Tasks[[#This Row],[Baseline Finish]])&gt;0,Tasks[[#This Row],[Baseline Finish]],Tasks[[#This Row],[_CalcFinish]]))</f>
        <v/>
      </c>
      <c r="R37" s="73"/>
      <c r="S37" s="73"/>
      <c r="T37" s="25" t="str">
        <f aca="false">IF(Tasks[[#This Row],[Task Name]]="","",IF(Tasks[[#This Row],[_IsSummary]],MIN(INDEX(Tasks[_LeafFcstStart],Tasks[[#This Row],[_Row]]+1):INDEX(Tasks[_LeafFcstStart],Tasks[[#This Row],[_Row]]+Tasks[[#This Row],[_Descendants]])),Tasks[[#This Row],[_LeafFcstStart]]))</f>
        <v/>
      </c>
      <c r="U37" s="25" t="str">
        <f aca="false">IF(Tasks[[#This Row],[Task Name]]="","",IF(Tasks[[#This Row],[_IsSummary]],MAX(INDEX(Tasks[_LeafFcstFinish],Tasks[[#This Row],[_Row]]+1):INDEX(Tasks[_LeafFcstFinish],Tasks[[#This Row],[_Row]]+Tasks[[#This Row],[_Descendants]])),Tasks[[#This Row],[_LeafFcstFinish]]))</f>
        <v/>
      </c>
      <c r="V3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3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7" s="25" t="str">
        <f aca="false">IF(Tasks[[#This Row],[Task Name]]="","",IF(Tasks[[#This Row],[_IsSummary]],MIN(INDEX(Tasks[_LeafLateStart],Tasks[[#This Row],[_Row]]+1):INDEX(Tasks[_LeafLateStart],Tasks[[#This Row],[_Row]]+Tasks[[#This Row],[_Descendants]])),Tasks[[#This Row],[_LeafLateStart]]))</f>
        <v/>
      </c>
      <c r="Y37" s="25" t="str">
        <f aca="false">IF(Tasks[[#This Row],[Task Name]]="","",IF(Tasks[[#This Row],[_IsSummary]],MAX(INDEX(Tasks[_LeafLateFinish],Tasks[[#This Row],[_Row]]+1):INDEX(Tasks[_LeafLateFinish],Tasks[[#This Row],[_Row]]+Tasks[[#This Row],[_Descendants]])),Tasks[[#This Row],[_LeafLateFinish]]))</f>
        <v/>
      </c>
      <c r="Z37" s="43" t="str">
        <f aca="false">IF(Tasks[[#This Row],[Task Name]]="","",IF(Tasks[[#This Row],[_IsSummary]],MIN(INDEX(Tasks[_LeafTotalSlack],Tasks[[#This Row],[_Row]]+1):INDEX(Tasks[_LeafTotalSlack],Tasks[[#This Row],[_Row]]+Tasks[[#This Row],[_Descendants]])),Tasks[[#This Row],[_LeafTotalSlack]]))</f>
        <v/>
      </c>
      <c r="AA3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7" s="28" t="str">
        <f aca="false">IF(Tasks[[#This Row],[Task Name]]="","",IF(IF(Tasks[[#This Row],[_IsSummary]],COUNTIF(INDEX(Tasks[_LeafCritical],Tasks[[#This Row],[_Row]]+1):INDEX(Tasks[_LeafCritical],Tasks[[#This Row],[_Row]]+Tasks[[#This Row],[_Descendants]]),TRUE())&gt;0,Tasks[[#This Row],[_LeafCritical]]),"Yes",""))</f>
        <v/>
      </c>
      <c r="AC3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7" s="24" t="str">
        <f aca="false">IF(Tasks[[#This Row],[Task Name]]="","",TRIM(IF(Tasks[[#This Row],[_Pred1Problem]]&lt;&gt;"","Pred 1: "&amp;Tasks[[#This Row],[_Pred1Problem]]&amp;". ","")&amp;IF(Tasks[[#This Row],[_Pred2Problem]]&lt;&gt;"","Pred 2: "&amp;Tasks[[#This Row],[_Pred2Problem]]&amp;".","")))</f>
        <v/>
      </c>
      <c r="AE37" s="88"/>
      <c r="AF37"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7" s="28" t="str">
        <f aca="false">IF(Tasks[[#This Row],[Task Name]]="","",IF(Tasks[[#This Row],[Progress]]&gt;=1,"Complete",IF(OR(N(Tasks[[#This Row],[Actual Start]])&gt;0,Tasks[[#This Row],[Progress]]&gt;0),IF(Tasks[[#This Row],[Finish Var]]&gt;0,"Behind","In Progress"),IF(Tasks[[#This Row],[Planned Start]]&lt;StatusDate,"Late Start","Not Started"))))</f>
        <v/>
      </c>
      <c r="AH37" s="30"/>
      <c r="AI37" s="88"/>
      <c r="AJ37" s="95" t="str">
        <f aca="false">IF(Tasks[[#This Row],[Task Name]]="","",IF(Tasks[[#This Row],[_IsSummary]],SUM(INDEX(Tasks[_LeafWork],Tasks[[#This Row],[_Row]]+1):INDEX(Tasks[_LeafWork],Tasks[[#This Row],[_Row]]+Tasks[[#This Row],[_Descendants]])),Tasks[[#This Row],[_LeafWork]]))</f>
        <v/>
      </c>
      <c r="AK37" s="96" t="str">
        <f aca="false">IF(Tasks[[#This Row],[Task Name]]="","",IF(Tasks[[#This Row],[_IsSummary]],SUM(INDEX(Tasks[_LeafCost],Tasks[[#This Row],[_Row]]+1):INDEX(Tasks[_LeafCost],Tasks[[#This Row],[_Row]]+Tasks[[#This Row],[_Descendants]])),Tasks[[#This Row],[_LeafCost]]))</f>
        <v/>
      </c>
      <c r="AL37" s="97"/>
      <c r="AM37" s="29"/>
      <c r="AN3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37" s="82"/>
      <c r="AP37" s="24" t="str">
        <f aca="false">IF(Tasks[[#This Row],[Task Name]]="","",Tasks[[#This Row],[_Pred1IDText]]&amp;IF(AND(Tasks[[#This Row],[_Pred1IDText]]&lt;&gt;"",Tasks[[#This Row],[_Pred2IDText]]&lt;&gt;""),",","")&amp;Tasks[[#This Row],[_Pred2IDText]])</f>
        <v/>
      </c>
      <c r="AQ37" s="30"/>
      <c r="AR37" s="25" t="str">
        <f aca="false">IF(Tasks[[#This Row],[Task Name]]="","",Tasks[[#This Row],[Forecast Start]])</f>
        <v/>
      </c>
      <c r="AS37" s="25" t="str">
        <f aca="false">IF(Tasks[[#This Row],[Task Name]]="","",Tasks[[#This Row],[Forecast Finish]])</f>
        <v/>
      </c>
      <c r="AT37" s="28" t="str">
        <f aca="false">IF(Tasks[[#This Row],[Task Name]]="","",IF(Tasks[[#This Row],[_IsSummary]],NETWORKDAYS.INTL(Tasks[[#This Row],[Forecast Start]],Tasks[[#This Row],[Forecast Finish]],WorkWeek,Holidays),N(Tasks[[#This Row],[Duration]])))</f>
        <v/>
      </c>
      <c r="AU37" s="95" t="str">
        <f aca="false">IF(Tasks[[#This Row],[Task Name]]="","",Tasks[[#This Row],[Work]])</f>
        <v/>
      </c>
      <c r="AV37" s="96" t="str">
        <f aca="false">IF(Tasks[[#This Row],[Task Name]]="","",Tasks[[#This Row],[Cost]])</f>
        <v/>
      </c>
      <c r="AW37" s="73"/>
      <c r="AX37" s="73"/>
      <c r="AY37" s="29"/>
      <c r="AZ37" s="98"/>
      <c r="BA37" s="97"/>
      <c r="BB37" s="28" t="str">
        <f aca="false">IF(OR(Tasks[[#This Row],[Task Name]]="",Tasks[[#This Row],[Baseline Duration]]=""),"",Tasks[[#This Row],[BL Source Duration]]-N(Tasks[[#This Row],[Baseline Duration]]))</f>
        <v/>
      </c>
      <c r="BC37" s="95" t="str">
        <f aca="false">IF(OR(Tasks[[#This Row],[Task Name]]="",Tasks[[#This Row],[Baseline Work]]=""),"",Tasks[[#This Row],[Work]]-N(Tasks[[#This Row],[Baseline Work]]))</f>
        <v/>
      </c>
      <c r="BD37" s="96" t="str">
        <f aca="false">IF(OR(Tasks[[#This Row],[Task Name]]="",Tasks[[#This Row],[Baseline Cost]]=""),"",Tasks[[#This Row],[Cost]]-N(Tasks[[#This Row],[Baseline Cost]]))</f>
        <v/>
      </c>
      <c r="BE37" s="96" t="str">
        <f aca="false">IF(Tasks[[#This Row],[Task Name]]="","",IF(Tasks[[#This Row],[_IsSummary]],SUM(INDEX(Tasks[_LeafBudget],Tasks[[#This Row],[_Row]]+1):INDEX(Tasks[_LeafBudget],Tasks[[#This Row],[_Row]]+Tasks[[#This Row],[_Descendants]])),Tasks[[#This Row],[_LeafBudget]]))</f>
        <v/>
      </c>
      <c r="BF37" s="96" t="str">
        <f aca="false">IF(Tasks[[#This Row],[Task Name]]="","",IF(Tasks[[#This Row],[_IsSummary]],SUM(INDEX(Tasks[_LeafPV],Tasks[[#This Row],[_Row]]+1):INDEX(Tasks[_LeafPV],Tasks[[#This Row],[_Row]]+Tasks[[#This Row],[_Descendants]])),Tasks[[#This Row],[_LeafPV]]))</f>
        <v/>
      </c>
      <c r="BG37" s="96" t="str">
        <f aca="false">IF(Tasks[[#This Row],[Task Name]]="","",IF(Tasks[[#This Row],[_IsSummary]],SUM(INDEX(Tasks[_LeafEV],Tasks[[#This Row],[_Row]]+1):INDEX(Tasks[_LeafEV],Tasks[[#This Row],[_Row]]+Tasks[[#This Row],[_Descendants]])),Tasks[[#This Row],[_LeafEV]]))</f>
        <v/>
      </c>
      <c r="BH37" s="96" t="str">
        <f aca="false">IF(Tasks[[#This Row],[Task Name]]="","",IF(Tasks[[#This Row],[_IsSummary]],SUM(INDEX(Tasks[_LeafAC],Tasks[[#This Row],[_Row]]+1):INDEX(Tasks[_LeafAC],Tasks[[#This Row],[_Row]]+Tasks[[#This Row],[_Descendants]])),Tasks[[#This Row],[_LeafAC]]))</f>
        <v/>
      </c>
      <c r="BI37" s="41" t="str">
        <f aca="false">IF(Tasks[[#This Row],[Task Name]]="","",MAX(1,N(Tasks[[#This Row],[Level]])))</f>
        <v/>
      </c>
      <c r="BJ37" s="41" t="n">
        <f aca="false">ROW()-ROW(Tasks[[#Headers],[ID]])</f>
        <v>32</v>
      </c>
      <c r="BK37" s="41" t="n">
        <f aca="false">IF(OR(Tasks[[#This Row],[Task Name]]="",Tasks[[#This Row],[_Level]]&lt;=1),0,IFERROR(LOOKUP(2,1/(Tasks[[#Headers],[_Level]]:Tasks[[#This Row],[_Level]]=Tasks[[#This Row],[_Level]]-1),ROW(Tasks[[#Headers],[_Level]]:Tasks[[#This Row],[_Level]])),0))</f>
        <v>0</v>
      </c>
      <c r="BL37" s="41" t="n">
        <f aca="false">IFERROR(N(INDEX(Tasks[_Level],Tasks[[#This Row],[_Row]]+1)),0)</f>
        <v>0</v>
      </c>
      <c r="BM37" s="99" t="b">
        <f aca="false">AND(Tasks[[#This Row],[Task Name]]&lt;&gt;"",Tasks[[#This Row],[_NextLevel]]&gt;Tasks[[#This Row],[_Level]])</f>
        <v>0</v>
      </c>
      <c r="BN37" s="41" t="n">
        <f aca="false">IF(Tasks[[#This Row],[_IsSummary]],COUNTIF(Tasks[WBS],Tasks[[#This Row],[WBS]]&amp;".*"),0)</f>
        <v>0</v>
      </c>
      <c r="BO37" s="41" t="n">
        <f aca="false">IF(AND(Tasks[[#This Row],[Task Name]]&lt;&gt;"",NOT(Tasks[[#This Row],[_IsSummary]])),1,0)</f>
        <v>0</v>
      </c>
      <c r="BP37" s="41" t="n">
        <f aca="false">IF(N(Tasks[[#This Row],[Pred1 UID]])=0,0,IFERROR(MATCH(Tasks[[#This Row],[Pred1 UID]],Tasks[UID],0),-1))</f>
        <v>0</v>
      </c>
      <c r="BQ37" s="41" t="n">
        <f aca="false">IF(N(Tasks[[#This Row],[Pred2 UID]])=0,0,IFERROR(MATCH(Tasks[[#This Row],[Pred2 UID]],Tasks[UID],0),-1))</f>
        <v>0</v>
      </c>
      <c r="BR37"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37" s="100" t="str">
        <f aca="false">IF(NOT(Tasks[[#This Row],[_IsLeaf]]=1),"",IF(N(Tasks[[#This Row],[Duration]])&lt;=0,Tasks[[#This Row],[_LeafCalcStart]],WORKDAY.INTL(Tasks[[#This Row],[_LeafCalcStart]],Tasks[[#This Row],[Duration]]-1,WorkWeek,Holidays)))</f>
        <v/>
      </c>
      <c r="BT37"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37"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37" s="41" t="n">
        <f aca="false">IF(NOT(Tasks[[#This Row],[_IsLeaf]]=1),0,IF(N(Tasks[[#This Row],[Actual Finish]])&gt;0,1,MIN(1,N(Tasks[[#This Row],[% Complete]]))))</f>
        <v>0</v>
      </c>
      <c r="BW37" s="41" t="n">
        <f aca="false">IF(OR(NOT(Tasks[[#This Row],[_IsLeaf]]=1),Tasks[[#This Row],[Resource]]=""),0,N(Tasks[[#This Row],[Duration]])*HoursPerDay*IF(Tasks[[#This Row],[Units]]="",DefaultUnits,Tasks[[#This Row],[Units]]))</f>
        <v>0</v>
      </c>
      <c r="BX37" s="41" t="n">
        <f aca="false">IF(Tasks[[#This Row],[_LeafWork]]=0,0,Tasks[[#This Row],[_LeafWork]]*IFERROR(INDEX(res_Rate,MATCH(Tasks[[#This Row],[Resource]],res_Name,0)),0))</f>
        <v>0</v>
      </c>
      <c r="BY3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3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3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3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37" s="41" t="n">
        <f aca="false">IF(NOT(Tasks[[#This Row],[_IsLeaf]]=1),0,MAX(_xlfn.MAXIFS(Tasks[_Row],Tasks[Pred1 UID],Tasks[[#This Row],[UID]]),_xlfn.MAXIFS(Tasks[_Row],Tasks[Pred2 UID],Tasks[[#This Row],[UID]])))</f>
        <v>0</v>
      </c>
      <c r="CD37"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37" s="100" t="str">
        <f aca="false">IF(NOT(Tasks[[#This Row],[_IsLeaf]]=1),"",MIN(ProjectFinish,IF(N(Tasks[[#This Row],[Deadline]])&gt;0,Tasks[[#This Row],[Deadline]],2958465),Tasks[[#This Row],[_SuccessorFinishLimit]]))</f>
        <v/>
      </c>
      <c r="CF37" s="100" t="str">
        <f aca="false">IF(NOT(Tasks[[#This Row],[_IsLeaf]]=1),"",IF(N(Tasks[[#This Row],[Duration]])&lt;=0,Tasks[[#This Row],[_LeafLateFinish]],WORKDAY.INTL(Tasks[[#This Row],[_LeafLateFinish]],-(Tasks[[#This Row],[Duration]]-1),WorkWeek,Holidays)))</f>
        <v/>
      </c>
      <c r="CG3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37" s="99" t="b">
        <f aca="false">AND(Tasks[[#This Row],[_IsLeaf]]=1,Tasks[[#This Row],[_LeafProgress]]&lt;1,N(Tasks[[#This Row],[_LeafTotalSlack]])&lt;=CriticalSlackDays)</f>
        <v>0</v>
      </c>
      <c r="CI37" s="100" t="str">
        <f aca="false">IF(Tasks[[#This Row],[Task Name]]="","",IF(Tasks[[#This Row],[_IsSummary]],MIN(INDEX(Tasks[_LeafCalcStart],Tasks[[#This Row],[_Row]]+1):INDEX(Tasks[_LeafCalcStart],Tasks[[#This Row],[_Row]]+Tasks[[#This Row],[_Descendants]])),Tasks[[#This Row],[_LeafCalcStart]]))</f>
        <v/>
      </c>
      <c r="CJ37" s="100" t="str">
        <f aca="false">IF(Tasks[[#This Row],[Task Name]]="","",IF(Tasks[[#This Row],[_IsSummary]],MAX(INDEX(Tasks[_LeafCalcFinish],Tasks[[#This Row],[_Row]]+1):INDEX(Tasks[_LeafCalcFinish],Tasks[[#This Row],[_Row]]+Tasks[[#This Row],[_Descendants]])),Tasks[[#This Row],[_LeafCalcFinish]]))</f>
        <v/>
      </c>
      <c r="CK3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3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37"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37"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37"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37"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37" s="41" t="n">
        <f aca="false">IF(AND(Tasks[[#This Row],[_IsLeaf]]=1,Tasks[[#This Row],[_LeafWork]]&gt;0),NETWORKDAYS.INTL(ProjectStart,Tasks[[#This Row],[_LeafFcstStart]],WorkWeek,Holidays),0)</f>
        <v>0</v>
      </c>
      <c r="CR37" s="41" t="n">
        <f aca="false">IF(AND(Tasks[[#This Row],[_IsLeaf]]=1,Tasks[[#This Row],[_LeafWork]]&gt;0),MAX(Tasks[[#This Row],[_StartWorkday]],NETWORKDAYS.INTL(ProjectStart,Tasks[[#This Row],[_LeafFcstFinish]],WorkWeek,Holidays)),0)</f>
        <v>0</v>
      </c>
      <c r="CS37" s="41" t="n">
        <f aca="false">IF(AND(Tasks[[#This Row],[_IsLeaf]]=1,Tasks[[#This Row],[_LeafWork]]&gt;0),Tasks[[#This Row],[_LeafWork]]/(Tasks[[#This Row],[_FinishWorkday]]-Tasks[[#This Row],[_StartWorkday]]+1),0)</f>
        <v>0</v>
      </c>
      <c r="CT37" s="41" t="n">
        <f aca="false">Tasks[[#This Row],[_WorkPerWorkday]]*(Tasks[[#This Row],[_StartWorkday]]-1)</f>
        <v>-0</v>
      </c>
      <c r="CU37" s="41" t="n">
        <f aca="false">IF(Tasks[[#This Row],[_IsLeaf]]=1,MAX(N(Tasks[[#This Row],[Duration]]),0.1),0)</f>
        <v>0</v>
      </c>
      <c r="CV37" s="41" t="n">
        <f aca="false">Tasks[[#This Row],[_WeightDur]]*Tasks[[#This Row],[_LeafProgress]]</f>
        <v>0</v>
      </c>
      <c r="CW3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3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3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3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37" s="41" t="str">
        <f aca="false">IF(Tasks[[#This Row],[Task Name]]="","",Tasks[[#This Row],[_Pred1UIDText]]&amp;IF(AND(Tasks[[#This Row],[_Pred1UIDText]]&lt;&gt;"",Tasks[[#This Row],[_Pred2UIDText]]&lt;&gt;""),",","")&amp;Tasks[[#This Row],[_Pred2UIDText]])</f>
        <v/>
      </c>
      <c r="DB37" s="41" t="str">
        <f aca="false">IF(AND(Tasks[[#This Row],[_IsLeaf]]=1,N(Tasks[[#This Row],[Duration]])=0,Tasks[[#This Row],[_LeafProgress]]&lt;1),Tasks[[#This Row],[_LeafFcstFinish]]+Tasks[[#This Row],[_Row]]/100000,"")</f>
        <v/>
      </c>
      <c r="DC3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37" s="41" t="n">
        <f aca="false">IF(NOT(Tasks[[#This Row],[_IsLeaf]]=1),0,IF(Tasks[[#This Row],[Baseline Cost]]="",Tasks[[#This Row],[_LeafCost]],N(Tasks[[#This Row],[Baseline Cost]])))</f>
        <v>0</v>
      </c>
      <c r="DE37" s="41" t="n">
        <f aca="false">Tasks[[#This Row],[_LeafBudget]]*Tasks[[#This Row],[_PlannedPct]]</f>
        <v>0</v>
      </c>
      <c r="DF37" s="41" t="n">
        <f aca="false">Tasks[[#This Row],[_LeafBudget]]*Tasks[[#This Row],[_LeafProgress]]</f>
        <v>0</v>
      </c>
      <c r="DG37" s="41" t="n">
        <f aca="false">IF(NOT(Tasks[[#This Row],[_IsLeaf]]=1),0,IF(Tasks[[#This Row],[Actual Cost]]="",Tasks[[#This Row],[_LeafCost]]*Tasks[[#This Row],[_LeafProgress]],N(Tasks[[#This Row],[Actual Cost]])))</f>
        <v>0</v>
      </c>
      <c r="DH37" s="41" t="str">
        <f aca="false">IF(Tasks[[#This Row],[Task Name]]="","",LEFT(Tasks[[#This Row],[WBS]],FIND(".",Tasks[[#This Row],[WBS]]&amp;".")-1))</f>
        <v/>
      </c>
      <c r="DI37" s="41" t="str">
        <f aca="false">IF(AND(Tasks[[#This Row],[Task Name]]&lt;&gt;"",Tasks[[#This Row],[_Level]]=1),Tasks[[#This Row],[_Row]],"")</f>
        <v/>
      </c>
      <c r="DJ37" s="41" t="str">
        <f aca="false">IF(AND(Tasks[[#This Row],[_IsLeaf]]=1,N(Tasks[[#This Row],[Duration]])=0),Tasks[[#This Row],[Planned Finish]]+Tasks[[#This Row],[_Row]]/100000,"")</f>
        <v/>
      </c>
      <c r="DK37" s="41" t="str">
        <f aca="false">IF(AND(Tasks[[#This Row],[_IsLeaf]]=1,Tasks[[#This Row],[_LeafProgress]]&lt;1,OR(N(Tasks[[#This Row],[Finish Var]])&gt;0,Tasks[[#This Row],[Status]]="Late Start")),MAX(0,Tasks[[#This Row],[Finish Var]])+1-Tasks[[#This Row],[_Row]]/1000000,"")</f>
        <v/>
      </c>
      <c r="DL37" s="41" t="str">
        <f aca="false">IF(AND(Tasks[[#This Row],[_IsLeaf]]=1,N(Tasks[[#This Row],[Actual Start]])=0,Tasks[[#This Row],[_LeafFcstStart]]&gt;=StatusDate,Tasks[[#This Row],[_LeafFcstStart]]&lt;=LookaheadEnd),Tasks[[#This Row],[_LeafFcstStart]]+Tasks[[#This Row],[_Row]]/100000,"")</f>
        <v/>
      </c>
      <c r="DM37" s="41" t="str">
        <f aca="false">IF(AND(Tasks[[#This Row],[_IsLeaf]]=1,Tasks[[#This Row],[_LeafProgress]]&lt;1,Tasks[[#This Row],[_LeafFcstFinish]]&gt;=StatusDate,Tasks[[#This Row],[_LeafFcstFinish]]&lt;=LookaheadEnd),Tasks[[#This Row],[_LeafFcstFinish]]+Tasks[[#This Row],[_Row]]/100000,"")</f>
        <v/>
      </c>
      <c r="DN37" s="41" t="str">
        <f aca="false">IF(Tasks[[#This Row],[_LeafCritical]],Tasks[[#This Row],[_LeafFcstStart]]+Tasks[[#This Row],[_Row]]/100000,"")</f>
        <v/>
      </c>
      <c r="DO37" s="41" t="n">
        <f aca="false">Tasks[[#This Row],[_LeafWork]]*Tasks[[#This Row],[_LeafProgress]]</f>
        <v>0</v>
      </c>
      <c r="DP37" s="100" t="str">
        <f aca="false">IF(AND(Tasks[[#This Row],[_IsLeaf]]=1,Tasks[[#This Row],[_LeafProgress]]&gt;=1),IF(N(Tasks[[#This Row],[Actual Finish]])&gt;0,Tasks[[#This Row],[Actual Finish]],Tasks[[#This Row],[_LeafFcstFinish]]),"")</f>
        <v/>
      </c>
      <c r="DQ37" s="41" t="n">
        <f aca="false">IF(Tasks[[#This Row],[_IsLeaf]]=1,N(Tasks[[#This Row],[Story Points]]),0)</f>
        <v>0</v>
      </c>
      <c r="DR37" s="41" t="str">
        <f aca="false">IF(AND(Tasks[[#This Row],[_IsLeaf]]=1,CurrentSprint&lt;&gt;"",Tasks[[#This Row],[Sprint]]=CurrentSprint),Tasks[[#This Row],[_Row]],"")</f>
        <v/>
      </c>
    </row>
    <row r="38" customFormat="false" ht="15" hidden="false" customHeight="false" outlineLevel="0" collapsed="false">
      <c r="A38" s="28" t="str">
        <f aca="false">IF(Tasks[[#This Row],[Task Name]]="","",COUNTA(Tasks[[#Headers],[Task Name]]:Tasks[[#This Row],[Task Name]])-1)</f>
        <v/>
      </c>
      <c r="B38" s="29" t="n">
        <v>33</v>
      </c>
      <c r="C3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8" s="29"/>
      <c r="E38" s="30"/>
      <c r="F38" s="29"/>
      <c r="G38" s="29"/>
      <c r="H38" s="29"/>
      <c r="I38" s="29"/>
      <c r="J38" s="29"/>
      <c r="K38" s="29"/>
      <c r="L38" s="29"/>
      <c r="M38" s="29"/>
      <c r="N38" s="73"/>
      <c r="O38" s="73"/>
      <c r="P38" s="25" t="str">
        <f aca="false">IF(Tasks[[#This Row],[Task Name]]="","",IF(N(Tasks[[#This Row],[Baseline Start]])&gt;0,Tasks[[#This Row],[Baseline Start]],Tasks[[#This Row],[_CalcStart]]))</f>
        <v/>
      </c>
      <c r="Q38" s="25" t="str">
        <f aca="false">IF(Tasks[[#This Row],[Task Name]]="","",IF(N(Tasks[[#This Row],[Baseline Finish]])&gt;0,Tasks[[#This Row],[Baseline Finish]],Tasks[[#This Row],[_CalcFinish]]))</f>
        <v/>
      </c>
      <c r="R38" s="73"/>
      <c r="S38" s="73"/>
      <c r="T38" s="25" t="str">
        <f aca="false">IF(Tasks[[#This Row],[Task Name]]="","",IF(Tasks[[#This Row],[_IsSummary]],MIN(INDEX(Tasks[_LeafFcstStart],Tasks[[#This Row],[_Row]]+1):INDEX(Tasks[_LeafFcstStart],Tasks[[#This Row],[_Row]]+Tasks[[#This Row],[_Descendants]])),Tasks[[#This Row],[_LeafFcstStart]]))</f>
        <v/>
      </c>
      <c r="U38" s="25" t="str">
        <f aca="false">IF(Tasks[[#This Row],[Task Name]]="","",IF(Tasks[[#This Row],[_IsSummary]],MAX(INDEX(Tasks[_LeafFcstFinish],Tasks[[#This Row],[_Row]]+1):INDEX(Tasks[_LeafFcstFinish],Tasks[[#This Row],[_Row]]+Tasks[[#This Row],[_Descendants]])),Tasks[[#This Row],[_LeafFcstFinish]]))</f>
        <v/>
      </c>
      <c r="V3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3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8" s="25" t="str">
        <f aca="false">IF(Tasks[[#This Row],[Task Name]]="","",IF(Tasks[[#This Row],[_IsSummary]],MIN(INDEX(Tasks[_LeafLateStart],Tasks[[#This Row],[_Row]]+1):INDEX(Tasks[_LeafLateStart],Tasks[[#This Row],[_Row]]+Tasks[[#This Row],[_Descendants]])),Tasks[[#This Row],[_LeafLateStart]]))</f>
        <v/>
      </c>
      <c r="Y38" s="25" t="str">
        <f aca="false">IF(Tasks[[#This Row],[Task Name]]="","",IF(Tasks[[#This Row],[_IsSummary]],MAX(INDEX(Tasks[_LeafLateFinish],Tasks[[#This Row],[_Row]]+1):INDEX(Tasks[_LeafLateFinish],Tasks[[#This Row],[_Row]]+Tasks[[#This Row],[_Descendants]])),Tasks[[#This Row],[_LeafLateFinish]]))</f>
        <v/>
      </c>
      <c r="Z38" s="43" t="str">
        <f aca="false">IF(Tasks[[#This Row],[Task Name]]="","",IF(Tasks[[#This Row],[_IsSummary]],MIN(INDEX(Tasks[_LeafTotalSlack],Tasks[[#This Row],[_Row]]+1):INDEX(Tasks[_LeafTotalSlack],Tasks[[#This Row],[_Row]]+Tasks[[#This Row],[_Descendants]])),Tasks[[#This Row],[_LeafTotalSlack]]))</f>
        <v/>
      </c>
      <c r="AA3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8" s="28" t="str">
        <f aca="false">IF(Tasks[[#This Row],[Task Name]]="","",IF(IF(Tasks[[#This Row],[_IsSummary]],COUNTIF(INDEX(Tasks[_LeafCritical],Tasks[[#This Row],[_Row]]+1):INDEX(Tasks[_LeafCritical],Tasks[[#This Row],[_Row]]+Tasks[[#This Row],[_Descendants]]),TRUE())&gt;0,Tasks[[#This Row],[_LeafCritical]]),"Yes",""))</f>
        <v/>
      </c>
      <c r="AC3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8" s="24" t="str">
        <f aca="false">IF(Tasks[[#This Row],[Task Name]]="","",TRIM(IF(Tasks[[#This Row],[_Pred1Problem]]&lt;&gt;"","Pred 1: "&amp;Tasks[[#This Row],[_Pred1Problem]]&amp;". ","")&amp;IF(Tasks[[#This Row],[_Pred2Problem]]&lt;&gt;"","Pred 2: "&amp;Tasks[[#This Row],[_Pred2Problem]]&amp;".","")))</f>
        <v/>
      </c>
      <c r="AE38" s="88"/>
      <c r="AF38"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8" s="28" t="str">
        <f aca="false">IF(Tasks[[#This Row],[Task Name]]="","",IF(Tasks[[#This Row],[Progress]]&gt;=1,"Complete",IF(OR(N(Tasks[[#This Row],[Actual Start]])&gt;0,Tasks[[#This Row],[Progress]]&gt;0),IF(Tasks[[#This Row],[Finish Var]]&gt;0,"Behind","In Progress"),IF(Tasks[[#This Row],[Planned Start]]&lt;StatusDate,"Late Start","Not Started"))))</f>
        <v/>
      </c>
      <c r="AH38" s="30"/>
      <c r="AI38" s="88"/>
      <c r="AJ38" s="95" t="str">
        <f aca="false">IF(Tasks[[#This Row],[Task Name]]="","",IF(Tasks[[#This Row],[_IsSummary]],SUM(INDEX(Tasks[_LeafWork],Tasks[[#This Row],[_Row]]+1):INDEX(Tasks[_LeafWork],Tasks[[#This Row],[_Row]]+Tasks[[#This Row],[_Descendants]])),Tasks[[#This Row],[_LeafWork]]))</f>
        <v/>
      </c>
      <c r="AK38" s="96" t="str">
        <f aca="false">IF(Tasks[[#This Row],[Task Name]]="","",IF(Tasks[[#This Row],[_IsSummary]],SUM(INDEX(Tasks[_LeafCost],Tasks[[#This Row],[_Row]]+1):INDEX(Tasks[_LeafCost],Tasks[[#This Row],[_Row]]+Tasks[[#This Row],[_Descendants]])),Tasks[[#This Row],[_LeafCost]]))</f>
        <v/>
      </c>
      <c r="AL38" s="97"/>
      <c r="AM38" s="29"/>
      <c r="AN3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38" s="82"/>
      <c r="AP38" s="24" t="str">
        <f aca="false">IF(Tasks[[#This Row],[Task Name]]="","",Tasks[[#This Row],[_Pred1IDText]]&amp;IF(AND(Tasks[[#This Row],[_Pred1IDText]]&lt;&gt;"",Tasks[[#This Row],[_Pred2IDText]]&lt;&gt;""),",","")&amp;Tasks[[#This Row],[_Pred2IDText]])</f>
        <v/>
      </c>
      <c r="AQ38" s="30"/>
      <c r="AR38" s="25" t="str">
        <f aca="false">IF(Tasks[[#This Row],[Task Name]]="","",Tasks[[#This Row],[Forecast Start]])</f>
        <v/>
      </c>
      <c r="AS38" s="25" t="str">
        <f aca="false">IF(Tasks[[#This Row],[Task Name]]="","",Tasks[[#This Row],[Forecast Finish]])</f>
        <v/>
      </c>
      <c r="AT38" s="28" t="str">
        <f aca="false">IF(Tasks[[#This Row],[Task Name]]="","",IF(Tasks[[#This Row],[_IsSummary]],NETWORKDAYS.INTL(Tasks[[#This Row],[Forecast Start]],Tasks[[#This Row],[Forecast Finish]],WorkWeek,Holidays),N(Tasks[[#This Row],[Duration]])))</f>
        <v/>
      </c>
      <c r="AU38" s="95" t="str">
        <f aca="false">IF(Tasks[[#This Row],[Task Name]]="","",Tasks[[#This Row],[Work]])</f>
        <v/>
      </c>
      <c r="AV38" s="96" t="str">
        <f aca="false">IF(Tasks[[#This Row],[Task Name]]="","",Tasks[[#This Row],[Cost]])</f>
        <v/>
      </c>
      <c r="AW38" s="73"/>
      <c r="AX38" s="73"/>
      <c r="AY38" s="29"/>
      <c r="AZ38" s="98"/>
      <c r="BA38" s="97"/>
      <c r="BB38" s="28" t="str">
        <f aca="false">IF(OR(Tasks[[#This Row],[Task Name]]="",Tasks[[#This Row],[Baseline Duration]]=""),"",Tasks[[#This Row],[BL Source Duration]]-N(Tasks[[#This Row],[Baseline Duration]]))</f>
        <v/>
      </c>
      <c r="BC38" s="95" t="str">
        <f aca="false">IF(OR(Tasks[[#This Row],[Task Name]]="",Tasks[[#This Row],[Baseline Work]]=""),"",Tasks[[#This Row],[Work]]-N(Tasks[[#This Row],[Baseline Work]]))</f>
        <v/>
      </c>
      <c r="BD38" s="96" t="str">
        <f aca="false">IF(OR(Tasks[[#This Row],[Task Name]]="",Tasks[[#This Row],[Baseline Cost]]=""),"",Tasks[[#This Row],[Cost]]-N(Tasks[[#This Row],[Baseline Cost]]))</f>
        <v/>
      </c>
      <c r="BE38" s="96" t="str">
        <f aca="false">IF(Tasks[[#This Row],[Task Name]]="","",IF(Tasks[[#This Row],[_IsSummary]],SUM(INDEX(Tasks[_LeafBudget],Tasks[[#This Row],[_Row]]+1):INDEX(Tasks[_LeafBudget],Tasks[[#This Row],[_Row]]+Tasks[[#This Row],[_Descendants]])),Tasks[[#This Row],[_LeafBudget]]))</f>
        <v/>
      </c>
      <c r="BF38" s="96" t="str">
        <f aca="false">IF(Tasks[[#This Row],[Task Name]]="","",IF(Tasks[[#This Row],[_IsSummary]],SUM(INDEX(Tasks[_LeafPV],Tasks[[#This Row],[_Row]]+1):INDEX(Tasks[_LeafPV],Tasks[[#This Row],[_Row]]+Tasks[[#This Row],[_Descendants]])),Tasks[[#This Row],[_LeafPV]]))</f>
        <v/>
      </c>
      <c r="BG38" s="96" t="str">
        <f aca="false">IF(Tasks[[#This Row],[Task Name]]="","",IF(Tasks[[#This Row],[_IsSummary]],SUM(INDEX(Tasks[_LeafEV],Tasks[[#This Row],[_Row]]+1):INDEX(Tasks[_LeafEV],Tasks[[#This Row],[_Row]]+Tasks[[#This Row],[_Descendants]])),Tasks[[#This Row],[_LeafEV]]))</f>
        <v/>
      </c>
      <c r="BH38" s="96" t="str">
        <f aca="false">IF(Tasks[[#This Row],[Task Name]]="","",IF(Tasks[[#This Row],[_IsSummary]],SUM(INDEX(Tasks[_LeafAC],Tasks[[#This Row],[_Row]]+1):INDEX(Tasks[_LeafAC],Tasks[[#This Row],[_Row]]+Tasks[[#This Row],[_Descendants]])),Tasks[[#This Row],[_LeafAC]]))</f>
        <v/>
      </c>
      <c r="BI38" s="41" t="str">
        <f aca="false">IF(Tasks[[#This Row],[Task Name]]="","",MAX(1,N(Tasks[[#This Row],[Level]])))</f>
        <v/>
      </c>
      <c r="BJ38" s="41" t="n">
        <f aca="false">ROW()-ROW(Tasks[[#Headers],[ID]])</f>
        <v>33</v>
      </c>
      <c r="BK38" s="41" t="n">
        <f aca="false">IF(OR(Tasks[[#This Row],[Task Name]]="",Tasks[[#This Row],[_Level]]&lt;=1),0,IFERROR(LOOKUP(2,1/(Tasks[[#Headers],[_Level]]:Tasks[[#This Row],[_Level]]=Tasks[[#This Row],[_Level]]-1),ROW(Tasks[[#Headers],[_Level]]:Tasks[[#This Row],[_Level]])),0))</f>
        <v>0</v>
      </c>
      <c r="BL38" s="41" t="n">
        <f aca="false">IFERROR(N(INDEX(Tasks[_Level],Tasks[[#This Row],[_Row]]+1)),0)</f>
        <v>0</v>
      </c>
      <c r="BM38" s="99" t="b">
        <f aca="false">AND(Tasks[[#This Row],[Task Name]]&lt;&gt;"",Tasks[[#This Row],[_NextLevel]]&gt;Tasks[[#This Row],[_Level]])</f>
        <v>0</v>
      </c>
      <c r="BN38" s="41" t="n">
        <f aca="false">IF(Tasks[[#This Row],[_IsSummary]],COUNTIF(Tasks[WBS],Tasks[[#This Row],[WBS]]&amp;".*"),0)</f>
        <v>0</v>
      </c>
      <c r="BO38" s="41" t="n">
        <f aca="false">IF(AND(Tasks[[#This Row],[Task Name]]&lt;&gt;"",NOT(Tasks[[#This Row],[_IsSummary]])),1,0)</f>
        <v>0</v>
      </c>
      <c r="BP38" s="41" t="n">
        <f aca="false">IF(N(Tasks[[#This Row],[Pred1 UID]])=0,0,IFERROR(MATCH(Tasks[[#This Row],[Pred1 UID]],Tasks[UID],0),-1))</f>
        <v>0</v>
      </c>
      <c r="BQ38" s="41" t="n">
        <f aca="false">IF(N(Tasks[[#This Row],[Pred2 UID]])=0,0,IFERROR(MATCH(Tasks[[#This Row],[Pred2 UID]],Tasks[UID],0),-1))</f>
        <v>0</v>
      </c>
      <c r="BR38"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38" s="100" t="str">
        <f aca="false">IF(NOT(Tasks[[#This Row],[_IsLeaf]]=1),"",IF(N(Tasks[[#This Row],[Duration]])&lt;=0,Tasks[[#This Row],[_LeafCalcStart]],WORKDAY.INTL(Tasks[[#This Row],[_LeafCalcStart]],Tasks[[#This Row],[Duration]]-1,WorkWeek,Holidays)))</f>
        <v/>
      </c>
      <c r="BT38"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38"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38" s="41" t="n">
        <f aca="false">IF(NOT(Tasks[[#This Row],[_IsLeaf]]=1),0,IF(N(Tasks[[#This Row],[Actual Finish]])&gt;0,1,MIN(1,N(Tasks[[#This Row],[% Complete]]))))</f>
        <v>0</v>
      </c>
      <c r="BW38" s="41" t="n">
        <f aca="false">IF(OR(NOT(Tasks[[#This Row],[_IsLeaf]]=1),Tasks[[#This Row],[Resource]]=""),0,N(Tasks[[#This Row],[Duration]])*HoursPerDay*IF(Tasks[[#This Row],[Units]]="",DefaultUnits,Tasks[[#This Row],[Units]]))</f>
        <v>0</v>
      </c>
      <c r="BX38" s="41" t="n">
        <f aca="false">IF(Tasks[[#This Row],[_LeafWork]]=0,0,Tasks[[#This Row],[_LeafWork]]*IFERROR(INDEX(res_Rate,MATCH(Tasks[[#This Row],[Resource]],res_Name,0)),0))</f>
        <v>0</v>
      </c>
      <c r="BY3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3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3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3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38" s="41" t="n">
        <f aca="false">IF(NOT(Tasks[[#This Row],[_IsLeaf]]=1),0,MAX(_xlfn.MAXIFS(Tasks[_Row],Tasks[Pred1 UID],Tasks[[#This Row],[UID]]),_xlfn.MAXIFS(Tasks[_Row],Tasks[Pred2 UID],Tasks[[#This Row],[UID]])))</f>
        <v>0</v>
      </c>
      <c r="CD38"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38" s="100" t="str">
        <f aca="false">IF(NOT(Tasks[[#This Row],[_IsLeaf]]=1),"",MIN(ProjectFinish,IF(N(Tasks[[#This Row],[Deadline]])&gt;0,Tasks[[#This Row],[Deadline]],2958465),Tasks[[#This Row],[_SuccessorFinishLimit]]))</f>
        <v/>
      </c>
      <c r="CF38" s="100" t="str">
        <f aca="false">IF(NOT(Tasks[[#This Row],[_IsLeaf]]=1),"",IF(N(Tasks[[#This Row],[Duration]])&lt;=0,Tasks[[#This Row],[_LeafLateFinish]],WORKDAY.INTL(Tasks[[#This Row],[_LeafLateFinish]],-(Tasks[[#This Row],[Duration]]-1),WorkWeek,Holidays)))</f>
        <v/>
      </c>
      <c r="CG3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38" s="99" t="b">
        <f aca="false">AND(Tasks[[#This Row],[_IsLeaf]]=1,Tasks[[#This Row],[_LeafProgress]]&lt;1,N(Tasks[[#This Row],[_LeafTotalSlack]])&lt;=CriticalSlackDays)</f>
        <v>0</v>
      </c>
      <c r="CI38" s="100" t="str">
        <f aca="false">IF(Tasks[[#This Row],[Task Name]]="","",IF(Tasks[[#This Row],[_IsSummary]],MIN(INDEX(Tasks[_LeafCalcStart],Tasks[[#This Row],[_Row]]+1):INDEX(Tasks[_LeafCalcStart],Tasks[[#This Row],[_Row]]+Tasks[[#This Row],[_Descendants]])),Tasks[[#This Row],[_LeafCalcStart]]))</f>
        <v/>
      </c>
      <c r="CJ38" s="100" t="str">
        <f aca="false">IF(Tasks[[#This Row],[Task Name]]="","",IF(Tasks[[#This Row],[_IsSummary]],MAX(INDEX(Tasks[_LeafCalcFinish],Tasks[[#This Row],[_Row]]+1):INDEX(Tasks[_LeafCalcFinish],Tasks[[#This Row],[_Row]]+Tasks[[#This Row],[_Descendants]])),Tasks[[#This Row],[_LeafCalcFinish]]))</f>
        <v/>
      </c>
      <c r="CK3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3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38"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38"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38"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38"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38" s="41" t="n">
        <f aca="false">IF(AND(Tasks[[#This Row],[_IsLeaf]]=1,Tasks[[#This Row],[_LeafWork]]&gt;0),NETWORKDAYS.INTL(ProjectStart,Tasks[[#This Row],[_LeafFcstStart]],WorkWeek,Holidays),0)</f>
        <v>0</v>
      </c>
      <c r="CR38" s="41" t="n">
        <f aca="false">IF(AND(Tasks[[#This Row],[_IsLeaf]]=1,Tasks[[#This Row],[_LeafWork]]&gt;0),MAX(Tasks[[#This Row],[_StartWorkday]],NETWORKDAYS.INTL(ProjectStart,Tasks[[#This Row],[_LeafFcstFinish]],WorkWeek,Holidays)),0)</f>
        <v>0</v>
      </c>
      <c r="CS38" s="41" t="n">
        <f aca="false">IF(AND(Tasks[[#This Row],[_IsLeaf]]=1,Tasks[[#This Row],[_LeafWork]]&gt;0),Tasks[[#This Row],[_LeafWork]]/(Tasks[[#This Row],[_FinishWorkday]]-Tasks[[#This Row],[_StartWorkday]]+1),0)</f>
        <v>0</v>
      </c>
      <c r="CT38" s="41" t="n">
        <f aca="false">Tasks[[#This Row],[_WorkPerWorkday]]*(Tasks[[#This Row],[_StartWorkday]]-1)</f>
        <v>-0</v>
      </c>
      <c r="CU38" s="41" t="n">
        <f aca="false">IF(Tasks[[#This Row],[_IsLeaf]]=1,MAX(N(Tasks[[#This Row],[Duration]]),0.1),0)</f>
        <v>0</v>
      </c>
      <c r="CV38" s="41" t="n">
        <f aca="false">Tasks[[#This Row],[_WeightDur]]*Tasks[[#This Row],[_LeafProgress]]</f>
        <v>0</v>
      </c>
      <c r="CW3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3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3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3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38" s="41" t="str">
        <f aca="false">IF(Tasks[[#This Row],[Task Name]]="","",Tasks[[#This Row],[_Pred1UIDText]]&amp;IF(AND(Tasks[[#This Row],[_Pred1UIDText]]&lt;&gt;"",Tasks[[#This Row],[_Pred2UIDText]]&lt;&gt;""),",","")&amp;Tasks[[#This Row],[_Pred2UIDText]])</f>
        <v/>
      </c>
      <c r="DB38" s="41" t="str">
        <f aca="false">IF(AND(Tasks[[#This Row],[_IsLeaf]]=1,N(Tasks[[#This Row],[Duration]])=0,Tasks[[#This Row],[_LeafProgress]]&lt;1),Tasks[[#This Row],[_LeafFcstFinish]]+Tasks[[#This Row],[_Row]]/100000,"")</f>
        <v/>
      </c>
      <c r="DC3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38" s="41" t="n">
        <f aca="false">IF(NOT(Tasks[[#This Row],[_IsLeaf]]=1),0,IF(Tasks[[#This Row],[Baseline Cost]]="",Tasks[[#This Row],[_LeafCost]],N(Tasks[[#This Row],[Baseline Cost]])))</f>
        <v>0</v>
      </c>
      <c r="DE38" s="41" t="n">
        <f aca="false">Tasks[[#This Row],[_LeafBudget]]*Tasks[[#This Row],[_PlannedPct]]</f>
        <v>0</v>
      </c>
      <c r="DF38" s="41" t="n">
        <f aca="false">Tasks[[#This Row],[_LeafBudget]]*Tasks[[#This Row],[_LeafProgress]]</f>
        <v>0</v>
      </c>
      <c r="DG38" s="41" t="n">
        <f aca="false">IF(NOT(Tasks[[#This Row],[_IsLeaf]]=1),0,IF(Tasks[[#This Row],[Actual Cost]]="",Tasks[[#This Row],[_LeafCost]]*Tasks[[#This Row],[_LeafProgress]],N(Tasks[[#This Row],[Actual Cost]])))</f>
        <v>0</v>
      </c>
      <c r="DH38" s="41" t="str">
        <f aca="false">IF(Tasks[[#This Row],[Task Name]]="","",LEFT(Tasks[[#This Row],[WBS]],FIND(".",Tasks[[#This Row],[WBS]]&amp;".")-1))</f>
        <v/>
      </c>
      <c r="DI38" s="41" t="str">
        <f aca="false">IF(AND(Tasks[[#This Row],[Task Name]]&lt;&gt;"",Tasks[[#This Row],[_Level]]=1),Tasks[[#This Row],[_Row]],"")</f>
        <v/>
      </c>
      <c r="DJ38" s="41" t="str">
        <f aca="false">IF(AND(Tasks[[#This Row],[_IsLeaf]]=1,N(Tasks[[#This Row],[Duration]])=0),Tasks[[#This Row],[Planned Finish]]+Tasks[[#This Row],[_Row]]/100000,"")</f>
        <v/>
      </c>
      <c r="DK38" s="41" t="str">
        <f aca="false">IF(AND(Tasks[[#This Row],[_IsLeaf]]=1,Tasks[[#This Row],[_LeafProgress]]&lt;1,OR(N(Tasks[[#This Row],[Finish Var]])&gt;0,Tasks[[#This Row],[Status]]="Late Start")),MAX(0,Tasks[[#This Row],[Finish Var]])+1-Tasks[[#This Row],[_Row]]/1000000,"")</f>
        <v/>
      </c>
      <c r="DL38" s="41" t="str">
        <f aca="false">IF(AND(Tasks[[#This Row],[_IsLeaf]]=1,N(Tasks[[#This Row],[Actual Start]])=0,Tasks[[#This Row],[_LeafFcstStart]]&gt;=StatusDate,Tasks[[#This Row],[_LeafFcstStart]]&lt;=LookaheadEnd),Tasks[[#This Row],[_LeafFcstStart]]+Tasks[[#This Row],[_Row]]/100000,"")</f>
        <v/>
      </c>
      <c r="DM38" s="41" t="str">
        <f aca="false">IF(AND(Tasks[[#This Row],[_IsLeaf]]=1,Tasks[[#This Row],[_LeafProgress]]&lt;1,Tasks[[#This Row],[_LeafFcstFinish]]&gt;=StatusDate,Tasks[[#This Row],[_LeafFcstFinish]]&lt;=LookaheadEnd),Tasks[[#This Row],[_LeafFcstFinish]]+Tasks[[#This Row],[_Row]]/100000,"")</f>
        <v/>
      </c>
      <c r="DN38" s="41" t="str">
        <f aca="false">IF(Tasks[[#This Row],[_LeafCritical]],Tasks[[#This Row],[_LeafFcstStart]]+Tasks[[#This Row],[_Row]]/100000,"")</f>
        <v/>
      </c>
      <c r="DO38" s="41" t="n">
        <f aca="false">Tasks[[#This Row],[_LeafWork]]*Tasks[[#This Row],[_LeafProgress]]</f>
        <v>0</v>
      </c>
      <c r="DP38" s="100" t="str">
        <f aca="false">IF(AND(Tasks[[#This Row],[_IsLeaf]]=1,Tasks[[#This Row],[_LeafProgress]]&gt;=1),IF(N(Tasks[[#This Row],[Actual Finish]])&gt;0,Tasks[[#This Row],[Actual Finish]],Tasks[[#This Row],[_LeafFcstFinish]]),"")</f>
        <v/>
      </c>
      <c r="DQ38" s="41" t="n">
        <f aca="false">IF(Tasks[[#This Row],[_IsLeaf]]=1,N(Tasks[[#This Row],[Story Points]]),0)</f>
        <v>0</v>
      </c>
      <c r="DR38" s="41" t="str">
        <f aca="false">IF(AND(Tasks[[#This Row],[_IsLeaf]]=1,CurrentSprint&lt;&gt;"",Tasks[[#This Row],[Sprint]]=CurrentSprint),Tasks[[#This Row],[_Row]],"")</f>
        <v/>
      </c>
    </row>
    <row r="39" customFormat="false" ht="15" hidden="false" customHeight="false" outlineLevel="0" collapsed="false">
      <c r="A39" s="28" t="str">
        <f aca="false">IF(Tasks[[#This Row],[Task Name]]="","",COUNTA(Tasks[[#Headers],[Task Name]]:Tasks[[#This Row],[Task Name]])-1)</f>
        <v/>
      </c>
      <c r="B39" s="29" t="n">
        <v>34</v>
      </c>
      <c r="C3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9" s="29"/>
      <c r="E39" s="30"/>
      <c r="F39" s="29"/>
      <c r="G39" s="29"/>
      <c r="H39" s="29"/>
      <c r="I39" s="29"/>
      <c r="J39" s="29"/>
      <c r="K39" s="29"/>
      <c r="L39" s="29"/>
      <c r="M39" s="29"/>
      <c r="N39" s="73"/>
      <c r="O39" s="73"/>
      <c r="P39" s="25" t="str">
        <f aca="false">IF(Tasks[[#This Row],[Task Name]]="","",IF(N(Tasks[[#This Row],[Baseline Start]])&gt;0,Tasks[[#This Row],[Baseline Start]],Tasks[[#This Row],[_CalcStart]]))</f>
        <v/>
      </c>
      <c r="Q39" s="25" t="str">
        <f aca="false">IF(Tasks[[#This Row],[Task Name]]="","",IF(N(Tasks[[#This Row],[Baseline Finish]])&gt;0,Tasks[[#This Row],[Baseline Finish]],Tasks[[#This Row],[_CalcFinish]]))</f>
        <v/>
      </c>
      <c r="R39" s="73"/>
      <c r="S39" s="73"/>
      <c r="T39" s="25" t="str">
        <f aca="false">IF(Tasks[[#This Row],[Task Name]]="","",IF(Tasks[[#This Row],[_IsSummary]],MIN(INDEX(Tasks[_LeafFcstStart],Tasks[[#This Row],[_Row]]+1):INDEX(Tasks[_LeafFcstStart],Tasks[[#This Row],[_Row]]+Tasks[[#This Row],[_Descendants]])),Tasks[[#This Row],[_LeafFcstStart]]))</f>
        <v/>
      </c>
      <c r="U39" s="25" t="str">
        <f aca="false">IF(Tasks[[#This Row],[Task Name]]="","",IF(Tasks[[#This Row],[_IsSummary]],MAX(INDEX(Tasks[_LeafFcstFinish],Tasks[[#This Row],[_Row]]+1):INDEX(Tasks[_LeafFcstFinish],Tasks[[#This Row],[_Row]]+Tasks[[#This Row],[_Descendants]])),Tasks[[#This Row],[_LeafFcstFinish]]))</f>
        <v/>
      </c>
      <c r="V3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3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9" s="25" t="str">
        <f aca="false">IF(Tasks[[#This Row],[Task Name]]="","",IF(Tasks[[#This Row],[_IsSummary]],MIN(INDEX(Tasks[_LeafLateStart],Tasks[[#This Row],[_Row]]+1):INDEX(Tasks[_LeafLateStart],Tasks[[#This Row],[_Row]]+Tasks[[#This Row],[_Descendants]])),Tasks[[#This Row],[_LeafLateStart]]))</f>
        <v/>
      </c>
      <c r="Y39" s="25" t="str">
        <f aca="false">IF(Tasks[[#This Row],[Task Name]]="","",IF(Tasks[[#This Row],[_IsSummary]],MAX(INDEX(Tasks[_LeafLateFinish],Tasks[[#This Row],[_Row]]+1):INDEX(Tasks[_LeafLateFinish],Tasks[[#This Row],[_Row]]+Tasks[[#This Row],[_Descendants]])),Tasks[[#This Row],[_LeafLateFinish]]))</f>
        <v/>
      </c>
      <c r="Z39" s="43" t="str">
        <f aca="false">IF(Tasks[[#This Row],[Task Name]]="","",IF(Tasks[[#This Row],[_IsSummary]],MIN(INDEX(Tasks[_LeafTotalSlack],Tasks[[#This Row],[_Row]]+1):INDEX(Tasks[_LeafTotalSlack],Tasks[[#This Row],[_Row]]+Tasks[[#This Row],[_Descendants]])),Tasks[[#This Row],[_LeafTotalSlack]]))</f>
        <v/>
      </c>
      <c r="AA3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9" s="28" t="str">
        <f aca="false">IF(Tasks[[#This Row],[Task Name]]="","",IF(IF(Tasks[[#This Row],[_IsSummary]],COUNTIF(INDEX(Tasks[_LeafCritical],Tasks[[#This Row],[_Row]]+1):INDEX(Tasks[_LeafCritical],Tasks[[#This Row],[_Row]]+Tasks[[#This Row],[_Descendants]]),TRUE())&gt;0,Tasks[[#This Row],[_LeafCritical]]),"Yes",""))</f>
        <v/>
      </c>
      <c r="AC3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9" s="24" t="str">
        <f aca="false">IF(Tasks[[#This Row],[Task Name]]="","",TRIM(IF(Tasks[[#This Row],[_Pred1Problem]]&lt;&gt;"","Pred 1: "&amp;Tasks[[#This Row],[_Pred1Problem]]&amp;". ","")&amp;IF(Tasks[[#This Row],[_Pred2Problem]]&lt;&gt;"","Pred 2: "&amp;Tasks[[#This Row],[_Pred2Problem]]&amp;".","")))</f>
        <v/>
      </c>
      <c r="AE39" s="88"/>
      <c r="AF39"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9" s="28" t="str">
        <f aca="false">IF(Tasks[[#This Row],[Task Name]]="","",IF(Tasks[[#This Row],[Progress]]&gt;=1,"Complete",IF(OR(N(Tasks[[#This Row],[Actual Start]])&gt;0,Tasks[[#This Row],[Progress]]&gt;0),IF(Tasks[[#This Row],[Finish Var]]&gt;0,"Behind","In Progress"),IF(Tasks[[#This Row],[Planned Start]]&lt;StatusDate,"Late Start","Not Started"))))</f>
        <v/>
      </c>
      <c r="AH39" s="30"/>
      <c r="AI39" s="88"/>
      <c r="AJ39" s="95" t="str">
        <f aca="false">IF(Tasks[[#This Row],[Task Name]]="","",IF(Tasks[[#This Row],[_IsSummary]],SUM(INDEX(Tasks[_LeafWork],Tasks[[#This Row],[_Row]]+1):INDEX(Tasks[_LeafWork],Tasks[[#This Row],[_Row]]+Tasks[[#This Row],[_Descendants]])),Tasks[[#This Row],[_LeafWork]]))</f>
        <v/>
      </c>
      <c r="AK39" s="96" t="str">
        <f aca="false">IF(Tasks[[#This Row],[Task Name]]="","",IF(Tasks[[#This Row],[_IsSummary]],SUM(INDEX(Tasks[_LeafCost],Tasks[[#This Row],[_Row]]+1):INDEX(Tasks[_LeafCost],Tasks[[#This Row],[_Row]]+Tasks[[#This Row],[_Descendants]])),Tasks[[#This Row],[_LeafCost]]))</f>
        <v/>
      </c>
      <c r="AL39" s="97"/>
      <c r="AM39" s="29"/>
      <c r="AN3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39" s="82"/>
      <c r="AP39" s="24" t="str">
        <f aca="false">IF(Tasks[[#This Row],[Task Name]]="","",Tasks[[#This Row],[_Pred1IDText]]&amp;IF(AND(Tasks[[#This Row],[_Pred1IDText]]&lt;&gt;"",Tasks[[#This Row],[_Pred2IDText]]&lt;&gt;""),",","")&amp;Tasks[[#This Row],[_Pred2IDText]])</f>
        <v/>
      </c>
      <c r="AQ39" s="30"/>
      <c r="AR39" s="25" t="str">
        <f aca="false">IF(Tasks[[#This Row],[Task Name]]="","",Tasks[[#This Row],[Forecast Start]])</f>
        <v/>
      </c>
      <c r="AS39" s="25" t="str">
        <f aca="false">IF(Tasks[[#This Row],[Task Name]]="","",Tasks[[#This Row],[Forecast Finish]])</f>
        <v/>
      </c>
      <c r="AT39" s="28" t="str">
        <f aca="false">IF(Tasks[[#This Row],[Task Name]]="","",IF(Tasks[[#This Row],[_IsSummary]],NETWORKDAYS.INTL(Tasks[[#This Row],[Forecast Start]],Tasks[[#This Row],[Forecast Finish]],WorkWeek,Holidays),N(Tasks[[#This Row],[Duration]])))</f>
        <v/>
      </c>
      <c r="AU39" s="95" t="str">
        <f aca="false">IF(Tasks[[#This Row],[Task Name]]="","",Tasks[[#This Row],[Work]])</f>
        <v/>
      </c>
      <c r="AV39" s="96" t="str">
        <f aca="false">IF(Tasks[[#This Row],[Task Name]]="","",Tasks[[#This Row],[Cost]])</f>
        <v/>
      </c>
      <c r="AW39" s="73"/>
      <c r="AX39" s="73"/>
      <c r="AY39" s="29"/>
      <c r="AZ39" s="98"/>
      <c r="BA39" s="97"/>
      <c r="BB39" s="28" t="str">
        <f aca="false">IF(OR(Tasks[[#This Row],[Task Name]]="",Tasks[[#This Row],[Baseline Duration]]=""),"",Tasks[[#This Row],[BL Source Duration]]-N(Tasks[[#This Row],[Baseline Duration]]))</f>
        <v/>
      </c>
      <c r="BC39" s="95" t="str">
        <f aca="false">IF(OR(Tasks[[#This Row],[Task Name]]="",Tasks[[#This Row],[Baseline Work]]=""),"",Tasks[[#This Row],[Work]]-N(Tasks[[#This Row],[Baseline Work]]))</f>
        <v/>
      </c>
      <c r="BD39" s="96" t="str">
        <f aca="false">IF(OR(Tasks[[#This Row],[Task Name]]="",Tasks[[#This Row],[Baseline Cost]]=""),"",Tasks[[#This Row],[Cost]]-N(Tasks[[#This Row],[Baseline Cost]]))</f>
        <v/>
      </c>
      <c r="BE39" s="96" t="str">
        <f aca="false">IF(Tasks[[#This Row],[Task Name]]="","",IF(Tasks[[#This Row],[_IsSummary]],SUM(INDEX(Tasks[_LeafBudget],Tasks[[#This Row],[_Row]]+1):INDEX(Tasks[_LeafBudget],Tasks[[#This Row],[_Row]]+Tasks[[#This Row],[_Descendants]])),Tasks[[#This Row],[_LeafBudget]]))</f>
        <v/>
      </c>
      <c r="BF39" s="96" t="str">
        <f aca="false">IF(Tasks[[#This Row],[Task Name]]="","",IF(Tasks[[#This Row],[_IsSummary]],SUM(INDEX(Tasks[_LeafPV],Tasks[[#This Row],[_Row]]+1):INDEX(Tasks[_LeafPV],Tasks[[#This Row],[_Row]]+Tasks[[#This Row],[_Descendants]])),Tasks[[#This Row],[_LeafPV]]))</f>
        <v/>
      </c>
      <c r="BG39" s="96" t="str">
        <f aca="false">IF(Tasks[[#This Row],[Task Name]]="","",IF(Tasks[[#This Row],[_IsSummary]],SUM(INDEX(Tasks[_LeafEV],Tasks[[#This Row],[_Row]]+1):INDEX(Tasks[_LeafEV],Tasks[[#This Row],[_Row]]+Tasks[[#This Row],[_Descendants]])),Tasks[[#This Row],[_LeafEV]]))</f>
        <v/>
      </c>
      <c r="BH39" s="96" t="str">
        <f aca="false">IF(Tasks[[#This Row],[Task Name]]="","",IF(Tasks[[#This Row],[_IsSummary]],SUM(INDEX(Tasks[_LeafAC],Tasks[[#This Row],[_Row]]+1):INDEX(Tasks[_LeafAC],Tasks[[#This Row],[_Row]]+Tasks[[#This Row],[_Descendants]])),Tasks[[#This Row],[_LeafAC]]))</f>
        <v/>
      </c>
      <c r="BI39" s="41" t="str">
        <f aca="false">IF(Tasks[[#This Row],[Task Name]]="","",MAX(1,N(Tasks[[#This Row],[Level]])))</f>
        <v/>
      </c>
      <c r="BJ39" s="41" t="n">
        <f aca="false">ROW()-ROW(Tasks[[#Headers],[ID]])</f>
        <v>34</v>
      </c>
      <c r="BK39" s="41" t="n">
        <f aca="false">IF(OR(Tasks[[#This Row],[Task Name]]="",Tasks[[#This Row],[_Level]]&lt;=1),0,IFERROR(LOOKUP(2,1/(Tasks[[#Headers],[_Level]]:Tasks[[#This Row],[_Level]]=Tasks[[#This Row],[_Level]]-1),ROW(Tasks[[#Headers],[_Level]]:Tasks[[#This Row],[_Level]])),0))</f>
        <v>0</v>
      </c>
      <c r="BL39" s="41" t="n">
        <f aca="false">IFERROR(N(INDEX(Tasks[_Level],Tasks[[#This Row],[_Row]]+1)),0)</f>
        <v>0</v>
      </c>
      <c r="BM39" s="99" t="b">
        <f aca="false">AND(Tasks[[#This Row],[Task Name]]&lt;&gt;"",Tasks[[#This Row],[_NextLevel]]&gt;Tasks[[#This Row],[_Level]])</f>
        <v>0</v>
      </c>
      <c r="BN39" s="41" t="n">
        <f aca="false">IF(Tasks[[#This Row],[_IsSummary]],COUNTIF(Tasks[WBS],Tasks[[#This Row],[WBS]]&amp;".*"),0)</f>
        <v>0</v>
      </c>
      <c r="BO39" s="41" t="n">
        <f aca="false">IF(AND(Tasks[[#This Row],[Task Name]]&lt;&gt;"",NOT(Tasks[[#This Row],[_IsSummary]])),1,0)</f>
        <v>0</v>
      </c>
      <c r="BP39" s="41" t="n">
        <f aca="false">IF(N(Tasks[[#This Row],[Pred1 UID]])=0,0,IFERROR(MATCH(Tasks[[#This Row],[Pred1 UID]],Tasks[UID],0),-1))</f>
        <v>0</v>
      </c>
      <c r="BQ39" s="41" t="n">
        <f aca="false">IF(N(Tasks[[#This Row],[Pred2 UID]])=0,0,IFERROR(MATCH(Tasks[[#This Row],[Pred2 UID]],Tasks[UID],0),-1))</f>
        <v>0</v>
      </c>
      <c r="BR39"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39" s="100" t="str">
        <f aca="false">IF(NOT(Tasks[[#This Row],[_IsLeaf]]=1),"",IF(N(Tasks[[#This Row],[Duration]])&lt;=0,Tasks[[#This Row],[_LeafCalcStart]],WORKDAY.INTL(Tasks[[#This Row],[_LeafCalcStart]],Tasks[[#This Row],[Duration]]-1,WorkWeek,Holidays)))</f>
        <v/>
      </c>
      <c r="BT39"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39"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39" s="41" t="n">
        <f aca="false">IF(NOT(Tasks[[#This Row],[_IsLeaf]]=1),0,IF(N(Tasks[[#This Row],[Actual Finish]])&gt;0,1,MIN(1,N(Tasks[[#This Row],[% Complete]]))))</f>
        <v>0</v>
      </c>
      <c r="BW39" s="41" t="n">
        <f aca="false">IF(OR(NOT(Tasks[[#This Row],[_IsLeaf]]=1),Tasks[[#This Row],[Resource]]=""),0,N(Tasks[[#This Row],[Duration]])*HoursPerDay*IF(Tasks[[#This Row],[Units]]="",DefaultUnits,Tasks[[#This Row],[Units]]))</f>
        <v>0</v>
      </c>
      <c r="BX39" s="41" t="n">
        <f aca="false">IF(Tasks[[#This Row],[_LeafWork]]=0,0,Tasks[[#This Row],[_LeafWork]]*IFERROR(INDEX(res_Rate,MATCH(Tasks[[#This Row],[Resource]],res_Name,0)),0))</f>
        <v>0</v>
      </c>
      <c r="BY3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3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3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3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39" s="41" t="n">
        <f aca="false">IF(NOT(Tasks[[#This Row],[_IsLeaf]]=1),0,MAX(_xlfn.MAXIFS(Tasks[_Row],Tasks[Pred1 UID],Tasks[[#This Row],[UID]]),_xlfn.MAXIFS(Tasks[_Row],Tasks[Pred2 UID],Tasks[[#This Row],[UID]])))</f>
        <v>0</v>
      </c>
      <c r="CD39"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39" s="100" t="str">
        <f aca="false">IF(NOT(Tasks[[#This Row],[_IsLeaf]]=1),"",MIN(ProjectFinish,IF(N(Tasks[[#This Row],[Deadline]])&gt;0,Tasks[[#This Row],[Deadline]],2958465),Tasks[[#This Row],[_SuccessorFinishLimit]]))</f>
        <v/>
      </c>
      <c r="CF39" s="100" t="str">
        <f aca="false">IF(NOT(Tasks[[#This Row],[_IsLeaf]]=1),"",IF(N(Tasks[[#This Row],[Duration]])&lt;=0,Tasks[[#This Row],[_LeafLateFinish]],WORKDAY.INTL(Tasks[[#This Row],[_LeafLateFinish]],-(Tasks[[#This Row],[Duration]]-1),WorkWeek,Holidays)))</f>
        <v/>
      </c>
      <c r="CG3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39" s="99" t="b">
        <f aca="false">AND(Tasks[[#This Row],[_IsLeaf]]=1,Tasks[[#This Row],[_LeafProgress]]&lt;1,N(Tasks[[#This Row],[_LeafTotalSlack]])&lt;=CriticalSlackDays)</f>
        <v>0</v>
      </c>
      <c r="CI39" s="100" t="str">
        <f aca="false">IF(Tasks[[#This Row],[Task Name]]="","",IF(Tasks[[#This Row],[_IsSummary]],MIN(INDEX(Tasks[_LeafCalcStart],Tasks[[#This Row],[_Row]]+1):INDEX(Tasks[_LeafCalcStart],Tasks[[#This Row],[_Row]]+Tasks[[#This Row],[_Descendants]])),Tasks[[#This Row],[_LeafCalcStart]]))</f>
        <v/>
      </c>
      <c r="CJ39" s="100" t="str">
        <f aca="false">IF(Tasks[[#This Row],[Task Name]]="","",IF(Tasks[[#This Row],[_IsSummary]],MAX(INDEX(Tasks[_LeafCalcFinish],Tasks[[#This Row],[_Row]]+1):INDEX(Tasks[_LeafCalcFinish],Tasks[[#This Row],[_Row]]+Tasks[[#This Row],[_Descendants]])),Tasks[[#This Row],[_LeafCalcFinish]]))</f>
        <v/>
      </c>
      <c r="CK3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3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39"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39"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39"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39"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39" s="41" t="n">
        <f aca="false">IF(AND(Tasks[[#This Row],[_IsLeaf]]=1,Tasks[[#This Row],[_LeafWork]]&gt;0),NETWORKDAYS.INTL(ProjectStart,Tasks[[#This Row],[_LeafFcstStart]],WorkWeek,Holidays),0)</f>
        <v>0</v>
      </c>
      <c r="CR39" s="41" t="n">
        <f aca="false">IF(AND(Tasks[[#This Row],[_IsLeaf]]=1,Tasks[[#This Row],[_LeafWork]]&gt;0),MAX(Tasks[[#This Row],[_StartWorkday]],NETWORKDAYS.INTL(ProjectStart,Tasks[[#This Row],[_LeafFcstFinish]],WorkWeek,Holidays)),0)</f>
        <v>0</v>
      </c>
      <c r="CS39" s="41" t="n">
        <f aca="false">IF(AND(Tasks[[#This Row],[_IsLeaf]]=1,Tasks[[#This Row],[_LeafWork]]&gt;0),Tasks[[#This Row],[_LeafWork]]/(Tasks[[#This Row],[_FinishWorkday]]-Tasks[[#This Row],[_StartWorkday]]+1),0)</f>
        <v>0</v>
      </c>
      <c r="CT39" s="41" t="n">
        <f aca="false">Tasks[[#This Row],[_WorkPerWorkday]]*(Tasks[[#This Row],[_StartWorkday]]-1)</f>
        <v>-0</v>
      </c>
      <c r="CU39" s="41" t="n">
        <f aca="false">IF(Tasks[[#This Row],[_IsLeaf]]=1,MAX(N(Tasks[[#This Row],[Duration]]),0.1),0)</f>
        <v>0</v>
      </c>
      <c r="CV39" s="41" t="n">
        <f aca="false">Tasks[[#This Row],[_WeightDur]]*Tasks[[#This Row],[_LeafProgress]]</f>
        <v>0</v>
      </c>
      <c r="CW3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3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3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3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39" s="41" t="str">
        <f aca="false">IF(Tasks[[#This Row],[Task Name]]="","",Tasks[[#This Row],[_Pred1UIDText]]&amp;IF(AND(Tasks[[#This Row],[_Pred1UIDText]]&lt;&gt;"",Tasks[[#This Row],[_Pred2UIDText]]&lt;&gt;""),",","")&amp;Tasks[[#This Row],[_Pred2UIDText]])</f>
        <v/>
      </c>
      <c r="DB39" s="41" t="str">
        <f aca="false">IF(AND(Tasks[[#This Row],[_IsLeaf]]=1,N(Tasks[[#This Row],[Duration]])=0,Tasks[[#This Row],[_LeafProgress]]&lt;1),Tasks[[#This Row],[_LeafFcstFinish]]+Tasks[[#This Row],[_Row]]/100000,"")</f>
        <v/>
      </c>
      <c r="DC3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39" s="41" t="n">
        <f aca="false">IF(NOT(Tasks[[#This Row],[_IsLeaf]]=1),0,IF(Tasks[[#This Row],[Baseline Cost]]="",Tasks[[#This Row],[_LeafCost]],N(Tasks[[#This Row],[Baseline Cost]])))</f>
        <v>0</v>
      </c>
      <c r="DE39" s="41" t="n">
        <f aca="false">Tasks[[#This Row],[_LeafBudget]]*Tasks[[#This Row],[_PlannedPct]]</f>
        <v>0</v>
      </c>
      <c r="DF39" s="41" t="n">
        <f aca="false">Tasks[[#This Row],[_LeafBudget]]*Tasks[[#This Row],[_LeafProgress]]</f>
        <v>0</v>
      </c>
      <c r="DG39" s="41" t="n">
        <f aca="false">IF(NOT(Tasks[[#This Row],[_IsLeaf]]=1),0,IF(Tasks[[#This Row],[Actual Cost]]="",Tasks[[#This Row],[_LeafCost]]*Tasks[[#This Row],[_LeafProgress]],N(Tasks[[#This Row],[Actual Cost]])))</f>
        <v>0</v>
      </c>
      <c r="DH39" s="41" t="str">
        <f aca="false">IF(Tasks[[#This Row],[Task Name]]="","",LEFT(Tasks[[#This Row],[WBS]],FIND(".",Tasks[[#This Row],[WBS]]&amp;".")-1))</f>
        <v/>
      </c>
      <c r="DI39" s="41" t="str">
        <f aca="false">IF(AND(Tasks[[#This Row],[Task Name]]&lt;&gt;"",Tasks[[#This Row],[_Level]]=1),Tasks[[#This Row],[_Row]],"")</f>
        <v/>
      </c>
      <c r="DJ39" s="41" t="str">
        <f aca="false">IF(AND(Tasks[[#This Row],[_IsLeaf]]=1,N(Tasks[[#This Row],[Duration]])=0),Tasks[[#This Row],[Planned Finish]]+Tasks[[#This Row],[_Row]]/100000,"")</f>
        <v/>
      </c>
      <c r="DK39" s="41" t="str">
        <f aca="false">IF(AND(Tasks[[#This Row],[_IsLeaf]]=1,Tasks[[#This Row],[_LeafProgress]]&lt;1,OR(N(Tasks[[#This Row],[Finish Var]])&gt;0,Tasks[[#This Row],[Status]]="Late Start")),MAX(0,Tasks[[#This Row],[Finish Var]])+1-Tasks[[#This Row],[_Row]]/1000000,"")</f>
        <v/>
      </c>
      <c r="DL39" s="41" t="str">
        <f aca="false">IF(AND(Tasks[[#This Row],[_IsLeaf]]=1,N(Tasks[[#This Row],[Actual Start]])=0,Tasks[[#This Row],[_LeafFcstStart]]&gt;=StatusDate,Tasks[[#This Row],[_LeafFcstStart]]&lt;=LookaheadEnd),Tasks[[#This Row],[_LeafFcstStart]]+Tasks[[#This Row],[_Row]]/100000,"")</f>
        <v/>
      </c>
      <c r="DM39" s="41" t="str">
        <f aca="false">IF(AND(Tasks[[#This Row],[_IsLeaf]]=1,Tasks[[#This Row],[_LeafProgress]]&lt;1,Tasks[[#This Row],[_LeafFcstFinish]]&gt;=StatusDate,Tasks[[#This Row],[_LeafFcstFinish]]&lt;=LookaheadEnd),Tasks[[#This Row],[_LeafFcstFinish]]+Tasks[[#This Row],[_Row]]/100000,"")</f>
        <v/>
      </c>
      <c r="DN39" s="41" t="str">
        <f aca="false">IF(Tasks[[#This Row],[_LeafCritical]],Tasks[[#This Row],[_LeafFcstStart]]+Tasks[[#This Row],[_Row]]/100000,"")</f>
        <v/>
      </c>
      <c r="DO39" s="41" t="n">
        <f aca="false">Tasks[[#This Row],[_LeafWork]]*Tasks[[#This Row],[_LeafProgress]]</f>
        <v>0</v>
      </c>
      <c r="DP39" s="100" t="str">
        <f aca="false">IF(AND(Tasks[[#This Row],[_IsLeaf]]=1,Tasks[[#This Row],[_LeafProgress]]&gt;=1),IF(N(Tasks[[#This Row],[Actual Finish]])&gt;0,Tasks[[#This Row],[Actual Finish]],Tasks[[#This Row],[_LeafFcstFinish]]),"")</f>
        <v/>
      </c>
      <c r="DQ39" s="41" t="n">
        <f aca="false">IF(Tasks[[#This Row],[_IsLeaf]]=1,N(Tasks[[#This Row],[Story Points]]),0)</f>
        <v>0</v>
      </c>
      <c r="DR39" s="41" t="str">
        <f aca="false">IF(AND(Tasks[[#This Row],[_IsLeaf]]=1,CurrentSprint&lt;&gt;"",Tasks[[#This Row],[Sprint]]=CurrentSprint),Tasks[[#This Row],[_Row]],"")</f>
        <v/>
      </c>
    </row>
    <row r="40" customFormat="false" ht="15" hidden="false" customHeight="false" outlineLevel="0" collapsed="false">
      <c r="A40" s="28" t="str">
        <f aca="false">IF(Tasks[[#This Row],[Task Name]]="","",COUNTA(Tasks[[#Headers],[Task Name]]:Tasks[[#This Row],[Task Name]])-1)</f>
        <v/>
      </c>
      <c r="B40" s="29" t="n">
        <v>35</v>
      </c>
      <c r="C4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0" s="29"/>
      <c r="E40" s="30"/>
      <c r="F40" s="29"/>
      <c r="G40" s="29"/>
      <c r="H40" s="29"/>
      <c r="I40" s="29"/>
      <c r="J40" s="29"/>
      <c r="K40" s="29"/>
      <c r="L40" s="29"/>
      <c r="M40" s="29"/>
      <c r="N40" s="73"/>
      <c r="O40" s="73"/>
      <c r="P40" s="25" t="str">
        <f aca="false">IF(Tasks[[#This Row],[Task Name]]="","",IF(N(Tasks[[#This Row],[Baseline Start]])&gt;0,Tasks[[#This Row],[Baseline Start]],Tasks[[#This Row],[_CalcStart]]))</f>
        <v/>
      </c>
      <c r="Q40" s="25" t="str">
        <f aca="false">IF(Tasks[[#This Row],[Task Name]]="","",IF(N(Tasks[[#This Row],[Baseline Finish]])&gt;0,Tasks[[#This Row],[Baseline Finish]],Tasks[[#This Row],[_CalcFinish]]))</f>
        <v/>
      </c>
      <c r="R40" s="73"/>
      <c r="S40" s="73"/>
      <c r="T40" s="25" t="str">
        <f aca="false">IF(Tasks[[#This Row],[Task Name]]="","",IF(Tasks[[#This Row],[_IsSummary]],MIN(INDEX(Tasks[_LeafFcstStart],Tasks[[#This Row],[_Row]]+1):INDEX(Tasks[_LeafFcstStart],Tasks[[#This Row],[_Row]]+Tasks[[#This Row],[_Descendants]])),Tasks[[#This Row],[_LeafFcstStart]]))</f>
        <v/>
      </c>
      <c r="U40" s="25" t="str">
        <f aca="false">IF(Tasks[[#This Row],[Task Name]]="","",IF(Tasks[[#This Row],[_IsSummary]],MAX(INDEX(Tasks[_LeafFcstFinish],Tasks[[#This Row],[_Row]]+1):INDEX(Tasks[_LeafFcstFinish],Tasks[[#This Row],[_Row]]+Tasks[[#This Row],[_Descendants]])),Tasks[[#This Row],[_LeafFcstFinish]]))</f>
        <v/>
      </c>
      <c r="V4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4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0" s="25" t="str">
        <f aca="false">IF(Tasks[[#This Row],[Task Name]]="","",IF(Tasks[[#This Row],[_IsSummary]],MIN(INDEX(Tasks[_LeafLateStart],Tasks[[#This Row],[_Row]]+1):INDEX(Tasks[_LeafLateStart],Tasks[[#This Row],[_Row]]+Tasks[[#This Row],[_Descendants]])),Tasks[[#This Row],[_LeafLateStart]]))</f>
        <v/>
      </c>
      <c r="Y40" s="25" t="str">
        <f aca="false">IF(Tasks[[#This Row],[Task Name]]="","",IF(Tasks[[#This Row],[_IsSummary]],MAX(INDEX(Tasks[_LeafLateFinish],Tasks[[#This Row],[_Row]]+1):INDEX(Tasks[_LeafLateFinish],Tasks[[#This Row],[_Row]]+Tasks[[#This Row],[_Descendants]])),Tasks[[#This Row],[_LeafLateFinish]]))</f>
        <v/>
      </c>
      <c r="Z40" s="43" t="str">
        <f aca="false">IF(Tasks[[#This Row],[Task Name]]="","",IF(Tasks[[#This Row],[_IsSummary]],MIN(INDEX(Tasks[_LeafTotalSlack],Tasks[[#This Row],[_Row]]+1):INDEX(Tasks[_LeafTotalSlack],Tasks[[#This Row],[_Row]]+Tasks[[#This Row],[_Descendants]])),Tasks[[#This Row],[_LeafTotalSlack]]))</f>
        <v/>
      </c>
      <c r="AA4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0" s="28" t="str">
        <f aca="false">IF(Tasks[[#This Row],[Task Name]]="","",IF(IF(Tasks[[#This Row],[_IsSummary]],COUNTIF(INDEX(Tasks[_LeafCritical],Tasks[[#This Row],[_Row]]+1):INDEX(Tasks[_LeafCritical],Tasks[[#This Row],[_Row]]+Tasks[[#This Row],[_Descendants]]),TRUE())&gt;0,Tasks[[#This Row],[_LeafCritical]]),"Yes",""))</f>
        <v/>
      </c>
      <c r="AC4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0" s="24" t="str">
        <f aca="false">IF(Tasks[[#This Row],[Task Name]]="","",TRIM(IF(Tasks[[#This Row],[_Pred1Problem]]&lt;&gt;"","Pred 1: "&amp;Tasks[[#This Row],[_Pred1Problem]]&amp;". ","")&amp;IF(Tasks[[#This Row],[_Pred2Problem]]&lt;&gt;"","Pred 2: "&amp;Tasks[[#This Row],[_Pred2Problem]]&amp;".","")))</f>
        <v/>
      </c>
      <c r="AE40" s="88"/>
      <c r="AF40"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0" s="28" t="str">
        <f aca="false">IF(Tasks[[#This Row],[Task Name]]="","",IF(Tasks[[#This Row],[Progress]]&gt;=1,"Complete",IF(OR(N(Tasks[[#This Row],[Actual Start]])&gt;0,Tasks[[#This Row],[Progress]]&gt;0),IF(Tasks[[#This Row],[Finish Var]]&gt;0,"Behind","In Progress"),IF(Tasks[[#This Row],[Planned Start]]&lt;StatusDate,"Late Start","Not Started"))))</f>
        <v/>
      </c>
      <c r="AH40" s="30"/>
      <c r="AI40" s="88"/>
      <c r="AJ40" s="95" t="str">
        <f aca="false">IF(Tasks[[#This Row],[Task Name]]="","",IF(Tasks[[#This Row],[_IsSummary]],SUM(INDEX(Tasks[_LeafWork],Tasks[[#This Row],[_Row]]+1):INDEX(Tasks[_LeafWork],Tasks[[#This Row],[_Row]]+Tasks[[#This Row],[_Descendants]])),Tasks[[#This Row],[_LeafWork]]))</f>
        <v/>
      </c>
      <c r="AK40" s="96" t="str">
        <f aca="false">IF(Tasks[[#This Row],[Task Name]]="","",IF(Tasks[[#This Row],[_IsSummary]],SUM(INDEX(Tasks[_LeafCost],Tasks[[#This Row],[_Row]]+1):INDEX(Tasks[_LeafCost],Tasks[[#This Row],[_Row]]+Tasks[[#This Row],[_Descendants]])),Tasks[[#This Row],[_LeafCost]]))</f>
        <v/>
      </c>
      <c r="AL40" s="97"/>
      <c r="AM40" s="29"/>
      <c r="AN4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40" s="82"/>
      <c r="AP40" s="24" t="str">
        <f aca="false">IF(Tasks[[#This Row],[Task Name]]="","",Tasks[[#This Row],[_Pred1IDText]]&amp;IF(AND(Tasks[[#This Row],[_Pred1IDText]]&lt;&gt;"",Tasks[[#This Row],[_Pred2IDText]]&lt;&gt;""),",","")&amp;Tasks[[#This Row],[_Pred2IDText]])</f>
        <v/>
      </c>
      <c r="AQ40" s="30"/>
      <c r="AR40" s="25" t="str">
        <f aca="false">IF(Tasks[[#This Row],[Task Name]]="","",Tasks[[#This Row],[Forecast Start]])</f>
        <v/>
      </c>
      <c r="AS40" s="25" t="str">
        <f aca="false">IF(Tasks[[#This Row],[Task Name]]="","",Tasks[[#This Row],[Forecast Finish]])</f>
        <v/>
      </c>
      <c r="AT40" s="28" t="str">
        <f aca="false">IF(Tasks[[#This Row],[Task Name]]="","",IF(Tasks[[#This Row],[_IsSummary]],NETWORKDAYS.INTL(Tasks[[#This Row],[Forecast Start]],Tasks[[#This Row],[Forecast Finish]],WorkWeek,Holidays),N(Tasks[[#This Row],[Duration]])))</f>
        <v/>
      </c>
      <c r="AU40" s="95" t="str">
        <f aca="false">IF(Tasks[[#This Row],[Task Name]]="","",Tasks[[#This Row],[Work]])</f>
        <v/>
      </c>
      <c r="AV40" s="96" t="str">
        <f aca="false">IF(Tasks[[#This Row],[Task Name]]="","",Tasks[[#This Row],[Cost]])</f>
        <v/>
      </c>
      <c r="AW40" s="73"/>
      <c r="AX40" s="73"/>
      <c r="AY40" s="29"/>
      <c r="AZ40" s="98"/>
      <c r="BA40" s="97"/>
      <c r="BB40" s="28" t="str">
        <f aca="false">IF(OR(Tasks[[#This Row],[Task Name]]="",Tasks[[#This Row],[Baseline Duration]]=""),"",Tasks[[#This Row],[BL Source Duration]]-N(Tasks[[#This Row],[Baseline Duration]]))</f>
        <v/>
      </c>
      <c r="BC40" s="95" t="str">
        <f aca="false">IF(OR(Tasks[[#This Row],[Task Name]]="",Tasks[[#This Row],[Baseline Work]]=""),"",Tasks[[#This Row],[Work]]-N(Tasks[[#This Row],[Baseline Work]]))</f>
        <v/>
      </c>
      <c r="BD40" s="96" t="str">
        <f aca="false">IF(OR(Tasks[[#This Row],[Task Name]]="",Tasks[[#This Row],[Baseline Cost]]=""),"",Tasks[[#This Row],[Cost]]-N(Tasks[[#This Row],[Baseline Cost]]))</f>
        <v/>
      </c>
      <c r="BE40" s="96" t="str">
        <f aca="false">IF(Tasks[[#This Row],[Task Name]]="","",IF(Tasks[[#This Row],[_IsSummary]],SUM(INDEX(Tasks[_LeafBudget],Tasks[[#This Row],[_Row]]+1):INDEX(Tasks[_LeafBudget],Tasks[[#This Row],[_Row]]+Tasks[[#This Row],[_Descendants]])),Tasks[[#This Row],[_LeafBudget]]))</f>
        <v/>
      </c>
      <c r="BF40" s="96" t="str">
        <f aca="false">IF(Tasks[[#This Row],[Task Name]]="","",IF(Tasks[[#This Row],[_IsSummary]],SUM(INDEX(Tasks[_LeafPV],Tasks[[#This Row],[_Row]]+1):INDEX(Tasks[_LeafPV],Tasks[[#This Row],[_Row]]+Tasks[[#This Row],[_Descendants]])),Tasks[[#This Row],[_LeafPV]]))</f>
        <v/>
      </c>
      <c r="BG40" s="96" t="str">
        <f aca="false">IF(Tasks[[#This Row],[Task Name]]="","",IF(Tasks[[#This Row],[_IsSummary]],SUM(INDEX(Tasks[_LeafEV],Tasks[[#This Row],[_Row]]+1):INDEX(Tasks[_LeafEV],Tasks[[#This Row],[_Row]]+Tasks[[#This Row],[_Descendants]])),Tasks[[#This Row],[_LeafEV]]))</f>
        <v/>
      </c>
      <c r="BH40" s="96" t="str">
        <f aca="false">IF(Tasks[[#This Row],[Task Name]]="","",IF(Tasks[[#This Row],[_IsSummary]],SUM(INDEX(Tasks[_LeafAC],Tasks[[#This Row],[_Row]]+1):INDEX(Tasks[_LeafAC],Tasks[[#This Row],[_Row]]+Tasks[[#This Row],[_Descendants]])),Tasks[[#This Row],[_LeafAC]]))</f>
        <v/>
      </c>
      <c r="BI40" s="41" t="str">
        <f aca="false">IF(Tasks[[#This Row],[Task Name]]="","",MAX(1,N(Tasks[[#This Row],[Level]])))</f>
        <v/>
      </c>
      <c r="BJ40" s="41" t="n">
        <f aca="false">ROW()-ROW(Tasks[[#Headers],[ID]])</f>
        <v>35</v>
      </c>
      <c r="BK40" s="41" t="n">
        <f aca="false">IF(OR(Tasks[[#This Row],[Task Name]]="",Tasks[[#This Row],[_Level]]&lt;=1),0,IFERROR(LOOKUP(2,1/(Tasks[[#Headers],[_Level]]:Tasks[[#This Row],[_Level]]=Tasks[[#This Row],[_Level]]-1),ROW(Tasks[[#Headers],[_Level]]:Tasks[[#This Row],[_Level]])),0))</f>
        <v>0</v>
      </c>
      <c r="BL40" s="41" t="n">
        <f aca="false">IFERROR(N(INDEX(Tasks[_Level],Tasks[[#This Row],[_Row]]+1)),0)</f>
        <v>0</v>
      </c>
      <c r="BM40" s="99" t="b">
        <f aca="false">AND(Tasks[[#This Row],[Task Name]]&lt;&gt;"",Tasks[[#This Row],[_NextLevel]]&gt;Tasks[[#This Row],[_Level]])</f>
        <v>0</v>
      </c>
      <c r="BN40" s="41" t="n">
        <f aca="false">IF(Tasks[[#This Row],[_IsSummary]],COUNTIF(Tasks[WBS],Tasks[[#This Row],[WBS]]&amp;".*"),0)</f>
        <v>0</v>
      </c>
      <c r="BO40" s="41" t="n">
        <f aca="false">IF(AND(Tasks[[#This Row],[Task Name]]&lt;&gt;"",NOT(Tasks[[#This Row],[_IsSummary]])),1,0)</f>
        <v>0</v>
      </c>
      <c r="BP40" s="41" t="n">
        <f aca="false">IF(N(Tasks[[#This Row],[Pred1 UID]])=0,0,IFERROR(MATCH(Tasks[[#This Row],[Pred1 UID]],Tasks[UID],0),-1))</f>
        <v>0</v>
      </c>
      <c r="BQ40" s="41" t="n">
        <f aca="false">IF(N(Tasks[[#This Row],[Pred2 UID]])=0,0,IFERROR(MATCH(Tasks[[#This Row],[Pred2 UID]],Tasks[UID],0),-1))</f>
        <v>0</v>
      </c>
      <c r="BR40"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40" s="100" t="str">
        <f aca="false">IF(NOT(Tasks[[#This Row],[_IsLeaf]]=1),"",IF(N(Tasks[[#This Row],[Duration]])&lt;=0,Tasks[[#This Row],[_LeafCalcStart]],WORKDAY.INTL(Tasks[[#This Row],[_LeafCalcStart]],Tasks[[#This Row],[Duration]]-1,WorkWeek,Holidays)))</f>
        <v/>
      </c>
      <c r="BT40"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40"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40" s="41" t="n">
        <f aca="false">IF(NOT(Tasks[[#This Row],[_IsLeaf]]=1),0,IF(N(Tasks[[#This Row],[Actual Finish]])&gt;0,1,MIN(1,N(Tasks[[#This Row],[% Complete]]))))</f>
        <v>0</v>
      </c>
      <c r="BW40" s="41" t="n">
        <f aca="false">IF(OR(NOT(Tasks[[#This Row],[_IsLeaf]]=1),Tasks[[#This Row],[Resource]]=""),0,N(Tasks[[#This Row],[Duration]])*HoursPerDay*IF(Tasks[[#This Row],[Units]]="",DefaultUnits,Tasks[[#This Row],[Units]]))</f>
        <v>0</v>
      </c>
      <c r="BX40" s="41" t="n">
        <f aca="false">IF(Tasks[[#This Row],[_LeafWork]]=0,0,Tasks[[#This Row],[_LeafWork]]*IFERROR(INDEX(res_Rate,MATCH(Tasks[[#This Row],[Resource]],res_Name,0)),0))</f>
        <v>0</v>
      </c>
      <c r="BY4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4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4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4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40" s="41" t="n">
        <f aca="false">IF(NOT(Tasks[[#This Row],[_IsLeaf]]=1),0,MAX(_xlfn.MAXIFS(Tasks[_Row],Tasks[Pred1 UID],Tasks[[#This Row],[UID]]),_xlfn.MAXIFS(Tasks[_Row],Tasks[Pred2 UID],Tasks[[#This Row],[UID]])))</f>
        <v>0</v>
      </c>
      <c r="CD40"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40" s="100" t="str">
        <f aca="false">IF(NOT(Tasks[[#This Row],[_IsLeaf]]=1),"",MIN(ProjectFinish,IF(N(Tasks[[#This Row],[Deadline]])&gt;0,Tasks[[#This Row],[Deadline]],2958465),Tasks[[#This Row],[_SuccessorFinishLimit]]))</f>
        <v/>
      </c>
      <c r="CF40" s="100" t="str">
        <f aca="false">IF(NOT(Tasks[[#This Row],[_IsLeaf]]=1),"",IF(N(Tasks[[#This Row],[Duration]])&lt;=0,Tasks[[#This Row],[_LeafLateFinish]],WORKDAY.INTL(Tasks[[#This Row],[_LeafLateFinish]],-(Tasks[[#This Row],[Duration]]-1),WorkWeek,Holidays)))</f>
        <v/>
      </c>
      <c r="CG4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40" s="99" t="b">
        <f aca="false">AND(Tasks[[#This Row],[_IsLeaf]]=1,Tasks[[#This Row],[_LeafProgress]]&lt;1,N(Tasks[[#This Row],[_LeafTotalSlack]])&lt;=CriticalSlackDays)</f>
        <v>0</v>
      </c>
      <c r="CI40" s="100" t="str">
        <f aca="false">IF(Tasks[[#This Row],[Task Name]]="","",IF(Tasks[[#This Row],[_IsSummary]],MIN(INDEX(Tasks[_LeafCalcStart],Tasks[[#This Row],[_Row]]+1):INDEX(Tasks[_LeafCalcStart],Tasks[[#This Row],[_Row]]+Tasks[[#This Row],[_Descendants]])),Tasks[[#This Row],[_LeafCalcStart]]))</f>
        <v/>
      </c>
      <c r="CJ40" s="100" t="str">
        <f aca="false">IF(Tasks[[#This Row],[Task Name]]="","",IF(Tasks[[#This Row],[_IsSummary]],MAX(INDEX(Tasks[_LeafCalcFinish],Tasks[[#This Row],[_Row]]+1):INDEX(Tasks[_LeafCalcFinish],Tasks[[#This Row],[_Row]]+Tasks[[#This Row],[_Descendants]])),Tasks[[#This Row],[_LeafCalcFinish]]))</f>
        <v/>
      </c>
      <c r="CK4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4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40"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40"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40"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40"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40" s="41" t="n">
        <f aca="false">IF(AND(Tasks[[#This Row],[_IsLeaf]]=1,Tasks[[#This Row],[_LeafWork]]&gt;0),NETWORKDAYS.INTL(ProjectStart,Tasks[[#This Row],[_LeafFcstStart]],WorkWeek,Holidays),0)</f>
        <v>0</v>
      </c>
      <c r="CR40" s="41" t="n">
        <f aca="false">IF(AND(Tasks[[#This Row],[_IsLeaf]]=1,Tasks[[#This Row],[_LeafWork]]&gt;0),MAX(Tasks[[#This Row],[_StartWorkday]],NETWORKDAYS.INTL(ProjectStart,Tasks[[#This Row],[_LeafFcstFinish]],WorkWeek,Holidays)),0)</f>
        <v>0</v>
      </c>
      <c r="CS40" s="41" t="n">
        <f aca="false">IF(AND(Tasks[[#This Row],[_IsLeaf]]=1,Tasks[[#This Row],[_LeafWork]]&gt;0),Tasks[[#This Row],[_LeafWork]]/(Tasks[[#This Row],[_FinishWorkday]]-Tasks[[#This Row],[_StartWorkday]]+1),0)</f>
        <v>0</v>
      </c>
      <c r="CT40" s="41" t="n">
        <f aca="false">Tasks[[#This Row],[_WorkPerWorkday]]*(Tasks[[#This Row],[_StartWorkday]]-1)</f>
        <v>-0</v>
      </c>
      <c r="CU40" s="41" t="n">
        <f aca="false">IF(Tasks[[#This Row],[_IsLeaf]]=1,MAX(N(Tasks[[#This Row],[Duration]]),0.1),0)</f>
        <v>0</v>
      </c>
      <c r="CV40" s="41" t="n">
        <f aca="false">Tasks[[#This Row],[_WeightDur]]*Tasks[[#This Row],[_LeafProgress]]</f>
        <v>0</v>
      </c>
      <c r="CW4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4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4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4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40" s="41" t="str">
        <f aca="false">IF(Tasks[[#This Row],[Task Name]]="","",Tasks[[#This Row],[_Pred1UIDText]]&amp;IF(AND(Tasks[[#This Row],[_Pred1UIDText]]&lt;&gt;"",Tasks[[#This Row],[_Pred2UIDText]]&lt;&gt;""),",","")&amp;Tasks[[#This Row],[_Pred2UIDText]])</f>
        <v/>
      </c>
      <c r="DB40" s="41" t="str">
        <f aca="false">IF(AND(Tasks[[#This Row],[_IsLeaf]]=1,N(Tasks[[#This Row],[Duration]])=0,Tasks[[#This Row],[_LeafProgress]]&lt;1),Tasks[[#This Row],[_LeafFcstFinish]]+Tasks[[#This Row],[_Row]]/100000,"")</f>
        <v/>
      </c>
      <c r="DC4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40" s="41" t="n">
        <f aca="false">IF(NOT(Tasks[[#This Row],[_IsLeaf]]=1),0,IF(Tasks[[#This Row],[Baseline Cost]]="",Tasks[[#This Row],[_LeafCost]],N(Tasks[[#This Row],[Baseline Cost]])))</f>
        <v>0</v>
      </c>
      <c r="DE40" s="41" t="n">
        <f aca="false">Tasks[[#This Row],[_LeafBudget]]*Tasks[[#This Row],[_PlannedPct]]</f>
        <v>0</v>
      </c>
      <c r="DF40" s="41" t="n">
        <f aca="false">Tasks[[#This Row],[_LeafBudget]]*Tasks[[#This Row],[_LeafProgress]]</f>
        <v>0</v>
      </c>
      <c r="DG40" s="41" t="n">
        <f aca="false">IF(NOT(Tasks[[#This Row],[_IsLeaf]]=1),0,IF(Tasks[[#This Row],[Actual Cost]]="",Tasks[[#This Row],[_LeafCost]]*Tasks[[#This Row],[_LeafProgress]],N(Tasks[[#This Row],[Actual Cost]])))</f>
        <v>0</v>
      </c>
      <c r="DH40" s="41" t="str">
        <f aca="false">IF(Tasks[[#This Row],[Task Name]]="","",LEFT(Tasks[[#This Row],[WBS]],FIND(".",Tasks[[#This Row],[WBS]]&amp;".")-1))</f>
        <v/>
      </c>
      <c r="DI40" s="41" t="str">
        <f aca="false">IF(AND(Tasks[[#This Row],[Task Name]]&lt;&gt;"",Tasks[[#This Row],[_Level]]=1),Tasks[[#This Row],[_Row]],"")</f>
        <v/>
      </c>
      <c r="DJ40" s="41" t="str">
        <f aca="false">IF(AND(Tasks[[#This Row],[_IsLeaf]]=1,N(Tasks[[#This Row],[Duration]])=0),Tasks[[#This Row],[Planned Finish]]+Tasks[[#This Row],[_Row]]/100000,"")</f>
        <v/>
      </c>
      <c r="DK40" s="41" t="str">
        <f aca="false">IF(AND(Tasks[[#This Row],[_IsLeaf]]=1,Tasks[[#This Row],[_LeafProgress]]&lt;1,OR(N(Tasks[[#This Row],[Finish Var]])&gt;0,Tasks[[#This Row],[Status]]="Late Start")),MAX(0,Tasks[[#This Row],[Finish Var]])+1-Tasks[[#This Row],[_Row]]/1000000,"")</f>
        <v/>
      </c>
      <c r="DL40" s="41" t="str">
        <f aca="false">IF(AND(Tasks[[#This Row],[_IsLeaf]]=1,N(Tasks[[#This Row],[Actual Start]])=0,Tasks[[#This Row],[_LeafFcstStart]]&gt;=StatusDate,Tasks[[#This Row],[_LeafFcstStart]]&lt;=LookaheadEnd),Tasks[[#This Row],[_LeafFcstStart]]+Tasks[[#This Row],[_Row]]/100000,"")</f>
        <v/>
      </c>
      <c r="DM40" s="41" t="str">
        <f aca="false">IF(AND(Tasks[[#This Row],[_IsLeaf]]=1,Tasks[[#This Row],[_LeafProgress]]&lt;1,Tasks[[#This Row],[_LeafFcstFinish]]&gt;=StatusDate,Tasks[[#This Row],[_LeafFcstFinish]]&lt;=LookaheadEnd),Tasks[[#This Row],[_LeafFcstFinish]]+Tasks[[#This Row],[_Row]]/100000,"")</f>
        <v/>
      </c>
      <c r="DN40" s="41" t="str">
        <f aca="false">IF(Tasks[[#This Row],[_LeafCritical]],Tasks[[#This Row],[_LeafFcstStart]]+Tasks[[#This Row],[_Row]]/100000,"")</f>
        <v/>
      </c>
      <c r="DO40" s="41" t="n">
        <f aca="false">Tasks[[#This Row],[_LeafWork]]*Tasks[[#This Row],[_LeafProgress]]</f>
        <v>0</v>
      </c>
      <c r="DP40" s="100" t="str">
        <f aca="false">IF(AND(Tasks[[#This Row],[_IsLeaf]]=1,Tasks[[#This Row],[_LeafProgress]]&gt;=1),IF(N(Tasks[[#This Row],[Actual Finish]])&gt;0,Tasks[[#This Row],[Actual Finish]],Tasks[[#This Row],[_LeafFcstFinish]]),"")</f>
        <v/>
      </c>
      <c r="DQ40" s="41" t="n">
        <f aca="false">IF(Tasks[[#This Row],[_IsLeaf]]=1,N(Tasks[[#This Row],[Story Points]]),0)</f>
        <v>0</v>
      </c>
      <c r="DR40" s="41" t="str">
        <f aca="false">IF(AND(Tasks[[#This Row],[_IsLeaf]]=1,CurrentSprint&lt;&gt;"",Tasks[[#This Row],[Sprint]]=CurrentSprint),Tasks[[#This Row],[_Row]],"")</f>
        <v/>
      </c>
    </row>
    <row r="41" customFormat="false" ht="15" hidden="false" customHeight="false" outlineLevel="0" collapsed="false">
      <c r="A41" s="28" t="str">
        <f aca="false">IF(Tasks[[#This Row],[Task Name]]="","",COUNTA(Tasks[[#Headers],[Task Name]]:Tasks[[#This Row],[Task Name]])-1)</f>
        <v/>
      </c>
      <c r="B41" s="29" t="n">
        <v>36</v>
      </c>
      <c r="C4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1" s="29"/>
      <c r="E41" s="30"/>
      <c r="F41" s="29"/>
      <c r="G41" s="29"/>
      <c r="H41" s="29"/>
      <c r="I41" s="29"/>
      <c r="J41" s="29"/>
      <c r="K41" s="29"/>
      <c r="L41" s="29"/>
      <c r="M41" s="29"/>
      <c r="N41" s="73"/>
      <c r="O41" s="73"/>
      <c r="P41" s="25" t="str">
        <f aca="false">IF(Tasks[[#This Row],[Task Name]]="","",IF(N(Tasks[[#This Row],[Baseline Start]])&gt;0,Tasks[[#This Row],[Baseline Start]],Tasks[[#This Row],[_CalcStart]]))</f>
        <v/>
      </c>
      <c r="Q41" s="25" t="str">
        <f aca="false">IF(Tasks[[#This Row],[Task Name]]="","",IF(N(Tasks[[#This Row],[Baseline Finish]])&gt;0,Tasks[[#This Row],[Baseline Finish]],Tasks[[#This Row],[_CalcFinish]]))</f>
        <v/>
      </c>
      <c r="R41" s="73"/>
      <c r="S41" s="73"/>
      <c r="T41" s="25" t="str">
        <f aca="false">IF(Tasks[[#This Row],[Task Name]]="","",IF(Tasks[[#This Row],[_IsSummary]],MIN(INDEX(Tasks[_LeafFcstStart],Tasks[[#This Row],[_Row]]+1):INDEX(Tasks[_LeafFcstStart],Tasks[[#This Row],[_Row]]+Tasks[[#This Row],[_Descendants]])),Tasks[[#This Row],[_LeafFcstStart]]))</f>
        <v/>
      </c>
      <c r="U41" s="25" t="str">
        <f aca="false">IF(Tasks[[#This Row],[Task Name]]="","",IF(Tasks[[#This Row],[_IsSummary]],MAX(INDEX(Tasks[_LeafFcstFinish],Tasks[[#This Row],[_Row]]+1):INDEX(Tasks[_LeafFcstFinish],Tasks[[#This Row],[_Row]]+Tasks[[#This Row],[_Descendants]])),Tasks[[#This Row],[_LeafFcstFinish]]))</f>
        <v/>
      </c>
      <c r="V4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4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1" s="25" t="str">
        <f aca="false">IF(Tasks[[#This Row],[Task Name]]="","",IF(Tasks[[#This Row],[_IsSummary]],MIN(INDEX(Tasks[_LeafLateStart],Tasks[[#This Row],[_Row]]+1):INDEX(Tasks[_LeafLateStart],Tasks[[#This Row],[_Row]]+Tasks[[#This Row],[_Descendants]])),Tasks[[#This Row],[_LeafLateStart]]))</f>
        <v/>
      </c>
      <c r="Y41" s="25" t="str">
        <f aca="false">IF(Tasks[[#This Row],[Task Name]]="","",IF(Tasks[[#This Row],[_IsSummary]],MAX(INDEX(Tasks[_LeafLateFinish],Tasks[[#This Row],[_Row]]+1):INDEX(Tasks[_LeafLateFinish],Tasks[[#This Row],[_Row]]+Tasks[[#This Row],[_Descendants]])),Tasks[[#This Row],[_LeafLateFinish]]))</f>
        <v/>
      </c>
      <c r="Z41" s="43" t="str">
        <f aca="false">IF(Tasks[[#This Row],[Task Name]]="","",IF(Tasks[[#This Row],[_IsSummary]],MIN(INDEX(Tasks[_LeafTotalSlack],Tasks[[#This Row],[_Row]]+1):INDEX(Tasks[_LeafTotalSlack],Tasks[[#This Row],[_Row]]+Tasks[[#This Row],[_Descendants]])),Tasks[[#This Row],[_LeafTotalSlack]]))</f>
        <v/>
      </c>
      <c r="AA4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1" s="28" t="str">
        <f aca="false">IF(Tasks[[#This Row],[Task Name]]="","",IF(IF(Tasks[[#This Row],[_IsSummary]],COUNTIF(INDEX(Tasks[_LeafCritical],Tasks[[#This Row],[_Row]]+1):INDEX(Tasks[_LeafCritical],Tasks[[#This Row],[_Row]]+Tasks[[#This Row],[_Descendants]]),TRUE())&gt;0,Tasks[[#This Row],[_LeafCritical]]),"Yes",""))</f>
        <v/>
      </c>
      <c r="AC4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1" s="24" t="str">
        <f aca="false">IF(Tasks[[#This Row],[Task Name]]="","",TRIM(IF(Tasks[[#This Row],[_Pred1Problem]]&lt;&gt;"","Pred 1: "&amp;Tasks[[#This Row],[_Pred1Problem]]&amp;". ","")&amp;IF(Tasks[[#This Row],[_Pred2Problem]]&lt;&gt;"","Pred 2: "&amp;Tasks[[#This Row],[_Pred2Problem]]&amp;".","")))</f>
        <v/>
      </c>
      <c r="AE41" s="88"/>
      <c r="AF41"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1" s="28" t="str">
        <f aca="false">IF(Tasks[[#This Row],[Task Name]]="","",IF(Tasks[[#This Row],[Progress]]&gt;=1,"Complete",IF(OR(N(Tasks[[#This Row],[Actual Start]])&gt;0,Tasks[[#This Row],[Progress]]&gt;0),IF(Tasks[[#This Row],[Finish Var]]&gt;0,"Behind","In Progress"),IF(Tasks[[#This Row],[Planned Start]]&lt;StatusDate,"Late Start","Not Started"))))</f>
        <v/>
      </c>
      <c r="AH41" s="30"/>
      <c r="AI41" s="88"/>
      <c r="AJ41" s="95" t="str">
        <f aca="false">IF(Tasks[[#This Row],[Task Name]]="","",IF(Tasks[[#This Row],[_IsSummary]],SUM(INDEX(Tasks[_LeafWork],Tasks[[#This Row],[_Row]]+1):INDEX(Tasks[_LeafWork],Tasks[[#This Row],[_Row]]+Tasks[[#This Row],[_Descendants]])),Tasks[[#This Row],[_LeafWork]]))</f>
        <v/>
      </c>
      <c r="AK41" s="96" t="str">
        <f aca="false">IF(Tasks[[#This Row],[Task Name]]="","",IF(Tasks[[#This Row],[_IsSummary]],SUM(INDEX(Tasks[_LeafCost],Tasks[[#This Row],[_Row]]+1):INDEX(Tasks[_LeafCost],Tasks[[#This Row],[_Row]]+Tasks[[#This Row],[_Descendants]])),Tasks[[#This Row],[_LeafCost]]))</f>
        <v/>
      </c>
      <c r="AL41" s="97"/>
      <c r="AM41" s="29"/>
      <c r="AN4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41" s="82"/>
      <c r="AP41" s="24" t="str">
        <f aca="false">IF(Tasks[[#This Row],[Task Name]]="","",Tasks[[#This Row],[_Pred1IDText]]&amp;IF(AND(Tasks[[#This Row],[_Pred1IDText]]&lt;&gt;"",Tasks[[#This Row],[_Pred2IDText]]&lt;&gt;""),",","")&amp;Tasks[[#This Row],[_Pred2IDText]])</f>
        <v/>
      </c>
      <c r="AQ41" s="30"/>
      <c r="AR41" s="25" t="str">
        <f aca="false">IF(Tasks[[#This Row],[Task Name]]="","",Tasks[[#This Row],[Forecast Start]])</f>
        <v/>
      </c>
      <c r="AS41" s="25" t="str">
        <f aca="false">IF(Tasks[[#This Row],[Task Name]]="","",Tasks[[#This Row],[Forecast Finish]])</f>
        <v/>
      </c>
      <c r="AT41" s="28" t="str">
        <f aca="false">IF(Tasks[[#This Row],[Task Name]]="","",IF(Tasks[[#This Row],[_IsSummary]],NETWORKDAYS.INTL(Tasks[[#This Row],[Forecast Start]],Tasks[[#This Row],[Forecast Finish]],WorkWeek,Holidays),N(Tasks[[#This Row],[Duration]])))</f>
        <v/>
      </c>
      <c r="AU41" s="95" t="str">
        <f aca="false">IF(Tasks[[#This Row],[Task Name]]="","",Tasks[[#This Row],[Work]])</f>
        <v/>
      </c>
      <c r="AV41" s="96" t="str">
        <f aca="false">IF(Tasks[[#This Row],[Task Name]]="","",Tasks[[#This Row],[Cost]])</f>
        <v/>
      </c>
      <c r="AW41" s="73"/>
      <c r="AX41" s="73"/>
      <c r="AY41" s="29"/>
      <c r="AZ41" s="98"/>
      <c r="BA41" s="97"/>
      <c r="BB41" s="28" t="str">
        <f aca="false">IF(OR(Tasks[[#This Row],[Task Name]]="",Tasks[[#This Row],[Baseline Duration]]=""),"",Tasks[[#This Row],[BL Source Duration]]-N(Tasks[[#This Row],[Baseline Duration]]))</f>
        <v/>
      </c>
      <c r="BC41" s="95" t="str">
        <f aca="false">IF(OR(Tasks[[#This Row],[Task Name]]="",Tasks[[#This Row],[Baseline Work]]=""),"",Tasks[[#This Row],[Work]]-N(Tasks[[#This Row],[Baseline Work]]))</f>
        <v/>
      </c>
      <c r="BD41" s="96" t="str">
        <f aca="false">IF(OR(Tasks[[#This Row],[Task Name]]="",Tasks[[#This Row],[Baseline Cost]]=""),"",Tasks[[#This Row],[Cost]]-N(Tasks[[#This Row],[Baseline Cost]]))</f>
        <v/>
      </c>
      <c r="BE41" s="96" t="str">
        <f aca="false">IF(Tasks[[#This Row],[Task Name]]="","",IF(Tasks[[#This Row],[_IsSummary]],SUM(INDEX(Tasks[_LeafBudget],Tasks[[#This Row],[_Row]]+1):INDEX(Tasks[_LeafBudget],Tasks[[#This Row],[_Row]]+Tasks[[#This Row],[_Descendants]])),Tasks[[#This Row],[_LeafBudget]]))</f>
        <v/>
      </c>
      <c r="BF41" s="96" t="str">
        <f aca="false">IF(Tasks[[#This Row],[Task Name]]="","",IF(Tasks[[#This Row],[_IsSummary]],SUM(INDEX(Tasks[_LeafPV],Tasks[[#This Row],[_Row]]+1):INDEX(Tasks[_LeafPV],Tasks[[#This Row],[_Row]]+Tasks[[#This Row],[_Descendants]])),Tasks[[#This Row],[_LeafPV]]))</f>
        <v/>
      </c>
      <c r="BG41" s="96" t="str">
        <f aca="false">IF(Tasks[[#This Row],[Task Name]]="","",IF(Tasks[[#This Row],[_IsSummary]],SUM(INDEX(Tasks[_LeafEV],Tasks[[#This Row],[_Row]]+1):INDEX(Tasks[_LeafEV],Tasks[[#This Row],[_Row]]+Tasks[[#This Row],[_Descendants]])),Tasks[[#This Row],[_LeafEV]]))</f>
        <v/>
      </c>
      <c r="BH41" s="96" t="str">
        <f aca="false">IF(Tasks[[#This Row],[Task Name]]="","",IF(Tasks[[#This Row],[_IsSummary]],SUM(INDEX(Tasks[_LeafAC],Tasks[[#This Row],[_Row]]+1):INDEX(Tasks[_LeafAC],Tasks[[#This Row],[_Row]]+Tasks[[#This Row],[_Descendants]])),Tasks[[#This Row],[_LeafAC]]))</f>
        <v/>
      </c>
      <c r="BI41" s="41" t="str">
        <f aca="false">IF(Tasks[[#This Row],[Task Name]]="","",MAX(1,N(Tasks[[#This Row],[Level]])))</f>
        <v/>
      </c>
      <c r="BJ41" s="41" t="n">
        <f aca="false">ROW()-ROW(Tasks[[#Headers],[ID]])</f>
        <v>36</v>
      </c>
      <c r="BK41" s="41" t="n">
        <f aca="false">IF(OR(Tasks[[#This Row],[Task Name]]="",Tasks[[#This Row],[_Level]]&lt;=1),0,IFERROR(LOOKUP(2,1/(Tasks[[#Headers],[_Level]]:Tasks[[#This Row],[_Level]]=Tasks[[#This Row],[_Level]]-1),ROW(Tasks[[#Headers],[_Level]]:Tasks[[#This Row],[_Level]])),0))</f>
        <v>0</v>
      </c>
      <c r="BL41" s="41" t="n">
        <f aca="false">IFERROR(N(INDEX(Tasks[_Level],Tasks[[#This Row],[_Row]]+1)),0)</f>
        <v>0</v>
      </c>
      <c r="BM41" s="99" t="b">
        <f aca="false">AND(Tasks[[#This Row],[Task Name]]&lt;&gt;"",Tasks[[#This Row],[_NextLevel]]&gt;Tasks[[#This Row],[_Level]])</f>
        <v>0</v>
      </c>
      <c r="BN41" s="41" t="n">
        <f aca="false">IF(Tasks[[#This Row],[_IsSummary]],COUNTIF(Tasks[WBS],Tasks[[#This Row],[WBS]]&amp;".*"),0)</f>
        <v>0</v>
      </c>
      <c r="BO41" s="41" t="n">
        <f aca="false">IF(AND(Tasks[[#This Row],[Task Name]]&lt;&gt;"",NOT(Tasks[[#This Row],[_IsSummary]])),1,0)</f>
        <v>0</v>
      </c>
      <c r="BP41" s="41" t="n">
        <f aca="false">IF(N(Tasks[[#This Row],[Pred1 UID]])=0,0,IFERROR(MATCH(Tasks[[#This Row],[Pred1 UID]],Tasks[UID],0),-1))</f>
        <v>0</v>
      </c>
      <c r="BQ41" s="41" t="n">
        <f aca="false">IF(N(Tasks[[#This Row],[Pred2 UID]])=0,0,IFERROR(MATCH(Tasks[[#This Row],[Pred2 UID]],Tasks[UID],0),-1))</f>
        <v>0</v>
      </c>
      <c r="BR41"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41" s="100" t="str">
        <f aca="false">IF(NOT(Tasks[[#This Row],[_IsLeaf]]=1),"",IF(N(Tasks[[#This Row],[Duration]])&lt;=0,Tasks[[#This Row],[_LeafCalcStart]],WORKDAY.INTL(Tasks[[#This Row],[_LeafCalcStart]],Tasks[[#This Row],[Duration]]-1,WorkWeek,Holidays)))</f>
        <v/>
      </c>
      <c r="BT41"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41"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41" s="41" t="n">
        <f aca="false">IF(NOT(Tasks[[#This Row],[_IsLeaf]]=1),0,IF(N(Tasks[[#This Row],[Actual Finish]])&gt;0,1,MIN(1,N(Tasks[[#This Row],[% Complete]]))))</f>
        <v>0</v>
      </c>
      <c r="BW41" s="41" t="n">
        <f aca="false">IF(OR(NOT(Tasks[[#This Row],[_IsLeaf]]=1),Tasks[[#This Row],[Resource]]=""),0,N(Tasks[[#This Row],[Duration]])*HoursPerDay*IF(Tasks[[#This Row],[Units]]="",DefaultUnits,Tasks[[#This Row],[Units]]))</f>
        <v>0</v>
      </c>
      <c r="BX41" s="41" t="n">
        <f aca="false">IF(Tasks[[#This Row],[_LeafWork]]=0,0,Tasks[[#This Row],[_LeafWork]]*IFERROR(INDEX(res_Rate,MATCH(Tasks[[#This Row],[Resource]],res_Name,0)),0))</f>
        <v>0</v>
      </c>
      <c r="BY4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4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4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4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41" s="41" t="n">
        <f aca="false">IF(NOT(Tasks[[#This Row],[_IsLeaf]]=1),0,MAX(_xlfn.MAXIFS(Tasks[_Row],Tasks[Pred1 UID],Tasks[[#This Row],[UID]]),_xlfn.MAXIFS(Tasks[_Row],Tasks[Pred2 UID],Tasks[[#This Row],[UID]])))</f>
        <v>0</v>
      </c>
      <c r="CD41"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41" s="100" t="str">
        <f aca="false">IF(NOT(Tasks[[#This Row],[_IsLeaf]]=1),"",MIN(ProjectFinish,IF(N(Tasks[[#This Row],[Deadline]])&gt;0,Tasks[[#This Row],[Deadline]],2958465),Tasks[[#This Row],[_SuccessorFinishLimit]]))</f>
        <v/>
      </c>
      <c r="CF41" s="100" t="str">
        <f aca="false">IF(NOT(Tasks[[#This Row],[_IsLeaf]]=1),"",IF(N(Tasks[[#This Row],[Duration]])&lt;=0,Tasks[[#This Row],[_LeafLateFinish]],WORKDAY.INTL(Tasks[[#This Row],[_LeafLateFinish]],-(Tasks[[#This Row],[Duration]]-1),WorkWeek,Holidays)))</f>
        <v/>
      </c>
      <c r="CG4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41" s="99" t="b">
        <f aca="false">AND(Tasks[[#This Row],[_IsLeaf]]=1,Tasks[[#This Row],[_LeafProgress]]&lt;1,N(Tasks[[#This Row],[_LeafTotalSlack]])&lt;=CriticalSlackDays)</f>
        <v>0</v>
      </c>
      <c r="CI41" s="100" t="str">
        <f aca="false">IF(Tasks[[#This Row],[Task Name]]="","",IF(Tasks[[#This Row],[_IsSummary]],MIN(INDEX(Tasks[_LeafCalcStart],Tasks[[#This Row],[_Row]]+1):INDEX(Tasks[_LeafCalcStart],Tasks[[#This Row],[_Row]]+Tasks[[#This Row],[_Descendants]])),Tasks[[#This Row],[_LeafCalcStart]]))</f>
        <v/>
      </c>
      <c r="CJ41" s="100" t="str">
        <f aca="false">IF(Tasks[[#This Row],[Task Name]]="","",IF(Tasks[[#This Row],[_IsSummary]],MAX(INDEX(Tasks[_LeafCalcFinish],Tasks[[#This Row],[_Row]]+1):INDEX(Tasks[_LeafCalcFinish],Tasks[[#This Row],[_Row]]+Tasks[[#This Row],[_Descendants]])),Tasks[[#This Row],[_LeafCalcFinish]]))</f>
        <v/>
      </c>
      <c r="CK4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4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41"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41"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41"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41"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41" s="41" t="n">
        <f aca="false">IF(AND(Tasks[[#This Row],[_IsLeaf]]=1,Tasks[[#This Row],[_LeafWork]]&gt;0),NETWORKDAYS.INTL(ProjectStart,Tasks[[#This Row],[_LeafFcstStart]],WorkWeek,Holidays),0)</f>
        <v>0</v>
      </c>
      <c r="CR41" s="41" t="n">
        <f aca="false">IF(AND(Tasks[[#This Row],[_IsLeaf]]=1,Tasks[[#This Row],[_LeafWork]]&gt;0),MAX(Tasks[[#This Row],[_StartWorkday]],NETWORKDAYS.INTL(ProjectStart,Tasks[[#This Row],[_LeafFcstFinish]],WorkWeek,Holidays)),0)</f>
        <v>0</v>
      </c>
      <c r="CS41" s="41" t="n">
        <f aca="false">IF(AND(Tasks[[#This Row],[_IsLeaf]]=1,Tasks[[#This Row],[_LeafWork]]&gt;0),Tasks[[#This Row],[_LeafWork]]/(Tasks[[#This Row],[_FinishWorkday]]-Tasks[[#This Row],[_StartWorkday]]+1),0)</f>
        <v>0</v>
      </c>
      <c r="CT41" s="41" t="n">
        <f aca="false">Tasks[[#This Row],[_WorkPerWorkday]]*(Tasks[[#This Row],[_StartWorkday]]-1)</f>
        <v>-0</v>
      </c>
      <c r="CU41" s="41" t="n">
        <f aca="false">IF(Tasks[[#This Row],[_IsLeaf]]=1,MAX(N(Tasks[[#This Row],[Duration]]),0.1),0)</f>
        <v>0</v>
      </c>
      <c r="CV41" s="41" t="n">
        <f aca="false">Tasks[[#This Row],[_WeightDur]]*Tasks[[#This Row],[_LeafProgress]]</f>
        <v>0</v>
      </c>
      <c r="CW4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4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4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4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41" s="41" t="str">
        <f aca="false">IF(Tasks[[#This Row],[Task Name]]="","",Tasks[[#This Row],[_Pred1UIDText]]&amp;IF(AND(Tasks[[#This Row],[_Pred1UIDText]]&lt;&gt;"",Tasks[[#This Row],[_Pred2UIDText]]&lt;&gt;""),",","")&amp;Tasks[[#This Row],[_Pred2UIDText]])</f>
        <v/>
      </c>
      <c r="DB41" s="41" t="str">
        <f aca="false">IF(AND(Tasks[[#This Row],[_IsLeaf]]=1,N(Tasks[[#This Row],[Duration]])=0,Tasks[[#This Row],[_LeafProgress]]&lt;1),Tasks[[#This Row],[_LeafFcstFinish]]+Tasks[[#This Row],[_Row]]/100000,"")</f>
        <v/>
      </c>
      <c r="DC4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41" s="41" t="n">
        <f aca="false">IF(NOT(Tasks[[#This Row],[_IsLeaf]]=1),0,IF(Tasks[[#This Row],[Baseline Cost]]="",Tasks[[#This Row],[_LeafCost]],N(Tasks[[#This Row],[Baseline Cost]])))</f>
        <v>0</v>
      </c>
      <c r="DE41" s="41" t="n">
        <f aca="false">Tasks[[#This Row],[_LeafBudget]]*Tasks[[#This Row],[_PlannedPct]]</f>
        <v>0</v>
      </c>
      <c r="DF41" s="41" t="n">
        <f aca="false">Tasks[[#This Row],[_LeafBudget]]*Tasks[[#This Row],[_LeafProgress]]</f>
        <v>0</v>
      </c>
      <c r="DG41" s="41" t="n">
        <f aca="false">IF(NOT(Tasks[[#This Row],[_IsLeaf]]=1),0,IF(Tasks[[#This Row],[Actual Cost]]="",Tasks[[#This Row],[_LeafCost]]*Tasks[[#This Row],[_LeafProgress]],N(Tasks[[#This Row],[Actual Cost]])))</f>
        <v>0</v>
      </c>
      <c r="DH41" s="41" t="str">
        <f aca="false">IF(Tasks[[#This Row],[Task Name]]="","",LEFT(Tasks[[#This Row],[WBS]],FIND(".",Tasks[[#This Row],[WBS]]&amp;".")-1))</f>
        <v/>
      </c>
      <c r="DI41" s="41" t="str">
        <f aca="false">IF(AND(Tasks[[#This Row],[Task Name]]&lt;&gt;"",Tasks[[#This Row],[_Level]]=1),Tasks[[#This Row],[_Row]],"")</f>
        <v/>
      </c>
      <c r="DJ41" s="41" t="str">
        <f aca="false">IF(AND(Tasks[[#This Row],[_IsLeaf]]=1,N(Tasks[[#This Row],[Duration]])=0),Tasks[[#This Row],[Planned Finish]]+Tasks[[#This Row],[_Row]]/100000,"")</f>
        <v/>
      </c>
      <c r="DK41" s="41" t="str">
        <f aca="false">IF(AND(Tasks[[#This Row],[_IsLeaf]]=1,Tasks[[#This Row],[_LeafProgress]]&lt;1,OR(N(Tasks[[#This Row],[Finish Var]])&gt;0,Tasks[[#This Row],[Status]]="Late Start")),MAX(0,Tasks[[#This Row],[Finish Var]])+1-Tasks[[#This Row],[_Row]]/1000000,"")</f>
        <v/>
      </c>
      <c r="DL41" s="41" t="str">
        <f aca="false">IF(AND(Tasks[[#This Row],[_IsLeaf]]=1,N(Tasks[[#This Row],[Actual Start]])=0,Tasks[[#This Row],[_LeafFcstStart]]&gt;=StatusDate,Tasks[[#This Row],[_LeafFcstStart]]&lt;=LookaheadEnd),Tasks[[#This Row],[_LeafFcstStart]]+Tasks[[#This Row],[_Row]]/100000,"")</f>
        <v/>
      </c>
      <c r="DM41" s="41" t="str">
        <f aca="false">IF(AND(Tasks[[#This Row],[_IsLeaf]]=1,Tasks[[#This Row],[_LeafProgress]]&lt;1,Tasks[[#This Row],[_LeafFcstFinish]]&gt;=StatusDate,Tasks[[#This Row],[_LeafFcstFinish]]&lt;=LookaheadEnd),Tasks[[#This Row],[_LeafFcstFinish]]+Tasks[[#This Row],[_Row]]/100000,"")</f>
        <v/>
      </c>
      <c r="DN41" s="41" t="str">
        <f aca="false">IF(Tasks[[#This Row],[_LeafCritical]],Tasks[[#This Row],[_LeafFcstStart]]+Tasks[[#This Row],[_Row]]/100000,"")</f>
        <v/>
      </c>
      <c r="DO41" s="41" t="n">
        <f aca="false">Tasks[[#This Row],[_LeafWork]]*Tasks[[#This Row],[_LeafProgress]]</f>
        <v>0</v>
      </c>
      <c r="DP41" s="100" t="str">
        <f aca="false">IF(AND(Tasks[[#This Row],[_IsLeaf]]=1,Tasks[[#This Row],[_LeafProgress]]&gt;=1),IF(N(Tasks[[#This Row],[Actual Finish]])&gt;0,Tasks[[#This Row],[Actual Finish]],Tasks[[#This Row],[_LeafFcstFinish]]),"")</f>
        <v/>
      </c>
      <c r="DQ41" s="41" t="n">
        <f aca="false">IF(Tasks[[#This Row],[_IsLeaf]]=1,N(Tasks[[#This Row],[Story Points]]),0)</f>
        <v>0</v>
      </c>
      <c r="DR41" s="41" t="str">
        <f aca="false">IF(AND(Tasks[[#This Row],[_IsLeaf]]=1,CurrentSprint&lt;&gt;"",Tasks[[#This Row],[Sprint]]=CurrentSprint),Tasks[[#This Row],[_Row]],"")</f>
        <v/>
      </c>
    </row>
    <row r="42" customFormat="false" ht="15" hidden="false" customHeight="false" outlineLevel="0" collapsed="false">
      <c r="A42" s="28" t="str">
        <f aca="false">IF(Tasks[[#This Row],[Task Name]]="","",COUNTA(Tasks[[#Headers],[Task Name]]:Tasks[[#This Row],[Task Name]])-1)</f>
        <v/>
      </c>
      <c r="B42" s="29" t="n">
        <v>37</v>
      </c>
      <c r="C4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2" s="29"/>
      <c r="E42" s="30"/>
      <c r="F42" s="29"/>
      <c r="G42" s="29"/>
      <c r="H42" s="29"/>
      <c r="I42" s="29"/>
      <c r="J42" s="29"/>
      <c r="K42" s="29"/>
      <c r="L42" s="29"/>
      <c r="M42" s="29"/>
      <c r="N42" s="73"/>
      <c r="O42" s="73"/>
      <c r="P42" s="25" t="str">
        <f aca="false">IF(Tasks[[#This Row],[Task Name]]="","",IF(N(Tasks[[#This Row],[Baseline Start]])&gt;0,Tasks[[#This Row],[Baseline Start]],Tasks[[#This Row],[_CalcStart]]))</f>
        <v/>
      </c>
      <c r="Q42" s="25" t="str">
        <f aca="false">IF(Tasks[[#This Row],[Task Name]]="","",IF(N(Tasks[[#This Row],[Baseline Finish]])&gt;0,Tasks[[#This Row],[Baseline Finish]],Tasks[[#This Row],[_CalcFinish]]))</f>
        <v/>
      </c>
      <c r="R42" s="73"/>
      <c r="S42" s="73"/>
      <c r="T42" s="25" t="str">
        <f aca="false">IF(Tasks[[#This Row],[Task Name]]="","",IF(Tasks[[#This Row],[_IsSummary]],MIN(INDEX(Tasks[_LeafFcstStart],Tasks[[#This Row],[_Row]]+1):INDEX(Tasks[_LeafFcstStart],Tasks[[#This Row],[_Row]]+Tasks[[#This Row],[_Descendants]])),Tasks[[#This Row],[_LeafFcstStart]]))</f>
        <v/>
      </c>
      <c r="U42" s="25" t="str">
        <f aca="false">IF(Tasks[[#This Row],[Task Name]]="","",IF(Tasks[[#This Row],[_IsSummary]],MAX(INDEX(Tasks[_LeafFcstFinish],Tasks[[#This Row],[_Row]]+1):INDEX(Tasks[_LeafFcstFinish],Tasks[[#This Row],[_Row]]+Tasks[[#This Row],[_Descendants]])),Tasks[[#This Row],[_LeafFcstFinish]]))</f>
        <v/>
      </c>
      <c r="V4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4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2" s="25" t="str">
        <f aca="false">IF(Tasks[[#This Row],[Task Name]]="","",IF(Tasks[[#This Row],[_IsSummary]],MIN(INDEX(Tasks[_LeafLateStart],Tasks[[#This Row],[_Row]]+1):INDEX(Tasks[_LeafLateStart],Tasks[[#This Row],[_Row]]+Tasks[[#This Row],[_Descendants]])),Tasks[[#This Row],[_LeafLateStart]]))</f>
        <v/>
      </c>
      <c r="Y42" s="25" t="str">
        <f aca="false">IF(Tasks[[#This Row],[Task Name]]="","",IF(Tasks[[#This Row],[_IsSummary]],MAX(INDEX(Tasks[_LeafLateFinish],Tasks[[#This Row],[_Row]]+1):INDEX(Tasks[_LeafLateFinish],Tasks[[#This Row],[_Row]]+Tasks[[#This Row],[_Descendants]])),Tasks[[#This Row],[_LeafLateFinish]]))</f>
        <v/>
      </c>
      <c r="Z42" s="43" t="str">
        <f aca="false">IF(Tasks[[#This Row],[Task Name]]="","",IF(Tasks[[#This Row],[_IsSummary]],MIN(INDEX(Tasks[_LeafTotalSlack],Tasks[[#This Row],[_Row]]+1):INDEX(Tasks[_LeafTotalSlack],Tasks[[#This Row],[_Row]]+Tasks[[#This Row],[_Descendants]])),Tasks[[#This Row],[_LeafTotalSlack]]))</f>
        <v/>
      </c>
      <c r="AA4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2" s="28" t="str">
        <f aca="false">IF(Tasks[[#This Row],[Task Name]]="","",IF(IF(Tasks[[#This Row],[_IsSummary]],COUNTIF(INDEX(Tasks[_LeafCritical],Tasks[[#This Row],[_Row]]+1):INDEX(Tasks[_LeafCritical],Tasks[[#This Row],[_Row]]+Tasks[[#This Row],[_Descendants]]),TRUE())&gt;0,Tasks[[#This Row],[_LeafCritical]]),"Yes",""))</f>
        <v/>
      </c>
      <c r="AC4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2" s="24" t="str">
        <f aca="false">IF(Tasks[[#This Row],[Task Name]]="","",TRIM(IF(Tasks[[#This Row],[_Pred1Problem]]&lt;&gt;"","Pred 1: "&amp;Tasks[[#This Row],[_Pred1Problem]]&amp;". ","")&amp;IF(Tasks[[#This Row],[_Pred2Problem]]&lt;&gt;"","Pred 2: "&amp;Tasks[[#This Row],[_Pred2Problem]]&amp;".","")))</f>
        <v/>
      </c>
      <c r="AE42" s="88"/>
      <c r="AF42"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2" s="28" t="str">
        <f aca="false">IF(Tasks[[#This Row],[Task Name]]="","",IF(Tasks[[#This Row],[Progress]]&gt;=1,"Complete",IF(OR(N(Tasks[[#This Row],[Actual Start]])&gt;0,Tasks[[#This Row],[Progress]]&gt;0),IF(Tasks[[#This Row],[Finish Var]]&gt;0,"Behind","In Progress"),IF(Tasks[[#This Row],[Planned Start]]&lt;StatusDate,"Late Start","Not Started"))))</f>
        <v/>
      </c>
      <c r="AH42" s="30"/>
      <c r="AI42" s="88"/>
      <c r="AJ42" s="95" t="str">
        <f aca="false">IF(Tasks[[#This Row],[Task Name]]="","",IF(Tasks[[#This Row],[_IsSummary]],SUM(INDEX(Tasks[_LeafWork],Tasks[[#This Row],[_Row]]+1):INDEX(Tasks[_LeafWork],Tasks[[#This Row],[_Row]]+Tasks[[#This Row],[_Descendants]])),Tasks[[#This Row],[_LeafWork]]))</f>
        <v/>
      </c>
      <c r="AK42" s="96" t="str">
        <f aca="false">IF(Tasks[[#This Row],[Task Name]]="","",IF(Tasks[[#This Row],[_IsSummary]],SUM(INDEX(Tasks[_LeafCost],Tasks[[#This Row],[_Row]]+1):INDEX(Tasks[_LeafCost],Tasks[[#This Row],[_Row]]+Tasks[[#This Row],[_Descendants]])),Tasks[[#This Row],[_LeafCost]]))</f>
        <v/>
      </c>
      <c r="AL42" s="97"/>
      <c r="AM42" s="29"/>
      <c r="AN4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42" s="82"/>
      <c r="AP42" s="24" t="str">
        <f aca="false">IF(Tasks[[#This Row],[Task Name]]="","",Tasks[[#This Row],[_Pred1IDText]]&amp;IF(AND(Tasks[[#This Row],[_Pred1IDText]]&lt;&gt;"",Tasks[[#This Row],[_Pred2IDText]]&lt;&gt;""),",","")&amp;Tasks[[#This Row],[_Pred2IDText]])</f>
        <v/>
      </c>
      <c r="AQ42" s="30"/>
      <c r="AR42" s="25" t="str">
        <f aca="false">IF(Tasks[[#This Row],[Task Name]]="","",Tasks[[#This Row],[Forecast Start]])</f>
        <v/>
      </c>
      <c r="AS42" s="25" t="str">
        <f aca="false">IF(Tasks[[#This Row],[Task Name]]="","",Tasks[[#This Row],[Forecast Finish]])</f>
        <v/>
      </c>
      <c r="AT42" s="28" t="str">
        <f aca="false">IF(Tasks[[#This Row],[Task Name]]="","",IF(Tasks[[#This Row],[_IsSummary]],NETWORKDAYS.INTL(Tasks[[#This Row],[Forecast Start]],Tasks[[#This Row],[Forecast Finish]],WorkWeek,Holidays),N(Tasks[[#This Row],[Duration]])))</f>
        <v/>
      </c>
      <c r="AU42" s="95" t="str">
        <f aca="false">IF(Tasks[[#This Row],[Task Name]]="","",Tasks[[#This Row],[Work]])</f>
        <v/>
      </c>
      <c r="AV42" s="96" t="str">
        <f aca="false">IF(Tasks[[#This Row],[Task Name]]="","",Tasks[[#This Row],[Cost]])</f>
        <v/>
      </c>
      <c r="AW42" s="73"/>
      <c r="AX42" s="73"/>
      <c r="AY42" s="29"/>
      <c r="AZ42" s="98"/>
      <c r="BA42" s="97"/>
      <c r="BB42" s="28" t="str">
        <f aca="false">IF(OR(Tasks[[#This Row],[Task Name]]="",Tasks[[#This Row],[Baseline Duration]]=""),"",Tasks[[#This Row],[BL Source Duration]]-N(Tasks[[#This Row],[Baseline Duration]]))</f>
        <v/>
      </c>
      <c r="BC42" s="95" t="str">
        <f aca="false">IF(OR(Tasks[[#This Row],[Task Name]]="",Tasks[[#This Row],[Baseline Work]]=""),"",Tasks[[#This Row],[Work]]-N(Tasks[[#This Row],[Baseline Work]]))</f>
        <v/>
      </c>
      <c r="BD42" s="96" t="str">
        <f aca="false">IF(OR(Tasks[[#This Row],[Task Name]]="",Tasks[[#This Row],[Baseline Cost]]=""),"",Tasks[[#This Row],[Cost]]-N(Tasks[[#This Row],[Baseline Cost]]))</f>
        <v/>
      </c>
      <c r="BE42" s="96" t="str">
        <f aca="false">IF(Tasks[[#This Row],[Task Name]]="","",IF(Tasks[[#This Row],[_IsSummary]],SUM(INDEX(Tasks[_LeafBudget],Tasks[[#This Row],[_Row]]+1):INDEX(Tasks[_LeafBudget],Tasks[[#This Row],[_Row]]+Tasks[[#This Row],[_Descendants]])),Tasks[[#This Row],[_LeafBudget]]))</f>
        <v/>
      </c>
      <c r="BF42" s="96" t="str">
        <f aca="false">IF(Tasks[[#This Row],[Task Name]]="","",IF(Tasks[[#This Row],[_IsSummary]],SUM(INDEX(Tasks[_LeafPV],Tasks[[#This Row],[_Row]]+1):INDEX(Tasks[_LeafPV],Tasks[[#This Row],[_Row]]+Tasks[[#This Row],[_Descendants]])),Tasks[[#This Row],[_LeafPV]]))</f>
        <v/>
      </c>
      <c r="BG42" s="96" t="str">
        <f aca="false">IF(Tasks[[#This Row],[Task Name]]="","",IF(Tasks[[#This Row],[_IsSummary]],SUM(INDEX(Tasks[_LeafEV],Tasks[[#This Row],[_Row]]+1):INDEX(Tasks[_LeafEV],Tasks[[#This Row],[_Row]]+Tasks[[#This Row],[_Descendants]])),Tasks[[#This Row],[_LeafEV]]))</f>
        <v/>
      </c>
      <c r="BH42" s="96" t="str">
        <f aca="false">IF(Tasks[[#This Row],[Task Name]]="","",IF(Tasks[[#This Row],[_IsSummary]],SUM(INDEX(Tasks[_LeafAC],Tasks[[#This Row],[_Row]]+1):INDEX(Tasks[_LeafAC],Tasks[[#This Row],[_Row]]+Tasks[[#This Row],[_Descendants]])),Tasks[[#This Row],[_LeafAC]]))</f>
        <v/>
      </c>
      <c r="BI42" s="41" t="str">
        <f aca="false">IF(Tasks[[#This Row],[Task Name]]="","",MAX(1,N(Tasks[[#This Row],[Level]])))</f>
        <v/>
      </c>
      <c r="BJ42" s="41" t="n">
        <f aca="false">ROW()-ROW(Tasks[[#Headers],[ID]])</f>
        <v>37</v>
      </c>
      <c r="BK42" s="41" t="n">
        <f aca="false">IF(OR(Tasks[[#This Row],[Task Name]]="",Tasks[[#This Row],[_Level]]&lt;=1),0,IFERROR(LOOKUP(2,1/(Tasks[[#Headers],[_Level]]:Tasks[[#This Row],[_Level]]=Tasks[[#This Row],[_Level]]-1),ROW(Tasks[[#Headers],[_Level]]:Tasks[[#This Row],[_Level]])),0))</f>
        <v>0</v>
      </c>
      <c r="BL42" s="41" t="n">
        <f aca="false">IFERROR(N(INDEX(Tasks[_Level],Tasks[[#This Row],[_Row]]+1)),0)</f>
        <v>0</v>
      </c>
      <c r="BM42" s="99" t="b">
        <f aca="false">AND(Tasks[[#This Row],[Task Name]]&lt;&gt;"",Tasks[[#This Row],[_NextLevel]]&gt;Tasks[[#This Row],[_Level]])</f>
        <v>0</v>
      </c>
      <c r="BN42" s="41" t="n">
        <f aca="false">IF(Tasks[[#This Row],[_IsSummary]],COUNTIF(Tasks[WBS],Tasks[[#This Row],[WBS]]&amp;".*"),0)</f>
        <v>0</v>
      </c>
      <c r="BO42" s="41" t="n">
        <f aca="false">IF(AND(Tasks[[#This Row],[Task Name]]&lt;&gt;"",NOT(Tasks[[#This Row],[_IsSummary]])),1,0)</f>
        <v>0</v>
      </c>
      <c r="BP42" s="41" t="n">
        <f aca="false">IF(N(Tasks[[#This Row],[Pred1 UID]])=0,0,IFERROR(MATCH(Tasks[[#This Row],[Pred1 UID]],Tasks[UID],0),-1))</f>
        <v>0</v>
      </c>
      <c r="BQ42" s="41" t="n">
        <f aca="false">IF(N(Tasks[[#This Row],[Pred2 UID]])=0,0,IFERROR(MATCH(Tasks[[#This Row],[Pred2 UID]],Tasks[UID],0),-1))</f>
        <v>0</v>
      </c>
      <c r="BR42"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42" s="100" t="str">
        <f aca="false">IF(NOT(Tasks[[#This Row],[_IsLeaf]]=1),"",IF(N(Tasks[[#This Row],[Duration]])&lt;=0,Tasks[[#This Row],[_LeafCalcStart]],WORKDAY.INTL(Tasks[[#This Row],[_LeafCalcStart]],Tasks[[#This Row],[Duration]]-1,WorkWeek,Holidays)))</f>
        <v/>
      </c>
      <c r="BT42"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42"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42" s="41" t="n">
        <f aca="false">IF(NOT(Tasks[[#This Row],[_IsLeaf]]=1),0,IF(N(Tasks[[#This Row],[Actual Finish]])&gt;0,1,MIN(1,N(Tasks[[#This Row],[% Complete]]))))</f>
        <v>0</v>
      </c>
      <c r="BW42" s="41" t="n">
        <f aca="false">IF(OR(NOT(Tasks[[#This Row],[_IsLeaf]]=1),Tasks[[#This Row],[Resource]]=""),0,N(Tasks[[#This Row],[Duration]])*HoursPerDay*IF(Tasks[[#This Row],[Units]]="",DefaultUnits,Tasks[[#This Row],[Units]]))</f>
        <v>0</v>
      </c>
      <c r="BX42" s="41" t="n">
        <f aca="false">IF(Tasks[[#This Row],[_LeafWork]]=0,0,Tasks[[#This Row],[_LeafWork]]*IFERROR(INDEX(res_Rate,MATCH(Tasks[[#This Row],[Resource]],res_Name,0)),0))</f>
        <v>0</v>
      </c>
      <c r="BY4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4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4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4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42" s="41" t="n">
        <f aca="false">IF(NOT(Tasks[[#This Row],[_IsLeaf]]=1),0,MAX(_xlfn.MAXIFS(Tasks[_Row],Tasks[Pred1 UID],Tasks[[#This Row],[UID]]),_xlfn.MAXIFS(Tasks[_Row],Tasks[Pred2 UID],Tasks[[#This Row],[UID]])))</f>
        <v>0</v>
      </c>
      <c r="CD42"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42" s="100" t="str">
        <f aca="false">IF(NOT(Tasks[[#This Row],[_IsLeaf]]=1),"",MIN(ProjectFinish,IF(N(Tasks[[#This Row],[Deadline]])&gt;0,Tasks[[#This Row],[Deadline]],2958465),Tasks[[#This Row],[_SuccessorFinishLimit]]))</f>
        <v/>
      </c>
      <c r="CF42" s="100" t="str">
        <f aca="false">IF(NOT(Tasks[[#This Row],[_IsLeaf]]=1),"",IF(N(Tasks[[#This Row],[Duration]])&lt;=0,Tasks[[#This Row],[_LeafLateFinish]],WORKDAY.INTL(Tasks[[#This Row],[_LeafLateFinish]],-(Tasks[[#This Row],[Duration]]-1),WorkWeek,Holidays)))</f>
        <v/>
      </c>
      <c r="CG4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42" s="99" t="b">
        <f aca="false">AND(Tasks[[#This Row],[_IsLeaf]]=1,Tasks[[#This Row],[_LeafProgress]]&lt;1,N(Tasks[[#This Row],[_LeafTotalSlack]])&lt;=CriticalSlackDays)</f>
        <v>0</v>
      </c>
      <c r="CI42" s="100" t="str">
        <f aca="false">IF(Tasks[[#This Row],[Task Name]]="","",IF(Tasks[[#This Row],[_IsSummary]],MIN(INDEX(Tasks[_LeafCalcStart],Tasks[[#This Row],[_Row]]+1):INDEX(Tasks[_LeafCalcStart],Tasks[[#This Row],[_Row]]+Tasks[[#This Row],[_Descendants]])),Tasks[[#This Row],[_LeafCalcStart]]))</f>
        <v/>
      </c>
      <c r="CJ42" s="100" t="str">
        <f aca="false">IF(Tasks[[#This Row],[Task Name]]="","",IF(Tasks[[#This Row],[_IsSummary]],MAX(INDEX(Tasks[_LeafCalcFinish],Tasks[[#This Row],[_Row]]+1):INDEX(Tasks[_LeafCalcFinish],Tasks[[#This Row],[_Row]]+Tasks[[#This Row],[_Descendants]])),Tasks[[#This Row],[_LeafCalcFinish]]))</f>
        <v/>
      </c>
      <c r="CK4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4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42"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42"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42"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42"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42" s="41" t="n">
        <f aca="false">IF(AND(Tasks[[#This Row],[_IsLeaf]]=1,Tasks[[#This Row],[_LeafWork]]&gt;0),NETWORKDAYS.INTL(ProjectStart,Tasks[[#This Row],[_LeafFcstStart]],WorkWeek,Holidays),0)</f>
        <v>0</v>
      </c>
      <c r="CR42" s="41" t="n">
        <f aca="false">IF(AND(Tasks[[#This Row],[_IsLeaf]]=1,Tasks[[#This Row],[_LeafWork]]&gt;0),MAX(Tasks[[#This Row],[_StartWorkday]],NETWORKDAYS.INTL(ProjectStart,Tasks[[#This Row],[_LeafFcstFinish]],WorkWeek,Holidays)),0)</f>
        <v>0</v>
      </c>
      <c r="CS42" s="41" t="n">
        <f aca="false">IF(AND(Tasks[[#This Row],[_IsLeaf]]=1,Tasks[[#This Row],[_LeafWork]]&gt;0),Tasks[[#This Row],[_LeafWork]]/(Tasks[[#This Row],[_FinishWorkday]]-Tasks[[#This Row],[_StartWorkday]]+1),0)</f>
        <v>0</v>
      </c>
      <c r="CT42" s="41" t="n">
        <f aca="false">Tasks[[#This Row],[_WorkPerWorkday]]*(Tasks[[#This Row],[_StartWorkday]]-1)</f>
        <v>-0</v>
      </c>
      <c r="CU42" s="41" t="n">
        <f aca="false">IF(Tasks[[#This Row],[_IsLeaf]]=1,MAX(N(Tasks[[#This Row],[Duration]]),0.1),0)</f>
        <v>0</v>
      </c>
      <c r="CV42" s="41" t="n">
        <f aca="false">Tasks[[#This Row],[_WeightDur]]*Tasks[[#This Row],[_LeafProgress]]</f>
        <v>0</v>
      </c>
      <c r="CW4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4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4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4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42" s="41" t="str">
        <f aca="false">IF(Tasks[[#This Row],[Task Name]]="","",Tasks[[#This Row],[_Pred1UIDText]]&amp;IF(AND(Tasks[[#This Row],[_Pred1UIDText]]&lt;&gt;"",Tasks[[#This Row],[_Pred2UIDText]]&lt;&gt;""),",","")&amp;Tasks[[#This Row],[_Pred2UIDText]])</f>
        <v/>
      </c>
      <c r="DB42" s="41" t="str">
        <f aca="false">IF(AND(Tasks[[#This Row],[_IsLeaf]]=1,N(Tasks[[#This Row],[Duration]])=0,Tasks[[#This Row],[_LeafProgress]]&lt;1),Tasks[[#This Row],[_LeafFcstFinish]]+Tasks[[#This Row],[_Row]]/100000,"")</f>
        <v/>
      </c>
      <c r="DC4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42" s="41" t="n">
        <f aca="false">IF(NOT(Tasks[[#This Row],[_IsLeaf]]=1),0,IF(Tasks[[#This Row],[Baseline Cost]]="",Tasks[[#This Row],[_LeafCost]],N(Tasks[[#This Row],[Baseline Cost]])))</f>
        <v>0</v>
      </c>
      <c r="DE42" s="41" t="n">
        <f aca="false">Tasks[[#This Row],[_LeafBudget]]*Tasks[[#This Row],[_PlannedPct]]</f>
        <v>0</v>
      </c>
      <c r="DF42" s="41" t="n">
        <f aca="false">Tasks[[#This Row],[_LeafBudget]]*Tasks[[#This Row],[_LeafProgress]]</f>
        <v>0</v>
      </c>
      <c r="DG42" s="41" t="n">
        <f aca="false">IF(NOT(Tasks[[#This Row],[_IsLeaf]]=1),0,IF(Tasks[[#This Row],[Actual Cost]]="",Tasks[[#This Row],[_LeafCost]]*Tasks[[#This Row],[_LeafProgress]],N(Tasks[[#This Row],[Actual Cost]])))</f>
        <v>0</v>
      </c>
      <c r="DH42" s="41" t="str">
        <f aca="false">IF(Tasks[[#This Row],[Task Name]]="","",LEFT(Tasks[[#This Row],[WBS]],FIND(".",Tasks[[#This Row],[WBS]]&amp;".")-1))</f>
        <v/>
      </c>
      <c r="DI42" s="41" t="str">
        <f aca="false">IF(AND(Tasks[[#This Row],[Task Name]]&lt;&gt;"",Tasks[[#This Row],[_Level]]=1),Tasks[[#This Row],[_Row]],"")</f>
        <v/>
      </c>
      <c r="DJ42" s="41" t="str">
        <f aca="false">IF(AND(Tasks[[#This Row],[_IsLeaf]]=1,N(Tasks[[#This Row],[Duration]])=0),Tasks[[#This Row],[Planned Finish]]+Tasks[[#This Row],[_Row]]/100000,"")</f>
        <v/>
      </c>
      <c r="DK42" s="41" t="str">
        <f aca="false">IF(AND(Tasks[[#This Row],[_IsLeaf]]=1,Tasks[[#This Row],[_LeafProgress]]&lt;1,OR(N(Tasks[[#This Row],[Finish Var]])&gt;0,Tasks[[#This Row],[Status]]="Late Start")),MAX(0,Tasks[[#This Row],[Finish Var]])+1-Tasks[[#This Row],[_Row]]/1000000,"")</f>
        <v/>
      </c>
      <c r="DL42" s="41" t="str">
        <f aca="false">IF(AND(Tasks[[#This Row],[_IsLeaf]]=1,N(Tasks[[#This Row],[Actual Start]])=0,Tasks[[#This Row],[_LeafFcstStart]]&gt;=StatusDate,Tasks[[#This Row],[_LeafFcstStart]]&lt;=LookaheadEnd),Tasks[[#This Row],[_LeafFcstStart]]+Tasks[[#This Row],[_Row]]/100000,"")</f>
        <v/>
      </c>
      <c r="DM42" s="41" t="str">
        <f aca="false">IF(AND(Tasks[[#This Row],[_IsLeaf]]=1,Tasks[[#This Row],[_LeafProgress]]&lt;1,Tasks[[#This Row],[_LeafFcstFinish]]&gt;=StatusDate,Tasks[[#This Row],[_LeafFcstFinish]]&lt;=LookaheadEnd),Tasks[[#This Row],[_LeafFcstFinish]]+Tasks[[#This Row],[_Row]]/100000,"")</f>
        <v/>
      </c>
      <c r="DN42" s="41" t="str">
        <f aca="false">IF(Tasks[[#This Row],[_LeafCritical]],Tasks[[#This Row],[_LeafFcstStart]]+Tasks[[#This Row],[_Row]]/100000,"")</f>
        <v/>
      </c>
      <c r="DO42" s="41" t="n">
        <f aca="false">Tasks[[#This Row],[_LeafWork]]*Tasks[[#This Row],[_LeafProgress]]</f>
        <v>0</v>
      </c>
      <c r="DP42" s="100" t="str">
        <f aca="false">IF(AND(Tasks[[#This Row],[_IsLeaf]]=1,Tasks[[#This Row],[_LeafProgress]]&gt;=1),IF(N(Tasks[[#This Row],[Actual Finish]])&gt;0,Tasks[[#This Row],[Actual Finish]],Tasks[[#This Row],[_LeafFcstFinish]]),"")</f>
        <v/>
      </c>
      <c r="DQ42" s="41" t="n">
        <f aca="false">IF(Tasks[[#This Row],[_IsLeaf]]=1,N(Tasks[[#This Row],[Story Points]]),0)</f>
        <v>0</v>
      </c>
      <c r="DR42" s="41" t="str">
        <f aca="false">IF(AND(Tasks[[#This Row],[_IsLeaf]]=1,CurrentSprint&lt;&gt;"",Tasks[[#This Row],[Sprint]]=CurrentSprint),Tasks[[#This Row],[_Row]],"")</f>
        <v/>
      </c>
    </row>
    <row r="43" customFormat="false" ht="15" hidden="false" customHeight="false" outlineLevel="0" collapsed="false">
      <c r="A43" s="28" t="str">
        <f aca="false">IF(Tasks[[#This Row],[Task Name]]="","",COUNTA(Tasks[[#Headers],[Task Name]]:Tasks[[#This Row],[Task Name]])-1)</f>
        <v/>
      </c>
      <c r="B43" s="29" t="n">
        <v>38</v>
      </c>
      <c r="C4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3" s="29"/>
      <c r="E43" s="30"/>
      <c r="F43" s="29"/>
      <c r="G43" s="29"/>
      <c r="H43" s="29"/>
      <c r="I43" s="29"/>
      <c r="J43" s="29"/>
      <c r="K43" s="29"/>
      <c r="L43" s="29"/>
      <c r="M43" s="29"/>
      <c r="N43" s="73"/>
      <c r="O43" s="73"/>
      <c r="P43" s="25" t="str">
        <f aca="false">IF(Tasks[[#This Row],[Task Name]]="","",IF(N(Tasks[[#This Row],[Baseline Start]])&gt;0,Tasks[[#This Row],[Baseline Start]],Tasks[[#This Row],[_CalcStart]]))</f>
        <v/>
      </c>
      <c r="Q43" s="25" t="str">
        <f aca="false">IF(Tasks[[#This Row],[Task Name]]="","",IF(N(Tasks[[#This Row],[Baseline Finish]])&gt;0,Tasks[[#This Row],[Baseline Finish]],Tasks[[#This Row],[_CalcFinish]]))</f>
        <v/>
      </c>
      <c r="R43" s="73"/>
      <c r="S43" s="73"/>
      <c r="T43" s="25" t="str">
        <f aca="false">IF(Tasks[[#This Row],[Task Name]]="","",IF(Tasks[[#This Row],[_IsSummary]],MIN(INDEX(Tasks[_LeafFcstStart],Tasks[[#This Row],[_Row]]+1):INDEX(Tasks[_LeafFcstStart],Tasks[[#This Row],[_Row]]+Tasks[[#This Row],[_Descendants]])),Tasks[[#This Row],[_LeafFcstStart]]))</f>
        <v/>
      </c>
      <c r="U43" s="25" t="str">
        <f aca="false">IF(Tasks[[#This Row],[Task Name]]="","",IF(Tasks[[#This Row],[_IsSummary]],MAX(INDEX(Tasks[_LeafFcstFinish],Tasks[[#This Row],[_Row]]+1):INDEX(Tasks[_LeafFcstFinish],Tasks[[#This Row],[_Row]]+Tasks[[#This Row],[_Descendants]])),Tasks[[#This Row],[_LeafFcstFinish]]))</f>
        <v/>
      </c>
      <c r="V4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4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3" s="25" t="str">
        <f aca="false">IF(Tasks[[#This Row],[Task Name]]="","",IF(Tasks[[#This Row],[_IsSummary]],MIN(INDEX(Tasks[_LeafLateStart],Tasks[[#This Row],[_Row]]+1):INDEX(Tasks[_LeafLateStart],Tasks[[#This Row],[_Row]]+Tasks[[#This Row],[_Descendants]])),Tasks[[#This Row],[_LeafLateStart]]))</f>
        <v/>
      </c>
      <c r="Y43" s="25" t="str">
        <f aca="false">IF(Tasks[[#This Row],[Task Name]]="","",IF(Tasks[[#This Row],[_IsSummary]],MAX(INDEX(Tasks[_LeafLateFinish],Tasks[[#This Row],[_Row]]+1):INDEX(Tasks[_LeafLateFinish],Tasks[[#This Row],[_Row]]+Tasks[[#This Row],[_Descendants]])),Tasks[[#This Row],[_LeafLateFinish]]))</f>
        <v/>
      </c>
      <c r="Z43" s="43" t="str">
        <f aca="false">IF(Tasks[[#This Row],[Task Name]]="","",IF(Tasks[[#This Row],[_IsSummary]],MIN(INDEX(Tasks[_LeafTotalSlack],Tasks[[#This Row],[_Row]]+1):INDEX(Tasks[_LeafTotalSlack],Tasks[[#This Row],[_Row]]+Tasks[[#This Row],[_Descendants]])),Tasks[[#This Row],[_LeafTotalSlack]]))</f>
        <v/>
      </c>
      <c r="AA4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3" s="28" t="str">
        <f aca="false">IF(Tasks[[#This Row],[Task Name]]="","",IF(IF(Tasks[[#This Row],[_IsSummary]],COUNTIF(INDEX(Tasks[_LeafCritical],Tasks[[#This Row],[_Row]]+1):INDEX(Tasks[_LeafCritical],Tasks[[#This Row],[_Row]]+Tasks[[#This Row],[_Descendants]]),TRUE())&gt;0,Tasks[[#This Row],[_LeafCritical]]),"Yes",""))</f>
        <v/>
      </c>
      <c r="AC4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3" s="24" t="str">
        <f aca="false">IF(Tasks[[#This Row],[Task Name]]="","",TRIM(IF(Tasks[[#This Row],[_Pred1Problem]]&lt;&gt;"","Pred 1: "&amp;Tasks[[#This Row],[_Pred1Problem]]&amp;". ","")&amp;IF(Tasks[[#This Row],[_Pred2Problem]]&lt;&gt;"","Pred 2: "&amp;Tasks[[#This Row],[_Pred2Problem]]&amp;".","")))</f>
        <v/>
      </c>
      <c r="AE43" s="88"/>
      <c r="AF43"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3" s="28" t="str">
        <f aca="false">IF(Tasks[[#This Row],[Task Name]]="","",IF(Tasks[[#This Row],[Progress]]&gt;=1,"Complete",IF(OR(N(Tasks[[#This Row],[Actual Start]])&gt;0,Tasks[[#This Row],[Progress]]&gt;0),IF(Tasks[[#This Row],[Finish Var]]&gt;0,"Behind","In Progress"),IF(Tasks[[#This Row],[Planned Start]]&lt;StatusDate,"Late Start","Not Started"))))</f>
        <v/>
      </c>
      <c r="AH43" s="30"/>
      <c r="AI43" s="88"/>
      <c r="AJ43" s="95" t="str">
        <f aca="false">IF(Tasks[[#This Row],[Task Name]]="","",IF(Tasks[[#This Row],[_IsSummary]],SUM(INDEX(Tasks[_LeafWork],Tasks[[#This Row],[_Row]]+1):INDEX(Tasks[_LeafWork],Tasks[[#This Row],[_Row]]+Tasks[[#This Row],[_Descendants]])),Tasks[[#This Row],[_LeafWork]]))</f>
        <v/>
      </c>
      <c r="AK43" s="96" t="str">
        <f aca="false">IF(Tasks[[#This Row],[Task Name]]="","",IF(Tasks[[#This Row],[_IsSummary]],SUM(INDEX(Tasks[_LeafCost],Tasks[[#This Row],[_Row]]+1):INDEX(Tasks[_LeafCost],Tasks[[#This Row],[_Row]]+Tasks[[#This Row],[_Descendants]])),Tasks[[#This Row],[_LeafCost]]))</f>
        <v/>
      </c>
      <c r="AL43" s="97"/>
      <c r="AM43" s="29"/>
      <c r="AN4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43" s="82"/>
      <c r="AP43" s="24" t="str">
        <f aca="false">IF(Tasks[[#This Row],[Task Name]]="","",Tasks[[#This Row],[_Pred1IDText]]&amp;IF(AND(Tasks[[#This Row],[_Pred1IDText]]&lt;&gt;"",Tasks[[#This Row],[_Pred2IDText]]&lt;&gt;""),",","")&amp;Tasks[[#This Row],[_Pred2IDText]])</f>
        <v/>
      </c>
      <c r="AQ43" s="30"/>
      <c r="AR43" s="25" t="str">
        <f aca="false">IF(Tasks[[#This Row],[Task Name]]="","",Tasks[[#This Row],[Forecast Start]])</f>
        <v/>
      </c>
      <c r="AS43" s="25" t="str">
        <f aca="false">IF(Tasks[[#This Row],[Task Name]]="","",Tasks[[#This Row],[Forecast Finish]])</f>
        <v/>
      </c>
      <c r="AT43" s="28" t="str">
        <f aca="false">IF(Tasks[[#This Row],[Task Name]]="","",IF(Tasks[[#This Row],[_IsSummary]],NETWORKDAYS.INTL(Tasks[[#This Row],[Forecast Start]],Tasks[[#This Row],[Forecast Finish]],WorkWeek,Holidays),N(Tasks[[#This Row],[Duration]])))</f>
        <v/>
      </c>
      <c r="AU43" s="95" t="str">
        <f aca="false">IF(Tasks[[#This Row],[Task Name]]="","",Tasks[[#This Row],[Work]])</f>
        <v/>
      </c>
      <c r="AV43" s="96" t="str">
        <f aca="false">IF(Tasks[[#This Row],[Task Name]]="","",Tasks[[#This Row],[Cost]])</f>
        <v/>
      </c>
      <c r="AW43" s="73"/>
      <c r="AX43" s="73"/>
      <c r="AY43" s="29"/>
      <c r="AZ43" s="98"/>
      <c r="BA43" s="97"/>
      <c r="BB43" s="28" t="str">
        <f aca="false">IF(OR(Tasks[[#This Row],[Task Name]]="",Tasks[[#This Row],[Baseline Duration]]=""),"",Tasks[[#This Row],[BL Source Duration]]-N(Tasks[[#This Row],[Baseline Duration]]))</f>
        <v/>
      </c>
      <c r="BC43" s="95" t="str">
        <f aca="false">IF(OR(Tasks[[#This Row],[Task Name]]="",Tasks[[#This Row],[Baseline Work]]=""),"",Tasks[[#This Row],[Work]]-N(Tasks[[#This Row],[Baseline Work]]))</f>
        <v/>
      </c>
      <c r="BD43" s="96" t="str">
        <f aca="false">IF(OR(Tasks[[#This Row],[Task Name]]="",Tasks[[#This Row],[Baseline Cost]]=""),"",Tasks[[#This Row],[Cost]]-N(Tasks[[#This Row],[Baseline Cost]]))</f>
        <v/>
      </c>
      <c r="BE43" s="96" t="str">
        <f aca="false">IF(Tasks[[#This Row],[Task Name]]="","",IF(Tasks[[#This Row],[_IsSummary]],SUM(INDEX(Tasks[_LeafBudget],Tasks[[#This Row],[_Row]]+1):INDEX(Tasks[_LeafBudget],Tasks[[#This Row],[_Row]]+Tasks[[#This Row],[_Descendants]])),Tasks[[#This Row],[_LeafBudget]]))</f>
        <v/>
      </c>
      <c r="BF43" s="96" t="str">
        <f aca="false">IF(Tasks[[#This Row],[Task Name]]="","",IF(Tasks[[#This Row],[_IsSummary]],SUM(INDEX(Tasks[_LeafPV],Tasks[[#This Row],[_Row]]+1):INDEX(Tasks[_LeafPV],Tasks[[#This Row],[_Row]]+Tasks[[#This Row],[_Descendants]])),Tasks[[#This Row],[_LeafPV]]))</f>
        <v/>
      </c>
      <c r="BG43" s="96" t="str">
        <f aca="false">IF(Tasks[[#This Row],[Task Name]]="","",IF(Tasks[[#This Row],[_IsSummary]],SUM(INDEX(Tasks[_LeafEV],Tasks[[#This Row],[_Row]]+1):INDEX(Tasks[_LeafEV],Tasks[[#This Row],[_Row]]+Tasks[[#This Row],[_Descendants]])),Tasks[[#This Row],[_LeafEV]]))</f>
        <v/>
      </c>
      <c r="BH43" s="96" t="str">
        <f aca="false">IF(Tasks[[#This Row],[Task Name]]="","",IF(Tasks[[#This Row],[_IsSummary]],SUM(INDEX(Tasks[_LeafAC],Tasks[[#This Row],[_Row]]+1):INDEX(Tasks[_LeafAC],Tasks[[#This Row],[_Row]]+Tasks[[#This Row],[_Descendants]])),Tasks[[#This Row],[_LeafAC]]))</f>
        <v/>
      </c>
      <c r="BI43" s="41" t="str">
        <f aca="false">IF(Tasks[[#This Row],[Task Name]]="","",MAX(1,N(Tasks[[#This Row],[Level]])))</f>
        <v/>
      </c>
      <c r="BJ43" s="41" t="n">
        <f aca="false">ROW()-ROW(Tasks[[#Headers],[ID]])</f>
        <v>38</v>
      </c>
      <c r="BK43" s="41" t="n">
        <f aca="false">IF(OR(Tasks[[#This Row],[Task Name]]="",Tasks[[#This Row],[_Level]]&lt;=1),0,IFERROR(LOOKUP(2,1/(Tasks[[#Headers],[_Level]]:Tasks[[#This Row],[_Level]]=Tasks[[#This Row],[_Level]]-1),ROW(Tasks[[#Headers],[_Level]]:Tasks[[#This Row],[_Level]])),0))</f>
        <v>0</v>
      </c>
      <c r="BL43" s="41" t="n">
        <f aca="false">IFERROR(N(INDEX(Tasks[_Level],Tasks[[#This Row],[_Row]]+1)),0)</f>
        <v>0</v>
      </c>
      <c r="BM43" s="99" t="b">
        <f aca="false">AND(Tasks[[#This Row],[Task Name]]&lt;&gt;"",Tasks[[#This Row],[_NextLevel]]&gt;Tasks[[#This Row],[_Level]])</f>
        <v>0</v>
      </c>
      <c r="BN43" s="41" t="n">
        <f aca="false">IF(Tasks[[#This Row],[_IsSummary]],COUNTIF(Tasks[WBS],Tasks[[#This Row],[WBS]]&amp;".*"),0)</f>
        <v>0</v>
      </c>
      <c r="BO43" s="41" t="n">
        <f aca="false">IF(AND(Tasks[[#This Row],[Task Name]]&lt;&gt;"",NOT(Tasks[[#This Row],[_IsSummary]])),1,0)</f>
        <v>0</v>
      </c>
      <c r="BP43" s="41" t="n">
        <f aca="false">IF(N(Tasks[[#This Row],[Pred1 UID]])=0,0,IFERROR(MATCH(Tasks[[#This Row],[Pred1 UID]],Tasks[UID],0),-1))</f>
        <v>0</v>
      </c>
      <c r="BQ43" s="41" t="n">
        <f aca="false">IF(N(Tasks[[#This Row],[Pred2 UID]])=0,0,IFERROR(MATCH(Tasks[[#This Row],[Pred2 UID]],Tasks[UID],0),-1))</f>
        <v>0</v>
      </c>
      <c r="BR43"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43" s="100" t="str">
        <f aca="false">IF(NOT(Tasks[[#This Row],[_IsLeaf]]=1),"",IF(N(Tasks[[#This Row],[Duration]])&lt;=0,Tasks[[#This Row],[_LeafCalcStart]],WORKDAY.INTL(Tasks[[#This Row],[_LeafCalcStart]],Tasks[[#This Row],[Duration]]-1,WorkWeek,Holidays)))</f>
        <v/>
      </c>
      <c r="BT43"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43"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43" s="41" t="n">
        <f aca="false">IF(NOT(Tasks[[#This Row],[_IsLeaf]]=1),0,IF(N(Tasks[[#This Row],[Actual Finish]])&gt;0,1,MIN(1,N(Tasks[[#This Row],[% Complete]]))))</f>
        <v>0</v>
      </c>
      <c r="BW43" s="41" t="n">
        <f aca="false">IF(OR(NOT(Tasks[[#This Row],[_IsLeaf]]=1),Tasks[[#This Row],[Resource]]=""),0,N(Tasks[[#This Row],[Duration]])*HoursPerDay*IF(Tasks[[#This Row],[Units]]="",DefaultUnits,Tasks[[#This Row],[Units]]))</f>
        <v>0</v>
      </c>
      <c r="BX43" s="41" t="n">
        <f aca="false">IF(Tasks[[#This Row],[_LeafWork]]=0,0,Tasks[[#This Row],[_LeafWork]]*IFERROR(INDEX(res_Rate,MATCH(Tasks[[#This Row],[Resource]],res_Name,0)),0))</f>
        <v>0</v>
      </c>
      <c r="BY4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4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4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4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43" s="41" t="n">
        <f aca="false">IF(NOT(Tasks[[#This Row],[_IsLeaf]]=1),0,MAX(_xlfn.MAXIFS(Tasks[_Row],Tasks[Pred1 UID],Tasks[[#This Row],[UID]]),_xlfn.MAXIFS(Tasks[_Row],Tasks[Pred2 UID],Tasks[[#This Row],[UID]])))</f>
        <v>0</v>
      </c>
      <c r="CD43"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43" s="100" t="str">
        <f aca="false">IF(NOT(Tasks[[#This Row],[_IsLeaf]]=1),"",MIN(ProjectFinish,IF(N(Tasks[[#This Row],[Deadline]])&gt;0,Tasks[[#This Row],[Deadline]],2958465),Tasks[[#This Row],[_SuccessorFinishLimit]]))</f>
        <v/>
      </c>
      <c r="CF43" s="100" t="str">
        <f aca="false">IF(NOT(Tasks[[#This Row],[_IsLeaf]]=1),"",IF(N(Tasks[[#This Row],[Duration]])&lt;=0,Tasks[[#This Row],[_LeafLateFinish]],WORKDAY.INTL(Tasks[[#This Row],[_LeafLateFinish]],-(Tasks[[#This Row],[Duration]]-1),WorkWeek,Holidays)))</f>
        <v/>
      </c>
      <c r="CG4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43" s="99" t="b">
        <f aca="false">AND(Tasks[[#This Row],[_IsLeaf]]=1,Tasks[[#This Row],[_LeafProgress]]&lt;1,N(Tasks[[#This Row],[_LeafTotalSlack]])&lt;=CriticalSlackDays)</f>
        <v>0</v>
      </c>
      <c r="CI43" s="100" t="str">
        <f aca="false">IF(Tasks[[#This Row],[Task Name]]="","",IF(Tasks[[#This Row],[_IsSummary]],MIN(INDEX(Tasks[_LeafCalcStart],Tasks[[#This Row],[_Row]]+1):INDEX(Tasks[_LeafCalcStart],Tasks[[#This Row],[_Row]]+Tasks[[#This Row],[_Descendants]])),Tasks[[#This Row],[_LeafCalcStart]]))</f>
        <v/>
      </c>
      <c r="CJ43" s="100" t="str">
        <f aca="false">IF(Tasks[[#This Row],[Task Name]]="","",IF(Tasks[[#This Row],[_IsSummary]],MAX(INDEX(Tasks[_LeafCalcFinish],Tasks[[#This Row],[_Row]]+1):INDEX(Tasks[_LeafCalcFinish],Tasks[[#This Row],[_Row]]+Tasks[[#This Row],[_Descendants]])),Tasks[[#This Row],[_LeafCalcFinish]]))</f>
        <v/>
      </c>
      <c r="CK4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4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43"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43"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43"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43"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43" s="41" t="n">
        <f aca="false">IF(AND(Tasks[[#This Row],[_IsLeaf]]=1,Tasks[[#This Row],[_LeafWork]]&gt;0),NETWORKDAYS.INTL(ProjectStart,Tasks[[#This Row],[_LeafFcstStart]],WorkWeek,Holidays),0)</f>
        <v>0</v>
      </c>
      <c r="CR43" s="41" t="n">
        <f aca="false">IF(AND(Tasks[[#This Row],[_IsLeaf]]=1,Tasks[[#This Row],[_LeafWork]]&gt;0),MAX(Tasks[[#This Row],[_StartWorkday]],NETWORKDAYS.INTL(ProjectStart,Tasks[[#This Row],[_LeafFcstFinish]],WorkWeek,Holidays)),0)</f>
        <v>0</v>
      </c>
      <c r="CS43" s="41" t="n">
        <f aca="false">IF(AND(Tasks[[#This Row],[_IsLeaf]]=1,Tasks[[#This Row],[_LeafWork]]&gt;0),Tasks[[#This Row],[_LeafWork]]/(Tasks[[#This Row],[_FinishWorkday]]-Tasks[[#This Row],[_StartWorkday]]+1),0)</f>
        <v>0</v>
      </c>
      <c r="CT43" s="41" t="n">
        <f aca="false">Tasks[[#This Row],[_WorkPerWorkday]]*(Tasks[[#This Row],[_StartWorkday]]-1)</f>
        <v>-0</v>
      </c>
      <c r="CU43" s="41" t="n">
        <f aca="false">IF(Tasks[[#This Row],[_IsLeaf]]=1,MAX(N(Tasks[[#This Row],[Duration]]),0.1),0)</f>
        <v>0</v>
      </c>
      <c r="CV43" s="41" t="n">
        <f aca="false">Tasks[[#This Row],[_WeightDur]]*Tasks[[#This Row],[_LeafProgress]]</f>
        <v>0</v>
      </c>
      <c r="CW4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4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4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4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43" s="41" t="str">
        <f aca="false">IF(Tasks[[#This Row],[Task Name]]="","",Tasks[[#This Row],[_Pred1UIDText]]&amp;IF(AND(Tasks[[#This Row],[_Pred1UIDText]]&lt;&gt;"",Tasks[[#This Row],[_Pred2UIDText]]&lt;&gt;""),",","")&amp;Tasks[[#This Row],[_Pred2UIDText]])</f>
        <v/>
      </c>
      <c r="DB43" s="41" t="str">
        <f aca="false">IF(AND(Tasks[[#This Row],[_IsLeaf]]=1,N(Tasks[[#This Row],[Duration]])=0,Tasks[[#This Row],[_LeafProgress]]&lt;1),Tasks[[#This Row],[_LeafFcstFinish]]+Tasks[[#This Row],[_Row]]/100000,"")</f>
        <v/>
      </c>
      <c r="DC4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43" s="41" t="n">
        <f aca="false">IF(NOT(Tasks[[#This Row],[_IsLeaf]]=1),0,IF(Tasks[[#This Row],[Baseline Cost]]="",Tasks[[#This Row],[_LeafCost]],N(Tasks[[#This Row],[Baseline Cost]])))</f>
        <v>0</v>
      </c>
      <c r="DE43" s="41" t="n">
        <f aca="false">Tasks[[#This Row],[_LeafBudget]]*Tasks[[#This Row],[_PlannedPct]]</f>
        <v>0</v>
      </c>
      <c r="DF43" s="41" t="n">
        <f aca="false">Tasks[[#This Row],[_LeafBudget]]*Tasks[[#This Row],[_LeafProgress]]</f>
        <v>0</v>
      </c>
      <c r="DG43" s="41" t="n">
        <f aca="false">IF(NOT(Tasks[[#This Row],[_IsLeaf]]=1),0,IF(Tasks[[#This Row],[Actual Cost]]="",Tasks[[#This Row],[_LeafCost]]*Tasks[[#This Row],[_LeafProgress]],N(Tasks[[#This Row],[Actual Cost]])))</f>
        <v>0</v>
      </c>
      <c r="DH43" s="41" t="str">
        <f aca="false">IF(Tasks[[#This Row],[Task Name]]="","",LEFT(Tasks[[#This Row],[WBS]],FIND(".",Tasks[[#This Row],[WBS]]&amp;".")-1))</f>
        <v/>
      </c>
      <c r="DI43" s="41" t="str">
        <f aca="false">IF(AND(Tasks[[#This Row],[Task Name]]&lt;&gt;"",Tasks[[#This Row],[_Level]]=1),Tasks[[#This Row],[_Row]],"")</f>
        <v/>
      </c>
      <c r="DJ43" s="41" t="str">
        <f aca="false">IF(AND(Tasks[[#This Row],[_IsLeaf]]=1,N(Tasks[[#This Row],[Duration]])=0),Tasks[[#This Row],[Planned Finish]]+Tasks[[#This Row],[_Row]]/100000,"")</f>
        <v/>
      </c>
      <c r="DK43" s="41" t="str">
        <f aca="false">IF(AND(Tasks[[#This Row],[_IsLeaf]]=1,Tasks[[#This Row],[_LeafProgress]]&lt;1,OR(N(Tasks[[#This Row],[Finish Var]])&gt;0,Tasks[[#This Row],[Status]]="Late Start")),MAX(0,Tasks[[#This Row],[Finish Var]])+1-Tasks[[#This Row],[_Row]]/1000000,"")</f>
        <v/>
      </c>
      <c r="DL43" s="41" t="str">
        <f aca="false">IF(AND(Tasks[[#This Row],[_IsLeaf]]=1,N(Tasks[[#This Row],[Actual Start]])=0,Tasks[[#This Row],[_LeafFcstStart]]&gt;=StatusDate,Tasks[[#This Row],[_LeafFcstStart]]&lt;=LookaheadEnd),Tasks[[#This Row],[_LeafFcstStart]]+Tasks[[#This Row],[_Row]]/100000,"")</f>
        <v/>
      </c>
      <c r="DM43" s="41" t="str">
        <f aca="false">IF(AND(Tasks[[#This Row],[_IsLeaf]]=1,Tasks[[#This Row],[_LeafProgress]]&lt;1,Tasks[[#This Row],[_LeafFcstFinish]]&gt;=StatusDate,Tasks[[#This Row],[_LeafFcstFinish]]&lt;=LookaheadEnd),Tasks[[#This Row],[_LeafFcstFinish]]+Tasks[[#This Row],[_Row]]/100000,"")</f>
        <v/>
      </c>
      <c r="DN43" s="41" t="str">
        <f aca="false">IF(Tasks[[#This Row],[_LeafCritical]],Tasks[[#This Row],[_LeafFcstStart]]+Tasks[[#This Row],[_Row]]/100000,"")</f>
        <v/>
      </c>
      <c r="DO43" s="41" t="n">
        <f aca="false">Tasks[[#This Row],[_LeafWork]]*Tasks[[#This Row],[_LeafProgress]]</f>
        <v>0</v>
      </c>
      <c r="DP43" s="100" t="str">
        <f aca="false">IF(AND(Tasks[[#This Row],[_IsLeaf]]=1,Tasks[[#This Row],[_LeafProgress]]&gt;=1),IF(N(Tasks[[#This Row],[Actual Finish]])&gt;0,Tasks[[#This Row],[Actual Finish]],Tasks[[#This Row],[_LeafFcstFinish]]),"")</f>
        <v/>
      </c>
      <c r="DQ43" s="41" t="n">
        <f aca="false">IF(Tasks[[#This Row],[_IsLeaf]]=1,N(Tasks[[#This Row],[Story Points]]),0)</f>
        <v>0</v>
      </c>
      <c r="DR43" s="41" t="str">
        <f aca="false">IF(AND(Tasks[[#This Row],[_IsLeaf]]=1,CurrentSprint&lt;&gt;"",Tasks[[#This Row],[Sprint]]=CurrentSprint),Tasks[[#This Row],[_Row]],"")</f>
        <v/>
      </c>
    </row>
    <row r="44" customFormat="false" ht="15" hidden="false" customHeight="false" outlineLevel="0" collapsed="false">
      <c r="A44" s="28" t="str">
        <f aca="false">IF(Tasks[[#This Row],[Task Name]]="","",COUNTA(Tasks[[#Headers],[Task Name]]:Tasks[[#This Row],[Task Name]])-1)</f>
        <v/>
      </c>
      <c r="B44" s="29" t="n">
        <v>39</v>
      </c>
      <c r="C4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4" s="29"/>
      <c r="E44" s="30"/>
      <c r="F44" s="29"/>
      <c r="G44" s="29"/>
      <c r="H44" s="29"/>
      <c r="I44" s="29"/>
      <c r="J44" s="29"/>
      <c r="K44" s="29"/>
      <c r="L44" s="29"/>
      <c r="M44" s="29"/>
      <c r="N44" s="73"/>
      <c r="O44" s="73"/>
      <c r="P44" s="25" t="str">
        <f aca="false">IF(Tasks[[#This Row],[Task Name]]="","",IF(N(Tasks[[#This Row],[Baseline Start]])&gt;0,Tasks[[#This Row],[Baseline Start]],Tasks[[#This Row],[_CalcStart]]))</f>
        <v/>
      </c>
      <c r="Q44" s="25" t="str">
        <f aca="false">IF(Tasks[[#This Row],[Task Name]]="","",IF(N(Tasks[[#This Row],[Baseline Finish]])&gt;0,Tasks[[#This Row],[Baseline Finish]],Tasks[[#This Row],[_CalcFinish]]))</f>
        <v/>
      </c>
      <c r="R44" s="73"/>
      <c r="S44" s="73"/>
      <c r="T44" s="25" t="str">
        <f aca="false">IF(Tasks[[#This Row],[Task Name]]="","",IF(Tasks[[#This Row],[_IsSummary]],MIN(INDEX(Tasks[_LeafFcstStart],Tasks[[#This Row],[_Row]]+1):INDEX(Tasks[_LeafFcstStart],Tasks[[#This Row],[_Row]]+Tasks[[#This Row],[_Descendants]])),Tasks[[#This Row],[_LeafFcstStart]]))</f>
        <v/>
      </c>
      <c r="U44" s="25" t="str">
        <f aca="false">IF(Tasks[[#This Row],[Task Name]]="","",IF(Tasks[[#This Row],[_IsSummary]],MAX(INDEX(Tasks[_LeafFcstFinish],Tasks[[#This Row],[_Row]]+1):INDEX(Tasks[_LeafFcstFinish],Tasks[[#This Row],[_Row]]+Tasks[[#This Row],[_Descendants]])),Tasks[[#This Row],[_LeafFcstFinish]]))</f>
        <v/>
      </c>
      <c r="V4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4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4" s="25" t="str">
        <f aca="false">IF(Tasks[[#This Row],[Task Name]]="","",IF(Tasks[[#This Row],[_IsSummary]],MIN(INDEX(Tasks[_LeafLateStart],Tasks[[#This Row],[_Row]]+1):INDEX(Tasks[_LeafLateStart],Tasks[[#This Row],[_Row]]+Tasks[[#This Row],[_Descendants]])),Tasks[[#This Row],[_LeafLateStart]]))</f>
        <v/>
      </c>
      <c r="Y44" s="25" t="str">
        <f aca="false">IF(Tasks[[#This Row],[Task Name]]="","",IF(Tasks[[#This Row],[_IsSummary]],MAX(INDEX(Tasks[_LeafLateFinish],Tasks[[#This Row],[_Row]]+1):INDEX(Tasks[_LeafLateFinish],Tasks[[#This Row],[_Row]]+Tasks[[#This Row],[_Descendants]])),Tasks[[#This Row],[_LeafLateFinish]]))</f>
        <v/>
      </c>
      <c r="Z44" s="43" t="str">
        <f aca="false">IF(Tasks[[#This Row],[Task Name]]="","",IF(Tasks[[#This Row],[_IsSummary]],MIN(INDEX(Tasks[_LeafTotalSlack],Tasks[[#This Row],[_Row]]+1):INDEX(Tasks[_LeafTotalSlack],Tasks[[#This Row],[_Row]]+Tasks[[#This Row],[_Descendants]])),Tasks[[#This Row],[_LeafTotalSlack]]))</f>
        <v/>
      </c>
      <c r="AA4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4" s="28" t="str">
        <f aca="false">IF(Tasks[[#This Row],[Task Name]]="","",IF(IF(Tasks[[#This Row],[_IsSummary]],COUNTIF(INDEX(Tasks[_LeafCritical],Tasks[[#This Row],[_Row]]+1):INDEX(Tasks[_LeafCritical],Tasks[[#This Row],[_Row]]+Tasks[[#This Row],[_Descendants]]),TRUE())&gt;0,Tasks[[#This Row],[_LeafCritical]]),"Yes",""))</f>
        <v/>
      </c>
      <c r="AC4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4" s="24" t="str">
        <f aca="false">IF(Tasks[[#This Row],[Task Name]]="","",TRIM(IF(Tasks[[#This Row],[_Pred1Problem]]&lt;&gt;"","Pred 1: "&amp;Tasks[[#This Row],[_Pred1Problem]]&amp;". ","")&amp;IF(Tasks[[#This Row],[_Pred2Problem]]&lt;&gt;"","Pred 2: "&amp;Tasks[[#This Row],[_Pred2Problem]]&amp;".","")))</f>
        <v/>
      </c>
      <c r="AE44" s="88"/>
      <c r="AF44"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4" s="28" t="str">
        <f aca="false">IF(Tasks[[#This Row],[Task Name]]="","",IF(Tasks[[#This Row],[Progress]]&gt;=1,"Complete",IF(OR(N(Tasks[[#This Row],[Actual Start]])&gt;0,Tasks[[#This Row],[Progress]]&gt;0),IF(Tasks[[#This Row],[Finish Var]]&gt;0,"Behind","In Progress"),IF(Tasks[[#This Row],[Planned Start]]&lt;StatusDate,"Late Start","Not Started"))))</f>
        <v/>
      </c>
      <c r="AH44" s="30"/>
      <c r="AI44" s="88"/>
      <c r="AJ44" s="95" t="str">
        <f aca="false">IF(Tasks[[#This Row],[Task Name]]="","",IF(Tasks[[#This Row],[_IsSummary]],SUM(INDEX(Tasks[_LeafWork],Tasks[[#This Row],[_Row]]+1):INDEX(Tasks[_LeafWork],Tasks[[#This Row],[_Row]]+Tasks[[#This Row],[_Descendants]])),Tasks[[#This Row],[_LeafWork]]))</f>
        <v/>
      </c>
      <c r="AK44" s="96" t="str">
        <f aca="false">IF(Tasks[[#This Row],[Task Name]]="","",IF(Tasks[[#This Row],[_IsSummary]],SUM(INDEX(Tasks[_LeafCost],Tasks[[#This Row],[_Row]]+1):INDEX(Tasks[_LeafCost],Tasks[[#This Row],[_Row]]+Tasks[[#This Row],[_Descendants]])),Tasks[[#This Row],[_LeafCost]]))</f>
        <v/>
      </c>
      <c r="AL44" s="97"/>
      <c r="AM44" s="29"/>
      <c r="AN4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44" s="82"/>
      <c r="AP44" s="24" t="str">
        <f aca="false">IF(Tasks[[#This Row],[Task Name]]="","",Tasks[[#This Row],[_Pred1IDText]]&amp;IF(AND(Tasks[[#This Row],[_Pred1IDText]]&lt;&gt;"",Tasks[[#This Row],[_Pred2IDText]]&lt;&gt;""),",","")&amp;Tasks[[#This Row],[_Pred2IDText]])</f>
        <v/>
      </c>
      <c r="AQ44" s="30"/>
      <c r="AR44" s="25" t="str">
        <f aca="false">IF(Tasks[[#This Row],[Task Name]]="","",Tasks[[#This Row],[Forecast Start]])</f>
        <v/>
      </c>
      <c r="AS44" s="25" t="str">
        <f aca="false">IF(Tasks[[#This Row],[Task Name]]="","",Tasks[[#This Row],[Forecast Finish]])</f>
        <v/>
      </c>
      <c r="AT44" s="28" t="str">
        <f aca="false">IF(Tasks[[#This Row],[Task Name]]="","",IF(Tasks[[#This Row],[_IsSummary]],NETWORKDAYS.INTL(Tasks[[#This Row],[Forecast Start]],Tasks[[#This Row],[Forecast Finish]],WorkWeek,Holidays),N(Tasks[[#This Row],[Duration]])))</f>
        <v/>
      </c>
      <c r="AU44" s="95" t="str">
        <f aca="false">IF(Tasks[[#This Row],[Task Name]]="","",Tasks[[#This Row],[Work]])</f>
        <v/>
      </c>
      <c r="AV44" s="96" t="str">
        <f aca="false">IF(Tasks[[#This Row],[Task Name]]="","",Tasks[[#This Row],[Cost]])</f>
        <v/>
      </c>
      <c r="AW44" s="73"/>
      <c r="AX44" s="73"/>
      <c r="AY44" s="29"/>
      <c r="AZ44" s="98"/>
      <c r="BA44" s="97"/>
      <c r="BB44" s="28" t="str">
        <f aca="false">IF(OR(Tasks[[#This Row],[Task Name]]="",Tasks[[#This Row],[Baseline Duration]]=""),"",Tasks[[#This Row],[BL Source Duration]]-N(Tasks[[#This Row],[Baseline Duration]]))</f>
        <v/>
      </c>
      <c r="BC44" s="95" t="str">
        <f aca="false">IF(OR(Tasks[[#This Row],[Task Name]]="",Tasks[[#This Row],[Baseline Work]]=""),"",Tasks[[#This Row],[Work]]-N(Tasks[[#This Row],[Baseline Work]]))</f>
        <v/>
      </c>
      <c r="BD44" s="96" t="str">
        <f aca="false">IF(OR(Tasks[[#This Row],[Task Name]]="",Tasks[[#This Row],[Baseline Cost]]=""),"",Tasks[[#This Row],[Cost]]-N(Tasks[[#This Row],[Baseline Cost]]))</f>
        <v/>
      </c>
      <c r="BE44" s="96" t="str">
        <f aca="false">IF(Tasks[[#This Row],[Task Name]]="","",IF(Tasks[[#This Row],[_IsSummary]],SUM(INDEX(Tasks[_LeafBudget],Tasks[[#This Row],[_Row]]+1):INDEX(Tasks[_LeafBudget],Tasks[[#This Row],[_Row]]+Tasks[[#This Row],[_Descendants]])),Tasks[[#This Row],[_LeafBudget]]))</f>
        <v/>
      </c>
      <c r="BF44" s="96" t="str">
        <f aca="false">IF(Tasks[[#This Row],[Task Name]]="","",IF(Tasks[[#This Row],[_IsSummary]],SUM(INDEX(Tasks[_LeafPV],Tasks[[#This Row],[_Row]]+1):INDEX(Tasks[_LeafPV],Tasks[[#This Row],[_Row]]+Tasks[[#This Row],[_Descendants]])),Tasks[[#This Row],[_LeafPV]]))</f>
        <v/>
      </c>
      <c r="BG44" s="96" t="str">
        <f aca="false">IF(Tasks[[#This Row],[Task Name]]="","",IF(Tasks[[#This Row],[_IsSummary]],SUM(INDEX(Tasks[_LeafEV],Tasks[[#This Row],[_Row]]+1):INDEX(Tasks[_LeafEV],Tasks[[#This Row],[_Row]]+Tasks[[#This Row],[_Descendants]])),Tasks[[#This Row],[_LeafEV]]))</f>
        <v/>
      </c>
      <c r="BH44" s="96" t="str">
        <f aca="false">IF(Tasks[[#This Row],[Task Name]]="","",IF(Tasks[[#This Row],[_IsSummary]],SUM(INDEX(Tasks[_LeafAC],Tasks[[#This Row],[_Row]]+1):INDEX(Tasks[_LeafAC],Tasks[[#This Row],[_Row]]+Tasks[[#This Row],[_Descendants]])),Tasks[[#This Row],[_LeafAC]]))</f>
        <v/>
      </c>
      <c r="BI44" s="41" t="str">
        <f aca="false">IF(Tasks[[#This Row],[Task Name]]="","",MAX(1,N(Tasks[[#This Row],[Level]])))</f>
        <v/>
      </c>
      <c r="BJ44" s="41" t="n">
        <f aca="false">ROW()-ROW(Tasks[[#Headers],[ID]])</f>
        <v>39</v>
      </c>
      <c r="BK44" s="41" t="n">
        <f aca="false">IF(OR(Tasks[[#This Row],[Task Name]]="",Tasks[[#This Row],[_Level]]&lt;=1),0,IFERROR(LOOKUP(2,1/(Tasks[[#Headers],[_Level]]:Tasks[[#This Row],[_Level]]=Tasks[[#This Row],[_Level]]-1),ROW(Tasks[[#Headers],[_Level]]:Tasks[[#This Row],[_Level]])),0))</f>
        <v>0</v>
      </c>
      <c r="BL44" s="41" t="n">
        <f aca="false">IFERROR(N(INDEX(Tasks[_Level],Tasks[[#This Row],[_Row]]+1)),0)</f>
        <v>0</v>
      </c>
      <c r="BM44" s="99" t="b">
        <f aca="false">AND(Tasks[[#This Row],[Task Name]]&lt;&gt;"",Tasks[[#This Row],[_NextLevel]]&gt;Tasks[[#This Row],[_Level]])</f>
        <v>0</v>
      </c>
      <c r="BN44" s="41" t="n">
        <f aca="false">IF(Tasks[[#This Row],[_IsSummary]],COUNTIF(Tasks[WBS],Tasks[[#This Row],[WBS]]&amp;".*"),0)</f>
        <v>0</v>
      </c>
      <c r="BO44" s="41" t="n">
        <f aca="false">IF(AND(Tasks[[#This Row],[Task Name]]&lt;&gt;"",NOT(Tasks[[#This Row],[_IsSummary]])),1,0)</f>
        <v>0</v>
      </c>
      <c r="BP44" s="41" t="n">
        <f aca="false">IF(N(Tasks[[#This Row],[Pred1 UID]])=0,0,IFERROR(MATCH(Tasks[[#This Row],[Pred1 UID]],Tasks[UID],0),-1))</f>
        <v>0</v>
      </c>
      <c r="BQ44" s="41" t="n">
        <f aca="false">IF(N(Tasks[[#This Row],[Pred2 UID]])=0,0,IFERROR(MATCH(Tasks[[#This Row],[Pred2 UID]],Tasks[UID],0),-1))</f>
        <v>0</v>
      </c>
      <c r="BR44"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44" s="100" t="str">
        <f aca="false">IF(NOT(Tasks[[#This Row],[_IsLeaf]]=1),"",IF(N(Tasks[[#This Row],[Duration]])&lt;=0,Tasks[[#This Row],[_LeafCalcStart]],WORKDAY.INTL(Tasks[[#This Row],[_LeafCalcStart]],Tasks[[#This Row],[Duration]]-1,WorkWeek,Holidays)))</f>
        <v/>
      </c>
      <c r="BT44"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44"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44" s="41" t="n">
        <f aca="false">IF(NOT(Tasks[[#This Row],[_IsLeaf]]=1),0,IF(N(Tasks[[#This Row],[Actual Finish]])&gt;0,1,MIN(1,N(Tasks[[#This Row],[% Complete]]))))</f>
        <v>0</v>
      </c>
      <c r="BW44" s="41" t="n">
        <f aca="false">IF(OR(NOT(Tasks[[#This Row],[_IsLeaf]]=1),Tasks[[#This Row],[Resource]]=""),0,N(Tasks[[#This Row],[Duration]])*HoursPerDay*IF(Tasks[[#This Row],[Units]]="",DefaultUnits,Tasks[[#This Row],[Units]]))</f>
        <v>0</v>
      </c>
      <c r="BX44" s="41" t="n">
        <f aca="false">IF(Tasks[[#This Row],[_LeafWork]]=0,0,Tasks[[#This Row],[_LeafWork]]*IFERROR(INDEX(res_Rate,MATCH(Tasks[[#This Row],[Resource]],res_Name,0)),0))</f>
        <v>0</v>
      </c>
      <c r="BY4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4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4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4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44" s="41" t="n">
        <f aca="false">IF(NOT(Tasks[[#This Row],[_IsLeaf]]=1),0,MAX(_xlfn.MAXIFS(Tasks[_Row],Tasks[Pred1 UID],Tasks[[#This Row],[UID]]),_xlfn.MAXIFS(Tasks[_Row],Tasks[Pred2 UID],Tasks[[#This Row],[UID]])))</f>
        <v>0</v>
      </c>
      <c r="CD44"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44" s="100" t="str">
        <f aca="false">IF(NOT(Tasks[[#This Row],[_IsLeaf]]=1),"",MIN(ProjectFinish,IF(N(Tasks[[#This Row],[Deadline]])&gt;0,Tasks[[#This Row],[Deadline]],2958465),Tasks[[#This Row],[_SuccessorFinishLimit]]))</f>
        <v/>
      </c>
      <c r="CF44" s="100" t="str">
        <f aca="false">IF(NOT(Tasks[[#This Row],[_IsLeaf]]=1),"",IF(N(Tasks[[#This Row],[Duration]])&lt;=0,Tasks[[#This Row],[_LeafLateFinish]],WORKDAY.INTL(Tasks[[#This Row],[_LeafLateFinish]],-(Tasks[[#This Row],[Duration]]-1),WorkWeek,Holidays)))</f>
        <v/>
      </c>
      <c r="CG4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44" s="99" t="b">
        <f aca="false">AND(Tasks[[#This Row],[_IsLeaf]]=1,Tasks[[#This Row],[_LeafProgress]]&lt;1,N(Tasks[[#This Row],[_LeafTotalSlack]])&lt;=CriticalSlackDays)</f>
        <v>0</v>
      </c>
      <c r="CI44" s="100" t="str">
        <f aca="false">IF(Tasks[[#This Row],[Task Name]]="","",IF(Tasks[[#This Row],[_IsSummary]],MIN(INDEX(Tasks[_LeafCalcStart],Tasks[[#This Row],[_Row]]+1):INDEX(Tasks[_LeafCalcStart],Tasks[[#This Row],[_Row]]+Tasks[[#This Row],[_Descendants]])),Tasks[[#This Row],[_LeafCalcStart]]))</f>
        <v/>
      </c>
      <c r="CJ44" s="100" t="str">
        <f aca="false">IF(Tasks[[#This Row],[Task Name]]="","",IF(Tasks[[#This Row],[_IsSummary]],MAX(INDEX(Tasks[_LeafCalcFinish],Tasks[[#This Row],[_Row]]+1):INDEX(Tasks[_LeafCalcFinish],Tasks[[#This Row],[_Row]]+Tasks[[#This Row],[_Descendants]])),Tasks[[#This Row],[_LeafCalcFinish]]))</f>
        <v/>
      </c>
      <c r="CK4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4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44"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44"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44"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44"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44" s="41" t="n">
        <f aca="false">IF(AND(Tasks[[#This Row],[_IsLeaf]]=1,Tasks[[#This Row],[_LeafWork]]&gt;0),NETWORKDAYS.INTL(ProjectStart,Tasks[[#This Row],[_LeafFcstStart]],WorkWeek,Holidays),0)</f>
        <v>0</v>
      </c>
      <c r="CR44" s="41" t="n">
        <f aca="false">IF(AND(Tasks[[#This Row],[_IsLeaf]]=1,Tasks[[#This Row],[_LeafWork]]&gt;0),MAX(Tasks[[#This Row],[_StartWorkday]],NETWORKDAYS.INTL(ProjectStart,Tasks[[#This Row],[_LeafFcstFinish]],WorkWeek,Holidays)),0)</f>
        <v>0</v>
      </c>
      <c r="CS44" s="41" t="n">
        <f aca="false">IF(AND(Tasks[[#This Row],[_IsLeaf]]=1,Tasks[[#This Row],[_LeafWork]]&gt;0),Tasks[[#This Row],[_LeafWork]]/(Tasks[[#This Row],[_FinishWorkday]]-Tasks[[#This Row],[_StartWorkday]]+1),0)</f>
        <v>0</v>
      </c>
      <c r="CT44" s="41" t="n">
        <f aca="false">Tasks[[#This Row],[_WorkPerWorkday]]*(Tasks[[#This Row],[_StartWorkday]]-1)</f>
        <v>-0</v>
      </c>
      <c r="CU44" s="41" t="n">
        <f aca="false">IF(Tasks[[#This Row],[_IsLeaf]]=1,MAX(N(Tasks[[#This Row],[Duration]]),0.1),0)</f>
        <v>0</v>
      </c>
      <c r="CV44" s="41" t="n">
        <f aca="false">Tasks[[#This Row],[_WeightDur]]*Tasks[[#This Row],[_LeafProgress]]</f>
        <v>0</v>
      </c>
      <c r="CW4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4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4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4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44" s="41" t="str">
        <f aca="false">IF(Tasks[[#This Row],[Task Name]]="","",Tasks[[#This Row],[_Pred1UIDText]]&amp;IF(AND(Tasks[[#This Row],[_Pred1UIDText]]&lt;&gt;"",Tasks[[#This Row],[_Pred2UIDText]]&lt;&gt;""),",","")&amp;Tasks[[#This Row],[_Pred2UIDText]])</f>
        <v/>
      </c>
      <c r="DB44" s="41" t="str">
        <f aca="false">IF(AND(Tasks[[#This Row],[_IsLeaf]]=1,N(Tasks[[#This Row],[Duration]])=0,Tasks[[#This Row],[_LeafProgress]]&lt;1),Tasks[[#This Row],[_LeafFcstFinish]]+Tasks[[#This Row],[_Row]]/100000,"")</f>
        <v/>
      </c>
      <c r="DC4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44" s="41" t="n">
        <f aca="false">IF(NOT(Tasks[[#This Row],[_IsLeaf]]=1),0,IF(Tasks[[#This Row],[Baseline Cost]]="",Tasks[[#This Row],[_LeafCost]],N(Tasks[[#This Row],[Baseline Cost]])))</f>
        <v>0</v>
      </c>
      <c r="DE44" s="41" t="n">
        <f aca="false">Tasks[[#This Row],[_LeafBudget]]*Tasks[[#This Row],[_PlannedPct]]</f>
        <v>0</v>
      </c>
      <c r="DF44" s="41" t="n">
        <f aca="false">Tasks[[#This Row],[_LeafBudget]]*Tasks[[#This Row],[_LeafProgress]]</f>
        <v>0</v>
      </c>
      <c r="DG44" s="41" t="n">
        <f aca="false">IF(NOT(Tasks[[#This Row],[_IsLeaf]]=1),0,IF(Tasks[[#This Row],[Actual Cost]]="",Tasks[[#This Row],[_LeafCost]]*Tasks[[#This Row],[_LeafProgress]],N(Tasks[[#This Row],[Actual Cost]])))</f>
        <v>0</v>
      </c>
      <c r="DH44" s="41" t="str">
        <f aca="false">IF(Tasks[[#This Row],[Task Name]]="","",LEFT(Tasks[[#This Row],[WBS]],FIND(".",Tasks[[#This Row],[WBS]]&amp;".")-1))</f>
        <v/>
      </c>
      <c r="DI44" s="41" t="str">
        <f aca="false">IF(AND(Tasks[[#This Row],[Task Name]]&lt;&gt;"",Tasks[[#This Row],[_Level]]=1),Tasks[[#This Row],[_Row]],"")</f>
        <v/>
      </c>
      <c r="DJ44" s="41" t="str">
        <f aca="false">IF(AND(Tasks[[#This Row],[_IsLeaf]]=1,N(Tasks[[#This Row],[Duration]])=0),Tasks[[#This Row],[Planned Finish]]+Tasks[[#This Row],[_Row]]/100000,"")</f>
        <v/>
      </c>
      <c r="DK44" s="41" t="str">
        <f aca="false">IF(AND(Tasks[[#This Row],[_IsLeaf]]=1,Tasks[[#This Row],[_LeafProgress]]&lt;1,OR(N(Tasks[[#This Row],[Finish Var]])&gt;0,Tasks[[#This Row],[Status]]="Late Start")),MAX(0,Tasks[[#This Row],[Finish Var]])+1-Tasks[[#This Row],[_Row]]/1000000,"")</f>
        <v/>
      </c>
      <c r="DL44" s="41" t="str">
        <f aca="false">IF(AND(Tasks[[#This Row],[_IsLeaf]]=1,N(Tasks[[#This Row],[Actual Start]])=0,Tasks[[#This Row],[_LeafFcstStart]]&gt;=StatusDate,Tasks[[#This Row],[_LeafFcstStart]]&lt;=LookaheadEnd),Tasks[[#This Row],[_LeafFcstStart]]+Tasks[[#This Row],[_Row]]/100000,"")</f>
        <v/>
      </c>
      <c r="DM44" s="41" t="str">
        <f aca="false">IF(AND(Tasks[[#This Row],[_IsLeaf]]=1,Tasks[[#This Row],[_LeafProgress]]&lt;1,Tasks[[#This Row],[_LeafFcstFinish]]&gt;=StatusDate,Tasks[[#This Row],[_LeafFcstFinish]]&lt;=LookaheadEnd),Tasks[[#This Row],[_LeafFcstFinish]]+Tasks[[#This Row],[_Row]]/100000,"")</f>
        <v/>
      </c>
      <c r="DN44" s="41" t="str">
        <f aca="false">IF(Tasks[[#This Row],[_LeafCritical]],Tasks[[#This Row],[_LeafFcstStart]]+Tasks[[#This Row],[_Row]]/100000,"")</f>
        <v/>
      </c>
      <c r="DO44" s="41" t="n">
        <f aca="false">Tasks[[#This Row],[_LeafWork]]*Tasks[[#This Row],[_LeafProgress]]</f>
        <v>0</v>
      </c>
      <c r="DP44" s="100" t="str">
        <f aca="false">IF(AND(Tasks[[#This Row],[_IsLeaf]]=1,Tasks[[#This Row],[_LeafProgress]]&gt;=1),IF(N(Tasks[[#This Row],[Actual Finish]])&gt;0,Tasks[[#This Row],[Actual Finish]],Tasks[[#This Row],[_LeafFcstFinish]]),"")</f>
        <v/>
      </c>
      <c r="DQ44" s="41" t="n">
        <f aca="false">IF(Tasks[[#This Row],[_IsLeaf]]=1,N(Tasks[[#This Row],[Story Points]]),0)</f>
        <v>0</v>
      </c>
      <c r="DR44" s="41" t="str">
        <f aca="false">IF(AND(Tasks[[#This Row],[_IsLeaf]]=1,CurrentSprint&lt;&gt;"",Tasks[[#This Row],[Sprint]]=CurrentSprint),Tasks[[#This Row],[_Row]],"")</f>
        <v/>
      </c>
    </row>
    <row r="45" customFormat="false" ht="15" hidden="false" customHeight="false" outlineLevel="0" collapsed="false">
      <c r="A45" s="28" t="str">
        <f aca="false">IF(Tasks[[#This Row],[Task Name]]="","",COUNTA(Tasks[[#Headers],[Task Name]]:Tasks[[#This Row],[Task Name]])-1)</f>
        <v/>
      </c>
      <c r="B45" s="29" t="n">
        <v>40</v>
      </c>
      <c r="C4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5" s="29"/>
      <c r="E45" s="30"/>
      <c r="F45" s="29"/>
      <c r="G45" s="29"/>
      <c r="H45" s="29"/>
      <c r="I45" s="29"/>
      <c r="J45" s="29"/>
      <c r="K45" s="29"/>
      <c r="L45" s="29"/>
      <c r="M45" s="29"/>
      <c r="N45" s="73"/>
      <c r="O45" s="73"/>
      <c r="P45" s="25" t="str">
        <f aca="false">IF(Tasks[[#This Row],[Task Name]]="","",IF(N(Tasks[[#This Row],[Baseline Start]])&gt;0,Tasks[[#This Row],[Baseline Start]],Tasks[[#This Row],[_CalcStart]]))</f>
        <v/>
      </c>
      <c r="Q45" s="25" t="str">
        <f aca="false">IF(Tasks[[#This Row],[Task Name]]="","",IF(N(Tasks[[#This Row],[Baseline Finish]])&gt;0,Tasks[[#This Row],[Baseline Finish]],Tasks[[#This Row],[_CalcFinish]]))</f>
        <v/>
      </c>
      <c r="R45" s="73"/>
      <c r="S45" s="73"/>
      <c r="T45" s="25" t="str">
        <f aca="false">IF(Tasks[[#This Row],[Task Name]]="","",IF(Tasks[[#This Row],[_IsSummary]],MIN(INDEX(Tasks[_LeafFcstStart],Tasks[[#This Row],[_Row]]+1):INDEX(Tasks[_LeafFcstStart],Tasks[[#This Row],[_Row]]+Tasks[[#This Row],[_Descendants]])),Tasks[[#This Row],[_LeafFcstStart]]))</f>
        <v/>
      </c>
      <c r="U45" s="25" t="str">
        <f aca="false">IF(Tasks[[#This Row],[Task Name]]="","",IF(Tasks[[#This Row],[_IsSummary]],MAX(INDEX(Tasks[_LeafFcstFinish],Tasks[[#This Row],[_Row]]+1):INDEX(Tasks[_LeafFcstFinish],Tasks[[#This Row],[_Row]]+Tasks[[#This Row],[_Descendants]])),Tasks[[#This Row],[_LeafFcstFinish]]))</f>
        <v/>
      </c>
      <c r="V4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4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5" s="25" t="str">
        <f aca="false">IF(Tasks[[#This Row],[Task Name]]="","",IF(Tasks[[#This Row],[_IsSummary]],MIN(INDEX(Tasks[_LeafLateStart],Tasks[[#This Row],[_Row]]+1):INDEX(Tasks[_LeafLateStart],Tasks[[#This Row],[_Row]]+Tasks[[#This Row],[_Descendants]])),Tasks[[#This Row],[_LeafLateStart]]))</f>
        <v/>
      </c>
      <c r="Y45" s="25" t="str">
        <f aca="false">IF(Tasks[[#This Row],[Task Name]]="","",IF(Tasks[[#This Row],[_IsSummary]],MAX(INDEX(Tasks[_LeafLateFinish],Tasks[[#This Row],[_Row]]+1):INDEX(Tasks[_LeafLateFinish],Tasks[[#This Row],[_Row]]+Tasks[[#This Row],[_Descendants]])),Tasks[[#This Row],[_LeafLateFinish]]))</f>
        <v/>
      </c>
      <c r="Z45" s="43" t="str">
        <f aca="false">IF(Tasks[[#This Row],[Task Name]]="","",IF(Tasks[[#This Row],[_IsSummary]],MIN(INDEX(Tasks[_LeafTotalSlack],Tasks[[#This Row],[_Row]]+1):INDEX(Tasks[_LeafTotalSlack],Tasks[[#This Row],[_Row]]+Tasks[[#This Row],[_Descendants]])),Tasks[[#This Row],[_LeafTotalSlack]]))</f>
        <v/>
      </c>
      <c r="AA4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5" s="28" t="str">
        <f aca="false">IF(Tasks[[#This Row],[Task Name]]="","",IF(IF(Tasks[[#This Row],[_IsSummary]],COUNTIF(INDEX(Tasks[_LeafCritical],Tasks[[#This Row],[_Row]]+1):INDEX(Tasks[_LeafCritical],Tasks[[#This Row],[_Row]]+Tasks[[#This Row],[_Descendants]]),TRUE())&gt;0,Tasks[[#This Row],[_LeafCritical]]),"Yes",""))</f>
        <v/>
      </c>
      <c r="AC4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5" s="24" t="str">
        <f aca="false">IF(Tasks[[#This Row],[Task Name]]="","",TRIM(IF(Tasks[[#This Row],[_Pred1Problem]]&lt;&gt;"","Pred 1: "&amp;Tasks[[#This Row],[_Pred1Problem]]&amp;". ","")&amp;IF(Tasks[[#This Row],[_Pred2Problem]]&lt;&gt;"","Pred 2: "&amp;Tasks[[#This Row],[_Pred2Problem]]&amp;".","")))</f>
        <v/>
      </c>
      <c r="AE45" s="88"/>
      <c r="AF45"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5" s="28" t="str">
        <f aca="false">IF(Tasks[[#This Row],[Task Name]]="","",IF(Tasks[[#This Row],[Progress]]&gt;=1,"Complete",IF(OR(N(Tasks[[#This Row],[Actual Start]])&gt;0,Tasks[[#This Row],[Progress]]&gt;0),IF(Tasks[[#This Row],[Finish Var]]&gt;0,"Behind","In Progress"),IF(Tasks[[#This Row],[Planned Start]]&lt;StatusDate,"Late Start","Not Started"))))</f>
        <v/>
      </c>
      <c r="AH45" s="30"/>
      <c r="AI45" s="88"/>
      <c r="AJ45" s="95" t="str">
        <f aca="false">IF(Tasks[[#This Row],[Task Name]]="","",IF(Tasks[[#This Row],[_IsSummary]],SUM(INDEX(Tasks[_LeafWork],Tasks[[#This Row],[_Row]]+1):INDEX(Tasks[_LeafWork],Tasks[[#This Row],[_Row]]+Tasks[[#This Row],[_Descendants]])),Tasks[[#This Row],[_LeafWork]]))</f>
        <v/>
      </c>
      <c r="AK45" s="96" t="str">
        <f aca="false">IF(Tasks[[#This Row],[Task Name]]="","",IF(Tasks[[#This Row],[_IsSummary]],SUM(INDEX(Tasks[_LeafCost],Tasks[[#This Row],[_Row]]+1):INDEX(Tasks[_LeafCost],Tasks[[#This Row],[_Row]]+Tasks[[#This Row],[_Descendants]])),Tasks[[#This Row],[_LeafCost]]))</f>
        <v/>
      </c>
      <c r="AL45" s="97"/>
      <c r="AM45" s="29"/>
      <c r="AN4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45" s="82"/>
      <c r="AP45" s="24" t="str">
        <f aca="false">IF(Tasks[[#This Row],[Task Name]]="","",Tasks[[#This Row],[_Pred1IDText]]&amp;IF(AND(Tasks[[#This Row],[_Pred1IDText]]&lt;&gt;"",Tasks[[#This Row],[_Pred2IDText]]&lt;&gt;""),",","")&amp;Tasks[[#This Row],[_Pred2IDText]])</f>
        <v/>
      </c>
      <c r="AQ45" s="30"/>
      <c r="AR45" s="25" t="str">
        <f aca="false">IF(Tasks[[#This Row],[Task Name]]="","",Tasks[[#This Row],[Forecast Start]])</f>
        <v/>
      </c>
      <c r="AS45" s="25" t="str">
        <f aca="false">IF(Tasks[[#This Row],[Task Name]]="","",Tasks[[#This Row],[Forecast Finish]])</f>
        <v/>
      </c>
      <c r="AT45" s="28" t="str">
        <f aca="false">IF(Tasks[[#This Row],[Task Name]]="","",IF(Tasks[[#This Row],[_IsSummary]],NETWORKDAYS.INTL(Tasks[[#This Row],[Forecast Start]],Tasks[[#This Row],[Forecast Finish]],WorkWeek,Holidays),N(Tasks[[#This Row],[Duration]])))</f>
        <v/>
      </c>
      <c r="AU45" s="95" t="str">
        <f aca="false">IF(Tasks[[#This Row],[Task Name]]="","",Tasks[[#This Row],[Work]])</f>
        <v/>
      </c>
      <c r="AV45" s="96" t="str">
        <f aca="false">IF(Tasks[[#This Row],[Task Name]]="","",Tasks[[#This Row],[Cost]])</f>
        <v/>
      </c>
      <c r="AW45" s="73"/>
      <c r="AX45" s="73"/>
      <c r="AY45" s="29"/>
      <c r="AZ45" s="98"/>
      <c r="BA45" s="97"/>
      <c r="BB45" s="28" t="str">
        <f aca="false">IF(OR(Tasks[[#This Row],[Task Name]]="",Tasks[[#This Row],[Baseline Duration]]=""),"",Tasks[[#This Row],[BL Source Duration]]-N(Tasks[[#This Row],[Baseline Duration]]))</f>
        <v/>
      </c>
      <c r="BC45" s="95" t="str">
        <f aca="false">IF(OR(Tasks[[#This Row],[Task Name]]="",Tasks[[#This Row],[Baseline Work]]=""),"",Tasks[[#This Row],[Work]]-N(Tasks[[#This Row],[Baseline Work]]))</f>
        <v/>
      </c>
      <c r="BD45" s="96" t="str">
        <f aca="false">IF(OR(Tasks[[#This Row],[Task Name]]="",Tasks[[#This Row],[Baseline Cost]]=""),"",Tasks[[#This Row],[Cost]]-N(Tasks[[#This Row],[Baseline Cost]]))</f>
        <v/>
      </c>
      <c r="BE45" s="96" t="str">
        <f aca="false">IF(Tasks[[#This Row],[Task Name]]="","",IF(Tasks[[#This Row],[_IsSummary]],SUM(INDEX(Tasks[_LeafBudget],Tasks[[#This Row],[_Row]]+1):INDEX(Tasks[_LeafBudget],Tasks[[#This Row],[_Row]]+Tasks[[#This Row],[_Descendants]])),Tasks[[#This Row],[_LeafBudget]]))</f>
        <v/>
      </c>
      <c r="BF45" s="96" t="str">
        <f aca="false">IF(Tasks[[#This Row],[Task Name]]="","",IF(Tasks[[#This Row],[_IsSummary]],SUM(INDEX(Tasks[_LeafPV],Tasks[[#This Row],[_Row]]+1):INDEX(Tasks[_LeafPV],Tasks[[#This Row],[_Row]]+Tasks[[#This Row],[_Descendants]])),Tasks[[#This Row],[_LeafPV]]))</f>
        <v/>
      </c>
      <c r="BG45" s="96" t="str">
        <f aca="false">IF(Tasks[[#This Row],[Task Name]]="","",IF(Tasks[[#This Row],[_IsSummary]],SUM(INDEX(Tasks[_LeafEV],Tasks[[#This Row],[_Row]]+1):INDEX(Tasks[_LeafEV],Tasks[[#This Row],[_Row]]+Tasks[[#This Row],[_Descendants]])),Tasks[[#This Row],[_LeafEV]]))</f>
        <v/>
      </c>
      <c r="BH45" s="96" t="str">
        <f aca="false">IF(Tasks[[#This Row],[Task Name]]="","",IF(Tasks[[#This Row],[_IsSummary]],SUM(INDEX(Tasks[_LeafAC],Tasks[[#This Row],[_Row]]+1):INDEX(Tasks[_LeafAC],Tasks[[#This Row],[_Row]]+Tasks[[#This Row],[_Descendants]])),Tasks[[#This Row],[_LeafAC]]))</f>
        <v/>
      </c>
      <c r="BI45" s="41" t="str">
        <f aca="false">IF(Tasks[[#This Row],[Task Name]]="","",MAX(1,N(Tasks[[#This Row],[Level]])))</f>
        <v/>
      </c>
      <c r="BJ45" s="41" t="n">
        <f aca="false">ROW()-ROW(Tasks[[#Headers],[ID]])</f>
        <v>40</v>
      </c>
      <c r="BK45" s="41" t="n">
        <f aca="false">IF(OR(Tasks[[#This Row],[Task Name]]="",Tasks[[#This Row],[_Level]]&lt;=1),0,IFERROR(LOOKUP(2,1/(Tasks[[#Headers],[_Level]]:Tasks[[#This Row],[_Level]]=Tasks[[#This Row],[_Level]]-1),ROW(Tasks[[#Headers],[_Level]]:Tasks[[#This Row],[_Level]])),0))</f>
        <v>0</v>
      </c>
      <c r="BL45" s="41" t="n">
        <f aca="false">IFERROR(N(INDEX(Tasks[_Level],Tasks[[#This Row],[_Row]]+1)),0)</f>
        <v>0</v>
      </c>
      <c r="BM45" s="99" t="b">
        <f aca="false">AND(Tasks[[#This Row],[Task Name]]&lt;&gt;"",Tasks[[#This Row],[_NextLevel]]&gt;Tasks[[#This Row],[_Level]])</f>
        <v>0</v>
      </c>
      <c r="BN45" s="41" t="n">
        <f aca="false">IF(Tasks[[#This Row],[_IsSummary]],COUNTIF(Tasks[WBS],Tasks[[#This Row],[WBS]]&amp;".*"),0)</f>
        <v>0</v>
      </c>
      <c r="BO45" s="41" t="n">
        <f aca="false">IF(AND(Tasks[[#This Row],[Task Name]]&lt;&gt;"",NOT(Tasks[[#This Row],[_IsSummary]])),1,0)</f>
        <v>0</v>
      </c>
      <c r="BP45" s="41" t="n">
        <f aca="false">IF(N(Tasks[[#This Row],[Pred1 UID]])=0,0,IFERROR(MATCH(Tasks[[#This Row],[Pred1 UID]],Tasks[UID],0),-1))</f>
        <v>0</v>
      </c>
      <c r="BQ45" s="41" t="n">
        <f aca="false">IF(N(Tasks[[#This Row],[Pred2 UID]])=0,0,IFERROR(MATCH(Tasks[[#This Row],[Pred2 UID]],Tasks[UID],0),-1))</f>
        <v>0</v>
      </c>
      <c r="BR45"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45" s="100" t="str">
        <f aca="false">IF(NOT(Tasks[[#This Row],[_IsLeaf]]=1),"",IF(N(Tasks[[#This Row],[Duration]])&lt;=0,Tasks[[#This Row],[_LeafCalcStart]],WORKDAY.INTL(Tasks[[#This Row],[_LeafCalcStart]],Tasks[[#This Row],[Duration]]-1,WorkWeek,Holidays)))</f>
        <v/>
      </c>
      <c r="BT45"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45"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45" s="41" t="n">
        <f aca="false">IF(NOT(Tasks[[#This Row],[_IsLeaf]]=1),0,IF(N(Tasks[[#This Row],[Actual Finish]])&gt;0,1,MIN(1,N(Tasks[[#This Row],[% Complete]]))))</f>
        <v>0</v>
      </c>
      <c r="BW45" s="41" t="n">
        <f aca="false">IF(OR(NOT(Tasks[[#This Row],[_IsLeaf]]=1),Tasks[[#This Row],[Resource]]=""),0,N(Tasks[[#This Row],[Duration]])*HoursPerDay*IF(Tasks[[#This Row],[Units]]="",DefaultUnits,Tasks[[#This Row],[Units]]))</f>
        <v>0</v>
      </c>
      <c r="BX45" s="41" t="n">
        <f aca="false">IF(Tasks[[#This Row],[_LeafWork]]=0,0,Tasks[[#This Row],[_LeafWork]]*IFERROR(INDEX(res_Rate,MATCH(Tasks[[#This Row],[Resource]],res_Name,0)),0))</f>
        <v>0</v>
      </c>
      <c r="BY4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4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4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4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45" s="41" t="n">
        <f aca="false">IF(NOT(Tasks[[#This Row],[_IsLeaf]]=1),0,MAX(_xlfn.MAXIFS(Tasks[_Row],Tasks[Pred1 UID],Tasks[[#This Row],[UID]]),_xlfn.MAXIFS(Tasks[_Row],Tasks[Pred2 UID],Tasks[[#This Row],[UID]])))</f>
        <v>0</v>
      </c>
      <c r="CD45"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45" s="100" t="str">
        <f aca="false">IF(NOT(Tasks[[#This Row],[_IsLeaf]]=1),"",MIN(ProjectFinish,IF(N(Tasks[[#This Row],[Deadline]])&gt;0,Tasks[[#This Row],[Deadline]],2958465),Tasks[[#This Row],[_SuccessorFinishLimit]]))</f>
        <v/>
      </c>
      <c r="CF45" s="100" t="str">
        <f aca="false">IF(NOT(Tasks[[#This Row],[_IsLeaf]]=1),"",IF(N(Tasks[[#This Row],[Duration]])&lt;=0,Tasks[[#This Row],[_LeafLateFinish]],WORKDAY.INTL(Tasks[[#This Row],[_LeafLateFinish]],-(Tasks[[#This Row],[Duration]]-1),WorkWeek,Holidays)))</f>
        <v/>
      </c>
      <c r="CG4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45" s="99" t="b">
        <f aca="false">AND(Tasks[[#This Row],[_IsLeaf]]=1,Tasks[[#This Row],[_LeafProgress]]&lt;1,N(Tasks[[#This Row],[_LeafTotalSlack]])&lt;=CriticalSlackDays)</f>
        <v>0</v>
      </c>
      <c r="CI45" s="100" t="str">
        <f aca="false">IF(Tasks[[#This Row],[Task Name]]="","",IF(Tasks[[#This Row],[_IsSummary]],MIN(INDEX(Tasks[_LeafCalcStart],Tasks[[#This Row],[_Row]]+1):INDEX(Tasks[_LeafCalcStart],Tasks[[#This Row],[_Row]]+Tasks[[#This Row],[_Descendants]])),Tasks[[#This Row],[_LeafCalcStart]]))</f>
        <v/>
      </c>
      <c r="CJ45" s="100" t="str">
        <f aca="false">IF(Tasks[[#This Row],[Task Name]]="","",IF(Tasks[[#This Row],[_IsSummary]],MAX(INDEX(Tasks[_LeafCalcFinish],Tasks[[#This Row],[_Row]]+1):INDEX(Tasks[_LeafCalcFinish],Tasks[[#This Row],[_Row]]+Tasks[[#This Row],[_Descendants]])),Tasks[[#This Row],[_LeafCalcFinish]]))</f>
        <v/>
      </c>
      <c r="CK4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4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45"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45"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45"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45"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45" s="41" t="n">
        <f aca="false">IF(AND(Tasks[[#This Row],[_IsLeaf]]=1,Tasks[[#This Row],[_LeafWork]]&gt;0),NETWORKDAYS.INTL(ProjectStart,Tasks[[#This Row],[_LeafFcstStart]],WorkWeek,Holidays),0)</f>
        <v>0</v>
      </c>
      <c r="CR45" s="41" t="n">
        <f aca="false">IF(AND(Tasks[[#This Row],[_IsLeaf]]=1,Tasks[[#This Row],[_LeafWork]]&gt;0),MAX(Tasks[[#This Row],[_StartWorkday]],NETWORKDAYS.INTL(ProjectStart,Tasks[[#This Row],[_LeafFcstFinish]],WorkWeek,Holidays)),0)</f>
        <v>0</v>
      </c>
      <c r="CS45" s="41" t="n">
        <f aca="false">IF(AND(Tasks[[#This Row],[_IsLeaf]]=1,Tasks[[#This Row],[_LeafWork]]&gt;0),Tasks[[#This Row],[_LeafWork]]/(Tasks[[#This Row],[_FinishWorkday]]-Tasks[[#This Row],[_StartWorkday]]+1),0)</f>
        <v>0</v>
      </c>
      <c r="CT45" s="41" t="n">
        <f aca="false">Tasks[[#This Row],[_WorkPerWorkday]]*(Tasks[[#This Row],[_StartWorkday]]-1)</f>
        <v>-0</v>
      </c>
      <c r="CU45" s="41" t="n">
        <f aca="false">IF(Tasks[[#This Row],[_IsLeaf]]=1,MAX(N(Tasks[[#This Row],[Duration]]),0.1),0)</f>
        <v>0</v>
      </c>
      <c r="CV45" s="41" t="n">
        <f aca="false">Tasks[[#This Row],[_WeightDur]]*Tasks[[#This Row],[_LeafProgress]]</f>
        <v>0</v>
      </c>
      <c r="CW4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4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4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4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45" s="41" t="str">
        <f aca="false">IF(Tasks[[#This Row],[Task Name]]="","",Tasks[[#This Row],[_Pred1UIDText]]&amp;IF(AND(Tasks[[#This Row],[_Pred1UIDText]]&lt;&gt;"",Tasks[[#This Row],[_Pred2UIDText]]&lt;&gt;""),",","")&amp;Tasks[[#This Row],[_Pred2UIDText]])</f>
        <v/>
      </c>
      <c r="DB45" s="41" t="str">
        <f aca="false">IF(AND(Tasks[[#This Row],[_IsLeaf]]=1,N(Tasks[[#This Row],[Duration]])=0,Tasks[[#This Row],[_LeafProgress]]&lt;1),Tasks[[#This Row],[_LeafFcstFinish]]+Tasks[[#This Row],[_Row]]/100000,"")</f>
        <v/>
      </c>
      <c r="DC4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45" s="41" t="n">
        <f aca="false">IF(NOT(Tasks[[#This Row],[_IsLeaf]]=1),0,IF(Tasks[[#This Row],[Baseline Cost]]="",Tasks[[#This Row],[_LeafCost]],N(Tasks[[#This Row],[Baseline Cost]])))</f>
        <v>0</v>
      </c>
      <c r="DE45" s="41" t="n">
        <f aca="false">Tasks[[#This Row],[_LeafBudget]]*Tasks[[#This Row],[_PlannedPct]]</f>
        <v>0</v>
      </c>
      <c r="DF45" s="41" t="n">
        <f aca="false">Tasks[[#This Row],[_LeafBudget]]*Tasks[[#This Row],[_LeafProgress]]</f>
        <v>0</v>
      </c>
      <c r="DG45" s="41" t="n">
        <f aca="false">IF(NOT(Tasks[[#This Row],[_IsLeaf]]=1),0,IF(Tasks[[#This Row],[Actual Cost]]="",Tasks[[#This Row],[_LeafCost]]*Tasks[[#This Row],[_LeafProgress]],N(Tasks[[#This Row],[Actual Cost]])))</f>
        <v>0</v>
      </c>
      <c r="DH45" s="41" t="str">
        <f aca="false">IF(Tasks[[#This Row],[Task Name]]="","",LEFT(Tasks[[#This Row],[WBS]],FIND(".",Tasks[[#This Row],[WBS]]&amp;".")-1))</f>
        <v/>
      </c>
      <c r="DI45" s="41" t="str">
        <f aca="false">IF(AND(Tasks[[#This Row],[Task Name]]&lt;&gt;"",Tasks[[#This Row],[_Level]]=1),Tasks[[#This Row],[_Row]],"")</f>
        <v/>
      </c>
      <c r="DJ45" s="41" t="str">
        <f aca="false">IF(AND(Tasks[[#This Row],[_IsLeaf]]=1,N(Tasks[[#This Row],[Duration]])=0),Tasks[[#This Row],[Planned Finish]]+Tasks[[#This Row],[_Row]]/100000,"")</f>
        <v/>
      </c>
      <c r="DK45" s="41" t="str">
        <f aca="false">IF(AND(Tasks[[#This Row],[_IsLeaf]]=1,Tasks[[#This Row],[_LeafProgress]]&lt;1,OR(N(Tasks[[#This Row],[Finish Var]])&gt;0,Tasks[[#This Row],[Status]]="Late Start")),MAX(0,Tasks[[#This Row],[Finish Var]])+1-Tasks[[#This Row],[_Row]]/1000000,"")</f>
        <v/>
      </c>
      <c r="DL45" s="41" t="str">
        <f aca="false">IF(AND(Tasks[[#This Row],[_IsLeaf]]=1,N(Tasks[[#This Row],[Actual Start]])=0,Tasks[[#This Row],[_LeafFcstStart]]&gt;=StatusDate,Tasks[[#This Row],[_LeafFcstStart]]&lt;=LookaheadEnd),Tasks[[#This Row],[_LeafFcstStart]]+Tasks[[#This Row],[_Row]]/100000,"")</f>
        <v/>
      </c>
      <c r="DM45" s="41" t="str">
        <f aca="false">IF(AND(Tasks[[#This Row],[_IsLeaf]]=1,Tasks[[#This Row],[_LeafProgress]]&lt;1,Tasks[[#This Row],[_LeafFcstFinish]]&gt;=StatusDate,Tasks[[#This Row],[_LeafFcstFinish]]&lt;=LookaheadEnd),Tasks[[#This Row],[_LeafFcstFinish]]+Tasks[[#This Row],[_Row]]/100000,"")</f>
        <v/>
      </c>
      <c r="DN45" s="41" t="str">
        <f aca="false">IF(Tasks[[#This Row],[_LeafCritical]],Tasks[[#This Row],[_LeafFcstStart]]+Tasks[[#This Row],[_Row]]/100000,"")</f>
        <v/>
      </c>
      <c r="DO45" s="41" t="n">
        <f aca="false">Tasks[[#This Row],[_LeafWork]]*Tasks[[#This Row],[_LeafProgress]]</f>
        <v>0</v>
      </c>
      <c r="DP45" s="100" t="str">
        <f aca="false">IF(AND(Tasks[[#This Row],[_IsLeaf]]=1,Tasks[[#This Row],[_LeafProgress]]&gt;=1),IF(N(Tasks[[#This Row],[Actual Finish]])&gt;0,Tasks[[#This Row],[Actual Finish]],Tasks[[#This Row],[_LeafFcstFinish]]),"")</f>
        <v/>
      </c>
      <c r="DQ45" s="41" t="n">
        <f aca="false">IF(Tasks[[#This Row],[_IsLeaf]]=1,N(Tasks[[#This Row],[Story Points]]),0)</f>
        <v>0</v>
      </c>
      <c r="DR45" s="41" t="str">
        <f aca="false">IF(AND(Tasks[[#This Row],[_IsLeaf]]=1,CurrentSprint&lt;&gt;"",Tasks[[#This Row],[Sprint]]=CurrentSprint),Tasks[[#This Row],[_Row]],"")</f>
        <v/>
      </c>
    </row>
    <row r="46" customFormat="false" ht="15" hidden="false" customHeight="false" outlineLevel="0" collapsed="false">
      <c r="A46" s="28" t="str">
        <f aca="false">IF(Tasks[[#This Row],[Task Name]]="","",COUNTA(Tasks[[#Headers],[Task Name]]:Tasks[[#This Row],[Task Name]])-1)</f>
        <v/>
      </c>
      <c r="B46" s="29" t="n">
        <v>41</v>
      </c>
      <c r="C4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6" s="29"/>
      <c r="E46" s="30"/>
      <c r="F46" s="29"/>
      <c r="G46" s="29"/>
      <c r="H46" s="29"/>
      <c r="I46" s="29"/>
      <c r="J46" s="29"/>
      <c r="K46" s="29"/>
      <c r="L46" s="29"/>
      <c r="M46" s="29"/>
      <c r="N46" s="73"/>
      <c r="O46" s="73"/>
      <c r="P46" s="25" t="str">
        <f aca="false">IF(Tasks[[#This Row],[Task Name]]="","",IF(N(Tasks[[#This Row],[Baseline Start]])&gt;0,Tasks[[#This Row],[Baseline Start]],Tasks[[#This Row],[_CalcStart]]))</f>
        <v/>
      </c>
      <c r="Q46" s="25" t="str">
        <f aca="false">IF(Tasks[[#This Row],[Task Name]]="","",IF(N(Tasks[[#This Row],[Baseline Finish]])&gt;0,Tasks[[#This Row],[Baseline Finish]],Tasks[[#This Row],[_CalcFinish]]))</f>
        <v/>
      </c>
      <c r="R46" s="73"/>
      <c r="S46" s="73"/>
      <c r="T46" s="25" t="str">
        <f aca="false">IF(Tasks[[#This Row],[Task Name]]="","",IF(Tasks[[#This Row],[_IsSummary]],MIN(INDEX(Tasks[_LeafFcstStart],Tasks[[#This Row],[_Row]]+1):INDEX(Tasks[_LeafFcstStart],Tasks[[#This Row],[_Row]]+Tasks[[#This Row],[_Descendants]])),Tasks[[#This Row],[_LeafFcstStart]]))</f>
        <v/>
      </c>
      <c r="U46" s="25" t="str">
        <f aca="false">IF(Tasks[[#This Row],[Task Name]]="","",IF(Tasks[[#This Row],[_IsSummary]],MAX(INDEX(Tasks[_LeafFcstFinish],Tasks[[#This Row],[_Row]]+1):INDEX(Tasks[_LeafFcstFinish],Tasks[[#This Row],[_Row]]+Tasks[[#This Row],[_Descendants]])),Tasks[[#This Row],[_LeafFcstFinish]]))</f>
        <v/>
      </c>
      <c r="V4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4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6" s="25" t="str">
        <f aca="false">IF(Tasks[[#This Row],[Task Name]]="","",IF(Tasks[[#This Row],[_IsSummary]],MIN(INDEX(Tasks[_LeafLateStart],Tasks[[#This Row],[_Row]]+1):INDEX(Tasks[_LeafLateStart],Tasks[[#This Row],[_Row]]+Tasks[[#This Row],[_Descendants]])),Tasks[[#This Row],[_LeafLateStart]]))</f>
        <v/>
      </c>
      <c r="Y46" s="25" t="str">
        <f aca="false">IF(Tasks[[#This Row],[Task Name]]="","",IF(Tasks[[#This Row],[_IsSummary]],MAX(INDEX(Tasks[_LeafLateFinish],Tasks[[#This Row],[_Row]]+1):INDEX(Tasks[_LeafLateFinish],Tasks[[#This Row],[_Row]]+Tasks[[#This Row],[_Descendants]])),Tasks[[#This Row],[_LeafLateFinish]]))</f>
        <v/>
      </c>
      <c r="Z46" s="43" t="str">
        <f aca="false">IF(Tasks[[#This Row],[Task Name]]="","",IF(Tasks[[#This Row],[_IsSummary]],MIN(INDEX(Tasks[_LeafTotalSlack],Tasks[[#This Row],[_Row]]+1):INDEX(Tasks[_LeafTotalSlack],Tasks[[#This Row],[_Row]]+Tasks[[#This Row],[_Descendants]])),Tasks[[#This Row],[_LeafTotalSlack]]))</f>
        <v/>
      </c>
      <c r="AA4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6" s="28" t="str">
        <f aca="false">IF(Tasks[[#This Row],[Task Name]]="","",IF(IF(Tasks[[#This Row],[_IsSummary]],COUNTIF(INDEX(Tasks[_LeafCritical],Tasks[[#This Row],[_Row]]+1):INDEX(Tasks[_LeafCritical],Tasks[[#This Row],[_Row]]+Tasks[[#This Row],[_Descendants]]),TRUE())&gt;0,Tasks[[#This Row],[_LeafCritical]]),"Yes",""))</f>
        <v/>
      </c>
      <c r="AC4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6" s="24" t="str">
        <f aca="false">IF(Tasks[[#This Row],[Task Name]]="","",TRIM(IF(Tasks[[#This Row],[_Pred1Problem]]&lt;&gt;"","Pred 1: "&amp;Tasks[[#This Row],[_Pred1Problem]]&amp;". ","")&amp;IF(Tasks[[#This Row],[_Pred2Problem]]&lt;&gt;"","Pred 2: "&amp;Tasks[[#This Row],[_Pred2Problem]]&amp;".","")))</f>
        <v/>
      </c>
      <c r="AE46" s="88"/>
      <c r="AF46"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6" s="28" t="str">
        <f aca="false">IF(Tasks[[#This Row],[Task Name]]="","",IF(Tasks[[#This Row],[Progress]]&gt;=1,"Complete",IF(OR(N(Tasks[[#This Row],[Actual Start]])&gt;0,Tasks[[#This Row],[Progress]]&gt;0),IF(Tasks[[#This Row],[Finish Var]]&gt;0,"Behind","In Progress"),IF(Tasks[[#This Row],[Planned Start]]&lt;StatusDate,"Late Start","Not Started"))))</f>
        <v/>
      </c>
      <c r="AH46" s="30"/>
      <c r="AI46" s="88"/>
      <c r="AJ46" s="95" t="str">
        <f aca="false">IF(Tasks[[#This Row],[Task Name]]="","",IF(Tasks[[#This Row],[_IsSummary]],SUM(INDEX(Tasks[_LeafWork],Tasks[[#This Row],[_Row]]+1):INDEX(Tasks[_LeafWork],Tasks[[#This Row],[_Row]]+Tasks[[#This Row],[_Descendants]])),Tasks[[#This Row],[_LeafWork]]))</f>
        <v/>
      </c>
      <c r="AK46" s="96" t="str">
        <f aca="false">IF(Tasks[[#This Row],[Task Name]]="","",IF(Tasks[[#This Row],[_IsSummary]],SUM(INDEX(Tasks[_LeafCost],Tasks[[#This Row],[_Row]]+1):INDEX(Tasks[_LeafCost],Tasks[[#This Row],[_Row]]+Tasks[[#This Row],[_Descendants]])),Tasks[[#This Row],[_LeafCost]]))</f>
        <v/>
      </c>
      <c r="AL46" s="97"/>
      <c r="AM46" s="29"/>
      <c r="AN4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46" s="82"/>
      <c r="AP46" s="24" t="str">
        <f aca="false">IF(Tasks[[#This Row],[Task Name]]="","",Tasks[[#This Row],[_Pred1IDText]]&amp;IF(AND(Tasks[[#This Row],[_Pred1IDText]]&lt;&gt;"",Tasks[[#This Row],[_Pred2IDText]]&lt;&gt;""),",","")&amp;Tasks[[#This Row],[_Pred2IDText]])</f>
        <v/>
      </c>
      <c r="AQ46" s="30"/>
      <c r="AR46" s="25" t="str">
        <f aca="false">IF(Tasks[[#This Row],[Task Name]]="","",Tasks[[#This Row],[Forecast Start]])</f>
        <v/>
      </c>
      <c r="AS46" s="25" t="str">
        <f aca="false">IF(Tasks[[#This Row],[Task Name]]="","",Tasks[[#This Row],[Forecast Finish]])</f>
        <v/>
      </c>
      <c r="AT46" s="28" t="str">
        <f aca="false">IF(Tasks[[#This Row],[Task Name]]="","",IF(Tasks[[#This Row],[_IsSummary]],NETWORKDAYS.INTL(Tasks[[#This Row],[Forecast Start]],Tasks[[#This Row],[Forecast Finish]],WorkWeek,Holidays),N(Tasks[[#This Row],[Duration]])))</f>
        <v/>
      </c>
      <c r="AU46" s="95" t="str">
        <f aca="false">IF(Tasks[[#This Row],[Task Name]]="","",Tasks[[#This Row],[Work]])</f>
        <v/>
      </c>
      <c r="AV46" s="96" t="str">
        <f aca="false">IF(Tasks[[#This Row],[Task Name]]="","",Tasks[[#This Row],[Cost]])</f>
        <v/>
      </c>
      <c r="AW46" s="73"/>
      <c r="AX46" s="73"/>
      <c r="AY46" s="29"/>
      <c r="AZ46" s="98"/>
      <c r="BA46" s="97"/>
      <c r="BB46" s="28" t="str">
        <f aca="false">IF(OR(Tasks[[#This Row],[Task Name]]="",Tasks[[#This Row],[Baseline Duration]]=""),"",Tasks[[#This Row],[BL Source Duration]]-N(Tasks[[#This Row],[Baseline Duration]]))</f>
        <v/>
      </c>
      <c r="BC46" s="95" t="str">
        <f aca="false">IF(OR(Tasks[[#This Row],[Task Name]]="",Tasks[[#This Row],[Baseline Work]]=""),"",Tasks[[#This Row],[Work]]-N(Tasks[[#This Row],[Baseline Work]]))</f>
        <v/>
      </c>
      <c r="BD46" s="96" t="str">
        <f aca="false">IF(OR(Tasks[[#This Row],[Task Name]]="",Tasks[[#This Row],[Baseline Cost]]=""),"",Tasks[[#This Row],[Cost]]-N(Tasks[[#This Row],[Baseline Cost]]))</f>
        <v/>
      </c>
      <c r="BE46" s="96" t="str">
        <f aca="false">IF(Tasks[[#This Row],[Task Name]]="","",IF(Tasks[[#This Row],[_IsSummary]],SUM(INDEX(Tasks[_LeafBudget],Tasks[[#This Row],[_Row]]+1):INDEX(Tasks[_LeafBudget],Tasks[[#This Row],[_Row]]+Tasks[[#This Row],[_Descendants]])),Tasks[[#This Row],[_LeafBudget]]))</f>
        <v/>
      </c>
      <c r="BF46" s="96" t="str">
        <f aca="false">IF(Tasks[[#This Row],[Task Name]]="","",IF(Tasks[[#This Row],[_IsSummary]],SUM(INDEX(Tasks[_LeafPV],Tasks[[#This Row],[_Row]]+1):INDEX(Tasks[_LeafPV],Tasks[[#This Row],[_Row]]+Tasks[[#This Row],[_Descendants]])),Tasks[[#This Row],[_LeafPV]]))</f>
        <v/>
      </c>
      <c r="BG46" s="96" t="str">
        <f aca="false">IF(Tasks[[#This Row],[Task Name]]="","",IF(Tasks[[#This Row],[_IsSummary]],SUM(INDEX(Tasks[_LeafEV],Tasks[[#This Row],[_Row]]+1):INDEX(Tasks[_LeafEV],Tasks[[#This Row],[_Row]]+Tasks[[#This Row],[_Descendants]])),Tasks[[#This Row],[_LeafEV]]))</f>
        <v/>
      </c>
      <c r="BH46" s="96" t="str">
        <f aca="false">IF(Tasks[[#This Row],[Task Name]]="","",IF(Tasks[[#This Row],[_IsSummary]],SUM(INDEX(Tasks[_LeafAC],Tasks[[#This Row],[_Row]]+1):INDEX(Tasks[_LeafAC],Tasks[[#This Row],[_Row]]+Tasks[[#This Row],[_Descendants]])),Tasks[[#This Row],[_LeafAC]]))</f>
        <v/>
      </c>
      <c r="BI46" s="41" t="str">
        <f aca="false">IF(Tasks[[#This Row],[Task Name]]="","",MAX(1,N(Tasks[[#This Row],[Level]])))</f>
        <v/>
      </c>
      <c r="BJ46" s="41" t="n">
        <f aca="false">ROW()-ROW(Tasks[[#Headers],[ID]])</f>
        <v>41</v>
      </c>
      <c r="BK46" s="41" t="n">
        <f aca="false">IF(OR(Tasks[[#This Row],[Task Name]]="",Tasks[[#This Row],[_Level]]&lt;=1),0,IFERROR(LOOKUP(2,1/(Tasks[[#Headers],[_Level]]:Tasks[[#This Row],[_Level]]=Tasks[[#This Row],[_Level]]-1),ROW(Tasks[[#Headers],[_Level]]:Tasks[[#This Row],[_Level]])),0))</f>
        <v>0</v>
      </c>
      <c r="BL46" s="41" t="n">
        <f aca="false">IFERROR(N(INDEX(Tasks[_Level],Tasks[[#This Row],[_Row]]+1)),0)</f>
        <v>0</v>
      </c>
      <c r="BM46" s="99" t="b">
        <f aca="false">AND(Tasks[[#This Row],[Task Name]]&lt;&gt;"",Tasks[[#This Row],[_NextLevel]]&gt;Tasks[[#This Row],[_Level]])</f>
        <v>0</v>
      </c>
      <c r="BN46" s="41" t="n">
        <f aca="false">IF(Tasks[[#This Row],[_IsSummary]],COUNTIF(Tasks[WBS],Tasks[[#This Row],[WBS]]&amp;".*"),0)</f>
        <v>0</v>
      </c>
      <c r="BO46" s="41" t="n">
        <f aca="false">IF(AND(Tasks[[#This Row],[Task Name]]&lt;&gt;"",NOT(Tasks[[#This Row],[_IsSummary]])),1,0)</f>
        <v>0</v>
      </c>
      <c r="BP46" s="41" t="n">
        <f aca="false">IF(N(Tasks[[#This Row],[Pred1 UID]])=0,0,IFERROR(MATCH(Tasks[[#This Row],[Pred1 UID]],Tasks[UID],0),-1))</f>
        <v>0</v>
      </c>
      <c r="BQ46" s="41" t="n">
        <f aca="false">IF(N(Tasks[[#This Row],[Pred2 UID]])=0,0,IFERROR(MATCH(Tasks[[#This Row],[Pred2 UID]],Tasks[UID],0),-1))</f>
        <v>0</v>
      </c>
      <c r="BR46"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46" s="100" t="str">
        <f aca="false">IF(NOT(Tasks[[#This Row],[_IsLeaf]]=1),"",IF(N(Tasks[[#This Row],[Duration]])&lt;=0,Tasks[[#This Row],[_LeafCalcStart]],WORKDAY.INTL(Tasks[[#This Row],[_LeafCalcStart]],Tasks[[#This Row],[Duration]]-1,WorkWeek,Holidays)))</f>
        <v/>
      </c>
      <c r="BT46"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46"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46" s="41" t="n">
        <f aca="false">IF(NOT(Tasks[[#This Row],[_IsLeaf]]=1),0,IF(N(Tasks[[#This Row],[Actual Finish]])&gt;0,1,MIN(1,N(Tasks[[#This Row],[% Complete]]))))</f>
        <v>0</v>
      </c>
      <c r="BW46" s="41" t="n">
        <f aca="false">IF(OR(NOT(Tasks[[#This Row],[_IsLeaf]]=1),Tasks[[#This Row],[Resource]]=""),0,N(Tasks[[#This Row],[Duration]])*HoursPerDay*IF(Tasks[[#This Row],[Units]]="",DefaultUnits,Tasks[[#This Row],[Units]]))</f>
        <v>0</v>
      </c>
      <c r="BX46" s="41" t="n">
        <f aca="false">IF(Tasks[[#This Row],[_LeafWork]]=0,0,Tasks[[#This Row],[_LeafWork]]*IFERROR(INDEX(res_Rate,MATCH(Tasks[[#This Row],[Resource]],res_Name,0)),0))</f>
        <v>0</v>
      </c>
      <c r="BY4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4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4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4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46" s="41" t="n">
        <f aca="false">IF(NOT(Tasks[[#This Row],[_IsLeaf]]=1),0,MAX(_xlfn.MAXIFS(Tasks[_Row],Tasks[Pred1 UID],Tasks[[#This Row],[UID]]),_xlfn.MAXIFS(Tasks[_Row],Tasks[Pred2 UID],Tasks[[#This Row],[UID]])))</f>
        <v>0</v>
      </c>
      <c r="CD46"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46" s="100" t="str">
        <f aca="false">IF(NOT(Tasks[[#This Row],[_IsLeaf]]=1),"",MIN(ProjectFinish,IF(N(Tasks[[#This Row],[Deadline]])&gt;0,Tasks[[#This Row],[Deadline]],2958465),Tasks[[#This Row],[_SuccessorFinishLimit]]))</f>
        <v/>
      </c>
      <c r="CF46" s="100" t="str">
        <f aca="false">IF(NOT(Tasks[[#This Row],[_IsLeaf]]=1),"",IF(N(Tasks[[#This Row],[Duration]])&lt;=0,Tasks[[#This Row],[_LeafLateFinish]],WORKDAY.INTL(Tasks[[#This Row],[_LeafLateFinish]],-(Tasks[[#This Row],[Duration]]-1),WorkWeek,Holidays)))</f>
        <v/>
      </c>
      <c r="CG4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46" s="99" t="b">
        <f aca="false">AND(Tasks[[#This Row],[_IsLeaf]]=1,Tasks[[#This Row],[_LeafProgress]]&lt;1,N(Tasks[[#This Row],[_LeafTotalSlack]])&lt;=CriticalSlackDays)</f>
        <v>0</v>
      </c>
      <c r="CI46" s="100" t="str">
        <f aca="false">IF(Tasks[[#This Row],[Task Name]]="","",IF(Tasks[[#This Row],[_IsSummary]],MIN(INDEX(Tasks[_LeafCalcStart],Tasks[[#This Row],[_Row]]+1):INDEX(Tasks[_LeafCalcStart],Tasks[[#This Row],[_Row]]+Tasks[[#This Row],[_Descendants]])),Tasks[[#This Row],[_LeafCalcStart]]))</f>
        <v/>
      </c>
      <c r="CJ46" s="100" t="str">
        <f aca="false">IF(Tasks[[#This Row],[Task Name]]="","",IF(Tasks[[#This Row],[_IsSummary]],MAX(INDEX(Tasks[_LeafCalcFinish],Tasks[[#This Row],[_Row]]+1):INDEX(Tasks[_LeafCalcFinish],Tasks[[#This Row],[_Row]]+Tasks[[#This Row],[_Descendants]])),Tasks[[#This Row],[_LeafCalcFinish]]))</f>
        <v/>
      </c>
      <c r="CK4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4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46"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46"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46"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46"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46" s="41" t="n">
        <f aca="false">IF(AND(Tasks[[#This Row],[_IsLeaf]]=1,Tasks[[#This Row],[_LeafWork]]&gt;0),NETWORKDAYS.INTL(ProjectStart,Tasks[[#This Row],[_LeafFcstStart]],WorkWeek,Holidays),0)</f>
        <v>0</v>
      </c>
      <c r="CR46" s="41" t="n">
        <f aca="false">IF(AND(Tasks[[#This Row],[_IsLeaf]]=1,Tasks[[#This Row],[_LeafWork]]&gt;0),MAX(Tasks[[#This Row],[_StartWorkday]],NETWORKDAYS.INTL(ProjectStart,Tasks[[#This Row],[_LeafFcstFinish]],WorkWeek,Holidays)),0)</f>
        <v>0</v>
      </c>
      <c r="CS46" s="41" t="n">
        <f aca="false">IF(AND(Tasks[[#This Row],[_IsLeaf]]=1,Tasks[[#This Row],[_LeafWork]]&gt;0),Tasks[[#This Row],[_LeafWork]]/(Tasks[[#This Row],[_FinishWorkday]]-Tasks[[#This Row],[_StartWorkday]]+1),0)</f>
        <v>0</v>
      </c>
      <c r="CT46" s="41" t="n">
        <f aca="false">Tasks[[#This Row],[_WorkPerWorkday]]*(Tasks[[#This Row],[_StartWorkday]]-1)</f>
        <v>-0</v>
      </c>
      <c r="CU46" s="41" t="n">
        <f aca="false">IF(Tasks[[#This Row],[_IsLeaf]]=1,MAX(N(Tasks[[#This Row],[Duration]]),0.1),0)</f>
        <v>0</v>
      </c>
      <c r="CV46" s="41" t="n">
        <f aca="false">Tasks[[#This Row],[_WeightDur]]*Tasks[[#This Row],[_LeafProgress]]</f>
        <v>0</v>
      </c>
      <c r="CW4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4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4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4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46" s="41" t="str">
        <f aca="false">IF(Tasks[[#This Row],[Task Name]]="","",Tasks[[#This Row],[_Pred1UIDText]]&amp;IF(AND(Tasks[[#This Row],[_Pred1UIDText]]&lt;&gt;"",Tasks[[#This Row],[_Pred2UIDText]]&lt;&gt;""),",","")&amp;Tasks[[#This Row],[_Pred2UIDText]])</f>
        <v/>
      </c>
      <c r="DB46" s="41" t="str">
        <f aca="false">IF(AND(Tasks[[#This Row],[_IsLeaf]]=1,N(Tasks[[#This Row],[Duration]])=0,Tasks[[#This Row],[_LeafProgress]]&lt;1),Tasks[[#This Row],[_LeafFcstFinish]]+Tasks[[#This Row],[_Row]]/100000,"")</f>
        <v/>
      </c>
      <c r="DC4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46" s="41" t="n">
        <f aca="false">IF(NOT(Tasks[[#This Row],[_IsLeaf]]=1),0,IF(Tasks[[#This Row],[Baseline Cost]]="",Tasks[[#This Row],[_LeafCost]],N(Tasks[[#This Row],[Baseline Cost]])))</f>
        <v>0</v>
      </c>
      <c r="DE46" s="41" t="n">
        <f aca="false">Tasks[[#This Row],[_LeafBudget]]*Tasks[[#This Row],[_PlannedPct]]</f>
        <v>0</v>
      </c>
      <c r="DF46" s="41" t="n">
        <f aca="false">Tasks[[#This Row],[_LeafBudget]]*Tasks[[#This Row],[_LeafProgress]]</f>
        <v>0</v>
      </c>
      <c r="DG46" s="41" t="n">
        <f aca="false">IF(NOT(Tasks[[#This Row],[_IsLeaf]]=1),0,IF(Tasks[[#This Row],[Actual Cost]]="",Tasks[[#This Row],[_LeafCost]]*Tasks[[#This Row],[_LeafProgress]],N(Tasks[[#This Row],[Actual Cost]])))</f>
        <v>0</v>
      </c>
      <c r="DH46" s="41" t="str">
        <f aca="false">IF(Tasks[[#This Row],[Task Name]]="","",LEFT(Tasks[[#This Row],[WBS]],FIND(".",Tasks[[#This Row],[WBS]]&amp;".")-1))</f>
        <v/>
      </c>
      <c r="DI46" s="41" t="str">
        <f aca="false">IF(AND(Tasks[[#This Row],[Task Name]]&lt;&gt;"",Tasks[[#This Row],[_Level]]=1),Tasks[[#This Row],[_Row]],"")</f>
        <v/>
      </c>
      <c r="DJ46" s="41" t="str">
        <f aca="false">IF(AND(Tasks[[#This Row],[_IsLeaf]]=1,N(Tasks[[#This Row],[Duration]])=0),Tasks[[#This Row],[Planned Finish]]+Tasks[[#This Row],[_Row]]/100000,"")</f>
        <v/>
      </c>
      <c r="DK46" s="41" t="str">
        <f aca="false">IF(AND(Tasks[[#This Row],[_IsLeaf]]=1,Tasks[[#This Row],[_LeafProgress]]&lt;1,OR(N(Tasks[[#This Row],[Finish Var]])&gt;0,Tasks[[#This Row],[Status]]="Late Start")),MAX(0,Tasks[[#This Row],[Finish Var]])+1-Tasks[[#This Row],[_Row]]/1000000,"")</f>
        <v/>
      </c>
      <c r="DL46" s="41" t="str">
        <f aca="false">IF(AND(Tasks[[#This Row],[_IsLeaf]]=1,N(Tasks[[#This Row],[Actual Start]])=0,Tasks[[#This Row],[_LeafFcstStart]]&gt;=StatusDate,Tasks[[#This Row],[_LeafFcstStart]]&lt;=LookaheadEnd),Tasks[[#This Row],[_LeafFcstStart]]+Tasks[[#This Row],[_Row]]/100000,"")</f>
        <v/>
      </c>
      <c r="DM46" s="41" t="str">
        <f aca="false">IF(AND(Tasks[[#This Row],[_IsLeaf]]=1,Tasks[[#This Row],[_LeafProgress]]&lt;1,Tasks[[#This Row],[_LeafFcstFinish]]&gt;=StatusDate,Tasks[[#This Row],[_LeafFcstFinish]]&lt;=LookaheadEnd),Tasks[[#This Row],[_LeafFcstFinish]]+Tasks[[#This Row],[_Row]]/100000,"")</f>
        <v/>
      </c>
      <c r="DN46" s="41" t="str">
        <f aca="false">IF(Tasks[[#This Row],[_LeafCritical]],Tasks[[#This Row],[_LeafFcstStart]]+Tasks[[#This Row],[_Row]]/100000,"")</f>
        <v/>
      </c>
      <c r="DO46" s="41" t="n">
        <f aca="false">Tasks[[#This Row],[_LeafWork]]*Tasks[[#This Row],[_LeafProgress]]</f>
        <v>0</v>
      </c>
      <c r="DP46" s="100" t="str">
        <f aca="false">IF(AND(Tasks[[#This Row],[_IsLeaf]]=1,Tasks[[#This Row],[_LeafProgress]]&gt;=1),IF(N(Tasks[[#This Row],[Actual Finish]])&gt;0,Tasks[[#This Row],[Actual Finish]],Tasks[[#This Row],[_LeafFcstFinish]]),"")</f>
        <v/>
      </c>
      <c r="DQ46" s="41" t="n">
        <f aca="false">IF(Tasks[[#This Row],[_IsLeaf]]=1,N(Tasks[[#This Row],[Story Points]]),0)</f>
        <v>0</v>
      </c>
      <c r="DR46" s="41" t="str">
        <f aca="false">IF(AND(Tasks[[#This Row],[_IsLeaf]]=1,CurrentSprint&lt;&gt;"",Tasks[[#This Row],[Sprint]]=CurrentSprint),Tasks[[#This Row],[_Row]],"")</f>
        <v/>
      </c>
    </row>
    <row r="47" customFormat="false" ht="15" hidden="false" customHeight="false" outlineLevel="0" collapsed="false">
      <c r="A47" s="28" t="str">
        <f aca="false">IF(Tasks[[#This Row],[Task Name]]="","",COUNTA(Tasks[[#Headers],[Task Name]]:Tasks[[#This Row],[Task Name]])-1)</f>
        <v/>
      </c>
      <c r="B47" s="29" t="n">
        <v>42</v>
      </c>
      <c r="C4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7" s="29"/>
      <c r="E47" s="30"/>
      <c r="F47" s="29"/>
      <c r="G47" s="29"/>
      <c r="H47" s="29"/>
      <c r="I47" s="29"/>
      <c r="J47" s="29"/>
      <c r="K47" s="29"/>
      <c r="L47" s="29"/>
      <c r="M47" s="29"/>
      <c r="N47" s="73"/>
      <c r="O47" s="73"/>
      <c r="P47" s="25" t="str">
        <f aca="false">IF(Tasks[[#This Row],[Task Name]]="","",IF(N(Tasks[[#This Row],[Baseline Start]])&gt;0,Tasks[[#This Row],[Baseline Start]],Tasks[[#This Row],[_CalcStart]]))</f>
        <v/>
      </c>
      <c r="Q47" s="25" t="str">
        <f aca="false">IF(Tasks[[#This Row],[Task Name]]="","",IF(N(Tasks[[#This Row],[Baseline Finish]])&gt;0,Tasks[[#This Row],[Baseline Finish]],Tasks[[#This Row],[_CalcFinish]]))</f>
        <v/>
      </c>
      <c r="R47" s="73"/>
      <c r="S47" s="73"/>
      <c r="T47" s="25" t="str">
        <f aca="false">IF(Tasks[[#This Row],[Task Name]]="","",IF(Tasks[[#This Row],[_IsSummary]],MIN(INDEX(Tasks[_LeafFcstStart],Tasks[[#This Row],[_Row]]+1):INDEX(Tasks[_LeafFcstStart],Tasks[[#This Row],[_Row]]+Tasks[[#This Row],[_Descendants]])),Tasks[[#This Row],[_LeafFcstStart]]))</f>
        <v/>
      </c>
      <c r="U47" s="25" t="str">
        <f aca="false">IF(Tasks[[#This Row],[Task Name]]="","",IF(Tasks[[#This Row],[_IsSummary]],MAX(INDEX(Tasks[_LeafFcstFinish],Tasks[[#This Row],[_Row]]+1):INDEX(Tasks[_LeafFcstFinish],Tasks[[#This Row],[_Row]]+Tasks[[#This Row],[_Descendants]])),Tasks[[#This Row],[_LeafFcstFinish]]))</f>
        <v/>
      </c>
      <c r="V4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4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7" s="25" t="str">
        <f aca="false">IF(Tasks[[#This Row],[Task Name]]="","",IF(Tasks[[#This Row],[_IsSummary]],MIN(INDEX(Tasks[_LeafLateStart],Tasks[[#This Row],[_Row]]+1):INDEX(Tasks[_LeafLateStart],Tasks[[#This Row],[_Row]]+Tasks[[#This Row],[_Descendants]])),Tasks[[#This Row],[_LeafLateStart]]))</f>
        <v/>
      </c>
      <c r="Y47" s="25" t="str">
        <f aca="false">IF(Tasks[[#This Row],[Task Name]]="","",IF(Tasks[[#This Row],[_IsSummary]],MAX(INDEX(Tasks[_LeafLateFinish],Tasks[[#This Row],[_Row]]+1):INDEX(Tasks[_LeafLateFinish],Tasks[[#This Row],[_Row]]+Tasks[[#This Row],[_Descendants]])),Tasks[[#This Row],[_LeafLateFinish]]))</f>
        <v/>
      </c>
      <c r="Z47" s="43" t="str">
        <f aca="false">IF(Tasks[[#This Row],[Task Name]]="","",IF(Tasks[[#This Row],[_IsSummary]],MIN(INDEX(Tasks[_LeafTotalSlack],Tasks[[#This Row],[_Row]]+1):INDEX(Tasks[_LeafTotalSlack],Tasks[[#This Row],[_Row]]+Tasks[[#This Row],[_Descendants]])),Tasks[[#This Row],[_LeafTotalSlack]]))</f>
        <v/>
      </c>
      <c r="AA4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7" s="28" t="str">
        <f aca="false">IF(Tasks[[#This Row],[Task Name]]="","",IF(IF(Tasks[[#This Row],[_IsSummary]],COUNTIF(INDEX(Tasks[_LeafCritical],Tasks[[#This Row],[_Row]]+1):INDEX(Tasks[_LeafCritical],Tasks[[#This Row],[_Row]]+Tasks[[#This Row],[_Descendants]]),TRUE())&gt;0,Tasks[[#This Row],[_LeafCritical]]),"Yes",""))</f>
        <v/>
      </c>
      <c r="AC4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7" s="24" t="str">
        <f aca="false">IF(Tasks[[#This Row],[Task Name]]="","",TRIM(IF(Tasks[[#This Row],[_Pred1Problem]]&lt;&gt;"","Pred 1: "&amp;Tasks[[#This Row],[_Pred1Problem]]&amp;". ","")&amp;IF(Tasks[[#This Row],[_Pred2Problem]]&lt;&gt;"","Pred 2: "&amp;Tasks[[#This Row],[_Pred2Problem]]&amp;".","")))</f>
        <v/>
      </c>
      <c r="AE47" s="88"/>
      <c r="AF47"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7" s="28" t="str">
        <f aca="false">IF(Tasks[[#This Row],[Task Name]]="","",IF(Tasks[[#This Row],[Progress]]&gt;=1,"Complete",IF(OR(N(Tasks[[#This Row],[Actual Start]])&gt;0,Tasks[[#This Row],[Progress]]&gt;0),IF(Tasks[[#This Row],[Finish Var]]&gt;0,"Behind","In Progress"),IF(Tasks[[#This Row],[Planned Start]]&lt;StatusDate,"Late Start","Not Started"))))</f>
        <v/>
      </c>
      <c r="AH47" s="30"/>
      <c r="AI47" s="88"/>
      <c r="AJ47" s="95" t="str">
        <f aca="false">IF(Tasks[[#This Row],[Task Name]]="","",IF(Tasks[[#This Row],[_IsSummary]],SUM(INDEX(Tasks[_LeafWork],Tasks[[#This Row],[_Row]]+1):INDEX(Tasks[_LeafWork],Tasks[[#This Row],[_Row]]+Tasks[[#This Row],[_Descendants]])),Tasks[[#This Row],[_LeafWork]]))</f>
        <v/>
      </c>
      <c r="AK47" s="96" t="str">
        <f aca="false">IF(Tasks[[#This Row],[Task Name]]="","",IF(Tasks[[#This Row],[_IsSummary]],SUM(INDEX(Tasks[_LeafCost],Tasks[[#This Row],[_Row]]+1):INDEX(Tasks[_LeafCost],Tasks[[#This Row],[_Row]]+Tasks[[#This Row],[_Descendants]])),Tasks[[#This Row],[_LeafCost]]))</f>
        <v/>
      </c>
      <c r="AL47" s="97"/>
      <c r="AM47" s="29"/>
      <c r="AN4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47" s="82"/>
      <c r="AP47" s="24" t="str">
        <f aca="false">IF(Tasks[[#This Row],[Task Name]]="","",Tasks[[#This Row],[_Pred1IDText]]&amp;IF(AND(Tasks[[#This Row],[_Pred1IDText]]&lt;&gt;"",Tasks[[#This Row],[_Pred2IDText]]&lt;&gt;""),",","")&amp;Tasks[[#This Row],[_Pred2IDText]])</f>
        <v/>
      </c>
      <c r="AQ47" s="30"/>
      <c r="AR47" s="25" t="str">
        <f aca="false">IF(Tasks[[#This Row],[Task Name]]="","",Tasks[[#This Row],[Forecast Start]])</f>
        <v/>
      </c>
      <c r="AS47" s="25" t="str">
        <f aca="false">IF(Tasks[[#This Row],[Task Name]]="","",Tasks[[#This Row],[Forecast Finish]])</f>
        <v/>
      </c>
      <c r="AT47" s="28" t="str">
        <f aca="false">IF(Tasks[[#This Row],[Task Name]]="","",IF(Tasks[[#This Row],[_IsSummary]],NETWORKDAYS.INTL(Tasks[[#This Row],[Forecast Start]],Tasks[[#This Row],[Forecast Finish]],WorkWeek,Holidays),N(Tasks[[#This Row],[Duration]])))</f>
        <v/>
      </c>
      <c r="AU47" s="95" t="str">
        <f aca="false">IF(Tasks[[#This Row],[Task Name]]="","",Tasks[[#This Row],[Work]])</f>
        <v/>
      </c>
      <c r="AV47" s="96" t="str">
        <f aca="false">IF(Tasks[[#This Row],[Task Name]]="","",Tasks[[#This Row],[Cost]])</f>
        <v/>
      </c>
      <c r="AW47" s="73"/>
      <c r="AX47" s="73"/>
      <c r="AY47" s="29"/>
      <c r="AZ47" s="98"/>
      <c r="BA47" s="97"/>
      <c r="BB47" s="28" t="str">
        <f aca="false">IF(OR(Tasks[[#This Row],[Task Name]]="",Tasks[[#This Row],[Baseline Duration]]=""),"",Tasks[[#This Row],[BL Source Duration]]-N(Tasks[[#This Row],[Baseline Duration]]))</f>
        <v/>
      </c>
      <c r="BC47" s="95" t="str">
        <f aca="false">IF(OR(Tasks[[#This Row],[Task Name]]="",Tasks[[#This Row],[Baseline Work]]=""),"",Tasks[[#This Row],[Work]]-N(Tasks[[#This Row],[Baseline Work]]))</f>
        <v/>
      </c>
      <c r="BD47" s="96" t="str">
        <f aca="false">IF(OR(Tasks[[#This Row],[Task Name]]="",Tasks[[#This Row],[Baseline Cost]]=""),"",Tasks[[#This Row],[Cost]]-N(Tasks[[#This Row],[Baseline Cost]]))</f>
        <v/>
      </c>
      <c r="BE47" s="96" t="str">
        <f aca="false">IF(Tasks[[#This Row],[Task Name]]="","",IF(Tasks[[#This Row],[_IsSummary]],SUM(INDEX(Tasks[_LeafBudget],Tasks[[#This Row],[_Row]]+1):INDEX(Tasks[_LeafBudget],Tasks[[#This Row],[_Row]]+Tasks[[#This Row],[_Descendants]])),Tasks[[#This Row],[_LeafBudget]]))</f>
        <v/>
      </c>
      <c r="BF47" s="96" t="str">
        <f aca="false">IF(Tasks[[#This Row],[Task Name]]="","",IF(Tasks[[#This Row],[_IsSummary]],SUM(INDEX(Tasks[_LeafPV],Tasks[[#This Row],[_Row]]+1):INDEX(Tasks[_LeafPV],Tasks[[#This Row],[_Row]]+Tasks[[#This Row],[_Descendants]])),Tasks[[#This Row],[_LeafPV]]))</f>
        <v/>
      </c>
      <c r="BG47" s="96" t="str">
        <f aca="false">IF(Tasks[[#This Row],[Task Name]]="","",IF(Tasks[[#This Row],[_IsSummary]],SUM(INDEX(Tasks[_LeafEV],Tasks[[#This Row],[_Row]]+1):INDEX(Tasks[_LeafEV],Tasks[[#This Row],[_Row]]+Tasks[[#This Row],[_Descendants]])),Tasks[[#This Row],[_LeafEV]]))</f>
        <v/>
      </c>
      <c r="BH47" s="96" t="str">
        <f aca="false">IF(Tasks[[#This Row],[Task Name]]="","",IF(Tasks[[#This Row],[_IsSummary]],SUM(INDEX(Tasks[_LeafAC],Tasks[[#This Row],[_Row]]+1):INDEX(Tasks[_LeafAC],Tasks[[#This Row],[_Row]]+Tasks[[#This Row],[_Descendants]])),Tasks[[#This Row],[_LeafAC]]))</f>
        <v/>
      </c>
      <c r="BI47" s="41" t="str">
        <f aca="false">IF(Tasks[[#This Row],[Task Name]]="","",MAX(1,N(Tasks[[#This Row],[Level]])))</f>
        <v/>
      </c>
      <c r="BJ47" s="41" t="n">
        <f aca="false">ROW()-ROW(Tasks[[#Headers],[ID]])</f>
        <v>42</v>
      </c>
      <c r="BK47" s="41" t="n">
        <f aca="false">IF(OR(Tasks[[#This Row],[Task Name]]="",Tasks[[#This Row],[_Level]]&lt;=1),0,IFERROR(LOOKUP(2,1/(Tasks[[#Headers],[_Level]]:Tasks[[#This Row],[_Level]]=Tasks[[#This Row],[_Level]]-1),ROW(Tasks[[#Headers],[_Level]]:Tasks[[#This Row],[_Level]])),0))</f>
        <v>0</v>
      </c>
      <c r="BL47" s="41" t="n">
        <f aca="false">IFERROR(N(INDEX(Tasks[_Level],Tasks[[#This Row],[_Row]]+1)),0)</f>
        <v>0</v>
      </c>
      <c r="BM47" s="99" t="b">
        <f aca="false">AND(Tasks[[#This Row],[Task Name]]&lt;&gt;"",Tasks[[#This Row],[_NextLevel]]&gt;Tasks[[#This Row],[_Level]])</f>
        <v>0</v>
      </c>
      <c r="BN47" s="41" t="n">
        <f aca="false">IF(Tasks[[#This Row],[_IsSummary]],COUNTIF(Tasks[WBS],Tasks[[#This Row],[WBS]]&amp;".*"),0)</f>
        <v>0</v>
      </c>
      <c r="BO47" s="41" t="n">
        <f aca="false">IF(AND(Tasks[[#This Row],[Task Name]]&lt;&gt;"",NOT(Tasks[[#This Row],[_IsSummary]])),1,0)</f>
        <v>0</v>
      </c>
      <c r="BP47" s="41" t="n">
        <f aca="false">IF(N(Tasks[[#This Row],[Pred1 UID]])=0,0,IFERROR(MATCH(Tasks[[#This Row],[Pred1 UID]],Tasks[UID],0),-1))</f>
        <v>0</v>
      </c>
      <c r="BQ47" s="41" t="n">
        <f aca="false">IF(N(Tasks[[#This Row],[Pred2 UID]])=0,0,IFERROR(MATCH(Tasks[[#This Row],[Pred2 UID]],Tasks[UID],0),-1))</f>
        <v>0</v>
      </c>
      <c r="BR47"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47" s="100" t="str">
        <f aca="false">IF(NOT(Tasks[[#This Row],[_IsLeaf]]=1),"",IF(N(Tasks[[#This Row],[Duration]])&lt;=0,Tasks[[#This Row],[_LeafCalcStart]],WORKDAY.INTL(Tasks[[#This Row],[_LeafCalcStart]],Tasks[[#This Row],[Duration]]-1,WorkWeek,Holidays)))</f>
        <v/>
      </c>
      <c r="BT47"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47"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47" s="41" t="n">
        <f aca="false">IF(NOT(Tasks[[#This Row],[_IsLeaf]]=1),0,IF(N(Tasks[[#This Row],[Actual Finish]])&gt;0,1,MIN(1,N(Tasks[[#This Row],[% Complete]]))))</f>
        <v>0</v>
      </c>
      <c r="BW47" s="41" t="n">
        <f aca="false">IF(OR(NOT(Tasks[[#This Row],[_IsLeaf]]=1),Tasks[[#This Row],[Resource]]=""),0,N(Tasks[[#This Row],[Duration]])*HoursPerDay*IF(Tasks[[#This Row],[Units]]="",DefaultUnits,Tasks[[#This Row],[Units]]))</f>
        <v>0</v>
      </c>
      <c r="BX47" s="41" t="n">
        <f aca="false">IF(Tasks[[#This Row],[_LeafWork]]=0,0,Tasks[[#This Row],[_LeafWork]]*IFERROR(INDEX(res_Rate,MATCH(Tasks[[#This Row],[Resource]],res_Name,0)),0))</f>
        <v>0</v>
      </c>
      <c r="BY4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4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4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4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47" s="41" t="n">
        <f aca="false">IF(NOT(Tasks[[#This Row],[_IsLeaf]]=1),0,MAX(_xlfn.MAXIFS(Tasks[_Row],Tasks[Pred1 UID],Tasks[[#This Row],[UID]]),_xlfn.MAXIFS(Tasks[_Row],Tasks[Pred2 UID],Tasks[[#This Row],[UID]])))</f>
        <v>0</v>
      </c>
      <c r="CD47"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47" s="100" t="str">
        <f aca="false">IF(NOT(Tasks[[#This Row],[_IsLeaf]]=1),"",MIN(ProjectFinish,IF(N(Tasks[[#This Row],[Deadline]])&gt;0,Tasks[[#This Row],[Deadline]],2958465),Tasks[[#This Row],[_SuccessorFinishLimit]]))</f>
        <v/>
      </c>
      <c r="CF47" s="100" t="str">
        <f aca="false">IF(NOT(Tasks[[#This Row],[_IsLeaf]]=1),"",IF(N(Tasks[[#This Row],[Duration]])&lt;=0,Tasks[[#This Row],[_LeafLateFinish]],WORKDAY.INTL(Tasks[[#This Row],[_LeafLateFinish]],-(Tasks[[#This Row],[Duration]]-1),WorkWeek,Holidays)))</f>
        <v/>
      </c>
      <c r="CG4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47" s="99" t="b">
        <f aca="false">AND(Tasks[[#This Row],[_IsLeaf]]=1,Tasks[[#This Row],[_LeafProgress]]&lt;1,N(Tasks[[#This Row],[_LeafTotalSlack]])&lt;=CriticalSlackDays)</f>
        <v>0</v>
      </c>
      <c r="CI47" s="100" t="str">
        <f aca="false">IF(Tasks[[#This Row],[Task Name]]="","",IF(Tasks[[#This Row],[_IsSummary]],MIN(INDEX(Tasks[_LeafCalcStart],Tasks[[#This Row],[_Row]]+1):INDEX(Tasks[_LeafCalcStart],Tasks[[#This Row],[_Row]]+Tasks[[#This Row],[_Descendants]])),Tasks[[#This Row],[_LeafCalcStart]]))</f>
        <v/>
      </c>
      <c r="CJ47" s="100" t="str">
        <f aca="false">IF(Tasks[[#This Row],[Task Name]]="","",IF(Tasks[[#This Row],[_IsSummary]],MAX(INDEX(Tasks[_LeafCalcFinish],Tasks[[#This Row],[_Row]]+1):INDEX(Tasks[_LeafCalcFinish],Tasks[[#This Row],[_Row]]+Tasks[[#This Row],[_Descendants]])),Tasks[[#This Row],[_LeafCalcFinish]]))</f>
        <v/>
      </c>
      <c r="CK4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4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47"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47"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47"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47"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47" s="41" t="n">
        <f aca="false">IF(AND(Tasks[[#This Row],[_IsLeaf]]=1,Tasks[[#This Row],[_LeafWork]]&gt;0),NETWORKDAYS.INTL(ProjectStart,Tasks[[#This Row],[_LeafFcstStart]],WorkWeek,Holidays),0)</f>
        <v>0</v>
      </c>
      <c r="CR47" s="41" t="n">
        <f aca="false">IF(AND(Tasks[[#This Row],[_IsLeaf]]=1,Tasks[[#This Row],[_LeafWork]]&gt;0),MAX(Tasks[[#This Row],[_StartWorkday]],NETWORKDAYS.INTL(ProjectStart,Tasks[[#This Row],[_LeafFcstFinish]],WorkWeek,Holidays)),0)</f>
        <v>0</v>
      </c>
      <c r="CS47" s="41" t="n">
        <f aca="false">IF(AND(Tasks[[#This Row],[_IsLeaf]]=1,Tasks[[#This Row],[_LeafWork]]&gt;0),Tasks[[#This Row],[_LeafWork]]/(Tasks[[#This Row],[_FinishWorkday]]-Tasks[[#This Row],[_StartWorkday]]+1),0)</f>
        <v>0</v>
      </c>
      <c r="CT47" s="41" t="n">
        <f aca="false">Tasks[[#This Row],[_WorkPerWorkday]]*(Tasks[[#This Row],[_StartWorkday]]-1)</f>
        <v>-0</v>
      </c>
      <c r="CU47" s="41" t="n">
        <f aca="false">IF(Tasks[[#This Row],[_IsLeaf]]=1,MAX(N(Tasks[[#This Row],[Duration]]),0.1),0)</f>
        <v>0</v>
      </c>
      <c r="CV47" s="41" t="n">
        <f aca="false">Tasks[[#This Row],[_WeightDur]]*Tasks[[#This Row],[_LeafProgress]]</f>
        <v>0</v>
      </c>
      <c r="CW4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4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4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4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47" s="41" t="str">
        <f aca="false">IF(Tasks[[#This Row],[Task Name]]="","",Tasks[[#This Row],[_Pred1UIDText]]&amp;IF(AND(Tasks[[#This Row],[_Pred1UIDText]]&lt;&gt;"",Tasks[[#This Row],[_Pred2UIDText]]&lt;&gt;""),",","")&amp;Tasks[[#This Row],[_Pred2UIDText]])</f>
        <v/>
      </c>
      <c r="DB47" s="41" t="str">
        <f aca="false">IF(AND(Tasks[[#This Row],[_IsLeaf]]=1,N(Tasks[[#This Row],[Duration]])=0,Tasks[[#This Row],[_LeafProgress]]&lt;1),Tasks[[#This Row],[_LeafFcstFinish]]+Tasks[[#This Row],[_Row]]/100000,"")</f>
        <v/>
      </c>
      <c r="DC4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47" s="41" t="n">
        <f aca="false">IF(NOT(Tasks[[#This Row],[_IsLeaf]]=1),0,IF(Tasks[[#This Row],[Baseline Cost]]="",Tasks[[#This Row],[_LeafCost]],N(Tasks[[#This Row],[Baseline Cost]])))</f>
        <v>0</v>
      </c>
      <c r="DE47" s="41" t="n">
        <f aca="false">Tasks[[#This Row],[_LeafBudget]]*Tasks[[#This Row],[_PlannedPct]]</f>
        <v>0</v>
      </c>
      <c r="DF47" s="41" t="n">
        <f aca="false">Tasks[[#This Row],[_LeafBudget]]*Tasks[[#This Row],[_LeafProgress]]</f>
        <v>0</v>
      </c>
      <c r="DG47" s="41" t="n">
        <f aca="false">IF(NOT(Tasks[[#This Row],[_IsLeaf]]=1),0,IF(Tasks[[#This Row],[Actual Cost]]="",Tasks[[#This Row],[_LeafCost]]*Tasks[[#This Row],[_LeafProgress]],N(Tasks[[#This Row],[Actual Cost]])))</f>
        <v>0</v>
      </c>
      <c r="DH47" s="41" t="str">
        <f aca="false">IF(Tasks[[#This Row],[Task Name]]="","",LEFT(Tasks[[#This Row],[WBS]],FIND(".",Tasks[[#This Row],[WBS]]&amp;".")-1))</f>
        <v/>
      </c>
      <c r="DI47" s="41" t="str">
        <f aca="false">IF(AND(Tasks[[#This Row],[Task Name]]&lt;&gt;"",Tasks[[#This Row],[_Level]]=1),Tasks[[#This Row],[_Row]],"")</f>
        <v/>
      </c>
      <c r="DJ47" s="41" t="str">
        <f aca="false">IF(AND(Tasks[[#This Row],[_IsLeaf]]=1,N(Tasks[[#This Row],[Duration]])=0),Tasks[[#This Row],[Planned Finish]]+Tasks[[#This Row],[_Row]]/100000,"")</f>
        <v/>
      </c>
      <c r="DK47" s="41" t="str">
        <f aca="false">IF(AND(Tasks[[#This Row],[_IsLeaf]]=1,Tasks[[#This Row],[_LeafProgress]]&lt;1,OR(N(Tasks[[#This Row],[Finish Var]])&gt;0,Tasks[[#This Row],[Status]]="Late Start")),MAX(0,Tasks[[#This Row],[Finish Var]])+1-Tasks[[#This Row],[_Row]]/1000000,"")</f>
        <v/>
      </c>
      <c r="DL47" s="41" t="str">
        <f aca="false">IF(AND(Tasks[[#This Row],[_IsLeaf]]=1,N(Tasks[[#This Row],[Actual Start]])=0,Tasks[[#This Row],[_LeafFcstStart]]&gt;=StatusDate,Tasks[[#This Row],[_LeafFcstStart]]&lt;=LookaheadEnd),Tasks[[#This Row],[_LeafFcstStart]]+Tasks[[#This Row],[_Row]]/100000,"")</f>
        <v/>
      </c>
      <c r="DM47" s="41" t="str">
        <f aca="false">IF(AND(Tasks[[#This Row],[_IsLeaf]]=1,Tasks[[#This Row],[_LeafProgress]]&lt;1,Tasks[[#This Row],[_LeafFcstFinish]]&gt;=StatusDate,Tasks[[#This Row],[_LeafFcstFinish]]&lt;=LookaheadEnd),Tasks[[#This Row],[_LeafFcstFinish]]+Tasks[[#This Row],[_Row]]/100000,"")</f>
        <v/>
      </c>
      <c r="DN47" s="41" t="str">
        <f aca="false">IF(Tasks[[#This Row],[_LeafCritical]],Tasks[[#This Row],[_LeafFcstStart]]+Tasks[[#This Row],[_Row]]/100000,"")</f>
        <v/>
      </c>
      <c r="DO47" s="41" t="n">
        <f aca="false">Tasks[[#This Row],[_LeafWork]]*Tasks[[#This Row],[_LeafProgress]]</f>
        <v>0</v>
      </c>
      <c r="DP47" s="100" t="str">
        <f aca="false">IF(AND(Tasks[[#This Row],[_IsLeaf]]=1,Tasks[[#This Row],[_LeafProgress]]&gt;=1),IF(N(Tasks[[#This Row],[Actual Finish]])&gt;0,Tasks[[#This Row],[Actual Finish]],Tasks[[#This Row],[_LeafFcstFinish]]),"")</f>
        <v/>
      </c>
      <c r="DQ47" s="41" t="n">
        <f aca="false">IF(Tasks[[#This Row],[_IsLeaf]]=1,N(Tasks[[#This Row],[Story Points]]),0)</f>
        <v>0</v>
      </c>
      <c r="DR47" s="41" t="str">
        <f aca="false">IF(AND(Tasks[[#This Row],[_IsLeaf]]=1,CurrentSprint&lt;&gt;"",Tasks[[#This Row],[Sprint]]=CurrentSprint),Tasks[[#This Row],[_Row]],"")</f>
        <v/>
      </c>
    </row>
    <row r="48" customFormat="false" ht="15" hidden="false" customHeight="false" outlineLevel="0" collapsed="false">
      <c r="A48" s="28" t="str">
        <f aca="false">IF(Tasks[[#This Row],[Task Name]]="","",COUNTA(Tasks[[#Headers],[Task Name]]:Tasks[[#This Row],[Task Name]])-1)</f>
        <v/>
      </c>
      <c r="B48" s="29" t="n">
        <v>43</v>
      </c>
      <c r="C4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8" s="29"/>
      <c r="E48" s="30"/>
      <c r="F48" s="29"/>
      <c r="G48" s="29"/>
      <c r="H48" s="29"/>
      <c r="I48" s="29"/>
      <c r="J48" s="29"/>
      <c r="K48" s="29"/>
      <c r="L48" s="29"/>
      <c r="M48" s="29"/>
      <c r="N48" s="73"/>
      <c r="O48" s="73"/>
      <c r="P48" s="25" t="str">
        <f aca="false">IF(Tasks[[#This Row],[Task Name]]="","",IF(N(Tasks[[#This Row],[Baseline Start]])&gt;0,Tasks[[#This Row],[Baseline Start]],Tasks[[#This Row],[_CalcStart]]))</f>
        <v/>
      </c>
      <c r="Q48" s="25" t="str">
        <f aca="false">IF(Tasks[[#This Row],[Task Name]]="","",IF(N(Tasks[[#This Row],[Baseline Finish]])&gt;0,Tasks[[#This Row],[Baseline Finish]],Tasks[[#This Row],[_CalcFinish]]))</f>
        <v/>
      </c>
      <c r="R48" s="73"/>
      <c r="S48" s="73"/>
      <c r="T48" s="25" t="str">
        <f aca="false">IF(Tasks[[#This Row],[Task Name]]="","",IF(Tasks[[#This Row],[_IsSummary]],MIN(INDEX(Tasks[_LeafFcstStart],Tasks[[#This Row],[_Row]]+1):INDEX(Tasks[_LeafFcstStart],Tasks[[#This Row],[_Row]]+Tasks[[#This Row],[_Descendants]])),Tasks[[#This Row],[_LeafFcstStart]]))</f>
        <v/>
      </c>
      <c r="U48" s="25" t="str">
        <f aca="false">IF(Tasks[[#This Row],[Task Name]]="","",IF(Tasks[[#This Row],[_IsSummary]],MAX(INDEX(Tasks[_LeafFcstFinish],Tasks[[#This Row],[_Row]]+1):INDEX(Tasks[_LeafFcstFinish],Tasks[[#This Row],[_Row]]+Tasks[[#This Row],[_Descendants]])),Tasks[[#This Row],[_LeafFcstFinish]]))</f>
        <v/>
      </c>
      <c r="V4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4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8" s="25" t="str">
        <f aca="false">IF(Tasks[[#This Row],[Task Name]]="","",IF(Tasks[[#This Row],[_IsSummary]],MIN(INDEX(Tasks[_LeafLateStart],Tasks[[#This Row],[_Row]]+1):INDEX(Tasks[_LeafLateStart],Tasks[[#This Row],[_Row]]+Tasks[[#This Row],[_Descendants]])),Tasks[[#This Row],[_LeafLateStart]]))</f>
        <v/>
      </c>
      <c r="Y48" s="25" t="str">
        <f aca="false">IF(Tasks[[#This Row],[Task Name]]="","",IF(Tasks[[#This Row],[_IsSummary]],MAX(INDEX(Tasks[_LeafLateFinish],Tasks[[#This Row],[_Row]]+1):INDEX(Tasks[_LeafLateFinish],Tasks[[#This Row],[_Row]]+Tasks[[#This Row],[_Descendants]])),Tasks[[#This Row],[_LeafLateFinish]]))</f>
        <v/>
      </c>
      <c r="Z48" s="43" t="str">
        <f aca="false">IF(Tasks[[#This Row],[Task Name]]="","",IF(Tasks[[#This Row],[_IsSummary]],MIN(INDEX(Tasks[_LeafTotalSlack],Tasks[[#This Row],[_Row]]+1):INDEX(Tasks[_LeafTotalSlack],Tasks[[#This Row],[_Row]]+Tasks[[#This Row],[_Descendants]])),Tasks[[#This Row],[_LeafTotalSlack]]))</f>
        <v/>
      </c>
      <c r="AA4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8" s="28" t="str">
        <f aca="false">IF(Tasks[[#This Row],[Task Name]]="","",IF(IF(Tasks[[#This Row],[_IsSummary]],COUNTIF(INDEX(Tasks[_LeafCritical],Tasks[[#This Row],[_Row]]+1):INDEX(Tasks[_LeafCritical],Tasks[[#This Row],[_Row]]+Tasks[[#This Row],[_Descendants]]),TRUE())&gt;0,Tasks[[#This Row],[_LeafCritical]]),"Yes",""))</f>
        <v/>
      </c>
      <c r="AC4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8" s="24" t="str">
        <f aca="false">IF(Tasks[[#This Row],[Task Name]]="","",TRIM(IF(Tasks[[#This Row],[_Pred1Problem]]&lt;&gt;"","Pred 1: "&amp;Tasks[[#This Row],[_Pred1Problem]]&amp;". ","")&amp;IF(Tasks[[#This Row],[_Pred2Problem]]&lt;&gt;"","Pred 2: "&amp;Tasks[[#This Row],[_Pred2Problem]]&amp;".","")))</f>
        <v/>
      </c>
      <c r="AE48" s="88"/>
      <c r="AF48"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8" s="28" t="str">
        <f aca="false">IF(Tasks[[#This Row],[Task Name]]="","",IF(Tasks[[#This Row],[Progress]]&gt;=1,"Complete",IF(OR(N(Tasks[[#This Row],[Actual Start]])&gt;0,Tasks[[#This Row],[Progress]]&gt;0),IF(Tasks[[#This Row],[Finish Var]]&gt;0,"Behind","In Progress"),IF(Tasks[[#This Row],[Planned Start]]&lt;StatusDate,"Late Start","Not Started"))))</f>
        <v/>
      </c>
      <c r="AH48" s="30"/>
      <c r="AI48" s="88"/>
      <c r="AJ48" s="95" t="str">
        <f aca="false">IF(Tasks[[#This Row],[Task Name]]="","",IF(Tasks[[#This Row],[_IsSummary]],SUM(INDEX(Tasks[_LeafWork],Tasks[[#This Row],[_Row]]+1):INDEX(Tasks[_LeafWork],Tasks[[#This Row],[_Row]]+Tasks[[#This Row],[_Descendants]])),Tasks[[#This Row],[_LeafWork]]))</f>
        <v/>
      </c>
      <c r="AK48" s="96" t="str">
        <f aca="false">IF(Tasks[[#This Row],[Task Name]]="","",IF(Tasks[[#This Row],[_IsSummary]],SUM(INDEX(Tasks[_LeafCost],Tasks[[#This Row],[_Row]]+1):INDEX(Tasks[_LeafCost],Tasks[[#This Row],[_Row]]+Tasks[[#This Row],[_Descendants]])),Tasks[[#This Row],[_LeafCost]]))</f>
        <v/>
      </c>
      <c r="AL48" s="97"/>
      <c r="AM48" s="29"/>
      <c r="AN4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48" s="82"/>
      <c r="AP48" s="24" t="str">
        <f aca="false">IF(Tasks[[#This Row],[Task Name]]="","",Tasks[[#This Row],[_Pred1IDText]]&amp;IF(AND(Tasks[[#This Row],[_Pred1IDText]]&lt;&gt;"",Tasks[[#This Row],[_Pred2IDText]]&lt;&gt;""),",","")&amp;Tasks[[#This Row],[_Pred2IDText]])</f>
        <v/>
      </c>
      <c r="AQ48" s="30"/>
      <c r="AR48" s="25" t="str">
        <f aca="false">IF(Tasks[[#This Row],[Task Name]]="","",Tasks[[#This Row],[Forecast Start]])</f>
        <v/>
      </c>
      <c r="AS48" s="25" t="str">
        <f aca="false">IF(Tasks[[#This Row],[Task Name]]="","",Tasks[[#This Row],[Forecast Finish]])</f>
        <v/>
      </c>
      <c r="AT48" s="28" t="str">
        <f aca="false">IF(Tasks[[#This Row],[Task Name]]="","",IF(Tasks[[#This Row],[_IsSummary]],NETWORKDAYS.INTL(Tasks[[#This Row],[Forecast Start]],Tasks[[#This Row],[Forecast Finish]],WorkWeek,Holidays),N(Tasks[[#This Row],[Duration]])))</f>
        <v/>
      </c>
      <c r="AU48" s="95" t="str">
        <f aca="false">IF(Tasks[[#This Row],[Task Name]]="","",Tasks[[#This Row],[Work]])</f>
        <v/>
      </c>
      <c r="AV48" s="96" t="str">
        <f aca="false">IF(Tasks[[#This Row],[Task Name]]="","",Tasks[[#This Row],[Cost]])</f>
        <v/>
      </c>
      <c r="AW48" s="73"/>
      <c r="AX48" s="73"/>
      <c r="AY48" s="29"/>
      <c r="AZ48" s="98"/>
      <c r="BA48" s="97"/>
      <c r="BB48" s="28" t="str">
        <f aca="false">IF(OR(Tasks[[#This Row],[Task Name]]="",Tasks[[#This Row],[Baseline Duration]]=""),"",Tasks[[#This Row],[BL Source Duration]]-N(Tasks[[#This Row],[Baseline Duration]]))</f>
        <v/>
      </c>
      <c r="BC48" s="95" t="str">
        <f aca="false">IF(OR(Tasks[[#This Row],[Task Name]]="",Tasks[[#This Row],[Baseline Work]]=""),"",Tasks[[#This Row],[Work]]-N(Tasks[[#This Row],[Baseline Work]]))</f>
        <v/>
      </c>
      <c r="BD48" s="96" t="str">
        <f aca="false">IF(OR(Tasks[[#This Row],[Task Name]]="",Tasks[[#This Row],[Baseline Cost]]=""),"",Tasks[[#This Row],[Cost]]-N(Tasks[[#This Row],[Baseline Cost]]))</f>
        <v/>
      </c>
      <c r="BE48" s="96" t="str">
        <f aca="false">IF(Tasks[[#This Row],[Task Name]]="","",IF(Tasks[[#This Row],[_IsSummary]],SUM(INDEX(Tasks[_LeafBudget],Tasks[[#This Row],[_Row]]+1):INDEX(Tasks[_LeafBudget],Tasks[[#This Row],[_Row]]+Tasks[[#This Row],[_Descendants]])),Tasks[[#This Row],[_LeafBudget]]))</f>
        <v/>
      </c>
      <c r="BF48" s="96" t="str">
        <f aca="false">IF(Tasks[[#This Row],[Task Name]]="","",IF(Tasks[[#This Row],[_IsSummary]],SUM(INDEX(Tasks[_LeafPV],Tasks[[#This Row],[_Row]]+1):INDEX(Tasks[_LeafPV],Tasks[[#This Row],[_Row]]+Tasks[[#This Row],[_Descendants]])),Tasks[[#This Row],[_LeafPV]]))</f>
        <v/>
      </c>
      <c r="BG48" s="96" t="str">
        <f aca="false">IF(Tasks[[#This Row],[Task Name]]="","",IF(Tasks[[#This Row],[_IsSummary]],SUM(INDEX(Tasks[_LeafEV],Tasks[[#This Row],[_Row]]+1):INDEX(Tasks[_LeafEV],Tasks[[#This Row],[_Row]]+Tasks[[#This Row],[_Descendants]])),Tasks[[#This Row],[_LeafEV]]))</f>
        <v/>
      </c>
      <c r="BH48" s="96" t="str">
        <f aca="false">IF(Tasks[[#This Row],[Task Name]]="","",IF(Tasks[[#This Row],[_IsSummary]],SUM(INDEX(Tasks[_LeafAC],Tasks[[#This Row],[_Row]]+1):INDEX(Tasks[_LeafAC],Tasks[[#This Row],[_Row]]+Tasks[[#This Row],[_Descendants]])),Tasks[[#This Row],[_LeafAC]]))</f>
        <v/>
      </c>
      <c r="BI48" s="41" t="str">
        <f aca="false">IF(Tasks[[#This Row],[Task Name]]="","",MAX(1,N(Tasks[[#This Row],[Level]])))</f>
        <v/>
      </c>
      <c r="BJ48" s="41" t="n">
        <f aca="false">ROW()-ROW(Tasks[[#Headers],[ID]])</f>
        <v>43</v>
      </c>
      <c r="BK48" s="41" t="n">
        <f aca="false">IF(OR(Tasks[[#This Row],[Task Name]]="",Tasks[[#This Row],[_Level]]&lt;=1),0,IFERROR(LOOKUP(2,1/(Tasks[[#Headers],[_Level]]:Tasks[[#This Row],[_Level]]=Tasks[[#This Row],[_Level]]-1),ROW(Tasks[[#Headers],[_Level]]:Tasks[[#This Row],[_Level]])),0))</f>
        <v>0</v>
      </c>
      <c r="BL48" s="41" t="n">
        <f aca="false">IFERROR(N(INDEX(Tasks[_Level],Tasks[[#This Row],[_Row]]+1)),0)</f>
        <v>0</v>
      </c>
      <c r="BM48" s="99" t="b">
        <f aca="false">AND(Tasks[[#This Row],[Task Name]]&lt;&gt;"",Tasks[[#This Row],[_NextLevel]]&gt;Tasks[[#This Row],[_Level]])</f>
        <v>0</v>
      </c>
      <c r="BN48" s="41" t="n">
        <f aca="false">IF(Tasks[[#This Row],[_IsSummary]],COUNTIF(Tasks[WBS],Tasks[[#This Row],[WBS]]&amp;".*"),0)</f>
        <v>0</v>
      </c>
      <c r="BO48" s="41" t="n">
        <f aca="false">IF(AND(Tasks[[#This Row],[Task Name]]&lt;&gt;"",NOT(Tasks[[#This Row],[_IsSummary]])),1,0)</f>
        <v>0</v>
      </c>
      <c r="BP48" s="41" t="n">
        <f aca="false">IF(N(Tasks[[#This Row],[Pred1 UID]])=0,0,IFERROR(MATCH(Tasks[[#This Row],[Pred1 UID]],Tasks[UID],0),-1))</f>
        <v>0</v>
      </c>
      <c r="BQ48" s="41" t="n">
        <f aca="false">IF(N(Tasks[[#This Row],[Pred2 UID]])=0,0,IFERROR(MATCH(Tasks[[#This Row],[Pred2 UID]],Tasks[UID],0),-1))</f>
        <v>0</v>
      </c>
      <c r="BR48"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48" s="100" t="str">
        <f aca="false">IF(NOT(Tasks[[#This Row],[_IsLeaf]]=1),"",IF(N(Tasks[[#This Row],[Duration]])&lt;=0,Tasks[[#This Row],[_LeafCalcStart]],WORKDAY.INTL(Tasks[[#This Row],[_LeafCalcStart]],Tasks[[#This Row],[Duration]]-1,WorkWeek,Holidays)))</f>
        <v/>
      </c>
      <c r="BT48"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48"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48" s="41" t="n">
        <f aca="false">IF(NOT(Tasks[[#This Row],[_IsLeaf]]=1),0,IF(N(Tasks[[#This Row],[Actual Finish]])&gt;0,1,MIN(1,N(Tasks[[#This Row],[% Complete]]))))</f>
        <v>0</v>
      </c>
      <c r="BW48" s="41" t="n">
        <f aca="false">IF(OR(NOT(Tasks[[#This Row],[_IsLeaf]]=1),Tasks[[#This Row],[Resource]]=""),0,N(Tasks[[#This Row],[Duration]])*HoursPerDay*IF(Tasks[[#This Row],[Units]]="",DefaultUnits,Tasks[[#This Row],[Units]]))</f>
        <v>0</v>
      </c>
      <c r="BX48" s="41" t="n">
        <f aca="false">IF(Tasks[[#This Row],[_LeafWork]]=0,0,Tasks[[#This Row],[_LeafWork]]*IFERROR(INDEX(res_Rate,MATCH(Tasks[[#This Row],[Resource]],res_Name,0)),0))</f>
        <v>0</v>
      </c>
      <c r="BY4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4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4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4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48" s="41" t="n">
        <f aca="false">IF(NOT(Tasks[[#This Row],[_IsLeaf]]=1),0,MAX(_xlfn.MAXIFS(Tasks[_Row],Tasks[Pred1 UID],Tasks[[#This Row],[UID]]),_xlfn.MAXIFS(Tasks[_Row],Tasks[Pred2 UID],Tasks[[#This Row],[UID]])))</f>
        <v>0</v>
      </c>
      <c r="CD48"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48" s="100" t="str">
        <f aca="false">IF(NOT(Tasks[[#This Row],[_IsLeaf]]=1),"",MIN(ProjectFinish,IF(N(Tasks[[#This Row],[Deadline]])&gt;0,Tasks[[#This Row],[Deadline]],2958465),Tasks[[#This Row],[_SuccessorFinishLimit]]))</f>
        <v/>
      </c>
      <c r="CF48" s="100" t="str">
        <f aca="false">IF(NOT(Tasks[[#This Row],[_IsLeaf]]=1),"",IF(N(Tasks[[#This Row],[Duration]])&lt;=0,Tasks[[#This Row],[_LeafLateFinish]],WORKDAY.INTL(Tasks[[#This Row],[_LeafLateFinish]],-(Tasks[[#This Row],[Duration]]-1),WorkWeek,Holidays)))</f>
        <v/>
      </c>
      <c r="CG4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48" s="99" t="b">
        <f aca="false">AND(Tasks[[#This Row],[_IsLeaf]]=1,Tasks[[#This Row],[_LeafProgress]]&lt;1,N(Tasks[[#This Row],[_LeafTotalSlack]])&lt;=CriticalSlackDays)</f>
        <v>0</v>
      </c>
      <c r="CI48" s="100" t="str">
        <f aca="false">IF(Tasks[[#This Row],[Task Name]]="","",IF(Tasks[[#This Row],[_IsSummary]],MIN(INDEX(Tasks[_LeafCalcStart],Tasks[[#This Row],[_Row]]+1):INDEX(Tasks[_LeafCalcStart],Tasks[[#This Row],[_Row]]+Tasks[[#This Row],[_Descendants]])),Tasks[[#This Row],[_LeafCalcStart]]))</f>
        <v/>
      </c>
      <c r="CJ48" s="100" t="str">
        <f aca="false">IF(Tasks[[#This Row],[Task Name]]="","",IF(Tasks[[#This Row],[_IsSummary]],MAX(INDEX(Tasks[_LeafCalcFinish],Tasks[[#This Row],[_Row]]+1):INDEX(Tasks[_LeafCalcFinish],Tasks[[#This Row],[_Row]]+Tasks[[#This Row],[_Descendants]])),Tasks[[#This Row],[_LeafCalcFinish]]))</f>
        <v/>
      </c>
      <c r="CK4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4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48"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48"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48"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48"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48" s="41" t="n">
        <f aca="false">IF(AND(Tasks[[#This Row],[_IsLeaf]]=1,Tasks[[#This Row],[_LeafWork]]&gt;0),NETWORKDAYS.INTL(ProjectStart,Tasks[[#This Row],[_LeafFcstStart]],WorkWeek,Holidays),0)</f>
        <v>0</v>
      </c>
      <c r="CR48" s="41" t="n">
        <f aca="false">IF(AND(Tasks[[#This Row],[_IsLeaf]]=1,Tasks[[#This Row],[_LeafWork]]&gt;0),MAX(Tasks[[#This Row],[_StartWorkday]],NETWORKDAYS.INTL(ProjectStart,Tasks[[#This Row],[_LeafFcstFinish]],WorkWeek,Holidays)),0)</f>
        <v>0</v>
      </c>
      <c r="CS48" s="41" t="n">
        <f aca="false">IF(AND(Tasks[[#This Row],[_IsLeaf]]=1,Tasks[[#This Row],[_LeafWork]]&gt;0),Tasks[[#This Row],[_LeafWork]]/(Tasks[[#This Row],[_FinishWorkday]]-Tasks[[#This Row],[_StartWorkday]]+1),0)</f>
        <v>0</v>
      </c>
      <c r="CT48" s="41" t="n">
        <f aca="false">Tasks[[#This Row],[_WorkPerWorkday]]*(Tasks[[#This Row],[_StartWorkday]]-1)</f>
        <v>-0</v>
      </c>
      <c r="CU48" s="41" t="n">
        <f aca="false">IF(Tasks[[#This Row],[_IsLeaf]]=1,MAX(N(Tasks[[#This Row],[Duration]]),0.1),0)</f>
        <v>0</v>
      </c>
      <c r="CV48" s="41" t="n">
        <f aca="false">Tasks[[#This Row],[_WeightDur]]*Tasks[[#This Row],[_LeafProgress]]</f>
        <v>0</v>
      </c>
      <c r="CW4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4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4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4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48" s="41" t="str">
        <f aca="false">IF(Tasks[[#This Row],[Task Name]]="","",Tasks[[#This Row],[_Pred1UIDText]]&amp;IF(AND(Tasks[[#This Row],[_Pred1UIDText]]&lt;&gt;"",Tasks[[#This Row],[_Pred2UIDText]]&lt;&gt;""),",","")&amp;Tasks[[#This Row],[_Pred2UIDText]])</f>
        <v/>
      </c>
      <c r="DB48" s="41" t="str">
        <f aca="false">IF(AND(Tasks[[#This Row],[_IsLeaf]]=1,N(Tasks[[#This Row],[Duration]])=0,Tasks[[#This Row],[_LeafProgress]]&lt;1),Tasks[[#This Row],[_LeafFcstFinish]]+Tasks[[#This Row],[_Row]]/100000,"")</f>
        <v/>
      </c>
      <c r="DC4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48" s="41" t="n">
        <f aca="false">IF(NOT(Tasks[[#This Row],[_IsLeaf]]=1),0,IF(Tasks[[#This Row],[Baseline Cost]]="",Tasks[[#This Row],[_LeafCost]],N(Tasks[[#This Row],[Baseline Cost]])))</f>
        <v>0</v>
      </c>
      <c r="DE48" s="41" t="n">
        <f aca="false">Tasks[[#This Row],[_LeafBudget]]*Tasks[[#This Row],[_PlannedPct]]</f>
        <v>0</v>
      </c>
      <c r="DF48" s="41" t="n">
        <f aca="false">Tasks[[#This Row],[_LeafBudget]]*Tasks[[#This Row],[_LeafProgress]]</f>
        <v>0</v>
      </c>
      <c r="DG48" s="41" t="n">
        <f aca="false">IF(NOT(Tasks[[#This Row],[_IsLeaf]]=1),0,IF(Tasks[[#This Row],[Actual Cost]]="",Tasks[[#This Row],[_LeafCost]]*Tasks[[#This Row],[_LeafProgress]],N(Tasks[[#This Row],[Actual Cost]])))</f>
        <v>0</v>
      </c>
      <c r="DH48" s="41" t="str">
        <f aca="false">IF(Tasks[[#This Row],[Task Name]]="","",LEFT(Tasks[[#This Row],[WBS]],FIND(".",Tasks[[#This Row],[WBS]]&amp;".")-1))</f>
        <v/>
      </c>
      <c r="DI48" s="41" t="str">
        <f aca="false">IF(AND(Tasks[[#This Row],[Task Name]]&lt;&gt;"",Tasks[[#This Row],[_Level]]=1),Tasks[[#This Row],[_Row]],"")</f>
        <v/>
      </c>
      <c r="DJ48" s="41" t="str">
        <f aca="false">IF(AND(Tasks[[#This Row],[_IsLeaf]]=1,N(Tasks[[#This Row],[Duration]])=0),Tasks[[#This Row],[Planned Finish]]+Tasks[[#This Row],[_Row]]/100000,"")</f>
        <v/>
      </c>
      <c r="DK48" s="41" t="str">
        <f aca="false">IF(AND(Tasks[[#This Row],[_IsLeaf]]=1,Tasks[[#This Row],[_LeafProgress]]&lt;1,OR(N(Tasks[[#This Row],[Finish Var]])&gt;0,Tasks[[#This Row],[Status]]="Late Start")),MAX(0,Tasks[[#This Row],[Finish Var]])+1-Tasks[[#This Row],[_Row]]/1000000,"")</f>
        <v/>
      </c>
      <c r="DL48" s="41" t="str">
        <f aca="false">IF(AND(Tasks[[#This Row],[_IsLeaf]]=1,N(Tasks[[#This Row],[Actual Start]])=0,Tasks[[#This Row],[_LeafFcstStart]]&gt;=StatusDate,Tasks[[#This Row],[_LeafFcstStart]]&lt;=LookaheadEnd),Tasks[[#This Row],[_LeafFcstStart]]+Tasks[[#This Row],[_Row]]/100000,"")</f>
        <v/>
      </c>
      <c r="DM48" s="41" t="str">
        <f aca="false">IF(AND(Tasks[[#This Row],[_IsLeaf]]=1,Tasks[[#This Row],[_LeafProgress]]&lt;1,Tasks[[#This Row],[_LeafFcstFinish]]&gt;=StatusDate,Tasks[[#This Row],[_LeafFcstFinish]]&lt;=LookaheadEnd),Tasks[[#This Row],[_LeafFcstFinish]]+Tasks[[#This Row],[_Row]]/100000,"")</f>
        <v/>
      </c>
      <c r="DN48" s="41" t="str">
        <f aca="false">IF(Tasks[[#This Row],[_LeafCritical]],Tasks[[#This Row],[_LeafFcstStart]]+Tasks[[#This Row],[_Row]]/100000,"")</f>
        <v/>
      </c>
      <c r="DO48" s="41" t="n">
        <f aca="false">Tasks[[#This Row],[_LeafWork]]*Tasks[[#This Row],[_LeafProgress]]</f>
        <v>0</v>
      </c>
      <c r="DP48" s="100" t="str">
        <f aca="false">IF(AND(Tasks[[#This Row],[_IsLeaf]]=1,Tasks[[#This Row],[_LeafProgress]]&gt;=1),IF(N(Tasks[[#This Row],[Actual Finish]])&gt;0,Tasks[[#This Row],[Actual Finish]],Tasks[[#This Row],[_LeafFcstFinish]]),"")</f>
        <v/>
      </c>
      <c r="DQ48" s="41" t="n">
        <f aca="false">IF(Tasks[[#This Row],[_IsLeaf]]=1,N(Tasks[[#This Row],[Story Points]]),0)</f>
        <v>0</v>
      </c>
      <c r="DR48" s="41" t="str">
        <f aca="false">IF(AND(Tasks[[#This Row],[_IsLeaf]]=1,CurrentSprint&lt;&gt;"",Tasks[[#This Row],[Sprint]]=CurrentSprint),Tasks[[#This Row],[_Row]],"")</f>
        <v/>
      </c>
    </row>
    <row r="49" customFormat="false" ht="15" hidden="false" customHeight="false" outlineLevel="0" collapsed="false">
      <c r="A49" s="28" t="str">
        <f aca="false">IF(Tasks[[#This Row],[Task Name]]="","",COUNTA(Tasks[[#Headers],[Task Name]]:Tasks[[#This Row],[Task Name]])-1)</f>
        <v/>
      </c>
      <c r="B49" s="29" t="n">
        <v>44</v>
      </c>
      <c r="C4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9" s="29"/>
      <c r="E49" s="30"/>
      <c r="F49" s="29"/>
      <c r="G49" s="29"/>
      <c r="H49" s="29"/>
      <c r="I49" s="29"/>
      <c r="J49" s="29"/>
      <c r="K49" s="29"/>
      <c r="L49" s="29"/>
      <c r="M49" s="29"/>
      <c r="N49" s="73"/>
      <c r="O49" s="73"/>
      <c r="P49" s="25" t="str">
        <f aca="false">IF(Tasks[[#This Row],[Task Name]]="","",IF(N(Tasks[[#This Row],[Baseline Start]])&gt;0,Tasks[[#This Row],[Baseline Start]],Tasks[[#This Row],[_CalcStart]]))</f>
        <v/>
      </c>
      <c r="Q49" s="25" t="str">
        <f aca="false">IF(Tasks[[#This Row],[Task Name]]="","",IF(N(Tasks[[#This Row],[Baseline Finish]])&gt;0,Tasks[[#This Row],[Baseline Finish]],Tasks[[#This Row],[_CalcFinish]]))</f>
        <v/>
      </c>
      <c r="R49" s="73"/>
      <c r="S49" s="73"/>
      <c r="T49" s="25" t="str">
        <f aca="false">IF(Tasks[[#This Row],[Task Name]]="","",IF(Tasks[[#This Row],[_IsSummary]],MIN(INDEX(Tasks[_LeafFcstStart],Tasks[[#This Row],[_Row]]+1):INDEX(Tasks[_LeafFcstStart],Tasks[[#This Row],[_Row]]+Tasks[[#This Row],[_Descendants]])),Tasks[[#This Row],[_LeafFcstStart]]))</f>
        <v/>
      </c>
      <c r="U49" s="25" t="str">
        <f aca="false">IF(Tasks[[#This Row],[Task Name]]="","",IF(Tasks[[#This Row],[_IsSummary]],MAX(INDEX(Tasks[_LeafFcstFinish],Tasks[[#This Row],[_Row]]+1):INDEX(Tasks[_LeafFcstFinish],Tasks[[#This Row],[_Row]]+Tasks[[#This Row],[_Descendants]])),Tasks[[#This Row],[_LeafFcstFinish]]))</f>
        <v/>
      </c>
      <c r="V4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4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9" s="25" t="str">
        <f aca="false">IF(Tasks[[#This Row],[Task Name]]="","",IF(Tasks[[#This Row],[_IsSummary]],MIN(INDEX(Tasks[_LeafLateStart],Tasks[[#This Row],[_Row]]+1):INDEX(Tasks[_LeafLateStart],Tasks[[#This Row],[_Row]]+Tasks[[#This Row],[_Descendants]])),Tasks[[#This Row],[_LeafLateStart]]))</f>
        <v/>
      </c>
      <c r="Y49" s="25" t="str">
        <f aca="false">IF(Tasks[[#This Row],[Task Name]]="","",IF(Tasks[[#This Row],[_IsSummary]],MAX(INDEX(Tasks[_LeafLateFinish],Tasks[[#This Row],[_Row]]+1):INDEX(Tasks[_LeafLateFinish],Tasks[[#This Row],[_Row]]+Tasks[[#This Row],[_Descendants]])),Tasks[[#This Row],[_LeafLateFinish]]))</f>
        <v/>
      </c>
      <c r="Z49" s="43" t="str">
        <f aca="false">IF(Tasks[[#This Row],[Task Name]]="","",IF(Tasks[[#This Row],[_IsSummary]],MIN(INDEX(Tasks[_LeafTotalSlack],Tasks[[#This Row],[_Row]]+1):INDEX(Tasks[_LeafTotalSlack],Tasks[[#This Row],[_Row]]+Tasks[[#This Row],[_Descendants]])),Tasks[[#This Row],[_LeafTotalSlack]]))</f>
        <v/>
      </c>
      <c r="AA4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9" s="28" t="str">
        <f aca="false">IF(Tasks[[#This Row],[Task Name]]="","",IF(IF(Tasks[[#This Row],[_IsSummary]],COUNTIF(INDEX(Tasks[_LeafCritical],Tasks[[#This Row],[_Row]]+1):INDEX(Tasks[_LeafCritical],Tasks[[#This Row],[_Row]]+Tasks[[#This Row],[_Descendants]]),TRUE())&gt;0,Tasks[[#This Row],[_LeafCritical]]),"Yes",""))</f>
        <v/>
      </c>
      <c r="AC4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9" s="24" t="str">
        <f aca="false">IF(Tasks[[#This Row],[Task Name]]="","",TRIM(IF(Tasks[[#This Row],[_Pred1Problem]]&lt;&gt;"","Pred 1: "&amp;Tasks[[#This Row],[_Pred1Problem]]&amp;". ","")&amp;IF(Tasks[[#This Row],[_Pred2Problem]]&lt;&gt;"","Pred 2: "&amp;Tasks[[#This Row],[_Pred2Problem]]&amp;".","")))</f>
        <v/>
      </c>
      <c r="AE49" s="88"/>
      <c r="AF49"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9" s="28" t="str">
        <f aca="false">IF(Tasks[[#This Row],[Task Name]]="","",IF(Tasks[[#This Row],[Progress]]&gt;=1,"Complete",IF(OR(N(Tasks[[#This Row],[Actual Start]])&gt;0,Tasks[[#This Row],[Progress]]&gt;0),IF(Tasks[[#This Row],[Finish Var]]&gt;0,"Behind","In Progress"),IF(Tasks[[#This Row],[Planned Start]]&lt;StatusDate,"Late Start","Not Started"))))</f>
        <v/>
      </c>
      <c r="AH49" s="30"/>
      <c r="AI49" s="88"/>
      <c r="AJ49" s="95" t="str">
        <f aca="false">IF(Tasks[[#This Row],[Task Name]]="","",IF(Tasks[[#This Row],[_IsSummary]],SUM(INDEX(Tasks[_LeafWork],Tasks[[#This Row],[_Row]]+1):INDEX(Tasks[_LeafWork],Tasks[[#This Row],[_Row]]+Tasks[[#This Row],[_Descendants]])),Tasks[[#This Row],[_LeafWork]]))</f>
        <v/>
      </c>
      <c r="AK49" s="96" t="str">
        <f aca="false">IF(Tasks[[#This Row],[Task Name]]="","",IF(Tasks[[#This Row],[_IsSummary]],SUM(INDEX(Tasks[_LeafCost],Tasks[[#This Row],[_Row]]+1):INDEX(Tasks[_LeafCost],Tasks[[#This Row],[_Row]]+Tasks[[#This Row],[_Descendants]])),Tasks[[#This Row],[_LeafCost]]))</f>
        <v/>
      </c>
      <c r="AL49" s="97"/>
      <c r="AM49" s="29"/>
      <c r="AN4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49" s="82"/>
      <c r="AP49" s="24" t="str">
        <f aca="false">IF(Tasks[[#This Row],[Task Name]]="","",Tasks[[#This Row],[_Pred1IDText]]&amp;IF(AND(Tasks[[#This Row],[_Pred1IDText]]&lt;&gt;"",Tasks[[#This Row],[_Pred2IDText]]&lt;&gt;""),",","")&amp;Tasks[[#This Row],[_Pred2IDText]])</f>
        <v/>
      </c>
      <c r="AQ49" s="30"/>
      <c r="AR49" s="25" t="str">
        <f aca="false">IF(Tasks[[#This Row],[Task Name]]="","",Tasks[[#This Row],[Forecast Start]])</f>
        <v/>
      </c>
      <c r="AS49" s="25" t="str">
        <f aca="false">IF(Tasks[[#This Row],[Task Name]]="","",Tasks[[#This Row],[Forecast Finish]])</f>
        <v/>
      </c>
      <c r="AT49" s="28" t="str">
        <f aca="false">IF(Tasks[[#This Row],[Task Name]]="","",IF(Tasks[[#This Row],[_IsSummary]],NETWORKDAYS.INTL(Tasks[[#This Row],[Forecast Start]],Tasks[[#This Row],[Forecast Finish]],WorkWeek,Holidays),N(Tasks[[#This Row],[Duration]])))</f>
        <v/>
      </c>
      <c r="AU49" s="95" t="str">
        <f aca="false">IF(Tasks[[#This Row],[Task Name]]="","",Tasks[[#This Row],[Work]])</f>
        <v/>
      </c>
      <c r="AV49" s="96" t="str">
        <f aca="false">IF(Tasks[[#This Row],[Task Name]]="","",Tasks[[#This Row],[Cost]])</f>
        <v/>
      </c>
      <c r="AW49" s="73"/>
      <c r="AX49" s="73"/>
      <c r="AY49" s="29"/>
      <c r="AZ49" s="98"/>
      <c r="BA49" s="97"/>
      <c r="BB49" s="28" t="str">
        <f aca="false">IF(OR(Tasks[[#This Row],[Task Name]]="",Tasks[[#This Row],[Baseline Duration]]=""),"",Tasks[[#This Row],[BL Source Duration]]-N(Tasks[[#This Row],[Baseline Duration]]))</f>
        <v/>
      </c>
      <c r="BC49" s="95" t="str">
        <f aca="false">IF(OR(Tasks[[#This Row],[Task Name]]="",Tasks[[#This Row],[Baseline Work]]=""),"",Tasks[[#This Row],[Work]]-N(Tasks[[#This Row],[Baseline Work]]))</f>
        <v/>
      </c>
      <c r="BD49" s="96" t="str">
        <f aca="false">IF(OR(Tasks[[#This Row],[Task Name]]="",Tasks[[#This Row],[Baseline Cost]]=""),"",Tasks[[#This Row],[Cost]]-N(Tasks[[#This Row],[Baseline Cost]]))</f>
        <v/>
      </c>
      <c r="BE49" s="96" t="str">
        <f aca="false">IF(Tasks[[#This Row],[Task Name]]="","",IF(Tasks[[#This Row],[_IsSummary]],SUM(INDEX(Tasks[_LeafBudget],Tasks[[#This Row],[_Row]]+1):INDEX(Tasks[_LeafBudget],Tasks[[#This Row],[_Row]]+Tasks[[#This Row],[_Descendants]])),Tasks[[#This Row],[_LeafBudget]]))</f>
        <v/>
      </c>
      <c r="BF49" s="96" t="str">
        <f aca="false">IF(Tasks[[#This Row],[Task Name]]="","",IF(Tasks[[#This Row],[_IsSummary]],SUM(INDEX(Tasks[_LeafPV],Tasks[[#This Row],[_Row]]+1):INDEX(Tasks[_LeafPV],Tasks[[#This Row],[_Row]]+Tasks[[#This Row],[_Descendants]])),Tasks[[#This Row],[_LeafPV]]))</f>
        <v/>
      </c>
      <c r="BG49" s="96" t="str">
        <f aca="false">IF(Tasks[[#This Row],[Task Name]]="","",IF(Tasks[[#This Row],[_IsSummary]],SUM(INDEX(Tasks[_LeafEV],Tasks[[#This Row],[_Row]]+1):INDEX(Tasks[_LeafEV],Tasks[[#This Row],[_Row]]+Tasks[[#This Row],[_Descendants]])),Tasks[[#This Row],[_LeafEV]]))</f>
        <v/>
      </c>
      <c r="BH49" s="96" t="str">
        <f aca="false">IF(Tasks[[#This Row],[Task Name]]="","",IF(Tasks[[#This Row],[_IsSummary]],SUM(INDEX(Tasks[_LeafAC],Tasks[[#This Row],[_Row]]+1):INDEX(Tasks[_LeafAC],Tasks[[#This Row],[_Row]]+Tasks[[#This Row],[_Descendants]])),Tasks[[#This Row],[_LeafAC]]))</f>
        <v/>
      </c>
      <c r="BI49" s="41" t="str">
        <f aca="false">IF(Tasks[[#This Row],[Task Name]]="","",MAX(1,N(Tasks[[#This Row],[Level]])))</f>
        <v/>
      </c>
      <c r="BJ49" s="41" t="n">
        <f aca="false">ROW()-ROW(Tasks[[#Headers],[ID]])</f>
        <v>44</v>
      </c>
      <c r="BK49" s="41" t="n">
        <f aca="false">IF(OR(Tasks[[#This Row],[Task Name]]="",Tasks[[#This Row],[_Level]]&lt;=1),0,IFERROR(LOOKUP(2,1/(Tasks[[#Headers],[_Level]]:Tasks[[#This Row],[_Level]]=Tasks[[#This Row],[_Level]]-1),ROW(Tasks[[#Headers],[_Level]]:Tasks[[#This Row],[_Level]])),0))</f>
        <v>0</v>
      </c>
      <c r="BL49" s="41" t="n">
        <f aca="false">IFERROR(N(INDEX(Tasks[_Level],Tasks[[#This Row],[_Row]]+1)),0)</f>
        <v>0</v>
      </c>
      <c r="BM49" s="99" t="b">
        <f aca="false">AND(Tasks[[#This Row],[Task Name]]&lt;&gt;"",Tasks[[#This Row],[_NextLevel]]&gt;Tasks[[#This Row],[_Level]])</f>
        <v>0</v>
      </c>
      <c r="BN49" s="41" t="n">
        <f aca="false">IF(Tasks[[#This Row],[_IsSummary]],COUNTIF(Tasks[WBS],Tasks[[#This Row],[WBS]]&amp;".*"),0)</f>
        <v>0</v>
      </c>
      <c r="BO49" s="41" t="n">
        <f aca="false">IF(AND(Tasks[[#This Row],[Task Name]]&lt;&gt;"",NOT(Tasks[[#This Row],[_IsSummary]])),1,0)</f>
        <v>0</v>
      </c>
      <c r="BP49" s="41" t="n">
        <f aca="false">IF(N(Tasks[[#This Row],[Pred1 UID]])=0,0,IFERROR(MATCH(Tasks[[#This Row],[Pred1 UID]],Tasks[UID],0),-1))</f>
        <v>0</v>
      </c>
      <c r="BQ49" s="41" t="n">
        <f aca="false">IF(N(Tasks[[#This Row],[Pred2 UID]])=0,0,IFERROR(MATCH(Tasks[[#This Row],[Pred2 UID]],Tasks[UID],0),-1))</f>
        <v>0</v>
      </c>
      <c r="BR49"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49" s="100" t="str">
        <f aca="false">IF(NOT(Tasks[[#This Row],[_IsLeaf]]=1),"",IF(N(Tasks[[#This Row],[Duration]])&lt;=0,Tasks[[#This Row],[_LeafCalcStart]],WORKDAY.INTL(Tasks[[#This Row],[_LeafCalcStart]],Tasks[[#This Row],[Duration]]-1,WorkWeek,Holidays)))</f>
        <v/>
      </c>
      <c r="BT49"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49"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49" s="41" t="n">
        <f aca="false">IF(NOT(Tasks[[#This Row],[_IsLeaf]]=1),0,IF(N(Tasks[[#This Row],[Actual Finish]])&gt;0,1,MIN(1,N(Tasks[[#This Row],[% Complete]]))))</f>
        <v>0</v>
      </c>
      <c r="BW49" s="41" t="n">
        <f aca="false">IF(OR(NOT(Tasks[[#This Row],[_IsLeaf]]=1),Tasks[[#This Row],[Resource]]=""),0,N(Tasks[[#This Row],[Duration]])*HoursPerDay*IF(Tasks[[#This Row],[Units]]="",DefaultUnits,Tasks[[#This Row],[Units]]))</f>
        <v>0</v>
      </c>
      <c r="BX49" s="41" t="n">
        <f aca="false">IF(Tasks[[#This Row],[_LeafWork]]=0,0,Tasks[[#This Row],[_LeafWork]]*IFERROR(INDEX(res_Rate,MATCH(Tasks[[#This Row],[Resource]],res_Name,0)),0))</f>
        <v>0</v>
      </c>
      <c r="BY4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4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4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4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49" s="41" t="n">
        <f aca="false">IF(NOT(Tasks[[#This Row],[_IsLeaf]]=1),0,MAX(_xlfn.MAXIFS(Tasks[_Row],Tasks[Pred1 UID],Tasks[[#This Row],[UID]]),_xlfn.MAXIFS(Tasks[_Row],Tasks[Pred2 UID],Tasks[[#This Row],[UID]])))</f>
        <v>0</v>
      </c>
      <c r="CD49"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49" s="100" t="str">
        <f aca="false">IF(NOT(Tasks[[#This Row],[_IsLeaf]]=1),"",MIN(ProjectFinish,IF(N(Tasks[[#This Row],[Deadline]])&gt;0,Tasks[[#This Row],[Deadline]],2958465),Tasks[[#This Row],[_SuccessorFinishLimit]]))</f>
        <v/>
      </c>
      <c r="CF49" s="100" t="str">
        <f aca="false">IF(NOT(Tasks[[#This Row],[_IsLeaf]]=1),"",IF(N(Tasks[[#This Row],[Duration]])&lt;=0,Tasks[[#This Row],[_LeafLateFinish]],WORKDAY.INTL(Tasks[[#This Row],[_LeafLateFinish]],-(Tasks[[#This Row],[Duration]]-1),WorkWeek,Holidays)))</f>
        <v/>
      </c>
      <c r="CG4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49" s="99" t="b">
        <f aca="false">AND(Tasks[[#This Row],[_IsLeaf]]=1,Tasks[[#This Row],[_LeafProgress]]&lt;1,N(Tasks[[#This Row],[_LeafTotalSlack]])&lt;=CriticalSlackDays)</f>
        <v>0</v>
      </c>
      <c r="CI49" s="100" t="str">
        <f aca="false">IF(Tasks[[#This Row],[Task Name]]="","",IF(Tasks[[#This Row],[_IsSummary]],MIN(INDEX(Tasks[_LeafCalcStart],Tasks[[#This Row],[_Row]]+1):INDEX(Tasks[_LeafCalcStart],Tasks[[#This Row],[_Row]]+Tasks[[#This Row],[_Descendants]])),Tasks[[#This Row],[_LeafCalcStart]]))</f>
        <v/>
      </c>
      <c r="CJ49" s="100" t="str">
        <f aca="false">IF(Tasks[[#This Row],[Task Name]]="","",IF(Tasks[[#This Row],[_IsSummary]],MAX(INDEX(Tasks[_LeafCalcFinish],Tasks[[#This Row],[_Row]]+1):INDEX(Tasks[_LeafCalcFinish],Tasks[[#This Row],[_Row]]+Tasks[[#This Row],[_Descendants]])),Tasks[[#This Row],[_LeafCalcFinish]]))</f>
        <v/>
      </c>
      <c r="CK4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4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49"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49"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49"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49"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49" s="41" t="n">
        <f aca="false">IF(AND(Tasks[[#This Row],[_IsLeaf]]=1,Tasks[[#This Row],[_LeafWork]]&gt;0),NETWORKDAYS.INTL(ProjectStart,Tasks[[#This Row],[_LeafFcstStart]],WorkWeek,Holidays),0)</f>
        <v>0</v>
      </c>
      <c r="CR49" s="41" t="n">
        <f aca="false">IF(AND(Tasks[[#This Row],[_IsLeaf]]=1,Tasks[[#This Row],[_LeafWork]]&gt;0),MAX(Tasks[[#This Row],[_StartWorkday]],NETWORKDAYS.INTL(ProjectStart,Tasks[[#This Row],[_LeafFcstFinish]],WorkWeek,Holidays)),0)</f>
        <v>0</v>
      </c>
      <c r="CS49" s="41" t="n">
        <f aca="false">IF(AND(Tasks[[#This Row],[_IsLeaf]]=1,Tasks[[#This Row],[_LeafWork]]&gt;0),Tasks[[#This Row],[_LeafWork]]/(Tasks[[#This Row],[_FinishWorkday]]-Tasks[[#This Row],[_StartWorkday]]+1),0)</f>
        <v>0</v>
      </c>
      <c r="CT49" s="41" t="n">
        <f aca="false">Tasks[[#This Row],[_WorkPerWorkday]]*(Tasks[[#This Row],[_StartWorkday]]-1)</f>
        <v>-0</v>
      </c>
      <c r="CU49" s="41" t="n">
        <f aca="false">IF(Tasks[[#This Row],[_IsLeaf]]=1,MAX(N(Tasks[[#This Row],[Duration]]),0.1),0)</f>
        <v>0</v>
      </c>
      <c r="CV49" s="41" t="n">
        <f aca="false">Tasks[[#This Row],[_WeightDur]]*Tasks[[#This Row],[_LeafProgress]]</f>
        <v>0</v>
      </c>
      <c r="CW4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4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4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4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49" s="41" t="str">
        <f aca="false">IF(Tasks[[#This Row],[Task Name]]="","",Tasks[[#This Row],[_Pred1UIDText]]&amp;IF(AND(Tasks[[#This Row],[_Pred1UIDText]]&lt;&gt;"",Tasks[[#This Row],[_Pred2UIDText]]&lt;&gt;""),",","")&amp;Tasks[[#This Row],[_Pred2UIDText]])</f>
        <v/>
      </c>
      <c r="DB49" s="41" t="str">
        <f aca="false">IF(AND(Tasks[[#This Row],[_IsLeaf]]=1,N(Tasks[[#This Row],[Duration]])=0,Tasks[[#This Row],[_LeafProgress]]&lt;1),Tasks[[#This Row],[_LeafFcstFinish]]+Tasks[[#This Row],[_Row]]/100000,"")</f>
        <v/>
      </c>
      <c r="DC4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49" s="41" t="n">
        <f aca="false">IF(NOT(Tasks[[#This Row],[_IsLeaf]]=1),0,IF(Tasks[[#This Row],[Baseline Cost]]="",Tasks[[#This Row],[_LeafCost]],N(Tasks[[#This Row],[Baseline Cost]])))</f>
        <v>0</v>
      </c>
      <c r="DE49" s="41" t="n">
        <f aca="false">Tasks[[#This Row],[_LeafBudget]]*Tasks[[#This Row],[_PlannedPct]]</f>
        <v>0</v>
      </c>
      <c r="DF49" s="41" t="n">
        <f aca="false">Tasks[[#This Row],[_LeafBudget]]*Tasks[[#This Row],[_LeafProgress]]</f>
        <v>0</v>
      </c>
      <c r="DG49" s="41" t="n">
        <f aca="false">IF(NOT(Tasks[[#This Row],[_IsLeaf]]=1),0,IF(Tasks[[#This Row],[Actual Cost]]="",Tasks[[#This Row],[_LeafCost]]*Tasks[[#This Row],[_LeafProgress]],N(Tasks[[#This Row],[Actual Cost]])))</f>
        <v>0</v>
      </c>
      <c r="DH49" s="41" t="str">
        <f aca="false">IF(Tasks[[#This Row],[Task Name]]="","",LEFT(Tasks[[#This Row],[WBS]],FIND(".",Tasks[[#This Row],[WBS]]&amp;".")-1))</f>
        <v/>
      </c>
      <c r="DI49" s="41" t="str">
        <f aca="false">IF(AND(Tasks[[#This Row],[Task Name]]&lt;&gt;"",Tasks[[#This Row],[_Level]]=1),Tasks[[#This Row],[_Row]],"")</f>
        <v/>
      </c>
      <c r="DJ49" s="41" t="str">
        <f aca="false">IF(AND(Tasks[[#This Row],[_IsLeaf]]=1,N(Tasks[[#This Row],[Duration]])=0),Tasks[[#This Row],[Planned Finish]]+Tasks[[#This Row],[_Row]]/100000,"")</f>
        <v/>
      </c>
      <c r="DK49" s="41" t="str">
        <f aca="false">IF(AND(Tasks[[#This Row],[_IsLeaf]]=1,Tasks[[#This Row],[_LeafProgress]]&lt;1,OR(N(Tasks[[#This Row],[Finish Var]])&gt;0,Tasks[[#This Row],[Status]]="Late Start")),MAX(0,Tasks[[#This Row],[Finish Var]])+1-Tasks[[#This Row],[_Row]]/1000000,"")</f>
        <v/>
      </c>
      <c r="DL49" s="41" t="str">
        <f aca="false">IF(AND(Tasks[[#This Row],[_IsLeaf]]=1,N(Tasks[[#This Row],[Actual Start]])=0,Tasks[[#This Row],[_LeafFcstStart]]&gt;=StatusDate,Tasks[[#This Row],[_LeafFcstStart]]&lt;=LookaheadEnd),Tasks[[#This Row],[_LeafFcstStart]]+Tasks[[#This Row],[_Row]]/100000,"")</f>
        <v/>
      </c>
      <c r="DM49" s="41" t="str">
        <f aca="false">IF(AND(Tasks[[#This Row],[_IsLeaf]]=1,Tasks[[#This Row],[_LeafProgress]]&lt;1,Tasks[[#This Row],[_LeafFcstFinish]]&gt;=StatusDate,Tasks[[#This Row],[_LeafFcstFinish]]&lt;=LookaheadEnd),Tasks[[#This Row],[_LeafFcstFinish]]+Tasks[[#This Row],[_Row]]/100000,"")</f>
        <v/>
      </c>
      <c r="DN49" s="41" t="str">
        <f aca="false">IF(Tasks[[#This Row],[_LeafCritical]],Tasks[[#This Row],[_LeafFcstStart]]+Tasks[[#This Row],[_Row]]/100000,"")</f>
        <v/>
      </c>
      <c r="DO49" s="41" t="n">
        <f aca="false">Tasks[[#This Row],[_LeafWork]]*Tasks[[#This Row],[_LeafProgress]]</f>
        <v>0</v>
      </c>
      <c r="DP49" s="100" t="str">
        <f aca="false">IF(AND(Tasks[[#This Row],[_IsLeaf]]=1,Tasks[[#This Row],[_LeafProgress]]&gt;=1),IF(N(Tasks[[#This Row],[Actual Finish]])&gt;0,Tasks[[#This Row],[Actual Finish]],Tasks[[#This Row],[_LeafFcstFinish]]),"")</f>
        <v/>
      </c>
      <c r="DQ49" s="41" t="n">
        <f aca="false">IF(Tasks[[#This Row],[_IsLeaf]]=1,N(Tasks[[#This Row],[Story Points]]),0)</f>
        <v>0</v>
      </c>
      <c r="DR49" s="41" t="str">
        <f aca="false">IF(AND(Tasks[[#This Row],[_IsLeaf]]=1,CurrentSprint&lt;&gt;"",Tasks[[#This Row],[Sprint]]=CurrentSprint),Tasks[[#This Row],[_Row]],"")</f>
        <v/>
      </c>
    </row>
    <row r="50" customFormat="false" ht="15" hidden="false" customHeight="false" outlineLevel="0" collapsed="false">
      <c r="A50" s="28" t="str">
        <f aca="false">IF(Tasks[[#This Row],[Task Name]]="","",COUNTA(Tasks[[#Headers],[Task Name]]:Tasks[[#This Row],[Task Name]])-1)</f>
        <v/>
      </c>
      <c r="B50" s="29" t="n">
        <v>45</v>
      </c>
      <c r="C5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0" s="29"/>
      <c r="E50" s="30"/>
      <c r="F50" s="29"/>
      <c r="G50" s="29"/>
      <c r="H50" s="29"/>
      <c r="I50" s="29"/>
      <c r="J50" s="29"/>
      <c r="K50" s="29"/>
      <c r="L50" s="29"/>
      <c r="M50" s="29"/>
      <c r="N50" s="73"/>
      <c r="O50" s="73"/>
      <c r="P50" s="25" t="str">
        <f aca="false">IF(Tasks[[#This Row],[Task Name]]="","",IF(N(Tasks[[#This Row],[Baseline Start]])&gt;0,Tasks[[#This Row],[Baseline Start]],Tasks[[#This Row],[_CalcStart]]))</f>
        <v/>
      </c>
      <c r="Q50" s="25" t="str">
        <f aca="false">IF(Tasks[[#This Row],[Task Name]]="","",IF(N(Tasks[[#This Row],[Baseline Finish]])&gt;0,Tasks[[#This Row],[Baseline Finish]],Tasks[[#This Row],[_CalcFinish]]))</f>
        <v/>
      </c>
      <c r="R50" s="73"/>
      <c r="S50" s="73"/>
      <c r="T50" s="25" t="str">
        <f aca="false">IF(Tasks[[#This Row],[Task Name]]="","",IF(Tasks[[#This Row],[_IsSummary]],MIN(INDEX(Tasks[_LeafFcstStart],Tasks[[#This Row],[_Row]]+1):INDEX(Tasks[_LeafFcstStart],Tasks[[#This Row],[_Row]]+Tasks[[#This Row],[_Descendants]])),Tasks[[#This Row],[_LeafFcstStart]]))</f>
        <v/>
      </c>
      <c r="U50" s="25" t="str">
        <f aca="false">IF(Tasks[[#This Row],[Task Name]]="","",IF(Tasks[[#This Row],[_IsSummary]],MAX(INDEX(Tasks[_LeafFcstFinish],Tasks[[#This Row],[_Row]]+1):INDEX(Tasks[_LeafFcstFinish],Tasks[[#This Row],[_Row]]+Tasks[[#This Row],[_Descendants]])),Tasks[[#This Row],[_LeafFcstFinish]]))</f>
        <v/>
      </c>
      <c r="V5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5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0" s="25" t="str">
        <f aca="false">IF(Tasks[[#This Row],[Task Name]]="","",IF(Tasks[[#This Row],[_IsSummary]],MIN(INDEX(Tasks[_LeafLateStart],Tasks[[#This Row],[_Row]]+1):INDEX(Tasks[_LeafLateStart],Tasks[[#This Row],[_Row]]+Tasks[[#This Row],[_Descendants]])),Tasks[[#This Row],[_LeafLateStart]]))</f>
        <v/>
      </c>
      <c r="Y50" s="25" t="str">
        <f aca="false">IF(Tasks[[#This Row],[Task Name]]="","",IF(Tasks[[#This Row],[_IsSummary]],MAX(INDEX(Tasks[_LeafLateFinish],Tasks[[#This Row],[_Row]]+1):INDEX(Tasks[_LeafLateFinish],Tasks[[#This Row],[_Row]]+Tasks[[#This Row],[_Descendants]])),Tasks[[#This Row],[_LeafLateFinish]]))</f>
        <v/>
      </c>
      <c r="Z50" s="43" t="str">
        <f aca="false">IF(Tasks[[#This Row],[Task Name]]="","",IF(Tasks[[#This Row],[_IsSummary]],MIN(INDEX(Tasks[_LeafTotalSlack],Tasks[[#This Row],[_Row]]+1):INDEX(Tasks[_LeafTotalSlack],Tasks[[#This Row],[_Row]]+Tasks[[#This Row],[_Descendants]])),Tasks[[#This Row],[_LeafTotalSlack]]))</f>
        <v/>
      </c>
      <c r="AA5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0" s="28" t="str">
        <f aca="false">IF(Tasks[[#This Row],[Task Name]]="","",IF(IF(Tasks[[#This Row],[_IsSummary]],COUNTIF(INDEX(Tasks[_LeafCritical],Tasks[[#This Row],[_Row]]+1):INDEX(Tasks[_LeafCritical],Tasks[[#This Row],[_Row]]+Tasks[[#This Row],[_Descendants]]),TRUE())&gt;0,Tasks[[#This Row],[_LeafCritical]]),"Yes",""))</f>
        <v/>
      </c>
      <c r="AC5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0" s="24" t="str">
        <f aca="false">IF(Tasks[[#This Row],[Task Name]]="","",TRIM(IF(Tasks[[#This Row],[_Pred1Problem]]&lt;&gt;"","Pred 1: "&amp;Tasks[[#This Row],[_Pred1Problem]]&amp;". ","")&amp;IF(Tasks[[#This Row],[_Pred2Problem]]&lt;&gt;"","Pred 2: "&amp;Tasks[[#This Row],[_Pred2Problem]]&amp;".","")))</f>
        <v/>
      </c>
      <c r="AE50" s="88"/>
      <c r="AF50"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0" s="28" t="str">
        <f aca="false">IF(Tasks[[#This Row],[Task Name]]="","",IF(Tasks[[#This Row],[Progress]]&gt;=1,"Complete",IF(OR(N(Tasks[[#This Row],[Actual Start]])&gt;0,Tasks[[#This Row],[Progress]]&gt;0),IF(Tasks[[#This Row],[Finish Var]]&gt;0,"Behind","In Progress"),IF(Tasks[[#This Row],[Planned Start]]&lt;StatusDate,"Late Start","Not Started"))))</f>
        <v/>
      </c>
      <c r="AH50" s="30"/>
      <c r="AI50" s="88"/>
      <c r="AJ50" s="95" t="str">
        <f aca="false">IF(Tasks[[#This Row],[Task Name]]="","",IF(Tasks[[#This Row],[_IsSummary]],SUM(INDEX(Tasks[_LeafWork],Tasks[[#This Row],[_Row]]+1):INDEX(Tasks[_LeafWork],Tasks[[#This Row],[_Row]]+Tasks[[#This Row],[_Descendants]])),Tasks[[#This Row],[_LeafWork]]))</f>
        <v/>
      </c>
      <c r="AK50" s="96" t="str">
        <f aca="false">IF(Tasks[[#This Row],[Task Name]]="","",IF(Tasks[[#This Row],[_IsSummary]],SUM(INDEX(Tasks[_LeafCost],Tasks[[#This Row],[_Row]]+1):INDEX(Tasks[_LeafCost],Tasks[[#This Row],[_Row]]+Tasks[[#This Row],[_Descendants]])),Tasks[[#This Row],[_LeafCost]]))</f>
        <v/>
      </c>
      <c r="AL50" s="97"/>
      <c r="AM50" s="29"/>
      <c r="AN5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50" s="82"/>
      <c r="AP50" s="24" t="str">
        <f aca="false">IF(Tasks[[#This Row],[Task Name]]="","",Tasks[[#This Row],[_Pred1IDText]]&amp;IF(AND(Tasks[[#This Row],[_Pred1IDText]]&lt;&gt;"",Tasks[[#This Row],[_Pred2IDText]]&lt;&gt;""),",","")&amp;Tasks[[#This Row],[_Pred2IDText]])</f>
        <v/>
      </c>
      <c r="AQ50" s="30"/>
      <c r="AR50" s="25" t="str">
        <f aca="false">IF(Tasks[[#This Row],[Task Name]]="","",Tasks[[#This Row],[Forecast Start]])</f>
        <v/>
      </c>
      <c r="AS50" s="25" t="str">
        <f aca="false">IF(Tasks[[#This Row],[Task Name]]="","",Tasks[[#This Row],[Forecast Finish]])</f>
        <v/>
      </c>
      <c r="AT50" s="28" t="str">
        <f aca="false">IF(Tasks[[#This Row],[Task Name]]="","",IF(Tasks[[#This Row],[_IsSummary]],NETWORKDAYS.INTL(Tasks[[#This Row],[Forecast Start]],Tasks[[#This Row],[Forecast Finish]],WorkWeek,Holidays),N(Tasks[[#This Row],[Duration]])))</f>
        <v/>
      </c>
      <c r="AU50" s="95" t="str">
        <f aca="false">IF(Tasks[[#This Row],[Task Name]]="","",Tasks[[#This Row],[Work]])</f>
        <v/>
      </c>
      <c r="AV50" s="96" t="str">
        <f aca="false">IF(Tasks[[#This Row],[Task Name]]="","",Tasks[[#This Row],[Cost]])</f>
        <v/>
      </c>
      <c r="AW50" s="73"/>
      <c r="AX50" s="73"/>
      <c r="AY50" s="29"/>
      <c r="AZ50" s="98"/>
      <c r="BA50" s="97"/>
      <c r="BB50" s="28" t="str">
        <f aca="false">IF(OR(Tasks[[#This Row],[Task Name]]="",Tasks[[#This Row],[Baseline Duration]]=""),"",Tasks[[#This Row],[BL Source Duration]]-N(Tasks[[#This Row],[Baseline Duration]]))</f>
        <v/>
      </c>
      <c r="BC50" s="95" t="str">
        <f aca="false">IF(OR(Tasks[[#This Row],[Task Name]]="",Tasks[[#This Row],[Baseline Work]]=""),"",Tasks[[#This Row],[Work]]-N(Tasks[[#This Row],[Baseline Work]]))</f>
        <v/>
      </c>
      <c r="BD50" s="96" t="str">
        <f aca="false">IF(OR(Tasks[[#This Row],[Task Name]]="",Tasks[[#This Row],[Baseline Cost]]=""),"",Tasks[[#This Row],[Cost]]-N(Tasks[[#This Row],[Baseline Cost]]))</f>
        <v/>
      </c>
      <c r="BE50" s="96" t="str">
        <f aca="false">IF(Tasks[[#This Row],[Task Name]]="","",IF(Tasks[[#This Row],[_IsSummary]],SUM(INDEX(Tasks[_LeafBudget],Tasks[[#This Row],[_Row]]+1):INDEX(Tasks[_LeafBudget],Tasks[[#This Row],[_Row]]+Tasks[[#This Row],[_Descendants]])),Tasks[[#This Row],[_LeafBudget]]))</f>
        <v/>
      </c>
      <c r="BF50" s="96" t="str">
        <f aca="false">IF(Tasks[[#This Row],[Task Name]]="","",IF(Tasks[[#This Row],[_IsSummary]],SUM(INDEX(Tasks[_LeafPV],Tasks[[#This Row],[_Row]]+1):INDEX(Tasks[_LeafPV],Tasks[[#This Row],[_Row]]+Tasks[[#This Row],[_Descendants]])),Tasks[[#This Row],[_LeafPV]]))</f>
        <v/>
      </c>
      <c r="BG50" s="96" t="str">
        <f aca="false">IF(Tasks[[#This Row],[Task Name]]="","",IF(Tasks[[#This Row],[_IsSummary]],SUM(INDEX(Tasks[_LeafEV],Tasks[[#This Row],[_Row]]+1):INDEX(Tasks[_LeafEV],Tasks[[#This Row],[_Row]]+Tasks[[#This Row],[_Descendants]])),Tasks[[#This Row],[_LeafEV]]))</f>
        <v/>
      </c>
      <c r="BH50" s="96" t="str">
        <f aca="false">IF(Tasks[[#This Row],[Task Name]]="","",IF(Tasks[[#This Row],[_IsSummary]],SUM(INDEX(Tasks[_LeafAC],Tasks[[#This Row],[_Row]]+1):INDEX(Tasks[_LeafAC],Tasks[[#This Row],[_Row]]+Tasks[[#This Row],[_Descendants]])),Tasks[[#This Row],[_LeafAC]]))</f>
        <v/>
      </c>
      <c r="BI50" s="41" t="str">
        <f aca="false">IF(Tasks[[#This Row],[Task Name]]="","",MAX(1,N(Tasks[[#This Row],[Level]])))</f>
        <v/>
      </c>
      <c r="BJ50" s="41" t="n">
        <f aca="false">ROW()-ROW(Tasks[[#Headers],[ID]])</f>
        <v>45</v>
      </c>
      <c r="BK50" s="41" t="n">
        <f aca="false">IF(OR(Tasks[[#This Row],[Task Name]]="",Tasks[[#This Row],[_Level]]&lt;=1),0,IFERROR(LOOKUP(2,1/(Tasks[[#Headers],[_Level]]:Tasks[[#This Row],[_Level]]=Tasks[[#This Row],[_Level]]-1),ROW(Tasks[[#Headers],[_Level]]:Tasks[[#This Row],[_Level]])),0))</f>
        <v>0</v>
      </c>
      <c r="BL50" s="41" t="n">
        <f aca="false">IFERROR(N(INDEX(Tasks[_Level],Tasks[[#This Row],[_Row]]+1)),0)</f>
        <v>0</v>
      </c>
      <c r="BM50" s="99" t="b">
        <f aca="false">AND(Tasks[[#This Row],[Task Name]]&lt;&gt;"",Tasks[[#This Row],[_NextLevel]]&gt;Tasks[[#This Row],[_Level]])</f>
        <v>0</v>
      </c>
      <c r="BN50" s="41" t="n">
        <f aca="false">IF(Tasks[[#This Row],[_IsSummary]],COUNTIF(Tasks[WBS],Tasks[[#This Row],[WBS]]&amp;".*"),0)</f>
        <v>0</v>
      </c>
      <c r="BO50" s="41" t="n">
        <f aca="false">IF(AND(Tasks[[#This Row],[Task Name]]&lt;&gt;"",NOT(Tasks[[#This Row],[_IsSummary]])),1,0)</f>
        <v>0</v>
      </c>
      <c r="BP50" s="41" t="n">
        <f aca="false">IF(N(Tasks[[#This Row],[Pred1 UID]])=0,0,IFERROR(MATCH(Tasks[[#This Row],[Pred1 UID]],Tasks[UID],0),-1))</f>
        <v>0</v>
      </c>
      <c r="BQ50" s="41" t="n">
        <f aca="false">IF(N(Tasks[[#This Row],[Pred2 UID]])=0,0,IFERROR(MATCH(Tasks[[#This Row],[Pred2 UID]],Tasks[UID],0),-1))</f>
        <v>0</v>
      </c>
      <c r="BR50"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50" s="100" t="str">
        <f aca="false">IF(NOT(Tasks[[#This Row],[_IsLeaf]]=1),"",IF(N(Tasks[[#This Row],[Duration]])&lt;=0,Tasks[[#This Row],[_LeafCalcStart]],WORKDAY.INTL(Tasks[[#This Row],[_LeafCalcStart]],Tasks[[#This Row],[Duration]]-1,WorkWeek,Holidays)))</f>
        <v/>
      </c>
      <c r="BT50"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50"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50" s="41" t="n">
        <f aca="false">IF(NOT(Tasks[[#This Row],[_IsLeaf]]=1),0,IF(N(Tasks[[#This Row],[Actual Finish]])&gt;0,1,MIN(1,N(Tasks[[#This Row],[% Complete]]))))</f>
        <v>0</v>
      </c>
      <c r="BW50" s="41" t="n">
        <f aca="false">IF(OR(NOT(Tasks[[#This Row],[_IsLeaf]]=1),Tasks[[#This Row],[Resource]]=""),0,N(Tasks[[#This Row],[Duration]])*HoursPerDay*IF(Tasks[[#This Row],[Units]]="",DefaultUnits,Tasks[[#This Row],[Units]]))</f>
        <v>0</v>
      </c>
      <c r="BX50" s="41" t="n">
        <f aca="false">IF(Tasks[[#This Row],[_LeafWork]]=0,0,Tasks[[#This Row],[_LeafWork]]*IFERROR(INDEX(res_Rate,MATCH(Tasks[[#This Row],[Resource]],res_Name,0)),0))</f>
        <v>0</v>
      </c>
      <c r="BY5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5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5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5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50" s="41" t="n">
        <f aca="false">IF(NOT(Tasks[[#This Row],[_IsLeaf]]=1),0,MAX(_xlfn.MAXIFS(Tasks[_Row],Tasks[Pred1 UID],Tasks[[#This Row],[UID]]),_xlfn.MAXIFS(Tasks[_Row],Tasks[Pred2 UID],Tasks[[#This Row],[UID]])))</f>
        <v>0</v>
      </c>
      <c r="CD50"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50" s="100" t="str">
        <f aca="false">IF(NOT(Tasks[[#This Row],[_IsLeaf]]=1),"",MIN(ProjectFinish,IF(N(Tasks[[#This Row],[Deadline]])&gt;0,Tasks[[#This Row],[Deadline]],2958465),Tasks[[#This Row],[_SuccessorFinishLimit]]))</f>
        <v/>
      </c>
      <c r="CF50" s="100" t="str">
        <f aca="false">IF(NOT(Tasks[[#This Row],[_IsLeaf]]=1),"",IF(N(Tasks[[#This Row],[Duration]])&lt;=0,Tasks[[#This Row],[_LeafLateFinish]],WORKDAY.INTL(Tasks[[#This Row],[_LeafLateFinish]],-(Tasks[[#This Row],[Duration]]-1),WorkWeek,Holidays)))</f>
        <v/>
      </c>
      <c r="CG5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50" s="99" t="b">
        <f aca="false">AND(Tasks[[#This Row],[_IsLeaf]]=1,Tasks[[#This Row],[_LeafProgress]]&lt;1,N(Tasks[[#This Row],[_LeafTotalSlack]])&lt;=CriticalSlackDays)</f>
        <v>0</v>
      </c>
      <c r="CI50" s="100" t="str">
        <f aca="false">IF(Tasks[[#This Row],[Task Name]]="","",IF(Tasks[[#This Row],[_IsSummary]],MIN(INDEX(Tasks[_LeafCalcStart],Tasks[[#This Row],[_Row]]+1):INDEX(Tasks[_LeafCalcStart],Tasks[[#This Row],[_Row]]+Tasks[[#This Row],[_Descendants]])),Tasks[[#This Row],[_LeafCalcStart]]))</f>
        <v/>
      </c>
      <c r="CJ50" s="100" t="str">
        <f aca="false">IF(Tasks[[#This Row],[Task Name]]="","",IF(Tasks[[#This Row],[_IsSummary]],MAX(INDEX(Tasks[_LeafCalcFinish],Tasks[[#This Row],[_Row]]+1):INDEX(Tasks[_LeafCalcFinish],Tasks[[#This Row],[_Row]]+Tasks[[#This Row],[_Descendants]])),Tasks[[#This Row],[_LeafCalcFinish]]))</f>
        <v/>
      </c>
      <c r="CK5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5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50"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50"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50"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50"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50" s="41" t="n">
        <f aca="false">IF(AND(Tasks[[#This Row],[_IsLeaf]]=1,Tasks[[#This Row],[_LeafWork]]&gt;0),NETWORKDAYS.INTL(ProjectStart,Tasks[[#This Row],[_LeafFcstStart]],WorkWeek,Holidays),0)</f>
        <v>0</v>
      </c>
      <c r="CR50" s="41" t="n">
        <f aca="false">IF(AND(Tasks[[#This Row],[_IsLeaf]]=1,Tasks[[#This Row],[_LeafWork]]&gt;0),MAX(Tasks[[#This Row],[_StartWorkday]],NETWORKDAYS.INTL(ProjectStart,Tasks[[#This Row],[_LeafFcstFinish]],WorkWeek,Holidays)),0)</f>
        <v>0</v>
      </c>
      <c r="CS50" s="41" t="n">
        <f aca="false">IF(AND(Tasks[[#This Row],[_IsLeaf]]=1,Tasks[[#This Row],[_LeafWork]]&gt;0),Tasks[[#This Row],[_LeafWork]]/(Tasks[[#This Row],[_FinishWorkday]]-Tasks[[#This Row],[_StartWorkday]]+1),0)</f>
        <v>0</v>
      </c>
      <c r="CT50" s="41" t="n">
        <f aca="false">Tasks[[#This Row],[_WorkPerWorkday]]*(Tasks[[#This Row],[_StartWorkday]]-1)</f>
        <v>-0</v>
      </c>
      <c r="CU50" s="41" t="n">
        <f aca="false">IF(Tasks[[#This Row],[_IsLeaf]]=1,MAX(N(Tasks[[#This Row],[Duration]]),0.1),0)</f>
        <v>0</v>
      </c>
      <c r="CV50" s="41" t="n">
        <f aca="false">Tasks[[#This Row],[_WeightDur]]*Tasks[[#This Row],[_LeafProgress]]</f>
        <v>0</v>
      </c>
      <c r="CW5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5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5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5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50" s="41" t="str">
        <f aca="false">IF(Tasks[[#This Row],[Task Name]]="","",Tasks[[#This Row],[_Pred1UIDText]]&amp;IF(AND(Tasks[[#This Row],[_Pred1UIDText]]&lt;&gt;"",Tasks[[#This Row],[_Pred2UIDText]]&lt;&gt;""),",","")&amp;Tasks[[#This Row],[_Pred2UIDText]])</f>
        <v/>
      </c>
      <c r="DB50" s="41" t="str">
        <f aca="false">IF(AND(Tasks[[#This Row],[_IsLeaf]]=1,N(Tasks[[#This Row],[Duration]])=0,Tasks[[#This Row],[_LeafProgress]]&lt;1),Tasks[[#This Row],[_LeafFcstFinish]]+Tasks[[#This Row],[_Row]]/100000,"")</f>
        <v/>
      </c>
      <c r="DC5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50" s="41" t="n">
        <f aca="false">IF(NOT(Tasks[[#This Row],[_IsLeaf]]=1),0,IF(Tasks[[#This Row],[Baseline Cost]]="",Tasks[[#This Row],[_LeafCost]],N(Tasks[[#This Row],[Baseline Cost]])))</f>
        <v>0</v>
      </c>
      <c r="DE50" s="41" t="n">
        <f aca="false">Tasks[[#This Row],[_LeafBudget]]*Tasks[[#This Row],[_PlannedPct]]</f>
        <v>0</v>
      </c>
      <c r="DF50" s="41" t="n">
        <f aca="false">Tasks[[#This Row],[_LeafBudget]]*Tasks[[#This Row],[_LeafProgress]]</f>
        <v>0</v>
      </c>
      <c r="DG50" s="41" t="n">
        <f aca="false">IF(NOT(Tasks[[#This Row],[_IsLeaf]]=1),0,IF(Tasks[[#This Row],[Actual Cost]]="",Tasks[[#This Row],[_LeafCost]]*Tasks[[#This Row],[_LeafProgress]],N(Tasks[[#This Row],[Actual Cost]])))</f>
        <v>0</v>
      </c>
      <c r="DH50" s="41" t="str">
        <f aca="false">IF(Tasks[[#This Row],[Task Name]]="","",LEFT(Tasks[[#This Row],[WBS]],FIND(".",Tasks[[#This Row],[WBS]]&amp;".")-1))</f>
        <v/>
      </c>
      <c r="DI50" s="41" t="str">
        <f aca="false">IF(AND(Tasks[[#This Row],[Task Name]]&lt;&gt;"",Tasks[[#This Row],[_Level]]=1),Tasks[[#This Row],[_Row]],"")</f>
        <v/>
      </c>
      <c r="DJ50" s="41" t="str">
        <f aca="false">IF(AND(Tasks[[#This Row],[_IsLeaf]]=1,N(Tasks[[#This Row],[Duration]])=0),Tasks[[#This Row],[Planned Finish]]+Tasks[[#This Row],[_Row]]/100000,"")</f>
        <v/>
      </c>
      <c r="DK50" s="41" t="str">
        <f aca="false">IF(AND(Tasks[[#This Row],[_IsLeaf]]=1,Tasks[[#This Row],[_LeafProgress]]&lt;1,OR(N(Tasks[[#This Row],[Finish Var]])&gt;0,Tasks[[#This Row],[Status]]="Late Start")),MAX(0,Tasks[[#This Row],[Finish Var]])+1-Tasks[[#This Row],[_Row]]/1000000,"")</f>
        <v/>
      </c>
      <c r="DL50" s="41" t="str">
        <f aca="false">IF(AND(Tasks[[#This Row],[_IsLeaf]]=1,N(Tasks[[#This Row],[Actual Start]])=0,Tasks[[#This Row],[_LeafFcstStart]]&gt;=StatusDate,Tasks[[#This Row],[_LeafFcstStart]]&lt;=LookaheadEnd),Tasks[[#This Row],[_LeafFcstStart]]+Tasks[[#This Row],[_Row]]/100000,"")</f>
        <v/>
      </c>
      <c r="DM50" s="41" t="str">
        <f aca="false">IF(AND(Tasks[[#This Row],[_IsLeaf]]=1,Tasks[[#This Row],[_LeafProgress]]&lt;1,Tasks[[#This Row],[_LeafFcstFinish]]&gt;=StatusDate,Tasks[[#This Row],[_LeafFcstFinish]]&lt;=LookaheadEnd),Tasks[[#This Row],[_LeafFcstFinish]]+Tasks[[#This Row],[_Row]]/100000,"")</f>
        <v/>
      </c>
      <c r="DN50" s="41" t="str">
        <f aca="false">IF(Tasks[[#This Row],[_LeafCritical]],Tasks[[#This Row],[_LeafFcstStart]]+Tasks[[#This Row],[_Row]]/100000,"")</f>
        <v/>
      </c>
      <c r="DO50" s="41" t="n">
        <f aca="false">Tasks[[#This Row],[_LeafWork]]*Tasks[[#This Row],[_LeafProgress]]</f>
        <v>0</v>
      </c>
      <c r="DP50" s="100" t="str">
        <f aca="false">IF(AND(Tasks[[#This Row],[_IsLeaf]]=1,Tasks[[#This Row],[_LeafProgress]]&gt;=1),IF(N(Tasks[[#This Row],[Actual Finish]])&gt;0,Tasks[[#This Row],[Actual Finish]],Tasks[[#This Row],[_LeafFcstFinish]]),"")</f>
        <v/>
      </c>
      <c r="DQ50" s="41" t="n">
        <f aca="false">IF(Tasks[[#This Row],[_IsLeaf]]=1,N(Tasks[[#This Row],[Story Points]]),0)</f>
        <v>0</v>
      </c>
      <c r="DR50" s="41" t="str">
        <f aca="false">IF(AND(Tasks[[#This Row],[_IsLeaf]]=1,CurrentSprint&lt;&gt;"",Tasks[[#This Row],[Sprint]]=CurrentSprint),Tasks[[#This Row],[_Row]],"")</f>
        <v/>
      </c>
    </row>
    <row r="51" customFormat="false" ht="15" hidden="false" customHeight="false" outlineLevel="0" collapsed="false">
      <c r="A51" s="28" t="str">
        <f aca="false">IF(Tasks[[#This Row],[Task Name]]="","",COUNTA(Tasks[[#Headers],[Task Name]]:Tasks[[#This Row],[Task Name]])-1)</f>
        <v/>
      </c>
      <c r="B51" s="29" t="n">
        <v>46</v>
      </c>
      <c r="C5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1" s="29"/>
      <c r="E51" s="30"/>
      <c r="F51" s="29"/>
      <c r="G51" s="29"/>
      <c r="H51" s="29"/>
      <c r="I51" s="29"/>
      <c r="J51" s="29"/>
      <c r="K51" s="29"/>
      <c r="L51" s="29"/>
      <c r="M51" s="29"/>
      <c r="N51" s="73"/>
      <c r="O51" s="73"/>
      <c r="P51" s="25" t="str">
        <f aca="false">IF(Tasks[[#This Row],[Task Name]]="","",IF(N(Tasks[[#This Row],[Baseline Start]])&gt;0,Tasks[[#This Row],[Baseline Start]],Tasks[[#This Row],[_CalcStart]]))</f>
        <v/>
      </c>
      <c r="Q51" s="25" t="str">
        <f aca="false">IF(Tasks[[#This Row],[Task Name]]="","",IF(N(Tasks[[#This Row],[Baseline Finish]])&gt;0,Tasks[[#This Row],[Baseline Finish]],Tasks[[#This Row],[_CalcFinish]]))</f>
        <v/>
      </c>
      <c r="R51" s="73"/>
      <c r="S51" s="73"/>
      <c r="T51" s="25" t="str">
        <f aca="false">IF(Tasks[[#This Row],[Task Name]]="","",IF(Tasks[[#This Row],[_IsSummary]],MIN(INDEX(Tasks[_LeafFcstStart],Tasks[[#This Row],[_Row]]+1):INDEX(Tasks[_LeafFcstStart],Tasks[[#This Row],[_Row]]+Tasks[[#This Row],[_Descendants]])),Tasks[[#This Row],[_LeafFcstStart]]))</f>
        <v/>
      </c>
      <c r="U51" s="25" t="str">
        <f aca="false">IF(Tasks[[#This Row],[Task Name]]="","",IF(Tasks[[#This Row],[_IsSummary]],MAX(INDEX(Tasks[_LeafFcstFinish],Tasks[[#This Row],[_Row]]+1):INDEX(Tasks[_LeafFcstFinish],Tasks[[#This Row],[_Row]]+Tasks[[#This Row],[_Descendants]])),Tasks[[#This Row],[_LeafFcstFinish]]))</f>
        <v/>
      </c>
      <c r="V5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5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1" s="25" t="str">
        <f aca="false">IF(Tasks[[#This Row],[Task Name]]="","",IF(Tasks[[#This Row],[_IsSummary]],MIN(INDEX(Tasks[_LeafLateStart],Tasks[[#This Row],[_Row]]+1):INDEX(Tasks[_LeafLateStart],Tasks[[#This Row],[_Row]]+Tasks[[#This Row],[_Descendants]])),Tasks[[#This Row],[_LeafLateStart]]))</f>
        <v/>
      </c>
      <c r="Y51" s="25" t="str">
        <f aca="false">IF(Tasks[[#This Row],[Task Name]]="","",IF(Tasks[[#This Row],[_IsSummary]],MAX(INDEX(Tasks[_LeafLateFinish],Tasks[[#This Row],[_Row]]+1):INDEX(Tasks[_LeafLateFinish],Tasks[[#This Row],[_Row]]+Tasks[[#This Row],[_Descendants]])),Tasks[[#This Row],[_LeafLateFinish]]))</f>
        <v/>
      </c>
      <c r="Z51" s="43" t="str">
        <f aca="false">IF(Tasks[[#This Row],[Task Name]]="","",IF(Tasks[[#This Row],[_IsSummary]],MIN(INDEX(Tasks[_LeafTotalSlack],Tasks[[#This Row],[_Row]]+1):INDEX(Tasks[_LeafTotalSlack],Tasks[[#This Row],[_Row]]+Tasks[[#This Row],[_Descendants]])),Tasks[[#This Row],[_LeafTotalSlack]]))</f>
        <v/>
      </c>
      <c r="AA5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1" s="28" t="str">
        <f aca="false">IF(Tasks[[#This Row],[Task Name]]="","",IF(IF(Tasks[[#This Row],[_IsSummary]],COUNTIF(INDEX(Tasks[_LeafCritical],Tasks[[#This Row],[_Row]]+1):INDEX(Tasks[_LeafCritical],Tasks[[#This Row],[_Row]]+Tasks[[#This Row],[_Descendants]]),TRUE())&gt;0,Tasks[[#This Row],[_LeafCritical]]),"Yes",""))</f>
        <v/>
      </c>
      <c r="AC5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1" s="24" t="str">
        <f aca="false">IF(Tasks[[#This Row],[Task Name]]="","",TRIM(IF(Tasks[[#This Row],[_Pred1Problem]]&lt;&gt;"","Pred 1: "&amp;Tasks[[#This Row],[_Pred1Problem]]&amp;". ","")&amp;IF(Tasks[[#This Row],[_Pred2Problem]]&lt;&gt;"","Pred 2: "&amp;Tasks[[#This Row],[_Pred2Problem]]&amp;".","")))</f>
        <v/>
      </c>
      <c r="AE51" s="88"/>
      <c r="AF51"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1" s="28" t="str">
        <f aca="false">IF(Tasks[[#This Row],[Task Name]]="","",IF(Tasks[[#This Row],[Progress]]&gt;=1,"Complete",IF(OR(N(Tasks[[#This Row],[Actual Start]])&gt;0,Tasks[[#This Row],[Progress]]&gt;0),IF(Tasks[[#This Row],[Finish Var]]&gt;0,"Behind","In Progress"),IF(Tasks[[#This Row],[Planned Start]]&lt;StatusDate,"Late Start","Not Started"))))</f>
        <v/>
      </c>
      <c r="AH51" s="30"/>
      <c r="AI51" s="88"/>
      <c r="AJ51" s="95" t="str">
        <f aca="false">IF(Tasks[[#This Row],[Task Name]]="","",IF(Tasks[[#This Row],[_IsSummary]],SUM(INDEX(Tasks[_LeafWork],Tasks[[#This Row],[_Row]]+1):INDEX(Tasks[_LeafWork],Tasks[[#This Row],[_Row]]+Tasks[[#This Row],[_Descendants]])),Tasks[[#This Row],[_LeafWork]]))</f>
        <v/>
      </c>
      <c r="AK51" s="96" t="str">
        <f aca="false">IF(Tasks[[#This Row],[Task Name]]="","",IF(Tasks[[#This Row],[_IsSummary]],SUM(INDEX(Tasks[_LeafCost],Tasks[[#This Row],[_Row]]+1):INDEX(Tasks[_LeafCost],Tasks[[#This Row],[_Row]]+Tasks[[#This Row],[_Descendants]])),Tasks[[#This Row],[_LeafCost]]))</f>
        <v/>
      </c>
      <c r="AL51" s="97"/>
      <c r="AM51" s="29"/>
      <c r="AN5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51" s="82"/>
      <c r="AP51" s="24" t="str">
        <f aca="false">IF(Tasks[[#This Row],[Task Name]]="","",Tasks[[#This Row],[_Pred1IDText]]&amp;IF(AND(Tasks[[#This Row],[_Pred1IDText]]&lt;&gt;"",Tasks[[#This Row],[_Pred2IDText]]&lt;&gt;""),",","")&amp;Tasks[[#This Row],[_Pred2IDText]])</f>
        <v/>
      </c>
      <c r="AQ51" s="30"/>
      <c r="AR51" s="25" t="str">
        <f aca="false">IF(Tasks[[#This Row],[Task Name]]="","",Tasks[[#This Row],[Forecast Start]])</f>
        <v/>
      </c>
      <c r="AS51" s="25" t="str">
        <f aca="false">IF(Tasks[[#This Row],[Task Name]]="","",Tasks[[#This Row],[Forecast Finish]])</f>
        <v/>
      </c>
      <c r="AT51" s="28" t="str">
        <f aca="false">IF(Tasks[[#This Row],[Task Name]]="","",IF(Tasks[[#This Row],[_IsSummary]],NETWORKDAYS.INTL(Tasks[[#This Row],[Forecast Start]],Tasks[[#This Row],[Forecast Finish]],WorkWeek,Holidays),N(Tasks[[#This Row],[Duration]])))</f>
        <v/>
      </c>
      <c r="AU51" s="95" t="str">
        <f aca="false">IF(Tasks[[#This Row],[Task Name]]="","",Tasks[[#This Row],[Work]])</f>
        <v/>
      </c>
      <c r="AV51" s="96" t="str">
        <f aca="false">IF(Tasks[[#This Row],[Task Name]]="","",Tasks[[#This Row],[Cost]])</f>
        <v/>
      </c>
      <c r="AW51" s="73"/>
      <c r="AX51" s="73"/>
      <c r="AY51" s="29"/>
      <c r="AZ51" s="98"/>
      <c r="BA51" s="97"/>
      <c r="BB51" s="28" t="str">
        <f aca="false">IF(OR(Tasks[[#This Row],[Task Name]]="",Tasks[[#This Row],[Baseline Duration]]=""),"",Tasks[[#This Row],[BL Source Duration]]-N(Tasks[[#This Row],[Baseline Duration]]))</f>
        <v/>
      </c>
      <c r="BC51" s="95" t="str">
        <f aca="false">IF(OR(Tasks[[#This Row],[Task Name]]="",Tasks[[#This Row],[Baseline Work]]=""),"",Tasks[[#This Row],[Work]]-N(Tasks[[#This Row],[Baseline Work]]))</f>
        <v/>
      </c>
      <c r="BD51" s="96" t="str">
        <f aca="false">IF(OR(Tasks[[#This Row],[Task Name]]="",Tasks[[#This Row],[Baseline Cost]]=""),"",Tasks[[#This Row],[Cost]]-N(Tasks[[#This Row],[Baseline Cost]]))</f>
        <v/>
      </c>
      <c r="BE51" s="96" t="str">
        <f aca="false">IF(Tasks[[#This Row],[Task Name]]="","",IF(Tasks[[#This Row],[_IsSummary]],SUM(INDEX(Tasks[_LeafBudget],Tasks[[#This Row],[_Row]]+1):INDEX(Tasks[_LeafBudget],Tasks[[#This Row],[_Row]]+Tasks[[#This Row],[_Descendants]])),Tasks[[#This Row],[_LeafBudget]]))</f>
        <v/>
      </c>
      <c r="BF51" s="96" t="str">
        <f aca="false">IF(Tasks[[#This Row],[Task Name]]="","",IF(Tasks[[#This Row],[_IsSummary]],SUM(INDEX(Tasks[_LeafPV],Tasks[[#This Row],[_Row]]+1):INDEX(Tasks[_LeafPV],Tasks[[#This Row],[_Row]]+Tasks[[#This Row],[_Descendants]])),Tasks[[#This Row],[_LeafPV]]))</f>
        <v/>
      </c>
      <c r="BG51" s="96" t="str">
        <f aca="false">IF(Tasks[[#This Row],[Task Name]]="","",IF(Tasks[[#This Row],[_IsSummary]],SUM(INDEX(Tasks[_LeafEV],Tasks[[#This Row],[_Row]]+1):INDEX(Tasks[_LeafEV],Tasks[[#This Row],[_Row]]+Tasks[[#This Row],[_Descendants]])),Tasks[[#This Row],[_LeafEV]]))</f>
        <v/>
      </c>
      <c r="BH51" s="96" t="str">
        <f aca="false">IF(Tasks[[#This Row],[Task Name]]="","",IF(Tasks[[#This Row],[_IsSummary]],SUM(INDEX(Tasks[_LeafAC],Tasks[[#This Row],[_Row]]+1):INDEX(Tasks[_LeafAC],Tasks[[#This Row],[_Row]]+Tasks[[#This Row],[_Descendants]])),Tasks[[#This Row],[_LeafAC]]))</f>
        <v/>
      </c>
      <c r="BI51" s="41" t="str">
        <f aca="false">IF(Tasks[[#This Row],[Task Name]]="","",MAX(1,N(Tasks[[#This Row],[Level]])))</f>
        <v/>
      </c>
      <c r="BJ51" s="41" t="n">
        <f aca="false">ROW()-ROW(Tasks[[#Headers],[ID]])</f>
        <v>46</v>
      </c>
      <c r="BK51" s="41" t="n">
        <f aca="false">IF(OR(Tasks[[#This Row],[Task Name]]="",Tasks[[#This Row],[_Level]]&lt;=1),0,IFERROR(LOOKUP(2,1/(Tasks[[#Headers],[_Level]]:Tasks[[#This Row],[_Level]]=Tasks[[#This Row],[_Level]]-1),ROW(Tasks[[#Headers],[_Level]]:Tasks[[#This Row],[_Level]])),0))</f>
        <v>0</v>
      </c>
      <c r="BL51" s="41" t="n">
        <f aca="false">IFERROR(N(INDEX(Tasks[_Level],Tasks[[#This Row],[_Row]]+1)),0)</f>
        <v>0</v>
      </c>
      <c r="BM51" s="99" t="b">
        <f aca="false">AND(Tasks[[#This Row],[Task Name]]&lt;&gt;"",Tasks[[#This Row],[_NextLevel]]&gt;Tasks[[#This Row],[_Level]])</f>
        <v>0</v>
      </c>
      <c r="BN51" s="41" t="n">
        <f aca="false">IF(Tasks[[#This Row],[_IsSummary]],COUNTIF(Tasks[WBS],Tasks[[#This Row],[WBS]]&amp;".*"),0)</f>
        <v>0</v>
      </c>
      <c r="BO51" s="41" t="n">
        <f aca="false">IF(AND(Tasks[[#This Row],[Task Name]]&lt;&gt;"",NOT(Tasks[[#This Row],[_IsSummary]])),1,0)</f>
        <v>0</v>
      </c>
      <c r="BP51" s="41" t="n">
        <f aca="false">IF(N(Tasks[[#This Row],[Pred1 UID]])=0,0,IFERROR(MATCH(Tasks[[#This Row],[Pred1 UID]],Tasks[UID],0),-1))</f>
        <v>0</v>
      </c>
      <c r="BQ51" s="41" t="n">
        <f aca="false">IF(N(Tasks[[#This Row],[Pred2 UID]])=0,0,IFERROR(MATCH(Tasks[[#This Row],[Pred2 UID]],Tasks[UID],0),-1))</f>
        <v>0</v>
      </c>
      <c r="BR51"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51" s="100" t="str">
        <f aca="false">IF(NOT(Tasks[[#This Row],[_IsLeaf]]=1),"",IF(N(Tasks[[#This Row],[Duration]])&lt;=0,Tasks[[#This Row],[_LeafCalcStart]],WORKDAY.INTL(Tasks[[#This Row],[_LeafCalcStart]],Tasks[[#This Row],[Duration]]-1,WorkWeek,Holidays)))</f>
        <v/>
      </c>
      <c r="BT51"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51"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51" s="41" t="n">
        <f aca="false">IF(NOT(Tasks[[#This Row],[_IsLeaf]]=1),0,IF(N(Tasks[[#This Row],[Actual Finish]])&gt;0,1,MIN(1,N(Tasks[[#This Row],[% Complete]]))))</f>
        <v>0</v>
      </c>
      <c r="BW51" s="41" t="n">
        <f aca="false">IF(OR(NOT(Tasks[[#This Row],[_IsLeaf]]=1),Tasks[[#This Row],[Resource]]=""),0,N(Tasks[[#This Row],[Duration]])*HoursPerDay*IF(Tasks[[#This Row],[Units]]="",DefaultUnits,Tasks[[#This Row],[Units]]))</f>
        <v>0</v>
      </c>
      <c r="BX51" s="41" t="n">
        <f aca="false">IF(Tasks[[#This Row],[_LeafWork]]=0,0,Tasks[[#This Row],[_LeafWork]]*IFERROR(INDEX(res_Rate,MATCH(Tasks[[#This Row],[Resource]],res_Name,0)),0))</f>
        <v>0</v>
      </c>
      <c r="BY5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5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5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5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51" s="41" t="n">
        <f aca="false">IF(NOT(Tasks[[#This Row],[_IsLeaf]]=1),0,MAX(_xlfn.MAXIFS(Tasks[_Row],Tasks[Pred1 UID],Tasks[[#This Row],[UID]]),_xlfn.MAXIFS(Tasks[_Row],Tasks[Pred2 UID],Tasks[[#This Row],[UID]])))</f>
        <v>0</v>
      </c>
      <c r="CD51"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51" s="100" t="str">
        <f aca="false">IF(NOT(Tasks[[#This Row],[_IsLeaf]]=1),"",MIN(ProjectFinish,IF(N(Tasks[[#This Row],[Deadline]])&gt;0,Tasks[[#This Row],[Deadline]],2958465),Tasks[[#This Row],[_SuccessorFinishLimit]]))</f>
        <v/>
      </c>
      <c r="CF51" s="100" t="str">
        <f aca="false">IF(NOT(Tasks[[#This Row],[_IsLeaf]]=1),"",IF(N(Tasks[[#This Row],[Duration]])&lt;=0,Tasks[[#This Row],[_LeafLateFinish]],WORKDAY.INTL(Tasks[[#This Row],[_LeafLateFinish]],-(Tasks[[#This Row],[Duration]]-1),WorkWeek,Holidays)))</f>
        <v/>
      </c>
      <c r="CG5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51" s="99" t="b">
        <f aca="false">AND(Tasks[[#This Row],[_IsLeaf]]=1,Tasks[[#This Row],[_LeafProgress]]&lt;1,N(Tasks[[#This Row],[_LeafTotalSlack]])&lt;=CriticalSlackDays)</f>
        <v>0</v>
      </c>
      <c r="CI51" s="100" t="str">
        <f aca="false">IF(Tasks[[#This Row],[Task Name]]="","",IF(Tasks[[#This Row],[_IsSummary]],MIN(INDEX(Tasks[_LeafCalcStart],Tasks[[#This Row],[_Row]]+1):INDEX(Tasks[_LeafCalcStart],Tasks[[#This Row],[_Row]]+Tasks[[#This Row],[_Descendants]])),Tasks[[#This Row],[_LeafCalcStart]]))</f>
        <v/>
      </c>
      <c r="CJ51" s="100" t="str">
        <f aca="false">IF(Tasks[[#This Row],[Task Name]]="","",IF(Tasks[[#This Row],[_IsSummary]],MAX(INDEX(Tasks[_LeafCalcFinish],Tasks[[#This Row],[_Row]]+1):INDEX(Tasks[_LeafCalcFinish],Tasks[[#This Row],[_Row]]+Tasks[[#This Row],[_Descendants]])),Tasks[[#This Row],[_LeafCalcFinish]]))</f>
        <v/>
      </c>
      <c r="CK5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5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51"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51"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51"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51"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51" s="41" t="n">
        <f aca="false">IF(AND(Tasks[[#This Row],[_IsLeaf]]=1,Tasks[[#This Row],[_LeafWork]]&gt;0),NETWORKDAYS.INTL(ProjectStart,Tasks[[#This Row],[_LeafFcstStart]],WorkWeek,Holidays),0)</f>
        <v>0</v>
      </c>
      <c r="CR51" s="41" t="n">
        <f aca="false">IF(AND(Tasks[[#This Row],[_IsLeaf]]=1,Tasks[[#This Row],[_LeafWork]]&gt;0),MAX(Tasks[[#This Row],[_StartWorkday]],NETWORKDAYS.INTL(ProjectStart,Tasks[[#This Row],[_LeafFcstFinish]],WorkWeek,Holidays)),0)</f>
        <v>0</v>
      </c>
      <c r="CS51" s="41" t="n">
        <f aca="false">IF(AND(Tasks[[#This Row],[_IsLeaf]]=1,Tasks[[#This Row],[_LeafWork]]&gt;0),Tasks[[#This Row],[_LeafWork]]/(Tasks[[#This Row],[_FinishWorkday]]-Tasks[[#This Row],[_StartWorkday]]+1),0)</f>
        <v>0</v>
      </c>
      <c r="CT51" s="41" t="n">
        <f aca="false">Tasks[[#This Row],[_WorkPerWorkday]]*(Tasks[[#This Row],[_StartWorkday]]-1)</f>
        <v>-0</v>
      </c>
      <c r="CU51" s="41" t="n">
        <f aca="false">IF(Tasks[[#This Row],[_IsLeaf]]=1,MAX(N(Tasks[[#This Row],[Duration]]),0.1),0)</f>
        <v>0</v>
      </c>
      <c r="CV51" s="41" t="n">
        <f aca="false">Tasks[[#This Row],[_WeightDur]]*Tasks[[#This Row],[_LeafProgress]]</f>
        <v>0</v>
      </c>
      <c r="CW5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5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5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5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51" s="41" t="str">
        <f aca="false">IF(Tasks[[#This Row],[Task Name]]="","",Tasks[[#This Row],[_Pred1UIDText]]&amp;IF(AND(Tasks[[#This Row],[_Pred1UIDText]]&lt;&gt;"",Tasks[[#This Row],[_Pred2UIDText]]&lt;&gt;""),",","")&amp;Tasks[[#This Row],[_Pred2UIDText]])</f>
        <v/>
      </c>
      <c r="DB51" s="41" t="str">
        <f aca="false">IF(AND(Tasks[[#This Row],[_IsLeaf]]=1,N(Tasks[[#This Row],[Duration]])=0,Tasks[[#This Row],[_LeafProgress]]&lt;1),Tasks[[#This Row],[_LeafFcstFinish]]+Tasks[[#This Row],[_Row]]/100000,"")</f>
        <v/>
      </c>
      <c r="DC5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51" s="41" t="n">
        <f aca="false">IF(NOT(Tasks[[#This Row],[_IsLeaf]]=1),0,IF(Tasks[[#This Row],[Baseline Cost]]="",Tasks[[#This Row],[_LeafCost]],N(Tasks[[#This Row],[Baseline Cost]])))</f>
        <v>0</v>
      </c>
      <c r="DE51" s="41" t="n">
        <f aca="false">Tasks[[#This Row],[_LeafBudget]]*Tasks[[#This Row],[_PlannedPct]]</f>
        <v>0</v>
      </c>
      <c r="DF51" s="41" t="n">
        <f aca="false">Tasks[[#This Row],[_LeafBudget]]*Tasks[[#This Row],[_LeafProgress]]</f>
        <v>0</v>
      </c>
      <c r="DG51" s="41" t="n">
        <f aca="false">IF(NOT(Tasks[[#This Row],[_IsLeaf]]=1),0,IF(Tasks[[#This Row],[Actual Cost]]="",Tasks[[#This Row],[_LeafCost]]*Tasks[[#This Row],[_LeafProgress]],N(Tasks[[#This Row],[Actual Cost]])))</f>
        <v>0</v>
      </c>
      <c r="DH51" s="41" t="str">
        <f aca="false">IF(Tasks[[#This Row],[Task Name]]="","",LEFT(Tasks[[#This Row],[WBS]],FIND(".",Tasks[[#This Row],[WBS]]&amp;".")-1))</f>
        <v/>
      </c>
      <c r="DI51" s="41" t="str">
        <f aca="false">IF(AND(Tasks[[#This Row],[Task Name]]&lt;&gt;"",Tasks[[#This Row],[_Level]]=1),Tasks[[#This Row],[_Row]],"")</f>
        <v/>
      </c>
      <c r="DJ51" s="41" t="str">
        <f aca="false">IF(AND(Tasks[[#This Row],[_IsLeaf]]=1,N(Tasks[[#This Row],[Duration]])=0),Tasks[[#This Row],[Planned Finish]]+Tasks[[#This Row],[_Row]]/100000,"")</f>
        <v/>
      </c>
      <c r="DK51" s="41" t="str">
        <f aca="false">IF(AND(Tasks[[#This Row],[_IsLeaf]]=1,Tasks[[#This Row],[_LeafProgress]]&lt;1,OR(N(Tasks[[#This Row],[Finish Var]])&gt;0,Tasks[[#This Row],[Status]]="Late Start")),MAX(0,Tasks[[#This Row],[Finish Var]])+1-Tasks[[#This Row],[_Row]]/1000000,"")</f>
        <v/>
      </c>
      <c r="DL51" s="41" t="str">
        <f aca="false">IF(AND(Tasks[[#This Row],[_IsLeaf]]=1,N(Tasks[[#This Row],[Actual Start]])=0,Tasks[[#This Row],[_LeafFcstStart]]&gt;=StatusDate,Tasks[[#This Row],[_LeafFcstStart]]&lt;=LookaheadEnd),Tasks[[#This Row],[_LeafFcstStart]]+Tasks[[#This Row],[_Row]]/100000,"")</f>
        <v/>
      </c>
      <c r="DM51" s="41" t="str">
        <f aca="false">IF(AND(Tasks[[#This Row],[_IsLeaf]]=1,Tasks[[#This Row],[_LeafProgress]]&lt;1,Tasks[[#This Row],[_LeafFcstFinish]]&gt;=StatusDate,Tasks[[#This Row],[_LeafFcstFinish]]&lt;=LookaheadEnd),Tasks[[#This Row],[_LeafFcstFinish]]+Tasks[[#This Row],[_Row]]/100000,"")</f>
        <v/>
      </c>
      <c r="DN51" s="41" t="str">
        <f aca="false">IF(Tasks[[#This Row],[_LeafCritical]],Tasks[[#This Row],[_LeafFcstStart]]+Tasks[[#This Row],[_Row]]/100000,"")</f>
        <v/>
      </c>
      <c r="DO51" s="41" t="n">
        <f aca="false">Tasks[[#This Row],[_LeafWork]]*Tasks[[#This Row],[_LeafProgress]]</f>
        <v>0</v>
      </c>
      <c r="DP51" s="100" t="str">
        <f aca="false">IF(AND(Tasks[[#This Row],[_IsLeaf]]=1,Tasks[[#This Row],[_LeafProgress]]&gt;=1),IF(N(Tasks[[#This Row],[Actual Finish]])&gt;0,Tasks[[#This Row],[Actual Finish]],Tasks[[#This Row],[_LeafFcstFinish]]),"")</f>
        <v/>
      </c>
      <c r="DQ51" s="41" t="n">
        <f aca="false">IF(Tasks[[#This Row],[_IsLeaf]]=1,N(Tasks[[#This Row],[Story Points]]),0)</f>
        <v>0</v>
      </c>
      <c r="DR51" s="41" t="str">
        <f aca="false">IF(AND(Tasks[[#This Row],[_IsLeaf]]=1,CurrentSprint&lt;&gt;"",Tasks[[#This Row],[Sprint]]=CurrentSprint),Tasks[[#This Row],[_Row]],"")</f>
        <v/>
      </c>
    </row>
    <row r="52" customFormat="false" ht="15" hidden="false" customHeight="false" outlineLevel="0" collapsed="false">
      <c r="A52" s="28" t="str">
        <f aca="false">IF(Tasks[[#This Row],[Task Name]]="","",COUNTA(Tasks[[#Headers],[Task Name]]:Tasks[[#This Row],[Task Name]])-1)</f>
        <v/>
      </c>
      <c r="B52" s="29" t="n">
        <v>47</v>
      </c>
      <c r="C5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2" s="29"/>
      <c r="E52" s="30"/>
      <c r="F52" s="29"/>
      <c r="G52" s="29"/>
      <c r="H52" s="29"/>
      <c r="I52" s="29"/>
      <c r="J52" s="29"/>
      <c r="K52" s="29"/>
      <c r="L52" s="29"/>
      <c r="M52" s="29"/>
      <c r="N52" s="73"/>
      <c r="O52" s="73"/>
      <c r="P52" s="25" t="str">
        <f aca="false">IF(Tasks[[#This Row],[Task Name]]="","",IF(N(Tasks[[#This Row],[Baseline Start]])&gt;0,Tasks[[#This Row],[Baseline Start]],Tasks[[#This Row],[_CalcStart]]))</f>
        <v/>
      </c>
      <c r="Q52" s="25" t="str">
        <f aca="false">IF(Tasks[[#This Row],[Task Name]]="","",IF(N(Tasks[[#This Row],[Baseline Finish]])&gt;0,Tasks[[#This Row],[Baseline Finish]],Tasks[[#This Row],[_CalcFinish]]))</f>
        <v/>
      </c>
      <c r="R52" s="73"/>
      <c r="S52" s="73"/>
      <c r="T52" s="25" t="str">
        <f aca="false">IF(Tasks[[#This Row],[Task Name]]="","",IF(Tasks[[#This Row],[_IsSummary]],MIN(INDEX(Tasks[_LeafFcstStart],Tasks[[#This Row],[_Row]]+1):INDEX(Tasks[_LeafFcstStart],Tasks[[#This Row],[_Row]]+Tasks[[#This Row],[_Descendants]])),Tasks[[#This Row],[_LeafFcstStart]]))</f>
        <v/>
      </c>
      <c r="U52" s="25" t="str">
        <f aca="false">IF(Tasks[[#This Row],[Task Name]]="","",IF(Tasks[[#This Row],[_IsSummary]],MAX(INDEX(Tasks[_LeafFcstFinish],Tasks[[#This Row],[_Row]]+1):INDEX(Tasks[_LeafFcstFinish],Tasks[[#This Row],[_Row]]+Tasks[[#This Row],[_Descendants]])),Tasks[[#This Row],[_LeafFcstFinish]]))</f>
        <v/>
      </c>
      <c r="V5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5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2" s="25" t="str">
        <f aca="false">IF(Tasks[[#This Row],[Task Name]]="","",IF(Tasks[[#This Row],[_IsSummary]],MIN(INDEX(Tasks[_LeafLateStart],Tasks[[#This Row],[_Row]]+1):INDEX(Tasks[_LeafLateStart],Tasks[[#This Row],[_Row]]+Tasks[[#This Row],[_Descendants]])),Tasks[[#This Row],[_LeafLateStart]]))</f>
        <v/>
      </c>
      <c r="Y52" s="25" t="str">
        <f aca="false">IF(Tasks[[#This Row],[Task Name]]="","",IF(Tasks[[#This Row],[_IsSummary]],MAX(INDEX(Tasks[_LeafLateFinish],Tasks[[#This Row],[_Row]]+1):INDEX(Tasks[_LeafLateFinish],Tasks[[#This Row],[_Row]]+Tasks[[#This Row],[_Descendants]])),Tasks[[#This Row],[_LeafLateFinish]]))</f>
        <v/>
      </c>
      <c r="Z52" s="43" t="str">
        <f aca="false">IF(Tasks[[#This Row],[Task Name]]="","",IF(Tasks[[#This Row],[_IsSummary]],MIN(INDEX(Tasks[_LeafTotalSlack],Tasks[[#This Row],[_Row]]+1):INDEX(Tasks[_LeafTotalSlack],Tasks[[#This Row],[_Row]]+Tasks[[#This Row],[_Descendants]])),Tasks[[#This Row],[_LeafTotalSlack]]))</f>
        <v/>
      </c>
      <c r="AA5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2" s="28" t="str">
        <f aca="false">IF(Tasks[[#This Row],[Task Name]]="","",IF(IF(Tasks[[#This Row],[_IsSummary]],COUNTIF(INDEX(Tasks[_LeafCritical],Tasks[[#This Row],[_Row]]+1):INDEX(Tasks[_LeafCritical],Tasks[[#This Row],[_Row]]+Tasks[[#This Row],[_Descendants]]),TRUE())&gt;0,Tasks[[#This Row],[_LeafCritical]]),"Yes",""))</f>
        <v/>
      </c>
      <c r="AC5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2" s="24" t="str">
        <f aca="false">IF(Tasks[[#This Row],[Task Name]]="","",TRIM(IF(Tasks[[#This Row],[_Pred1Problem]]&lt;&gt;"","Pred 1: "&amp;Tasks[[#This Row],[_Pred1Problem]]&amp;". ","")&amp;IF(Tasks[[#This Row],[_Pred2Problem]]&lt;&gt;"","Pred 2: "&amp;Tasks[[#This Row],[_Pred2Problem]]&amp;".","")))</f>
        <v/>
      </c>
      <c r="AE52" s="88"/>
      <c r="AF52"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2" s="28" t="str">
        <f aca="false">IF(Tasks[[#This Row],[Task Name]]="","",IF(Tasks[[#This Row],[Progress]]&gt;=1,"Complete",IF(OR(N(Tasks[[#This Row],[Actual Start]])&gt;0,Tasks[[#This Row],[Progress]]&gt;0),IF(Tasks[[#This Row],[Finish Var]]&gt;0,"Behind","In Progress"),IF(Tasks[[#This Row],[Planned Start]]&lt;StatusDate,"Late Start","Not Started"))))</f>
        <v/>
      </c>
      <c r="AH52" s="30"/>
      <c r="AI52" s="88"/>
      <c r="AJ52" s="95" t="str">
        <f aca="false">IF(Tasks[[#This Row],[Task Name]]="","",IF(Tasks[[#This Row],[_IsSummary]],SUM(INDEX(Tasks[_LeafWork],Tasks[[#This Row],[_Row]]+1):INDEX(Tasks[_LeafWork],Tasks[[#This Row],[_Row]]+Tasks[[#This Row],[_Descendants]])),Tasks[[#This Row],[_LeafWork]]))</f>
        <v/>
      </c>
      <c r="AK52" s="96" t="str">
        <f aca="false">IF(Tasks[[#This Row],[Task Name]]="","",IF(Tasks[[#This Row],[_IsSummary]],SUM(INDEX(Tasks[_LeafCost],Tasks[[#This Row],[_Row]]+1):INDEX(Tasks[_LeafCost],Tasks[[#This Row],[_Row]]+Tasks[[#This Row],[_Descendants]])),Tasks[[#This Row],[_LeafCost]]))</f>
        <v/>
      </c>
      <c r="AL52" s="97"/>
      <c r="AM52" s="29"/>
      <c r="AN5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52" s="82"/>
      <c r="AP52" s="24" t="str">
        <f aca="false">IF(Tasks[[#This Row],[Task Name]]="","",Tasks[[#This Row],[_Pred1IDText]]&amp;IF(AND(Tasks[[#This Row],[_Pred1IDText]]&lt;&gt;"",Tasks[[#This Row],[_Pred2IDText]]&lt;&gt;""),",","")&amp;Tasks[[#This Row],[_Pred2IDText]])</f>
        <v/>
      </c>
      <c r="AQ52" s="30"/>
      <c r="AR52" s="25" t="str">
        <f aca="false">IF(Tasks[[#This Row],[Task Name]]="","",Tasks[[#This Row],[Forecast Start]])</f>
        <v/>
      </c>
      <c r="AS52" s="25" t="str">
        <f aca="false">IF(Tasks[[#This Row],[Task Name]]="","",Tasks[[#This Row],[Forecast Finish]])</f>
        <v/>
      </c>
      <c r="AT52" s="28" t="str">
        <f aca="false">IF(Tasks[[#This Row],[Task Name]]="","",IF(Tasks[[#This Row],[_IsSummary]],NETWORKDAYS.INTL(Tasks[[#This Row],[Forecast Start]],Tasks[[#This Row],[Forecast Finish]],WorkWeek,Holidays),N(Tasks[[#This Row],[Duration]])))</f>
        <v/>
      </c>
      <c r="AU52" s="95" t="str">
        <f aca="false">IF(Tasks[[#This Row],[Task Name]]="","",Tasks[[#This Row],[Work]])</f>
        <v/>
      </c>
      <c r="AV52" s="96" t="str">
        <f aca="false">IF(Tasks[[#This Row],[Task Name]]="","",Tasks[[#This Row],[Cost]])</f>
        <v/>
      </c>
      <c r="AW52" s="73"/>
      <c r="AX52" s="73"/>
      <c r="AY52" s="29"/>
      <c r="AZ52" s="98"/>
      <c r="BA52" s="97"/>
      <c r="BB52" s="28" t="str">
        <f aca="false">IF(OR(Tasks[[#This Row],[Task Name]]="",Tasks[[#This Row],[Baseline Duration]]=""),"",Tasks[[#This Row],[BL Source Duration]]-N(Tasks[[#This Row],[Baseline Duration]]))</f>
        <v/>
      </c>
      <c r="BC52" s="95" t="str">
        <f aca="false">IF(OR(Tasks[[#This Row],[Task Name]]="",Tasks[[#This Row],[Baseline Work]]=""),"",Tasks[[#This Row],[Work]]-N(Tasks[[#This Row],[Baseline Work]]))</f>
        <v/>
      </c>
      <c r="BD52" s="96" t="str">
        <f aca="false">IF(OR(Tasks[[#This Row],[Task Name]]="",Tasks[[#This Row],[Baseline Cost]]=""),"",Tasks[[#This Row],[Cost]]-N(Tasks[[#This Row],[Baseline Cost]]))</f>
        <v/>
      </c>
      <c r="BE52" s="96" t="str">
        <f aca="false">IF(Tasks[[#This Row],[Task Name]]="","",IF(Tasks[[#This Row],[_IsSummary]],SUM(INDEX(Tasks[_LeafBudget],Tasks[[#This Row],[_Row]]+1):INDEX(Tasks[_LeafBudget],Tasks[[#This Row],[_Row]]+Tasks[[#This Row],[_Descendants]])),Tasks[[#This Row],[_LeafBudget]]))</f>
        <v/>
      </c>
      <c r="BF52" s="96" t="str">
        <f aca="false">IF(Tasks[[#This Row],[Task Name]]="","",IF(Tasks[[#This Row],[_IsSummary]],SUM(INDEX(Tasks[_LeafPV],Tasks[[#This Row],[_Row]]+1):INDEX(Tasks[_LeafPV],Tasks[[#This Row],[_Row]]+Tasks[[#This Row],[_Descendants]])),Tasks[[#This Row],[_LeafPV]]))</f>
        <v/>
      </c>
      <c r="BG52" s="96" t="str">
        <f aca="false">IF(Tasks[[#This Row],[Task Name]]="","",IF(Tasks[[#This Row],[_IsSummary]],SUM(INDEX(Tasks[_LeafEV],Tasks[[#This Row],[_Row]]+1):INDEX(Tasks[_LeafEV],Tasks[[#This Row],[_Row]]+Tasks[[#This Row],[_Descendants]])),Tasks[[#This Row],[_LeafEV]]))</f>
        <v/>
      </c>
      <c r="BH52" s="96" t="str">
        <f aca="false">IF(Tasks[[#This Row],[Task Name]]="","",IF(Tasks[[#This Row],[_IsSummary]],SUM(INDEX(Tasks[_LeafAC],Tasks[[#This Row],[_Row]]+1):INDEX(Tasks[_LeafAC],Tasks[[#This Row],[_Row]]+Tasks[[#This Row],[_Descendants]])),Tasks[[#This Row],[_LeafAC]]))</f>
        <v/>
      </c>
      <c r="BI52" s="41" t="str">
        <f aca="false">IF(Tasks[[#This Row],[Task Name]]="","",MAX(1,N(Tasks[[#This Row],[Level]])))</f>
        <v/>
      </c>
      <c r="BJ52" s="41" t="n">
        <f aca="false">ROW()-ROW(Tasks[[#Headers],[ID]])</f>
        <v>47</v>
      </c>
      <c r="BK52" s="41" t="n">
        <f aca="false">IF(OR(Tasks[[#This Row],[Task Name]]="",Tasks[[#This Row],[_Level]]&lt;=1),0,IFERROR(LOOKUP(2,1/(Tasks[[#Headers],[_Level]]:Tasks[[#This Row],[_Level]]=Tasks[[#This Row],[_Level]]-1),ROW(Tasks[[#Headers],[_Level]]:Tasks[[#This Row],[_Level]])),0))</f>
        <v>0</v>
      </c>
      <c r="BL52" s="41" t="n">
        <f aca="false">IFERROR(N(INDEX(Tasks[_Level],Tasks[[#This Row],[_Row]]+1)),0)</f>
        <v>0</v>
      </c>
      <c r="BM52" s="99" t="b">
        <f aca="false">AND(Tasks[[#This Row],[Task Name]]&lt;&gt;"",Tasks[[#This Row],[_NextLevel]]&gt;Tasks[[#This Row],[_Level]])</f>
        <v>0</v>
      </c>
      <c r="BN52" s="41" t="n">
        <f aca="false">IF(Tasks[[#This Row],[_IsSummary]],COUNTIF(Tasks[WBS],Tasks[[#This Row],[WBS]]&amp;".*"),0)</f>
        <v>0</v>
      </c>
      <c r="BO52" s="41" t="n">
        <f aca="false">IF(AND(Tasks[[#This Row],[Task Name]]&lt;&gt;"",NOT(Tasks[[#This Row],[_IsSummary]])),1,0)</f>
        <v>0</v>
      </c>
      <c r="BP52" s="41" t="n">
        <f aca="false">IF(N(Tasks[[#This Row],[Pred1 UID]])=0,0,IFERROR(MATCH(Tasks[[#This Row],[Pred1 UID]],Tasks[UID],0),-1))</f>
        <v>0</v>
      </c>
      <c r="BQ52" s="41" t="n">
        <f aca="false">IF(N(Tasks[[#This Row],[Pred2 UID]])=0,0,IFERROR(MATCH(Tasks[[#This Row],[Pred2 UID]],Tasks[UID],0),-1))</f>
        <v>0</v>
      </c>
      <c r="BR52"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52" s="100" t="str">
        <f aca="false">IF(NOT(Tasks[[#This Row],[_IsLeaf]]=1),"",IF(N(Tasks[[#This Row],[Duration]])&lt;=0,Tasks[[#This Row],[_LeafCalcStart]],WORKDAY.INTL(Tasks[[#This Row],[_LeafCalcStart]],Tasks[[#This Row],[Duration]]-1,WorkWeek,Holidays)))</f>
        <v/>
      </c>
      <c r="BT52"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52"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52" s="41" t="n">
        <f aca="false">IF(NOT(Tasks[[#This Row],[_IsLeaf]]=1),0,IF(N(Tasks[[#This Row],[Actual Finish]])&gt;0,1,MIN(1,N(Tasks[[#This Row],[% Complete]]))))</f>
        <v>0</v>
      </c>
      <c r="BW52" s="41" t="n">
        <f aca="false">IF(OR(NOT(Tasks[[#This Row],[_IsLeaf]]=1),Tasks[[#This Row],[Resource]]=""),0,N(Tasks[[#This Row],[Duration]])*HoursPerDay*IF(Tasks[[#This Row],[Units]]="",DefaultUnits,Tasks[[#This Row],[Units]]))</f>
        <v>0</v>
      </c>
      <c r="BX52" s="41" t="n">
        <f aca="false">IF(Tasks[[#This Row],[_LeafWork]]=0,0,Tasks[[#This Row],[_LeafWork]]*IFERROR(INDEX(res_Rate,MATCH(Tasks[[#This Row],[Resource]],res_Name,0)),0))</f>
        <v>0</v>
      </c>
      <c r="BY5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5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5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5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52" s="41" t="n">
        <f aca="false">IF(NOT(Tasks[[#This Row],[_IsLeaf]]=1),0,MAX(_xlfn.MAXIFS(Tasks[_Row],Tasks[Pred1 UID],Tasks[[#This Row],[UID]]),_xlfn.MAXIFS(Tasks[_Row],Tasks[Pred2 UID],Tasks[[#This Row],[UID]])))</f>
        <v>0</v>
      </c>
      <c r="CD52"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52" s="100" t="str">
        <f aca="false">IF(NOT(Tasks[[#This Row],[_IsLeaf]]=1),"",MIN(ProjectFinish,IF(N(Tasks[[#This Row],[Deadline]])&gt;0,Tasks[[#This Row],[Deadline]],2958465),Tasks[[#This Row],[_SuccessorFinishLimit]]))</f>
        <v/>
      </c>
      <c r="CF52" s="100" t="str">
        <f aca="false">IF(NOT(Tasks[[#This Row],[_IsLeaf]]=1),"",IF(N(Tasks[[#This Row],[Duration]])&lt;=0,Tasks[[#This Row],[_LeafLateFinish]],WORKDAY.INTL(Tasks[[#This Row],[_LeafLateFinish]],-(Tasks[[#This Row],[Duration]]-1),WorkWeek,Holidays)))</f>
        <v/>
      </c>
      <c r="CG5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52" s="99" t="b">
        <f aca="false">AND(Tasks[[#This Row],[_IsLeaf]]=1,Tasks[[#This Row],[_LeafProgress]]&lt;1,N(Tasks[[#This Row],[_LeafTotalSlack]])&lt;=CriticalSlackDays)</f>
        <v>0</v>
      </c>
      <c r="CI52" s="100" t="str">
        <f aca="false">IF(Tasks[[#This Row],[Task Name]]="","",IF(Tasks[[#This Row],[_IsSummary]],MIN(INDEX(Tasks[_LeafCalcStart],Tasks[[#This Row],[_Row]]+1):INDEX(Tasks[_LeafCalcStart],Tasks[[#This Row],[_Row]]+Tasks[[#This Row],[_Descendants]])),Tasks[[#This Row],[_LeafCalcStart]]))</f>
        <v/>
      </c>
      <c r="CJ52" s="100" t="str">
        <f aca="false">IF(Tasks[[#This Row],[Task Name]]="","",IF(Tasks[[#This Row],[_IsSummary]],MAX(INDEX(Tasks[_LeafCalcFinish],Tasks[[#This Row],[_Row]]+1):INDEX(Tasks[_LeafCalcFinish],Tasks[[#This Row],[_Row]]+Tasks[[#This Row],[_Descendants]])),Tasks[[#This Row],[_LeafCalcFinish]]))</f>
        <v/>
      </c>
      <c r="CK5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5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52"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52"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52"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52"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52" s="41" t="n">
        <f aca="false">IF(AND(Tasks[[#This Row],[_IsLeaf]]=1,Tasks[[#This Row],[_LeafWork]]&gt;0),NETWORKDAYS.INTL(ProjectStart,Tasks[[#This Row],[_LeafFcstStart]],WorkWeek,Holidays),0)</f>
        <v>0</v>
      </c>
      <c r="CR52" s="41" t="n">
        <f aca="false">IF(AND(Tasks[[#This Row],[_IsLeaf]]=1,Tasks[[#This Row],[_LeafWork]]&gt;0),MAX(Tasks[[#This Row],[_StartWorkday]],NETWORKDAYS.INTL(ProjectStart,Tasks[[#This Row],[_LeafFcstFinish]],WorkWeek,Holidays)),0)</f>
        <v>0</v>
      </c>
      <c r="CS52" s="41" t="n">
        <f aca="false">IF(AND(Tasks[[#This Row],[_IsLeaf]]=1,Tasks[[#This Row],[_LeafWork]]&gt;0),Tasks[[#This Row],[_LeafWork]]/(Tasks[[#This Row],[_FinishWorkday]]-Tasks[[#This Row],[_StartWorkday]]+1),0)</f>
        <v>0</v>
      </c>
      <c r="CT52" s="41" t="n">
        <f aca="false">Tasks[[#This Row],[_WorkPerWorkday]]*(Tasks[[#This Row],[_StartWorkday]]-1)</f>
        <v>-0</v>
      </c>
      <c r="CU52" s="41" t="n">
        <f aca="false">IF(Tasks[[#This Row],[_IsLeaf]]=1,MAX(N(Tasks[[#This Row],[Duration]]),0.1),0)</f>
        <v>0</v>
      </c>
      <c r="CV52" s="41" t="n">
        <f aca="false">Tasks[[#This Row],[_WeightDur]]*Tasks[[#This Row],[_LeafProgress]]</f>
        <v>0</v>
      </c>
      <c r="CW5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5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5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5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52" s="41" t="str">
        <f aca="false">IF(Tasks[[#This Row],[Task Name]]="","",Tasks[[#This Row],[_Pred1UIDText]]&amp;IF(AND(Tasks[[#This Row],[_Pred1UIDText]]&lt;&gt;"",Tasks[[#This Row],[_Pred2UIDText]]&lt;&gt;""),",","")&amp;Tasks[[#This Row],[_Pred2UIDText]])</f>
        <v/>
      </c>
      <c r="DB52" s="41" t="str">
        <f aca="false">IF(AND(Tasks[[#This Row],[_IsLeaf]]=1,N(Tasks[[#This Row],[Duration]])=0,Tasks[[#This Row],[_LeafProgress]]&lt;1),Tasks[[#This Row],[_LeafFcstFinish]]+Tasks[[#This Row],[_Row]]/100000,"")</f>
        <v/>
      </c>
      <c r="DC5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52" s="41" t="n">
        <f aca="false">IF(NOT(Tasks[[#This Row],[_IsLeaf]]=1),0,IF(Tasks[[#This Row],[Baseline Cost]]="",Tasks[[#This Row],[_LeafCost]],N(Tasks[[#This Row],[Baseline Cost]])))</f>
        <v>0</v>
      </c>
      <c r="DE52" s="41" t="n">
        <f aca="false">Tasks[[#This Row],[_LeafBudget]]*Tasks[[#This Row],[_PlannedPct]]</f>
        <v>0</v>
      </c>
      <c r="DF52" s="41" t="n">
        <f aca="false">Tasks[[#This Row],[_LeafBudget]]*Tasks[[#This Row],[_LeafProgress]]</f>
        <v>0</v>
      </c>
      <c r="DG52" s="41" t="n">
        <f aca="false">IF(NOT(Tasks[[#This Row],[_IsLeaf]]=1),0,IF(Tasks[[#This Row],[Actual Cost]]="",Tasks[[#This Row],[_LeafCost]]*Tasks[[#This Row],[_LeafProgress]],N(Tasks[[#This Row],[Actual Cost]])))</f>
        <v>0</v>
      </c>
      <c r="DH52" s="41" t="str">
        <f aca="false">IF(Tasks[[#This Row],[Task Name]]="","",LEFT(Tasks[[#This Row],[WBS]],FIND(".",Tasks[[#This Row],[WBS]]&amp;".")-1))</f>
        <v/>
      </c>
      <c r="DI52" s="41" t="str">
        <f aca="false">IF(AND(Tasks[[#This Row],[Task Name]]&lt;&gt;"",Tasks[[#This Row],[_Level]]=1),Tasks[[#This Row],[_Row]],"")</f>
        <v/>
      </c>
      <c r="DJ52" s="41" t="str">
        <f aca="false">IF(AND(Tasks[[#This Row],[_IsLeaf]]=1,N(Tasks[[#This Row],[Duration]])=0),Tasks[[#This Row],[Planned Finish]]+Tasks[[#This Row],[_Row]]/100000,"")</f>
        <v/>
      </c>
      <c r="DK52" s="41" t="str">
        <f aca="false">IF(AND(Tasks[[#This Row],[_IsLeaf]]=1,Tasks[[#This Row],[_LeafProgress]]&lt;1,OR(N(Tasks[[#This Row],[Finish Var]])&gt;0,Tasks[[#This Row],[Status]]="Late Start")),MAX(0,Tasks[[#This Row],[Finish Var]])+1-Tasks[[#This Row],[_Row]]/1000000,"")</f>
        <v/>
      </c>
      <c r="DL52" s="41" t="str">
        <f aca="false">IF(AND(Tasks[[#This Row],[_IsLeaf]]=1,N(Tasks[[#This Row],[Actual Start]])=0,Tasks[[#This Row],[_LeafFcstStart]]&gt;=StatusDate,Tasks[[#This Row],[_LeafFcstStart]]&lt;=LookaheadEnd),Tasks[[#This Row],[_LeafFcstStart]]+Tasks[[#This Row],[_Row]]/100000,"")</f>
        <v/>
      </c>
      <c r="DM52" s="41" t="str">
        <f aca="false">IF(AND(Tasks[[#This Row],[_IsLeaf]]=1,Tasks[[#This Row],[_LeafProgress]]&lt;1,Tasks[[#This Row],[_LeafFcstFinish]]&gt;=StatusDate,Tasks[[#This Row],[_LeafFcstFinish]]&lt;=LookaheadEnd),Tasks[[#This Row],[_LeafFcstFinish]]+Tasks[[#This Row],[_Row]]/100000,"")</f>
        <v/>
      </c>
      <c r="DN52" s="41" t="str">
        <f aca="false">IF(Tasks[[#This Row],[_LeafCritical]],Tasks[[#This Row],[_LeafFcstStart]]+Tasks[[#This Row],[_Row]]/100000,"")</f>
        <v/>
      </c>
      <c r="DO52" s="41" t="n">
        <f aca="false">Tasks[[#This Row],[_LeafWork]]*Tasks[[#This Row],[_LeafProgress]]</f>
        <v>0</v>
      </c>
      <c r="DP52" s="100" t="str">
        <f aca="false">IF(AND(Tasks[[#This Row],[_IsLeaf]]=1,Tasks[[#This Row],[_LeafProgress]]&gt;=1),IF(N(Tasks[[#This Row],[Actual Finish]])&gt;0,Tasks[[#This Row],[Actual Finish]],Tasks[[#This Row],[_LeafFcstFinish]]),"")</f>
        <v/>
      </c>
      <c r="DQ52" s="41" t="n">
        <f aca="false">IF(Tasks[[#This Row],[_IsLeaf]]=1,N(Tasks[[#This Row],[Story Points]]),0)</f>
        <v>0</v>
      </c>
      <c r="DR52" s="41" t="str">
        <f aca="false">IF(AND(Tasks[[#This Row],[_IsLeaf]]=1,CurrentSprint&lt;&gt;"",Tasks[[#This Row],[Sprint]]=CurrentSprint),Tasks[[#This Row],[_Row]],"")</f>
        <v/>
      </c>
    </row>
    <row r="53" customFormat="false" ht="15" hidden="false" customHeight="false" outlineLevel="0" collapsed="false">
      <c r="A53" s="28" t="str">
        <f aca="false">IF(Tasks[[#This Row],[Task Name]]="","",COUNTA(Tasks[[#Headers],[Task Name]]:Tasks[[#This Row],[Task Name]])-1)</f>
        <v/>
      </c>
      <c r="B53" s="29" t="n">
        <v>48</v>
      </c>
      <c r="C5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3" s="29"/>
      <c r="E53" s="30"/>
      <c r="F53" s="29"/>
      <c r="G53" s="29"/>
      <c r="H53" s="29"/>
      <c r="I53" s="29"/>
      <c r="J53" s="29"/>
      <c r="K53" s="29"/>
      <c r="L53" s="29"/>
      <c r="M53" s="29"/>
      <c r="N53" s="73"/>
      <c r="O53" s="73"/>
      <c r="P53" s="25" t="str">
        <f aca="false">IF(Tasks[[#This Row],[Task Name]]="","",IF(N(Tasks[[#This Row],[Baseline Start]])&gt;0,Tasks[[#This Row],[Baseline Start]],Tasks[[#This Row],[_CalcStart]]))</f>
        <v/>
      </c>
      <c r="Q53" s="25" t="str">
        <f aca="false">IF(Tasks[[#This Row],[Task Name]]="","",IF(N(Tasks[[#This Row],[Baseline Finish]])&gt;0,Tasks[[#This Row],[Baseline Finish]],Tasks[[#This Row],[_CalcFinish]]))</f>
        <v/>
      </c>
      <c r="R53" s="73"/>
      <c r="S53" s="73"/>
      <c r="T53" s="25" t="str">
        <f aca="false">IF(Tasks[[#This Row],[Task Name]]="","",IF(Tasks[[#This Row],[_IsSummary]],MIN(INDEX(Tasks[_LeafFcstStart],Tasks[[#This Row],[_Row]]+1):INDEX(Tasks[_LeafFcstStart],Tasks[[#This Row],[_Row]]+Tasks[[#This Row],[_Descendants]])),Tasks[[#This Row],[_LeafFcstStart]]))</f>
        <v/>
      </c>
      <c r="U53" s="25" t="str">
        <f aca="false">IF(Tasks[[#This Row],[Task Name]]="","",IF(Tasks[[#This Row],[_IsSummary]],MAX(INDEX(Tasks[_LeafFcstFinish],Tasks[[#This Row],[_Row]]+1):INDEX(Tasks[_LeafFcstFinish],Tasks[[#This Row],[_Row]]+Tasks[[#This Row],[_Descendants]])),Tasks[[#This Row],[_LeafFcstFinish]]))</f>
        <v/>
      </c>
      <c r="V5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5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3" s="25" t="str">
        <f aca="false">IF(Tasks[[#This Row],[Task Name]]="","",IF(Tasks[[#This Row],[_IsSummary]],MIN(INDEX(Tasks[_LeafLateStart],Tasks[[#This Row],[_Row]]+1):INDEX(Tasks[_LeafLateStart],Tasks[[#This Row],[_Row]]+Tasks[[#This Row],[_Descendants]])),Tasks[[#This Row],[_LeafLateStart]]))</f>
        <v/>
      </c>
      <c r="Y53" s="25" t="str">
        <f aca="false">IF(Tasks[[#This Row],[Task Name]]="","",IF(Tasks[[#This Row],[_IsSummary]],MAX(INDEX(Tasks[_LeafLateFinish],Tasks[[#This Row],[_Row]]+1):INDEX(Tasks[_LeafLateFinish],Tasks[[#This Row],[_Row]]+Tasks[[#This Row],[_Descendants]])),Tasks[[#This Row],[_LeafLateFinish]]))</f>
        <v/>
      </c>
      <c r="Z53" s="43" t="str">
        <f aca="false">IF(Tasks[[#This Row],[Task Name]]="","",IF(Tasks[[#This Row],[_IsSummary]],MIN(INDEX(Tasks[_LeafTotalSlack],Tasks[[#This Row],[_Row]]+1):INDEX(Tasks[_LeafTotalSlack],Tasks[[#This Row],[_Row]]+Tasks[[#This Row],[_Descendants]])),Tasks[[#This Row],[_LeafTotalSlack]]))</f>
        <v/>
      </c>
      <c r="AA5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3" s="28" t="str">
        <f aca="false">IF(Tasks[[#This Row],[Task Name]]="","",IF(IF(Tasks[[#This Row],[_IsSummary]],COUNTIF(INDEX(Tasks[_LeafCritical],Tasks[[#This Row],[_Row]]+1):INDEX(Tasks[_LeafCritical],Tasks[[#This Row],[_Row]]+Tasks[[#This Row],[_Descendants]]),TRUE())&gt;0,Tasks[[#This Row],[_LeafCritical]]),"Yes",""))</f>
        <v/>
      </c>
      <c r="AC5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3" s="24" t="str">
        <f aca="false">IF(Tasks[[#This Row],[Task Name]]="","",TRIM(IF(Tasks[[#This Row],[_Pred1Problem]]&lt;&gt;"","Pred 1: "&amp;Tasks[[#This Row],[_Pred1Problem]]&amp;". ","")&amp;IF(Tasks[[#This Row],[_Pred2Problem]]&lt;&gt;"","Pred 2: "&amp;Tasks[[#This Row],[_Pred2Problem]]&amp;".","")))</f>
        <v/>
      </c>
      <c r="AE53" s="88"/>
      <c r="AF53"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3" s="28" t="str">
        <f aca="false">IF(Tasks[[#This Row],[Task Name]]="","",IF(Tasks[[#This Row],[Progress]]&gt;=1,"Complete",IF(OR(N(Tasks[[#This Row],[Actual Start]])&gt;0,Tasks[[#This Row],[Progress]]&gt;0),IF(Tasks[[#This Row],[Finish Var]]&gt;0,"Behind","In Progress"),IF(Tasks[[#This Row],[Planned Start]]&lt;StatusDate,"Late Start","Not Started"))))</f>
        <v/>
      </c>
      <c r="AH53" s="30"/>
      <c r="AI53" s="88"/>
      <c r="AJ53" s="95" t="str">
        <f aca="false">IF(Tasks[[#This Row],[Task Name]]="","",IF(Tasks[[#This Row],[_IsSummary]],SUM(INDEX(Tasks[_LeafWork],Tasks[[#This Row],[_Row]]+1):INDEX(Tasks[_LeafWork],Tasks[[#This Row],[_Row]]+Tasks[[#This Row],[_Descendants]])),Tasks[[#This Row],[_LeafWork]]))</f>
        <v/>
      </c>
      <c r="AK53" s="96" t="str">
        <f aca="false">IF(Tasks[[#This Row],[Task Name]]="","",IF(Tasks[[#This Row],[_IsSummary]],SUM(INDEX(Tasks[_LeafCost],Tasks[[#This Row],[_Row]]+1):INDEX(Tasks[_LeafCost],Tasks[[#This Row],[_Row]]+Tasks[[#This Row],[_Descendants]])),Tasks[[#This Row],[_LeafCost]]))</f>
        <v/>
      </c>
      <c r="AL53" s="97"/>
      <c r="AM53" s="29"/>
      <c r="AN5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53" s="82"/>
      <c r="AP53" s="24" t="str">
        <f aca="false">IF(Tasks[[#This Row],[Task Name]]="","",Tasks[[#This Row],[_Pred1IDText]]&amp;IF(AND(Tasks[[#This Row],[_Pred1IDText]]&lt;&gt;"",Tasks[[#This Row],[_Pred2IDText]]&lt;&gt;""),",","")&amp;Tasks[[#This Row],[_Pred2IDText]])</f>
        <v/>
      </c>
      <c r="AQ53" s="30"/>
      <c r="AR53" s="25" t="str">
        <f aca="false">IF(Tasks[[#This Row],[Task Name]]="","",Tasks[[#This Row],[Forecast Start]])</f>
        <v/>
      </c>
      <c r="AS53" s="25" t="str">
        <f aca="false">IF(Tasks[[#This Row],[Task Name]]="","",Tasks[[#This Row],[Forecast Finish]])</f>
        <v/>
      </c>
      <c r="AT53" s="28" t="str">
        <f aca="false">IF(Tasks[[#This Row],[Task Name]]="","",IF(Tasks[[#This Row],[_IsSummary]],NETWORKDAYS.INTL(Tasks[[#This Row],[Forecast Start]],Tasks[[#This Row],[Forecast Finish]],WorkWeek,Holidays),N(Tasks[[#This Row],[Duration]])))</f>
        <v/>
      </c>
      <c r="AU53" s="95" t="str">
        <f aca="false">IF(Tasks[[#This Row],[Task Name]]="","",Tasks[[#This Row],[Work]])</f>
        <v/>
      </c>
      <c r="AV53" s="96" t="str">
        <f aca="false">IF(Tasks[[#This Row],[Task Name]]="","",Tasks[[#This Row],[Cost]])</f>
        <v/>
      </c>
      <c r="AW53" s="73"/>
      <c r="AX53" s="73"/>
      <c r="AY53" s="29"/>
      <c r="AZ53" s="98"/>
      <c r="BA53" s="97"/>
      <c r="BB53" s="28" t="str">
        <f aca="false">IF(OR(Tasks[[#This Row],[Task Name]]="",Tasks[[#This Row],[Baseline Duration]]=""),"",Tasks[[#This Row],[BL Source Duration]]-N(Tasks[[#This Row],[Baseline Duration]]))</f>
        <v/>
      </c>
      <c r="BC53" s="95" t="str">
        <f aca="false">IF(OR(Tasks[[#This Row],[Task Name]]="",Tasks[[#This Row],[Baseline Work]]=""),"",Tasks[[#This Row],[Work]]-N(Tasks[[#This Row],[Baseline Work]]))</f>
        <v/>
      </c>
      <c r="BD53" s="96" t="str">
        <f aca="false">IF(OR(Tasks[[#This Row],[Task Name]]="",Tasks[[#This Row],[Baseline Cost]]=""),"",Tasks[[#This Row],[Cost]]-N(Tasks[[#This Row],[Baseline Cost]]))</f>
        <v/>
      </c>
      <c r="BE53" s="96" t="str">
        <f aca="false">IF(Tasks[[#This Row],[Task Name]]="","",IF(Tasks[[#This Row],[_IsSummary]],SUM(INDEX(Tasks[_LeafBudget],Tasks[[#This Row],[_Row]]+1):INDEX(Tasks[_LeafBudget],Tasks[[#This Row],[_Row]]+Tasks[[#This Row],[_Descendants]])),Tasks[[#This Row],[_LeafBudget]]))</f>
        <v/>
      </c>
      <c r="BF53" s="96" t="str">
        <f aca="false">IF(Tasks[[#This Row],[Task Name]]="","",IF(Tasks[[#This Row],[_IsSummary]],SUM(INDEX(Tasks[_LeafPV],Tasks[[#This Row],[_Row]]+1):INDEX(Tasks[_LeafPV],Tasks[[#This Row],[_Row]]+Tasks[[#This Row],[_Descendants]])),Tasks[[#This Row],[_LeafPV]]))</f>
        <v/>
      </c>
      <c r="BG53" s="96" t="str">
        <f aca="false">IF(Tasks[[#This Row],[Task Name]]="","",IF(Tasks[[#This Row],[_IsSummary]],SUM(INDEX(Tasks[_LeafEV],Tasks[[#This Row],[_Row]]+1):INDEX(Tasks[_LeafEV],Tasks[[#This Row],[_Row]]+Tasks[[#This Row],[_Descendants]])),Tasks[[#This Row],[_LeafEV]]))</f>
        <v/>
      </c>
      <c r="BH53" s="96" t="str">
        <f aca="false">IF(Tasks[[#This Row],[Task Name]]="","",IF(Tasks[[#This Row],[_IsSummary]],SUM(INDEX(Tasks[_LeafAC],Tasks[[#This Row],[_Row]]+1):INDEX(Tasks[_LeafAC],Tasks[[#This Row],[_Row]]+Tasks[[#This Row],[_Descendants]])),Tasks[[#This Row],[_LeafAC]]))</f>
        <v/>
      </c>
      <c r="BI53" s="41" t="str">
        <f aca="false">IF(Tasks[[#This Row],[Task Name]]="","",MAX(1,N(Tasks[[#This Row],[Level]])))</f>
        <v/>
      </c>
      <c r="BJ53" s="41" t="n">
        <f aca="false">ROW()-ROW(Tasks[[#Headers],[ID]])</f>
        <v>48</v>
      </c>
      <c r="BK53" s="41" t="n">
        <f aca="false">IF(OR(Tasks[[#This Row],[Task Name]]="",Tasks[[#This Row],[_Level]]&lt;=1),0,IFERROR(LOOKUP(2,1/(Tasks[[#Headers],[_Level]]:Tasks[[#This Row],[_Level]]=Tasks[[#This Row],[_Level]]-1),ROW(Tasks[[#Headers],[_Level]]:Tasks[[#This Row],[_Level]])),0))</f>
        <v>0</v>
      </c>
      <c r="BL53" s="41" t="n">
        <f aca="false">IFERROR(N(INDEX(Tasks[_Level],Tasks[[#This Row],[_Row]]+1)),0)</f>
        <v>0</v>
      </c>
      <c r="BM53" s="99" t="b">
        <f aca="false">AND(Tasks[[#This Row],[Task Name]]&lt;&gt;"",Tasks[[#This Row],[_NextLevel]]&gt;Tasks[[#This Row],[_Level]])</f>
        <v>0</v>
      </c>
      <c r="BN53" s="41" t="n">
        <f aca="false">IF(Tasks[[#This Row],[_IsSummary]],COUNTIF(Tasks[WBS],Tasks[[#This Row],[WBS]]&amp;".*"),0)</f>
        <v>0</v>
      </c>
      <c r="BO53" s="41" t="n">
        <f aca="false">IF(AND(Tasks[[#This Row],[Task Name]]&lt;&gt;"",NOT(Tasks[[#This Row],[_IsSummary]])),1,0)</f>
        <v>0</v>
      </c>
      <c r="BP53" s="41" t="n">
        <f aca="false">IF(N(Tasks[[#This Row],[Pred1 UID]])=0,0,IFERROR(MATCH(Tasks[[#This Row],[Pred1 UID]],Tasks[UID],0),-1))</f>
        <v>0</v>
      </c>
      <c r="BQ53" s="41" t="n">
        <f aca="false">IF(N(Tasks[[#This Row],[Pred2 UID]])=0,0,IFERROR(MATCH(Tasks[[#This Row],[Pred2 UID]],Tasks[UID],0),-1))</f>
        <v>0</v>
      </c>
      <c r="BR53"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53" s="100" t="str">
        <f aca="false">IF(NOT(Tasks[[#This Row],[_IsLeaf]]=1),"",IF(N(Tasks[[#This Row],[Duration]])&lt;=0,Tasks[[#This Row],[_LeafCalcStart]],WORKDAY.INTL(Tasks[[#This Row],[_LeafCalcStart]],Tasks[[#This Row],[Duration]]-1,WorkWeek,Holidays)))</f>
        <v/>
      </c>
      <c r="BT53"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53"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53" s="41" t="n">
        <f aca="false">IF(NOT(Tasks[[#This Row],[_IsLeaf]]=1),0,IF(N(Tasks[[#This Row],[Actual Finish]])&gt;0,1,MIN(1,N(Tasks[[#This Row],[% Complete]]))))</f>
        <v>0</v>
      </c>
      <c r="BW53" s="41" t="n">
        <f aca="false">IF(OR(NOT(Tasks[[#This Row],[_IsLeaf]]=1),Tasks[[#This Row],[Resource]]=""),0,N(Tasks[[#This Row],[Duration]])*HoursPerDay*IF(Tasks[[#This Row],[Units]]="",DefaultUnits,Tasks[[#This Row],[Units]]))</f>
        <v>0</v>
      </c>
      <c r="BX53" s="41" t="n">
        <f aca="false">IF(Tasks[[#This Row],[_LeafWork]]=0,0,Tasks[[#This Row],[_LeafWork]]*IFERROR(INDEX(res_Rate,MATCH(Tasks[[#This Row],[Resource]],res_Name,0)),0))</f>
        <v>0</v>
      </c>
      <c r="BY5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5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5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5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53" s="41" t="n">
        <f aca="false">IF(NOT(Tasks[[#This Row],[_IsLeaf]]=1),0,MAX(_xlfn.MAXIFS(Tasks[_Row],Tasks[Pred1 UID],Tasks[[#This Row],[UID]]),_xlfn.MAXIFS(Tasks[_Row],Tasks[Pred2 UID],Tasks[[#This Row],[UID]])))</f>
        <v>0</v>
      </c>
      <c r="CD53"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53" s="100" t="str">
        <f aca="false">IF(NOT(Tasks[[#This Row],[_IsLeaf]]=1),"",MIN(ProjectFinish,IF(N(Tasks[[#This Row],[Deadline]])&gt;0,Tasks[[#This Row],[Deadline]],2958465),Tasks[[#This Row],[_SuccessorFinishLimit]]))</f>
        <v/>
      </c>
      <c r="CF53" s="100" t="str">
        <f aca="false">IF(NOT(Tasks[[#This Row],[_IsLeaf]]=1),"",IF(N(Tasks[[#This Row],[Duration]])&lt;=0,Tasks[[#This Row],[_LeafLateFinish]],WORKDAY.INTL(Tasks[[#This Row],[_LeafLateFinish]],-(Tasks[[#This Row],[Duration]]-1),WorkWeek,Holidays)))</f>
        <v/>
      </c>
      <c r="CG5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53" s="99" t="b">
        <f aca="false">AND(Tasks[[#This Row],[_IsLeaf]]=1,Tasks[[#This Row],[_LeafProgress]]&lt;1,N(Tasks[[#This Row],[_LeafTotalSlack]])&lt;=CriticalSlackDays)</f>
        <v>0</v>
      </c>
      <c r="CI53" s="100" t="str">
        <f aca="false">IF(Tasks[[#This Row],[Task Name]]="","",IF(Tasks[[#This Row],[_IsSummary]],MIN(INDEX(Tasks[_LeafCalcStart],Tasks[[#This Row],[_Row]]+1):INDEX(Tasks[_LeafCalcStart],Tasks[[#This Row],[_Row]]+Tasks[[#This Row],[_Descendants]])),Tasks[[#This Row],[_LeafCalcStart]]))</f>
        <v/>
      </c>
      <c r="CJ53" s="100" t="str">
        <f aca="false">IF(Tasks[[#This Row],[Task Name]]="","",IF(Tasks[[#This Row],[_IsSummary]],MAX(INDEX(Tasks[_LeafCalcFinish],Tasks[[#This Row],[_Row]]+1):INDEX(Tasks[_LeafCalcFinish],Tasks[[#This Row],[_Row]]+Tasks[[#This Row],[_Descendants]])),Tasks[[#This Row],[_LeafCalcFinish]]))</f>
        <v/>
      </c>
      <c r="CK5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5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53"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53"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53"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53"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53" s="41" t="n">
        <f aca="false">IF(AND(Tasks[[#This Row],[_IsLeaf]]=1,Tasks[[#This Row],[_LeafWork]]&gt;0),NETWORKDAYS.INTL(ProjectStart,Tasks[[#This Row],[_LeafFcstStart]],WorkWeek,Holidays),0)</f>
        <v>0</v>
      </c>
      <c r="CR53" s="41" t="n">
        <f aca="false">IF(AND(Tasks[[#This Row],[_IsLeaf]]=1,Tasks[[#This Row],[_LeafWork]]&gt;0),MAX(Tasks[[#This Row],[_StartWorkday]],NETWORKDAYS.INTL(ProjectStart,Tasks[[#This Row],[_LeafFcstFinish]],WorkWeek,Holidays)),0)</f>
        <v>0</v>
      </c>
      <c r="CS53" s="41" t="n">
        <f aca="false">IF(AND(Tasks[[#This Row],[_IsLeaf]]=1,Tasks[[#This Row],[_LeafWork]]&gt;0),Tasks[[#This Row],[_LeafWork]]/(Tasks[[#This Row],[_FinishWorkday]]-Tasks[[#This Row],[_StartWorkday]]+1),0)</f>
        <v>0</v>
      </c>
      <c r="CT53" s="41" t="n">
        <f aca="false">Tasks[[#This Row],[_WorkPerWorkday]]*(Tasks[[#This Row],[_StartWorkday]]-1)</f>
        <v>-0</v>
      </c>
      <c r="CU53" s="41" t="n">
        <f aca="false">IF(Tasks[[#This Row],[_IsLeaf]]=1,MAX(N(Tasks[[#This Row],[Duration]]),0.1),0)</f>
        <v>0</v>
      </c>
      <c r="CV53" s="41" t="n">
        <f aca="false">Tasks[[#This Row],[_WeightDur]]*Tasks[[#This Row],[_LeafProgress]]</f>
        <v>0</v>
      </c>
      <c r="CW5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5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5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5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53" s="41" t="str">
        <f aca="false">IF(Tasks[[#This Row],[Task Name]]="","",Tasks[[#This Row],[_Pred1UIDText]]&amp;IF(AND(Tasks[[#This Row],[_Pred1UIDText]]&lt;&gt;"",Tasks[[#This Row],[_Pred2UIDText]]&lt;&gt;""),",","")&amp;Tasks[[#This Row],[_Pred2UIDText]])</f>
        <v/>
      </c>
      <c r="DB53" s="41" t="str">
        <f aca="false">IF(AND(Tasks[[#This Row],[_IsLeaf]]=1,N(Tasks[[#This Row],[Duration]])=0,Tasks[[#This Row],[_LeafProgress]]&lt;1),Tasks[[#This Row],[_LeafFcstFinish]]+Tasks[[#This Row],[_Row]]/100000,"")</f>
        <v/>
      </c>
      <c r="DC5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53" s="41" t="n">
        <f aca="false">IF(NOT(Tasks[[#This Row],[_IsLeaf]]=1),0,IF(Tasks[[#This Row],[Baseline Cost]]="",Tasks[[#This Row],[_LeafCost]],N(Tasks[[#This Row],[Baseline Cost]])))</f>
        <v>0</v>
      </c>
      <c r="DE53" s="41" t="n">
        <f aca="false">Tasks[[#This Row],[_LeafBudget]]*Tasks[[#This Row],[_PlannedPct]]</f>
        <v>0</v>
      </c>
      <c r="DF53" s="41" t="n">
        <f aca="false">Tasks[[#This Row],[_LeafBudget]]*Tasks[[#This Row],[_LeafProgress]]</f>
        <v>0</v>
      </c>
      <c r="DG53" s="41" t="n">
        <f aca="false">IF(NOT(Tasks[[#This Row],[_IsLeaf]]=1),0,IF(Tasks[[#This Row],[Actual Cost]]="",Tasks[[#This Row],[_LeafCost]]*Tasks[[#This Row],[_LeafProgress]],N(Tasks[[#This Row],[Actual Cost]])))</f>
        <v>0</v>
      </c>
      <c r="DH53" s="41" t="str">
        <f aca="false">IF(Tasks[[#This Row],[Task Name]]="","",LEFT(Tasks[[#This Row],[WBS]],FIND(".",Tasks[[#This Row],[WBS]]&amp;".")-1))</f>
        <v/>
      </c>
      <c r="DI53" s="41" t="str">
        <f aca="false">IF(AND(Tasks[[#This Row],[Task Name]]&lt;&gt;"",Tasks[[#This Row],[_Level]]=1),Tasks[[#This Row],[_Row]],"")</f>
        <v/>
      </c>
      <c r="DJ53" s="41" t="str">
        <f aca="false">IF(AND(Tasks[[#This Row],[_IsLeaf]]=1,N(Tasks[[#This Row],[Duration]])=0),Tasks[[#This Row],[Planned Finish]]+Tasks[[#This Row],[_Row]]/100000,"")</f>
        <v/>
      </c>
      <c r="DK53" s="41" t="str">
        <f aca="false">IF(AND(Tasks[[#This Row],[_IsLeaf]]=1,Tasks[[#This Row],[_LeafProgress]]&lt;1,OR(N(Tasks[[#This Row],[Finish Var]])&gt;0,Tasks[[#This Row],[Status]]="Late Start")),MAX(0,Tasks[[#This Row],[Finish Var]])+1-Tasks[[#This Row],[_Row]]/1000000,"")</f>
        <v/>
      </c>
      <c r="DL53" s="41" t="str">
        <f aca="false">IF(AND(Tasks[[#This Row],[_IsLeaf]]=1,N(Tasks[[#This Row],[Actual Start]])=0,Tasks[[#This Row],[_LeafFcstStart]]&gt;=StatusDate,Tasks[[#This Row],[_LeafFcstStart]]&lt;=LookaheadEnd),Tasks[[#This Row],[_LeafFcstStart]]+Tasks[[#This Row],[_Row]]/100000,"")</f>
        <v/>
      </c>
      <c r="DM53" s="41" t="str">
        <f aca="false">IF(AND(Tasks[[#This Row],[_IsLeaf]]=1,Tasks[[#This Row],[_LeafProgress]]&lt;1,Tasks[[#This Row],[_LeafFcstFinish]]&gt;=StatusDate,Tasks[[#This Row],[_LeafFcstFinish]]&lt;=LookaheadEnd),Tasks[[#This Row],[_LeafFcstFinish]]+Tasks[[#This Row],[_Row]]/100000,"")</f>
        <v/>
      </c>
      <c r="DN53" s="41" t="str">
        <f aca="false">IF(Tasks[[#This Row],[_LeafCritical]],Tasks[[#This Row],[_LeafFcstStart]]+Tasks[[#This Row],[_Row]]/100000,"")</f>
        <v/>
      </c>
      <c r="DO53" s="41" t="n">
        <f aca="false">Tasks[[#This Row],[_LeafWork]]*Tasks[[#This Row],[_LeafProgress]]</f>
        <v>0</v>
      </c>
      <c r="DP53" s="100" t="str">
        <f aca="false">IF(AND(Tasks[[#This Row],[_IsLeaf]]=1,Tasks[[#This Row],[_LeafProgress]]&gt;=1),IF(N(Tasks[[#This Row],[Actual Finish]])&gt;0,Tasks[[#This Row],[Actual Finish]],Tasks[[#This Row],[_LeafFcstFinish]]),"")</f>
        <v/>
      </c>
      <c r="DQ53" s="41" t="n">
        <f aca="false">IF(Tasks[[#This Row],[_IsLeaf]]=1,N(Tasks[[#This Row],[Story Points]]),0)</f>
        <v>0</v>
      </c>
      <c r="DR53" s="41" t="str">
        <f aca="false">IF(AND(Tasks[[#This Row],[_IsLeaf]]=1,CurrentSprint&lt;&gt;"",Tasks[[#This Row],[Sprint]]=CurrentSprint),Tasks[[#This Row],[_Row]],"")</f>
        <v/>
      </c>
    </row>
    <row r="54" customFormat="false" ht="15" hidden="false" customHeight="false" outlineLevel="0" collapsed="false">
      <c r="A54" s="28" t="str">
        <f aca="false">IF(Tasks[[#This Row],[Task Name]]="","",COUNTA(Tasks[[#Headers],[Task Name]]:Tasks[[#This Row],[Task Name]])-1)</f>
        <v/>
      </c>
      <c r="B54" s="29" t="n">
        <v>49</v>
      </c>
      <c r="C5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4" s="29"/>
      <c r="E54" s="30"/>
      <c r="F54" s="29"/>
      <c r="G54" s="29"/>
      <c r="H54" s="29"/>
      <c r="I54" s="29"/>
      <c r="J54" s="29"/>
      <c r="K54" s="29"/>
      <c r="L54" s="29"/>
      <c r="M54" s="29"/>
      <c r="N54" s="73"/>
      <c r="O54" s="73"/>
      <c r="P54" s="25" t="str">
        <f aca="false">IF(Tasks[[#This Row],[Task Name]]="","",IF(N(Tasks[[#This Row],[Baseline Start]])&gt;0,Tasks[[#This Row],[Baseline Start]],Tasks[[#This Row],[_CalcStart]]))</f>
        <v/>
      </c>
      <c r="Q54" s="25" t="str">
        <f aca="false">IF(Tasks[[#This Row],[Task Name]]="","",IF(N(Tasks[[#This Row],[Baseline Finish]])&gt;0,Tasks[[#This Row],[Baseline Finish]],Tasks[[#This Row],[_CalcFinish]]))</f>
        <v/>
      </c>
      <c r="R54" s="73"/>
      <c r="S54" s="73"/>
      <c r="T54" s="25" t="str">
        <f aca="false">IF(Tasks[[#This Row],[Task Name]]="","",IF(Tasks[[#This Row],[_IsSummary]],MIN(INDEX(Tasks[_LeafFcstStart],Tasks[[#This Row],[_Row]]+1):INDEX(Tasks[_LeafFcstStart],Tasks[[#This Row],[_Row]]+Tasks[[#This Row],[_Descendants]])),Tasks[[#This Row],[_LeafFcstStart]]))</f>
        <v/>
      </c>
      <c r="U54" s="25" t="str">
        <f aca="false">IF(Tasks[[#This Row],[Task Name]]="","",IF(Tasks[[#This Row],[_IsSummary]],MAX(INDEX(Tasks[_LeafFcstFinish],Tasks[[#This Row],[_Row]]+1):INDEX(Tasks[_LeafFcstFinish],Tasks[[#This Row],[_Row]]+Tasks[[#This Row],[_Descendants]])),Tasks[[#This Row],[_LeafFcstFinish]]))</f>
        <v/>
      </c>
      <c r="V5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5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4" s="25" t="str">
        <f aca="false">IF(Tasks[[#This Row],[Task Name]]="","",IF(Tasks[[#This Row],[_IsSummary]],MIN(INDEX(Tasks[_LeafLateStart],Tasks[[#This Row],[_Row]]+1):INDEX(Tasks[_LeafLateStart],Tasks[[#This Row],[_Row]]+Tasks[[#This Row],[_Descendants]])),Tasks[[#This Row],[_LeafLateStart]]))</f>
        <v/>
      </c>
      <c r="Y54" s="25" t="str">
        <f aca="false">IF(Tasks[[#This Row],[Task Name]]="","",IF(Tasks[[#This Row],[_IsSummary]],MAX(INDEX(Tasks[_LeafLateFinish],Tasks[[#This Row],[_Row]]+1):INDEX(Tasks[_LeafLateFinish],Tasks[[#This Row],[_Row]]+Tasks[[#This Row],[_Descendants]])),Tasks[[#This Row],[_LeafLateFinish]]))</f>
        <v/>
      </c>
      <c r="Z54" s="43" t="str">
        <f aca="false">IF(Tasks[[#This Row],[Task Name]]="","",IF(Tasks[[#This Row],[_IsSummary]],MIN(INDEX(Tasks[_LeafTotalSlack],Tasks[[#This Row],[_Row]]+1):INDEX(Tasks[_LeafTotalSlack],Tasks[[#This Row],[_Row]]+Tasks[[#This Row],[_Descendants]])),Tasks[[#This Row],[_LeafTotalSlack]]))</f>
        <v/>
      </c>
      <c r="AA5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4" s="28" t="str">
        <f aca="false">IF(Tasks[[#This Row],[Task Name]]="","",IF(IF(Tasks[[#This Row],[_IsSummary]],COUNTIF(INDEX(Tasks[_LeafCritical],Tasks[[#This Row],[_Row]]+1):INDEX(Tasks[_LeafCritical],Tasks[[#This Row],[_Row]]+Tasks[[#This Row],[_Descendants]]),TRUE())&gt;0,Tasks[[#This Row],[_LeafCritical]]),"Yes",""))</f>
        <v/>
      </c>
      <c r="AC5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4" s="24" t="str">
        <f aca="false">IF(Tasks[[#This Row],[Task Name]]="","",TRIM(IF(Tasks[[#This Row],[_Pred1Problem]]&lt;&gt;"","Pred 1: "&amp;Tasks[[#This Row],[_Pred1Problem]]&amp;". ","")&amp;IF(Tasks[[#This Row],[_Pred2Problem]]&lt;&gt;"","Pred 2: "&amp;Tasks[[#This Row],[_Pred2Problem]]&amp;".","")))</f>
        <v/>
      </c>
      <c r="AE54" s="88"/>
      <c r="AF54"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4" s="28" t="str">
        <f aca="false">IF(Tasks[[#This Row],[Task Name]]="","",IF(Tasks[[#This Row],[Progress]]&gt;=1,"Complete",IF(OR(N(Tasks[[#This Row],[Actual Start]])&gt;0,Tasks[[#This Row],[Progress]]&gt;0),IF(Tasks[[#This Row],[Finish Var]]&gt;0,"Behind","In Progress"),IF(Tasks[[#This Row],[Planned Start]]&lt;StatusDate,"Late Start","Not Started"))))</f>
        <v/>
      </c>
      <c r="AH54" s="30"/>
      <c r="AI54" s="88"/>
      <c r="AJ54" s="95" t="str">
        <f aca="false">IF(Tasks[[#This Row],[Task Name]]="","",IF(Tasks[[#This Row],[_IsSummary]],SUM(INDEX(Tasks[_LeafWork],Tasks[[#This Row],[_Row]]+1):INDEX(Tasks[_LeafWork],Tasks[[#This Row],[_Row]]+Tasks[[#This Row],[_Descendants]])),Tasks[[#This Row],[_LeafWork]]))</f>
        <v/>
      </c>
      <c r="AK54" s="96" t="str">
        <f aca="false">IF(Tasks[[#This Row],[Task Name]]="","",IF(Tasks[[#This Row],[_IsSummary]],SUM(INDEX(Tasks[_LeafCost],Tasks[[#This Row],[_Row]]+1):INDEX(Tasks[_LeafCost],Tasks[[#This Row],[_Row]]+Tasks[[#This Row],[_Descendants]])),Tasks[[#This Row],[_LeafCost]]))</f>
        <v/>
      </c>
      <c r="AL54" s="97"/>
      <c r="AM54" s="29"/>
      <c r="AN5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54" s="82"/>
      <c r="AP54" s="24" t="str">
        <f aca="false">IF(Tasks[[#This Row],[Task Name]]="","",Tasks[[#This Row],[_Pred1IDText]]&amp;IF(AND(Tasks[[#This Row],[_Pred1IDText]]&lt;&gt;"",Tasks[[#This Row],[_Pred2IDText]]&lt;&gt;""),",","")&amp;Tasks[[#This Row],[_Pred2IDText]])</f>
        <v/>
      </c>
      <c r="AQ54" s="30"/>
      <c r="AR54" s="25" t="str">
        <f aca="false">IF(Tasks[[#This Row],[Task Name]]="","",Tasks[[#This Row],[Forecast Start]])</f>
        <v/>
      </c>
      <c r="AS54" s="25" t="str">
        <f aca="false">IF(Tasks[[#This Row],[Task Name]]="","",Tasks[[#This Row],[Forecast Finish]])</f>
        <v/>
      </c>
      <c r="AT54" s="28" t="str">
        <f aca="false">IF(Tasks[[#This Row],[Task Name]]="","",IF(Tasks[[#This Row],[_IsSummary]],NETWORKDAYS.INTL(Tasks[[#This Row],[Forecast Start]],Tasks[[#This Row],[Forecast Finish]],WorkWeek,Holidays),N(Tasks[[#This Row],[Duration]])))</f>
        <v/>
      </c>
      <c r="AU54" s="95" t="str">
        <f aca="false">IF(Tasks[[#This Row],[Task Name]]="","",Tasks[[#This Row],[Work]])</f>
        <v/>
      </c>
      <c r="AV54" s="96" t="str">
        <f aca="false">IF(Tasks[[#This Row],[Task Name]]="","",Tasks[[#This Row],[Cost]])</f>
        <v/>
      </c>
      <c r="AW54" s="73"/>
      <c r="AX54" s="73"/>
      <c r="AY54" s="29"/>
      <c r="AZ54" s="98"/>
      <c r="BA54" s="97"/>
      <c r="BB54" s="28" t="str">
        <f aca="false">IF(OR(Tasks[[#This Row],[Task Name]]="",Tasks[[#This Row],[Baseline Duration]]=""),"",Tasks[[#This Row],[BL Source Duration]]-N(Tasks[[#This Row],[Baseline Duration]]))</f>
        <v/>
      </c>
      <c r="BC54" s="95" t="str">
        <f aca="false">IF(OR(Tasks[[#This Row],[Task Name]]="",Tasks[[#This Row],[Baseline Work]]=""),"",Tasks[[#This Row],[Work]]-N(Tasks[[#This Row],[Baseline Work]]))</f>
        <v/>
      </c>
      <c r="BD54" s="96" t="str">
        <f aca="false">IF(OR(Tasks[[#This Row],[Task Name]]="",Tasks[[#This Row],[Baseline Cost]]=""),"",Tasks[[#This Row],[Cost]]-N(Tasks[[#This Row],[Baseline Cost]]))</f>
        <v/>
      </c>
      <c r="BE54" s="96" t="str">
        <f aca="false">IF(Tasks[[#This Row],[Task Name]]="","",IF(Tasks[[#This Row],[_IsSummary]],SUM(INDEX(Tasks[_LeafBudget],Tasks[[#This Row],[_Row]]+1):INDEX(Tasks[_LeafBudget],Tasks[[#This Row],[_Row]]+Tasks[[#This Row],[_Descendants]])),Tasks[[#This Row],[_LeafBudget]]))</f>
        <v/>
      </c>
      <c r="BF54" s="96" t="str">
        <f aca="false">IF(Tasks[[#This Row],[Task Name]]="","",IF(Tasks[[#This Row],[_IsSummary]],SUM(INDEX(Tasks[_LeafPV],Tasks[[#This Row],[_Row]]+1):INDEX(Tasks[_LeafPV],Tasks[[#This Row],[_Row]]+Tasks[[#This Row],[_Descendants]])),Tasks[[#This Row],[_LeafPV]]))</f>
        <v/>
      </c>
      <c r="BG54" s="96" t="str">
        <f aca="false">IF(Tasks[[#This Row],[Task Name]]="","",IF(Tasks[[#This Row],[_IsSummary]],SUM(INDEX(Tasks[_LeafEV],Tasks[[#This Row],[_Row]]+1):INDEX(Tasks[_LeafEV],Tasks[[#This Row],[_Row]]+Tasks[[#This Row],[_Descendants]])),Tasks[[#This Row],[_LeafEV]]))</f>
        <v/>
      </c>
      <c r="BH54" s="96" t="str">
        <f aca="false">IF(Tasks[[#This Row],[Task Name]]="","",IF(Tasks[[#This Row],[_IsSummary]],SUM(INDEX(Tasks[_LeafAC],Tasks[[#This Row],[_Row]]+1):INDEX(Tasks[_LeafAC],Tasks[[#This Row],[_Row]]+Tasks[[#This Row],[_Descendants]])),Tasks[[#This Row],[_LeafAC]]))</f>
        <v/>
      </c>
      <c r="BI54" s="41" t="str">
        <f aca="false">IF(Tasks[[#This Row],[Task Name]]="","",MAX(1,N(Tasks[[#This Row],[Level]])))</f>
        <v/>
      </c>
      <c r="BJ54" s="41" t="n">
        <f aca="false">ROW()-ROW(Tasks[[#Headers],[ID]])</f>
        <v>49</v>
      </c>
      <c r="BK54" s="41" t="n">
        <f aca="false">IF(OR(Tasks[[#This Row],[Task Name]]="",Tasks[[#This Row],[_Level]]&lt;=1),0,IFERROR(LOOKUP(2,1/(Tasks[[#Headers],[_Level]]:Tasks[[#This Row],[_Level]]=Tasks[[#This Row],[_Level]]-1),ROW(Tasks[[#Headers],[_Level]]:Tasks[[#This Row],[_Level]])),0))</f>
        <v>0</v>
      </c>
      <c r="BL54" s="41" t="n">
        <f aca="false">IFERROR(N(INDEX(Tasks[_Level],Tasks[[#This Row],[_Row]]+1)),0)</f>
        <v>0</v>
      </c>
      <c r="BM54" s="99" t="b">
        <f aca="false">AND(Tasks[[#This Row],[Task Name]]&lt;&gt;"",Tasks[[#This Row],[_NextLevel]]&gt;Tasks[[#This Row],[_Level]])</f>
        <v>0</v>
      </c>
      <c r="BN54" s="41" t="n">
        <f aca="false">IF(Tasks[[#This Row],[_IsSummary]],COUNTIF(Tasks[WBS],Tasks[[#This Row],[WBS]]&amp;".*"),0)</f>
        <v>0</v>
      </c>
      <c r="BO54" s="41" t="n">
        <f aca="false">IF(AND(Tasks[[#This Row],[Task Name]]&lt;&gt;"",NOT(Tasks[[#This Row],[_IsSummary]])),1,0)</f>
        <v>0</v>
      </c>
      <c r="BP54" s="41" t="n">
        <f aca="false">IF(N(Tasks[[#This Row],[Pred1 UID]])=0,0,IFERROR(MATCH(Tasks[[#This Row],[Pred1 UID]],Tasks[UID],0),-1))</f>
        <v>0</v>
      </c>
      <c r="BQ54" s="41" t="n">
        <f aca="false">IF(N(Tasks[[#This Row],[Pred2 UID]])=0,0,IFERROR(MATCH(Tasks[[#This Row],[Pred2 UID]],Tasks[UID],0),-1))</f>
        <v>0</v>
      </c>
      <c r="BR54"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54" s="100" t="str">
        <f aca="false">IF(NOT(Tasks[[#This Row],[_IsLeaf]]=1),"",IF(N(Tasks[[#This Row],[Duration]])&lt;=0,Tasks[[#This Row],[_LeafCalcStart]],WORKDAY.INTL(Tasks[[#This Row],[_LeafCalcStart]],Tasks[[#This Row],[Duration]]-1,WorkWeek,Holidays)))</f>
        <v/>
      </c>
      <c r="BT54"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54"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54" s="41" t="n">
        <f aca="false">IF(NOT(Tasks[[#This Row],[_IsLeaf]]=1),0,IF(N(Tasks[[#This Row],[Actual Finish]])&gt;0,1,MIN(1,N(Tasks[[#This Row],[% Complete]]))))</f>
        <v>0</v>
      </c>
      <c r="BW54" s="41" t="n">
        <f aca="false">IF(OR(NOT(Tasks[[#This Row],[_IsLeaf]]=1),Tasks[[#This Row],[Resource]]=""),0,N(Tasks[[#This Row],[Duration]])*HoursPerDay*IF(Tasks[[#This Row],[Units]]="",DefaultUnits,Tasks[[#This Row],[Units]]))</f>
        <v>0</v>
      </c>
      <c r="BX54" s="41" t="n">
        <f aca="false">IF(Tasks[[#This Row],[_LeafWork]]=0,0,Tasks[[#This Row],[_LeafWork]]*IFERROR(INDEX(res_Rate,MATCH(Tasks[[#This Row],[Resource]],res_Name,0)),0))</f>
        <v>0</v>
      </c>
      <c r="BY5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5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5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5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54" s="41" t="n">
        <f aca="false">IF(NOT(Tasks[[#This Row],[_IsLeaf]]=1),0,MAX(_xlfn.MAXIFS(Tasks[_Row],Tasks[Pred1 UID],Tasks[[#This Row],[UID]]),_xlfn.MAXIFS(Tasks[_Row],Tasks[Pred2 UID],Tasks[[#This Row],[UID]])))</f>
        <v>0</v>
      </c>
      <c r="CD54"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54" s="100" t="str">
        <f aca="false">IF(NOT(Tasks[[#This Row],[_IsLeaf]]=1),"",MIN(ProjectFinish,IF(N(Tasks[[#This Row],[Deadline]])&gt;0,Tasks[[#This Row],[Deadline]],2958465),Tasks[[#This Row],[_SuccessorFinishLimit]]))</f>
        <v/>
      </c>
      <c r="CF54" s="100" t="str">
        <f aca="false">IF(NOT(Tasks[[#This Row],[_IsLeaf]]=1),"",IF(N(Tasks[[#This Row],[Duration]])&lt;=0,Tasks[[#This Row],[_LeafLateFinish]],WORKDAY.INTL(Tasks[[#This Row],[_LeafLateFinish]],-(Tasks[[#This Row],[Duration]]-1),WorkWeek,Holidays)))</f>
        <v/>
      </c>
      <c r="CG5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54" s="99" t="b">
        <f aca="false">AND(Tasks[[#This Row],[_IsLeaf]]=1,Tasks[[#This Row],[_LeafProgress]]&lt;1,N(Tasks[[#This Row],[_LeafTotalSlack]])&lt;=CriticalSlackDays)</f>
        <v>0</v>
      </c>
      <c r="CI54" s="100" t="str">
        <f aca="false">IF(Tasks[[#This Row],[Task Name]]="","",IF(Tasks[[#This Row],[_IsSummary]],MIN(INDEX(Tasks[_LeafCalcStart],Tasks[[#This Row],[_Row]]+1):INDEX(Tasks[_LeafCalcStart],Tasks[[#This Row],[_Row]]+Tasks[[#This Row],[_Descendants]])),Tasks[[#This Row],[_LeafCalcStart]]))</f>
        <v/>
      </c>
      <c r="CJ54" s="100" t="str">
        <f aca="false">IF(Tasks[[#This Row],[Task Name]]="","",IF(Tasks[[#This Row],[_IsSummary]],MAX(INDEX(Tasks[_LeafCalcFinish],Tasks[[#This Row],[_Row]]+1):INDEX(Tasks[_LeafCalcFinish],Tasks[[#This Row],[_Row]]+Tasks[[#This Row],[_Descendants]])),Tasks[[#This Row],[_LeafCalcFinish]]))</f>
        <v/>
      </c>
      <c r="CK5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5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54"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54"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54"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54"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54" s="41" t="n">
        <f aca="false">IF(AND(Tasks[[#This Row],[_IsLeaf]]=1,Tasks[[#This Row],[_LeafWork]]&gt;0),NETWORKDAYS.INTL(ProjectStart,Tasks[[#This Row],[_LeafFcstStart]],WorkWeek,Holidays),0)</f>
        <v>0</v>
      </c>
      <c r="CR54" s="41" t="n">
        <f aca="false">IF(AND(Tasks[[#This Row],[_IsLeaf]]=1,Tasks[[#This Row],[_LeafWork]]&gt;0),MAX(Tasks[[#This Row],[_StartWorkday]],NETWORKDAYS.INTL(ProjectStart,Tasks[[#This Row],[_LeafFcstFinish]],WorkWeek,Holidays)),0)</f>
        <v>0</v>
      </c>
      <c r="CS54" s="41" t="n">
        <f aca="false">IF(AND(Tasks[[#This Row],[_IsLeaf]]=1,Tasks[[#This Row],[_LeafWork]]&gt;0),Tasks[[#This Row],[_LeafWork]]/(Tasks[[#This Row],[_FinishWorkday]]-Tasks[[#This Row],[_StartWorkday]]+1),0)</f>
        <v>0</v>
      </c>
      <c r="CT54" s="41" t="n">
        <f aca="false">Tasks[[#This Row],[_WorkPerWorkday]]*(Tasks[[#This Row],[_StartWorkday]]-1)</f>
        <v>-0</v>
      </c>
      <c r="CU54" s="41" t="n">
        <f aca="false">IF(Tasks[[#This Row],[_IsLeaf]]=1,MAX(N(Tasks[[#This Row],[Duration]]),0.1),0)</f>
        <v>0</v>
      </c>
      <c r="CV54" s="41" t="n">
        <f aca="false">Tasks[[#This Row],[_WeightDur]]*Tasks[[#This Row],[_LeafProgress]]</f>
        <v>0</v>
      </c>
      <c r="CW5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5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5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5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54" s="41" t="str">
        <f aca="false">IF(Tasks[[#This Row],[Task Name]]="","",Tasks[[#This Row],[_Pred1UIDText]]&amp;IF(AND(Tasks[[#This Row],[_Pred1UIDText]]&lt;&gt;"",Tasks[[#This Row],[_Pred2UIDText]]&lt;&gt;""),",","")&amp;Tasks[[#This Row],[_Pred2UIDText]])</f>
        <v/>
      </c>
      <c r="DB54" s="41" t="str">
        <f aca="false">IF(AND(Tasks[[#This Row],[_IsLeaf]]=1,N(Tasks[[#This Row],[Duration]])=0,Tasks[[#This Row],[_LeafProgress]]&lt;1),Tasks[[#This Row],[_LeafFcstFinish]]+Tasks[[#This Row],[_Row]]/100000,"")</f>
        <v/>
      </c>
      <c r="DC5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54" s="41" t="n">
        <f aca="false">IF(NOT(Tasks[[#This Row],[_IsLeaf]]=1),0,IF(Tasks[[#This Row],[Baseline Cost]]="",Tasks[[#This Row],[_LeafCost]],N(Tasks[[#This Row],[Baseline Cost]])))</f>
        <v>0</v>
      </c>
      <c r="DE54" s="41" t="n">
        <f aca="false">Tasks[[#This Row],[_LeafBudget]]*Tasks[[#This Row],[_PlannedPct]]</f>
        <v>0</v>
      </c>
      <c r="DF54" s="41" t="n">
        <f aca="false">Tasks[[#This Row],[_LeafBudget]]*Tasks[[#This Row],[_LeafProgress]]</f>
        <v>0</v>
      </c>
      <c r="DG54" s="41" t="n">
        <f aca="false">IF(NOT(Tasks[[#This Row],[_IsLeaf]]=1),0,IF(Tasks[[#This Row],[Actual Cost]]="",Tasks[[#This Row],[_LeafCost]]*Tasks[[#This Row],[_LeafProgress]],N(Tasks[[#This Row],[Actual Cost]])))</f>
        <v>0</v>
      </c>
      <c r="DH54" s="41" t="str">
        <f aca="false">IF(Tasks[[#This Row],[Task Name]]="","",LEFT(Tasks[[#This Row],[WBS]],FIND(".",Tasks[[#This Row],[WBS]]&amp;".")-1))</f>
        <v/>
      </c>
      <c r="DI54" s="41" t="str">
        <f aca="false">IF(AND(Tasks[[#This Row],[Task Name]]&lt;&gt;"",Tasks[[#This Row],[_Level]]=1),Tasks[[#This Row],[_Row]],"")</f>
        <v/>
      </c>
      <c r="DJ54" s="41" t="str">
        <f aca="false">IF(AND(Tasks[[#This Row],[_IsLeaf]]=1,N(Tasks[[#This Row],[Duration]])=0),Tasks[[#This Row],[Planned Finish]]+Tasks[[#This Row],[_Row]]/100000,"")</f>
        <v/>
      </c>
      <c r="DK54" s="41" t="str">
        <f aca="false">IF(AND(Tasks[[#This Row],[_IsLeaf]]=1,Tasks[[#This Row],[_LeafProgress]]&lt;1,OR(N(Tasks[[#This Row],[Finish Var]])&gt;0,Tasks[[#This Row],[Status]]="Late Start")),MAX(0,Tasks[[#This Row],[Finish Var]])+1-Tasks[[#This Row],[_Row]]/1000000,"")</f>
        <v/>
      </c>
      <c r="DL54" s="41" t="str">
        <f aca="false">IF(AND(Tasks[[#This Row],[_IsLeaf]]=1,N(Tasks[[#This Row],[Actual Start]])=0,Tasks[[#This Row],[_LeafFcstStart]]&gt;=StatusDate,Tasks[[#This Row],[_LeafFcstStart]]&lt;=LookaheadEnd),Tasks[[#This Row],[_LeafFcstStart]]+Tasks[[#This Row],[_Row]]/100000,"")</f>
        <v/>
      </c>
      <c r="DM54" s="41" t="str">
        <f aca="false">IF(AND(Tasks[[#This Row],[_IsLeaf]]=1,Tasks[[#This Row],[_LeafProgress]]&lt;1,Tasks[[#This Row],[_LeafFcstFinish]]&gt;=StatusDate,Tasks[[#This Row],[_LeafFcstFinish]]&lt;=LookaheadEnd),Tasks[[#This Row],[_LeafFcstFinish]]+Tasks[[#This Row],[_Row]]/100000,"")</f>
        <v/>
      </c>
      <c r="DN54" s="41" t="str">
        <f aca="false">IF(Tasks[[#This Row],[_LeafCritical]],Tasks[[#This Row],[_LeafFcstStart]]+Tasks[[#This Row],[_Row]]/100000,"")</f>
        <v/>
      </c>
      <c r="DO54" s="41" t="n">
        <f aca="false">Tasks[[#This Row],[_LeafWork]]*Tasks[[#This Row],[_LeafProgress]]</f>
        <v>0</v>
      </c>
      <c r="DP54" s="100" t="str">
        <f aca="false">IF(AND(Tasks[[#This Row],[_IsLeaf]]=1,Tasks[[#This Row],[_LeafProgress]]&gt;=1),IF(N(Tasks[[#This Row],[Actual Finish]])&gt;0,Tasks[[#This Row],[Actual Finish]],Tasks[[#This Row],[_LeafFcstFinish]]),"")</f>
        <v/>
      </c>
      <c r="DQ54" s="41" t="n">
        <f aca="false">IF(Tasks[[#This Row],[_IsLeaf]]=1,N(Tasks[[#This Row],[Story Points]]),0)</f>
        <v>0</v>
      </c>
      <c r="DR54" s="41" t="str">
        <f aca="false">IF(AND(Tasks[[#This Row],[_IsLeaf]]=1,CurrentSprint&lt;&gt;"",Tasks[[#This Row],[Sprint]]=CurrentSprint),Tasks[[#This Row],[_Row]],"")</f>
        <v/>
      </c>
    </row>
    <row r="55" customFormat="false" ht="15" hidden="false" customHeight="false" outlineLevel="0" collapsed="false">
      <c r="A55" s="28" t="str">
        <f aca="false">IF(Tasks[[#This Row],[Task Name]]="","",COUNTA(Tasks[[#Headers],[Task Name]]:Tasks[[#This Row],[Task Name]])-1)</f>
        <v/>
      </c>
      <c r="B55" s="29" t="n">
        <v>50</v>
      </c>
      <c r="C5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5" s="29"/>
      <c r="E55" s="30"/>
      <c r="F55" s="29"/>
      <c r="G55" s="29"/>
      <c r="H55" s="29"/>
      <c r="I55" s="29"/>
      <c r="J55" s="29"/>
      <c r="K55" s="29"/>
      <c r="L55" s="29"/>
      <c r="M55" s="29"/>
      <c r="N55" s="73"/>
      <c r="O55" s="73"/>
      <c r="P55" s="25" t="str">
        <f aca="false">IF(Tasks[[#This Row],[Task Name]]="","",IF(N(Tasks[[#This Row],[Baseline Start]])&gt;0,Tasks[[#This Row],[Baseline Start]],Tasks[[#This Row],[_CalcStart]]))</f>
        <v/>
      </c>
      <c r="Q55" s="25" t="str">
        <f aca="false">IF(Tasks[[#This Row],[Task Name]]="","",IF(N(Tasks[[#This Row],[Baseline Finish]])&gt;0,Tasks[[#This Row],[Baseline Finish]],Tasks[[#This Row],[_CalcFinish]]))</f>
        <v/>
      </c>
      <c r="R55" s="73"/>
      <c r="S55" s="73"/>
      <c r="T55" s="25" t="str">
        <f aca="false">IF(Tasks[[#This Row],[Task Name]]="","",IF(Tasks[[#This Row],[_IsSummary]],MIN(INDEX(Tasks[_LeafFcstStart],Tasks[[#This Row],[_Row]]+1):INDEX(Tasks[_LeafFcstStart],Tasks[[#This Row],[_Row]]+Tasks[[#This Row],[_Descendants]])),Tasks[[#This Row],[_LeafFcstStart]]))</f>
        <v/>
      </c>
      <c r="U55" s="25" t="str">
        <f aca="false">IF(Tasks[[#This Row],[Task Name]]="","",IF(Tasks[[#This Row],[_IsSummary]],MAX(INDEX(Tasks[_LeafFcstFinish],Tasks[[#This Row],[_Row]]+1):INDEX(Tasks[_LeafFcstFinish],Tasks[[#This Row],[_Row]]+Tasks[[#This Row],[_Descendants]])),Tasks[[#This Row],[_LeafFcstFinish]]))</f>
        <v/>
      </c>
      <c r="V5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5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5" s="25" t="str">
        <f aca="false">IF(Tasks[[#This Row],[Task Name]]="","",IF(Tasks[[#This Row],[_IsSummary]],MIN(INDEX(Tasks[_LeafLateStart],Tasks[[#This Row],[_Row]]+1):INDEX(Tasks[_LeafLateStart],Tasks[[#This Row],[_Row]]+Tasks[[#This Row],[_Descendants]])),Tasks[[#This Row],[_LeafLateStart]]))</f>
        <v/>
      </c>
      <c r="Y55" s="25" t="str">
        <f aca="false">IF(Tasks[[#This Row],[Task Name]]="","",IF(Tasks[[#This Row],[_IsSummary]],MAX(INDEX(Tasks[_LeafLateFinish],Tasks[[#This Row],[_Row]]+1):INDEX(Tasks[_LeafLateFinish],Tasks[[#This Row],[_Row]]+Tasks[[#This Row],[_Descendants]])),Tasks[[#This Row],[_LeafLateFinish]]))</f>
        <v/>
      </c>
      <c r="Z55" s="43" t="str">
        <f aca="false">IF(Tasks[[#This Row],[Task Name]]="","",IF(Tasks[[#This Row],[_IsSummary]],MIN(INDEX(Tasks[_LeafTotalSlack],Tasks[[#This Row],[_Row]]+1):INDEX(Tasks[_LeafTotalSlack],Tasks[[#This Row],[_Row]]+Tasks[[#This Row],[_Descendants]])),Tasks[[#This Row],[_LeafTotalSlack]]))</f>
        <v/>
      </c>
      <c r="AA5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5" s="28" t="str">
        <f aca="false">IF(Tasks[[#This Row],[Task Name]]="","",IF(IF(Tasks[[#This Row],[_IsSummary]],COUNTIF(INDEX(Tasks[_LeafCritical],Tasks[[#This Row],[_Row]]+1):INDEX(Tasks[_LeafCritical],Tasks[[#This Row],[_Row]]+Tasks[[#This Row],[_Descendants]]),TRUE())&gt;0,Tasks[[#This Row],[_LeafCritical]]),"Yes",""))</f>
        <v/>
      </c>
      <c r="AC5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5" s="24" t="str">
        <f aca="false">IF(Tasks[[#This Row],[Task Name]]="","",TRIM(IF(Tasks[[#This Row],[_Pred1Problem]]&lt;&gt;"","Pred 1: "&amp;Tasks[[#This Row],[_Pred1Problem]]&amp;". ","")&amp;IF(Tasks[[#This Row],[_Pred2Problem]]&lt;&gt;"","Pred 2: "&amp;Tasks[[#This Row],[_Pred2Problem]]&amp;".","")))</f>
        <v/>
      </c>
      <c r="AE55" s="88"/>
      <c r="AF55"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5" s="28" t="str">
        <f aca="false">IF(Tasks[[#This Row],[Task Name]]="","",IF(Tasks[[#This Row],[Progress]]&gt;=1,"Complete",IF(OR(N(Tasks[[#This Row],[Actual Start]])&gt;0,Tasks[[#This Row],[Progress]]&gt;0),IF(Tasks[[#This Row],[Finish Var]]&gt;0,"Behind","In Progress"),IF(Tasks[[#This Row],[Planned Start]]&lt;StatusDate,"Late Start","Not Started"))))</f>
        <v/>
      </c>
      <c r="AH55" s="30"/>
      <c r="AI55" s="88"/>
      <c r="AJ55" s="95" t="str">
        <f aca="false">IF(Tasks[[#This Row],[Task Name]]="","",IF(Tasks[[#This Row],[_IsSummary]],SUM(INDEX(Tasks[_LeafWork],Tasks[[#This Row],[_Row]]+1):INDEX(Tasks[_LeafWork],Tasks[[#This Row],[_Row]]+Tasks[[#This Row],[_Descendants]])),Tasks[[#This Row],[_LeafWork]]))</f>
        <v/>
      </c>
      <c r="AK55" s="96" t="str">
        <f aca="false">IF(Tasks[[#This Row],[Task Name]]="","",IF(Tasks[[#This Row],[_IsSummary]],SUM(INDEX(Tasks[_LeafCost],Tasks[[#This Row],[_Row]]+1):INDEX(Tasks[_LeafCost],Tasks[[#This Row],[_Row]]+Tasks[[#This Row],[_Descendants]])),Tasks[[#This Row],[_LeafCost]]))</f>
        <v/>
      </c>
      <c r="AL55" s="97"/>
      <c r="AM55" s="29"/>
      <c r="AN5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55" s="82"/>
      <c r="AP55" s="24" t="str">
        <f aca="false">IF(Tasks[[#This Row],[Task Name]]="","",Tasks[[#This Row],[_Pred1IDText]]&amp;IF(AND(Tasks[[#This Row],[_Pred1IDText]]&lt;&gt;"",Tasks[[#This Row],[_Pred2IDText]]&lt;&gt;""),",","")&amp;Tasks[[#This Row],[_Pred2IDText]])</f>
        <v/>
      </c>
      <c r="AQ55" s="30"/>
      <c r="AR55" s="25" t="str">
        <f aca="false">IF(Tasks[[#This Row],[Task Name]]="","",Tasks[[#This Row],[Forecast Start]])</f>
        <v/>
      </c>
      <c r="AS55" s="25" t="str">
        <f aca="false">IF(Tasks[[#This Row],[Task Name]]="","",Tasks[[#This Row],[Forecast Finish]])</f>
        <v/>
      </c>
      <c r="AT55" s="28" t="str">
        <f aca="false">IF(Tasks[[#This Row],[Task Name]]="","",IF(Tasks[[#This Row],[_IsSummary]],NETWORKDAYS.INTL(Tasks[[#This Row],[Forecast Start]],Tasks[[#This Row],[Forecast Finish]],WorkWeek,Holidays),N(Tasks[[#This Row],[Duration]])))</f>
        <v/>
      </c>
      <c r="AU55" s="95" t="str">
        <f aca="false">IF(Tasks[[#This Row],[Task Name]]="","",Tasks[[#This Row],[Work]])</f>
        <v/>
      </c>
      <c r="AV55" s="96" t="str">
        <f aca="false">IF(Tasks[[#This Row],[Task Name]]="","",Tasks[[#This Row],[Cost]])</f>
        <v/>
      </c>
      <c r="AW55" s="73"/>
      <c r="AX55" s="73"/>
      <c r="AY55" s="29"/>
      <c r="AZ55" s="98"/>
      <c r="BA55" s="97"/>
      <c r="BB55" s="28" t="str">
        <f aca="false">IF(OR(Tasks[[#This Row],[Task Name]]="",Tasks[[#This Row],[Baseline Duration]]=""),"",Tasks[[#This Row],[BL Source Duration]]-N(Tasks[[#This Row],[Baseline Duration]]))</f>
        <v/>
      </c>
      <c r="BC55" s="95" t="str">
        <f aca="false">IF(OR(Tasks[[#This Row],[Task Name]]="",Tasks[[#This Row],[Baseline Work]]=""),"",Tasks[[#This Row],[Work]]-N(Tasks[[#This Row],[Baseline Work]]))</f>
        <v/>
      </c>
      <c r="BD55" s="96" t="str">
        <f aca="false">IF(OR(Tasks[[#This Row],[Task Name]]="",Tasks[[#This Row],[Baseline Cost]]=""),"",Tasks[[#This Row],[Cost]]-N(Tasks[[#This Row],[Baseline Cost]]))</f>
        <v/>
      </c>
      <c r="BE55" s="96" t="str">
        <f aca="false">IF(Tasks[[#This Row],[Task Name]]="","",IF(Tasks[[#This Row],[_IsSummary]],SUM(INDEX(Tasks[_LeafBudget],Tasks[[#This Row],[_Row]]+1):INDEX(Tasks[_LeafBudget],Tasks[[#This Row],[_Row]]+Tasks[[#This Row],[_Descendants]])),Tasks[[#This Row],[_LeafBudget]]))</f>
        <v/>
      </c>
      <c r="BF55" s="96" t="str">
        <f aca="false">IF(Tasks[[#This Row],[Task Name]]="","",IF(Tasks[[#This Row],[_IsSummary]],SUM(INDEX(Tasks[_LeafPV],Tasks[[#This Row],[_Row]]+1):INDEX(Tasks[_LeafPV],Tasks[[#This Row],[_Row]]+Tasks[[#This Row],[_Descendants]])),Tasks[[#This Row],[_LeafPV]]))</f>
        <v/>
      </c>
      <c r="BG55" s="96" t="str">
        <f aca="false">IF(Tasks[[#This Row],[Task Name]]="","",IF(Tasks[[#This Row],[_IsSummary]],SUM(INDEX(Tasks[_LeafEV],Tasks[[#This Row],[_Row]]+1):INDEX(Tasks[_LeafEV],Tasks[[#This Row],[_Row]]+Tasks[[#This Row],[_Descendants]])),Tasks[[#This Row],[_LeafEV]]))</f>
        <v/>
      </c>
      <c r="BH55" s="96" t="str">
        <f aca="false">IF(Tasks[[#This Row],[Task Name]]="","",IF(Tasks[[#This Row],[_IsSummary]],SUM(INDEX(Tasks[_LeafAC],Tasks[[#This Row],[_Row]]+1):INDEX(Tasks[_LeafAC],Tasks[[#This Row],[_Row]]+Tasks[[#This Row],[_Descendants]])),Tasks[[#This Row],[_LeafAC]]))</f>
        <v/>
      </c>
      <c r="BI55" s="41" t="str">
        <f aca="false">IF(Tasks[[#This Row],[Task Name]]="","",MAX(1,N(Tasks[[#This Row],[Level]])))</f>
        <v/>
      </c>
      <c r="BJ55" s="41" t="n">
        <f aca="false">ROW()-ROW(Tasks[[#Headers],[ID]])</f>
        <v>50</v>
      </c>
      <c r="BK55" s="41" t="n">
        <f aca="false">IF(OR(Tasks[[#This Row],[Task Name]]="",Tasks[[#This Row],[_Level]]&lt;=1),0,IFERROR(LOOKUP(2,1/(Tasks[[#Headers],[_Level]]:Tasks[[#This Row],[_Level]]=Tasks[[#This Row],[_Level]]-1),ROW(Tasks[[#Headers],[_Level]]:Tasks[[#This Row],[_Level]])),0))</f>
        <v>0</v>
      </c>
      <c r="BL55" s="41" t="n">
        <f aca="false">IFERROR(N(INDEX(Tasks[_Level],Tasks[[#This Row],[_Row]]+1)),0)</f>
        <v>0</v>
      </c>
      <c r="BM55" s="99" t="b">
        <f aca="false">AND(Tasks[[#This Row],[Task Name]]&lt;&gt;"",Tasks[[#This Row],[_NextLevel]]&gt;Tasks[[#This Row],[_Level]])</f>
        <v>0</v>
      </c>
      <c r="BN55" s="41" t="n">
        <f aca="false">IF(Tasks[[#This Row],[_IsSummary]],COUNTIF(Tasks[WBS],Tasks[[#This Row],[WBS]]&amp;".*"),0)</f>
        <v>0</v>
      </c>
      <c r="BO55" s="41" t="n">
        <f aca="false">IF(AND(Tasks[[#This Row],[Task Name]]&lt;&gt;"",NOT(Tasks[[#This Row],[_IsSummary]])),1,0)</f>
        <v>0</v>
      </c>
      <c r="BP55" s="41" t="n">
        <f aca="false">IF(N(Tasks[[#This Row],[Pred1 UID]])=0,0,IFERROR(MATCH(Tasks[[#This Row],[Pred1 UID]],Tasks[UID],0),-1))</f>
        <v>0</v>
      </c>
      <c r="BQ55" s="41" t="n">
        <f aca="false">IF(N(Tasks[[#This Row],[Pred2 UID]])=0,0,IFERROR(MATCH(Tasks[[#This Row],[Pred2 UID]],Tasks[UID],0),-1))</f>
        <v>0</v>
      </c>
      <c r="BR55"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55" s="100" t="str">
        <f aca="false">IF(NOT(Tasks[[#This Row],[_IsLeaf]]=1),"",IF(N(Tasks[[#This Row],[Duration]])&lt;=0,Tasks[[#This Row],[_LeafCalcStart]],WORKDAY.INTL(Tasks[[#This Row],[_LeafCalcStart]],Tasks[[#This Row],[Duration]]-1,WorkWeek,Holidays)))</f>
        <v/>
      </c>
      <c r="BT55"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55"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55" s="41" t="n">
        <f aca="false">IF(NOT(Tasks[[#This Row],[_IsLeaf]]=1),0,IF(N(Tasks[[#This Row],[Actual Finish]])&gt;0,1,MIN(1,N(Tasks[[#This Row],[% Complete]]))))</f>
        <v>0</v>
      </c>
      <c r="BW55" s="41" t="n">
        <f aca="false">IF(OR(NOT(Tasks[[#This Row],[_IsLeaf]]=1),Tasks[[#This Row],[Resource]]=""),0,N(Tasks[[#This Row],[Duration]])*HoursPerDay*IF(Tasks[[#This Row],[Units]]="",DefaultUnits,Tasks[[#This Row],[Units]]))</f>
        <v>0</v>
      </c>
      <c r="BX55" s="41" t="n">
        <f aca="false">IF(Tasks[[#This Row],[_LeafWork]]=0,0,Tasks[[#This Row],[_LeafWork]]*IFERROR(INDEX(res_Rate,MATCH(Tasks[[#This Row],[Resource]],res_Name,0)),0))</f>
        <v>0</v>
      </c>
      <c r="BY5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5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5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5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55" s="41" t="n">
        <f aca="false">IF(NOT(Tasks[[#This Row],[_IsLeaf]]=1),0,MAX(_xlfn.MAXIFS(Tasks[_Row],Tasks[Pred1 UID],Tasks[[#This Row],[UID]]),_xlfn.MAXIFS(Tasks[_Row],Tasks[Pred2 UID],Tasks[[#This Row],[UID]])))</f>
        <v>0</v>
      </c>
      <c r="CD55"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55" s="100" t="str">
        <f aca="false">IF(NOT(Tasks[[#This Row],[_IsLeaf]]=1),"",MIN(ProjectFinish,IF(N(Tasks[[#This Row],[Deadline]])&gt;0,Tasks[[#This Row],[Deadline]],2958465),Tasks[[#This Row],[_SuccessorFinishLimit]]))</f>
        <v/>
      </c>
      <c r="CF55" s="100" t="str">
        <f aca="false">IF(NOT(Tasks[[#This Row],[_IsLeaf]]=1),"",IF(N(Tasks[[#This Row],[Duration]])&lt;=0,Tasks[[#This Row],[_LeafLateFinish]],WORKDAY.INTL(Tasks[[#This Row],[_LeafLateFinish]],-(Tasks[[#This Row],[Duration]]-1),WorkWeek,Holidays)))</f>
        <v/>
      </c>
      <c r="CG5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55" s="99" t="b">
        <f aca="false">AND(Tasks[[#This Row],[_IsLeaf]]=1,Tasks[[#This Row],[_LeafProgress]]&lt;1,N(Tasks[[#This Row],[_LeafTotalSlack]])&lt;=CriticalSlackDays)</f>
        <v>0</v>
      </c>
      <c r="CI55" s="100" t="str">
        <f aca="false">IF(Tasks[[#This Row],[Task Name]]="","",IF(Tasks[[#This Row],[_IsSummary]],MIN(INDEX(Tasks[_LeafCalcStart],Tasks[[#This Row],[_Row]]+1):INDEX(Tasks[_LeafCalcStart],Tasks[[#This Row],[_Row]]+Tasks[[#This Row],[_Descendants]])),Tasks[[#This Row],[_LeafCalcStart]]))</f>
        <v/>
      </c>
      <c r="CJ55" s="100" t="str">
        <f aca="false">IF(Tasks[[#This Row],[Task Name]]="","",IF(Tasks[[#This Row],[_IsSummary]],MAX(INDEX(Tasks[_LeafCalcFinish],Tasks[[#This Row],[_Row]]+1):INDEX(Tasks[_LeafCalcFinish],Tasks[[#This Row],[_Row]]+Tasks[[#This Row],[_Descendants]])),Tasks[[#This Row],[_LeafCalcFinish]]))</f>
        <v/>
      </c>
      <c r="CK5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5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55"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55"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55"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55"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55" s="41" t="n">
        <f aca="false">IF(AND(Tasks[[#This Row],[_IsLeaf]]=1,Tasks[[#This Row],[_LeafWork]]&gt;0),NETWORKDAYS.INTL(ProjectStart,Tasks[[#This Row],[_LeafFcstStart]],WorkWeek,Holidays),0)</f>
        <v>0</v>
      </c>
      <c r="CR55" s="41" t="n">
        <f aca="false">IF(AND(Tasks[[#This Row],[_IsLeaf]]=1,Tasks[[#This Row],[_LeafWork]]&gt;0),MAX(Tasks[[#This Row],[_StartWorkday]],NETWORKDAYS.INTL(ProjectStart,Tasks[[#This Row],[_LeafFcstFinish]],WorkWeek,Holidays)),0)</f>
        <v>0</v>
      </c>
      <c r="CS55" s="41" t="n">
        <f aca="false">IF(AND(Tasks[[#This Row],[_IsLeaf]]=1,Tasks[[#This Row],[_LeafWork]]&gt;0),Tasks[[#This Row],[_LeafWork]]/(Tasks[[#This Row],[_FinishWorkday]]-Tasks[[#This Row],[_StartWorkday]]+1),0)</f>
        <v>0</v>
      </c>
      <c r="CT55" s="41" t="n">
        <f aca="false">Tasks[[#This Row],[_WorkPerWorkday]]*(Tasks[[#This Row],[_StartWorkday]]-1)</f>
        <v>-0</v>
      </c>
      <c r="CU55" s="41" t="n">
        <f aca="false">IF(Tasks[[#This Row],[_IsLeaf]]=1,MAX(N(Tasks[[#This Row],[Duration]]),0.1),0)</f>
        <v>0</v>
      </c>
      <c r="CV55" s="41" t="n">
        <f aca="false">Tasks[[#This Row],[_WeightDur]]*Tasks[[#This Row],[_LeafProgress]]</f>
        <v>0</v>
      </c>
      <c r="CW5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5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5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5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55" s="41" t="str">
        <f aca="false">IF(Tasks[[#This Row],[Task Name]]="","",Tasks[[#This Row],[_Pred1UIDText]]&amp;IF(AND(Tasks[[#This Row],[_Pred1UIDText]]&lt;&gt;"",Tasks[[#This Row],[_Pred2UIDText]]&lt;&gt;""),",","")&amp;Tasks[[#This Row],[_Pred2UIDText]])</f>
        <v/>
      </c>
      <c r="DB55" s="41" t="str">
        <f aca="false">IF(AND(Tasks[[#This Row],[_IsLeaf]]=1,N(Tasks[[#This Row],[Duration]])=0,Tasks[[#This Row],[_LeafProgress]]&lt;1),Tasks[[#This Row],[_LeafFcstFinish]]+Tasks[[#This Row],[_Row]]/100000,"")</f>
        <v/>
      </c>
      <c r="DC5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55" s="41" t="n">
        <f aca="false">IF(NOT(Tasks[[#This Row],[_IsLeaf]]=1),0,IF(Tasks[[#This Row],[Baseline Cost]]="",Tasks[[#This Row],[_LeafCost]],N(Tasks[[#This Row],[Baseline Cost]])))</f>
        <v>0</v>
      </c>
      <c r="DE55" s="41" t="n">
        <f aca="false">Tasks[[#This Row],[_LeafBudget]]*Tasks[[#This Row],[_PlannedPct]]</f>
        <v>0</v>
      </c>
      <c r="DF55" s="41" t="n">
        <f aca="false">Tasks[[#This Row],[_LeafBudget]]*Tasks[[#This Row],[_LeafProgress]]</f>
        <v>0</v>
      </c>
      <c r="DG55" s="41" t="n">
        <f aca="false">IF(NOT(Tasks[[#This Row],[_IsLeaf]]=1),0,IF(Tasks[[#This Row],[Actual Cost]]="",Tasks[[#This Row],[_LeafCost]]*Tasks[[#This Row],[_LeafProgress]],N(Tasks[[#This Row],[Actual Cost]])))</f>
        <v>0</v>
      </c>
      <c r="DH55" s="41" t="str">
        <f aca="false">IF(Tasks[[#This Row],[Task Name]]="","",LEFT(Tasks[[#This Row],[WBS]],FIND(".",Tasks[[#This Row],[WBS]]&amp;".")-1))</f>
        <v/>
      </c>
      <c r="DI55" s="41" t="str">
        <f aca="false">IF(AND(Tasks[[#This Row],[Task Name]]&lt;&gt;"",Tasks[[#This Row],[_Level]]=1),Tasks[[#This Row],[_Row]],"")</f>
        <v/>
      </c>
      <c r="DJ55" s="41" t="str">
        <f aca="false">IF(AND(Tasks[[#This Row],[_IsLeaf]]=1,N(Tasks[[#This Row],[Duration]])=0),Tasks[[#This Row],[Planned Finish]]+Tasks[[#This Row],[_Row]]/100000,"")</f>
        <v/>
      </c>
      <c r="DK55" s="41" t="str">
        <f aca="false">IF(AND(Tasks[[#This Row],[_IsLeaf]]=1,Tasks[[#This Row],[_LeafProgress]]&lt;1,OR(N(Tasks[[#This Row],[Finish Var]])&gt;0,Tasks[[#This Row],[Status]]="Late Start")),MAX(0,Tasks[[#This Row],[Finish Var]])+1-Tasks[[#This Row],[_Row]]/1000000,"")</f>
        <v/>
      </c>
      <c r="DL55" s="41" t="str">
        <f aca="false">IF(AND(Tasks[[#This Row],[_IsLeaf]]=1,N(Tasks[[#This Row],[Actual Start]])=0,Tasks[[#This Row],[_LeafFcstStart]]&gt;=StatusDate,Tasks[[#This Row],[_LeafFcstStart]]&lt;=LookaheadEnd),Tasks[[#This Row],[_LeafFcstStart]]+Tasks[[#This Row],[_Row]]/100000,"")</f>
        <v/>
      </c>
      <c r="DM55" s="41" t="str">
        <f aca="false">IF(AND(Tasks[[#This Row],[_IsLeaf]]=1,Tasks[[#This Row],[_LeafProgress]]&lt;1,Tasks[[#This Row],[_LeafFcstFinish]]&gt;=StatusDate,Tasks[[#This Row],[_LeafFcstFinish]]&lt;=LookaheadEnd),Tasks[[#This Row],[_LeafFcstFinish]]+Tasks[[#This Row],[_Row]]/100000,"")</f>
        <v/>
      </c>
      <c r="DN55" s="41" t="str">
        <f aca="false">IF(Tasks[[#This Row],[_LeafCritical]],Tasks[[#This Row],[_LeafFcstStart]]+Tasks[[#This Row],[_Row]]/100000,"")</f>
        <v/>
      </c>
      <c r="DO55" s="41" t="n">
        <f aca="false">Tasks[[#This Row],[_LeafWork]]*Tasks[[#This Row],[_LeafProgress]]</f>
        <v>0</v>
      </c>
      <c r="DP55" s="100" t="str">
        <f aca="false">IF(AND(Tasks[[#This Row],[_IsLeaf]]=1,Tasks[[#This Row],[_LeafProgress]]&gt;=1),IF(N(Tasks[[#This Row],[Actual Finish]])&gt;0,Tasks[[#This Row],[Actual Finish]],Tasks[[#This Row],[_LeafFcstFinish]]),"")</f>
        <v/>
      </c>
      <c r="DQ55" s="41" t="n">
        <f aca="false">IF(Tasks[[#This Row],[_IsLeaf]]=1,N(Tasks[[#This Row],[Story Points]]),0)</f>
        <v>0</v>
      </c>
      <c r="DR55" s="41" t="str">
        <f aca="false">IF(AND(Tasks[[#This Row],[_IsLeaf]]=1,CurrentSprint&lt;&gt;"",Tasks[[#This Row],[Sprint]]=CurrentSprint),Tasks[[#This Row],[_Row]],"")</f>
        <v/>
      </c>
    </row>
    <row r="56" customFormat="false" ht="15" hidden="false" customHeight="false" outlineLevel="0" collapsed="false">
      <c r="A56" s="28" t="str">
        <f aca="false">IF(Tasks[[#This Row],[Task Name]]="","",COUNTA(Tasks[[#Headers],[Task Name]]:Tasks[[#This Row],[Task Name]])-1)</f>
        <v/>
      </c>
      <c r="B56" s="29" t="n">
        <v>51</v>
      </c>
      <c r="C5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6" s="29"/>
      <c r="E56" s="30"/>
      <c r="F56" s="29"/>
      <c r="G56" s="29"/>
      <c r="H56" s="29"/>
      <c r="I56" s="29"/>
      <c r="J56" s="29"/>
      <c r="K56" s="29"/>
      <c r="L56" s="29"/>
      <c r="M56" s="29"/>
      <c r="N56" s="73"/>
      <c r="O56" s="73"/>
      <c r="P56" s="25" t="str">
        <f aca="false">IF(Tasks[[#This Row],[Task Name]]="","",IF(N(Tasks[[#This Row],[Baseline Start]])&gt;0,Tasks[[#This Row],[Baseline Start]],Tasks[[#This Row],[_CalcStart]]))</f>
        <v/>
      </c>
      <c r="Q56" s="25" t="str">
        <f aca="false">IF(Tasks[[#This Row],[Task Name]]="","",IF(N(Tasks[[#This Row],[Baseline Finish]])&gt;0,Tasks[[#This Row],[Baseline Finish]],Tasks[[#This Row],[_CalcFinish]]))</f>
        <v/>
      </c>
      <c r="R56" s="73"/>
      <c r="S56" s="73"/>
      <c r="T56" s="25" t="str">
        <f aca="false">IF(Tasks[[#This Row],[Task Name]]="","",IF(Tasks[[#This Row],[_IsSummary]],MIN(INDEX(Tasks[_LeafFcstStart],Tasks[[#This Row],[_Row]]+1):INDEX(Tasks[_LeafFcstStart],Tasks[[#This Row],[_Row]]+Tasks[[#This Row],[_Descendants]])),Tasks[[#This Row],[_LeafFcstStart]]))</f>
        <v/>
      </c>
      <c r="U56" s="25" t="str">
        <f aca="false">IF(Tasks[[#This Row],[Task Name]]="","",IF(Tasks[[#This Row],[_IsSummary]],MAX(INDEX(Tasks[_LeafFcstFinish],Tasks[[#This Row],[_Row]]+1):INDEX(Tasks[_LeafFcstFinish],Tasks[[#This Row],[_Row]]+Tasks[[#This Row],[_Descendants]])),Tasks[[#This Row],[_LeafFcstFinish]]))</f>
        <v/>
      </c>
      <c r="V5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5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6" s="25" t="str">
        <f aca="false">IF(Tasks[[#This Row],[Task Name]]="","",IF(Tasks[[#This Row],[_IsSummary]],MIN(INDEX(Tasks[_LeafLateStart],Tasks[[#This Row],[_Row]]+1):INDEX(Tasks[_LeafLateStart],Tasks[[#This Row],[_Row]]+Tasks[[#This Row],[_Descendants]])),Tasks[[#This Row],[_LeafLateStart]]))</f>
        <v/>
      </c>
      <c r="Y56" s="25" t="str">
        <f aca="false">IF(Tasks[[#This Row],[Task Name]]="","",IF(Tasks[[#This Row],[_IsSummary]],MAX(INDEX(Tasks[_LeafLateFinish],Tasks[[#This Row],[_Row]]+1):INDEX(Tasks[_LeafLateFinish],Tasks[[#This Row],[_Row]]+Tasks[[#This Row],[_Descendants]])),Tasks[[#This Row],[_LeafLateFinish]]))</f>
        <v/>
      </c>
      <c r="Z56" s="43" t="str">
        <f aca="false">IF(Tasks[[#This Row],[Task Name]]="","",IF(Tasks[[#This Row],[_IsSummary]],MIN(INDEX(Tasks[_LeafTotalSlack],Tasks[[#This Row],[_Row]]+1):INDEX(Tasks[_LeafTotalSlack],Tasks[[#This Row],[_Row]]+Tasks[[#This Row],[_Descendants]])),Tasks[[#This Row],[_LeafTotalSlack]]))</f>
        <v/>
      </c>
      <c r="AA5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6" s="28" t="str">
        <f aca="false">IF(Tasks[[#This Row],[Task Name]]="","",IF(IF(Tasks[[#This Row],[_IsSummary]],COUNTIF(INDEX(Tasks[_LeafCritical],Tasks[[#This Row],[_Row]]+1):INDEX(Tasks[_LeafCritical],Tasks[[#This Row],[_Row]]+Tasks[[#This Row],[_Descendants]]),TRUE())&gt;0,Tasks[[#This Row],[_LeafCritical]]),"Yes",""))</f>
        <v/>
      </c>
      <c r="AC5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6" s="24" t="str">
        <f aca="false">IF(Tasks[[#This Row],[Task Name]]="","",TRIM(IF(Tasks[[#This Row],[_Pred1Problem]]&lt;&gt;"","Pred 1: "&amp;Tasks[[#This Row],[_Pred1Problem]]&amp;". ","")&amp;IF(Tasks[[#This Row],[_Pred2Problem]]&lt;&gt;"","Pred 2: "&amp;Tasks[[#This Row],[_Pred2Problem]]&amp;".","")))</f>
        <v/>
      </c>
      <c r="AE56" s="88"/>
      <c r="AF56"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6" s="28" t="str">
        <f aca="false">IF(Tasks[[#This Row],[Task Name]]="","",IF(Tasks[[#This Row],[Progress]]&gt;=1,"Complete",IF(OR(N(Tasks[[#This Row],[Actual Start]])&gt;0,Tasks[[#This Row],[Progress]]&gt;0),IF(Tasks[[#This Row],[Finish Var]]&gt;0,"Behind","In Progress"),IF(Tasks[[#This Row],[Planned Start]]&lt;StatusDate,"Late Start","Not Started"))))</f>
        <v/>
      </c>
      <c r="AH56" s="30"/>
      <c r="AI56" s="88"/>
      <c r="AJ56" s="95" t="str">
        <f aca="false">IF(Tasks[[#This Row],[Task Name]]="","",IF(Tasks[[#This Row],[_IsSummary]],SUM(INDEX(Tasks[_LeafWork],Tasks[[#This Row],[_Row]]+1):INDEX(Tasks[_LeafWork],Tasks[[#This Row],[_Row]]+Tasks[[#This Row],[_Descendants]])),Tasks[[#This Row],[_LeafWork]]))</f>
        <v/>
      </c>
      <c r="AK56" s="96" t="str">
        <f aca="false">IF(Tasks[[#This Row],[Task Name]]="","",IF(Tasks[[#This Row],[_IsSummary]],SUM(INDEX(Tasks[_LeafCost],Tasks[[#This Row],[_Row]]+1):INDEX(Tasks[_LeafCost],Tasks[[#This Row],[_Row]]+Tasks[[#This Row],[_Descendants]])),Tasks[[#This Row],[_LeafCost]]))</f>
        <v/>
      </c>
      <c r="AL56" s="97"/>
      <c r="AM56" s="29"/>
      <c r="AN5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56" s="82"/>
      <c r="AP56" s="24" t="str">
        <f aca="false">IF(Tasks[[#This Row],[Task Name]]="","",Tasks[[#This Row],[_Pred1IDText]]&amp;IF(AND(Tasks[[#This Row],[_Pred1IDText]]&lt;&gt;"",Tasks[[#This Row],[_Pred2IDText]]&lt;&gt;""),",","")&amp;Tasks[[#This Row],[_Pred2IDText]])</f>
        <v/>
      </c>
      <c r="AQ56" s="30"/>
      <c r="AR56" s="25" t="str">
        <f aca="false">IF(Tasks[[#This Row],[Task Name]]="","",Tasks[[#This Row],[Forecast Start]])</f>
        <v/>
      </c>
      <c r="AS56" s="25" t="str">
        <f aca="false">IF(Tasks[[#This Row],[Task Name]]="","",Tasks[[#This Row],[Forecast Finish]])</f>
        <v/>
      </c>
      <c r="AT56" s="28" t="str">
        <f aca="false">IF(Tasks[[#This Row],[Task Name]]="","",IF(Tasks[[#This Row],[_IsSummary]],NETWORKDAYS.INTL(Tasks[[#This Row],[Forecast Start]],Tasks[[#This Row],[Forecast Finish]],WorkWeek,Holidays),N(Tasks[[#This Row],[Duration]])))</f>
        <v/>
      </c>
      <c r="AU56" s="95" t="str">
        <f aca="false">IF(Tasks[[#This Row],[Task Name]]="","",Tasks[[#This Row],[Work]])</f>
        <v/>
      </c>
      <c r="AV56" s="96" t="str">
        <f aca="false">IF(Tasks[[#This Row],[Task Name]]="","",Tasks[[#This Row],[Cost]])</f>
        <v/>
      </c>
      <c r="AW56" s="73"/>
      <c r="AX56" s="73"/>
      <c r="AY56" s="29"/>
      <c r="AZ56" s="98"/>
      <c r="BA56" s="97"/>
      <c r="BB56" s="28" t="str">
        <f aca="false">IF(OR(Tasks[[#This Row],[Task Name]]="",Tasks[[#This Row],[Baseline Duration]]=""),"",Tasks[[#This Row],[BL Source Duration]]-N(Tasks[[#This Row],[Baseline Duration]]))</f>
        <v/>
      </c>
      <c r="BC56" s="95" t="str">
        <f aca="false">IF(OR(Tasks[[#This Row],[Task Name]]="",Tasks[[#This Row],[Baseline Work]]=""),"",Tasks[[#This Row],[Work]]-N(Tasks[[#This Row],[Baseline Work]]))</f>
        <v/>
      </c>
      <c r="BD56" s="96" t="str">
        <f aca="false">IF(OR(Tasks[[#This Row],[Task Name]]="",Tasks[[#This Row],[Baseline Cost]]=""),"",Tasks[[#This Row],[Cost]]-N(Tasks[[#This Row],[Baseline Cost]]))</f>
        <v/>
      </c>
      <c r="BE56" s="96" t="str">
        <f aca="false">IF(Tasks[[#This Row],[Task Name]]="","",IF(Tasks[[#This Row],[_IsSummary]],SUM(INDEX(Tasks[_LeafBudget],Tasks[[#This Row],[_Row]]+1):INDEX(Tasks[_LeafBudget],Tasks[[#This Row],[_Row]]+Tasks[[#This Row],[_Descendants]])),Tasks[[#This Row],[_LeafBudget]]))</f>
        <v/>
      </c>
      <c r="BF56" s="96" t="str">
        <f aca="false">IF(Tasks[[#This Row],[Task Name]]="","",IF(Tasks[[#This Row],[_IsSummary]],SUM(INDEX(Tasks[_LeafPV],Tasks[[#This Row],[_Row]]+1):INDEX(Tasks[_LeafPV],Tasks[[#This Row],[_Row]]+Tasks[[#This Row],[_Descendants]])),Tasks[[#This Row],[_LeafPV]]))</f>
        <v/>
      </c>
      <c r="BG56" s="96" t="str">
        <f aca="false">IF(Tasks[[#This Row],[Task Name]]="","",IF(Tasks[[#This Row],[_IsSummary]],SUM(INDEX(Tasks[_LeafEV],Tasks[[#This Row],[_Row]]+1):INDEX(Tasks[_LeafEV],Tasks[[#This Row],[_Row]]+Tasks[[#This Row],[_Descendants]])),Tasks[[#This Row],[_LeafEV]]))</f>
        <v/>
      </c>
      <c r="BH56" s="96" t="str">
        <f aca="false">IF(Tasks[[#This Row],[Task Name]]="","",IF(Tasks[[#This Row],[_IsSummary]],SUM(INDEX(Tasks[_LeafAC],Tasks[[#This Row],[_Row]]+1):INDEX(Tasks[_LeafAC],Tasks[[#This Row],[_Row]]+Tasks[[#This Row],[_Descendants]])),Tasks[[#This Row],[_LeafAC]]))</f>
        <v/>
      </c>
      <c r="BI56" s="41" t="str">
        <f aca="false">IF(Tasks[[#This Row],[Task Name]]="","",MAX(1,N(Tasks[[#This Row],[Level]])))</f>
        <v/>
      </c>
      <c r="BJ56" s="41" t="n">
        <f aca="false">ROW()-ROW(Tasks[[#Headers],[ID]])</f>
        <v>51</v>
      </c>
      <c r="BK56" s="41" t="n">
        <f aca="false">IF(OR(Tasks[[#This Row],[Task Name]]="",Tasks[[#This Row],[_Level]]&lt;=1),0,IFERROR(LOOKUP(2,1/(Tasks[[#Headers],[_Level]]:Tasks[[#This Row],[_Level]]=Tasks[[#This Row],[_Level]]-1),ROW(Tasks[[#Headers],[_Level]]:Tasks[[#This Row],[_Level]])),0))</f>
        <v>0</v>
      </c>
      <c r="BL56" s="41" t="n">
        <f aca="false">IFERROR(N(INDEX(Tasks[_Level],Tasks[[#This Row],[_Row]]+1)),0)</f>
        <v>0</v>
      </c>
      <c r="BM56" s="99" t="b">
        <f aca="false">AND(Tasks[[#This Row],[Task Name]]&lt;&gt;"",Tasks[[#This Row],[_NextLevel]]&gt;Tasks[[#This Row],[_Level]])</f>
        <v>0</v>
      </c>
      <c r="BN56" s="41" t="n">
        <f aca="false">IF(Tasks[[#This Row],[_IsSummary]],COUNTIF(Tasks[WBS],Tasks[[#This Row],[WBS]]&amp;".*"),0)</f>
        <v>0</v>
      </c>
      <c r="BO56" s="41" t="n">
        <f aca="false">IF(AND(Tasks[[#This Row],[Task Name]]&lt;&gt;"",NOT(Tasks[[#This Row],[_IsSummary]])),1,0)</f>
        <v>0</v>
      </c>
      <c r="BP56" s="41" t="n">
        <f aca="false">IF(N(Tasks[[#This Row],[Pred1 UID]])=0,0,IFERROR(MATCH(Tasks[[#This Row],[Pred1 UID]],Tasks[UID],0),-1))</f>
        <v>0</v>
      </c>
      <c r="BQ56" s="41" t="n">
        <f aca="false">IF(N(Tasks[[#This Row],[Pred2 UID]])=0,0,IFERROR(MATCH(Tasks[[#This Row],[Pred2 UID]],Tasks[UID],0),-1))</f>
        <v>0</v>
      </c>
      <c r="BR56"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56" s="100" t="str">
        <f aca="false">IF(NOT(Tasks[[#This Row],[_IsLeaf]]=1),"",IF(N(Tasks[[#This Row],[Duration]])&lt;=0,Tasks[[#This Row],[_LeafCalcStart]],WORKDAY.INTL(Tasks[[#This Row],[_LeafCalcStart]],Tasks[[#This Row],[Duration]]-1,WorkWeek,Holidays)))</f>
        <v/>
      </c>
      <c r="BT56"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56"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56" s="41" t="n">
        <f aca="false">IF(NOT(Tasks[[#This Row],[_IsLeaf]]=1),0,IF(N(Tasks[[#This Row],[Actual Finish]])&gt;0,1,MIN(1,N(Tasks[[#This Row],[% Complete]]))))</f>
        <v>0</v>
      </c>
      <c r="BW56" s="41" t="n">
        <f aca="false">IF(OR(NOT(Tasks[[#This Row],[_IsLeaf]]=1),Tasks[[#This Row],[Resource]]=""),0,N(Tasks[[#This Row],[Duration]])*HoursPerDay*IF(Tasks[[#This Row],[Units]]="",DefaultUnits,Tasks[[#This Row],[Units]]))</f>
        <v>0</v>
      </c>
      <c r="BX56" s="41" t="n">
        <f aca="false">IF(Tasks[[#This Row],[_LeafWork]]=0,0,Tasks[[#This Row],[_LeafWork]]*IFERROR(INDEX(res_Rate,MATCH(Tasks[[#This Row],[Resource]],res_Name,0)),0))</f>
        <v>0</v>
      </c>
      <c r="BY5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5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5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5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56" s="41" t="n">
        <f aca="false">IF(NOT(Tasks[[#This Row],[_IsLeaf]]=1),0,MAX(_xlfn.MAXIFS(Tasks[_Row],Tasks[Pred1 UID],Tasks[[#This Row],[UID]]),_xlfn.MAXIFS(Tasks[_Row],Tasks[Pred2 UID],Tasks[[#This Row],[UID]])))</f>
        <v>0</v>
      </c>
      <c r="CD56"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56" s="100" t="str">
        <f aca="false">IF(NOT(Tasks[[#This Row],[_IsLeaf]]=1),"",MIN(ProjectFinish,IF(N(Tasks[[#This Row],[Deadline]])&gt;0,Tasks[[#This Row],[Deadline]],2958465),Tasks[[#This Row],[_SuccessorFinishLimit]]))</f>
        <v/>
      </c>
      <c r="CF56" s="100" t="str">
        <f aca="false">IF(NOT(Tasks[[#This Row],[_IsLeaf]]=1),"",IF(N(Tasks[[#This Row],[Duration]])&lt;=0,Tasks[[#This Row],[_LeafLateFinish]],WORKDAY.INTL(Tasks[[#This Row],[_LeafLateFinish]],-(Tasks[[#This Row],[Duration]]-1),WorkWeek,Holidays)))</f>
        <v/>
      </c>
      <c r="CG5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56" s="99" t="b">
        <f aca="false">AND(Tasks[[#This Row],[_IsLeaf]]=1,Tasks[[#This Row],[_LeafProgress]]&lt;1,N(Tasks[[#This Row],[_LeafTotalSlack]])&lt;=CriticalSlackDays)</f>
        <v>0</v>
      </c>
      <c r="CI56" s="100" t="str">
        <f aca="false">IF(Tasks[[#This Row],[Task Name]]="","",IF(Tasks[[#This Row],[_IsSummary]],MIN(INDEX(Tasks[_LeafCalcStart],Tasks[[#This Row],[_Row]]+1):INDEX(Tasks[_LeafCalcStart],Tasks[[#This Row],[_Row]]+Tasks[[#This Row],[_Descendants]])),Tasks[[#This Row],[_LeafCalcStart]]))</f>
        <v/>
      </c>
      <c r="CJ56" s="100" t="str">
        <f aca="false">IF(Tasks[[#This Row],[Task Name]]="","",IF(Tasks[[#This Row],[_IsSummary]],MAX(INDEX(Tasks[_LeafCalcFinish],Tasks[[#This Row],[_Row]]+1):INDEX(Tasks[_LeafCalcFinish],Tasks[[#This Row],[_Row]]+Tasks[[#This Row],[_Descendants]])),Tasks[[#This Row],[_LeafCalcFinish]]))</f>
        <v/>
      </c>
      <c r="CK5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5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56"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56"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56"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56"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56" s="41" t="n">
        <f aca="false">IF(AND(Tasks[[#This Row],[_IsLeaf]]=1,Tasks[[#This Row],[_LeafWork]]&gt;0),NETWORKDAYS.INTL(ProjectStart,Tasks[[#This Row],[_LeafFcstStart]],WorkWeek,Holidays),0)</f>
        <v>0</v>
      </c>
      <c r="CR56" s="41" t="n">
        <f aca="false">IF(AND(Tasks[[#This Row],[_IsLeaf]]=1,Tasks[[#This Row],[_LeafWork]]&gt;0),MAX(Tasks[[#This Row],[_StartWorkday]],NETWORKDAYS.INTL(ProjectStart,Tasks[[#This Row],[_LeafFcstFinish]],WorkWeek,Holidays)),0)</f>
        <v>0</v>
      </c>
      <c r="CS56" s="41" t="n">
        <f aca="false">IF(AND(Tasks[[#This Row],[_IsLeaf]]=1,Tasks[[#This Row],[_LeafWork]]&gt;0),Tasks[[#This Row],[_LeafWork]]/(Tasks[[#This Row],[_FinishWorkday]]-Tasks[[#This Row],[_StartWorkday]]+1),0)</f>
        <v>0</v>
      </c>
      <c r="CT56" s="41" t="n">
        <f aca="false">Tasks[[#This Row],[_WorkPerWorkday]]*(Tasks[[#This Row],[_StartWorkday]]-1)</f>
        <v>-0</v>
      </c>
      <c r="CU56" s="41" t="n">
        <f aca="false">IF(Tasks[[#This Row],[_IsLeaf]]=1,MAX(N(Tasks[[#This Row],[Duration]]),0.1),0)</f>
        <v>0</v>
      </c>
      <c r="CV56" s="41" t="n">
        <f aca="false">Tasks[[#This Row],[_WeightDur]]*Tasks[[#This Row],[_LeafProgress]]</f>
        <v>0</v>
      </c>
      <c r="CW5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5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5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5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56" s="41" t="str">
        <f aca="false">IF(Tasks[[#This Row],[Task Name]]="","",Tasks[[#This Row],[_Pred1UIDText]]&amp;IF(AND(Tasks[[#This Row],[_Pred1UIDText]]&lt;&gt;"",Tasks[[#This Row],[_Pred2UIDText]]&lt;&gt;""),",","")&amp;Tasks[[#This Row],[_Pred2UIDText]])</f>
        <v/>
      </c>
      <c r="DB56" s="41" t="str">
        <f aca="false">IF(AND(Tasks[[#This Row],[_IsLeaf]]=1,N(Tasks[[#This Row],[Duration]])=0,Tasks[[#This Row],[_LeafProgress]]&lt;1),Tasks[[#This Row],[_LeafFcstFinish]]+Tasks[[#This Row],[_Row]]/100000,"")</f>
        <v/>
      </c>
      <c r="DC5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56" s="41" t="n">
        <f aca="false">IF(NOT(Tasks[[#This Row],[_IsLeaf]]=1),0,IF(Tasks[[#This Row],[Baseline Cost]]="",Tasks[[#This Row],[_LeafCost]],N(Tasks[[#This Row],[Baseline Cost]])))</f>
        <v>0</v>
      </c>
      <c r="DE56" s="41" t="n">
        <f aca="false">Tasks[[#This Row],[_LeafBudget]]*Tasks[[#This Row],[_PlannedPct]]</f>
        <v>0</v>
      </c>
      <c r="DF56" s="41" t="n">
        <f aca="false">Tasks[[#This Row],[_LeafBudget]]*Tasks[[#This Row],[_LeafProgress]]</f>
        <v>0</v>
      </c>
      <c r="DG56" s="41" t="n">
        <f aca="false">IF(NOT(Tasks[[#This Row],[_IsLeaf]]=1),0,IF(Tasks[[#This Row],[Actual Cost]]="",Tasks[[#This Row],[_LeafCost]]*Tasks[[#This Row],[_LeafProgress]],N(Tasks[[#This Row],[Actual Cost]])))</f>
        <v>0</v>
      </c>
      <c r="DH56" s="41" t="str">
        <f aca="false">IF(Tasks[[#This Row],[Task Name]]="","",LEFT(Tasks[[#This Row],[WBS]],FIND(".",Tasks[[#This Row],[WBS]]&amp;".")-1))</f>
        <v/>
      </c>
      <c r="DI56" s="41" t="str">
        <f aca="false">IF(AND(Tasks[[#This Row],[Task Name]]&lt;&gt;"",Tasks[[#This Row],[_Level]]=1),Tasks[[#This Row],[_Row]],"")</f>
        <v/>
      </c>
      <c r="DJ56" s="41" t="str">
        <f aca="false">IF(AND(Tasks[[#This Row],[_IsLeaf]]=1,N(Tasks[[#This Row],[Duration]])=0),Tasks[[#This Row],[Planned Finish]]+Tasks[[#This Row],[_Row]]/100000,"")</f>
        <v/>
      </c>
      <c r="DK56" s="41" t="str">
        <f aca="false">IF(AND(Tasks[[#This Row],[_IsLeaf]]=1,Tasks[[#This Row],[_LeafProgress]]&lt;1,OR(N(Tasks[[#This Row],[Finish Var]])&gt;0,Tasks[[#This Row],[Status]]="Late Start")),MAX(0,Tasks[[#This Row],[Finish Var]])+1-Tasks[[#This Row],[_Row]]/1000000,"")</f>
        <v/>
      </c>
      <c r="DL56" s="41" t="str">
        <f aca="false">IF(AND(Tasks[[#This Row],[_IsLeaf]]=1,N(Tasks[[#This Row],[Actual Start]])=0,Tasks[[#This Row],[_LeafFcstStart]]&gt;=StatusDate,Tasks[[#This Row],[_LeafFcstStart]]&lt;=LookaheadEnd),Tasks[[#This Row],[_LeafFcstStart]]+Tasks[[#This Row],[_Row]]/100000,"")</f>
        <v/>
      </c>
      <c r="DM56" s="41" t="str">
        <f aca="false">IF(AND(Tasks[[#This Row],[_IsLeaf]]=1,Tasks[[#This Row],[_LeafProgress]]&lt;1,Tasks[[#This Row],[_LeafFcstFinish]]&gt;=StatusDate,Tasks[[#This Row],[_LeafFcstFinish]]&lt;=LookaheadEnd),Tasks[[#This Row],[_LeafFcstFinish]]+Tasks[[#This Row],[_Row]]/100000,"")</f>
        <v/>
      </c>
      <c r="DN56" s="41" t="str">
        <f aca="false">IF(Tasks[[#This Row],[_LeafCritical]],Tasks[[#This Row],[_LeafFcstStart]]+Tasks[[#This Row],[_Row]]/100000,"")</f>
        <v/>
      </c>
      <c r="DO56" s="41" t="n">
        <f aca="false">Tasks[[#This Row],[_LeafWork]]*Tasks[[#This Row],[_LeafProgress]]</f>
        <v>0</v>
      </c>
      <c r="DP56" s="100" t="str">
        <f aca="false">IF(AND(Tasks[[#This Row],[_IsLeaf]]=1,Tasks[[#This Row],[_LeafProgress]]&gt;=1),IF(N(Tasks[[#This Row],[Actual Finish]])&gt;0,Tasks[[#This Row],[Actual Finish]],Tasks[[#This Row],[_LeafFcstFinish]]),"")</f>
        <v/>
      </c>
      <c r="DQ56" s="41" t="n">
        <f aca="false">IF(Tasks[[#This Row],[_IsLeaf]]=1,N(Tasks[[#This Row],[Story Points]]),0)</f>
        <v>0</v>
      </c>
      <c r="DR56" s="41" t="str">
        <f aca="false">IF(AND(Tasks[[#This Row],[_IsLeaf]]=1,CurrentSprint&lt;&gt;"",Tasks[[#This Row],[Sprint]]=CurrentSprint),Tasks[[#This Row],[_Row]],"")</f>
        <v/>
      </c>
    </row>
    <row r="57" customFormat="false" ht="15" hidden="false" customHeight="false" outlineLevel="0" collapsed="false">
      <c r="A57" s="28" t="str">
        <f aca="false">IF(Tasks[[#This Row],[Task Name]]="","",COUNTA(Tasks[[#Headers],[Task Name]]:Tasks[[#This Row],[Task Name]])-1)</f>
        <v/>
      </c>
      <c r="B57" s="29" t="n">
        <v>52</v>
      </c>
      <c r="C5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7" s="29"/>
      <c r="E57" s="30"/>
      <c r="F57" s="29"/>
      <c r="G57" s="29"/>
      <c r="H57" s="29"/>
      <c r="I57" s="29"/>
      <c r="J57" s="29"/>
      <c r="K57" s="29"/>
      <c r="L57" s="29"/>
      <c r="M57" s="29"/>
      <c r="N57" s="73"/>
      <c r="O57" s="73"/>
      <c r="P57" s="25" t="str">
        <f aca="false">IF(Tasks[[#This Row],[Task Name]]="","",IF(N(Tasks[[#This Row],[Baseline Start]])&gt;0,Tasks[[#This Row],[Baseline Start]],Tasks[[#This Row],[_CalcStart]]))</f>
        <v/>
      </c>
      <c r="Q57" s="25" t="str">
        <f aca="false">IF(Tasks[[#This Row],[Task Name]]="","",IF(N(Tasks[[#This Row],[Baseline Finish]])&gt;0,Tasks[[#This Row],[Baseline Finish]],Tasks[[#This Row],[_CalcFinish]]))</f>
        <v/>
      </c>
      <c r="R57" s="73"/>
      <c r="S57" s="73"/>
      <c r="T57" s="25" t="str">
        <f aca="false">IF(Tasks[[#This Row],[Task Name]]="","",IF(Tasks[[#This Row],[_IsSummary]],MIN(INDEX(Tasks[_LeafFcstStart],Tasks[[#This Row],[_Row]]+1):INDEX(Tasks[_LeafFcstStart],Tasks[[#This Row],[_Row]]+Tasks[[#This Row],[_Descendants]])),Tasks[[#This Row],[_LeafFcstStart]]))</f>
        <v/>
      </c>
      <c r="U57" s="25" t="str">
        <f aca="false">IF(Tasks[[#This Row],[Task Name]]="","",IF(Tasks[[#This Row],[_IsSummary]],MAX(INDEX(Tasks[_LeafFcstFinish],Tasks[[#This Row],[_Row]]+1):INDEX(Tasks[_LeafFcstFinish],Tasks[[#This Row],[_Row]]+Tasks[[#This Row],[_Descendants]])),Tasks[[#This Row],[_LeafFcstFinish]]))</f>
        <v/>
      </c>
      <c r="V5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5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7" s="25" t="str">
        <f aca="false">IF(Tasks[[#This Row],[Task Name]]="","",IF(Tasks[[#This Row],[_IsSummary]],MIN(INDEX(Tasks[_LeafLateStart],Tasks[[#This Row],[_Row]]+1):INDEX(Tasks[_LeafLateStart],Tasks[[#This Row],[_Row]]+Tasks[[#This Row],[_Descendants]])),Tasks[[#This Row],[_LeafLateStart]]))</f>
        <v/>
      </c>
      <c r="Y57" s="25" t="str">
        <f aca="false">IF(Tasks[[#This Row],[Task Name]]="","",IF(Tasks[[#This Row],[_IsSummary]],MAX(INDEX(Tasks[_LeafLateFinish],Tasks[[#This Row],[_Row]]+1):INDEX(Tasks[_LeafLateFinish],Tasks[[#This Row],[_Row]]+Tasks[[#This Row],[_Descendants]])),Tasks[[#This Row],[_LeafLateFinish]]))</f>
        <v/>
      </c>
      <c r="Z57" s="43" t="str">
        <f aca="false">IF(Tasks[[#This Row],[Task Name]]="","",IF(Tasks[[#This Row],[_IsSummary]],MIN(INDEX(Tasks[_LeafTotalSlack],Tasks[[#This Row],[_Row]]+1):INDEX(Tasks[_LeafTotalSlack],Tasks[[#This Row],[_Row]]+Tasks[[#This Row],[_Descendants]])),Tasks[[#This Row],[_LeafTotalSlack]]))</f>
        <v/>
      </c>
      <c r="AA5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7" s="28" t="str">
        <f aca="false">IF(Tasks[[#This Row],[Task Name]]="","",IF(IF(Tasks[[#This Row],[_IsSummary]],COUNTIF(INDEX(Tasks[_LeafCritical],Tasks[[#This Row],[_Row]]+1):INDEX(Tasks[_LeafCritical],Tasks[[#This Row],[_Row]]+Tasks[[#This Row],[_Descendants]]),TRUE())&gt;0,Tasks[[#This Row],[_LeafCritical]]),"Yes",""))</f>
        <v/>
      </c>
      <c r="AC5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7" s="24" t="str">
        <f aca="false">IF(Tasks[[#This Row],[Task Name]]="","",TRIM(IF(Tasks[[#This Row],[_Pred1Problem]]&lt;&gt;"","Pred 1: "&amp;Tasks[[#This Row],[_Pred1Problem]]&amp;". ","")&amp;IF(Tasks[[#This Row],[_Pred2Problem]]&lt;&gt;"","Pred 2: "&amp;Tasks[[#This Row],[_Pred2Problem]]&amp;".","")))</f>
        <v/>
      </c>
      <c r="AE57" s="88"/>
      <c r="AF57"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7" s="28" t="str">
        <f aca="false">IF(Tasks[[#This Row],[Task Name]]="","",IF(Tasks[[#This Row],[Progress]]&gt;=1,"Complete",IF(OR(N(Tasks[[#This Row],[Actual Start]])&gt;0,Tasks[[#This Row],[Progress]]&gt;0),IF(Tasks[[#This Row],[Finish Var]]&gt;0,"Behind","In Progress"),IF(Tasks[[#This Row],[Planned Start]]&lt;StatusDate,"Late Start","Not Started"))))</f>
        <v/>
      </c>
      <c r="AH57" s="30"/>
      <c r="AI57" s="88"/>
      <c r="AJ57" s="95" t="str">
        <f aca="false">IF(Tasks[[#This Row],[Task Name]]="","",IF(Tasks[[#This Row],[_IsSummary]],SUM(INDEX(Tasks[_LeafWork],Tasks[[#This Row],[_Row]]+1):INDEX(Tasks[_LeafWork],Tasks[[#This Row],[_Row]]+Tasks[[#This Row],[_Descendants]])),Tasks[[#This Row],[_LeafWork]]))</f>
        <v/>
      </c>
      <c r="AK57" s="96" t="str">
        <f aca="false">IF(Tasks[[#This Row],[Task Name]]="","",IF(Tasks[[#This Row],[_IsSummary]],SUM(INDEX(Tasks[_LeafCost],Tasks[[#This Row],[_Row]]+1):INDEX(Tasks[_LeafCost],Tasks[[#This Row],[_Row]]+Tasks[[#This Row],[_Descendants]])),Tasks[[#This Row],[_LeafCost]]))</f>
        <v/>
      </c>
      <c r="AL57" s="97"/>
      <c r="AM57" s="29"/>
      <c r="AN5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57" s="82"/>
      <c r="AP57" s="24" t="str">
        <f aca="false">IF(Tasks[[#This Row],[Task Name]]="","",Tasks[[#This Row],[_Pred1IDText]]&amp;IF(AND(Tasks[[#This Row],[_Pred1IDText]]&lt;&gt;"",Tasks[[#This Row],[_Pred2IDText]]&lt;&gt;""),",","")&amp;Tasks[[#This Row],[_Pred2IDText]])</f>
        <v/>
      </c>
      <c r="AQ57" s="30"/>
      <c r="AR57" s="25" t="str">
        <f aca="false">IF(Tasks[[#This Row],[Task Name]]="","",Tasks[[#This Row],[Forecast Start]])</f>
        <v/>
      </c>
      <c r="AS57" s="25" t="str">
        <f aca="false">IF(Tasks[[#This Row],[Task Name]]="","",Tasks[[#This Row],[Forecast Finish]])</f>
        <v/>
      </c>
      <c r="AT57" s="28" t="str">
        <f aca="false">IF(Tasks[[#This Row],[Task Name]]="","",IF(Tasks[[#This Row],[_IsSummary]],NETWORKDAYS.INTL(Tasks[[#This Row],[Forecast Start]],Tasks[[#This Row],[Forecast Finish]],WorkWeek,Holidays),N(Tasks[[#This Row],[Duration]])))</f>
        <v/>
      </c>
      <c r="AU57" s="95" t="str">
        <f aca="false">IF(Tasks[[#This Row],[Task Name]]="","",Tasks[[#This Row],[Work]])</f>
        <v/>
      </c>
      <c r="AV57" s="96" t="str">
        <f aca="false">IF(Tasks[[#This Row],[Task Name]]="","",Tasks[[#This Row],[Cost]])</f>
        <v/>
      </c>
      <c r="AW57" s="73"/>
      <c r="AX57" s="73"/>
      <c r="AY57" s="29"/>
      <c r="AZ57" s="98"/>
      <c r="BA57" s="97"/>
      <c r="BB57" s="28" t="str">
        <f aca="false">IF(OR(Tasks[[#This Row],[Task Name]]="",Tasks[[#This Row],[Baseline Duration]]=""),"",Tasks[[#This Row],[BL Source Duration]]-N(Tasks[[#This Row],[Baseline Duration]]))</f>
        <v/>
      </c>
      <c r="BC57" s="95" t="str">
        <f aca="false">IF(OR(Tasks[[#This Row],[Task Name]]="",Tasks[[#This Row],[Baseline Work]]=""),"",Tasks[[#This Row],[Work]]-N(Tasks[[#This Row],[Baseline Work]]))</f>
        <v/>
      </c>
      <c r="BD57" s="96" t="str">
        <f aca="false">IF(OR(Tasks[[#This Row],[Task Name]]="",Tasks[[#This Row],[Baseline Cost]]=""),"",Tasks[[#This Row],[Cost]]-N(Tasks[[#This Row],[Baseline Cost]]))</f>
        <v/>
      </c>
      <c r="BE57" s="96" t="str">
        <f aca="false">IF(Tasks[[#This Row],[Task Name]]="","",IF(Tasks[[#This Row],[_IsSummary]],SUM(INDEX(Tasks[_LeafBudget],Tasks[[#This Row],[_Row]]+1):INDEX(Tasks[_LeafBudget],Tasks[[#This Row],[_Row]]+Tasks[[#This Row],[_Descendants]])),Tasks[[#This Row],[_LeafBudget]]))</f>
        <v/>
      </c>
      <c r="BF57" s="96" t="str">
        <f aca="false">IF(Tasks[[#This Row],[Task Name]]="","",IF(Tasks[[#This Row],[_IsSummary]],SUM(INDEX(Tasks[_LeafPV],Tasks[[#This Row],[_Row]]+1):INDEX(Tasks[_LeafPV],Tasks[[#This Row],[_Row]]+Tasks[[#This Row],[_Descendants]])),Tasks[[#This Row],[_LeafPV]]))</f>
        <v/>
      </c>
      <c r="BG57" s="96" t="str">
        <f aca="false">IF(Tasks[[#This Row],[Task Name]]="","",IF(Tasks[[#This Row],[_IsSummary]],SUM(INDEX(Tasks[_LeafEV],Tasks[[#This Row],[_Row]]+1):INDEX(Tasks[_LeafEV],Tasks[[#This Row],[_Row]]+Tasks[[#This Row],[_Descendants]])),Tasks[[#This Row],[_LeafEV]]))</f>
        <v/>
      </c>
      <c r="BH57" s="96" t="str">
        <f aca="false">IF(Tasks[[#This Row],[Task Name]]="","",IF(Tasks[[#This Row],[_IsSummary]],SUM(INDEX(Tasks[_LeafAC],Tasks[[#This Row],[_Row]]+1):INDEX(Tasks[_LeafAC],Tasks[[#This Row],[_Row]]+Tasks[[#This Row],[_Descendants]])),Tasks[[#This Row],[_LeafAC]]))</f>
        <v/>
      </c>
      <c r="BI57" s="41" t="str">
        <f aca="false">IF(Tasks[[#This Row],[Task Name]]="","",MAX(1,N(Tasks[[#This Row],[Level]])))</f>
        <v/>
      </c>
      <c r="BJ57" s="41" t="n">
        <f aca="false">ROW()-ROW(Tasks[[#Headers],[ID]])</f>
        <v>52</v>
      </c>
      <c r="BK57" s="41" t="n">
        <f aca="false">IF(OR(Tasks[[#This Row],[Task Name]]="",Tasks[[#This Row],[_Level]]&lt;=1),0,IFERROR(LOOKUP(2,1/(Tasks[[#Headers],[_Level]]:Tasks[[#This Row],[_Level]]=Tasks[[#This Row],[_Level]]-1),ROW(Tasks[[#Headers],[_Level]]:Tasks[[#This Row],[_Level]])),0))</f>
        <v>0</v>
      </c>
      <c r="BL57" s="41" t="n">
        <f aca="false">IFERROR(N(INDEX(Tasks[_Level],Tasks[[#This Row],[_Row]]+1)),0)</f>
        <v>0</v>
      </c>
      <c r="BM57" s="99" t="b">
        <f aca="false">AND(Tasks[[#This Row],[Task Name]]&lt;&gt;"",Tasks[[#This Row],[_NextLevel]]&gt;Tasks[[#This Row],[_Level]])</f>
        <v>0</v>
      </c>
      <c r="BN57" s="41" t="n">
        <f aca="false">IF(Tasks[[#This Row],[_IsSummary]],COUNTIF(Tasks[WBS],Tasks[[#This Row],[WBS]]&amp;".*"),0)</f>
        <v>0</v>
      </c>
      <c r="BO57" s="41" t="n">
        <f aca="false">IF(AND(Tasks[[#This Row],[Task Name]]&lt;&gt;"",NOT(Tasks[[#This Row],[_IsSummary]])),1,0)</f>
        <v>0</v>
      </c>
      <c r="BP57" s="41" t="n">
        <f aca="false">IF(N(Tasks[[#This Row],[Pred1 UID]])=0,0,IFERROR(MATCH(Tasks[[#This Row],[Pred1 UID]],Tasks[UID],0),-1))</f>
        <v>0</v>
      </c>
      <c r="BQ57" s="41" t="n">
        <f aca="false">IF(N(Tasks[[#This Row],[Pred2 UID]])=0,0,IFERROR(MATCH(Tasks[[#This Row],[Pred2 UID]],Tasks[UID],0),-1))</f>
        <v>0</v>
      </c>
      <c r="BR57"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57" s="100" t="str">
        <f aca="false">IF(NOT(Tasks[[#This Row],[_IsLeaf]]=1),"",IF(N(Tasks[[#This Row],[Duration]])&lt;=0,Tasks[[#This Row],[_LeafCalcStart]],WORKDAY.INTL(Tasks[[#This Row],[_LeafCalcStart]],Tasks[[#This Row],[Duration]]-1,WorkWeek,Holidays)))</f>
        <v/>
      </c>
      <c r="BT57"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57"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57" s="41" t="n">
        <f aca="false">IF(NOT(Tasks[[#This Row],[_IsLeaf]]=1),0,IF(N(Tasks[[#This Row],[Actual Finish]])&gt;0,1,MIN(1,N(Tasks[[#This Row],[% Complete]]))))</f>
        <v>0</v>
      </c>
      <c r="BW57" s="41" t="n">
        <f aca="false">IF(OR(NOT(Tasks[[#This Row],[_IsLeaf]]=1),Tasks[[#This Row],[Resource]]=""),0,N(Tasks[[#This Row],[Duration]])*HoursPerDay*IF(Tasks[[#This Row],[Units]]="",DefaultUnits,Tasks[[#This Row],[Units]]))</f>
        <v>0</v>
      </c>
      <c r="BX57" s="41" t="n">
        <f aca="false">IF(Tasks[[#This Row],[_LeafWork]]=0,0,Tasks[[#This Row],[_LeafWork]]*IFERROR(INDEX(res_Rate,MATCH(Tasks[[#This Row],[Resource]],res_Name,0)),0))</f>
        <v>0</v>
      </c>
      <c r="BY5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5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5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5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57" s="41" t="n">
        <f aca="false">IF(NOT(Tasks[[#This Row],[_IsLeaf]]=1),0,MAX(_xlfn.MAXIFS(Tasks[_Row],Tasks[Pred1 UID],Tasks[[#This Row],[UID]]),_xlfn.MAXIFS(Tasks[_Row],Tasks[Pred2 UID],Tasks[[#This Row],[UID]])))</f>
        <v>0</v>
      </c>
      <c r="CD57"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57" s="100" t="str">
        <f aca="false">IF(NOT(Tasks[[#This Row],[_IsLeaf]]=1),"",MIN(ProjectFinish,IF(N(Tasks[[#This Row],[Deadline]])&gt;0,Tasks[[#This Row],[Deadline]],2958465),Tasks[[#This Row],[_SuccessorFinishLimit]]))</f>
        <v/>
      </c>
      <c r="CF57" s="100" t="str">
        <f aca="false">IF(NOT(Tasks[[#This Row],[_IsLeaf]]=1),"",IF(N(Tasks[[#This Row],[Duration]])&lt;=0,Tasks[[#This Row],[_LeafLateFinish]],WORKDAY.INTL(Tasks[[#This Row],[_LeafLateFinish]],-(Tasks[[#This Row],[Duration]]-1),WorkWeek,Holidays)))</f>
        <v/>
      </c>
      <c r="CG5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57" s="99" t="b">
        <f aca="false">AND(Tasks[[#This Row],[_IsLeaf]]=1,Tasks[[#This Row],[_LeafProgress]]&lt;1,N(Tasks[[#This Row],[_LeafTotalSlack]])&lt;=CriticalSlackDays)</f>
        <v>0</v>
      </c>
      <c r="CI57" s="100" t="str">
        <f aca="false">IF(Tasks[[#This Row],[Task Name]]="","",IF(Tasks[[#This Row],[_IsSummary]],MIN(INDEX(Tasks[_LeafCalcStart],Tasks[[#This Row],[_Row]]+1):INDEX(Tasks[_LeafCalcStart],Tasks[[#This Row],[_Row]]+Tasks[[#This Row],[_Descendants]])),Tasks[[#This Row],[_LeafCalcStart]]))</f>
        <v/>
      </c>
      <c r="CJ57" s="100" t="str">
        <f aca="false">IF(Tasks[[#This Row],[Task Name]]="","",IF(Tasks[[#This Row],[_IsSummary]],MAX(INDEX(Tasks[_LeafCalcFinish],Tasks[[#This Row],[_Row]]+1):INDEX(Tasks[_LeafCalcFinish],Tasks[[#This Row],[_Row]]+Tasks[[#This Row],[_Descendants]])),Tasks[[#This Row],[_LeafCalcFinish]]))</f>
        <v/>
      </c>
      <c r="CK5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5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57"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57"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57"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57"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57" s="41" t="n">
        <f aca="false">IF(AND(Tasks[[#This Row],[_IsLeaf]]=1,Tasks[[#This Row],[_LeafWork]]&gt;0),NETWORKDAYS.INTL(ProjectStart,Tasks[[#This Row],[_LeafFcstStart]],WorkWeek,Holidays),0)</f>
        <v>0</v>
      </c>
      <c r="CR57" s="41" t="n">
        <f aca="false">IF(AND(Tasks[[#This Row],[_IsLeaf]]=1,Tasks[[#This Row],[_LeafWork]]&gt;0),MAX(Tasks[[#This Row],[_StartWorkday]],NETWORKDAYS.INTL(ProjectStart,Tasks[[#This Row],[_LeafFcstFinish]],WorkWeek,Holidays)),0)</f>
        <v>0</v>
      </c>
      <c r="CS57" s="41" t="n">
        <f aca="false">IF(AND(Tasks[[#This Row],[_IsLeaf]]=1,Tasks[[#This Row],[_LeafWork]]&gt;0),Tasks[[#This Row],[_LeafWork]]/(Tasks[[#This Row],[_FinishWorkday]]-Tasks[[#This Row],[_StartWorkday]]+1),0)</f>
        <v>0</v>
      </c>
      <c r="CT57" s="41" t="n">
        <f aca="false">Tasks[[#This Row],[_WorkPerWorkday]]*(Tasks[[#This Row],[_StartWorkday]]-1)</f>
        <v>-0</v>
      </c>
      <c r="CU57" s="41" t="n">
        <f aca="false">IF(Tasks[[#This Row],[_IsLeaf]]=1,MAX(N(Tasks[[#This Row],[Duration]]),0.1),0)</f>
        <v>0</v>
      </c>
      <c r="CV57" s="41" t="n">
        <f aca="false">Tasks[[#This Row],[_WeightDur]]*Tasks[[#This Row],[_LeafProgress]]</f>
        <v>0</v>
      </c>
      <c r="CW5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5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5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5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57" s="41" t="str">
        <f aca="false">IF(Tasks[[#This Row],[Task Name]]="","",Tasks[[#This Row],[_Pred1UIDText]]&amp;IF(AND(Tasks[[#This Row],[_Pred1UIDText]]&lt;&gt;"",Tasks[[#This Row],[_Pred2UIDText]]&lt;&gt;""),",","")&amp;Tasks[[#This Row],[_Pred2UIDText]])</f>
        <v/>
      </c>
      <c r="DB57" s="41" t="str">
        <f aca="false">IF(AND(Tasks[[#This Row],[_IsLeaf]]=1,N(Tasks[[#This Row],[Duration]])=0,Tasks[[#This Row],[_LeafProgress]]&lt;1),Tasks[[#This Row],[_LeafFcstFinish]]+Tasks[[#This Row],[_Row]]/100000,"")</f>
        <v/>
      </c>
      <c r="DC5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57" s="41" t="n">
        <f aca="false">IF(NOT(Tasks[[#This Row],[_IsLeaf]]=1),0,IF(Tasks[[#This Row],[Baseline Cost]]="",Tasks[[#This Row],[_LeafCost]],N(Tasks[[#This Row],[Baseline Cost]])))</f>
        <v>0</v>
      </c>
      <c r="DE57" s="41" t="n">
        <f aca="false">Tasks[[#This Row],[_LeafBudget]]*Tasks[[#This Row],[_PlannedPct]]</f>
        <v>0</v>
      </c>
      <c r="DF57" s="41" t="n">
        <f aca="false">Tasks[[#This Row],[_LeafBudget]]*Tasks[[#This Row],[_LeafProgress]]</f>
        <v>0</v>
      </c>
      <c r="DG57" s="41" t="n">
        <f aca="false">IF(NOT(Tasks[[#This Row],[_IsLeaf]]=1),0,IF(Tasks[[#This Row],[Actual Cost]]="",Tasks[[#This Row],[_LeafCost]]*Tasks[[#This Row],[_LeafProgress]],N(Tasks[[#This Row],[Actual Cost]])))</f>
        <v>0</v>
      </c>
      <c r="DH57" s="41" t="str">
        <f aca="false">IF(Tasks[[#This Row],[Task Name]]="","",LEFT(Tasks[[#This Row],[WBS]],FIND(".",Tasks[[#This Row],[WBS]]&amp;".")-1))</f>
        <v/>
      </c>
      <c r="DI57" s="41" t="str">
        <f aca="false">IF(AND(Tasks[[#This Row],[Task Name]]&lt;&gt;"",Tasks[[#This Row],[_Level]]=1),Tasks[[#This Row],[_Row]],"")</f>
        <v/>
      </c>
      <c r="DJ57" s="41" t="str">
        <f aca="false">IF(AND(Tasks[[#This Row],[_IsLeaf]]=1,N(Tasks[[#This Row],[Duration]])=0),Tasks[[#This Row],[Planned Finish]]+Tasks[[#This Row],[_Row]]/100000,"")</f>
        <v/>
      </c>
      <c r="DK57" s="41" t="str">
        <f aca="false">IF(AND(Tasks[[#This Row],[_IsLeaf]]=1,Tasks[[#This Row],[_LeafProgress]]&lt;1,OR(N(Tasks[[#This Row],[Finish Var]])&gt;0,Tasks[[#This Row],[Status]]="Late Start")),MAX(0,Tasks[[#This Row],[Finish Var]])+1-Tasks[[#This Row],[_Row]]/1000000,"")</f>
        <v/>
      </c>
      <c r="DL57" s="41" t="str">
        <f aca="false">IF(AND(Tasks[[#This Row],[_IsLeaf]]=1,N(Tasks[[#This Row],[Actual Start]])=0,Tasks[[#This Row],[_LeafFcstStart]]&gt;=StatusDate,Tasks[[#This Row],[_LeafFcstStart]]&lt;=LookaheadEnd),Tasks[[#This Row],[_LeafFcstStart]]+Tasks[[#This Row],[_Row]]/100000,"")</f>
        <v/>
      </c>
      <c r="DM57" s="41" t="str">
        <f aca="false">IF(AND(Tasks[[#This Row],[_IsLeaf]]=1,Tasks[[#This Row],[_LeafProgress]]&lt;1,Tasks[[#This Row],[_LeafFcstFinish]]&gt;=StatusDate,Tasks[[#This Row],[_LeafFcstFinish]]&lt;=LookaheadEnd),Tasks[[#This Row],[_LeafFcstFinish]]+Tasks[[#This Row],[_Row]]/100000,"")</f>
        <v/>
      </c>
      <c r="DN57" s="41" t="str">
        <f aca="false">IF(Tasks[[#This Row],[_LeafCritical]],Tasks[[#This Row],[_LeafFcstStart]]+Tasks[[#This Row],[_Row]]/100000,"")</f>
        <v/>
      </c>
      <c r="DO57" s="41" t="n">
        <f aca="false">Tasks[[#This Row],[_LeafWork]]*Tasks[[#This Row],[_LeafProgress]]</f>
        <v>0</v>
      </c>
      <c r="DP57" s="100" t="str">
        <f aca="false">IF(AND(Tasks[[#This Row],[_IsLeaf]]=1,Tasks[[#This Row],[_LeafProgress]]&gt;=1),IF(N(Tasks[[#This Row],[Actual Finish]])&gt;0,Tasks[[#This Row],[Actual Finish]],Tasks[[#This Row],[_LeafFcstFinish]]),"")</f>
        <v/>
      </c>
      <c r="DQ57" s="41" t="n">
        <f aca="false">IF(Tasks[[#This Row],[_IsLeaf]]=1,N(Tasks[[#This Row],[Story Points]]),0)</f>
        <v>0</v>
      </c>
      <c r="DR57" s="41" t="str">
        <f aca="false">IF(AND(Tasks[[#This Row],[_IsLeaf]]=1,CurrentSprint&lt;&gt;"",Tasks[[#This Row],[Sprint]]=CurrentSprint),Tasks[[#This Row],[_Row]],"")</f>
        <v/>
      </c>
    </row>
    <row r="58" customFormat="false" ht="15" hidden="false" customHeight="false" outlineLevel="0" collapsed="false">
      <c r="A58" s="28" t="str">
        <f aca="false">IF(Tasks[[#This Row],[Task Name]]="","",COUNTA(Tasks[[#Headers],[Task Name]]:Tasks[[#This Row],[Task Name]])-1)</f>
        <v/>
      </c>
      <c r="B58" s="29" t="n">
        <v>53</v>
      </c>
      <c r="C5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8" s="29"/>
      <c r="E58" s="30"/>
      <c r="F58" s="29"/>
      <c r="G58" s="29"/>
      <c r="H58" s="29"/>
      <c r="I58" s="29"/>
      <c r="J58" s="29"/>
      <c r="K58" s="29"/>
      <c r="L58" s="29"/>
      <c r="M58" s="29"/>
      <c r="N58" s="73"/>
      <c r="O58" s="73"/>
      <c r="P58" s="25" t="str">
        <f aca="false">IF(Tasks[[#This Row],[Task Name]]="","",IF(N(Tasks[[#This Row],[Baseline Start]])&gt;0,Tasks[[#This Row],[Baseline Start]],Tasks[[#This Row],[_CalcStart]]))</f>
        <v/>
      </c>
      <c r="Q58" s="25" t="str">
        <f aca="false">IF(Tasks[[#This Row],[Task Name]]="","",IF(N(Tasks[[#This Row],[Baseline Finish]])&gt;0,Tasks[[#This Row],[Baseline Finish]],Tasks[[#This Row],[_CalcFinish]]))</f>
        <v/>
      </c>
      <c r="R58" s="73"/>
      <c r="S58" s="73"/>
      <c r="T58" s="25" t="str">
        <f aca="false">IF(Tasks[[#This Row],[Task Name]]="","",IF(Tasks[[#This Row],[_IsSummary]],MIN(INDEX(Tasks[_LeafFcstStart],Tasks[[#This Row],[_Row]]+1):INDEX(Tasks[_LeafFcstStart],Tasks[[#This Row],[_Row]]+Tasks[[#This Row],[_Descendants]])),Tasks[[#This Row],[_LeafFcstStart]]))</f>
        <v/>
      </c>
      <c r="U58" s="25" t="str">
        <f aca="false">IF(Tasks[[#This Row],[Task Name]]="","",IF(Tasks[[#This Row],[_IsSummary]],MAX(INDEX(Tasks[_LeafFcstFinish],Tasks[[#This Row],[_Row]]+1):INDEX(Tasks[_LeafFcstFinish],Tasks[[#This Row],[_Row]]+Tasks[[#This Row],[_Descendants]])),Tasks[[#This Row],[_LeafFcstFinish]]))</f>
        <v/>
      </c>
      <c r="V5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5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8" s="25" t="str">
        <f aca="false">IF(Tasks[[#This Row],[Task Name]]="","",IF(Tasks[[#This Row],[_IsSummary]],MIN(INDEX(Tasks[_LeafLateStart],Tasks[[#This Row],[_Row]]+1):INDEX(Tasks[_LeafLateStart],Tasks[[#This Row],[_Row]]+Tasks[[#This Row],[_Descendants]])),Tasks[[#This Row],[_LeafLateStart]]))</f>
        <v/>
      </c>
      <c r="Y58" s="25" t="str">
        <f aca="false">IF(Tasks[[#This Row],[Task Name]]="","",IF(Tasks[[#This Row],[_IsSummary]],MAX(INDEX(Tasks[_LeafLateFinish],Tasks[[#This Row],[_Row]]+1):INDEX(Tasks[_LeafLateFinish],Tasks[[#This Row],[_Row]]+Tasks[[#This Row],[_Descendants]])),Tasks[[#This Row],[_LeafLateFinish]]))</f>
        <v/>
      </c>
      <c r="Z58" s="43" t="str">
        <f aca="false">IF(Tasks[[#This Row],[Task Name]]="","",IF(Tasks[[#This Row],[_IsSummary]],MIN(INDEX(Tasks[_LeafTotalSlack],Tasks[[#This Row],[_Row]]+1):INDEX(Tasks[_LeafTotalSlack],Tasks[[#This Row],[_Row]]+Tasks[[#This Row],[_Descendants]])),Tasks[[#This Row],[_LeafTotalSlack]]))</f>
        <v/>
      </c>
      <c r="AA5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8" s="28" t="str">
        <f aca="false">IF(Tasks[[#This Row],[Task Name]]="","",IF(IF(Tasks[[#This Row],[_IsSummary]],COUNTIF(INDEX(Tasks[_LeafCritical],Tasks[[#This Row],[_Row]]+1):INDEX(Tasks[_LeafCritical],Tasks[[#This Row],[_Row]]+Tasks[[#This Row],[_Descendants]]),TRUE())&gt;0,Tasks[[#This Row],[_LeafCritical]]),"Yes",""))</f>
        <v/>
      </c>
      <c r="AC5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8" s="24" t="str">
        <f aca="false">IF(Tasks[[#This Row],[Task Name]]="","",TRIM(IF(Tasks[[#This Row],[_Pred1Problem]]&lt;&gt;"","Pred 1: "&amp;Tasks[[#This Row],[_Pred1Problem]]&amp;". ","")&amp;IF(Tasks[[#This Row],[_Pred2Problem]]&lt;&gt;"","Pred 2: "&amp;Tasks[[#This Row],[_Pred2Problem]]&amp;".","")))</f>
        <v/>
      </c>
      <c r="AE58" s="88"/>
      <c r="AF58"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8" s="28" t="str">
        <f aca="false">IF(Tasks[[#This Row],[Task Name]]="","",IF(Tasks[[#This Row],[Progress]]&gt;=1,"Complete",IF(OR(N(Tasks[[#This Row],[Actual Start]])&gt;0,Tasks[[#This Row],[Progress]]&gt;0),IF(Tasks[[#This Row],[Finish Var]]&gt;0,"Behind","In Progress"),IF(Tasks[[#This Row],[Planned Start]]&lt;StatusDate,"Late Start","Not Started"))))</f>
        <v/>
      </c>
      <c r="AH58" s="30"/>
      <c r="AI58" s="88"/>
      <c r="AJ58" s="95" t="str">
        <f aca="false">IF(Tasks[[#This Row],[Task Name]]="","",IF(Tasks[[#This Row],[_IsSummary]],SUM(INDEX(Tasks[_LeafWork],Tasks[[#This Row],[_Row]]+1):INDEX(Tasks[_LeafWork],Tasks[[#This Row],[_Row]]+Tasks[[#This Row],[_Descendants]])),Tasks[[#This Row],[_LeafWork]]))</f>
        <v/>
      </c>
      <c r="AK58" s="96" t="str">
        <f aca="false">IF(Tasks[[#This Row],[Task Name]]="","",IF(Tasks[[#This Row],[_IsSummary]],SUM(INDEX(Tasks[_LeafCost],Tasks[[#This Row],[_Row]]+1):INDEX(Tasks[_LeafCost],Tasks[[#This Row],[_Row]]+Tasks[[#This Row],[_Descendants]])),Tasks[[#This Row],[_LeafCost]]))</f>
        <v/>
      </c>
      <c r="AL58" s="97"/>
      <c r="AM58" s="29"/>
      <c r="AN5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58" s="82"/>
      <c r="AP58" s="24" t="str">
        <f aca="false">IF(Tasks[[#This Row],[Task Name]]="","",Tasks[[#This Row],[_Pred1IDText]]&amp;IF(AND(Tasks[[#This Row],[_Pred1IDText]]&lt;&gt;"",Tasks[[#This Row],[_Pred2IDText]]&lt;&gt;""),",","")&amp;Tasks[[#This Row],[_Pred2IDText]])</f>
        <v/>
      </c>
      <c r="AQ58" s="30"/>
      <c r="AR58" s="25" t="str">
        <f aca="false">IF(Tasks[[#This Row],[Task Name]]="","",Tasks[[#This Row],[Forecast Start]])</f>
        <v/>
      </c>
      <c r="AS58" s="25" t="str">
        <f aca="false">IF(Tasks[[#This Row],[Task Name]]="","",Tasks[[#This Row],[Forecast Finish]])</f>
        <v/>
      </c>
      <c r="AT58" s="28" t="str">
        <f aca="false">IF(Tasks[[#This Row],[Task Name]]="","",IF(Tasks[[#This Row],[_IsSummary]],NETWORKDAYS.INTL(Tasks[[#This Row],[Forecast Start]],Tasks[[#This Row],[Forecast Finish]],WorkWeek,Holidays),N(Tasks[[#This Row],[Duration]])))</f>
        <v/>
      </c>
      <c r="AU58" s="95" t="str">
        <f aca="false">IF(Tasks[[#This Row],[Task Name]]="","",Tasks[[#This Row],[Work]])</f>
        <v/>
      </c>
      <c r="AV58" s="96" t="str">
        <f aca="false">IF(Tasks[[#This Row],[Task Name]]="","",Tasks[[#This Row],[Cost]])</f>
        <v/>
      </c>
      <c r="AW58" s="73"/>
      <c r="AX58" s="73"/>
      <c r="AY58" s="29"/>
      <c r="AZ58" s="98"/>
      <c r="BA58" s="97"/>
      <c r="BB58" s="28" t="str">
        <f aca="false">IF(OR(Tasks[[#This Row],[Task Name]]="",Tasks[[#This Row],[Baseline Duration]]=""),"",Tasks[[#This Row],[BL Source Duration]]-N(Tasks[[#This Row],[Baseline Duration]]))</f>
        <v/>
      </c>
      <c r="BC58" s="95" t="str">
        <f aca="false">IF(OR(Tasks[[#This Row],[Task Name]]="",Tasks[[#This Row],[Baseline Work]]=""),"",Tasks[[#This Row],[Work]]-N(Tasks[[#This Row],[Baseline Work]]))</f>
        <v/>
      </c>
      <c r="BD58" s="96" t="str">
        <f aca="false">IF(OR(Tasks[[#This Row],[Task Name]]="",Tasks[[#This Row],[Baseline Cost]]=""),"",Tasks[[#This Row],[Cost]]-N(Tasks[[#This Row],[Baseline Cost]]))</f>
        <v/>
      </c>
      <c r="BE58" s="96" t="str">
        <f aca="false">IF(Tasks[[#This Row],[Task Name]]="","",IF(Tasks[[#This Row],[_IsSummary]],SUM(INDEX(Tasks[_LeafBudget],Tasks[[#This Row],[_Row]]+1):INDEX(Tasks[_LeafBudget],Tasks[[#This Row],[_Row]]+Tasks[[#This Row],[_Descendants]])),Tasks[[#This Row],[_LeafBudget]]))</f>
        <v/>
      </c>
      <c r="BF58" s="96" t="str">
        <f aca="false">IF(Tasks[[#This Row],[Task Name]]="","",IF(Tasks[[#This Row],[_IsSummary]],SUM(INDEX(Tasks[_LeafPV],Tasks[[#This Row],[_Row]]+1):INDEX(Tasks[_LeafPV],Tasks[[#This Row],[_Row]]+Tasks[[#This Row],[_Descendants]])),Tasks[[#This Row],[_LeafPV]]))</f>
        <v/>
      </c>
      <c r="BG58" s="96" t="str">
        <f aca="false">IF(Tasks[[#This Row],[Task Name]]="","",IF(Tasks[[#This Row],[_IsSummary]],SUM(INDEX(Tasks[_LeafEV],Tasks[[#This Row],[_Row]]+1):INDEX(Tasks[_LeafEV],Tasks[[#This Row],[_Row]]+Tasks[[#This Row],[_Descendants]])),Tasks[[#This Row],[_LeafEV]]))</f>
        <v/>
      </c>
      <c r="BH58" s="96" t="str">
        <f aca="false">IF(Tasks[[#This Row],[Task Name]]="","",IF(Tasks[[#This Row],[_IsSummary]],SUM(INDEX(Tasks[_LeafAC],Tasks[[#This Row],[_Row]]+1):INDEX(Tasks[_LeafAC],Tasks[[#This Row],[_Row]]+Tasks[[#This Row],[_Descendants]])),Tasks[[#This Row],[_LeafAC]]))</f>
        <v/>
      </c>
      <c r="BI58" s="41" t="str">
        <f aca="false">IF(Tasks[[#This Row],[Task Name]]="","",MAX(1,N(Tasks[[#This Row],[Level]])))</f>
        <v/>
      </c>
      <c r="BJ58" s="41" t="n">
        <f aca="false">ROW()-ROW(Tasks[[#Headers],[ID]])</f>
        <v>53</v>
      </c>
      <c r="BK58" s="41" t="n">
        <f aca="false">IF(OR(Tasks[[#This Row],[Task Name]]="",Tasks[[#This Row],[_Level]]&lt;=1),0,IFERROR(LOOKUP(2,1/(Tasks[[#Headers],[_Level]]:Tasks[[#This Row],[_Level]]=Tasks[[#This Row],[_Level]]-1),ROW(Tasks[[#Headers],[_Level]]:Tasks[[#This Row],[_Level]])),0))</f>
        <v>0</v>
      </c>
      <c r="BL58" s="41" t="n">
        <f aca="false">IFERROR(N(INDEX(Tasks[_Level],Tasks[[#This Row],[_Row]]+1)),0)</f>
        <v>0</v>
      </c>
      <c r="BM58" s="99" t="b">
        <f aca="false">AND(Tasks[[#This Row],[Task Name]]&lt;&gt;"",Tasks[[#This Row],[_NextLevel]]&gt;Tasks[[#This Row],[_Level]])</f>
        <v>0</v>
      </c>
      <c r="BN58" s="41" t="n">
        <f aca="false">IF(Tasks[[#This Row],[_IsSummary]],COUNTIF(Tasks[WBS],Tasks[[#This Row],[WBS]]&amp;".*"),0)</f>
        <v>0</v>
      </c>
      <c r="BO58" s="41" t="n">
        <f aca="false">IF(AND(Tasks[[#This Row],[Task Name]]&lt;&gt;"",NOT(Tasks[[#This Row],[_IsSummary]])),1,0)</f>
        <v>0</v>
      </c>
      <c r="BP58" s="41" t="n">
        <f aca="false">IF(N(Tasks[[#This Row],[Pred1 UID]])=0,0,IFERROR(MATCH(Tasks[[#This Row],[Pred1 UID]],Tasks[UID],0),-1))</f>
        <v>0</v>
      </c>
      <c r="BQ58" s="41" t="n">
        <f aca="false">IF(N(Tasks[[#This Row],[Pred2 UID]])=0,0,IFERROR(MATCH(Tasks[[#This Row],[Pred2 UID]],Tasks[UID],0),-1))</f>
        <v>0</v>
      </c>
      <c r="BR58"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58" s="100" t="str">
        <f aca="false">IF(NOT(Tasks[[#This Row],[_IsLeaf]]=1),"",IF(N(Tasks[[#This Row],[Duration]])&lt;=0,Tasks[[#This Row],[_LeafCalcStart]],WORKDAY.INTL(Tasks[[#This Row],[_LeafCalcStart]],Tasks[[#This Row],[Duration]]-1,WorkWeek,Holidays)))</f>
        <v/>
      </c>
      <c r="BT58"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58"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58" s="41" t="n">
        <f aca="false">IF(NOT(Tasks[[#This Row],[_IsLeaf]]=1),0,IF(N(Tasks[[#This Row],[Actual Finish]])&gt;0,1,MIN(1,N(Tasks[[#This Row],[% Complete]]))))</f>
        <v>0</v>
      </c>
      <c r="BW58" s="41" t="n">
        <f aca="false">IF(OR(NOT(Tasks[[#This Row],[_IsLeaf]]=1),Tasks[[#This Row],[Resource]]=""),0,N(Tasks[[#This Row],[Duration]])*HoursPerDay*IF(Tasks[[#This Row],[Units]]="",DefaultUnits,Tasks[[#This Row],[Units]]))</f>
        <v>0</v>
      </c>
      <c r="BX58" s="41" t="n">
        <f aca="false">IF(Tasks[[#This Row],[_LeafWork]]=0,0,Tasks[[#This Row],[_LeafWork]]*IFERROR(INDEX(res_Rate,MATCH(Tasks[[#This Row],[Resource]],res_Name,0)),0))</f>
        <v>0</v>
      </c>
      <c r="BY5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5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5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5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58" s="41" t="n">
        <f aca="false">IF(NOT(Tasks[[#This Row],[_IsLeaf]]=1),0,MAX(_xlfn.MAXIFS(Tasks[_Row],Tasks[Pred1 UID],Tasks[[#This Row],[UID]]),_xlfn.MAXIFS(Tasks[_Row],Tasks[Pred2 UID],Tasks[[#This Row],[UID]])))</f>
        <v>0</v>
      </c>
      <c r="CD58"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58" s="100" t="str">
        <f aca="false">IF(NOT(Tasks[[#This Row],[_IsLeaf]]=1),"",MIN(ProjectFinish,IF(N(Tasks[[#This Row],[Deadline]])&gt;0,Tasks[[#This Row],[Deadline]],2958465),Tasks[[#This Row],[_SuccessorFinishLimit]]))</f>
        <v/>
      </c>
      <c r="CF58" s="100" t="str">
        <f aca="false">IF(NOT(Tasks[[#This Row],[_IsLeaf]]=1),"",IF(N(Tasks[[#This Row],[Duration]])&lt;=0,Tasks[[#This Row],[_LeafLateFinish]],WORKDAY.INTL(Tasks[[#This Row],[_LeafLateFinish]],-(Tasks[[#This Row],[Duration]]-1),WorkWeek,Holidays)))</f>
        <v/>
      </c>
      <c r="CG5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58" s="99" t="b">
        <f aca="false">AND(Tasks[[#This Row],[_IsLeaf]]=1,Tasks[[#This Row],[_LeafProgress]]&lt;1,N(Tasks[[#This Row],[_LeafTotalSlack]])&lt;=CriticalSlackDays)</f>
        <v>0</v>
      </c>
      <c r="CI58" s="100" t="str">
        <f aca="false">IF(Tasks[[#This Row],[Task Name]]="","",IF(Tasks[[#This Row],[_IsSummary]],MIN(INDEX(Tasks[_LeafCalcStart],Tasks[[#This Row],[_Row]]+1):INDEX(Tasks[_LeafCalcStart],Tasks[[#This Row],[_Row]]+Tasks[[#This Row],[_Descendants]])),Tasks[[#This Row],[_LeafCalcStart]]))</f>
        <v/>
      </c>
      <c r="CJ58" s="100" t="str">
        <f aca="false">IF(Tasks[[#This Row],[Task Name]]="","",IF(Tasks[[#This Row],[_IsSummary]],MAX(INDEX(Tasks[_LeafCalcFinish],Tasks[[#This Row],[_Row]]+1):INDEX(Tasks[_LeafCalcFinish],Tasks[[#This Row],[_Row]]+Tasks[[#This Row],[_Descendants]])),Tasks[[#This Row],[_LeafCalcFinish]]))</f>
        <v/>
      </c>
      <c r="CK5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5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58"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58"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58"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58"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58" s="41" t="n">
        <f aca="false">IF(AND(Tasks[[#This Row],[_IsLeaf]]=1,Tasks[[#This Row],[_LeafWork]]&gt;0),NETWORKDAYS.INTL(ProjectStart,Tasks[[#This Row],[_LeafFcstStart]],WorkWeek,Holidays),0)</f>
        <v>0</v>
      </c>
      <c r="CR58" s="41" t="n">
        <f aca="false">IF(AND(Tasks[[#This Row],[_IsLeaf]]=1,Tasks[[#This Row],[_LeafWork]]&gt;0),MAX(Tasks[[#This Row],[_StartWorkday]],NETWORKDAYS.INTL(ProjectStart,Tasks[[#This Row],[_LeafFcstFinish]],WorkWeek,Holidays)),0)</f>
        <v>0</v>
      </c>
      <c r="CS58" s="41" t="n">
        <f aca="false">IF(AND(Tasks[[#This Row],[_IsLeaf]]=1,Tasks[[#This Row],[_LeafWork]]&gt;0),Tasks[[#This Row],[_LeafWork]]/(Tasks[[#This Row],[_FinishWorkday]]-Tasks[[#This Row],[_StartWorkday]]+1),0)</f>
        <v>0</v>
      </c>
      <c r="CT58" s="41" t="n">
        <f aca="false">Tasks[[#This Row],[_WorkPerWorkday]]*(Tasks[[#This Row],[_StartWorkday]]-1)</f>
        <v>-0</v>
      </c>
      <c r="CU58" s="41" t="n">
        <f aca="false">IF(Tasks[[#This Row],[_IsLeaf]]=1,MAX(N(Tasks[[#This Row],[Duration]]),0.1),0)</f>
        <v>0</v>
      </c>
      <c r="CV58" s="41" t="n">
        <f aca="false">Tasks[[#This Row],[_WeightDur]]*Tasks[[#This Row],[_LeafProgress]]</f>
        <v>0</v>
      </c>
      <c r="CW5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5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5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5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58" s="41" t="str">
        <f aca="false">IF(Tasks[[#This Row],[Task Name]]="","",Tasks[[#This Row],[_Pred1UIDText]]&amp;IF(AND(Tasks[[#This Row],[_Pred1UIDText]]&lt;&gt;"",Tasks[[#This Row],[_Pred2UIDText]]&lt;&gt;""),",","")&amp;Tasks[[#This Row],[_Pred2UIDText]])</f>
        <v/>
      </c>
      <c r="DB58" s="41" t="str">
        <f aca="false">IF(AND(Tasks[[#This Row],[_IsLeaf]]=1,N(Tasks[[#This Row],[Duration]])=0,Tasks[[#This Row],[_LeafProgress]]&lt;1),Tasks[[#This Row],[_LeafFcstFinish]]+Tasks[[#This Row],[_Row]]/100000,"")</f>
        <v/>
      </c>
      <c r="DC5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58" s="41" t="n">
        <f aca="false">IF(NOT(Tasks[[#This Row],[_IsLeaf]]=1),0,IF(Tasks[[#This Row],[Baseline Cost]]="",Tasks[[#This Row],[_LeafCost]],N(Tasks[[#This Row],[Baseline Cost]])))</f>
        <v>0</v>
      </c>
      <c r="DE58" s="41" t="n">
        <f aca="false">Tasks[[#This Row],[_LeafBudget]]*Tasks[[#This Row],[_PlannedPct]]</f>
        <v>0</v>
      </c>
      <c r="DF58" s="41" t="n">
        <f aca="false">Tasks[[#This Row],[_LeafBudget]]*Tasks[[#This Row],[_LeafProgress]]</f>
        <v>0</v>
      </c>
      <c r="DG58" s="41" t="n">
        <f aca="false">IF(NOT(Tasks[[#This Row],[_IsLeaf]]=1),0,IF(Tasks[[#This Row],[Actual Cost]]="",Tasks[[#This Row],[_LeafCost]]*Tasks[[#This Row],[_LeafProgress]],N(Tasks[[#This Row],[Actual Cost]])))</f>
        <v>0</v>
      </c>
      <c r="DH58" s="41" t="str">
        <f aca="false">IF(Tasks[[#This Row],[Task Name]]="","",LEFT(Tasks[[#This Row],[WBS]],FIND(".",Tasks[[#This Row],[WBS]]&amp;".")-1))</f>
        <v/>
      </c>
      <c r="DI58" s="41" t="str">
        <f aca="false">IF(AND(Tasks[[#This Row],[Task Name]]&lt;&gt;"",Tasks[[#This Row],[_Level]]=1),Tasks[[#This Row],[_Row]],"")</f>
        <v/>
      </c>
      <c r="DJ58" s="41" t="str">
        <f aca="false">IF(AND(Tasks[[#This Row],[_IsLeaf]]=1,N(Tasks[[#This Row],[Duration]])=0),Tasks[[#This Row],[Planned Finish]]+Tasks[[#This Row],[_Row]]/100000,"")</f>
        <v/>
      </c>
      <c r="DK58" s="41" t="str">
        <f aca="false">IF(AND(Tasks[[#This Row],[_IsLeaf]]=1,Tasks[[#This Row],[_LeafProgress]]&lt;1,OR(N(Tasks[[#This Row],[Finish Var]])&gt;0,Tasks[[#This Row],[Status]]="Late Start")),MAX(0,Tasks[[#This Row],[Finish Var]])+1-Tasks[[#This Row],[_Row]]/1000000,"")</f>
        <v/>
      </c>
      <c r="DL58" s="41" t="str">
        <f aca="false">IF(AND(Tasks[[#This Row],[_IsLeaf]]=1,N(Tasks[[#This Row],[Actual Start]])=0,Tasks[[#This Row],[_LeafFcstStart]]&gt;=StatusDate,Tasks[[#This Row],[_LeafFcstStart]]&lt;=LookaheadEnd),Tasks[[#This Row],[_LeafFcstStart]]+Tasks[[#This Row],[_Row]]/100000,"")</f>
        <v/>
      </c>
      <c r="DM58" s="41" t="str">
        <f aca="false">IF(AND(Tasks[[#This Row],[_IsLeaf]]=1,Tasks[[#This Row],[_LeafProgress]]&lt;1,Tasks[[#This Row],[_LeafFcstFinish]]&gt;=StatusDate,Tasks[[#This Row],[_LeafFcstFinish]]&lt;=LookaheadEnd),Tasks[[#This Row],[_LeafFcstFinish]]+Tasks[[#This Row],[_Row]]/100000,"")</f>
        <v/>
      </c>
      <c r="DN58" s="41" t="str">
        <f aca="false">IF(Tasks[[#This Row],[_LeafCritical]],Tasks[[#This Row],[_LeafFcstStart]]+Tasks[[#This Row],[_Row]]/100000,"")</f>
        <v/>
      </c>
      <c r="DO58" s="41" t="n">
        <f aca="false">Tasks[[#This Row],[_LeafWork]]*Tasks[[#This Row],[_LeafProgress]]</f>
        <v>0</v>
      </c>
      <c r="DP58" s="100" t="str">
        <f aca="false">IF(AND(Tasks[[#This Row],[_IsLeaf]]=1,Tasks[[#This Row],[_LeafProgress]]&gt;=1),IF(N(Tasks[[#This Row],[Actual Finish]])&gt;0,Tasks[[#This Row],[Actual Finish]],Tasks[[#This Row],[_LeafFcstFinish]]),"")</f>
        <v/>
      </c>
      <c r="DQ58" s="41" t="n">
        <f aca="false">IF(Tasks[[#This Row],[_IsLeaf]]=1,N(Tasks[[#This Row],[Story Points]]),0)</f>
        <v>0</v>
      </c>
      <c r="DR58" s="41" t="str">
        <f aca="false">IF(AND(Tasks[[#This Row],[_IsLeaf]]=1,CurrentSprint&lt;&gt;"",Tasks[[#This Row],[Sprint]]=CurrentSprint),Tasks[[#This Row],[_Row]],"")</f>
        <v/>
      </c>
    </row>
    <row r="59" customFormat="false" ht="15" hidden="false" customHeight="false" outlineLevel="0" collapsed="false">
      <c r="A59" s="28" t="str">
        <f aca="false">IF(Tasks[[#This Row],[Task Name]]="","",COUNTA(Tasks[[#Headers],[Task Name]]:Tasks[[#This Row],[Task Name]])-1)</f>
        <v/>
      </c>
      <c r="B59" s="29" t="n">
        <v>54</v>
      </c>
      <c r="C5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9" s="29"/>
      <c r="E59" s="30"/>
      <c r="F59" s="29"/>
      <c r="G59" s="29"/>
      <c r="H59" s="29"/>
      <c r="I59" s="29"/>
      <c r="J59" s="29"/>
      <c r="K59" s="29"/>
      <c r="L59" s="29"/>
      <c r="M59" s="29"/>
      <c r="N59" s="73"/>
      <c r="O59" s="73"/>
      <c r="P59" s="25" t="str">
        <f aca="false">IF(Tasks[[#This Row],[Task Name]]="","",IF(N(Tasks[[#This Row],[Baseline Start]])&gt;0,Tasks[[#This Row],[Baseline Start]],Tasks[[#This Row],[_CalcStart]]))</f>
        <v/>
      </c>
      <c r="Q59" s="25" t="str">
        <f aca="false">IF(Tasks[[#This Row],[Task Name]]="","",IF(N(Tasks[[#This Row],[Baseline Finish]])&gt;0,Tasks[[#This Row],[Baseline Finish]],Tasks[[#This Row],[_CalcFinish]]))</f>
        <v/>
      </c>
      <c r="R59" s="73"/>
      <c r="S59" s="73"/>
      <c r="T59" s="25" t="str">
        <f aca="false">IF(Tasks[[#This Row],[Task Name]]="","",IF(Tasks[[#This Row],[_IsSummary]],MIN(INDEX(Tasks[_LeafFcstStart],Tasks[[#This Row],[_Row]]+1):INDEX(Tasks[_LeafFcstStart],Tasks[[#This Row],[_Row]]+Tasks[[#This Row],[_Descendants]])),Tasks[[#This Row],[_LeafFcstStart]]))</f>
        <v/>
      </c>
      <c r="U59" s="25" t="str">
        <f aca="false">IF(Tasks[[#This Row],[Task Name]]="","",IF(Tasks[[#This Row],[_IsSummary]],MAX(INDEX(Tasks[_LeafFcstFinish],Tasks[[#This Row],[_Row]]+1):INDEX(Tasks[_LeafFcstFinish],Tasks[[#This Row],[_Row]]+Tasks[[#This Row],[_Descendants]])),Tasks[[#This Row],[_LeafFcstFinish]]))</f>
        <v/>
      </c>
      <c r="V5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5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9" s="25" t="str">
        <f aca="false">IF(Tasks[[#This Row],[Task Name]]="","",IF(Tasks[[#This Row],[_IsSummary]],MIN(INDEX(Tasks[_LeafLateStart],Tasks[[#This Row],[_Row]]+1):INDEX(Tasks[_LeafLateStart],Tasks[[#This Row],[_Row]]+Tasks[[#This Row],[_Descendants]])),Tasks[[#This Row],[_LeafLateStart]]))</f>
        <v/>
      </c>
      <c r="Y59" s="25" t="str">
        <f aca="false">IF(Tasks[[#This Row],[Task Name]]="","",IF(Tasks[[#This Row],[_IsSummary]],MAX(INDEX(Tasks[_LeafLateFinish],Tasks[[#This Row],[_Row]]+1):INDEX(Tasks[_LeafLateFinish],Tasks[[#This Row],[_Row]]+Tasks[[#This Row],[_Descendants]])),Tasks[[#This Row],[_LeafLateFinish]]))</f>
        <v/>
      </c>
      <c r="Z59" s="43" t="str">
        <f aca="false">IF(Tasks[[#This Row],[Task Name]]="","",IF(Tasks[[#This Row],[_IsSummary]],MIN(INDEX(Tasks[_LeafTotalSlack],Tasks[[#This Row],[_Row]]+1):INDEX(Tasks[_LeafTotalSlack],Tasks[[#This Row],[_Row]]+Tasks[[#This Row],[_Descendants]])),Tasks[[#This Row],[_LeafTotalSlack]]))</f>
        <v/>
      </c>
      <c r="AA5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9" s="28" t="str">
        <f aca="false">IF(Tasks[[#This Row],[Task Name]]="","",IF(IF(Tasks[[#This Row],[_IsSummary]],COUNTIF(INDEX(Tasks[_LeafCritical],Tasks[[#This Row],[_Row]]+1):INDEX(Tasks[_LeafCritical],Tasks[[#This Row],[_Row]]+Tasks[[#This Row],[_Descendants]]),TRUE())&gt;0,Tasks[[#This Row],[_LeafCritical]]),"Yes",""))</f>
        <v/>
      </c>
      <c r="AC5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9" s="24" t="str">
        <f aca="false">IF(Tasks[[#This Row],[Task Name]]="","",TRIM(IF(Tasks[[#This Row],[_Pred1Problem]]&lt;&gt;"","Pred 1: "&amp;Tasks[[#This Row],[_Pred1Problem]]&amp;". ","")&amp;IF(Tasks[[#This Row],[_Pred2Problem]]&lt;&gt;"","Pred 2: "&amp;Tasks[[#This Row],[_Pred2Problem]]&amp;".","")))</f>
        <v/>
      </c>
      <c r="AE59" s="88"/>
      <c r="AF59"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9" s="28" t="str">
        <f aca="false">IF(Tasks[[#This Row],[Task Name]]="","",IF(Tasks[[#This Row],[Progress]]&gt;=1,"Complete",IF(OR(N(Tasks[[#This Row],[Actual Start]])&gt;0,Tasks[[#This Row],[Progress]]&gt;0),IF(Tasks[[#This Row],[Finish Var]]&gt;0,"Behind","In Progress"),IF(Tasks[[#This Row],[Planned Start]]&lt;StatusDate,"Late Start","Not Started"))))</f>
        <v/>
      </c>
      <c r="AH59" s="30"/>
      <c r="AI59" s="88"/>
      <c r="AJ59" s="95" t="str">
        <f aca="false">IF(Tasks[[#This Row],[Task Name]]="","",IF(Tasks[[#This Row],[_IsSummary]],SUM(INDEX(Tasks[_LeafWork],Tasks[[#This Row],[_Row]]+1):INDEX(Tasks[_LeafWork],Tasks[[#This Row],[_Row]]+Tasks[[#This Row],[_Descendants]])),Tasks[[#This Row],[_LeafWork]]))</f>
        <v/>
      </c>
      <c r="AK59" s="96" t="str">
        <f aca="false">IF(Tasks[[#This Row],[Task Name]]="","",IF(Tasks[[#This Row],[_IsSummary]],SUM(INDEX(Tasks[_LeafCost],Tasks[[#This Row],[_Row]]+1):INDEX(Tasks[_LeafCost],Tasks[[#This Row],[_Row]]+Tasks[[#This Row],[_Descendants]])),Tasks[[#This Row],[_LeafCost]]))</f>
        <v/>
      </c>
      <c r="AL59" s="97"/>
      <c r="AM59" s="29"/>
      <c r="AN5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59" s="82"/>
      <c r="AP59" s="24" t="str">
        <f aca="false">IF(Tasks[[#This Row],[Task Name]]="","",Tasks[[#This Row],[_Pred1IDText]]&amp;IF(AND(Tasks[[#This Row],[_Pred1IDText]]&lt;&gt;"",Tasks[[#This Row],[_Pred2IDText]]&lt;&gt;""),",","")&amp;Tasks[[#This Row],[_Pred2IDText]])</f>
        <v/>
      </c>
      <c r="AQ59" s="30"/>
      <c r="AR59" s="25" t="str">
        <f aca="false">IF(Tasks[[#This Row],[Task Name]]="","",Tasks[[#This Row],[Forecast Start]])</f>
        <v/>
      </c>
      <c r="AS59" s="25" t="str">
        <f aca="false">IF(Tasks[[#This Row],[Task Name]]="","",Tasks[[#This Row],[Forecast Finish]])</f>
        <v/>
      </c>
      <c r="AT59" s="28" t="str">
        <f aca="false">IF(Tasks[[#This Row],[Task Name]]="","",IF(Tasks[[#This Row],[_IsSummary]],NETWORKDAYS.INTL(Tasks[[#This Row],[Forecast Start]],Tasks[[#This Row],[Forecast Finish]],WorkWeek,Holidays),N(Tasks[[#This Row],[Duration]])))</f>
        <v/>
      </c>
      <c r="AU59" s="95" t="str">
        <f aca="false">IF(Tasks[[#This Row],[Task Name]]="","",Tasks[[#This Row],[Work]])</f>
        <v/>
      </c>
      <c r="AV59" s="96" t="str">
        <f aca="false">IF(Tasks[[#This Row],[Task Name]]="","",Tasks[[#This Row],[Cost]])</f>
        <v/>
      </c>
      <c r="AW59" s="73"/>
      <c r="AX59" s="73"/>
      <c r="AY59" s="29"/>
      <c r="AZ59" s="98"/>
      <c r="BA59" s="97"/>
      <c r="BB59" s="28" t="str">
        <f aca="false">IF(OR(Tasks[[#This Row],[Task Name]]="",Tasks[[#This Row],[Baseline Duration]]=""),"",Tasks[[#This Row],[BL Source Duration]]-N(Tasks[[#This Row],[Baseline Duration]]))</f>
        <v/>
      </c>
      <c r="BC59" s="95" t="str">
        <f aca="false">IF(OR(Tasks[[#This Row],[Task Name]]="",Tasks[[#This Row],[Baseline Work]]=""),"",Tasks[[#This Row],[Work]]-N(Tasks[[#This Row],[Baseline Work]]))</f>
        <v/>
      </c>
      <c r="BD59" s="96" t="str">
        <f aca="false">IF(OR(Tasks[[#This Row],[Task Name]]="",Tasks[[#This Row],[Baseline Cost]]=""),"",Tasks[[#This Row],[Cost]]-N(Tasks[[#This Row],[Baseline Cost]]))</f>
        <v/>
      </c>
      <c r="BE59" s="96" t="str">
        <f aca="false">IF(Tasks[[#This Row],[Task Name]]="","",IF(Tasks[[#This Row],[_IsSummary]],SUM(INDEX(Tasks[_LeafBudget],Tasks[[#This Row],[_Row]]+1):INDEX(Tasks[_LeafBudget],Tasks[[#This Row],[_Row]]+Tasks[[#This Row],[_Descendants]])),Tasks[[#This Row],[_LeafBudget]]))</f>
        <v/>
      </c>
      <c r="BF59" s="96" t="str">
        <f aca="false">IF(Tasks[[#This Row],[Task Name]]="","",IF(Tasks[[#This Row],[_IsSummary]],SUM(INDEX(Tasks[_LeafPV],Tasks[[#This Row],[_Row]]+1):INDEX(Tasks[_LeafPV],Tasks[[#This Row],[_Row]]+Tasks[[#This Row],[_Descendants]])),Tasks[[#This Row],[_LeafPV]]))</f>
        <v/>
      </c>
      <c r="BG59" s="96" t="str">
        <f aca="false">IF(Tasks[[#This Row],[Task Name]]="","",IF(Tasks[[#This Row],[_IsSummary]],SUM(INDEX(Tasks[_LeafEV],Tasks[[#This Row],[_Row]]+1):INDEX(Tasks[_LeafEV],Tasks[[#This Row],[_Row]]+Tasks[[#This Row],[_Descendants]])),Tasks[[#This Row],[_LeafEV]]))</f>
        <v/>
      </c>
      <c r="BH59" s="96" t="str">
        <f aca="false">IF(Tasks[[#This Row],[Task Name]]="","",IF(Tasks[[#This Row],[_IsSummary]],SUM(INDEX(Tasks[_LeafAC],Tasks[[#This Row],[_Row]]+1):INDEX(Tasks[_LeafAC],Tasks[[#This Row],[_Row]]+Tasks[[#This Row],[_Descendants]])),Tasks[[#This Row],[_LeafAC]]))</f>
        <v/>
      </c>
      <c r="BI59" s="41" t="str">
        <f aca="false">IF(Tasks[[#This Row],[Task Name]]="","",MAX(1,N(Tasks[[#This Row],[Level]])))</f>
        <v/>
      </c>
      <c r="BJ59" s="41" t="n">
        <f aca="false">ROW()-ROW(Tasks[[#Headers],[ID]])</f>
        <v>54</v>
      </c>
      <c r="BK59" s="41" t="n">
        <f aca="false">IF(OR(Tasks[[#This Row],[Task Name]]="",Tasks[[#This Row],[_Level]]&lt;=1),0,IFERROR(LOOKUP(2,1/(Tasks[[#Headers],[_Level]]:Tasks[[#This Row],[_Level]]=Tasks[[#This Row],[_Level]]-1),ROW(Tasks[[#Headers],[_Level]]:Tasks[[#This Row],[_Level]])),0))</f>
        <v>0</v>
      </c>
      <c r="BL59" s="41" t="n">
        <f aca="false">IFERROR(N(INDEX(Tasks[_Level],Tasks[[#This Row],[_Row]]+1)),0)</f>
        <v>0</v>
      </c>
      <c r="BM59" s="99" t="b">
        <f aca="false">AND(Tasks[[#This Row],[Task Name]]&lt;&gt;"",Tasks[[#This Row],[_NextLevel]]&gt;Tasks[[#This Row],[_Level]])</f>
        <v>0</v>
      </c>
      <c r="BN59" s="41" t="n">
        <f aca="false">IF(Tasks[[#This Row],[_IsSummary]],COUNTIF(Tasks[WBS],Tasks[[#This Row],[WBS]]&amp;".*"),0)</f>
        <v>0</v>
      </c>
      <c r="BO59" s="41" t="n">
        <f aca="false">IF(AND(Tasks[[#This Row],[Task Name]]&lt;&gt;"",NOT(Tasks[[#This Row],[_IsSummary]])),1,0)</f>
        <v>0</v>
      </c>
      <c r="BP59" s="41" t="n">
        <f aca="false">IF(N(Tasks[[#This Row],[Pred1 UID]])=0,0,IFERROR(MATCH(Tasks[[#This Row],[Pred1 UID]],Tasks[UID],0),-1))</f>
        <v>0</v>
      </c>
      <c r="BQ59" s="41" t="n">
        <f aca="false">IF(N(Tasks[[#This Row],[Pred2 UID]])=0,0,IFERROR(MATCH(Tasks[[#This Row],[Pred2 UID]],Tasks[UID],0),-1))</f>
        <v>0</v>
      </c>
      <c r="BR59"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59" s="100" t="str">
        <f aca="false">IF(NOT(Tasks[[#This Row],[_IsLeaf]]=1),"",IF(N(Tasks[[#This Row],[Duration]])&lt;=0,Tasks[[#This Row],[_LeafCalcStart]],WORKDAY.INTL(Tasks[[#This Row],[_LeafCalcStart]],Tasks[[#This Row],[Duration]]-1,WorkWeek,Holidays)))</f>
        <v/>
      </c>
      <c r="BT59"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59"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59" s="41" t="n">
        <f aca="false">IF(NOT(Tasks[[#This Row],[_IsLeaf]]=1),0,IF(N(Tasks[[#This Row],[Actual Finish]])&gt;0,1,MIN(1,N(Tasks[[#This Row],[% Complete]]))))</f>
        <v>0</v>
      </c>
      <c r="BW59" s="41" t="n">
        <f aca="false">IF(OR(NOT(Tasks[[#This Row],[_IsLeaf]]=1),Tasks[[#This Row],[Resource]]=""),0,N(Tasks[[#This Row],[Duration]])*HoursPerDay*IF(Tasks[[#This Row],[Units]]="",DefaultUnits,Tasks[[#This Row],[Units]]))</f>
        <v>0</v>
      </c>
      <c r="BX59" s="41" t="n">
        <f aca="false">IF(Tasks[[#This Row],[_LeafWork]]=0,0,Tasks[[#This Row],[_LeafWork]]*IFERROR(INDEX(res_Rate,MATCH(Tasks[[#This Row],[Resource]],res_Name,0)),0))</f>
        <v>0</v>
      </c>
      <c r="BY5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5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5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5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59" s="41" t="n">
        <f aca="false">IF(NOT(Tasks[[#This Row],[_IsLeaf]]=1),0,MAX(_xlfn.MAXIFS(Tasks[_Row],Tasks[Pred1 UID],Tasks[[#This Row],[UID]]),_xlfn.MAXIFS(Tasks[_Row],Tasks[Pred2 UID],Tasks[[#This Row],[UID]])))</f>
        <v>0</v>
      </c>
      <c r="CD59"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59" s="100" t="str">
        <f aca="false">IF(NOT(Tasks[[#This Row],[_IsLeaf]]=1),"",MIN(ProjectFinish,IF(N(Tasks[[#This Row],[Deadline]])&gt;0,Tasks[[#This Row],[Deadline]],2958465),Tasks[[#This Row],[_SuccessorFinishLimit]]))</f>
        <v/>
      </c>
      <c r="CF59" s="100" t="str">
        <f aca="false">IF(NOT(Tasks[[#This Row],[_IsLeaf]]=1),"",IF(N(Tasks[[#This Row],[Duration]])&lt;=0,Tasks[[#This Row],[_LeafLateFinish]],WORKDAY.INTL(Tasks[[#This Row],[_LeafLateFinish]],-(Tasks[[#This Row],[Duration]]-1),WorkWeek,Holidays)))</f>
        <v/>
      </c>
      <c r="CG5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59" s="99" t="b">
        <f aca="false">AND(Tasks[[#This Row],[_IsLeaf]]=1,Tasks[[#This Row],[_LeafProgress]]&lt;1,N(Tasks[[#This Row],[_LeafTotalSlack]])&lt;=CriticalSlackDays)</f>
        <v>0</v>
      </c>
      <c r="CI59" s="100" t="str">
        <f aca="false">IF(Tasks[[#This Row],[Task Name]]="","",IF(Tasks[[#This Row],[_IsSummary]],MIN(INDEX(Tasks[_LeafCalcStart],Tasks[[#This Row],[_Row]]+1):INDEX(Tasks[_LeafCalcStart],Tasks[[#This Row],[_Row]]+Tasks[[#This Row],[_Descendants]])),Tasks[[#This Row],[_LeafCalcStart]]))</f>
        <v/>
      </c>
      <c r="CJ59" s="100" t="str">
        <f aca="false">IF(Tasks[[#This Row],[Task Name]]="","",IF(Tasks[[#This Row],[_IsSummary]],MAX(INDEX(Tasks[_LeafCalcFinish],Tasks[[#This Row],[_Row]]+1):INDEX(Tasks[_LeafCalcFinish],Tasks[[#This Row],[_Row]]+Tasks[[#This Row],[_Descendants]])),Tasks[[#This Row],[_LeafCalcFinish]]))</f>
        <v/>
      </c>
      <c r="CK5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5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59"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59"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59"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59"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59" s="41" t="n">
        <f aca="false">IF(AND(Tasks[[#This Row],[_IsLeaf]]=1,Tasks[[#This Row],[_LeafWork]]&gt;0),NETWORKDAYS.INTL(ProjectStart,Tasks[[#This Row],[_LeafFcstStart]],WorkWeek,Holidays),0)</f>
        <v>0</v>
      </c>
      <c r="CR59" s="41" t="n">
        <f aca="false">IF(AND(Tasks[[#This Row],[_IsLeaf]]=1,Tasks[[#This Row],[_LeafWork]]&gt;0),MAX(Tasks[[#This Row],[_StartWorkday]],NETWORKDAYS.INTL(ProjectStart,Tasks[[#This Row],[_LeafFcstFinish]],WorkWeek,Holidays)),0)</f>
        <v>0</v>
      </c>
      <c r="CS59" s="41" t="n">
        <f aca="false">IF(AND(Tasks[[#This Row],[_IsLeaf]]=1,Tasks[[#This Row],[_LeafWork]]&gt;0),Tasks[[#This Row],[_LeafWork]]/(Tasks[[#This Row],[_FinishWorkday]]-Tasks[[#This Row],[_StartWorkday]]+1),0)</f>
        <v>0</v>
      </c>
      <c r="CT59" s="41" t="n">
        <f aca="false">Tasks[[#This Row],[_WorkPerWorkday]]*(Tasks[[#This Row],[_StartWorkday]]-1)</f>
        <v>-0</v>
      </c>
      <c r="CU59" s="41" t="n">
        <f aca="false">IF(Tasks[[#This Row],[_IsLeaf]]=1,MAX(N(Tasks[[#This Row],[Duration]]),0.1),0)</f>
        <v>0</v>
      </c>
      <c r="CV59" s="41" t="n">
        <f aca="false">Tasks[[#This Row],[_WeightDur]]*Tasks[[#This Row],[_LeafProgress]]</f>
        <v>0</v>
      </c>
      <c r="CW5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5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5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5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59" s="41" t="str">
        <f aca="false">IF(Tasks[[#This Row],[Task Name]]="","",Tasks[[#This Row],[_Pred1UIDText]]&amp;IF(AND(Tasks[[#This Row],[_Pred1UIDText]]&lt;&gt;"",Tasks[[#This Row],[_Pred2UIDText]]&lt;&gt;""),",","")&amp;Tasks[[#This Row],[_Pred2UIDText]])</f>
        <v/>
      </c>
      <c r="DB59" s="41" t="str">
        <f aca="false">IF(AND(Tasks[[#This Row],[_IsLeaf]]=1,N(Tasks[[#This Row],[Duration]])=0,Tasks[[#This Row],[_LeafProgress]]&lt;1),Tasks[[#This Row],[_LeafFcstFinish]]+Tasks[[#This Row],[_Row]]/100000,"")</f>
        <v/>
      </c>
      <c r="DC5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59" s="41" t="n">
        <f aca="false">IF(NOT(Tasks[[#This Row],[_IsLeaf]]=1),0,IF(Tasks[[#This Row],[Baseline Cost]]="",Tasks[[#This Row],[_LeafCost]],N(Tasks[[#This Row],[Baseline Cost]])))</f>
        <v>0</v>
      </c>
      <c r="DE59" s="41" t="n">
        <f aca="false">Tasks[[#This Row],[_LeafBudget]]*Tasks[[#This Row],[_PlannedPct]]</f>
        <v>0</v>
      </c>
      <c r="DF59" s="41" t="n">
        <f aca="false">Tasks[[#This Row],[_LeafBudget]]*Tasks[[#This Row],[_LeafProgress]]</f>
        <v>0</v>
      </c>
      <c r="DG59" s="41" t="n">
        <f aca="false">IF(NOT(Tasks[[#This Row],[_IsLeaf]]=1),0,IF(Tasks[[#This Row],[Actual Cost]]="",Tasks[[#This Row],[_LeafCost]]*Tasks[[#This Row],[_LeafProgress]],N(Tasks[[#This Row],[Actual Cost]])))</f>
        <v>0</v>
      </c>
      <c r="DH59" s="41" t="str">
        <f aca="false">IF(Tasks[[#This Row],[Task Name]]="","",LEFT(Tasks[[#This Row],[WBS]],FIND(".",Tasks[[#This Row],[WBS]]&amp;".")-1))</f>
        <v/>
      </c>
      <c r="DI59" s="41" t="str">
        <f aca="false">IF(AND(Tasks[[#This Row],[Task Name]]&lt;&gt;"",Tasks[[#This Row],[_Level]]=1),Tasks[[#This Row],[_Row]],"")</f>
        <v/>
      </c>
      <c r="DJ59" s="41" t="str">
        <f aca="false">IF(AND(Tasks[[#This Row],[_IsLeaf]]=1,N(Tasks[[#This Row],[Duration]])=0),Tasks[[#This Row],[Planned Finish]]+Tasks[[#This Row],[_Row]]/100000,"")</f>
        <v/>
      </c>
      <c r="DK59" s="41" t="str">
        <f aca="false">IF(AND(Tasks[[#This Row],[_IsLeaf]]=1,Tasks[[#This Row],[_LeafProgress]]&lt;1,OR(N(Tasks[[#This Row],[Finish Var]])&gt;0,Tasks[[#This Row],[Status]]="Late Start")),MAX(0,Tasks[[#This Row],[Finish Var]])+1-Tasks[[#This Row],[_Row]]/1000000,"")</f>
        <v/>
      </c>
      <c r="DL59" s="41" t="str">
        <f aca="false">IF(AND(Tasks[[#This Row],[_IsLeaf]]=1,N(Tasks[[#This Row],[Actual Start]])=0,Tasks[[#This Row],[_LeafFcstStart]]&gt;=StatusDate,Tasks[[#This Row],[_LeafFcstStart]]&lt;=LookaheadEnd),Tasks[[#This Row],[_LeafFcstStart]]+Tasks[[#This Row],[_Row]]/100000,"")</f>
        <v/>
      </c>
      <c r="DM59" s="41" t="str">
        <f aca="false">IF(AND(Tasks[[#This Row],[_IsLeaf]]=1,Tasks[[#This Row],[_LeafProgress]]&lt;1,Tasks[[#This Row],[_LeafFcstFinish]]&gt;=StatusDate,Tasks[[#This Row],[_LeafFcstFinish]]&lt;=LookaheadEnd),Tasks[[#This Row],[_LeafFcstFinish]]+Tasks[[#This Row],[_Row]]/100000,"")</f>
        <v/>
      </c>
      <c r="DN59" s="41" t="str">
        <f aca="false">IF(Tasks[[#This Row],[_LeafCritical]],Tasks[[#This Row],[_LeafFcstStart]]+Tasks[[#This Row],[_Row]]/100000,"")</f>
        <v/>
      </c>
      <c r="DO59" s="41" t="n">
        <f aca="false">Tasks[[#This Row],[_LeafWork]]*Tasks[[#This Row],[_LeafProgress]]</f>
        <v>0</v>
      </c>
      <c r="DP59" s="100" t="str">
        <f aca="false">IF(AND(Tasks[[#This Row],[_IsLeaf]]=1,Tasks[[#This Row],[_LeafProgress]]&gt;=1),IF(N(Tasks[[#This Row],[Actual Finish]])&gt;0,Tasks[[#This Row],[Actual Finish]],Tasks[[#This Row],[_LeafFcstFinish]]),"")</f>
        <v/>
      </c>
      <c r="DQ59" s="41" t="n">
        <f aca="false">IF(Tasks[[#This Row],[_IsLeaf]]=1,N(Tasks[[#This Row],[Story Points]]),0)</f>
        <v>0</v>
      </c>
      <c r="DR59" s="41" t="str">
        <f aca="false">IF(AND(Tasks[[#This Row],[_IsLeaf]]=1,CurrentSprint&lt;&gt;"",Tasks[[#This Row],[Sprint]]=CurrentSprint),Tasks[[#This Row],[_Row]],"")</f>
        <v/>
      </c>
    </row>
    <row r="60" customFormat="false" ht="15" hidden="false" customHeight="false" outlineLevel="0" collapsed="false">
      <c r="A60" s="28" t="str">
        <f aca="false">IF(Tasks[[#This Row],[Task Name]]="","",COUNTA(Tasks[[#Headers],[Task Name]]:Tasks[[#This Row],[Task Name]])-1)</f>
        <v/>
      </c>
      <c r="B60" s="29" t="n">
        <v>55</v>
      </c>
      <c r="C6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0" s="29"/>
      <c r="E60" s="30"/>
      <c r="F60" s="29"/>
      <c r="G60" s="29"/>
      <c r="H60" s="29"/>
      <c r="I60" s="29"/>
      <c r="J60" s="29"/>
      <c r="K60" s="29"/>
      <c r="L60" s="29"/>
      <c r="M60" s="29"/>
      <c r="N60" s="73"/>
      <c r="O60" s="73"/>
      <c r="P60" s="25" t="str">
        <f aca="false">IF(Tasks[[#This Row],[Task Name]]="","",IF(N(Tasks[[#This Row],[Baseline Start]])&gt;0,Tasks[[#This Row],[Baseline Start]],Tasks[[#This Row],[_CalcStart]]))</f>
        <v/>
      </c>
      <c r="Q60" s="25" t="str">
        <f aca="false">IF(Tasks[[#This Row],[Task Name]]="","",IF(N(Tasks[[#This Row],[Baseline Finish]])&gt;0,Tasks[[#This Row],[Baseline Finish]],Tasks[[#This Row],[_CalcFinish]]))</f>
        <v/>
      </c>
      <c r="R60" s="73"/>
      <c r="S60" s="73"/>
      <c r="T60" s="25" t="str">
        <f aca="false">IF(Tasks[[#This Row],[Task Name]]="","",IF(Tasks[[#This Row],[_IsSummary]],MIN(INDEX(Tasks[_LeafFcstStart],Tasks[[#This Row],[_Row]]+1):INDEX(Tasks[_LeafFcstStart],Tasks[[#This Row],[_Row]]+Tasks[[#This Row],[_Descendants]])),Tasks[[#This Row],[_LeafFcstStart]]))</f>
        <v/>
      </c>
      <c r="U60" s="25" t="str">
        <f aca="false">IF(Tasks[[#This Row],[Task Name]]="","",IF(Tasks[[#This Row],[_IsSummary]],MAX(INDEX(Tasks[_LeafFcstFinish],Tasks[[#This Row],[_Row]]+1):INDEX(Tasks[_LeafFcstFinish],Tasks[[#This Row],[_Row]]+Tasks[[#This Row],[_Descendants]])),Tasks[[#This Row],[_LeafFcstFinish]]))</f>
        <v/>
      </c>
      <c r="V6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6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0" s="25" t="str">
        <f aca="false">IF(Tasks[[#This Row],[Task Name]]="","",IF(Tasks[[#This Row],[_IsSummary]],MIN(INDEX(Tasks[_LeafLateStart],Tasks[[#This Row],[_Row]]+1):INDEX(Tasks[_LeafLateStart],Tasks[[#This Row],[_Row]]+Tasks[[#This Row],[_Descendants]])),Tasks[[#This Row],[_LeafLateStart]]))</f>
        <v/>
      </c>
      <c r="Y60" s="25" t="str">
        <f aca="false">IF(Tasks[[#This Row],[Task Name]]="","",IF(Tasks[[#This Row],[_IsSummary]],MAX(INDEX(Tasks[_LeafLateFinish],Tasks[[#This Row],[_Row]]+1):INDEX(Tasks[_LeafLateFinish],Tasks[[#This Row],[_Row]]+Tasks[[#This Row],[_Descendants]])),Tasks[[#This Row],[_LeafLateFinish]]))</f>
        <v/>
      </c>
      <c r="Z60" s="43" t="str">
        <f aca="false">IF(Tasks[[#This Row],[Task Name]]="","",IF(Tasks[[#This Row],[_IsSummary]],MIN(INDEX(Tasks[_LeafTotalSlack],Tasks[[#This Row],[_Row]]+1):INDEX(Tasks[_LeafTotalSlack],Tasks[[#This Row],[_Row]]+Tasks[[#This Row],[_Descendants]])),Tasks[[#This Row],[_LeafTotalSlack]]))</f>
        <v/>
      </c>
      <c r="AA6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0" s="28" t="str">
        <f aca="false">IF(Tasks[[#This Row],[Task Name]]="","",IF(IF(Tasks[[#This Row],[_IsSummary]],COUNTIF(INDEX(Tasks[_LeafCritical],Tasks[[#This Row],[_Row]]+1):INDEX(Tasks[_LeafCritical],Tasks[[#This Row],[_Row]]+Tasks[[#This Row],[_Descendants]]),TRUE())&gt;0,Tasks[[#This Row],[_LeafCritical]]),"Yes",""))</f>
        <v/>
      </c>
      <c r="AC6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0" s="24" t="str">
        <f aca="false">IF(Tasks[[#This Row],[Task Name]]="","",TRIM(IF(Tasks[[#This Row],[_Pred1Problem]]&lt;&gt;"","Pred 1: "&amp;Tasks[[#This Row],[_Pred1Problem]]&amp;". ","")&amp;IF(Tasks[[#This Row],[_Pred2Problem]]&lt;&gt;"","Pred 2: "&amp;Tasks[[#This Row],[_Pred2Problem]]&amp;".","")))</f>
        <v/>
      </c>
      <c r="AE60" s="88"/>
      <c r="AF60"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0" s="28" t="str">
        <f aca="false">IF(Tasks[[#This Row],[Task Name]]="","",IF(Tasks[[#This Row],[Progress]]&gt;=1,"Complete",IF(OR(N(Tasks[[#This Row],[Actual Start]])&gt;0,Tasks[[#This Row],[Progress]]&gt;0),IF(Tasks[[#This Row],[Finish Var]]&gt;0,"Behind","In Progress"),IF(Tasks[[#This Row],[Planned Start]]&lt;StatusDate,"Late Start","Not Started"))))</f>
        <v/>
      </c>
      <c r="AH60" s="30"/>
      <c r="AI60" s="88"/>
      <c r="AJ60" s="95" t="str">
        <f aca="false">IF(Tasks[[#This Row],[Task Name]]="","",IF(Tasks[[#This Row],[_IsSummary]],SUM(INDEX(Tasks[_LeafWork],Tasks[[#This Row],[_Row]]+1):INDEX(Tasks[_LeafWork],Tasks[[#This Row],[_Row]]+Tasks[[#This Row],[_Descendants]])),Tasks[[#This Row],[_LeafWork]]))</f>
        <v/>
      </c>
      <c r="AK60" s="96" t="str">
        <f aca="false">IF(Tasks[[#This Row],[Task Name]]="","",IF(Tasks[[#This Row],[_IsSummary]],SUM(INDEX(Tasks[_LeafCost],Tasks[[#This Row],[_Row]]+1):INDEX(Tasks[_LeafCost],Tasks[[#This Row],[_Row]]+Tasks[[#This Row],[_Descendants]])),Tasks[[#This Row],[_LeafCost]]))</f>
        <v/>
      </c>
      <c r="AL60" s="97"/>
      <c r="AM60" s="29"/>
      <c r="AN6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60" s="82"/>
      <c r="AP60" s="24" t="str">
        <f aca="false">IF(Tasks[[#This Row],[Task Name]]="","",Tasks[[#This Row],[_Pred1IDText]]&amp;IF(AND(Tasks[[#This Row],[_Pred1IDText]]&lt;&gt;"",Tasks[[#This Row],[_Pred2IDText]]&lt;&gt;""),",","")&amp;Tasks[[#This Row],[_Pred2IDText]])</f>
        <v/>
      </c>
      <c r="AQ60" s="30"/>
      <c r="AR60" s="25" t="str">
        <f aca="false">IF(Tasks[[#This Row],[Task Name]]="","",Tasks[[#This Row],[Forecast Start]])</f>
        <v/>
      </c>
      <c r="AS60" s="25" t="str">
        <f aca="false">IF(Tasks[[#This Row],[Task Name]]="","",Tasks[[#This Row],[Forecast Finish]])</f>
        <v/>
      </c>
      <c r="AT60" s="28" t="str">
        <f aca="false">IF(Tasks[[#This Row],[Task Name]]="","",IF(Tasks[[#This Row],[_IsSummary]],NETWORKDAYS.INTL(Tasks[[#This Row],[Forecast Start]],Tasks[[#This Row],[Forecast Finish]],WorkWeek,Holidays),N(Tasks[[#This Row],[Duration]])))</f>
        <v/>
      </c>
      <c r="AU60" s="95" t="str">
        <f aca="false">IF(Tasks[[#This Row],[Task Name]]="","",Tasks[[#This Row],[Work]])</f>
        <v/>
      </c>
      <c r="AV60" s="96" t="str">
        <f aca="false">IF(Tasks[[#This Row],[Task Name]]="","",Tasks[[#This Row],[Cost]])</f>
        <v/>
      </c>
      <c r="AW60" s="73"/>
      <c r="AX60" s="73"/>
      <c r="AY60" s="29"/>
      <c r="AZ60" s="98"/>
      <c r="BA60" s="97"/>
      <c r="BB60" s="28" t="str">
        <f aca="false">IF(OR(Tasks[[#This Row],[Task Name]]="",Tasks[[#This Row],[Baseline Duration]]=""),"",Tasks[[#This Row],[BL Source Duration]]-N(Tasks[[#This Row],[Baseline Duration]]))</f>
        <v/>
      </c>
      <c r="BC60" s="95" t="str">
        <f aca="false">IF(OR(Tasks[[#This Row],[Task Name]]="",Tasks[[#This Row],[Baseline Work]]=""),"",Tasks[[#This Row],[Work]]-N(Tasks[[#This Row],[Baseline Work]]))</f>
        <v/>
      </c>
      <c r="BD60" s="96" t="str">
        <f aca="false">IF(OR(Tasks[[#This Row],[Task Name]]="",Tasks[[#This Row],[Baseline Cost]]=""),"",Tasks[[#This Row],[Cost]]-N(Tasks[[#This Row],[Baseline Cost]]))</f>
        <v/>
      </c>
      <c r="BE60" s="96" t="str">
        <f aca="false">IF(Tasks[[#This Row],[Task Name]]="","",IF(Tasks[[#This Row],[_IsSummary]],SUM(INDEX(Tasks[_LeafBudget],Tasks[[#This Row],[_Row]]+1):INDEX(Tasks[_LeafBudget],Tasks[[#This Row],[_Row]]+Tasks[[#This Row],[_Descendants]])),Tasks[[#This Row],[_LeafBudget]]))</f>
        <v/>
      </c>
      <c r="BF60" s="96" t="str">
        <f aca="false">IF(Tasks[[#This Row],[Task Name]]="","",IF(Tasks[[#This Row],[_IsSummary]],SUM(INDEX(Tasks[_LeafPV],Tasks[[#This Row],[_Row]]+1):INDEX(Tasks[_LeafPV],Tasks[[#This Row],[_Row]]+Tasks[[#This Row],[_Descendants]])),Tasks[[#This Row],[_LeafPV]]))</f>
        <v/>
      </c>
      <c r="BG60" s="96" t="str">
        <f aca="false">IF(Tasks[[#This Row],[Task Name]]="","",IF(Tasks[[#This Row],[_IsSummary]],SUM(INDEX(Tasks[_LeafEV],Tasks[[#This Row],[_Row]]+1):INDEX(Tasks[_LeafEV],Tasks[[#This Row],[_Row]]+Tasks[[#This Row],[_Descendants]])),Tasks[[#This Row],[_LeafEV]]))</f>
        <v/>
      </c>
      <c r="BH60" s="96" t="str">
        <f aca="false">IF(Tasks[[#This Row],[Task Name]]="","",IF(Tasks[[#This Row],[_IsSummary]],SUM(INDEX(Tasks[_LeafAC],Tasks[[#This Row],[_Row]]+1):INDEX(Tasks[_LeafAC],Tasks[[#This Row],[_Row]]+Tasks[[#This Row],[_Descendants]])),Tasks[[#This Row],[_LeafAC]]))</f>
        <v/>
      </c>
      <c r="BI60" s="41" t="str">
        <f aca="false">IF(Tasks[[#This Row],[Task Name]]="","",MAX(1,N(Tasks[[#This Row],[Level]])))</f>
        <v/>
      </c>
      <c r="BJ60" s="41" t="n">
        <f aca="false">ROW()-ROW(Tasks[[#Headers],[ID]])</f>
        <v>55</v>
      </c>
      <c r="BK60" s="41" t="n">
        <f aca="false">IF(OR(Tasks[[#This Row],[Task Name]]="",Tasks[[#This Row],[_Level]]&lt;=1),0,IFERROR(LOOKUP(2,1/(Tasks[[#Headers],[_Level]]:Tasks[[#This Row],[_Level]]=Tasks[[#This Row],[_Level]]-1),ROW(Tasks[[#Headers],[_Level]]:Tasks[[#This Row],[_Level]])),0))</f>
        <v>0</v>
      </c>
      <c r="BL60" s="41" t="n">
        <f aca="false">IFERROR(N(INDEX(Tasks[_Level],Tasks[[#This Row],[_Row]]+1)),0)</f>
        <v>0</v>
      </c>
      <c r="BM60" s="99" t="b">
        <f aca="false">AND(Tasks[[#This Row],[Task Name]]&lt;&gt;"",Tasks[[#This Row],[_NextLevel]]&gt;Tasks[[#This Row],[_Level]])</f>
        <v>0</v>
      </c>
      <c r="BN60" s="41" t="n">
        <f aca="false">IF(Tasks[[#This Row],[_IsSummary]],COUNTIF(Tasks[WBS],Tasks[[#This Row],[WBS]]&amp;".*"),0)</f>
        <v>0</v>
      </c>
      <c r="BO60" s="41" t="n">
        <f aca="false">IF(AND(Tasks[[#This Row],[Task Name]]&lt;&gt;"",NOT(Tasks[[#This Row],[_IsSummary]])),1,0)</f>
        <v>0</v>
      </c>
      <c r="BP60" s="41" t="n">
        <f aca="false">IF(N(Tasks[[#This Row],[Pred1 UID]])=0,0,IFERROR(MATCH(Tasks[[#This Row],[Pred1 UID]],Tasks[UID],0),-1))</f>
        <v>0</v>
      </c>
      <c r="BQ60" s="41" t="n">
        <f aca="false">IF(N(Tasks[[#This Row],[Pred2 UID]])=0,0,IFERROR(MATCH(Tasks[[#This Row],[Pred2 UID]],Tasks[UID],0),-1))</f>
        <v>0</v>
      </c>
      <c r="BR60"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60" s="100" t="str">
        <f aca="false">IF(NOT(Tasks[[#This Row],[_IsLeaf]]=1),"",IF(N(Tasks[[#This Row],[Duration]])&lt;=0,Tasks[[#This Row],[_LeafCalcStart]],WORKDAY.INTL(Tasks[[#This Row],[_LeafCalcStart]],Tasks[[#This Row],[Duration]]-1,WorkWeek,Holidays)))</f>
        <v/>
      </c>
      <c r="BT60"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60"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60" s="41" t="n">
        <f aca="false">IF(NOT(Tasks[[#This Row],[_IsLeaf]]=1),0,IF(N(Tasks[[#This Row],[Actual Finish]])&gt;0,1,MIN(1,N(Tasks[[#This Row],[% Complete]]))))</f>
        <v>0</v>
      </c>
      <c r="BW60" s="41" t="n">
        <f aca="false">IF(OR(NOT(Tasks[[#This Row],[_IsLeaf]]=1),Tasks[[#This Row],[Resource]]=""),0,N(Tasks[[#This Row],[Duration]])*HoursPerDay*IF(Tasks[[#This Row],[Units]]="",DefaultUnits,Tasks[[#This Row],[Units]]))</f>
        <v>0</v>
      </c>
      <c r="BX60" s="41" t="n">
        <f aca="false">IF(Tasks[[#This Row],[_LeafWork]]=0,0,Tasks[[#This Row],[_LeafWork]]*IFERROR(INDEX(res_Rate,MATCH(Tasks[[#This Row],[Resource]],res_Name,0)),0))</f>
        <v>0</v>
      </c>
      <c r="BY6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6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6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6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60" s="41" t="n">
        <f aca="false">IF(NOT(Tasks[[#This Row],[_IsLeaf]]=1),0,MAX(_xlfn.MAXIFS(Tasks[_Row],Tasks[Pred1 UID],Tasks[[#This Row],[UID]]),_xlfn.MAXIFS(Tasks[_Row],Tasks[Pred2 UID],Tasks[[#This Row],[UID]])))</f>
        <v>0</v>
      </c>
      <c r="CD60"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60" s="100" t="str">
        <f aca="false">IF(NOT(Tasks[[#This Row],[_IsLeaf]]=1),"",MIN(ProjectFinish,IF(N(Tasks[[#This Row],[Deadline]])&gt;0,Tasks[[#This Row],[Deadline]],2958465),Tasks[[#This Row],[_SuccessorFinishLimit]]))</f>
        <v/>
      </c>
      <c r="CF60" s="100" t="str">
        <f aca="false">IF(NOT(Tasks[[#This Row],[_IsLeaf]]=1),"",IF(N(Tasks[[#This Row],[Duration]])&lt;=0,Tasks[[#This Row],[_LeafLateFinish]],WORKDAY.INTL(Tasks[[#This Row],[_LeafLateFinish]],-(Tasks[[#This Row],[Duration]]-1),WorkWeek,Holidays)))</f>
        <v/>
      </c>
      <c r="CG6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60" s="99" t="b">
        <f aca="false">AND(Tasks[[#This Row],[_IsLeaf]]=1,Tasks[[#This Row],[_LeafProgress]]&lt;1,N(Tasks[[#This Row],[_LeafTotalSlack]])&lt;=CriticalSlackDays)</f>
        <v>0</v>
      </c>
      <c r="CI60" s="100" t="str">
        <f aca="false">IF(Tasks[[#This Row],[Task Name]]="","",IF(Tasks[[#This Row],[_IsSummary]],MIN(INDEX(Tasks[_LeafCalcStart],Tasks[[#This Row],[_Row]]+1):INDEX(Tasks[_LeafCalcStart],Tasks[[#This Row],[_Row]]+Tasks[[#This Row],[_Descendants]])),Tasks[[#This Row],[_LeafCalcStart]]))</f>
        <v/>
      </c>
      <c r="CJ60" s="100" t="str">
        <f aca="false">IF(Tasks[[#This Row],[Task Name]]="","",IF(Tasks[[#This Row],[_IsSummary]],MAX(INDEX(Tasks[_LeafCalcFinish],Tasks[[#This Row],[_Row]]+1):INDEX(Tasks[_LeafCalcFinish],Tasks[[#This Row],[_Row]]+Tasks[[#This Row],[_Descendants]])),Tasks[[#This Row],[_LeafCalcFinish]]))</f>
        <v/>
      </c>
      <c r="CK6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6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60"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60"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60"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60"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60" s="41" t="n">
        <f aca="false">IF(AND(Tasks[[#This Row],[_IsLeaf]]=1,Tasks[[#This Row],[_LeafWork]]&gt;0),NETWORKDAYS.INTL(ProjectStart,Tasks[[#This Row],[_LeafFcstStart]],WorkWeek,Holidays),0)</f>
        <v>0</v>
      </c>
      <c r="CR60" s="41" t="n">
        <f aca="false">IF(AND(Tasks[[#This Row],[_IsLeaf]]=1,Tasks[[#This Row],[_LeafWork]]&gt;0),MAX(Tasks[[#This Row],[_StartWorkday]],NETWORKDAYS.INTL(ProjectStart,Tasks[[#This Row],[_LeafFcstFinish]],WorkWeek,Holidays)),0)</f>
        <v>0</v>
      </c>
      <c r="CS60" s="41" t="n">
        <f aca="false">IF(AND(Tasks[[#This Row],[_IsLeaf]]=1,Tasks[[#This Row],[_LeafWork]]&gt;0),Tasks[[#This Row],[_LeafWork]]/(Tasks[[#This Row],[_FinishWorkday]]-Tasks[[#This Row],[_StartWorkday]]+1),0)</f>
        <v>0</v>
      </c>
      <c r="CT60" s="41" t="n">
        <f aca="false">Tasks[[#This Row],[_WorkPerWorkday]]*(Tasks[[#This Row],[_StartWorkday]]-1)</f>
        <v>-0</v>
      </c>
      <c r="CU60" s="41" t="n">
        <f aca="false">IF(Tasks[[#This Row],[_IsLeaf]]=1,MAX(N(Tasks[[#This Row],[Duration]]),0.1),0)</f>
        <v>0</v>
      </c>
      <c r="CV60" s="41" t="n">
        <f aca="false">Tasks[[#This Row],[_WeightDur]]*Tasks[[#This Row],[_LeafProgress]]</f>
        <v>0</v>
      </c>
      <c r="CW6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6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6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6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60" s="41" t="str">
        <f aca="false">IF(Tasks[[#This Row],[Task Name]]="","",Tasks[[#This Row],[_Pred1UIDText]]&amp;IF(AND(Tasks[[#This Row],[_Pred1UIDText]]&lt;&gt;"",Tasks[[#This Row],[_Pred2UIDText]]&lt;&gt;""),",","")&amp;Tasks[[#This Row],[_Pred2UIDText]])</f>
        <v/>
      </c>
      <c r="DB60" s="41" t="str">
        <f aca="false">IF(AND(Tasks[[#This Row],[_IsLeaf]]=1,N(Tasks[[#This Row],[Duration]])=0,Tasks[[#This Row],[_LeafProgress]]&lt;1),Tasks[[#This Row],[_LeafFcstFinish]]+Tasks[[#This Row],[_Row]]/100000,"")</f>
        <v/>
      </c>
      <c r="DC6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60" s="41" t="n">
        <f aca="false">IF(NOT(Tasks[[#This Row],[_IsLeaf]]=1),0,IF(Tasks[[#This Row],[Baseline Cost]]="",Tasks[[#This Row],[_LeafCost]],N(Tasks[[#This Row],[Baseline Cost]])))</f>
        <v>0</v>
      </c>
      <c r="DE60" s="41" t="n">
        <f aca="false">Tasks[[#This Row],[_LeafBudget]]*Tasks[[#This Row],[_PlannedPct]]</f>
        <v>0</v>
      </c>
      <c r="DF60" s="41" t="n">
        <f aca="false">Tasks[[#This Row],[_LeafBudget]]*Tasks[[#This Row],[_LeafProgress]]</f>
        <v>0</v>
      </c>
      <c r="DG60" s="41" t="n">
        <f aca="false">IF(NOT(Tasks[[#This Row],[_IsLeaf]]=1),0,IF(Tasks[[#This Row],[Actual Cost]]="",Tasks[[#This Row],[_LeafCost]]*Tasks[[#This Row],[_LeafProgress]],N(Tasks[[#This Row],[Actual Cost]])))</f>
        <v>0</v>
      </c>
      <c r="DH60" s="41" t="str">
        <f aca="false">IF(Tasks[[#This Row],[Task Name]]="","",LEFT(Tasks[[#This Row],[WBS]],FIND(".",Tasks[[#This Row],[WBS]]&amp;".")-1))</f>
        <v/>
      </c>
      <c r="DI60" s="41" t="str">
        <f aca="false">IF(AND(Tasks[[#This Row],[Task Name]]&lt;&gt;"",Tasks[[#This Row],[_Level]]=1),Tasks[[#This Row],[_Row]],"")</f>
        <v/>
      </c>
      <c r="DJ60" s="41" t="str">
        <f aca="false">IF(AND(Tasks[[#This Row],[_IsLeaf]]=1,N(Tasks[[#This Row],[Duration]])=0),Tasks[[#This Row],[Planned Finish]]+Tasks[[#This Row],[_Row]]/100000,"")</f>
        <v/>
      </c>
      <c r="DK60" s="41" t="str">
        <f aca="false">IF(AND(Tasks[[#This Row],[_IsLeaf]]=1,Tasks[[#This Row],[_LeafProgress]]&lt;1,OR(N(Tasks[[#This Row],[Finish Var]])&gt;0,Tasks[[#This Row],[Status]]="Late Start")),MAX(0,Tasks[[#This Row],[Finish Var]])+1-Tasks[[#This Row],[_Row]]/1000000,"")</f>
        <v/>
      </c>
      <c r="DL60" s="41" t="str">
        <f aca="false">IF(AND(Tasks[[#This Row],[_IsLeaf]]=1,N(Tasks[[#This Row],[Actual Start]])=0,Tasks[[#This Row],[_LeafFcstStart]]&gt;=StatusDate,Tasks[[#This Row],[_LeafFcstStart]]&lt;=LookaheadEnd),Tasks[[#This Row],[_LeafFcstStart]]+Tasks[[#This Row],[_Row]]/100000,"")</f>
        <v/>
      </c>
      <c r="DM60" s="41" t="str">
        <f aca="false">IF(AND(Tasks[[#This Row],[_IsLeaf]]=1,Tasks[[#This Row],[_LeafProgress]]&lt;1,Tasks[[#This Row],[_LeafFcstFinish]]&gt;=StatusDate,Tasks[[#This Row],[_LeafFcstFinish]]&lt;=LookaheadEnd),Tasks[[#This Row],[_LeafFcstFinish]]+Tasks[[#This Row],[_Row]]/100000,"")</f>
        <v/>
      </c>
      <c r="DN60" s="41" t="str">
        <f aca="false">IF(Tasks[[#This Row],[_LeafCritical]],Tasks[[#This Row],[_LeafFcstStart]]+Tasks[[#This Row],[_Row]]/100000,"")</f>
        <v/>
      </c>
      <c r="DO60" s="41" t="n">
        <f aca="false">Tasks[[#This Row],[_LeafWork]]*Tasks[[#This Row],[_LeafProgress]]</f>
        <v>0</v>
      </c>
      <c r="DP60" s="100" t="str">
        <f aca="false">IF(AND(Tasks[[#This Row],[_IsLeaf]]=1,Tasks[[#This Row],[_LeafProgress]]&gt;=1),IF(N(Tasks[[#This Row],[Actual Finish]])&gt;0,Tasks[[#This Row],[Actual Finish]],Tasks[[#This Row],[_LeafFcstFinish]]),"")</f>
        <v/>
      </c>
      <c r="DQ60" s="41" t="n">
        <f aca="false">IF(Tasks[[#This Row],[_IsLeaf]]=1,N(Tasks[[#This Row],[Story Points]]),0)</f>
        <v>0</v>
      </c>
      <c r="DR60" s="41" t="str">
        <f aca="false">IF(AND(Tasks[[#This Row],[_IsLeaf]]=1,CurrentSprint&lt;&gt;"",Tasks[[#This Row],[Sprint]]=CurrentSprint),Tasks[[#This Row],[_Row]],"")</f>
        <v/>
      </c>
    </row>
    <row r="61" customFormat="false" ht="15" hidden="false" customHeight="false" outlineLevel="0" collapsed="false">
      <c r="A61" s="28" t="str">
        <f aca="false">IF(Tasks[[#This Row],[Task Name]]="","",COUNTA(Tasks[[#Headers],[Task Name]]:Tasks[[#This Row],[Task Name]])-1)</f>
        <v/>
      </c>
      <c r="B61" s="29" t="n">
        <v>56</v>
      </c>
      <c r="C6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1" s="29"/>
      <c r="E61" s="30"/>
      <c r="F61" s="29"/>
      <c r="G61" s="29"/>
      <c r="H61" s="29"/>
      <c r="I61" s="29"/>
      <c r="J61" s="29"/>
      <c r="K61" s="29"/>
      <c r="L61" s="29"/>
      <c r="M61" s="29"/>
      <c r="N61" s="73"/>
      <c r="O61" s="73"/>
      <c r="P61" s="25" t="str">
        <f aca="false">IF(Tasks[[#This Row],[Task Name]]="","",IF(N(Tasks[[#This Row],[Baseline Start]])&gt;0,Tasks[[#This Row],[Baseline Start]],Tasks[[#This Row],[_CalcStart]]))</f>
        <v/>
      </c>
      <c r="Q61" s="25" t="str">
        <f aca="false">IF(Tasks[[#This Row],[Task Name]]="","",IF(N(Tasks[[#This Row],[Baseline Finish]])&gt;0,Tasks[[#This Row],[Baseline Finish]],Tasks[[#This Row],[_CalcFinish]]))</f>
        <v/>
      </c>
      <c r="R61" s="73"/>
      <c r="S61" s="73"/>
      <c r="T61" s="25" t="str">
        <f aca="false">IF(Tasks[[#This Row],[Task Name]]="","",IF(Tasks[[#This Row],[_IsSummary]],MIN(INDEX(Tasks[_LeafFcstStart],Tasks[[#This Row],[_Row]]+1):INDEX(Tasks[_LeafFcstStart],Tasks[[#This Row],[_Row]]+Tasks[[#This Row],[_Descendants]])),Tasks[[#This Row],[_LeafFcstStart]]))</f>
        <v/>
      </c>
      <c r="U61" s="25" t="str">
        <f aca="false">IF(Tasks[[#This Row],[Task Name]]="","",IF(Tasks[[#This Row],[_IsSummary]],MAX(INDEX(Tasks[_LeafFcstFinish],Tasks[[#This Row],[_Row]]+1):INDEX(Tasks[_LeafFcstFinish],Tasks[[#This Row],[_Row]]+Tasks[[#This Row],[_Descendants]])),Tasks[[#This Row],[_LeafFcstFinish]]))</f>
        <v/>
      </c>
      <c r="V6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6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1" s="25" t="str">
        <f aca="false">IF(Tasks[[#This Row],[Task Name]]="","",IF(Tasks[[#This Row],[_IsSummary]],MIN(INDEX(Tasks[_LeafLateStart],Tasks[[#This Row],[_Row]]+1):INDEX(Tasks[_LeafLateStart],Tasks[[#This Row],[_Row]]+Tasks[[#This Row],[_Descendants]])),Tasks[[#This Row],[_LeafLateStart]]))</f>
        <v/>
      </c>
      <c r="Y61" s="25" t="str">
        <f aca="false">IF(Tasks[[#This Row],[Task Name]]="","",IF(Tasks[[#This Row],[_IsSummary]],MAX(INDEX(Tasks[_LeafLateFinish],Tasks[[#This Row],[_Row]]+1):INDEX(Tasks[_LeafLateFinish],Tasks[[#This Row],[_Row]]+Tasks[[#This Row],[_Descendants]])),Tasks[[#This Row],[_LeafLateFinish]]))</f>
        <v/>
      </c>
      <c r="Z61" s="43" t="str">
        <f aca="false">IF(Tasks[[#This Row],[Task Name]]="","",IF(Tasks[[#This Row],[_IsSummary]],MIN(INDEX(Tasks[_LeafTotalSlack],Tasks[[#This Row],[_Row]]+1):INDEX(Tasks[_LeafTotalSlack],Tasks[[#This Row],[_Row]]+Tasks[[#This Row],[_Descendants]])),Tasks[[#This Row],[_LeafTotalSlack]]))</f>
        <v/>
      </c>
      <c r="AA6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1" s="28" t="str">
        <f aca="false">IF(Tasks[[#This Row],[Task Name]]="","",IF(IF(Tasks[[#This Row],[_IsSummary]],COUNTIF(INDEX(Tasks[_LeafCritical],Tasks[[#This Row],[_Row]]+1):INDEX(Tasks[_LeafCritical],Tasks[[#This Row],[_Row]]+Tasks[[#This Row],[_Descendants]]),TRUE())&gt;0,Tasks[[#This Row],[_LeafCritical]]),"Yes",""))</f>
        <v/>
      </c>
      <c r="AC6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1" s="24" t="str">
        <f aca="false">IF(Tasks[[#This Row],[Task Name]]="","",TRIM(IF(Tasks[[#This Row],[_Pred1Problem]]&lt;&gt;"","Pred 1: "&amp;Tasks[[#This Row],[_Pred1Problem]]&amp;". ","")&amp;IF(Tasks[[#This Row],[_Pred2Problem]]&lt;&gt;"","Pred 2: "&amp;Tasks[[#This Row],[_Pred2Problem]]&amp;".","")))</f>
        <v/>
      </c>
      <c r="AE61" s="88"/>
      <c r="AF61"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1" s="28" t="str">
        <f aca="false">IF(Tasks[[#This Row],[Task Name]]="","",IF(Tasks[[#This Row],[Progress]]&gt;=1,"Complete",IF(OR(N(Tasks[[#This Row],[Actual Start]])&gt;0,Tasks[[#This Row],[Progress]]&gt;0),IF(Tasks[[#This Row],[Finish Var]]&gt;0,"Behind","In Progress"),IF(Tasks[[#This Row],[Planned Start]]&lt;StatusDate,"Late Start","Not Started"))))</f>
        <v/>
      </c>
      <c r="AH61" s="30"/>
      <c r="AI61" s="88"/>
      <c r="AJ61" s="95" t="str">
        <f aca="false">IF(Tasks[[#This Row],[Task Name]]="","",IF(Tasks[[#This Row],[_IsSummary]],SUM(INDEX(Tasks[_LeafWork],Tasks[[#This Row],[_Row]]+1):INDEX(Tasks[_LeafWork],Tasks[[#This Row],[_Row]]+Tasks[[#This Row],[_Descendants]])),Tasks[[#This Row],[_LeafWork]]))</f>
        <v/>
      </c>
      <c r="AK61" s="96" t="str">
        <f aca="false">IF(Tasks[[#This Row],[Task Name]]="","",IF(Tasks[[#This Row],[_IsSummary]],SUM(INDEX(Tasks[_LeafCost],Tasks[[#This Row],[_Row]]+1):INDEX(Tasks[_LeafCost],Tasks[[#This Row],[_Row]]+Tasks[[#This Row],[_Descendants]])),Tasks[[#This Row],[_LeafCost]]))</f>
        <v/>
      </c>
      <c r="AL61" s="97"/>
      <c r="AM61" s="29"/>
      <c r="AN6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61" s="82"/>
      <c r="AP61" s="24" t="str">
        <f aca="false">IF(Tasks[[#This Row],[Task Name]]="","",Tasks[[#This Row],[_Pred1IDText]]&amp;IF(AND(Tasks[[#This Row],[_Pred1IDText]]&lt;&gt;"",Tasks[[#This Row],[_Pred2IDText]]&lt;&gt;""),",","")&amp;Tasks[[#This Row],[_Pred2IDText]])</f>
        <v/>
      </c>
      <c r="AQ61" s="30"/>
      <c r="AR61" s="25" t="str">
        <f aca="false">IF(Tasks[[#This Row],[Task Name]]="","",Tasks[[#This Row],[Forecast Start]])</f>
        <v/>
      </c>
      <c r="AS61" s="25" t="str">
        <f aca="false">IF(Tasks[[#This Row],[Task Name]]="","",Tasks[[#This Row],[Forecast Finish]])</f>
        <v/>
      </c>
      <c r="AT61" s="28" t="str">
        <f aca="false">IF(Tasks[[#This Row],[Task Name]]="","",IF(Tasks[[#This Row],[_IsSummary]],NETWORKDAYS.INTL(Tasks[[#This Row],[Forecast Start]],Tasks[[#This Row],[Forecast Finish]],WorkWeek,Holidays),N(Tasks[[#This Row],[Duration]])))</f>
        <v/>
      </c>
      <c r="AU61" s="95" t="str">
        <f aca="false">IF(Tasks[[#This Row],[Task Name]]="","",Tasks[[#This Row],[Work]])</f>
        <v/>
      </c>
      <c r="AV61" s="96" t="str">
        <f aca="false">IF(Tasks[[#This Row],[Task Name]]="","",Tasks[[#This Row],[Cost]])</f>
        <v/>
      </c>
      <c r="AW61" s="73"/>
      <c r="AX61" s="73"/>
      <c r="AY61" s="29"/>
      <c r="AZ61" s="98"/>
      <c r="BA61" s="97"/>
      <c r="BB61" s="28" t="str">
        <f aca="false">IF(OR(Tasks[[#This Row],[Task Name]]="",Tasks[[#This Row],[Baseline Duration]]=""),"",Tasks[[#This Row],[BL Source Duration]]-N(Tasks[[#This Row],[Baseline Duration]]))</f>
        <v/>
      </c>
      <c r="BC61" s="95" t="str">
        <f aca="false">IF(OR(Tasks[[#This Row],[Task Name]]="",Tasks[[#This Row],[Baseline Work]]=""),"",Tasks[[#This Row],[Work]]-N(Tasks[[#This Row],[Baseline Work]]))</f>
        <v/>
      </c>
      <c r="BD61" s="96" t="str">
        <f aca="false">IF(OR(Tasks[[#This Row],[Task Name]]="",Tasks[[#This Row],[Baseline Cost]]=""),"",Tasks[[#This Row],[Cost]]-N(Tasks[[#This Row],[Baseline Cost]]))</f>
        <v/>
      </c>
      <c r="BE61" s="96" t="str">
        <f aca="false">IF(Tasks[[#This Row],[Task Name]]="","",IF(Tasks[[#This Row],[_IsSummary]],SUM(INDEX(Tasks[_LeafBudget],Tasks[[#This Row],[_Row]]+1):INDEX(Tasks[_LeafBudget],Tasks[[#This Row],[_Row]]+Tasks[[#This Row],[_Descendants]])),Tasks[[#This Row],[_LeafBudget]]))</f>
        <v/>
      </c>
      <c r="BF61" s="96" t="str">
        <f aca="false">IF(Tasks[[#This Row],[Task Name]]="","",IF(Tasks[[#This Row],[_IsSummary]],SUM(INDEX(Tasks[_LeafPV],Tasks[[#This Row],[_Row]]+1):INDEX(Tasks[_LeafPV],Tasks[[#This Row],[_Row]]+Tasks[[#This Row],[_Descendants]])),Tasks[[#This Row],[_LeafPV]]))</f>
        <v/>
      </c>
      <c r="BG61" s="96" t="str">
        <f aca="false">IF(Tasks[[#This Row],[Task Name]]="","",IF(Tasks[[#This Row],[_IsSummary]],SUM(INDEX(Tasks[_LeafEV],Tasks[[#This Row],[_Row]]+1):INDEX(Tasks[_LeafEV],Tasks[[#This Row],[_Row]]+Tasks[[#This Row],[_Descendants]])),Tasks[[#This Row],[_LeafEV]]))</f>
        <v/>
      </c>
      <c r="BH61" s="96" t="str">
        <f aca="false">IF(Tasks[[#This Row],[Task Name]]="","",IF(Tasks[[#This Row],[_IsSummary]],SUM(INDEX(Tasks[_LeafAC],Tasks[[#This Row],[_Row]]+1):INDEX(Tasks[_LeafAC],Tasks[[#This Row],[_Row]]+Tasks[[#This Row],[_Descendants]])),Tasks[[#This Row],[_LeafAC]]))</f>
        <v/>
      </c>
      <c r="BI61" s="41" t="str">
        <f aca="false">IF(Tasks[[#This Row],[Task Name]]="","",MAX(1,N(Tasks[[#This Row],[Level]])))</f>
        <v/>
      </c>
      <c r="BJ61" s="41" t="n">
        <f aca="false">ROW()-ROW(Tasks[[#Headers],[ID]])</f>
        <v>56</v>
      </c>
      <c r="BK61" s="41" t="n">
        <f aca="false">IF(OR(Tasks[[#This Row],[Task Name]]="",Tasks[[#This Row],[_Level]]&lt;=1),0,IFERROR(LOOKUP(2,1/(Tasks[[#Headers],[_Level]]:Tasks[[#This Row],[_Level]]=Tasks[[#This Row],[_Level]]-1),ROW(Tasks[[#Headers],[_Level]]:Tasks[[#This Row],[_Level]])),0))</f>
        <v>0</v>
      </c>
      <c r="BL61" s="41" t="n">
        <f aca="false">IFERROR(N(INDEX(Tasks[_Level],Tasks[[#This Row],[_Row]]+1)),0)</f>
        <v>0</v>
      </c>
      <c r="BM61" s="99" t="b">
        <f aca="false">AND(Tasks[[#This Row],[Task Name]]&lt;&gt;"",Tasks[[#This Row],[_NextLevel]]&gt;Tasks[[#This Row],[_Level]])</f>
        <v>0</v>
      </c>
      <c r="BN61" s="41" t="n">
        <f aca="false">IF(Tasks[[#This Row],[_IsSummary]],COUNTIF(Tasks[WBS],Tasks[[#This Row],[WBS]]&amp;".*"),0)</f>
        <v>0</v>
      </c>
      <c r="BO61" s="41" t="n">
        <f aca="false">IF(AND(Tasks[[#This Row],[Task Name]]&lt;&gt;"",NOT(Tasks[[#This Row],[_IsSummary]])),1,0)</f>
        <v>0</v>
      </c>
      <c r="BP61" s="41" t="n">
        <f aca="false">IF(N(Tasks[[#This Row],[Pred1 UID]])=0,0,IFERROR(MATCH(Tasks[[#This Row],[Pred1 UID]],Tasks[UID],0),-1))</f>
        <v>0</v>
      </c>
      <c r="BQ61" s="41" t="n">
        <f aca="false">IF(N(Tasks[[#This Row],[Pred2 UID]])=0,0,IFERROR(MATCH(Tasks[[#This Row],[Pred2 UID]],Tasks[UID],0),-1))</f>
        <v>0</v>
      </c>
      <c r="BR61"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61" s="100" t="str">
        <f aca="false">IF(NOT(Tasks[[#This Row],[_IsLeaf]]=1),"",IF(N(Tasks[[#This Row],[Duration]])&lt;=0,Tasks[[#This Row],[_LeafCalcStart]],WORKDAY.INTL(Tasks[[#This Row],[_LeafCalcStart]],Tasks[[#This Row],[Duration]]-1,WorkWeek,Holidays)))</f>
        <v/>
      </c>
      <c r="BT61"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61"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61" s="41" t="n">
        <f aca="false">IF(NOT(Tasks[[#This Row],[_IsLeaf]]=1),0,IF(N(Tasks[[#This Row],[Actual Finish]])&gt;0,1,MIN(1,N(Tasks[[#This Row],[% Complete]]))))</f>
        <v>0</v>
      </c>
      <c r="BW61" s="41" t="n">
        <f aca="false">IF(OR(NOT(Tasks[[#This Row],[_IsLeaf]]=1),Tasks[[#This Row],[Resource]]=""),0,N(Tasks[[#This Row],[Duration]])*HoursPerDay*IF(Tasks[[#This Row],[Units]]="",DefaultUnits,Tasks[[#This Row],[Units]]))</f>
        <v>0</v>
      </c>
      <c r="BX61" s="41" t="n">
        <f aca="false">IF(Tasks[[#This Row],[_LeafWork]]=0,0,Tasks[[#This Row],[_LeafWork]]*IFERROR(INDEX(res_Rate,MATCH(Tasks[[#This Row],[Resource]],res_Name,0)),0))</f>
        <v>0</v>
      </c>
      <c r="BY6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6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6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6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61" s="41" t="n">
        <f aca="false">IF(NOT(Tasks[[#This Row],[_IsLeaf]]=1),0,MAX(_xlfn.MAXIFS(Tasks[_Row],Tasks[Pred1 UID],Tasks[[#This Row],[UID]]),_xlfn.MAXIFS(Tasks[_Row],Tasks[Pred2 UID],Tasks[[#This Row],[UID]])))</f>
        <v>0</v>
      </c>
      <c r="CD61"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61" s="100" t="str">
        <f aca="false">IF(NOT(Tasks[[#This Row],[_IsLeaf]]=1),"",MIN(ProjectFinish,IF(N(Tasks[[#This Row],[Deadline]])&gt;0,Tasks[[#This Row],[Deadline]],2958465),Tasks[[#This Row],[_SuccessorFinishLimit]]))</f>
        <v/>
      </c>
      <c r="CF61" s="100" t="str">
        <f aca="false">IF(NOT(Tasks[[#This Row],[_IsLeaf]]=1),"",IF(N(Tasks[[#This Row],[Duration]])&lt;=0,Tasks[[#This Row],[_LeafLateFinish]],WORKDAY.INTL(Tasks[[#This Row],[_LeafLateFinish]],-(Tasks[[#This Row],[Duration]]-1),WorkWeek,Holidays)))</f>
        <v/>
      </c>
      <c r="CG6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61" s="99" t="b">
        <f aca="false">AND(Tasks[[#This Row],[_IsLeaf]]=1,Tasks[[#This Row],[_LeafProgress]]&lt;1,N(Tasks[[#This Row],[_LeafTotalSlack]])&lt;=CriticalSlackDays)</f>
        <v>0</v>
      </c>
      <c r="CI61" s="100" t="str">
        <f aca="false">IF(Tasks[[#This Row],[Task Name]]="","",IF(Tasks[[#This Row],[_IsSummary]],MIN(INDEX(Tasks[_LeafCalcStart],Tasks[[#This Row],[_Row]]+1):INDEX(Tasks[_LeafCalcStart],Tasks[[#This Row],[_Row]]+Tasks[[#This Row],[_Descendants]])),Tasks[[#This Row],[_LeafCalcStart]]))</f>
        <v/>
      </c>
      <c r="CJ61" s="100" t="str">
        <f aca="false">IF(Tasks[[#This Row],[Task Name]]="","",IF(Tasks[[#This Row],[_IsSummary]],MAX(INDEX(Tasks[_LeafCalcFinish],Tasks[[#This Row],[_Row]]+1):INDEX(Tasks[_LeafCalcFinish],Tasks[[#This Row],[_Row]]+Tasks[[#This Row],[_Descendants]])),Tasks[[#This Row],[_LeafCalcFinish]]))</f>
        <v/>
      </c>
      <c r="CK6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6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61"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61"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61"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61"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61" s="41" t="n">
        <f aca="false">IF(AND(Tasks[[#This Row],[_IsLeaf]]=1,Tasks[[#This Row],[_LeafWork]]&gt;0),NETWORKDAYS.INTL(ProjectStart,Tasks[[#This Row],[_LeafFcstStart]],WorkWeek,Holidays),0)</f>
        <v>0</v>
      </c>
      <c r="CR61" s="41" t="n">
        <f aca="false">IF(AND(Tasks[[#This Row],[_IsLeaf]]=1,Tasks[[#This Row],[_LeafWork]]&gt;0),MAX(Tasks[[#This Row],[_StartWorkday]],NETWORKDAYS.INTL(ProjectStart,Tasks[[#This Row],[_LeafFcstFinish]],WorkWeek,Holidays)),0)</f>
        <v>0</v>
      </c>
      <c r="CS61" s="41" t="n">
        <f aca="false">IF(AND(Tasks[[#This Row],[_IsLeaf]]=1,Tasks[[#This Row],[_LeafWork]]&gt;0),Tasks[[#This Row],[_LeafWork]]/(Tasks[[#This Row],[_FinishWorkday]]-Tasks[[#This Row],[_StartWorkday]]+1),0)</f>
        <v>0</v>
      </c>
      <c r="CT61" s="41" t="n">
        <f aca="false">Tasks[[#This Row],[_WorkPerWorkday]]*(Tasks[[#This Row],[_StartWorkday]]-1)</f>
        <v>-0</v>
      </c>
      <c r="CU61" s="41" t="n">
        <f aca="false">IF(Tasks[[#This Row],[_IsLeaf]]=1,MAX(N(Tasks[[#This Row],[Duration]]),0.1),0)</f>
        <v>0</v>
      </c>
      <c r="CV61" s="41" t="n">
        <f aca="false">Tasks[[#This Row],[_WeightDur]]*Tasks[[#This Row],[_LeafProgress]]</f>
        <v>0</v>
      </c>
      <c r="CW6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6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6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6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61" s="41" t="str">
        <f aca="false">IF(Tasks[[#This Row],[Task Name]]="","",Tasks[[#This Row],[_Pred1UIDText]]&amp;IF(AND(Tasks[[#This Row],[_Pred1UIDText]]&lt;&gt;"",Tasks[[#This Row],[_Pred2UIDText]]&lt;&gt;""),",","")&amp;Tasks[[#This Row],[_Pred2UIDText]])</f>
        <v/>
      </c>
      <c r="DB61" s="41" t="str">
        <f aca="false">IF(AND(Tasks[[#This Row],[_IsLeaf]]=1,N(Tasks[[#This Row],[Duration]])=0,Tasks[[#This Row],[_LeafProgress]]&lt;1),Tasks[[#This Row],[_LeafFcstFinish]]+Tasks[[#This Row],[_Row]]/100000,"")</f>
        <v/>
      </c>
      <c r="DC6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61" s="41" t="n">
        <f aca="false">IF(NOT(Tasks[[#This Row],[_IsLeaf]]=1),0,IF(Tasks[[#This Row],[Baseline Cost]]="",Tasks[[#This Row],[_LeafCost]],N(Tasks[[#This Row],[Baseline Cost]])))</f>
        <v>0</v>
      </c>
      <c r="DE61" s="41" t="n">
        <f aca="false">Tasks[[#This Row],[_LeafBudget]]*Tasks[[#This Row],[_PlannedPct]]</f>
        <v>0</v>
      </c>
      <c r="DF61" s="41" t="n">
        <f aca="false">Tasks[[#This Row],[_LeafBudget]]*Tasks[[#This Row],[_LeafProgress]]</f>
        <v>0</v>
      </c>
      <c r="DG61" s="41" t="n">
        <f aca="false">IF(NOT(Tasks[[#This Row],[_IsLeaf]]=1),0,IF(Tasks[[#This Row],[Actual Cost]]="",Tasks[[#This Row],[_LeafCost]]*Tasks[[#This Row],[_LeafProgress]],N(Tasks[[#This Row],[Actual Cost]])))</f>
        <v>0</v>
      </c>
      <c r="DH61" s="41" t="str">
        <f aca="false">IF(Tasks[[#This Row],[Task Name]]="","",LEFT(Tasks[[#This Row],[WBS]],FIND(".",Tasks[[#This Row],[WBS]]&amp;".")-1))</f>
        <v/>
      </c>
      <c r="DI61" s="41" t="str">
        <f aca="false">IF(AND(Tasks[[#This Row],[Task Name]]&lt;&gt;"",Tasks[[#This Row],[_Level]]=1),Tasks[[#This Row],[_Row]],"")</f>
        <v/>
      </c>
      <c r="DJ61" s="41" t="str">
        <f aca="false">IF(AND(Tasks[[#This Row],[_IsLeaf]]=1,N(Tasks[[#This Row],[Duration]])=0),Tasks[[#This Row],[Planned Finish]]+Tasks[[#This Row],[_Row]]/100000,"")</f>
        <v/>
      </c>
      <c r="DK61" s="41" t="str">
        <f aca="false">IF(AND(Tasks[[#This Row],[_IsLeaf]]=1,Tasks[[#This Row],[_LeafProgress]]&lt;1,OR(N(Tasks[[#This Row],[Finish Var]])&gt;0,Tasks[[#This Row],[Status]]="Late Start")),MAX(0,Tasks[[#This Row],[Finish Var]])+1-Tasks[[#This Row],[_Row]]/1000000,"")</f>
        <v/>
      </c>
      <c r="DL61" s="41" t="str">
        <f aca="false">IF(AND(Tasks[[#This Row],[_IsLeaf]]=1,N(Tasks[[#This Row],[Actual Start]])=0,Tasks[[#This Row],[_LeafFcstStart]]&gt;=StatusDate,Tasks[[#This Row],[_LeafFcstStart]]&lt;=LookaheadEnd),Tasks[[#This Row],[_LeafFcstStart]]+Tasks[[#This Row],[_Row]]/100000,"")</f>
        <v/>
      </c>
      <c r="DM61" s="41" t="str">
        <f aca="false">IF(AND(Tasks[[#This Row],[_IsLeaf]]=1,Tasks[[#This Row],[_LeafProgress]]&lt;1,Tasks[[#This Row],[_LeafFcstFinish]]&gt;=StatusDate,Tasks[[#This Row],[_LeafFcstFinish]]&lt;=LookaheadEnd),Tasks[[#This Row],[_LeafFcstFinish]]+Tasks[[#This Row],[_Row]]/100000,"")</f>
        <v/>
      </c>
      <c r="DN61" s="41" t="str">
        <f aca="false">IF(Tasks[[#This Row],[_LeafCritical]],Tasks[[#This Row],[_LeafFcstStart]]+Tasks[[#This Row],[_Row]]/100000,"")</f>
        <v/>
      </c>
      <c r="DO61" s="41" t="n">
        <f aca="false">Tasks[[#This Row],[_LeafWork]]*Tasks[[#This Row],[_LeafProgress]]</f>
        <v>0</v>
      </c>
      <c r="DP61" s="100" t="str">
        <f aca="false">IF(AND(Tasks[[#This Row],[_IsLeaf]]=1,Tasks[[#This Row],[_LeafProgress]]&gt;=1),IF(N(Tasks[[#This Row],[Actual Finish]])&gt;0,Tasks[[#This Row],[Actual Finish]],Tasks[[#This Row],[_LeafFcstFinish]]),"")</f>
        <v/>
      </c>
      <c r="DQ61" s="41" t="n">
        <f aca="false">IF(Tasks[[#This Row],[_IsLeaf]]=1,N(Tasks[[#This Row],[Story Points]]),0)</f>
        <v>0</v>
      </c>
      <c r="DR61" s="41" t="str">
        <f aca="false">IF(AND(Tasks[[#This Row],[_IsLeaf]]=1,CurrentSprint&lt;&gt;"",Tasks[[#This Row],[Sprint]]=CurrentSprint),Tasks[[#This Row],[_Row]],"")</f>
        <v/>
      </c>
    </row>
    <row r="62" customFormat="false" ht="15" hidden="false" customHeight="false" outlineLevel="0" collapsed="false">
      <c r="A62" s="28" t="str">
        <f aca="false">IF(Tasks[[#This Row],[Task Name]]="","",COUNTA(Tasks[[#Headers],[Task Name]]:Tasks[[#This Row],[Task Name]])-1)</f>
        <v/>
      </c>
      <c r="B62" s="29" t="n">
        <v>57</v>
      </c>
      <c r="C6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2" s="29"/>
      <c r="E62" s="30"/>
      <c r="F62" s="29"/>
      <c r="G62" s="29"/>
      <c r="H62" s="29"/>
      <c r="I62" s="29"/>
      <c r="J62" s="29"/>
      <c r="K62" s="29"/>
      <c r="L62" s="29"/>
      <c r="M62" s="29"/>
      <c r="N62" s="73"/>
      <c r="O62" s="73"/>
      <c r="P62" s="25" t="str">
        <f aca="false">IF(Tasks[[#This Row],[Task Name]]="","",IF(N(Tasks[[#This Row],[Baseline Start]])&gt;0,Tasks[[#This Row],[Baseline Start]],Tasks[[#This Row],[_CalcStart]]))</f>
        <v/>
      </c>
      <c r="Q62" s="25" t="str">
        <f aca="false">IF(Tasks[[#This Row],[Task Name]]="","",IF(N(Tasks[[#This Row],[Baseline Finish]])&gt;0,Tasks[[#This Row],[Baseline Finish]],Tasks[[#This Row],[_CalcFinish]]))</f>
        <v/>
      </c>
      <c r="R62" s="73"/>
      <c r="S62" s="73"/>
      <c r="T62" s="25" t="str">
        <f aca="false">IF(Tasks[[#This Row],[Task Name]]="","",IF(Tasks[[#This Row],[_IsSummary]],MIN(INDEX(Tasks[_LeafFcstStart],Tasks[[#This Row],[_Row]]+1):INDEX(Tasks[_LeafFcstStart],Tasks[[#This Row],[_Row]]+Tasks[[#This Row],[_Descendants]])),Tasks[[#This Row],[_LeafFcstStart]]))</f>
        <v/>
      </c>
      <c r="U62" s="25" t="str">
        <f aca="false">IF(Tasks[[#This Row],[Task Name]]="","",IF(Tasks[[#This Row],[_IsSummary]],MAX(INDEX(Tasks[_LeafFcstFinish],Tasks[[#This Row],[_Row]]+1):INDEX(Tasks[_LeafFcstFinish],Tasks[[#This Row],[_Row]]+Tasks[[#This Row],[_Descendants]])),Tasks[[#This Row],[_LeafFcstFinish]]))</f>
        <v/>
      </c>
      <c r="V6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6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2" s="25" t="str">
        <f aca="false">IF(Tasks[[#This Row],[Task Name]]="","",IF(Tasks[[#This Row],[_IsSummary]],MIN(INDEX(Tasks[_LeafLateStart],Tasks[[#This Row],[_Row]]+1):INDEX(Tasks[_LeafLateStart],Tasks[[#This Row],[_Row]]+Tasks[[#This Row],[_Descendants]])),Tasks[[#This Row],[_LeafLateStart]]))</f>
        <v/>
      </c>
      <c r="Y62" s="25" t="str">
        <f aca="false">IF(Tasks[[#This Row],[Task Name]]="","",IF(Tasks[[#This Row],[_IsSummary]],MAX(INDEX(Tasks[_LeafLateFinish],Tasks[[#This Row],[_Row]]+1):INDEX(Tasks[_LeafLateFinish],Tasks[[#This Row],[_Row]]+Tasks[[#This Row],[_Descendants]])),Tasks[[#This Row],[_LeafLateFinish]]))</f>
        <v/>
      </c>
      <c r="Z62" s="43" t="str">
        <f aca="false">IF(Tasks[[#This Row],[Task Name]]="","",IF(Tasks[[#This Row],[_IsSummary]],MIN(INDEX(Tasks[_LeafTotalSlack],Tasks[[#This Row],[_Row]]+1):INDEX(Tasks[_LeafTotalSlack],Tasks[[#This Row],[_Row]]+Tasks[[#This Row],[_Descendants]])),Tasks[[#This Row],[_LeafTotalSlack]]))</f>
        <v/>
      </c>
      <c r="AA6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2" s="28" t="str">
        <f aca="false">IF(Tasks[[#This Row],[Task Name]]="","",IF(IF(Tasks[[#This Row],[_IsSummary]],COUNTIF(INDEX(Tasks[_LeafCritical],Tasks[[#This Row],[_Row]]+1):INDEX(Tasks[_LeafCritical],Tasks[[#This Row],[_Row]]+Tasks[[#This Row],[_Descendants]]),TRUE())&gt;0,Tasks[[#This Row],[_LeafCritical]]),"Yes",""))</f>
        <v/>
      </c>
      <c r="AC6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2" s="24" t="str">
        <f aca="false">IF(Tasks[[#This Row],[Task Name]]="","",TRIM(IF(Tasks[[#This Row],[_Pred1Problem]]&lt;&gt;"","Pred 1: "&amp;Tasks[[#This Row],[_Pred1Problem]]&amp;". ","")&amp;IF(Tasks[[#This Row],[_Pred2Problem]]&lt;&gt;"","Pred 2: "&amp;Tasks[[#This Row],[_Pred2Problem]]&amp;".","")))</f>
        <v/>
      </c>
      <c r="AE62" s="88"/>
      <c r="AF62"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2" s="28" t="str">
        <f aca="false">IF(Tasks[[#This Row],[Task Name]]="","",IF(Tasks[[#This Row],[Progress]]&gt;=1,"Complete",IF(OR(N(Tasks[[#This Row],[Actual Start]])&gt;0,Tasks[[#This Row],[Progress]]&gt;0),IF(Tasks[[#This Row],[Finish Var]]&gt;0,"Behind","In Progress"),IF(Tasks[[#This Row],[Planned Start]]&lt;StatusDate,"Late Start","Not Started"))))</f>
        <v/>
      </c>
      <c r="AH62" s="30"/>
      <c r="AI62" s="88"/>
      <c r="AJ62" s="95" t="str">
        <f aca="false">IF(Tasks[[#This Row],[Task Name]]="","",IF(Tasks[[#This Row],[_IsSummary]],SUM(INDEX(Tasks[_LeafWork],Tasks[[#This Row],[_Row]]+1):INDEX(Tasks[_LeafWork],Tasks[[#This Row],[_Row]]+Tasks[[#This Row],[_Descendants]])),Tasks[[#This Row],[_LeafWork]]))</f>
        <v/>
      </c>
      <c r="AK62" s="96" t="str">
        <f aca="false">IF(Tasks[[#This Row],[Task Name]]="","",IF(Tasks[[#This Row],[_IsSummary]],SUM(INDEX(Tasks[_LeafCost],Tasks[[#This Row],[_Row]]+1):INDEX(Tasks[_LeafCost],Tasks[[#This Row],[_Row]]+Tasks[[#This Row],[_Descendants]])),Tasks[[#This Row],[_LeafCost]]))</f>
        <v/>
      </c>
      <c r="AL62" s="97"/>
      <c r="AM62" s="29"/>
      <c r="AN6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62" s="82"/>
      <c r="AP62" s="24" t="str">
        <f aca="false">IF(Tasks[[#This Row],[Task Name]]="","",Tasks[[#This Row],[_Pred1IDText]]&amp;IF(AND(Tasks[[#This Row],[_Pred1IDText]]&lt;&gt;"",Tasks[[#This Row],[_Pred2IDText]]&lt;&gt;""),",","")&amp;Tasks[[#This Row],[_Pred2IDText]])</f>
        <v/>
      </c>
      <c r="AQ62" s="30"/>
      <c r="AR62" s="25" t="str">
        <f aca="false">IF(Tasks[[#This Row],[Task Name]]="","",Tasks[[#This Row],[Forecast Start]])</f>
        <v/>
      </c>
      <c r="AS62" s="25" t="str">
        <f aca="false">IF(Tasks[[#This Row],[Task Name]]="","",Tasks[[#This Row],[Forecast Finish]])</f>
        <v/>
      </c>
      <c r="AT62" s="28" t="str">
        <f aca="false">IF(Tasks[[#This Row],[Task Name]]="","",IF(Tasks[[#This Row],[_IsSummary]],NETWORKDAYS.INTL(Tasks[[#This Row],[Forecast Start]],Tasks[[#This Row],[Forecast Finish]],WorkWeek,Holidays),N(Tasks[[#This Row],[Duration]])))</f>
        <v/>
      </c>
      <c r="AU62" s="95" t="str">
        <f aca="false">IF(Tasks[[#This Row],[Task Name]]="","",Tasks[[#This Row],[Work]])</f>
        <v/>
      </c>
      <c r="AV62" s="96" t="str">
        <f aca="false">IF(Tasks[[#This Row],[Task Name]]="","",Tasks[[#This Row],[Cost]])</f>
        <v/>
      </c>
      <c r="AW62" s="73"/>
      <c r="AX62" s="73"/>
      <c r="AY62" s="29"/>
      <c r="AZ62" s="98"/>
      <c r="BA62" s="97"/>
      <c r="BB62" s="28" t="str">
        <f aca="false">IF(OR(Tasks[[#This Row],[Task Name]]="",Tasks[[#This Row],[Baseline Duration]]=""),"",Tasks[[#This Row],[BL Source Duration]]-N(Tasks[[#This Row],[Baseline Duration]]))</f>
        <v/>
      </c>
      <c r="BC62" s="95" t="str">
        <f aca="false">IF(OR(Tasks[[#This Row],[Task Name]]="",Tasks[[#This Row],[Baseline Work]]=""),"",Tasks[[#This Row],[Work]]-N(Tasks[[#This Row],[Baseline Work]]))</f>
        <v/>
      </c>
      <c r="BD62" s="96" t="str">
        <f aca="false">IF(OR(Tasks[[#This Row],[Task Name]]="",Tasks[[#This Row],[Baseline Cost]]=""),"",Tasks[[#This Row],[Cost]]-N(Tasks[[#This Row],[Baseline Cost]]))</f>
        <v/>
      </c>
      <c r="BE62" s="96" t="str">
        <f aca="false">IF(Tasks[[#This Row],[Task Name]]="","",IF(Tasks[[#This Row],[_IsSummary]],SUM(INDEX(Tasks[_LeafBudget],Tasks[[#This Row],[_Row]]+1):INDEX(Tasks[_LeafBudget],Tasks[[#This Row],[_Row]]+Tasks[[#This Row],[_Descendants]])),Tasks[[#This Row],[_LeafBudget]]))</f>
        <v/>
      </c>
      <c r="BF62" s="96" t="str">
        <f aca="false">IF(Tasks[[#This Row],[Task Name]]="","",IF(Tasks[[#This Row],[_IsSummary]],SUM(INDEX(Tasks[_LeafPV],Tasks[[#This Row],[_Row]]+1):INDEX(Tasks[_LeafPV],Tasks[[#This Row],[_Row]]+Tasks[[#This Row],[_Descendants]])),Tasks[[#This Row],[_LeafPV]]))</f>
        <v/>
      </c>
      <c r="BG62" s="96" t="str">
        <f aca="false">IF(Tasks[[#This Row],[Task Name]]="","",IF(Tasks[[#This Row],[_IsSummary]],SUM(INDEX(Tasks[_LeafEV],Tasks[[#This Row],[_Row]]+1):INDEX(Tasks[_LeafEV],Tasks[[#This Row],[_Row]]+Tasks[[#This Row],[_Descendants]])),Tasks[[#This Row],[_LeafEV]]))</f>
        <v/>
      </c>
      <c r="BH62" s="96" t="str">
        <f aca="false">IF(Tasks[[#This Row],[Task Name]]="","",IF(Tasks[[#This Row],[_IsSummary]],SUM(INDEX(Tasks[_LeafAC],Tasks[[#This Row],[_Row]]+1):INDEX(Tasks[_LeafAC],Tasks[[#This Row],[_Row]]+Tasks[[#This Row],[_Descendants]])),Tasks[[#This Row],[_LeafAC]]))</f>
        <v/>
      </c>
      <c r="BI62" s="41" t="str">
        <f aca="false">IF(Tasks[[#This Row],[Task Name]]="","",MAX(1,N(Tasks[[#This Row],[Level]])))</f>
        <v/>
      </c>
      <c r="BJ62" s="41" t="n">
        <f aca="false">ROW()-ROW(Tasks[[#Headers],[ID]])</f>
        <v>57</v>
      </c>
      <c r="BK62" s="41" t="n">
        <f aca="false">IF(OR(Tasks[[#This Row],[Task Name]]="",Tasks[[#This Row],[_Level]]&lt;=1),0,IFERROR(LOOKUP(2,1/(Tasks[[#Headers],[_Level]]:Tasks[[#This Row],[_Level]]=Tasks[[#This Row],[_Level]]-1),ROW(Tasks[[#Headers],[_Level]]:Tasks[[#This Row],[_Level]])),0))</f>
        <v>0</v>
      </c>
      <c r="BL62" s="41" t="n">
        <f aca="false">IFERROR(N(INDEX(Tasks[_Level],Tasks[[#This Row],[_Row]]+1)),0)</f>
        <v>0</v>
      </c>
      <c r="BM62" s="99" t="b">
        <f aca="false">AND(Tasks[[#This Row],[Task Name]]&lt;&gt;"",Tasks[[#This Row],[_NextLevel]]&gt;Tasks[[#This Row],[_Level]])</f>
        <v>0</v>
      </c>
      <c r="BN62" s="41" t="n">
        <f aca="false">IF(Tasks[[#This Row],[_IsSummary]],COUNTIF(Tasks[WBS],Tasks[[#This Row],[WBS]]&amp;".*"),0)</f>
        <v>0</v>
      </c>
      <c r="BO62" s="41" t="n">
        <f aca="false">IF(AND(Tasks[[#This Row],[Task Name]]&lt;&gt;"",NOT(Tasks[[#This Row],[_IsSummary]])),1,0)</f>
        <v>0</v>
      </c>
      <c r="BP62" s="41" t="n">
        <f aca="false">IF(N(Tasks[[#This Row],[Pred1 UID]])=0,0,IFERROR(MATCH(Tasks[[#This Row],[Pred1 UID]],Tasks[UID],0),-1))</f>
        <v>0</v>
      </c>
      <c r="BQ62" s="41" t="n">
        <f aca="false">IF(N(Tasks[[#This Row],[Pred2 UID]])=0,0,IFERROR(MATCH(Tasks[[#This Row],[Pred2 UID]],Tasks[UID],0),-1))</f>
        <v>0</v>
      </c>
      <c r="BR62"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62" s="100" t="str">
        <f aca="false">IF(NOT(Tasks[[#This Row],[_IsLeaf]]=1),"",IF(N(Tasks[[#This Row],[Duration]])&lt;=0,Tasks[[#This Row],[_LeafCalcStart]],WORKDAY.INTL(Tasks[[#This Row],[_LeafCalcStart]],Tasks[[#This Row],[Duration]]-1,WorkWeek,Holidays)))</f>
        <v/>
      </c>
      <c r="BT62"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62"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62" s="41" t="n">
        <f aca="false">IF(NOT(Tasks[[#This Row],[_IsLeaf]]=1),0,IF(N(Tasks[[#This Row],[Actual Finish]])&gt;0,1,MIN(1,N(Tasks[[#This Row],[% Complete]]))))</f>
        <v>0</v>
      </c>
      <c r="BW62" s="41" t="n">
        <f aca="false">IF(OR(NOT(Tasks[[#This Row],[_IsLeaf]]=1),Tasks[[#This Row],[Resource]]=""),0,N(Tasks[[#This Row],[Duration]])*HoursPerDay*IF(Tasks[[#This Row],[Units]]="",DefaultUnits,Tasks[[#This Row],[Units]]))</f>
        <v>0</v>
      </c>
      <c r="BX62" s="41" t="n">
        <f aca="false">IF(Tasks[[#This Row],[_LeafWork]]=0,0,Tasks[[#This Row],[_LeafWork]]*IFERROR(INDEX(res_Rate,MATCH(Tasks[[#This Row],[Resource]],res_Name,0)),0))</f>
        <v>0</v>
      </c>
      <c r="BY6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6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6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6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62" s="41" t="n">
        <f aca="false">IF(NOT(Tasks[[#This Row],[_IsLeaf]]=1),0,MAX(_xlfn.MAXIFS(Tasks[_Row],Tasks[Pred1 UID],Tasks[[#This Row],[UID]]),_xlfn.MAXIFS(Tasks[_Row],Tasks[Pred2 UID],Tasks[[#This Row],[UID]])))</f>
        <v>0</v>
      </c>
      <c r="CD62"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62" s="100" t="str">
        <f aca="false">IF(NOT(Tasks[[#This Row],[_IsLeaf]]=1),"",MIN(ProjectFinish,IF(N(Tasks[[#This Row],[Deadline]])&gt;0,Tasks[[#This Row],[Deadline]],2958465),Tasks[[#This Row],[_SuccessorFinishLimit]]))</f>
        <v/>
      </c>
      <c r="CF62" s="100" t="str">
        <f aca="false">IF(NOT(Tasks[[#This Row],[_IsLeaf]]=1),"",IF(N(Tasks[[#This Row],[Duration]])&lt;=0,Tasks[[#This Row],[_LeafLateFinish]],WORKDAY.INTL(Tasks[[#This Row],[_LeafLateFinish]],-(Tasks[[#This Row],[Duration]]-1),WorkWeek,Holidays)))</f>
        <v/>
      </c>
      <c r="CG6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62" s="99" t="b">
        <f aca="false">AND(Tasks[[#This Row],[_IsLeaf]]=1,Tasks[[#This Row],[_LeafProgress]]&lt;1,N(Tasks[[#This Row],[_LeafTotalSlack]])&lt;=CriticalSlackDays)</f>
        <v>0</v>
      </c>
      <c r="CI62" s="100" t="str">
        <f aca="false">IF(Tasks[[#This Row],[Task Name]]="","",IF(Tasks[[#This Row],[_IsSummary]],MIN(INDEX(Tasks[_LeafCalcStart],Tasks[[#This Row],[_Row]]+1):INDEX(Tasks[_LeafCalcStart],Tasks[[#This Row],[_Row]]+Tasks[[#This Row],[_Descendants]])),Tasks[[#This Row],[_LeafCalcStart]]))</f>
        <v/>
      </c>
      <c r="CJ62" s="100" t="str">
        <f aca="false">IF(Tasks[[#This Row],[Task Name]]="","",IF(Tasks[[#This Row],[_IsSummary]],MAX(INDEX(Tasks[_LeafCalcFinish],Tasks[[#This Row],[_Row]]+1):INDEX(Tasks[_LeafCalcFinish],Tasks[[#This Row],[_Row]]+Tasks[[#This Row],[_Descendants]])),Tasks[[#This Row],[_LeafCalcFinish]]))</f>
        <v/>
      </c>
      <c r="CK6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6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62"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62"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62"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62"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62" s="41" t="n">
        <f aca="false">IF(AND(Tasks[[#This Row],[_IsLeaf]]=1,Tasks[[#This Row],[_LeafWork]]&gt;0),NETWORKDAYS.INTL(ProjectStart,Tasks[[#This Row],[_LeafFcstStart]],WorkWeek,Holidays),0)</f>
        <v>0</v>
      </c>
      <c r="CR62" s="41" t="n">
        <f aca="false">IF(AND(Tasks[[#This Row],[_IsLeaf]]=1,Tasks[[#This Row],[_LeafWork]]&gt;0),MAX(Tasks[[#This Row],[_StartWorkday]],NETWORKDAYS.INTL(ProjectStart,Tasks[[#This Row],[_LeafFcstFinish]],WorkWeek,Holidays)),0)</f>
        <v>0</v>
      </c>
      <c r="CS62" s="41" t="n">
        <f aca="false">IF(AND(Tasks[[#This Row],[_IsLeaf]]=1,Tasks[[#This Row],[_LeafWork]]&gt;0),Tasks[[#This Row],[_LeafWork]]/(Tasks[[#This Row],[_FinishWorkday]]-Tasks[[#This Row],[_StartWorkday]]+1),0)</f>
        <v>0</v>
      </c>
      <c r="CT62" s="41" t="n">
        <f aca="false">Tasks[[#This Row],[_WorkPerWorkday]]*(Tasks[[#This Row],[_StartWorkday]]-1)</f>
        <v>-0</v>
      </c>
      <c r="CU62" s="41" t="n">
        <f aca="false">IF(Tasks[[#This Row],[_IsLeaf]]=1,MAX(N(Tasks[[#This Row],[Duration]]),0.1),0)</f>
        <v>0</v>
      </c>
      <c r="CV62" s="41" t="n">
        <f aca="false">Tasks[[#This Row],[_WeightDur]]*Tasks[[#This Row],[_LeafProgress]]</f>
        <v>0</v>
      </c>
      <c r="CW6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6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6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6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62" s="41" t="str">
        <f aca="false">IF(Tasks[[#This Row],[Task Name]]="","",Tasks[[#This Row],[_Pred1UIDText]]&amp;IF(AND(Tasks[[#This Row],[_Pred1UIDText]]&lt;&gt;"",Tasks[[#This Row],[_Pred2UIDText]]&lt;&gt;""),",","")&amp;Tasks[[#This Row],[_Pred2UIDText]])</f>
        <v/>
      </c>
      <c r="DB62" s="41" t="str">
        <f aca="false">IF(AND(Tasks[[#This Row],[_IsLeaf]]=1,N(Tasks[[#This Row],[Duration]])=0,Tasks[[#This Row],[_LeafProgress]]&lt;1),Tasks[[#This Row],[_LeafFcstFinish]]+Tasks[[#This Row],[_Row]]/100000,"")</f>
        <v/>
      </c>
      <c r="DC6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62" s="41" t="n">
        <f aca="false">IF(NOT(Tasks[[#This Row],[_IsLeaf]]=1),0,IF(Tasks[[#This Row],[Baseline Cost]]="",Tasks[[#This Row],[_LeafCost]],N(Tasks[[#This Row],[Baseline Cost]])))</f>
        <v>0</v>
      </c>
      <c r="DE62" s="41" t="n">
        <f aca="false">Tasks[[#This Row],[_LeafBudget]]*Tasks[[#This Row],[_PlannedPct]]</f>
        <v>0</v>
      </c>
      <c r="DF62" s="41" t="n">
        <f aca="false">Tasks[[#This Row],[_LeafBudget]]*Tasks[[#This Row],[_LeafProgress]]</f>
        <v>0</v>
      </c>
      <c r="DG62" s="41" t="n">
        <f aca="false">IF(NOT(Tasks[[#This Row],[_IsLeaf]]=1),0,IF(Tasks[[#This Row],[Actual Cost]]="",Tasks[[#This Row],[_LeafCost]]*Tasks[[#This Row],[_LeafProgress]],N(Tasks[[#This Row],[Actual Cost]])))</f>
        <v>0</v>
      </c>
      <c r="DH62" s="41" t="str">
        <f aca="false">IF(Tasks[[#This Row],[Task Name]]="","",LEFT(Tasks[[#This Row],[WBS]],FIND(".",Tasks[[#This Row],[WBS]]&amp;".")-1))</f>
        <v/>
      </c>
      <c r="DI62" s="41" t="str">
        <f aca="false">IF(AND(Tasks[[#This Row],[Task Name]]&lt;&gt;"",Tasks[[#This Row],[_Level]]=1),Tasks[[#This Row],[_Row]],"")</f>
        <v/>
      </c>
      <c r="DJ62" s="41" t="str">
        <f aca="false">IF(AND(Tasks[[#This Row],[_IsLeaf]]=1,N(Tasks[[#This Row],[Duration]])=0),Tasks[[#This Row],[Planned Finish]]+Tasks[[#This Row],[_Row]]/100000,"")</f>
        <v/>
      </c>
      <c r="DK62" s="41" t="str">
        <f aca="false">IF(AND(Tasks[[#This Row],[_IsLeaf]]=1,Tasks[[#This Row],[_LeafProgress]]&lt;1,OR(N(Tasks[[#This Row],[Finish Var]])&gt;0,Tasks[[#This Row],[Status]]="Late Start")),MAX(0,Tasks[[#This Row],[Finish Var]])+1-Tasks[[#This Row],[_Row]]/1000000,"")</f>
        <v/>
      </c>
      <c r="DL62" s="41" t="str">
        <f aca="false">IF(AND(Tasks[[#This Row],[_IsLeaf]]=1,N(Tasks[[#This Row],[Actual Start]])=0,Tasks[[#This Row],[_LeafFcstStart]]&gt;=StatusDate,Tasks[[#This Row],[_LeafFcstStart]]&lt;=LookaheadEnd),Tasks[[#This Row],[_LeafFcstStart]]+Tasks[[#This Row],[_Row]]/100000,"")</f>
        <v/>
      </c>
      <c r="DM62" s="41" t="str">
        <f aca="false">IF(AND(Tasks[[#This Row],[_IsLeaf]]=1,Tasks[[#This Row],[_LeafProgress]]&lt;1,Tasks[[#This Row],[_LeafFcstFinish]]&gt;=StatusDate,Tasks[[#This Row],[_LeafFcstFinish]]&lt;=LookaheadEnd),Tasks[[#This Row],[_LeafFcstFinish]]+Tasks[[#This Row],[_Row]]/100000,"")</f>
        <v/>
      </c>
      <c r="DN62" s="41" t="str">
        <f aca="false">IF(Tasks[[#This Row],[_LeafCritical]],Tasks[[#This Row],[_LeafFcstStart]]+Tasks[[#This Row],[_Row]]/100000,"")</f>
        <v/>
      </c>
      <c r="DO62" s="41" t="n">
        <f aca="false">Tasks[[#This Row],[_LeafWork]]*Tasks[[#This Row],[_LeafProgress]]</f>
        <v>0</v>
      </c>
      <c r="DP62" s="100" t="str">
        <f aca="false">IF(AND(Tasks[[#This Row],[_IsLeaf]]=1,Tasks[[#This Row],[_LeafProgress]]&gt;=1),IF(N(Tasks[[#This Row],[Actual Finish]])&gt;0,Tasks[[#This Row],[Actual Finish]],Tasks[[#This Row],[_LeafFcstFinish]]),"")</f>
        <v/>
      </c>
      <c r="DQ62" s="41" t="n">
        <f aca="false">IF(Tasks[[#This Row],[_IsLeaf]]=1,N(Tasks[[#This Row],[Story Points]]),0)</f>
        <v>0</v>
      </c>
      <c r="DR62" s="41" t="str">
        <f aca="false">IF(AND(Tasks[[#This Row],[_IsLeaf]]=1,CurrentSprint&lt;&gt;"",Tasks[[#This Row],[Sprint]]=CurrentSprint),Tasks[[#This Row],[_Row]],"")</f>
        <v/>
      </c>
    </row>
    <row r="63" customFormat="false" ht="15" hidden="false" customHeight="false" outlineLevel="0" collapsed="false">
      <c r="A63" s="28" t="str">
        <f aca="false">IF(Tasks[[#This Row],[Task Name]]="","",COUNTA(Tasks[[#Headers],[Task Name]]:Tasks[[#This Row],[Task Name]])-1)</f>
        <v/>
      </c>
      <c r="B63" s="29" t="n">
        <v>58</v>
      </c>
      <c r="C6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3" s="29"/>
      <c r="E63" s="30"/>
      <c r="F63" s="29"/>
      <c r="G63" s="29"/>
      <c r="H63" s="29"/>
      <c r="I63" s="29"/>
      <c r="J63" s="29"/>
      <c r="K63" s="29"/>
      <c r="L63" s="29"/>
      <c r="M63" s="29"/>
      <c r="N63" s="73"/>
      <c r="O63" s="73"/>
      <c r="P63" s="25" t="str">
        <f aca="false">IF(Tasks[[#This Row],[Task Name]]="","",IF(N(Tasks[[#This Row],[Baseline Start]])&gt;0,Tasks[[#This Row],[Baseline Start]],Tasks[[#This Row],[_CalcStart]]))</f>
        <v/>
      </c>
      <c r="Q63" s="25" t="str">
        <f aca="false">IF(Tasks[[#This Row],[Task Name]]="","",IF(N(Tasks[[#This Row],[Baseline Finish]])&gt;0,Tasks[[#This Row],[Baseline Finish]],Tasks[[#This Row],[_CalcFinish]]))</f>
        <v/>
      </c>
      <c r="R63" s="73"/>
      <c r="S63" s="73"/>
      <c r="T63" s="25" t="str">
        <f aca="false">IF(Tasks[[#This Row],[Task Name]]="","",IF(Tasks[[#This Row],[_IsSummary]],MIN(INDEX(Tasks[_LeafFcstStart],Tasks[[#This Row],[_Row]]+1):INDEX(Tasks[_LeafFcstStart],Tasks[[#This Row],[_Row]]+Tasks[[#This Row],[_Descendants]])),Tasks[[#This Row],[_LeafFcstStart]]))</f>
        <v/>
      </c>
      <c r="U63" s="25" t="str">
        <f aca="false">IF(Tasks[[#This Row],[Task Name]]="","",IF(Tasks[[#This Row],[_IsSummary]],MAX(INDEX(Tasks[_LeafFcstFinish],Tasks[[#This Row],[_Row]]+1):INDEX(Tasks[_LeafFcstFinish],Tasks[[#This Row],[_Row]]+Tasks[[#This Row],[_Descendants]])),Tasks[[#This Row],[_LeafFcstFinish]]))</f>
        <v/>
      </c>
      <c r="V6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6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3" s="25" t="str">
        <f aca="false">IF(Tasks[[#This Row],[Task Name]]="","",IF(Tasks[[#This Row],[_IsSummary]],MIN(INDEX(Tasks[_LeafLateStart],Tasks[[#This Row],[_Row]]+1):INDEX(Tasks[_LeafLateStart],Tasks[[#This Row],[_Row]]+Tasks[[#This Row],[_Descendants]])),Tasks[[#This Row],[_LeafLateStart]]))</f>
        <v/>
      </c>
      <c r="Y63" s="25" t="str">
        <f aca="false">IF(Tasks[[#This Row],[Task Name]]="","",IF(Tasks[[#This Row],[_IsSummary]],MAX(INDEX(Tasks[_LeafLateFinish],Tasks[[#This Row],[_Row]]+1):INDEX(Tasks[_LeafLateFinish],Tasks[[#This Row],[_Row]]+Tasks[[#This Row],[_Descendants]])),Tasks[[#This Row],[_LeafLateFinish]]))</f>
        <v/>
      </c>
      <c r="Z63" s="43" t="str">
        <f aca="false">IF(Tasks[[#This Row],[Task Name]]="","",IF(Tasks[[#This Row],[_IsSummary]],MIN(INDEX(Tasks[_LeafTotalSlack],Tasks[[#This Row],[_Row]]+1):INDEX(Tasks[_LeafTotalSlack],Tasks[[#This Row],[_Row]]+Tasks[[#This Row],[_Descendants]])),Tasks[[#This Row],[_LeafTotalSlack]]))</f>
        <v/>
      </c>
      <c r="AA6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3" s="28" t="str">
        <f aca="false">IF(Tasks[[#This Row],[Task Name]]="","",IF(IF(Tasks[[#This Row],[_IsSummary]],COUNTIF(INDEX(Tasks[_LeafCritical],Tasks[[#This Row],[_Row]]+1):INDEX(Tasks[_LeafCritical],Tasks[[#This Row],[_Row]]+Tasks[[#This Row],[_Descendants]]),TRUE())&gt;0,Tasks[[#This Row],[_LeafCritical]]),"Yes",""))</f>
        <v/>
      </c>
      <c r="AC6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3" s="24" t="str">
        <f aca="false">IF(Tasks[[#This Row],[Task Name]]="","",TRIM(IF(Tasks[[#This Row],[_Pred1Problem]]&lt;&gt;"","Pred 1: "&amp;Tasks[[#This Row],[_Pred1Problem]]&amp;". ","")&amp;IF(Tasks[[#This Row],[_Pred2Problem]]&lt;&gt;"","Pred 2: "&amp;Tasks[[#This Row],[_Pred2Problem]]&amp;".","")))</f>
        <v/>
      </c>
      <c r="AE63" s="88"/>
      <c r="AF63"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3" s="28" t="str">
        <f aca="false">IF(Tasks[[#This Row],[Task Name]]="","",IF(Tasks[[#This Row],[Progress]]&gt;=1,"Complete",IF(OR(N(Tasks[[#This Row],[Actual Start]])&gt;0,Tasks[[#This Row],[Progress]]&gt;0),IF(Tasks[[#This Row],[Finish Var]]&gt;0,"Behind","In Progress"),IF(Tasks[[#This Row],[Planned Start]]&lt;StatusDate,"Late Start","Not Started"))))</f>
        <v/>
      </c>
      <c r="AH63" s="30"/>
      <c r="AI63" s="88"/>
      <c r="AJ63" s="95" t="str">
        <f aca="false">IF(Tasks[[#This Row],[Task Name]]="","",IF(Tasks[[#This Row],[_IsSummary]],SUM(INDEX(Tasks[_LeafWork],Tasks[[#This Row],[_Row]]+1):INDEX(Tasks[_LeafWork],Tasks[[#This Row],[_Row]]+Tasks[[#This Row],[_Descendants]])),Tasks[[#This Row],[_LeafWork]]))</f>
        <v/>
      </c>
      <c r="AK63" s="96" t="str">
        <f aca="false">IF(Tasks[[#This Row],[Task Name]]="","",IF(Tasks[[#This Row],[_IsSummary]],SUM(INDEX(Tasks[_LeafCost],Tasks[[#This Row],[_Row]]+1):INDEX(Tasks[_LeafCost],Tasks[[#This Row],[_Row]]+Tasks[[#This Row],[_Descendants]])),Tasks[[#This Row],[_LeafCost]]))</f>
        <v/>
      </c>
      <c r="AL63" s="97"/>
      <c r="AM63" s="29"/>
      <c r="AN6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63" s="82"/>
      <c r="AP63" s="24" t="str">
        <f aca="false">IF(Tasks[[#This Row],[Task Name]]="","",Tasks[[#This Row],[_Pred1IDText]]&amp;IF(AND(Tasks[[#This Row],[_Pred1IDText]]&lt;&gt;"",Tasks[[#This Row],[_Pred2IDText]]&lt;&gt;""),",","")&amp;Tasks[[#This Row],[_Pred2IDText]])</f>
        <v/>
      </c>
      <c r="AQ63" s="30"/>
      <c r="AR63" s="25" t="str">
        <f aca="false">IF(Tasks[[#This Row],[Task Name]]="","",Tasks[[#This Row],[Forecast Start]])</f>
        <v/>
      </c>
      <c r="AS63" s="25" t="str">
        <f aca="false">IF(Tasks[[#This Row],[Task Name]]="","",Tasks[[#This Row],[Forecast Finish]])</f>
        <v/>
      </c>
      <c r="AT63" s="28" t="str">
        <f aca="false">IF(Tasks[[#This Row],[Task Name]]="","",IF(Tasks[[#This Row],[_IsSummary]],NETWORKDAYS.INTL(Tasks[[#This Row],[Forecast Start]],Tasks[[#This Row],[Forecast Finish]],WorkWeek,Holidays),N(Tasks[[#This Row],[Duration]])))</f>
        <v/>
      </c>
      <c r="AU63" s="95" t="str">
        <f aca="false">IF(Tasks[[#This Row],[Task Name]]="","",Tasks[[#This Row],[Work]])</f>
        <v/>
      </c>
      <c r="AV63" s="96" t="str">
        <f aca="false">IF(Tasks[[#This Row],[Task Name]]="","",Tasks[[#This Row],[Cost]])</f>
        <v/>
      </c>
      <c r="AW63" s="73"/>
      <c r="AX63" s="73"/>
      <c r="AY63" s="29"/>
      <c r="AZ63" s="98"/>
      <c r="BA63" s="97"/>
      <c r="BB63" s="28" t="str">
        <f aca="false">IF(OR(Tasks[[#This Row],[Task Name]]="",Tasks[[#This Row],[Baseline Duration]]=""),"",Tasks[[#This Row],[BL Source Duration]]-N(Tasks[[#This Row],[Baseline Duration]]))</f>
        <v/>
      </c>
      <c r="BC63" s="95" t="str">
        <f aca="false">IF(OR(Tasks[[#This Row],[Task Name]]="",Tasks[[#This Row],[Baseline Work]]=""),"",Tasks[[#This Row],[Work]]-N(Tasks[[#This Row],[Baseline Work]]))</f>
        <v/>
      </c>
      <c r="BD63" s="96" t="str">
        <f aca="false">IF(OR(Tasks[[#This Row],[Task Name]]="",Tasks[[#This Row],[Baseline Cost]]=""),"",Tasks[[#This Row],[Cost]]-N(Tasks[[#This Row],[Baseline Cost]]))</f>
        <v/>
      </c>
      <c r="BE63" s="96" t="str">
        <f aca="false">IF(Tasks[[#This Row],[Task Name]]="","",IF(Tasks[[#This Row],[_IsSummary]],SUM(INDEX(Tasks[_LeafBudget],Tasks[[#This Row],[_Row]]+1):INDEX(Tasks[_LeafBudget],Tasks[[#This Row],[_Row]]+Tasks[[#This Row],[_Descendants]])),Tasks[[#This Row],[_LeafBudget]]))</f>
        <v/>
      </c>
      <c r="BF63" s="96" t="str">
        <f aca="false">IF(Tasks[[#This Row],[Task Name]]="","",IF(Tasks[[#This Row],[_IsSummary]],SUM(INDEX(Tasks[_LeafPV],Tasks[[#This Row],[_Row]]+1):INDEX(Tasks[_LeafPV],Tasks[[#This Row],[_Row]]+Tasks[[#This Row],[_Descendants]])),Tasks[[#This Row],[_LeafPV]]))</f>
        <v/>
      </c>
      <c r="BG63" s="96" t="str">
        <f aca="false">IF(Tasks[[#This Row],[Task Name]]="","",IF(Tasks[[#This Row],[_IsSummary]],SUM(INDEX(Tasks[_LeafEV],Tasks[[#This Row],[_Row]]+1):INDEX(Tasks[_LeafEV],Tasks[[#This Row],[_Row]]+Tasks[[#This Row],[_Descendants]])),Tasks[[#This Row],[_LeafEV]]))</f>
        <v/>
      </c>
      <c r="BH63" s="96" t="str">
        <f aca="false">IF(Tasks[[#This Row],[Task Name]]="","",IF(Tasks[[#This Row],[_IsSummary]],SUM(INDEX(Tasks[_LeafAC],Tasks[[#This Row],[_Row]]+1):INDEX(Tasks[_LeafAC],Tasks[[#This Row],[_Row]]+Tasks[[#This Row],[_Descendants]])),Tasks[[#This Row],[_LeafAC]]))</f>
        <v/>
      </c>
      <c r="BI63" s="41" t="str">
        <f aca="false">IF(Tasks[[#This Row],[Task Name]]="","",MAX(1,N(Tasks[[#This Row],[Level]])))</f>
        <v/>
      </c>
      <c r="BJ63" s="41" t="n">
        <f aca="false">ROW()-ROW(Tasks[[#Headers],[ID]])</f>
        <v>58</v>
      </c>
      <c r="BK63" s="41" t="n">
        <f aca="false">IF(OR(Tasks[[#This Row],[Task Name]]="",Tasks[[#This Row],[_Level]]&lt;=1),0,IFERROR(LOOKUP(2,1/(Tasks[[#Headers],[_Level]]:Tasks[[#This Row],[_Level]]=Tasks[[#This Row],[_Level]]-1),ROW(Tasks[[#Headers],[_Level]]:Tasks[[#This Row],[_Level]])),0))</f>
        <v>0</v>
      </c>
      <c r="BL63" s="41" t="n">
        <f aca="false">IFERROR(N(INDEX(Tasks[_Level],Tasks[[#This Row],[_Row]]+1)),0)</f>
        <v>0</v>
      </c>
      <c r="BM63" s="99" t="b">
        <f aca="false">AND(Tasks[[#This Row],[Task Name]]&lt;&gt;"",Tasks[[#This Row],[_NextLevel]]&gt;Tasks[[#This Row],[_Level]])</f>
        <v>0</v>
      </c>
      <c r="BN63" s="41" t="n">
        <f aca="false">IF(Tasks[[#This Row],[_IsSummary]],COUNTIF(Tasks[WBS],Tasks[[#This Row],[WBS]]&amp;".*"),0)</f>
        <v>0</v>
      </c>
      <c r="BO63" s="41" t="n">
        <f aca="false">IF(AND(Tasks[[#This Row],[Task Name]]&lt;&gt;"",NOT(Tasks[[#This Row],[_IsSummary]])),1,0)</f>
        <v>0</v>
      </c>
      <c r="BP63" s="41" t="n">
        <f aca="false">IF(N(Tasks[[#This Row],[Pred1 UID]])=0,0,IFERROR(MATCH(Tasks[[#This Row],[Pred1 UID]],Tasks[UID],0),-1))</f>
        <v>0</v>
      </c>
      <c r="BQ63" s="41" t="n">
        <f aca="false">IF(N(Tasks[[#This Row],[Pred2 UID]])=0,0,IFERROR(MATCH(Tasks[[#This Row],[Pred2 UID]],Tasks[UID],0),-1))</f>
        <v>0</v>
      </c>
      <c r="BR63"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63" s="100" t="str">
        <f aca="false">IF(NOT(Tasks[[#This Row],[_IsLeaf]]=1),"",IF(N(Tasks[[#This Row],[Duration]])&lt;=0,Tasks[[#This Row],[_LeafCalcStart]],WORKDAY.INTL(Tasks[[#This Row],[_LeafCalcStart]],Tasks[[#This Row],[Duration]]-1,WorkWeek,Holidays)))</f>
        <v/>
      </c>
      <c r="BT63"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63"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63" s="41" t="n">
        <f aca="false">IF(NOT(Tasks[[#This Row],[_IsLeaf]]=1),0,IF(N(Tasks[[#This Row],[Actual Finish]])&gt;0,1,MIN(1,N(Tasks[[#This Row],[% Complete]]))))</f>
        <v>0</v>
      </c>
      <c r="BW63" s="41" t="n">
        <f aca="false">IF(OR(NOT(Tasks[[#This Row],[_IsLeaf]]=1),Tasks[[#This Row],[Resource]]=""),0,N(Tasks[[#This Row],[Duration]])*HoursPerDay*IF(Tasks[[#This Row],[Units]]="",DefaultUnits,Tasks[[#This Row],[Units]]))</f>
        <v>0</v>
      </c>
      <c r="BX63" s="41" t="n">
        <f aca="false">IF(Tasks[[#This Row],[_LeafWork]]=0,0,Tasks[[#This Row],[_LeafWork]]*IFERROR(INDEX(res_Rate,MATCH(Tasks[[#This Row],[Resource]],res_Name,0)),0))</f>
        <v>0</v>
      </c>
      <c r="BY6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6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6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6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63" s="41" t="n">
        <f aca="false">IF(NOT(Tasks[[#This Row],[_IsLeaf]]=1),0,MAX(_xlfn.MAXIFS(Tasks[_Row],Tasks[Pred1 UID],Tasks[[#This Row],[UID]]),_xlfn.MAXIFS(Tasks[_Row],Tasks[Pred2 UID],Tasks[[#This Row],[UID]])))</f>
        <v>0</v>
      </c>
      <c r="CD63"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63" s="100" t="str">
        <f aca="false">IF(NOT(Tasks[[#This Row],[_IsLeaf]]=1),"",MIN(ProjectFinish,IF(N(Tasks[[#This Row],[Deadline]])&gt;0,Tasks[[#This Row],[Deadline]],2958465),Tasks[[#This Row],[_SuccessorFinishLimit]]))</f>
        <v/>
      </c>
      <c r="CF63" s="100" t="str">
        <f aca="false">IF(NOT(Tasks[[#This Row],[_IsLeaf]]=1),"",IF(N(Tasks[[#This Row],[Duration]])&lt;=0,Tasks[[#This Row],[_LeafLateFinish]],WORKDAY.INTL(Tasks[[#This Row],[_LeafLateFinish]],-(Tasks[[#This Row],[Duration]]-1),WorkWeek,Holidays)))</f>
        <v/>
      </c>
      <c r="CG6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63" s="99" t="b">
        <f aca="false">AND(Tasks[[#This Row],[_IsLeaf]]=1,Tasks[[#This Row],[_LeafProgress]]&lt;1,N(Tasks[[#This Row],[_LeafTotalSlack]])&lt;=CriticalSlackDays)</f>
        <v>0</v>
      </c>
      <c r="CI63" s="100" t="str">
        <f aca="false">IF(Tasks[[#This Row],[Task Name]]="","",IF(Tasks[[#This Row],[_IsSummary]],MIN(INDEX(Tasks[_LeafCalcStart],Tasks[[#This Row],[_Row]]+1):INDEX(Tasks[_LeafCalcStart],Tasks[[#This Row],[_Row]]+Tasks[[#This Row],[_Descendants]])),Tasks[[#This Row],[_LeafCalcStart]]))</f>
        <v/>
      </c>
      <c r="CJ63" s="100" t="str">
        <f aca="false">IF(Tasks[[#This Row],[Task Name]]="","",IF(Tasks[[#This Row],[_IsSummary]],MAX(INDEX(Tasks[_LeafCalcFinish],Tasks[[#This Row],[_Row]]+1):INDEX(Tasks[_LeafCalcFinish],Tasks[[#This Row],[_Row]]+Tasks[[#This Row],[_Descendants]])),Tasks[[#This Row],[_LeafCalcFinish]]))</f>
        <v/>
      </c>
      <c r="CK6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6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63"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63"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63"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63"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63" s="41" t="n">
        <f aca="false">IF(AND(Tasks[[#This Row],[_IsLeaf]]=1,Tasks[[#This Row],[_LeafWork]]&gt;0),NETWORKDAYS.INTL(ProjectStart,Tasks[[#This Row],[_LeafFcstStart]],WorkWeek,Holidays),0)</f>
        <v>0</v>
      </c>
      <c r="CR63" s="41" t="n">
        <f aca="false">IF(AND(Tasks[[#This Row],[_IsLeaf]]=1,Tasks[[#This Row],[_LeafWork]]&gt;0),MAX(Tasks[[#This Row],[_StartWorkday]],NETWORKDAYS.INTL(ProjectStart,Tasks[[#This Row],[_LeafFcstFinish]],WorkWeek,Holidays)),0)</f>
        <v>0</v>
      </c>
      <c r="CS63" s="41" t="n">
        <f aca="false">IF(AND(Tasks[[#This Row],[_IsLeaf]]=1,Tasks[[#This Row],[_LeafWork]]&gt;0),Tasks[[#This Row],[_LeafWork]]/(Tasks[[#This Row],[_FinishWorkday]]-Tasks[[#This Row],[_StartWorkday]]+1),0)</f>
        <v>0</v>
      </c>
      <c r="CT63" s="41" t="n">
        <f aca="false">Tasks[[#This Row],[_WorkPerWorkday]]*(Tasks[[#This Row],[_StartWorkday]]-1)</f>
        <v>-0</v>
      </c>
      <c r="CU63" s="41" t="n">
        <f aca="false">IF(Tasks[[#This Row],[_IsLeaf]]=1,MAX(N(Tasks[[#This Row],[Duration]]),0.1),0)</f>
        <v>0</v>
      </c>
      <c r="CV63" s="41" t="n">
        <f aca="false">Tasks[[#This Row],[_WeightDur]]*Tasks[[#This Row],[_LeafProgress]]</f>
        <v>0</v>
      </c>
      <c r="CW6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6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6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6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63" s="41" t="str">
        <f aca="false">IF(Tasks[[#This Row],[Task Name]]="","",Tasks[[#This Row],[_Pred1UIDText]]&amp;IF(AND(Tasks[[#This Row],[_Pred1UIDText]]&lt;&gt;"",Tasks[[#This Row],[_Pred2UIDText]]&lt;&gt;""),",","")&amp;Tasks[[#This Row],[_Pred2UIDText]])</f>
        <v/>
      </c>
      <c r="DB63" s="41" t="str">
        <f aca="false">IF(AND(Tasks[[#This Row],[_IsLeaf]]=1,N(Tasks[[#This Row],[Duration]])=0,Tasks[[#This Row],[_LeafProgress]]&lt;1),Tasks[[#This Row],[_LeafFcstFinish]]+Tasks[[#This Row],[_Row]]/100000,"")</f>
        <v/>
      </c>
      <c r="DC6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63" s="41" t="n">
        <f aca="false">IF(NOT(Tasks[[#This Row],[_IsLeaf]]=1),0,IF(Tasks[[#This Row],[Baseline Cost]]="",Tasks[[#This Row],[_LeafCost]],N(Tasks[[#This Row],[Baseline Cost]])))</f>
        <v>0</v>
      </c>
      <c r="DE63" s="41" t="n">
        <f aca="false">Tasks[[#This Row],[_LeafBudget]]*Tasks[[#This Row],[_PlannedPct]]</f>
        <v>0</v>
      </c>
      <c r="DF63" s="41" t="n">
        <f aca="false">Tasks[[#This Row],[_LeafBudget]]*Tasks[[#This Row],[_LeafProgress]]</f>
        <v>0</v>
      </c>
      <c r="DG63" s="41" t="n">
        <f aca="false">IF(NOT(Tasks[[#This Row],[_IsLeaf]]=1),0,IF(Tasks[[#This Row],[Actual Cost]]="",Tasks[[#This Row],[_LeafCost]]*Tasks[[#This Row],[_LeafProgress]],N(Tasks[[#This Row],[Actual Cost]])))</f>
        <v>0</v>
      </c>
      <c r="DH63" s="41" t="str">
        <f aca="false">IF(Tasks[[#This Row],[Task Name]]="","",LEFT(Tasks[[#This Row],[WBS]],FIND(".",Tasks[[#This Row],[WBS]]&amp;".")-1))</f>
        <v/>
      </c>
      <c r="DI63" s="41" t="str">
        <f aca="false">IF(AND(Tasks[[#This Row],[Task Name]]&lt;&gt;"",Tasks[[#This Row],[_Level]]=1),Tasks[[#This Row],[_Row]],"")</f>
        <v/>
      </c>
      <c r="DJ63" s="41" t="str">
        <f aca="false">IF(AND(Tasks[[#This Row],[_IsLeaf]]=1,N(Tasks[[#This Row],[Duration]])=0),Tasks[[#This Row],[Planned Finish]]+Tasks[[#This Row],[_Row]]/100000,"")</f>
        <v/>
      </c>
      <c r="DK63" s="41" t="str">
        <f aca="false">IF(AND(Tasks[[#This Row],[_IsLeaf]]=1,Tasks[[#This Row],[_LeafProgress]]&lt;1,OR(N(Tasks[[#This Row],[Finish Var]])&gt;0,Tasks[[#This Row],[Status]]="Late Start")),MAX(0,Tasks[[#This Row],[Finish Var]])+1-Tasks[[#This Row],[_Row]]/1000000,"")</f>
        <v/>
      </c>
      <c r="DL63" s="41" t="str">
        <f aca="false">IF(AND(Tasks[[#This Row],[_IsLeaf]]=1,N(Tasks[[#This Row],[Actual Start]])=0,Tasks[[#This Row],[_LeafFcstStart]]&gt;=StatusDate,Tasks[[#This Row],[_LeafFcstStart]]&lt;=LookaheadEnd),Tasks[[#This Row],[_LeafFcstStart]]+Tasks[[#This Row],[_Row]]/100000,"")</f>
        <v/>
      </c>
      <c r="DM63" s="41" t="str">
        <f aca="false">IF(AND(Tasks[[#This Row],[_IsLeaf]]=1,Tasks[[#This Row],[_LeafProgress]]&lt;1,Tasks[[#This Row],[_LeafFcstFinish]]&gt;=StatusDate,Tasks[[#This Row],[_LeafFcstFinish]]&lt;=LookaheadEnd),Tasks[[#This Row],[_LeafFcstFinish]]+Tasks[[#This Row],[_Row]]/100000,"")</f>
        <v/>
      </c>
      <c r="DN63" s="41" t="str">
        <f aca="false">IF(Tasks[[#This Row],[_LeafCritical]],Tasks[[#This Row],[_LeafFcstStart]]+Tasks[[#This Row],[_Row]]/100000,"")</f>
        <v/>
      </c>
      <c r="DO63" s="41" t="n">
        <f aca="false">Tasks[[#This Row],[_LeafWork]]*Tasks[[#This Row],[_LeafProgress]]</f>
        <v>0</v>
      </c>
      <c r="DP63" s="100" t="str">
        <f aca="false">IF(AND(Tasks[[#This Row],[_IsLeaf]]=1,Tasks[[#This Row],[_LeafProgress]]&gt;=1),IF(N(Tasks[[#This Row],[Actual Finish]])&gt;0,Tasks[[#This Row],[Actual Finish]],Tasks[[#This Row],[_LeafFcstFinish]]),"")</f>
        <v/>
      </c>
      <c r="DQ63" s="41" t="n">
        <f aca="false">IF(Tasks[[#This Row],[_IsLeaf]]=1,N(Tasks[[#This Row],[Story Points]]),0)</f>
        <v>0</v>
      </c>
      <c r="DR63" s="41" t="str">
        <f aca="false">IF(AND(Tasks[[#This Row],[_IsLeaf]]=1,CurrentSprint&lt;&gt;"",Tasks[[#This Row],[Sprint]]=CurrentSprint),Tasks[[#This Row],[_Row]],"")</f>
        <v/>
      </c>
    </row>
    <row r="64" customFormat="false" ht="15" hidden="false" customHeight="false" outlineLevel="0" collapsed="false">
      <c r="A64" s="28" t="str">
        <f aca="false">IF(Tasks[[#This Row],[Task Name]]="","",COUNTA(Tasks[[#Headers],[Task Name]]:Tasks[[#This Row],[Task Name]])-1)</f>
        <v/>
      </c>
      <c r="B64" s="29" t="n">
        <v>59</v>
      </c>
      <c r="C6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4" s="29"/>
      <c r="E64" s="30"/>
      <c r="F64" s="29"/>
      <c r="G64" s="29"/>
      <c r="H64" s="29"/>
      <c r="I64" s="29"/>
      <c r="J64" s="29"/>
      <c r="K64" s="29"/>
      <c r="L64" s="29"/>
      <c r="M64" s="29"/>
      <c r="N64" s="73"/>
      <c r="O64" s="73"/>
      <c r="P64" s="25" t="str">
        <f aca="false">IF(Tasks[[#This Row],[Task Name]]="","",IF(N(Tasks[[#This Row],[Baseline Start]])&gt;0,Tasks[[#This Row],[Baseline Start]],Tasks[[#This Row],[_CalcStart]]))</f>
        <v/>
      </c>
      <c r="Q64" s="25" t="str">
        <f aca="false">IF(Tasks[[#This Row],[Task Name]]="","",IF(N(Tasks[[#This Row],[Baseline Finish]])&gt;0,Tasks[[#This Row],[Baseline Finish]],Tasks[[#This Row],[_CalcFinish]]))</f>
        <v/>
      </c>
      <c r="R64" s="73"/>
      <c r="S64" s="73"/>
      <c r="T64" s="25" t="str">
        <f aca="false">IF(Tasks[[#This Row],[Task Name]]="","",IF(Tasks[[#This Row],[_IsSummary]],MIN(INDEX(Tasks[_LeafFcstStart],Tasks[[#This Row],[_Row]]+1):INDEX(Tasks[_LeafFcstStart],Tasks[[#This Row],[_Row]]+Tasks[[#This Row],[_Descendants]])),Tasks[[#This Row],[_LeafFcstStart]]))</f>
        <v/>
      </c>
      <c r="U64" s="25" t="str">
        <f aca="false">IF(Tasks[[#This Row],[Task Name]]="","",IF(Tasks[[#This Row],[_IsSummary]],MAX(INDEX(Tasks[_LeafFcstFinish],Tasks[[#This Row],[_Row]]+1):INDEX(Tasks[_LeafFcstFinish],Tasks[[#This Row],[_Row]]+Tasks[[#This Row],[_Descendants]])),Tasks[[#This Row],[_LeafFcstFinish]]))</f>
        <v/>
      </c>
      <c r="V6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6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4" s="25" t="str">
        <f aca="false">IF(Tasks[[#This Row],[Task Name]]="","",IF(Tasks[[#This Row],[_IsSummary]],MIN(INDEX(Tasks[_LeafLateStart],Tasks[[#This Row],[_Row]]+1):INDEX(Tasks[_LeafLateStart],Tasks[[#This Row],[_Row]]+Tasks[[#This Row],[_Descendants]])),Tasks[[#This Row],[_LeafLateStart]]))</f>
        <v/>
      </c>
      <c r="Y64" s="25" t="str">
        <f aca="false">IF(Tasks[[#This Row],[Task Name]]="","",IF(Tasks[[#This Row],[_IsSummary]],MAX(INDEX(Tasks[_LeafLateFinish],Tasks[[#This Row],[_Row]]+1):INDEX(Tasks[_LeafLateFinish],Tasks[[#This Row],[_Row]]+Tasks[[#This Row],[_Descendants]])),Tasks[[#This Row],[_LeafLateFinish]]))</f>
        <v/>
      </c>
      <c r="Z64" s="43" t="str">
        <f aca="false">IF(Tasks[[#This Row],[Task Name]]="","",IF(Tasks[[#This Row],[_IsSummary]],MIN(INDEX(Tasks[_LeafTotalSlack],Tasks[[#This Row],[_Row]]+1):INDEX(Tasks[_LeafTotalSlack],Tasks[[#This Row],[_Row]]+Tasks[[#This Row],[_Descendants]])),Tasks[[#This Row],[_LeafTotalSlack]]))</f>
        <v/>
      </c>
      <c r="AA6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4" s="28" t="str">
        <f aca="false">IF(Tasks[[#This Row],[Task Name]]="","",IF(IF(Tasks[[#This Row],[_IsSummary]],COUNTIF(INDEX(Tasks[_LeafCritical],Tasks[[#This Row],[_Row]]+1):INDEX(Tasks[_LeafCritical],Tasks[[#This Row],[_Row]]+Tasks[[#This Row],[_Descendants]]),TRUE())&gt;0,Tasks[[#This Row],[_LeafCritical]]),"Yes",""))</f>
        <v/>
      </c>
      <c r="AC6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4" s="24" t="str">
        <f aca="false">IF(Tasks[[#This Row],[Task Name]]="","",TRIM(IF(Tasks[[#This Row],[_Pred1Problem]]&lt;&gt;"","Pred 1: "&amp;Tasks[[#This Row],[_Pred1Problem]]&amp;". ","")&amp;IF(Tasks[[#This Row],[_Pred2Problem]]&lt;&gt;"","Pred 2: "&amp;Tasks[[#This Row],[_Pred2Problem]]&amp;".","")))</f>
        <v/>
      </c>
      <c r="AE64" s="88"/>
      <c r="AF64"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4" s="28" t="str">
        <f aca="false">IF(Tasks[[#This Row],[Task Name]]="","",IF(Tasks[[#This Row],[Progress]]&gt;=1,"Complete",IF(OR(N(Tasks[[#This Row],[Actual Start]])&gt;0,Tasks[[#This Row],[Progress]]&gt;0),IF(Tasks[[#This Row],[Finish Var]]&gt;0,"Behind","In Progress"),IF(Tasks[[#This Row],[Planned Start]]&lt;StatusDate,"Late Start","Not Started"))))</f>
        <v/>
      </c>
      <c r="AH64" s="30"/>
      <c r="AI64" s="88"/>
      <c r="AJ64" s="95" t="str">
        <f aca="false">IF(Tasks[[#This Row],[Task Name]]="","",IF(Tasks[[#This Row],[_IsSummary]],SUM(INDEX(Tasks[_LeafWork],Tasks[[#This Row],[_Row]]+1):INDEX(Tasks[_LeafWork],Tasks[[#This Row],[_Row]]+Tasks[[#This Row],[_Descendants]])),Tasks[[#This Row],[_LeafWork]]))</f>
        <v/>
      </c>
      <c r="AK64" s="96" t="str">
        <f aca="false">IF(Tasks[[#This Row],[Task Name]]="","",IF(Tasks[[#This Row],[_IsSummary]],SUM(INDEX(Tasks[_LeafCost],Tasks[[#This Row],[_Row]]+1):INDEX(Tasks[_LeafCost],Tasks[[#This Row],[_Row]]+Tasks[[#This Row],[_Descendants]])),Tasks[[#This Row],[_LeafCost]]))</f>
        <v/>
      </c>
      <c r="AL64" s="97"/>
      <c r="AM64" s="29"/>
      <c r="AN6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64" s="82"/>
      <c r="AP64" s="24" t="str">
        <f aca="false">IF(Tasks[[#This Row],[Task Name]]="","",Tasks[[#This Row],[_Pred1IDText]]&amp;IF(AND(Tasks[[#This Row],[_Pred1IDText]]&lt;&gt;"",Tasks[[#This Row],[_Pred2IDText]]&lt;&gt;""),",","")&amp;Tasks[[#This Row],[_Pred2IDText]])</f>
        <v/>
      </c>
      <c r="AQ64" s="30"/>
      <c r="AR64" s="25" t="str">
        <f aca="false">IF(Tasks[[#This Row],[Task Name]]="","",Tasks[[#This Row],[Forecast Start]])</f>
        <v/>
      </c>
      <c r="AS64" s="25" t="str">
        <f aca="false">IF(Tasks[[#This Row],[Task Name]]="","",Tasks[[#This Row],[Forecast Finish]])</f>
        <v/>
      </c>
      <c r="AT64" s="28" t="str">
        <f aca="false">IF(Tasks[[#This Row],[Task Name]]="","",IF(Tasks[[#This Row],[_IsSummary]],NETWORKDAYS.INTL(Tasks[[#This Row],[Forecast Start]],Tasks[[#This Row],[Forecast Finish]],WorkWeek,Holidays),N(Tasks[[#This Row],[Duration]])))</f>
        <v/>
      </c>
      <c r="AU64" s="95" t="str">
        <f aca="false">IF(Tasks[[#This Row],[Task Name]]="","",Tasks[[#This Row],[Work]])</f>
        <v/>
      </c>
      <c r="AV64" s="96" t="str">
        <f aca="false">IF(Tasks[[#This Row],[Task Name]]="","",Tasks[[#This Row],[Cost]])</f>
        <v/>
      </c>
      <c r="AW64" s="73"/>
      <c r="AX64" s="73"/>
      <c r="AY64" s="29"/>
      <c r="AZ64" s="98"/>
      <c r="BA64" s="97"/>
      <c r="BB64" s="28" t="str">
        <f aca="false">IF(OR(Tasks[[#This Row],[Task Name]]="",Tasks[[#This Row],[Baseline Duration]]=""),"",Tasks[[#This Row],[BL Source Duration]]-N(Tasks[[#This Row],[Baseline Duration]]))</f>
        <v/>
      </c>
      <c r="BC64" s="95" t="str">
        <f aca="false">IF(OR(Tasks[[#This Row],[Task Name]]="",Tasks[[#This Row],[Baseline Work]]=""),"",Tasks[[#This Row],[Work]]-N(Tasks[[#This Row],[Baseline Work]]))</f>
        <v/>
      </c>
      <c r="BD64" s="96" t="str">
        <f aca="false">IF(OR(Tasks[[#This Row],[Task Name]]="",Tasks[[#This Row],[Baseline Cost]]=""),"",Tasks[[#This Row],[Cost]]-N(Tasks[[#This Row],[Baseline Cost]]))</f>
        <v/>
      </c>
      <c r="BE64" s="96" t="str">
        <f aca="false">IF(Tasks[[#This Row],[Task Name]]="","",IF(Tasks[[#This Row],[_IsSummary]],SUM(INDEX(Tasks[_LeafBudget],Tasks[[#This Row],[_Row]]+1):INDEX(Tasks[_LeafBudget],Tasks[[#This Row],[_Row]]+Tasks[[#This Row],[_Descendants]])),Tasks[[#This Row],[_LeafBudget]]))</f>
        <v/>
      </c>
      <c r="BF64" s="96" t="str">
        <f aca="false">IF(Tasks[[#This Row],[Task Name]]="","",IF(Tasks[[#This Row],[_IsSummary]],SUM(INDEX(Tasks[_LeafPV],Tasks[[#This Row],[_Row]]+1):INDEX(Tasks[_LeafPV],Tasks[[#This Row],[_Row]]+Tasks[[#This Row],[_Descendants]])),Tasks[[#This Row],[_LeafPV]]))</f>
        <v/>
      </c>
      <c r="BG64" s="96" t="str">
        <f aca="false">IF(Tasks[[#This Row],[Task Name]]="","",IF(Tasks[[#This Row],[_IsSummary]],SUM(INDEX(Tasks[_LeafEV],Tasks[[#This Row],[_Row]]+1):INDEX(Tasks[_LeafEV],Tasks[[#This Row],[_Row]]+Tasks[[#This Row],[_Descendants]])),Tasks[[#This Row],[_LeafEV]]))</f>
        <v/>
      </c>
      <c r="BH64" s="96" t="str">
        <f aca="false">IF(Tasks[[#This Row],[Task Name]]="","",IF(Tasks[[#This Row],[_IsSummary]],SUM(INDEX(Tasks[_LeafAC],Tasks[[#This Row],[_Row]]+1):INDEX(Tasks[_LeafAC],Tasks[[#This Row],[_Row]]+Tasks[[#This Row],[_Descendants]])),Tasks[[#This Row],[_LeafAC]]))</f>
        <v/>
      </c>
      <c r="BI64" s="41" t="str">
        <f aca="false">IF(Tasks[[#This Row],[Task Name]]="","",MAX(1,N(Tasks[[#This Row],[Level]])))</f>
        <v/>
      </c>
      <c r="BJ64" s="41" t="n">
        <f aca="false">ROW()-ROW(Tasks[[#Headers],[ID]])</f>
        <v>59</v>
      </c>
      <c r="BK64" s="41" t="n">
        <f aca="false">IF(OR(Tasks[[#This Row],[Task Name]]="",Tasks[[#This Row],[_Level]]&lt;=1),0,IFERROR(LOOKUP(2,1/(Tasks[[#Headers],[_Level]]:Tasks[[#This Row],[_Level]]=Tasks[[#This Row],[_Level]]-1),ROW(Tasks[[#Headers],[_Level]]:Tasks[[#This Row],[_Level]])),0))</f>
        <v>0</v>
      </c>
      <c r="BL64" s="41" t="n">
        <f aca="false">IFERROR(N(INDEX(Tasks[_Level],Tasks[[#This Row],[_Row]]+1)),0)</f>
        <v>0</v>
      </c>
      <c r="BM64" s="99" t="b">
        <f aca="false">AND(Tasks[[#This Row],[Task Name]]&lt;&gt;"",Tasks[[#This Row],[_NextLevel]]&gt;Tasks[[#This Row],[_Level]])</f>
        <v>0</v>
      </c>
      <c r="BN64" s="41" t="n">
        <f aca="false">IF(Tasks[[#This Row],[_IsSummary]],COUNTIF(Tasks[WBS],Tasks[[#This Row],[WBS]]&amp;".*"),0)</f>
        <v>0</v>
      </c>
      <c r="BO64" s="41" t="n">
        <f aca="false">IF(AND(Tasks[[#This Row],[Task Name]]&lt;&gt;"",NOT(Tasks[[#This Row],[_IsSummary]])),1,0)</f>
        <v>0</v>
      </c>
      <c r="BP64" s="41" t="n">
        <f aca="false">IF(N(Tasks[[#This Row],[Pred1 UID]])=0,0,IFERROR(MATCH(Tasks[[#This Row],[Pred1 UID]],Tasks[UID],0),-1))</f>
        <v>0</v>
      </c>
      <c r="BQ64" s="41" t="n">
        <f aca="false">IF(N(Tasks[[#This Row],[Pred2 UID]])=0,0,IFERROR(MATCH(Tasks[[#This Row],[Pred2 UID]],Tasks[UID],0),-1))</f>
        <v>0</v>
      </c>
      <c r="BR64"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64" s="100" t="str">
        <f aca="false">IF(NOT(Tasks[[#This Row],[_IsLeaf]]=1),"",IF(N(Tasks[[#This Row],[Duration]])&lt;=0,Tasks[[#This Row],[_LeafCalcStart]],WORKDAY.INTL(Tasks[[#This Row],[_LeafCalcStart]],Tasks[[#This Row],[Duration]]-1,WorkWeek,Holidays)))</f>
        <v/>
      </c>
      <c r="BT64"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64"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64" s="41" t="n">
        <f aca="false">IF(NOT(Tasks[[#This Row],[_IsLeaf]]=1),0,IF(N(Tasks[[#This Row],[Actual Finish]])&gt;0,1,MIN(1,N(Tasks[[#This Row],[% Complete]]))))</f>
        <v>0</v>
      </c>
      <c r="BW64" s="41" t="n">
        <f aca="false">IF(OR(NOT(Tasks[[#This Row],[_IsLeaf]]=1),Tasks[[#This Row],[Resource]]=""),0,N(Tasks[[#This Row],[Duration]])*HoursPerDay*IF(Tasks[[#This Row],[Units]]="",DefaultUnits,Tasks[[#This Row],[Units]]))</f>
        <v>0</v>
      </c>
      <c r="BX64" s="41" t="n">
        <f aca="false">IF(Tasks[[#This Row],[_LeafWork]]=0,0,Tasks[[#This Row],[_LeafWork]]*IFERROR(INDEX(res_Rate,MATCH(Tasks[[#This Row],[Resource]],res_Name,0)),0))</f>
        <v>0</v>
      </c>
      <c r="BY6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6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6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6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64" s="41" t="n">
        <f aca="false">IF(NOT(Tasks[[#This Row],[_IsLeaf]]=1),0,MAX(_xlfn.MAXIFS(Tasks[_Row],Tasks[Pred1 UID],Tasks[[#This Row],[UID]]),_xlfn.MAXIFS(Tasks[_Row],Tasks[Pred2 UID],Tasks[[#This Row],[UID]])))</f>
        <v>0</v>
      </c>
      <c r="CD64"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64" s="100" t="str">
        <f aca="false">IF(NOT(Tasks[[#This Row],[_IsLeaf]]=1),"",MIN(ProjectFinish,IF(N(Tasks[[#This Row],[Deadline]])&gt;0,Tasks[[#This Row],[Deadline]],2958465),Tasks[[#This Row],[_SuccessorFinishLimit]]))</f>
        <v/>
      </c>
      <c r="CF64" s="100" t="str">
        <f aca="false">IF(NOT(Tasks[[#This Row],[_IsLeaf]]=1),"",IF(N(Tasks[[#This Row],[Duration]])&lt;=0,Tasks[[#This Row],[_LeafLateFinish]],WORKDAY.INTL(Tasks[[#This Row],[_LeafLateFinish]],-(Tasks[[#This Row],[Duration]]-1),WorkWeek,Holidays)))</f>
        <v/>
      </c>
      <c r="CG6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64" s="99" t="b">
        <f aca="false">AND(Tasks[[#This Row],[_IsLeaf]]=1,Tasks[[#This Row],[_LeafProgress]]&lt;1,N(Tasks[[#This Row],[_LeafTotalSlack]])&lt;=CriticalSlackDays)</f>
        <v>0</v>
      </c>
      <c r="CI64" s="100" t="str">
        <f aca="false">IF(Tasks[[#This Row],[Task Name]]="","",IF(Tasks[[#This Row],[_IsSummary]],MIN(INDEX(Tasks[_LeafCalcStart],Tasks[[#This Row],[_Row]]+1):INDEX(Tasks[_LeafCalcStart],Tasks[[#This Row],[_Row]]+Tasks[[#This Row],[_Descendants]])),Tasks[[#This Row],[_LeafCalcStart]]))</f>
        <v/>
      </c>
      <c r="CJ64" s="100" t="str">
        <f aca="false">IF(Tasks[[#This Row],[Task Name]]="","",IF(Tasks[[#This Row],[_IsSummary]],MAX(INDEX(Tasks[_LeafCalcFinish],Tasks[[#This Row],[_Row]]+1):INDEX(Tasks[_LeafCalcFinish],Tasks[[#This Row],[_Row]]+Tasks[[#This Row],[_Descendants]])),Tasks[[#This Row],[_LeafCalcFinish]]))</f>
        <v/>
      </c>
      <c r="CK6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6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64"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64"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64"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64"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64" s="41" t="n">
        <f aca="false">IF(AND(Tasks[[#This Row],[_IsLeaf]]=1,Tasks[[#This Row],[_LeafWork]]&gt;0),NETWORKDAYS.INTL(ProjectStart,Tasks[[#This Row],[_LeafFcstStart]],WorkWeek,Holidays),0)</f>
        <v>0</v>
      </c>
      <c r="CR64" s="41" t="n">
        <f aca="false">IF(AND(Tasks[[#This Row],[_IsLeaf]]=1,Tasks[[#This Row],[_LeafWork]]&gt;0),MAX(Tasks[[#This Row],[_StartWorkday]],NETWORKDAYS.INTL(ProjectStart,Tasks[[#This Row],[_LeafFcstFinish]],WorkWeek,Holidays)),0)</f>
        <v>0</v>
      </c>
      <c r="CS64" s="41" t="n">
        <f aca="false">IF(AND(Tasks[[#This Row],[_IsLeaf]]=1,Tasks[[#This Row],[_LeafWork]]&gt;0),Tasks[[#This Row],[_LeafWork]]/(Tasks[[#This Row],[_FinishWorkday]]-Tasks[[#This Row],[_StartWorkday]]+1),0)</f>
        <v>0</v>
      </c>
      <c r="CT64" s="41" t="n">
        <f aca="false">Tasks[[#This Row],[_WorkPerWorkday]]*(Tasks[[#This Row],[_StartWorkday]]-1)</f>
        <v>-0</v>
      </c>
      <c r="CU64" s="41" t="n">
        <f aca="false">IF(Tasks[[#This Row],[_IsLeaf]]=1,MAX(N(Tasks[[#This Row],[Duration]]),0.1),0)</f>
        <v>0</v>
      </c>
      <c r="CV64" s="41" t="n">
        <f aca="false">Tasks[[#This Row],[_WeightDur]]*Tasks[[#This Row],[_LeafProgress]]</f>
        <v>0</v>
      </c>
      <c r="CW6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6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6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6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64" s="41" t="str">
        <f aca="false">IF(Tasks[[#This Row],[Task Name]]="","",Tasks[[#This Row],[_Pred1UIDText]]&amp;IF(AND(Tasks[[#This Row],[_Pred1UIDText]]&lt;&gt;"",Tasks[[#This Row],[_Pred2UIDText]]&lt;&gt;""),",","")&amp;Tasks[[#This Row],[_Pred2UIDText]])</f>
        <v/>
      </c>
      <c r="DB64" s="41" t="str">
        <f aca="false">IF(AND(Tasks[[#This Row],[_IsLeaf]]=1,N(Tasks[[#This Row],[Duration]])=0,Tasks[[#This Row],[_LeafProgress]]&lt;1),Tasks[[#This Row],[_LeafFcstFinish]]+Tasks[[#This Row],[_Row]]/100000,"")</f>
        <v/>
      </c>
      <c r="DC6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64" s="41" t="n">
        <f aca="false">IF(NOT(Tasks[[#This Row],[_IsLeaf]]=1),0,IF(Tasks[[#This Row],[Baseline Cost]]="",Tasks[[#This Row],[_LeafCost]],N(Tasks[[#This Row],[Baseline Cost]])))</f>
        <v>0</v>
      </c>
      <c r="DE64" s="41" t="n">
        <f aca="false">Tasks[[#This Row],[_LeafBudget]]*Tasks[[#This Row],[_PlannedPct]]</f>
        <v>0</v>
      </c>
      <c r="DF64" s="41" t="n">
        <f aca="false">Tasks[[#This Row],[_LeafBudget]]*Tasks[[#This Row],[_LeafProgress]]</f>
        <v>0</v>
      </c>
      <c r="DG64" s="41" t="n">
        <f aca="false">IF(NOT(Tasks[[#This Row],[_IsLeaf]]=1),0,IF(Tasks[[#This Row],[Actual Cost]]="",Tasks[[#This Row],[_LeafCost]]*Tasks[[#This Row],[_LeafProgress]],N(Tasks[[#This Row],[Actual Cost]])))</f>
        <v>0</v>
      </c>
      <c r="DH64" s="41" t="str">
        <f aca="false">IF(Tasks[[#This Row],[Task Name]]="","",LEFT(Tasks[[#This Row],[WBS]],FIND(".",Tasks[[#This Row],[WBS]]&amp;".")-1))</f>
        <v/>
      </c>
      <c r="DI64" s="41" t="str">
        <f aca="false">IF(AND(Tasks[[#This Row],[Task Name]]&lt;&gt;"",Tasks[[#This Row],[_Level]]=1),Tasks[[#This Row],[_Row]],"")</f>
        <v/>
      </c>
      <c r="DJ64" s="41" t="str">
        <f aca="false">IF(AND(Tasks[[#This Row],[_IsLeaf]]=1,N(Tasks[[#This Row],[Duration]])=0),Tasks[[#This Row],[Planned Finish]]+Tasks[[#This Row],[_Row]]/100000,"")</f>
        <v/>
      </c>
      <c r="DK64" s="41" t="str">
        <f aca="false">IF(AND(Tasks[[#This Row],[_IsLeaf]]=1,Tasks[[#This Row],[_LeafProgress]]&lt;1,OR(N(Tasks[[#This Row],[Finish Var]])&gt;0,Tasks[[#This Row],[Status]]="Late Start")),MAX(0,Tasks[[#This Row],[Finish Var]])+1-Tasks[[#This Row],[_Row]]/1000000,"")</f>
        <v/>
      </c>
      <c r="DL64" s="41" t="str">
        <f aca="false">IF(AND(Tasks[[#This Row],[_IsLeaf]]=1,N(Tasks[[#This Row],[Actual Start]])=0,Tasks[[#This Row],[_LeafFcstStart]]&gt;=StatusDate,Tasks[[#This Row],[_LeafFcstStart]]&lt;=LookaheadEnd),Tasks[[#This Row],[_LeafFcstStart]]+Tasks[[#This Row],[_Row]]/100000,"")</f>
        <v/>
      </c>
      <c r="DM64" s="41" t="str">
        <f aca="false">IF(AND(Tasks[[#This Row],[_IsLeaf]]=1,Tasks[[#This Row],[_LeafProgress]]&lt;1,Tasks[[#This Row],[_LeafFcstFinish]]&gt;=StatusDate,Tasks[[#This Row],[_LeafFcstFinish]]&lt;=LookaheadEnd),Tasks[[#This Row],[_LeafFcstFinish]]+Tasks[[#This Row],[_Row]]/100000,"")</f>
        <v/>
      </c>
      <c r="DN64" s="41" t="str">
        <f aca="false">IF(Tasks[[#This Row],[_LeafCritical]],Tasks[[#This Row],[_LeafFcstStart]]+Tasks[[#This Row],[_Row]]/100000,"")</f>
        <v/>
      </c>
      <c r="DO64" s="41" t="n">
        <f aca="false">Tasks[[#This Row],[_LeafWork]]*Tasks[[#This Row],[_LeafProgress]]</f>
        <v>0</v>
      </c>
      <c r="DP64" s="100" t="str">
        <f aca="false">IF(AND(Tasks[[#This Row],[_IsLeaf]]=1,Tasks[[#This Row],[_LeafProgress]]&gt;=1),IF(N(Tasks[[#This Row],[Actual Finish]])&gt;0,Tasks[[#This Row],[Actual Finish]],Tasks[[#This Row],[_LeafFcstFinish]]),"")</f>
        <v/>
      </c>
      <c r="DQ64" s="41" t="n">
        <f aca="false">IF(Tasks[[#This Row],[_IsLeaf]]=1,N(Tasks[[#This Row],[Story Points]]),0)</f>
        <v>0</v>
      </c>
      <c r="DR64" s="41" t="str">
        <f aca="false">IF(AND(Tasks[[#This Row],[_IsLeaf]]=1,CurrentSprint&lt;&gt;"",Tasks[[#This Row],[Sprint]]=CurrentSprint),Tasks[[#This Row],[_Row]],"")</f>
        <v/>
      </c>
    </row>
    <row r="65" customFormat="false" ht="15" hidden="false" customHeight="false" outlineLevel="0" collapsed="false">
      <c r="A65" s="28" t="str">
        <f aca="false">IF(Tasks[[#This Row],[Task Name]]="","",COUNTA(Tasks[[#Headers],[Task Name]]:Tasks[[#This Row],[Task Name]])-1)</f>
        <v/>
      </c>
      <c r="B65" s="29" t="n">
        <v>60</v>
      </c>
      <c r="C6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5" s="29"/>
      <c r="E65" s="30"/>
      <c r="F65" s="29"/>
      <c r="G65" s="29"/>
      <c r="H65" s="29"/>
      <c r="I65" s="29"/>
      <c r="J65" s="29"/>
      <c r="K65" s="29"/>
      <c r="L65" s="29"/>
      <c r="M65" s="29"/>
      <c r="N65" s="73"/>
      <c r="O65" s="73"/>
      <c r="P65" s="25" t="str">
        <f aca="false">IF(Tasks[[#This Row],[Task Name]]="","",IF(N(Tasks[[#This Row],[Baseline Start]])&gt;0,Tasks[[#This Row],[Baseline Start]],Tasks[[#This Row],[_CalcStart]]))</f>
        <v/>
      </c>
      <c r="Q65" s="25" t="str">
        <f aca="false">IF(Tasks[[#This Row],[Task Name]]="","",IF(N(Tasks[[#This Row],[Baseline Finish]])&gt;0,Tasks[[#This Row],[Baseline Finish]],Tasks[[#This Row],[_CalcFinish]]))</f>
        <v/>
      </c>
      <c r="R65" s="73"/>
      <c r="S65" s="73"/>
      <c r="T65" s="25" t="str">
        <f aca="false">IF(Tasks[[#This Row],[Task Name]]="","",IF(Tasks[[#This Row],[_IsSummary]],MIN(INDEX(Tasks[_LeafFcstStart],Tasks[[#This Row],[_Row]]+1):INDEX(Tasks[_LeafFcstStart],Tasks[[#This Row],[_Row]]+Tasks[[#This Row],[_Descendants]])),Tasks[[#This Row],[_LeafFcstStart]]))</f>
        <v/>
      </c>
      <c r="U65" s="25" t="str">
        <f aca="false">IF(Tasks[[#This Row],[Task Name]]="","",IF(Tasks[[#This Row],[_IsSummary]],MAX(INDEX(Tasks[_LeafFcstFinish],Tasks[[#This Row],[_Row]]+1):INDEX(Tasks[_LeafFcstFinish],Tasks[[#This Row],[_Row]]+Tasks[[#This Row],[_Descendants]])),Tasks[[#This Row],[_LeafFcstFinish]]))</f>
        <v/>
      </c>
      <c r="V6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6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5" s="25" t="str">
        <f aca="false">IF(Tasks[[#This Row],[Task Name]]="","",IF(Tasks[[#This Row],[_IsSummary]],MIN(INDEX(Tasks[_LeafLateStart],Tasks[[#This Row],[_Row]]+1):INDEX(Tasks[_LeafLateStart],Tasks[[#This Row],[_Row]]+Tasks[[#This Row],[_Descendants]])),Tasks[[#This Row],[_LeafLateStart]]))</f>
        <v/>
      </c>
      <c r="Y65" s="25" t="str">
        <f aca="false">IF(Tasks[[#This Row],[Task Name]]="","",IF(Tasks[[#This Row],[_IsSummary]],MAX(INDEX(Tasks[_LeafLateFinish],Tasks[[#This Row],[_Row]]+1):INDEX(Tasks[_LeafLateFinish],Tasks[[#This Row],[_Row]]+Tasks[[#This Row],[_Descendants]])),Tasks[[#This Row],[_LeafLateFinish]]))</f>
        <v/>
      </c>
      <c r="Z65" s="43" t="str">
        <f aca="false">IF(Tasks[[#This Row],[Task Name]]="","",IF(Tasks[[#This Row],[_IsSummary]],MIN(INDEX(Tasks[_LeafTotalSlack],Tasks[[#This Row],[_Row]]+1):INDEX(Tasks[_LeafTotalSlack],Tasks[[#This Row],[_Row]]+Tasks[[#This Row],[_Descendants]])),Tasks[[#This Row],[_LeafTotalSlack]]))</f>
        <v/>
      </c>
      <c r="AA6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5" s="28" t="str">
        <f aca="false">IF(Tasks[[#This Row],[Task Name]]="","",IF(IF(Tasks[[#This Row],[_IsSummary]],COUNTIF(INDEX(Tasks[_LeafCritical],Tasks[[#This Row],[_Row]]+1):INDEX(Tasks[_LeafCritical],Tasks[[#This Row],[_Row]]+Tasks[[#This Row],[_Descendants]]),TRUE())&gt;0,Tasks[[#This Row],[_LeafCritical]]),"Yes",""))</f>
        <v/>
      </c>
      <c r="AC6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5" s="24" t="str">
        <f aca="false">IF(Tasks[[#This Row],[Task Name]]="","",TRIM(IF(Tasks[[#This Row],[_Pred1Problem]]&lt;&gt;"","Pred 1: "&amp;Tasks[[#This Row],[_Pred1Problem]]&amp;". ","")&amp;IF(Tasks[[#This Row],[_Pred2Problem]]&lt;&gt;"","Pred 2: "&amp;Tasks[[#This Row],[_Pred2Problem]]&amp;".","")))</f>
        <v/>
      </c>
      <c r="AE65" s="88"/>
      <c r="AF65"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5" s="28" t="str">
        <f aca="false">IF(Tasks[[#This Row],[Task Name]]="","",IF(Tasks[[#This Row],[Progress]]&gt;=1,"Complete",IF(OR(N(Tasks[[#This Row],[Actual Start]])&gt;0,Tasks[[#This Row],[Progress]]&gt;0),IF(Tasks[[#This Row],[Finish Var]]&gt;0,"Behind","In Progress"),IF(Tasks[[#This Row],[Planned Start]]&lt;StatusDate,"Late Start","Not Started"))))</f>
        <v/>
      </c>
      <c r="AH65" s="30"/>
      <c r="AI65" s="88"/>
      <c r="AJ65" s="95" t="str">
        <f aca="false">IF(Tasks[[#This Row],[Task Name]]="","",IF(Tasks[[#This Row],[_IsSummary]],SUM(INDEX(Tasks[_LeafWork],Tasks[[#This Row],[_Row]]+1):INDEX(Tasks[_LeafWork],Tasks[[#This Row],[_Row]]+Tasks[[#This Row],[_Descendants]])),Tasks[[#This Row],[_LeafWork]]))</f>
        <v/>
      </c>
      <c r="AK65" s="96" t="str">
        <f aca="false">IF(Tasks[[#This Row],[Task Name]]="","",IF(Tasks[[#This Row],[_IsSummary]],SUM(INDEX(Tasks[_LeafCost],Tasks[[#This Row],[_Row]]+1):INDEX(Tasks[_LeafCost],Tasks[[#This Row],[_Row]]+Tasks[[#This Row],[_Descendants]])),Tasks[[#This Row],[_LeafCost]]))</f>
        <v/>
      </c>
      <c r="AL65" s="97"/>
      <c r="AM65" s="29"/>
      <c r="AN6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65" s="82"/>
      <c r="AP65" s="24" t="str">
        <f aca="false">IF(Tasks[[#This Row],[Task Name]]="","",Tasks[[#This Row],[_Pred1IDText]]&amp;IF(AND(Tasks[[#This Row],[_Pred1IDText]]&lt;&gt;"",Tasks[[#This Row],[_Pred2IDText]]&lt;&gt;""),",","")&amp;Tasks[[#This Row],[_Pred2IDText]])</f>
        <v/>
      </c>
      <c r="AQ65" s="30"/>
      <c r="AR65" s="25" t="str">
        <f aca="false">IF(Tasks[[#This Row],[Task Name]]="","",Tasks[[#This Row],[Forecast Start]])</f>
        <v/>
      </c>
      <c r="AS65" s="25" t="str">
        <f aca="false">IF(Tasks[[#This Row],[Task Name]]="","",Tasks[[#This Row],[Forecast Finish]])</f>
        <v/>
      </c>
      <c r="AT65" s="28" t="str">
        <f aca="false">IF(Tasks[[#This Row],[Task Name]]="","",IF(Tasks[[#This Row],[_IsSummary]],NETWORKDAYS.INTL(Tasks[[#This Row],[Forecast Start]],Tasks[[#This Row],[Forecast Finish]],WorkWeek,Holidays),N(Tasks[[#This Row],[Duration]])))</f>
        <v/>
      </c>
      <c r="AU65" s="95" t="str">
        <f aca="false">IF(Tasks[[#This Row],[Task Name]]="","",Tasks[[#This Row],[Work]])</f>
        <v/>
      </c>
      <c r="AV65" s="96" t="str">
        <f aca="false">IF(Tasks[[#This Row],[Task Name]]="","",Tasks[[#This Row],[Cost]])</f>
        <v/>
      </c>
      <c r="AW65" s="73"/>
      <c r="AX65" s="73"/>
      <c r="AY65" s="29"/>
      <c r="AZ65" s="98"/>
      <c r="BA65" s="97"/>
      <c r="BB65" s="28" t="str">
        <f aca="false">IF(OR(Tasks[[#This Row],[Task Name]]="",Tasks[[#This Row],[Baseline Duration]]=""),"",Tasks[[#This Row],[BL Source Duration]]-N(Tasks[[#This Row],[Baseline Duration]]))</f>
        <v/>
      </c>
      <c r="BC65" s="95" t="str">
        <f aca="false">IF(OR(Tasks[[#This Row],[Task Name]]="",Tasks[[#This Row],[Baseline Work]]=""),"",Tasks[[#This Row],[Work]]-N(Tasks[[#This Row],[Baseline Work]]))</f>
        <v/>
      </c>
      <c r="BD65" s="96" t="str">
        <f aca="false">IF(OR(Tasks[[#This Row],[Task Name]]="",Tasks[[#This Row],[Baseline Cost]]=""),"",Tasks[[#This Row],[Cost]]-N(Tasks[[#This Row],[Baseline Cost]]))</f>
        <v/>
      </c>
      <c r="BE65" s="96" t="str">
        <f aca="false">IF(Tasks[[#This Row],[Task Name]]="","",IF(Tasks[[#This Row],[_IsSummary]],SUM(INDEX(Tasks[_LeafBudget],Tasks[[#This Row],[_Row]]+1):INDEX(Tasks[_LeafBudget],Tasks[[#This Row],[_Row]]+Tasks[[#This Row],[_Descendants]])),Tasks[[#This Row],[_LeafBudget]]))</f>
        <v/>
      </c>
      <c r="BF65" s="96" t="str">
        <f aca="false">IF(Tasks[[#This Row],[Task Name]]="","",IF(Tasks[[#This Row],[_IsSummary]],SUM(INDEX(Tasks[_LeafPV],Tasks[[#This Row],[_Row]]+1):INDEX(Tasks[_LeafPV],Tasks[[#This Row],[_Row]]+Tasks[[#This Row],[_Descendants]])),Tasks[[#This Row],[_LeafPV]]))</f>
        <v/>
      </c>
      <c r="BG65" s="96" t="str">
        <f aca="false">IF(Tasks[[#This Row],[Task Name]]="","",IF(Tasks[[#This Row],[_IsSummary]],SUM(INDEX(Tasks[_LeafEV],Tasks[[#This Row],[_Row]]+1):INDEX(Tasks[_LeafEV],Tasks[[#This Row],[_Row]]+Tasks[[#This Row],[_Descendants]])),Tasks[[#This Row],[_LeafEV]]))</f>
        <v/>
      </c>
      <c r="BH65" s="96" t="str">
        <f aca="false">IF(Tasks[[#This Row],[Task Name]]="","",IF(Tasks[[#This Row],[_IsSummary]],SUM(INDEX(Tasks[_LeafAC],Tasks[[#This Row],[_Row]]+1):INDEX(Tasks[_LeafAC],Tasks[[#This Row],[_Row]]+Tasks[[#This Row],[_Descendants]])),Tasks[[#This Row],[_LeafAC]]))</f>
        <v/>
      </c>
      <c r="BI65" s="41" t="str">
        <f aca="false">IF(Tasks[[#This Row],[Task Name]]="","",MAX(1,N(Tasks[[#This Row],[Level]])))</f>
        <v/>
      </c>
      <c r="BJ65" s="41" t="n">
        <f aca="false">ROW()-ROW(Tasks[[#Headers],[ID]])</f>
        <v>60</v>
      </c>
      <c r="BK65" s="41" t="n">
        <f aca="false">IF(OR(Tasks[[#This Row],[Task Name]]="",Tasks[[#This Row],[_Level]]&lt;=1),0,IFERROR(LOOKUP(2,1/(Tasks[[#Headers],[_Level]]:Tasks[[#This Row],[_Level]]=Tasks[[#This Row],[_Level]]-1),ROW(Tasks[[#Headers],[_Level]]:Tasks[[#This Row],[_Level]])),0))</f>
        <v>0</v>
      </c>
      <c r="BL65" s="41" t="n">
        <f aca="false">IFERROR(N(INDEX(Tasks[_Level],Tasks[[#This Row],[_Row]]+1)),0)</f>
        <v>0</v>
      </c>
      <c r="BM65" s="99" t="b">
        <f aca="false">AND(Tasks[[#This Row],[Task Name]]&lt;&gt;"",Tasks[[#This Row],[_NextLevel]]&gt;Tasks[[#This Row],[_Level]])</f>
        <v>0</v>
      </c>
      <c r="BN65" s="41" t="n">
        <f aca="false">IF(Tasks[[#This Row],[_IsSummary]],COUNTIF(Tasks[WBS],Tasks[[#This Row],[WBS]]&amp;".*"),0)</f>
        <v>0</v>
      </c>
      <c r="BO65" s="41" t="n">
        <f aca="false">IF(AND(Tasks[[#This Row],[Task Name]]&lt;&gt;"",NOT(Tasks[[#This Row],[_IsSummary]])),1,0)</f>
        <v>0</v>
      </c>
      <c r="BP65" s="41" t="n">
        <f aca="false">IF(N(Tasks[[#This Row],[Pred1 UID]])=0,0,IFERROR(MATCH(Tasks[[#This Row],[Pred1 UID]],Tasks[UID],0),-1))</f>
        <v>0</v>
      </c>
      <c r="BQ65" s="41" t="n">
        <f aca="false">IF(N(Tasks[[#This Row],[Pred2 UID]])=0,0,IFERROR(MATCH(Tasks[[#This Row],[Pred2 UID]],Tasks[UID],0),-1))</f>
        <v>0</v>
      </c>
      <c r="BR65"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65" s="100" t="str">
        <f aca="false">IF(NOT(Tasks[[#This Row],[_IsLeaf]]=1),"",IF(N(Tasks[[#This Row],[Duration]])&lt;=0,Tasks[[#This Row],[_LeafCalcStart]],WORKDAY.INTL(Tasks[[#This Row],[_LeafCalcStart]],Tasks[[#This Row],[Duration]]-1,WorkWeek,Holidays)))</f>
        <v/>
      </c>
      <c r="BT65"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65"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65" s="41" t="n">
        <f aca="false">IF(NOT(Tasks[[#This Row],[_IsLeaf]]=1),0,IF(N(Tasks[[#This Row],[Actual Finish]])&gt;0,1,MIN(1,N(Tasks[[#This Row],[% Complete]]))))</f>
        <v>0</v>
      </c>
      <c r="BW65" s="41" t="n">
        <f aca="false">IF(OR(NOT(Tasks[[#This Row],[_IsLeaf]]=1),Tasks[[#This Row],[Resource]]=""),0,N(Tasks[[#This Row],[Duration]])*HoursPerDay*IF(Tasks[[#This Row],[Units]]="",DefaultUnits,Tasks[[#This Row],[Units]]))</f>
        <v>0</v>
      </c>
      <c r="BX65" s="41" t="n">
        <f aca="false">IF(Tasks[[#This Row],[_LeafWork]]=0,0,Tasks[[#This Row],[_LeafWork]]*IFERROR(INDEX(res_Rate,MATCH(Tasks[[#This Row],[Resource]],res_Name,0)),0))</f>
        <v>0</v>
      </c>
      <c r="BY6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6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6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6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65" s="41" t="n">
        <f aca="false">IF(NOT(Tasks[[#This Row],[_IsLeaf]]=1),0,MAX(_xlfn.MAXIFS(Tasks[_Row],Tasks[Pred1 UID],Tasks[[#This Row],[UID]]),_xlfn.MAXIFS(Tasks[_Row],Tasks[Pred2 UID],Tasks[[#This Row],[UID]])))</f>
        <v>0</v>
      </c>
      <c r="CD65"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65" s="100" t="str">
        <f aca="false">IF(NOT(Tasks[[#This Row],[_IsLeaf]]=1),"",MIN(ProjectFinish,IF(N(Tasks[[#This Row],[Deadline]])&gt;0,Tasks[[#This Row],[Deadline]],2958465),Tasks[[#This Row],[_SuccessorFinishLimit]]))</f>
        <v/>
      </c>
      <c r="CF65" s="100" t="str">
        <f aca="false">IF(NOT(Tasks[[#This Row],[_IsLeaf]]=1),"",IF(N(Tasks[[#This Row],[Duration]])&lt;=0,Tasks[[#This Row],[_LeafLateFinish]],WORKDAY.INTL(Tasks[[#This Row],[_LeafLateFinish]],-(Tasks[[#This Row],[Duration]]-1),WorkWeek,Holidays)))</f>
        <v/>
      </c>
      <c r="CG6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65" s="99" t="b">
        <f aca="false">AND(Tasks[[#This Row],[_IsLeaf]]=1,Tasks[[#This Row],[_LeafProgress]]&lt;1,N(Tasks[[#This Row],[_LeafTotalSlack]])&lt;=CriticalSlackDays)</f>
        <v>0</v>
      </c>
      <c r="CI65" s="100" t="str">
        <f aca="false">IF(Tasks[[#This Row],[Task Name]]="","",IF(Tasks[[#This Row],[_IsSummary]],MIN(INDEX(Tasks[_LeafCalcStart],Tasks[[#This Row],[_Row]]+1):INDEX(Tasks[_LeafCalcStart],Tasks[[#This Row],[_Row]]+Tasks[[#This Row],[_Descendants]])),Tasks[[#This Row],[_LeafCalcStart]]))</f>
        <v/>
      </c>
      <c r="CJ65" s="100" t="str">
        <f aca="false">IF(Tasks[[#This Row],[Task Name]]="","",IF(Tasks[[#This Row],[_IsSummary]],MAX(INDEX(Tasks[_LeafCalcFinish],Tasks[[#This Row],[_Row]]+1):INDEX(Tasks[_LeafCalcFinish],Tasks[[#This Row],[_Row]]+Tasks[[#This Row],[_Descendants]])),Tasks[[#This Row],[_LeafCalcFinish]]))</f>
        <v/>
      </c>
      <c r="CK6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6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65"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65"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65"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65"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65" s="41" t="n">
        <f aca="false">IF(AND(Tasks[[#This Row],[_IsLeaf]]=1,Tasks[[#This Row],[_LeafWork]]&gt;0),NETWORKDAYS.INTL(ProjectStart,Tasks[[#This Row],[_LeafFcstStart]],WorkWeek,Holidays),0)</f>
        <v>0</v>
      </c>
      <c r="CR65" s="41" t="n">
        <f aca="false">IF(AND(Tasks[[#This Row],[_IsLeaf]]=1,Tasks[[#This Row],[_LeafWork]]&gt;0),MAX(Tasks[[#This Row],[_StartWorkday]],NETWORKDAYS.INTL(ProjectStart,Tasks[[#This Row],[_LeafFcstFinish]],WorkWeek,Holidays)),0)</f>
        <v>0</v>
      </c>
      <c r="CS65" s="41" t="n">
        <f aca="false">IF(AND(Tasks[[#This Row],[_IsLeaf]]=1,Tasks[[#This Row],[_LeafWork]]&gt;0),Tasks[[#This Row],[_LeafWork]]/(Tasks[[#This Row],[_FinishWorkday]]-Tasks[[#This Row],[_StartWorkday]]+1),0)</f>
        <v>0</v>
      </c>
      <c r="CT65" s="41" t="n">
        <f aca="false">Tasks[[#This Row],[_WorkPerWorkday]]*(Tasks[[#This Row],[_StartWorkday]]-1)</f>
        <v>-0</v>
      </c>
      <c r="CU65" s="41" t="n">
        <f aca="false">IF(Tasks[[#This Row],[_IsLeaf]]=1,MAX(N(Tasks[[#This Row],[Duration]]),0.1),0)</f>
        <v>0</v>
      </c>
      <c r="CV65" s="41" t="n">
        <f aca="false">Tasks[[#This Row],[_WeightDur]]*Tasks[[#This Row],[_LeafProgress]]</f>
        <v>0</v>
      </c>
      <c r="CW6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6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6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6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65" s="41" t="str">
        <f aca="false">IF(Tasks[[#This Row],[Task Name]]="","",Tasks[[#This Row],[_Pred1UIDText]]&amp;IF(AND(Tasks[[#This Row],[_Pred1UIDText]]&lt;&gt;"",Tasks[[#This Row],[_Pred2UIDText]]&lt;&gt;""),",","")&amp;Tasks[[#This Row],[_Pred2UIDText]])</f>
        <v/>
      </c>
      <c r="DB65" s="41" t="str">
        <f aca="false">IF(AND(Tasks[[#This Row],[_IsLeaf]]=1,N(Tasks[[#This Row],[Duration]])=0,Tasks[[#This Row],[_LeafProgress]]&lt;1),Tasks[[#This Row],[_LeafFcstFinish]]+Tasks[[#This Row],[_Row]]/100000,"")</f>
        <v/>
      </c>
      <c r="DC6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65" s="41" t="n">
        <f aca="false">IF(NOT(Tasks[[#This Row],[_IsLeaf]]=1),0,IF(Tasks[[#This Row],[Baseline Cost]]="",Tasks[[#This Row],[_LeafCost]],N(Tasks[[#This Row],[Baseline Cost]])))</f>
        <v>0</v>
      </c>
      <c r="DE65" s="41" t="n">
        <f aca="false">Tasks[[#This Row],[_LeafBudget]]*Tasks[[#This Row],[_PlannedPct]]</f>
        <v>0</v>
      </c>
      <c r="DF65" s="41" t="n">
        <f aca="false">Tasks[[#This Row],[_LeafBudget]]*Tasks[[#This Row],[_LeafProgress]]</f>
        <v>0</v>
      </c>
      <c r="DG65" s="41" t="n">
        <f aca="false">IF(NOT(Tasks[[#This Row],[_IsLeaf]]=1),0,IF(Tasks[[#This Row],[Actual Cost]]="",Tasks[[#This Row],[_LeafCost]]*Tasks[[#This Row],[_LeafProgress]],N(Tasks[[#This Row],[Actual Cost]])))</f>
        <v>0</v>
      </c>
      <c r="DH65" s="41" t="str">
        <f aca="false">IF(Tasks[[#This Row],[Task Name]]="","",LEFT(Tasks[[#This Row],[WBS]],FIND(".",Tasks[[#This Row],[WBS]]&amp;".")-1))</f>
        <v/>
      </c>
      <c r="DI65" s="41" t="str">
        <f aca="false">IF(AND(Tasks[[#This Row],[Task Name]]&lt;&gt;"",Tasks[[#This Row],[_Level]]=1),Tasks[[#This Row],[_Row]],"")</f>
        <v/>
      </c>
      <c r="DJ65" s="41" t="str">
        <f aca="false">IF(AND(Tasks[[#This Row],[_IsLeaf]]=1,N(Tasks[[#This Row],[Duration]])=0),Tasks[[#This Row],[Planned Finish]]+Tasks[[#This Row],[_Row]]/100000,"")</f>
        <v/>
      </c>
      <c r="DK65" s="41" t="str">
        <f aca="false">IF(AND(Tasks[[#This Row],[_IsLeaf]]=1,Tasks[[#This Row],[_LeafProgress]]&lt;1,OR(N(Tasks[[#This Row],[Finish Var]])&gt;0,Tasks[[#This Row],[Status]]="Late Start")),MAX(0,Tasks[[#This Row],[Finish Var]])+1-Tasks[[#This Row],[_Row]]/1000000,"")</f>
        <v/>
      </c>
      <c r="DL65" s="41" t="str">
        <f aca="false">IF(AND(Tasks[[#This Row],[_IsLeaf]]=1,N(Tasks[[#This Row],[Actual Start]])=0,Tasks[[#This Row],[_LeafFcstStart]]&gt;=StatusDate,Tasks[[#This Row],[_LeafFcstStart]]&lt;=LookaheadEnd),Tasks[[#This Row],[_LeafFcstStart]]+Tasks[[#This Row],[_Row]]/100000,"")</f>
        <v/>
      </c>
      <c r="DM65" s="41" t="str">
        <f aca="false">IF(AND(Tasks[[#This Row],[_IsLeaf]]=1,Tasks[[#This Row],[_LeafProgress]]&lt;1,Tasks[[#This Row],[_LeafFcstFinish]]&gt;=StatusDate,Tasks[[#This Row],[_LeafFcstFinish]]&lt;=LookaheadEnd),Tasks[[#This Row],[_LeafFcstFinish]]+Tasks[[#This Row],[_Row]]/100000,"")</f>
        <v/>
      </c>
      <c r="DN65" s="41" t="str">
        <f aca="false">IF(Tasks[[#This Row],[_LeafCritical]],Tasks[[#This Row],[_LeafFcstStart]]+Tasks[[#This Row],[_Row]]/100000,"")</f>
        <v/>
      </c>
      <c r="DO65" s="41" t="n">
        <f aca="false">Tasks[[#This Row],[_LeafWork]]*Tasks[[#This Row],[_LeafProgress]]</f>
        <v>0</v>
      </c>
      <c r="DP65" s="100" t="str">
        <f aca="false">IF(AND(Tasks[[#This Row],[_IsLeaf]]=1,Tasks[[#This Row],[_LeafProgress]]&gt;=1),IF(N(Tasks[[#This Row],[Actual Finish]])&gt;0,Tasks[[#This Row],[Actual Finish]],Tasks[[#This Row],[_LeafFcstFinish]]),"")</f>
        <v/>
      </c>
      <c r="DQ65" s="41" t="n">
        <f aca="false">IF(Tasks[[#This Row],[_IsLeaf]]=1,N(Tasks[[#This Row],[Story Points]]),0)</f>
        <v>0</v>
      </c>
      <c r="DR65" s="41" t="str">
        <f aca="false">IF(AND(Tasks[[#This Row],[_IsLeaf]]=1,CurrentSprint&lt;&gt;"",Tasks[[#This Row],[Sprint]]=CurrentSprint),Tasks[[#This Row],[_Row]],"")</f>
        <v/>
      </c>
    </row>
    <row r="66" customFormat="false" ht="15" hidden="false" customHeight="false" outlineLevel="0" collapsed="false">
      <c r="A66" s="28" t="str">
        <f aca="false">IF(Tasks[[#This Row],[Task Name]]="","",COUNTA(Tasks[[#Headers],[Task Name]]:Tasks[[#This Row],[Task Name]])-1)</f>
        <v/>
      </c>
      <c r="B66" s="29" t="n">
        <v>61</v>
      </c>
      <c r="C6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6" s="29"/>
      <c r="E66" s="30"/>
      <c r="F66" s="29"/>
      <c r="G66" s="29"/>
      <c r="H66" s="29"/>
      <c r="I66" s="29"/>
      <c r="J66" s="29"/>
      <c r="K66" s="29"/>
      <c r="L66" s="29"/>
      <c r="M66" s="29"/>
      <c r="N66" s="73"/>
      <c r="O66" s="73"/>
      <c r="P66" s="25" t="str">
        <f aca="false">IF(Tasks[[#This Row],[Task Name]]="","",IF(N(Tasks[[#This Row],[Baseline Start]])&gt;0,Tasks[[#This Row],[Baseline Start]],Tasks[[#This Row],[_CalcStart]]))</f>
        <v/>
      </c>
      <c r="Q66" s="25" t="str">
        <f aca="false">IF(Tasks[[#This Row],[Task Name]]="","",IF(N(Tasks[[#This Row],[Baseline Finish]])&gt;0,Tasks[[#This Row],[Baseline Finish]],Tasks[[#This Row],[_CalcFinish]]))</f>
        <v/>
      </c>
      <c r="R66" s="73"/>
      <c r="S66" s="73"/>
      <c r="T66" s="25" t="str">
        <f aca="false">IF(Tasks[[#This Row],[Task Name]]="","",IF(Tasks[[#This Row],[_IsSummary]],MIN(INDEX(Tasks[_LeafFcstStart],Tasks[[#This Row],[_Row]]+1):INDEX(Tasks[_LeafFcstStart],Tasks[[#This Row],[_Row]]+Tasks[[#This Row],[_Descendants]])),Tasks[[#This Row],[_LeafFcstStart]]))</f>
        <v/>
      </c>
      <c r="U66" s="25" t="str">
        <f aca="false">IF(Tasks[[#This Row],[Task Name]]="","",IF(Tasks[[#This Row],[_IsSummary]],MAX(INDEX(Tasks[_LeafFcstFinish],Tasks[[#This Row],[_Row]]+1):INDEX(Tasks[_LeafFcstFinish],Tasks[[#This Row],[_Row]]+Tasks[[#This Row],[_Descendants]])),Tasks[[#This Row],[_LeafFcstFinish]]))</f>
        <v/>
      </c>
      <c r="V6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6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6" s="25" t="str">
        <f aca="false">IF(Tasks[[#This Row],[Task Name]]="","",IF(Tasks[[#This Row],[_IsSummary]],MIN(INDEX(Tasks[_LeafLateStart],Tasks[[#This Row],[_Row]]+1):INDEX(Tasks[_LeafLateStart],Tasks[[#This Row],[_Row]]+Tasks[[#This Row],[_Descendants]])),Tasks[[#This Row],[_LeafLateStart]]))</f>
        <v/>
      </c>
      <c r="Y66" s="25" t="str">
        <f aca="false">IF(Tasks[[#This Row],[Task Name]]="","",IF(Tasks[[#This Row],[_IsSummary]],MAX(INDEX(Tasks[_LeafLateFinish],Tasks[[#This Row],[_Row]]+1):INDEX(Tasks[_LeafLateFinish],Tasks[[#This Row],[_Row]]+Tasks[[#This Row],[_Descendants]])),Tasks[[#This Row],[_LeafLateFinish]]))</f>
        <v/>
      </c>
      <c r="Z66" s="43" t="str">
        <f aca="false">IF(Tasks[[#This Row],[Task Name]]="","",IF(Tasks[[#This Row],[_IsSummary]],MIN(INDEX(Tasks[_LeafTotalSlack],Tasks[[#This Row],[_Row]]+1):INDEX(Tasks[_LeafTotalSlack],Tasks[[#This Row],[_Row]]+Tasks[[#This Row],[_Descendants]])),Tasks[[#This Row],[_LeafTotalSlack]]))</f>
        <v/>
      </c>
      <c r="AA6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6" s="28" t="str">
        <f aca="false">IF(Tasks[[#This Row],[Task Name]]="","",IF(IF(Tasks[[#This Row],[_IsSummary]],COUNTIF(INDEX(Tasks[_LeafCritical],Tasks[[#This Row],[_Row]]+1):INDEX(Tasks[_LeafCritical],Tasks[[#This Row],[_Row]]+Tasks[[#This Row],[_Descendants]]),TRUE())&gt;0,Tasks[[#This Row],[_LeafCritical]]),"Yes",""))</f>
        <v/>
      </c>
      <c r="AC6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6" s="24" t="str">
        <f aca="false">IF(Tasks[[#This Row],[Task Name]]="","",TRIM(IF(Tasks[[#This Row],[_Pred1Problem]]&lt;&gt;"","Pred 1: "&amp;Tasks[[#This Row],[_Pred1Problem]]&amp;". ","")&amp;IF(Tasks[[#This Row],[_Pred2Problem]]&lt;&gt;"","Pred 2: "&amp;Tasks[[#This Row],[_Pred2Problem]]&amp;".","")))</f>
        <v/>
      </c>
      <c r="AE66" s="88"/>
      <c r="AF66"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6" s="28" t="str">
        <f aca="false">IF(Tasks[[#This Row],[Task Name]]="","",IF(Tasks[[#This Row],[Progress]]&gt;=1,"Complete",IF(OR(N(Tasks[[#This Row],[Actual Start]])&gt;0,Tasks[[#This Row],[Progress]]&gt;0),IF(Tasks[[#This Row],[Finish Var]]&gt;0,"Behind","In Progress"),IF(Tasks[[#This Row],[Planned Start]]&lt;StatusDate,"Late Start","Not Started"))))</f>
        <v/>
      </c>
      <c r="AH66" s="30"/>
      <c r="AI66" s="88"/>
      <c r="AJ66" s="95" t="str">
        <f aca="false">IF(Tasks[[#This Row],[Task Name]]="","",IF(Tasks[[#This Row],[_IsSummary]],SUM(INDEX(Tasks[_LeafWork],Tasks[[#This Row],[_Row]]+1):INDEX(Tasks[_LeafWork],Tasks[[#This Row],[_Row]]+Tasks[[#This Row],[_Descendants]])),Tasks[[#This Row],[_LeafWork]]))</f>
        <v/>
      </c>
      <c r="AK66" s="96" t="str">
        <f aca="false">IF(Tasks[[#This Row],[Task Name]]="","",IF(Tasks[[#This Row],[_IsSummary]],SUM(INDEX(Tasks[_LeafCost],Tasks[[#This Row],[_Row]]+1):INDEX(Tasks[_LeafCost],Tasks[[#This Row],[_Row]]+Tasks[[#This Row],[_Descendants]])),Tasks[[#This Row],[_LeafCost]]))</f>
        <v/>
      </c>
      <c r="AL66" s="97"/>
      <c r="AM66" s="29"/>
      <c r="AN6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66" s="82"/>
      <c r="AP66" s="24" t="str">
        <f aca="false">IF(Tasks[[#This Row],[Task Name]]="","",Tasks[[#This Row],[_Pred1IDText]]&amp;IF(AND(Tasks[[#This Row],[_Pred1IDText]]&lt;&gt;"",Tasks[[#This Row],[_Pred2IDText]]&lt;&gt;""),",","")&amp;Tasks[[#This Row],[_Pred2IDText]])</f>
        <v/>
      </c>
      <c r="AQ66" s="30"/>
      <c r="AR66" s="25" t="str">
        <f aca="false">IF(Tasks[[#This Row],[Task Name]]="","",Tasks[[#This Row],[Forecast Start]])</f>
        <v/>
      </c>
      <c r="AS66" s="25" t="str">
        <f aca="false">IF(Tasks[[#This Row],[Task Name]]="","",Tasks[[#This Row],[Forecast Finish]])</f>
        <v/>
      </c>
      <c r="AT66" s="28" t="str">
        <f aca="false">IF(Tasks[[#This Row],[Task Name]]="","",IF(Tasks[[#This Row],[_IsSummary]],NETWORKDAYS.INTL(Tasks[[#This Row],[Forecast Start]],Tasks[[#This Row],[Forecast Finish]],WorkWeek,Holidays),N(Tasks[[#This Row],[Duration]])))</f>
        <v/>
      </c>
      <c r="AU66" s="95" t="str">
        <f aca="false">IF(Tasks[[#This Row],[Task Name]]="","",Tasks[[#This Row],[Work]])</f>
        <v/>
      </c>
      <c r="AV66" s="96" t="str">
        <f aca="false">IF(Tasks[[#This Row],[Task Name]]="","",Tasks[[#This Row],[Cost]])</f>
        <v/>
      </c>
      <c r="AW66" s="73"/>
      <c r="AX66" s="73"/>
      <c r="AY66" s="29"/>
      <c r="AZ66" s="98"/>
      <c r="BA66" s="97"/>
      <c r="BB66" s="28" t="str">
        <f aca="false">IF(OR(Tasks[[#This Row],[Task Name]]="",Tasks[[#This Row],[Baseline Duration]]=""),"",Tasks[[#This Row],[BL Source Duration]]-N(Tasks[[#This Row],[Baseline Duration]]))</f>
        <v/>
      </c>
      <c r="BC66" s="95" t="str">
        <f aca="false">IF(OR(Tasks[[#This Row],[Task Name]]="",Tasks[[#This Row],[Baseline Work]]=""),"",Tasks[[#This Row],[Work]]-N(Tasks[[#This Row],[Baseline Work]]))</f>
        <v/>
      </c>
      <c r="BD66" s="96" t="str">
        <f aca="false">IF(OR(Tasks[[#This Row],[Task Name]]="",Tasks[[#This Row],[Baseline Cost]]=""),"",Tasks[[#This Row],[Cost]]-N(Tasks[[#This Row],[Baseline Cost]]))</f>
        <v/>
      </c>
      <c r="BE66" s="96" t="str">
        <f aca="false">IF(Tasks[[#This Row],[Task Name]]="","",IF(Tasks[[#This Row],[_IsSummary]],SUM(INDEX(Tasks[_LeafBudget],Tasks[[#This Row],[_Row]]+1):INDEX(Tasks[_LeafBudget],Tasks[[#This Row],[_Row]]+Tasks[[#This Row],[_Descendants]])),Tasks[[#This Row],[_LeafBudget]]))</f>
        <v/>
      </c>
      <c r="BF66" s="96" t="str">
        <f aca="false">IF(Tasks[[#This Row],[Task Name]]="","",IF(Tasks[[#This Row],[_IsSummary]],SUM(INDEX(Tasks[_LeafPV],Tasks[[#This Row],[_Row]]+1):INDEX(Tasks[_LeafPV],Tasks[[#This Row],[_Row]]+Tasks[[#This Row],[_Descendants]])),Tasks[[#This Row],[_LeafPV]]))</f>
        <v/>
      </c>
      <c r="BG66" s="96" t="str">
        <f aca="false">IF(Tasks[[#This Row],[Task Name]]="","",IF(Tasks[[#This Row],[_IsSummary]],SUM(INDEX(Tasks[_LeafEV],Tasks[[#This Row],[_Row]]+1):INDEX(Tasks[_LeafEV],Tasks[[#This Row],[_Row]]+Tasks[[#This Row],[_Descendants]])),Tasks[[#This Row],[_LeafEV]]))</f>
        <v/>
      </c>
      <c r="BH66" s="96" t="str">
        <f aca="false">IF(Tasks[[#This Row],[Task Name]]="","",IF(Tasks[[#This Row],[_IsSummary]],SUM(INDEX(Tasks[_LeafAC],Tasks[[#This Row],[_Row]]+1):INDEX(Tasks[_LeafAC],Tasks[[#This Row],[_Row]]+Tasks[[#This Row],[_Descendants]])),Tasks[[#This Row],[_LeafAC]]))</f>
        <v/>
      </c>
      <c r="BI66" s="41" t="str">
        <f aca="false">IF(Tasks[[#This Row],[Task Name]]="","",MAX(1,N(Tasks[[#This Row],[Level]])))</f>
        <v/>
      </c>
      <c r="BJ66" s="41" t="n">
        <f aca="false">ROW()-ROW(Tasks[[#Headers],[ID]])</f>
        <v>61</v>
      </c>
      <c r="BK66" s="41" t="n">
        <f aca="false">IF(OR(Tasks[[#This Row],[Task Name]]="",Tasks[[#This Row],[_Level]]&lt;=1),0,IFERROR(LOOKUP(2,1/(Tasks[[#Headers],[_Level]]:Tasks[[#This Row],[_Level]]=Tasks[[#This Row],[_Level]]-1),ROW(Tasks[[#Headers],[_Level]]:Tasks[[#This Row],[_Level]])),0))</f>
        <v>0</v>
      </c>
      <c r="BL66" s="41" t="n">
        <f aca="false">IFERROR(N(INDEX(Tasks[_Level],Tasks[[#This Row],[_Row]]+1)),0)</f>
        <v>0</v>
      </c>
      <c r="BM66" s="99" t="b">
        <f aca="false">AND(Tasks[[#This Row],[Task Name]]&lt;&gt;"",Tasks[[#This Row],[_NextLevel]]&gt;Tasks[[#This Row],[_Level]])</f>
        <v>0</v>
      </c>
      <c r="BN66" s="41" t="n">
        <f aca="false">IF(Tasks[[#This Row],[_IsSummary]],COUNTIF(Tasks[WBS],Tasks[[#This Row],[WBS]]&amp;".*"),0)</f>
        <v>0</v>
      </c>
      <c r="BO66" s="41" t="n">
        <f aca="false">IF(AND(Tasks[[#This Row],[Task Name]]&lt;&gt;"",NOT(Tasks[[#This Row],[_IsSummary]])),1,0)</f>
        <v>0</v>
      </c>
      <c r="BP66" s="41" t="n">
        <f aca="false">IF(N(Tasks[[#This Row],[Pred1 UID]])=0,0,IFERROR(MATCH(Tasks[[#This Row],[Pred1 UID]],Tasks[UID],0),-1))</f>
        <v>0</v>
      </c>
      <c r="BQ66" s="41" t="n">
        <f aca="false">IF(N(Tasks[[#This Row],[Pred2 UID]])=0,0,IFERROR(MATCH(Tasks[[#This Row],[Pred2 UID]],Tasks[UID],0),-1))</f>
        <v>0</v>
      </c>
      <c r="BR66"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66" s="100" t="str">
        <f aca="false">IF(NOT(Tasks[[#This Row],[_IsLeaf]]=1),"",IF(N(Tasks[[#This Row],[Duration]])&lt;=0,Tasks[[#This Row],[_LeafCalcStart]],WORKDAY.INTL(Tasks[[#This Row],[_LeafCalcStart]],Tasks[[#This Row],[Duration]]-1,WorkWeek,Holidays)))</f>
        <v/>
      </c>
      <c r="BT66"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66"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66" s="41" t="n">
        <f aca="false">IF(NOT(Tasks[[#This Row],[_IsLeaf]]=1),0,IF(N(Tasks[[#This Row],[Actual Finish]])&gt;0,1,MIN(1,N(Tasks[[#This Row],[% Complete]]))))</f>
        <v>0</v>
      </c>
      <c r="BW66" s="41" t="n">
        <f aca="false">IF(OR(NOT(Tasks[[#This Row],[_IsLeaf]]=1),Tasks[[#This Row],[Resource]]=""),0,N(Tasks[[#This Row],[Duration]])*HoursPerDay*IF(Tasks[[#This Row],[Units]]="",DefaultUnits,Tasks[[#This Row],[Units]]))</f>
        <v>0</v>
      </c>
      <c r="BX66" s="41" t="n">
        <f aca="false">IF(Tasks[[#This Row],[_LeafWork]]=0,0,Tasks[[#This Row],[_LeafWork]]*IFERROR(INDEX(res_Rate,MATCH(Tasks[[#This Row],[Resource]],res_Name,0)),0))</f>
        <v>0</v>
      </c>
      <c r="BY6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6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6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6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66" s="41" t="n">
        <f aca="false">IF(NOT(Tasks[[#This Row],[_IsLeaf]]=1),0,MAX(_xlfn.MAXIFS(Tasks[_Row],Tasks[Pred1 UID],Tasks[[#This Row],[UID]]),_xlfn.MAXIFS(Tasks[_Row],Tasks[Pred2 UID],Tasks[[#This Row],[UID]])))</f>
        <v>0</v>
      </c>
      <c r="CD66"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66" s="100" t="str">
        <f aca="false">IF(NOT(Tasks[[#This Row],[_IsLeaf]]=1),"",MIN(ProjectFinish,IF(N(Tasks[[#This Row],[Deadline]])&gt;0,Tasks[[#This Row],[Deadline]],2958465),Tasks[[#This Row],[_SuccessorFinishLimit]]))</f>
        <v/>
      </c>
      <c r="CF66" s="100" t="str">
        <f aca="false">IF(NOT(Tasks[[#This Row],[_IsLeaf]]=1),"",IF(N(Tasks[[#This Row],[Duration]])&lt;=0,Tasks[[#This Row],[_LeafLateFinish]],WORKDAY.INTL(Tasks[[#This Row],[_LeafLateFinish]],-(Tasks[[#This Row],[Duration]]-1),WorkWeek,Holidays)))</f>
        <v/>
      </c>
      <c r="CG6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66" s="99" t="b">
        <f aca="false">AND(Tasks[[#This Row],[_IsLeaf]]=1,Tasks[[#This Row],[_LeafProgress]]&lt;1,N(Tasks[[#This Row],[_LeafTotalSlack]])&lt;=CriticalSlackDays)</f>
        <v>0</v>
      </c>
      <c r="CI66" s="100" t="str">
        <f aca="false">IF(Tasks[[#This Row],[Task Name]]="","",IF(Tasks[[#This Row],[_IsSummary]],MIN(INDEX(Tasks[_LeafCalcStart],Tasks[[#This Row],[_Row]]+1):INDEX(Tasks[_LeafCalcStart],Tasks[[#This Row],[_Row]]+Tasks[[#This Row],[_Descendants]])),Tasks[[#This Row],[_LeafCalcStart]]))</f>
        <v/>
      </c>
      <c r="CJ66" s="100" t="str">
        <f aca="false">IF(Tasks[[#This Row],[Task Name]]="","",IF(Tasks[[#This Row],[_IsSummary]],MAX(INDEX(Tasks[_LeafCalcFinish],Tasks[[#This Row],[_Row]]+1):INDEX(Tasks[_LeafCalcFinish],Tasks[[#This Row],[_Row]]+Tasks[[#This Row],[_Descendants]])),Tasks[[#This Row],[_LeafCalcFinish]]))</f>
        <v/>
      </c>
      <c r="CK6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6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66"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66"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66"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66"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66" s="41" t="n">
        <f aca="false">IF(AND(Tasks[[#This Row],[_IsLeaf]]=1,Tasks[[#This Row],[_LeafWork]]&gt;0),NETWORKDAYS.INTL(ProjectStart,Tasks[[#This Row],[_LeafFcstStart]],WorkWeek,Holidays),0)</f>
        <v>0</v>
      </c>
      <c r="CR66" s="41" t="n">
        <f aca="false">IF(AND(Tasks[[#This Row],[_IsLeaf]]=1,Tasks[[#This Row],[_LeafWork]]&gt;0),MAX(Tasks[[#This Row],[_StartWorkday]],NETWORKDAYS.INTL(ProjectStart,Tasks[[#This Row],[_LeafFcstFinish]],WorkWeek,Holidays)),0)</f>
        <v>0</v>
      </c>
      <c r="CS66" s="41" t="n">
        <f aca="false">IF(AND(Tasks[[#This Row],[_IsLeaf]]=1,Tasks[[#This Row],[_LeafWork]]&gt;0),Tasks[[#This Row],[_LeafWork]]/(Tasks[[#This Row],[_FinishWorkday]]-Tasks[[#This Row],[_StartWorkday]]+1),0)</f>
        <v>0</v>
      </c>
      <c r="CT66" s="41" t="n">
        <f aca="false">Tasks[[#This Row],[_WorkPerWorkday]]*(Tasks[[#This Row],[_StartWorkday]]-1)</f>
        <v>-0</v>
      </c>
      <c r="CU66" s="41" t="n">
        <f aca="false">IF(Tasks[[#This Row],[_IsLeaf]]=1,MAX(N(Tasks[[#This Row],[Duration]]),0.1),0)</f>
        <v>0</v>
      </c>
      <c r="CV66" s="41" t="n">
        <f aca="false">Tasks[[#This Row],[_WeightDur]]*Tasks[[#This Row],[_LeafProgress]]</f>
        <v>0</v>
      </c>
      <c r="CW6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6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6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6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66" s="41" t="str">
        <f aca="false">IF(Tasks[[#This Row],[Task Name]]="","",Tasks[[#This Row],[_Pred1UIDText]]&amp;IF(AND(Tasks[[#This Row],[_Pred1UIDText]]&lt;&gt;"",Tasks[[#This Row],[_Pred2UIDText]]&lt;&gt;""),",","")&amp;Tasks[[#This Row],[_Pred2UIDText]])</f>
        <v/>
      </c>
      <c r="DB66" s="41" t="str">
        <f aca="false">IF(AND(Tasks[[#This Row],[_IsLeaf]]=1,N(Tasks[[#This Row],[Duration]])=0,Tasks[[#This Row],[_LeafProgress]]&lt;1),Tasks[[#This Row],[_LeafFcstFinish]]+Tasks[[#This Row],[_Row]]/100000,"")</f>
        <v/>
      </c>
      <c r="DC6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66" s="41" t="n">
        <f aca="false">IF(NOT(Tasks[[#This Row],[_IsLeaf]]=1),0,IF(Tasks[[#This Row],[Baseline Cost]]="",Tasks[[#This Row],[_LeafCost]],N(Tasks[[#This Row],[Baseline Cost]])))</f>
        <v>0</v>
      </c>
      <c r="DE66" s="41" t="n">
        <f aca="false">Tasks[[#This Row],[_LeafBudget]]*Tasks[[#This Row],[_PlannedPct]]</f>
        <v>0</v>
      </c>
      <c r="DF66" s="41" t="n">
        <f aca="false">Tasks[[#This Row],[_LeafBudget]]*Tasks[[#This Row],[_LeafProgress]]</f>
        <v>0</v>
      </c>
      <c r="DG66" s="41" t="n">
        <f aca="false">IF(NOT(Tasks[[#This Row],[_IsLeaf]]=1),0,IF(Tasks[[#This Row],[Actual Cost]]="",Tasks[[#This Row],[_LeafCost]]*Tasks[[#This Row],[_LeafProgress]],N(Tasks[[#This Row],[Actual Cost]])))</f>
        <v>0</v>
      </c>
      <c r="DH66" s="41" t="str">
        <f aca="false">IF(Tasks[[#This Row],[Task Name]]="","",LEFT(Tasks[[#This Row],[WBS]],FIND(".",Tasks[[#This Row],[WBS]]&amp;".")-1))</f>
        <v/>
      </c>
      <c r="DI66" s="41" t="str">
        <f aca="false">IF(AND(Tasks[[#This Row],[Task Name]]&lt;&gt;"",Tasks[[#This Row],[_Level]]=1),Tasks[[#This Row],[_Row]],"")</f>
        <v/>
      </c>
      <c r="DJ66" s="41" t="str">
        <f aca="false">IF(AND(Tasks[[#This Row],[_IsLeaf]]=1,N(Tasks[[#This Row],[Duration]])=0),Tasks[[#This Row],[Planned Finish]]+Tasks[[#This Row],[_Row]]/100000,"")</f>
        <v/>
      </c>
      <c r="DK66" s="41" t="str">
        <f aca="false">IF(AND(Tasks[[#This Row],[_IsLeaf]]=1,Tasks[[#This Row],[_LeafProgress]]&lt;1,OR(N(Tasks[[#This Row],[Finish Var]])&gt;0,Tasks[[#This Row],[Status]]="Late Start")),MAX(0,Tasks[[#This Row],[Finish Var]])+1-Tasks[[#This Row],[_Row]]/1000000,"")</f>
        <v/>
      </c>
      <c r="DL66" s="41" t="str">
        <f aca="false">IF(AND(Tasks[[#This Row],[_IsLeaf]]=1,N(Tasks[[#This Row],[Actual Start]])=0,Tasks[[#This Row],[_LeafFcstStart]]&gt;=StatusDate,Tasks[[#This Row],[_LeafFcstStart]]&lt;=LookaheadEnd),Tasks[[#This Row],[_LeafFcstStart]]+Tasks[[#This Row],[_Row]]/100000,"")</f>
        <v/>
      </c>
      <c r="DM66" s="41" t="str">
        <f aca="false">IF(AND(Tasks[[#This Row],[_IsLeaf]]=1,Tasks[[#This Row],[_LeafProgress]]&lt;1,Tasks[[#This Row],[_LeafFcstFinish]]&gt;=StatusDate,Tasks[[#This Row],[_LeafFcstFinish]]&lt;=LookaheadEnd),Tasks[[#This Row],[_LeafFcstFinish]]+Tasks[[#This Row],[_Row]]/100000,"")</f>
        <v/>
      </c>
      <c r="DN66" s="41" t="str">
        <f aca="false">IF(Tasks[[#This Row],[_LeafCritical]],Tasks[[#This Row],[_LeafFcstStart]]+Tasks[[#This Row],[_Row]]/100000,"")</f>
        <v/>
      </c>
      <c r="DO66" s="41" t="n">
        <f aca="false">Tasks[[#This Row],[_LeafWork]]*Tasks[[#This Row],[_LeafProgress]]</f>
        <v>0</v>
      </c>
      <c r="DP66" s="100" t="str">
        <f aca="false">IF(AND(Tasks[[#This Row],[_IsLeaf]]=1,Tasks[[#This Row],[_LeafProgress]]&gt;=1),IF(N(Tasks[[#This Row],[Actual Finish]])&gt;0,Tasks[[#This Row],[Actual Finish]],Tasks[[#This Row],[_LeafFcstFinish]]),"")</f>
        <v/>
      </c>
      <c r="DQ66" s="41" t="n">
        <f aca="false">IF(Tasks[[#This Row],[_IsLeaf]]=1,N(Tasks[[#This Row],[Story Points]]),0)</f>
        <v>0</v>
      </c>
      <c r="DR66" s="41" t="str">
        <f aca="false">IF(AND(Tasks[[#This Row],[_IsLeaf]]=1,CurrentSprint&lt;&gt;"",Tasks[[#This Row],[Sprint]]=CurrentSprint),Tasks[[#This Row],[_Row]],"")</f>
        <v/>
      </c>
    </row>
    <row r="67" customFormat="false" ht="15" hidden="false" customHeight="false" outlineLevel="0" collapsed="false">
      <c r="A67" s="28" t="str">
        <f aca="false">IF(Tasks[[#This Row],[Task Name]]="","",COUNTA(Tasks[[#Headers],[Task Name]]:Tasks[[#This Row],[Task Name]])-1)</f>
        <v/>
      </c>
      <c r="B67" s="29" t="n">
        <v>62</v>
      </c>
      <c r="C6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7" s="29"/>
      <c r="E67" s="30"/>
      <c r="F67" s="29"/>
      <c r="G67" s="29"/>
      <c r="H67" s="29"/>
      <c r="I67" s="29"/>
      <c r="J67" s="29"/>
      <c r="K67" s="29"/>
      <c r="L67" s="29"/>
      <c r="M67" s="29"/>
      <c r="N67" s="73"/>
      <c r="O67" s="73"/>
      <c r="P67" s="25" t="str">
        <f aca="false">IF(Tasks[[#This Row],[Task Name]]="","",IF(N(Tasks[[#This Row],[Baseline Start]])&gt;0,Tasks[[#This Row],[Baseline Start]],Tasks[[#This Row],[_CalcStart]]))</f>
        <v/>
      </c>
      <c r="Q67" s="25" t="str">
        <f aca="false">IF(Tasks[[#This Row],[Task Name]]="","",IF(N(Tasks[[#This Row],[Baseline Finish]])&gt;0,Tasks[[#This Row],[Baseline Finish]],Tasks[[#This Row],[_CalcFinish]]))</f>
        <v/>
      </c>
      <c r="R67" s="73"/>
      <c r="S67" s="73"/>
      <c r="T67" s="25" t="str">
        <f aca="false">IF(Tasks[[#This Row],[Task Name]]="","",IF(Tasks[[#This Row],[_IsSummary]],MIN(INDEX(Tasks[_LeafFcstStart],Tasks[[#This Row],[_Row]]+1):INDEX(Tasks[_LeafFcstStart],Tasks[[#This Row],[_Row]]+Tasks[[#This Row],[_Descendants]])),Tasks[[#This Row],[_LeafFcstStart]]))</f>
        <v/>
      </c>
      <c r="U67" s="25" t="str">
        <f aca="false">IF(Tasks[[#This Row],[Task Name]]="","",IF(Tasks[[#This Row],[_IsSummary]],MAX(INDEX(Tasks[_LeafFcstFinish],Tasks[[#This Row],[_Row]]+1):INDEX(Tasks[_LeafFcstFinish],Tasks[[#This Row],[_Row]]+Tasks[[#This Row],[_Descendants]])),Tasks[[#This Row],[_LeafFcstFinish]]))</f>
        <v/>
      </c>
      <c r="V6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6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7" s="25" t="str">
        <f aca="false">IF(Tasks[[#This Row],[Task Name]]="","",IF(Tasks[[#This Row],[_IsSummary]],MIN(INDEX(Tasks[_LeafLateStart],Tasks[[#This Row],[_Row]]+1):INDEX(Tasks[_LeafLateStart],Tasks[[#This Row],[_Row]]+Tasks[[#This Row],[_Descendants]])),Tasks[[#This Row],[_LeafLateStart]]))</f>
        <v/>
      </c>
      <c r="Y67" s="25" t="str">
        <f aca="false">IF(Tasks[[#This Row],[Task Name]]="","",IF(Tasks[[#This Row],[_IsSummary]],MAX(INDEX(Tasks[_LeafLateFinish],Tasks[[#This Row],[_Row]]+1):INDEX(Tasks[_LeafLateFinish],Tasks[[#This Row],[_Row]]+Tasks[[#This Row],[_Descendants]])),Tasks[[#This Row],[_LeafLateFinish]]))</f>
        <v/>
      </c>
      <c r="Z67" s="43" t="str">
        <f aca="false">IF(Tasks[[#This Row],[Task Name]]="","",IF(Tasks[[#This Row],[_IsSummary]],MIN(INDEX(Tasks[_LeafTotalSlack],Tasks[[#This Row],[_Row]]+1):INDEX(Tasks[_LeafTotalSlack],Tasks[[#This Row],[_Row]]+Tasks[[#This Row],[_Descendants]])),Tasks[[#This Row],[_LeafTotalSlack]]))</f>
        <v/>
      </c>
      <c r="AA6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7" s="28" t="str">
        <f aca="false">IF(Tasks[[#This Row],[Task Name]]="","",IF(IF(Tasks[[#This Row],[_IsSummary]],COUNTIF(INDEX(Tasks[_LeafCritical],Tasks[[#This Row],[_Row]]+1):INDEX(Tasks[_LeafCritical],Tasks[[#This Row],[_Row]]+Tasks[[#This Row],[_Descendants]]),TRUE())&gt;0,Tasks[[#This Row],[_LeafCritical]]),"Yes",""))</f>
        <v/>
      </c>
      <c r="AC6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7" s="24" t="str">
        <f aca="false">IF(Tasks[[#This Row],[Task Name]]="","",TRIM(IF(Tasks[[#This Row],[_Pred1Problem]]&lt;&gt;"","Pred 1: "&amp;Tasks[[#This Row],[_Pred1Problem]]&amp;". ","")&amp;IF(Tasks[[#This Row],[_Pred2Problem]]&lt;&gt;"","Pred 2: "&amp;Tasks[[#This Row],[_Pred2Problem]]&amp;".","")))</f>
        <v/>
      </c>
      <c r="AE67" s="88"/>
      <c r="AF67"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7" s="28" t="str">
        <f aca="false">IF(Tasks[[#This Row],[Task Name]]="","",IF(Tasks[[#This Row],[Progress]]&gt;=1,"Complete",IF(OR(N(Tasks[[#This Row],[Actual Start]])&gt;0,Tasks[[#This Row],[Progress]]&gt;0),IF(Tasks[[#This Row],[Finish Var]]&gt;0,"Behind","In Progress"),IF(Tasks[[#This Row],[Planned Start]]&lt;StatusDate,"Late Start","Not Started"))))</f>
        <v/>
      </c>
      <c r="AH67" s="30"/>
      <c r="AI67" s="88"/>
      <c r="AJ67" s="95" t="str">
        <f aca="false">IF(Tasks[[#This Row],[Task Name]]="","",IF(Tasks[[#This Row],[_IsSummary]],SUM(INDEX(Tasks[_LeafWork],Tasks[[#This Row],[_Row]]+1):INDEX(Tasks[_LeafWork],Tasks[[#This Row],[_Row]]+Tasks[[#This Row],[_Descendants]])),Tasks[[#This Row],[_LeafWork]]))</f>
        <v/>
      </c>
      <c r="AK67" s="96" t="str">
        <f aca="false">IF(Tasks[[#This Row],[Task Name]]="","",IF(Tasks[[#This Row],[_IsSummary]],SUM(INDEX(Tasks[_LeafCost],Tasks[[#This Row],[_Row]]+1):INDEX(Tasks[_LeafCost],Tasks[[#This Row],[_Row]]+Tasks[[#This Row],[_Descendants]])),Tasks[[#This Row],[_LeafCost]]))</f>
        <v/>
      </c>
      <c r="AL67" s="97"/>
      <c r="AM67" s="29"/>
      <c r="AN6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67" s="82"/>
      <c r="AP67" s="24" t="str">
        <f aca="false">IF(Tasks[[#This Row],[Task Name]]="","",Tasks[[#This Row],[_Pred1IDText]]&amp;IF(AND(Tasks[[#This Row],[_Pred1IDText]]&lt;&gt;"",Tasks[[#This Row],[_Pred2IDText]]&lt;&gt;""),",","")&amp;Tasks[[#This Row],[_Pred2IDText]])</f>
        <v/>
      </c>
      <c r="AQ67" s="30"/>
      <c r="AR67" s="25" t="str">
        <f aca="false">IF(Tasks[[#This Row],[Task Name]]="","",Tasks[[#This Row],[Forecast Start]])</f>
        <v/>
      </c>
      <c r="AS67" s="25" t="str">
        <f aca="false">IF(Tasks[[#This Row],[Task Name]]="","",Tasks[[#This Row],[Forecast Finish]])</f>
        <v/>
      </c>
      <c r="AT67" s="28" t="str">
        <f aca="false">IF(Tasks[[#This Row],[Task Name]]="","",IF(Tasks[[#This Row],[_IsSummary]],NETWORKDAYS.INTL(Tasks[[#This Row],[Forecast Start]],Tasks[[#This Row],[Forecast Finish]],WorkWeek,Holidays),N(Tasks[[#This Row],[Duration]])))</f>
        <v/>
      </c>
      <c r="AU67" s="95" t="str">
        <f aca="false">IF(Tasks[[#This Row],[Task Name]]="","",Tasks[[#This Row],[Work]])</f>
        <v/>
      </c>
      <c r="AV67" s="96" t="str">
        <f aca="false">IF(Tasks[[#This Row],[Task Name]]="","",Tasks[[#This Row],[Cost]])</f>
        <v/>
      </c>
      <c r="AW67" s="73"/>
      <c r="AX67" s="73"/>
      <c r="AY67" s="29"/>
      <c r="AZ67" s="98"/>
      <c r="BA67" s="97"/>
      <c r="BB67" s="28" t="str">
        <f aca="false">IF(OR(Tasks[[#This Row],[Task Name]]="",Tasks[[#This Row],[Baseline Duration]]=""),"",Tasks[[#This Row],[BL Source Duration]]-N(Tasks[[#This Row],[Baseline Duration]]))</f>
        <v/>
      </c>
      <c r="BC67" s="95" t="str">
        <f aca="false">IF(OR(Tasks[[#This Row],[Task Name]]="",Tasks[[#This Row],[Baseline Work]]=""),"",Tasks[[#This Row],[Work]]-N(Tasks[[#This Row],[Baseline Work]]))</f>
        <v/>
      </c>
      <c r="BD67" s="96" t="str">
        <f aca="false">IF(OR(Tasks[[#This Row],[Task Name]]="",Tasks[[#This Row],[Baseline Cost]]=""),"",Tasks[[#This Row],[Cost]]-N(Tasks[[#This Row],[Baseline Cost]]))</f>
        <v/>
      </c>
      <c r="BE67" s="96" t="str">
        <f aca="false">IF(Tasks[[#This Row],[Task Name]]="","",IF(Tasks[[#This Row],[_IsSummary]],SUM(INDEX(Tasks[_LeafBudget],Tasks[[#This Row],[_Row]]+1):INDEX(Tasks[_LeafBudget],Tasks[[#This Row],[_Row]]+Tasks[[#This Row],[_Descendants]])),Tasks[[#This Row],[_LeafBudget]]))</f>
        <v/>
      </c>
      <c r="BF67" s="96" t="str">
        <f aca="false">IF(Tasks[[#This Row],[Task Name]]="","",IF(Tasks[[#This Row],[_IsSummary]],SUM(INDEX(Tasks[_LeafPV],Tasks[[#This Row],[_Row]]+1):INDEX(Tasks[_LeafPV],Tasks[[#This Row],[_Row]]+Tasks[[#This Row],[_Descendants]])),Tasks[[#This Row],[_LeafPV]]))</f>
        <v/>
      </c>
      <c r="BG67" s="96" t="str">
        <f aca="false">IF(Tasks[[#This Row],[Task Name]]="","",IF(Tasks[[#This Row],[_IsSummary]],SUM(INDEX(Tasks[_LeafEV],Tasks[[#This Row],[_Row]]+1):INDEX(Tasks[_LeafEV],Tasks[[#This Row],[_Row]]+Tasks[[#This Row],[_Descendants]])),Tasks[[#This Row],[_LeafEV]]))</f>
        <v/>
      </c>
      <c r="BH67" s="96" t="str">
        <f aca="false">IF(Tasks[[#This Row],[Task Name]]="","",IF(Tasks[[#This Row],[_IsSummary]],SUM(INDEX(Tasks[_LeafAC],Tasks[[#This Row],[_Row]]+1):INDEX(Tasks[_LeafAC],Tasks[[#This Row],[_Row]]+Tasks[[#This Row],[_Descendants]])),Tasks[[#This Row],[_LeafAC]]))</f>
        <v/>
      </c>
      <c r="BI67" s="41" t="str">
        <f aca="false">IF(Tasks[[#This Row],[Task Name]]="","",MAX(1,N(Tasks[[#This Row],[Level]])))</f>
        <v/>
      </c>
      <c r="BJ67" s="41" t="n">
        <f aca="false">ROW()-ROW(Tasks[[#Headers],[ID]])</f>
        <v>62</v>
      </c>
      <c r="BK67" s="41" t="n">
        <f aca="false">IF(OR(Tasks[[#This Row],[Task Name]]="",Tasks[[#This Row],[_Level]]&lt;=1),0,IFERROR(LOOKUP(2,1/(Tasks[[#Headers],[_Level]]:Tasks[[#This Row],[_Level]]=Tasks[[#This Row],[_Level]]-1),ROW(Tasks[[#Headers],[_Level]]:Tasks[[#This Row],[_Level]])),0))</f>
        <v>0</v>
      </c>
      <c r="BL67" s="41" t="n">
        <f aca="false">IFERROR(N(INDEX(Tasks[_Level],Tasks[[#This Row],[_Row]]+1)),0)</f>
        <v>0</v>
      </c>
      <c r="BM67" s="99" t="b">
        <f aca="false">AND(Tasks[[#This Row],[Task Name]]&lt;&gt;"",Tasks[[#This Row],[_NextLevel]]&gt;Tasks[[#This Row],[_Level]])</f>
        <v>0</v>
      </c>
      <c r="BN67" s="41" t="n">
        <f aca="false">IF(Tasks[[#This Row],[_IsSummary]],COUNTIF(Tasks[WBS],Tasks[[#This Row],[WBS]]&amp;".*"),0)</f>
        <v>0</v>
      </c>
      <c r="BO67" s="41" t="n">
        <f aca="false">IF(AND(Tasks[[#This Row],[Task Name]]&lt;&gt;"",NOT(Tasks[[#This Row],[_IsSummary]])),1,0)</f>
        <v>0</v>
      </c>
      <c r="BP67" s="41" t="n">
        <f aca="false">IF(N(Tasks[[#This Row],[Pred1 UID]])=0,0,IFERROR(MATCH(Tasks[[#This Row],[Pred1 UID]],Tasks[UID],0),-1))</f>
        <v>0</v>
      </c>
      <c r="BQ67" s="41" t="n">
        <f aca="false">IF(N(Tasks[[#This Row],[Pred2 UID]])=0,0,IFERROR(MATCH(Tasks[[#This Row],[Pred2 UID]],Tasks[UID],0),-1))</f>
        <v>0</v>
      </c>
      <c r="BR67"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67" s="100" t="str">
        <f aca="false">IF(NOT(Tasks[[#This Row],[_IsLeaf]]=1),"",IF(N(Tasks[[#This Row],[Duration]])&lt;=0,Tasks[[#This Row],[_LeafCalcStart]],WORKDAY.INTL(Tasks[[#This Row],[_LeafCalcStart]],Tasks[[#This Row],[Duration]]-1,WorkWeek,Holidays)))</f>
        <v/>
      </c>
      <c r="BT67"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67"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67" s="41" t="n">
        <f aca="false">IF(NOT(Tasks[[#This Row],[_IsLeaf]]=1),0,IF(N(Tasks[[#This Row],[Actual Finish]])&gt;0,1,MIN(1,N(Tasks[[#This Row],[% Complete]]))))</f>
        <v>0</v>
      </c>
      <c r="BW67" s="41" t="n">
        <f aca="false">IF(OR(NOT(Tasks[[#This Row],[_IsLeaf]]=1),Tasks[[#This Row],[Resource]]=""),0,N(Tasks[[#This Row],[Duration]])*HoursPerDay*IF(Tasks[[#This Row],[Units]]="",DefaultUnits,Tasks[[#This Row],[Units]]))</f>
        <v>0</v>
      </c>
      <c r="BX67" s="41" t="n">
        <f aca="false">IF(Tasks[[#This Row],[_LeafWork]]=0,0,Tasks[[#This Row],[_LeafWork]]*IFERROR(INDEX(res_Rate,MATCH(Tasks[[#This Row],[Resource]],res_Name,0)),0))</f>
        <v>0</v>
      </c>
      <c r="BY6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6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6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6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67" s="41" t="n">
        <f aca="false">IF(NOT(Tasks[[#This Row],[_IsLeaf]]=1),0,MAX(_xlfn.MAXIFS(Tasks[_Row],Tasks[Pred1 UID],Tasks[[#This Row],[UID]]),_xlfn.MAXIFS(Tasks[_Row],Tasks[Pred2 UID],Tasks[[#This Row],[UID]])))</f>
        <v>0</v>
      </c>
      <c r="CD67"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67" s="100" t="str">
        <f aca="false">IF(NOT(Tasks[[#This Row],[_IsLeaf]]=1),"",MIN(ProjectFinish,IF(N(Tasks[[#This Row],[Deadline]])&gt;0,Tasks[[#This Row],[Deadline]],2958465),Tasks[[#This Row],[_SuccessorFinishLimit]]))</f>
        <v/>
      </c>
      <c r="CF67" s="100" t="str">
        <f aca="false">IF(NOT(Tasks[[#This Row],[_IsLeaf]]=1),"",IF(N(Tasks[[#This Row],[Duration]])&lt;=0,Tasks[[#This Row],[_LeafLateFinish]],WORKDAY.INTL(Tasks[[#This Row],[_LeafLateFinish]],-(Tasks[[#This Row],[Duration]]-1),WorkWeek,Holidays)))</f>
        <v/>
      </c>
      <c r="CG6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67" s="99" t="b">
        <f aca="false">AND(Tasks[[#This Row],[_IsLeaf]]=1,Tasks[[#This Row],[_LeafProgress]]&lt;1,N(Tasks[[#This Row],[_LeafTotalSlack]])&lt;=CriticalSlackDays)</f>
        <v>0</v>
      </c>
      <c r="CI67" s="100" t="str">
        <f aca="false">IF(Tasks[[#This Row],[Task Name]]="","",IF(Tasks[[#This Row],[_IsSummary]],MIN(INDEX(Tasks[_LeafCalcStart],Tasks[[#This Row],[_Row]]+1):INDEX(Tasks[_LeafCalcStart],Tasks[[#This Row],[_Row]]+Tasks[[#This Row],[_Descendants]])),Tasks[[#This Row],[_LeafCalcStart]]))</f>
        <v/>
      </c>
      <c r="CJ67" s="100" t="str">
        <f aca="false">IF(Tasks[[#This Row],[Task Name]]="","",IF(Tasks[[#This Row],[_IsSummary]],MAX(INDEX(Tasks[_LeafCalcFinish],Tasks[[#This Row],[_Row]]+1):INDEX(Tasks[_LeafCalcFinish],Tasks[[#This Row],[_Row]]+Tasks[[#This Row],[_Descendants]])),Tasks[[#This Row],[_LeafCalcFinish]]))</f>
        <v/>
      </c>
      <c r="CK6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6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67"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67"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67"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67"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67" s="41" t="n">
        <f aca="false">IF(AND(Tasks[[#This Row],[_IsLeaf]]=1,Tasks[[#This Row],[_LeafWork]]&gt;0),NETWORKDAYS.INTL(ProjectStart,Tasks[[#This Row],[_LeafFcstStart]],WorkWeek,Holidays),0)</f>
        <v>0</v>
      </c>
      <c r="CR67" s="41" t="n">
        <f aca="false">IF(AND(Tasks[[#This Row],[_IsLeaf]]=1,Tasks[[#This Row],[_LeafWork]]&gt;0),MAX(Tasks[[#This Row],[_StartWorkday]],NETWORKDAYS.INTL(ProjectStart,Tasks[[#This Row],[_LeafFcstFinish]],WorkWeek,Holidays)),0)</f>
        <v>0</v>
      </c>
      <c r="CS67" s="41" t="n">
        <f aca="false">IF(AND(Tasks[[#This Row],[_IsLeaf]]=1,Tasks[[#This Row],[_LeafWork]]&gt;0),Tasks[[#This Row],[_LeafWork]]/(Tasks[[#This Row],[_FinishWorkday]]-Tasks[[#This Row],[_StartWorkday]]+1),0)</f>
        <v>0</v>
      </c>
      <c r="CT67" s="41" t="n">
        <f aca="false">Tasks[[#This Row],[_WorkPerWorkday]]*(Tasks[[#This Row],[_StartWorkday]]-1)</f>
        <v>-0</v>
      </c>
      <c r="CU67" s="41" t="n">
        <f aca="false">IF(Tasks[[#This Row],[_IsLeaf]]=1,MAX(N(Tasks[[#This Row],[Duration]]),0.1),0)</f>
        <v>0</v>
      </c>
      <c r="CV67" s="41" t="n">
        <f aca="false">Tasks[[#This Row],[_WeightDur]]*Tasks[[#This Row],[_LeafProgress]]</f>
        <v>0</v>
      </c>
      <c r="CW6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6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6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6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67" s="41" t="str">
        <f aca="false">IF(Tasks[[#This Row],[Task Name]]="","",Tasks[[#This Row],[_Pred1UIDText]]&amp;IF(AND(Tasks[[#This Row],[_Pred1UIDText]]&lt;&gt;"",Tasks[[#This Row],[_Pred2UIDText]]&lt;&gt;""),",","")&amp;Tasks[[#This Row],[_Pred2UIDText]])</f>
        <v/>
      </c>
      <c r="DB67" s="41" t="str">
        <f aca="false">IF(AND(Tasks[[#This Row],[_IsLeaf]]=1,N(Tasks[[#This Row],[Duration]])=0,Tasks[[#This Row],[_LeafProgress]]&lt;1),Tasks[[#This Row],[_LeafFcstFinish]]+Tasks[[#This Row],[_Row]]/100000,"")</f>
        <v/>
      </c>
      <c r="DC6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67" s="41" t="n">
        <f aca="false">IF(NOT(Tasks[[#This Row],[_IsLeaf]]=1),0,IF(Tasks[[#This Row],[Baseline Cost]]="",Tasks[[#This Row],[_LeafCost]],N(Tasks[[#This Row],[Baseline Cost]])))</f>
        <v>0</v>
      </c>
      <c r="DE67" s="41" t="n">
        <f aca="false">Tasks[[#This Row],[_LeafBudget]]*Tasks[[#This Row],[_PlannedPct]]</f>
        <v>0</v>
      </c>
      <c r="DF67" s="41" t="n">
        <f aca="false">Tasks[[#This Row],[_LeafBudget]]*Tasks[[#This Row],[_LeafProgress]]</f>
        <v>0</v>
      </c>
      <c r="DG67" s="41" t="n">
        <f aca="false">IF(NOT(Tasks[[#This Row],[_IsLeaf]]=1),0,IF(Tasks[[#This Row],[Actual Cost]]="",Tasks[[#This Row],[_LeafCost]]*Tasks[[#This Row],[_LeafProgress]],N(Tasks[[#This Row],[Actual Cost]])))</f>
        <v>0</v>
      </c>
      <c r="DH67" s="41" t="str">
        <f aca="false">IF(Tasks[[#This Row],[Task Name]]="","",LEFT(Tasks[[#This Row],[WBS]],FIND(".",Tasks[[#This Row],[WBS]]&amp;".")-1))</f>
        <v/>
      </c>
      <c r="DI67" s="41" t="str">
        <f aca="false">IF(AND(Tasks[[#This Row],[Task Name]]&lt;&gt;"",Tasks[[#This Row],[_Level]]=1),Tasks[[#This Row],[_Row]],"")</f>
        <v/>
      </c>
      <c r="DJ67" s="41" t="str">
        <f aca="false">IF(AND(Tasks[[#This Row],[_IsLeaf]]=1,N(Tasks[[#This Row],[Duration]])=0),Tasks[[#This Row],[Planned Finish]]+Tasks[[#This Row],[_Row]]/100000,"")</f>
        <v/>
      </c>
      <c r="DK67" s="41" t="str">
        <f aca="false">IF(AND(Tasks[[#This Row],[_IsLeaf]]=1,Tasks[[#This Row],[_LeafProgress]]&lt;1,OR(N(Tasks[[#This Row],[Finish Var]])&gt;0,Tasks[[#This Row],[Status]]="Late Start")),MAX(0,Tasks[[#This Row],[Finish Var]])+1-Tasks[[#This Row],[_Row]]/1000000,"")</f>
        <v/>
      </c>
      <c r="DL67" s="41" t="str">
        <f aca="false">IF(AND(Tasks[[#This Row],[_IsLeaf]]=1,N(Tasks[[#This Row],[Actual Start]])=0,Tasks[[#This Row],[_LeafFcstStart]]&gt;=StatusDate,Tasks[[#This Row],[_LeafFcstStart]]&lt;=LookaheadEnd),Tasks[[#This Row],[_LeafFcstStart]]+Tasks[[#This Row],[_Row]]/100000,"")</f>
        <v/>
      </c>
      <c r="DM67" s="41" t="str">
        <f aca="false">IF(AND(Tasks[[#This Row],[_IsLeaf]]=1,Tasks[[#This Row],[_LeafProgress]]&lt;1,Tasks[[#This Row],[_LeafFcstFinish]]&gt;=StatusDate,Tasks[[#This Row],[_LeafFcstFinish]]&lt;=LookaheadEnd),Tasks[[#This Row],[_LeafFcstFinish]]+Tasks[[#This Row],[_Row]]/100000,"")</f>
        <v/>
      </c>
      <c r="DN67" s="41" t="str">
        <f aca="false">IF(Tasks[[#This Row],[_LeafCritical]],Tasks[[#This Row],[_LeafFcstStart]]+Tasks[[#This Row],[_Row]]/100000,"")</f>
        <v/>
      </c>
      <c r="DO67" s="41" t="n">
        <f aca="false">Tasks[[#This Row],[_LeafWork]]*Tasks[[#This Row],[_LeafProgress]]</f>
        <v>0</v>
      </c>
      <c r="DP67" s="100" t="str">
        <f aca="false">IF(AND(Tasks[[#This Row],[_IsLeaf]]=1,Tasks[[#This Row],[_LeafProgress]]&gt;=1),IF(N(Tasks[[#This Row],[Actual Finish]])&gt;0,Tasks[[#This Row],[Actual Finish]],Tasks[[#This Row],[_LeafFcstFinish]]),"")</f>
        <v/>
      </c>
      <c r="DQ67" s="41" t="n">
        <f aca="false">IF(Tasks[[#This Row],[_IsLeaf]]=1,N(Tasks[[#This Row],[Story Points]]),0)</f>
        <v>0</v>
      </c>
      <c r="DR67" s="41" t="str">
        <f aca="false">IF(AND(Tasks[[#This Row],[_IsLeaf]]=1,CurrentSprint&lt;&gt;"",Tasks[[#This Row],[Sprint]]=CurrentSprint),Tasks[[#This Row],[_Row]],"")</f>
        <v/>
      </c>
    </row>
    <row r="68" customFormat="false" ht="15" hidden="false" customHeight="false" outlineLevel="0" collapsed="false">
      <c r="A68" s="28" t="str">
        <f aca="false">IF(Tasks[[#This Row],[Task Name]]="","",COUNTA(Tasks[[#Headers],[Task Name]]:Tasks[[#This Row],[Task Name]])-1)</f>
        <v/>
      </c>
      <c r="B68" s="29" t="n">
        <v>63</v>
      </c>
      <c r="C6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8" s="29"/>
      <c r="E68" s="30"/>
      <c r="F68" s="29"/>
      <c r="G68" s="29"/>
      <c r="H68" s="29"/>
      <c r="I68" s="29"/>
      <c r="J68" s="29"/>
      <c r="K68" s="29"/>
      <c r="L68" s="29"/>
      <c r="M68" s="29"/>
      <c r="N68" s="73"/>
      <c r="O68" s="73"/>
      <c r="P68" s="25" t="str">
        <f aca="false">IF(Tasks[[#This Row],[Task Name]]="","",IF(N(Tasks[[#This Row],[Baseline Start]])&gt;0,Tasks[[#This Row],[Baseline Start]],Tasks[[#This Row],[_CalcStart]]))</f>
        <v/>
      </c>
      <c r="Q68" s="25" t="str">
        <f aca="false">IF(Tasks[[#This Row],[Task Name]]="","",IF(N(Tasks[[#This Row],[Baseline Finish]])&gt;0,Tasks[[#This Row],[Baseline Finish]],Tasks[[#This Row],[_CalcFinish]]))</f>
        <v/>
      </c>
      <c r="R68" s="73"/>
      <c r="S68" s="73"/>
      <c r="T68" s="25" t="str">
        <f aca="false">IF(Tasks[[#This Row],[Task Name]]="","",IF(Tasks[[#This Row],[_IsSummary]],MIN(INDEX(Tasks[_LeafFcstStart],Tasks[[#This Row],[_Row]]+1):INDEX(Tasks[_LeafFcstStart],Tasks[[#This Row],[_Row]]+Tasks[[#This Row],[_Descendants]])),Tasks[[#This Row],[_LeafFcstStart]]))</f>
        <v/>
      </c>
      <c r="U68" s="25" t="str">
        <f aca="false">IF(Tasks[[#This Row],[Task Name]]="","",IF(Tasks[[#This Row],[_IsSummary]],MAX(INDEX(Tasks[_LeafFcstFinish],Tasks[[#This Row],[_Row]]+1):INDEX(Tasks[_LeafFcstFinish],Tasks[[#This Row],[_Row]]+Tasks[[#This Row],[_Descendants]])),Tasks[[#This Row],[_LeafFcstFinish]]))</f>
        <v/>
      </c>
      <c r="V6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6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8" s="25" t="str">
        <f aca="false">IF(Tasks[[#This Row],[Task Name]]="","",IF(Tasks[[#This Row],[_IsSummary]],MIN(INDEX(Tasks[_LeafLateStart],Tasks[[#This Row],[_Row]]+1):INDEX(Tasks[_LeafLateStart],Tasks[[#This Row],[_Row]]+Tasks[[#This Row],[_Descendants]])),Tasks[[#This Row],[_LeafLateStart]]))</f>
        <v/>
      </c>
      <c r="Y68" s="25" t="str">
        <f aca="false">IF(Tasks[[#This Row],[Task Name]]="","",IF(Tasks[[#This Row],[_IsSummary]],MAX(INDEX(Tasks[_LeafLateFinish],Tasks[[#This Row],[_Row]]+1):INDEX(Tasks[_LeafLateFinish],Tasks[[#This Row],[_Row]]+Tasks[[#This Row],[_Descendants]])),Tasks[[#This Row],[_LeafLateFinish]]))</f>
        <v/>
      </c>
      <c r="Z68" s="43" t="str">
        <f aca="false">IF(Tasks[[#This Row],[Task Name]]="","",IF(Tasks[[#This Row],[_IsSummary]],MIN(INDEX(Tasks[_LeafTotalSlack],Tasks[[#This Row],[_Row]]+1):INDEX(Tasks[_LeafTotalSlack],Tasks[[#This Row],[_Row]]+Tasks[[#This Row],[_Descendants]])),Tasks[[#This Row],[_LeafTotalSlack]]))</f>
        <v/>
      </c>
      <c r="AA6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8" s="28" t="str">
        <f aca="false">IF(Tasks[[#This Row],[Task Name]]="","",IF(IF(Tasks[[#This Row],[_IsSummary]],COUNTIF(INDEX(Tasks[_LeafCritical],Tasks[[#This Row],[_Row]]+1):INDEX(Tasks[_LeafCritical],Tasks[[#This Row],[_Row]]+Tasks[[#This Row],[_Descendants]]),TRUE())&gt;0,Tasks[[#This Row],[_LeafCritical]]),"Yes",""))</f>
        <v/>
      </c>
      <c r="AC6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8" s="24" t="str">
        <f aca="false">IF(Tasks[[#This Row],[Task Name]]="","",TRIM(IF(Tasks[[#This Row],[_Pred1Problem]]&lt;&gt;"","Pred 1: "&amp;Tasks[[#This Row],[_Pred1Problem]]&amp;". ","")&amp;IF(Tasks[[#This Row],[_Pred2Problem]]&lt;&gt;"","Pred 2: "&amp;Tasks[[#This Row],[_Pred2Problem]]&amp;".","")))</f>
        <v/>
      </c>
      <c r="AE68" s="88"/>
      <c r="AF68"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8" s="28" t="str">
        <f aca="false">IF(Tasks[[#This Row],[Task Name]]="","",IF(Tasks[[#This Row],[Progress]]&gt;=1,"Complete",IF(OR(N(Tasks[[#This Row],[Actual Start]])&gt;0,Tasks[[#This Row],[Progress]]&gt;0),IF(Tasks[[#This Row],[Finish Var]]&gt;0,"Behind","In Progress"),IF(Tasks[[#This Row],[Planned Start]]&lt;StatusDate,"Late Start","Not Started"))))</f>
        <v/>
      </c>
      <c r="AH68" s="30"/>
      <c r="AI68" s="88"/>
      <c r="AJ68" s="95" t="str">
        <f aca="false">IF(Tasks[[#This Row],[Task Name]]="","",IF(Tasks[[#This Row],[_IsSummary]],SUM(INDEX(Tasks[_LeafWork],Tasks[[#This Row],[_Row]]+1):INDEX(Tasks[_LeafWork],Tasks[[#This Row],[_Row]]+Tasks[[#This Row],[_Descendants]])),Tasks[[#This Row],[_LeafWork]]))</f>
        <v/>
      </c>
      <c r="AK68" s="96" t="str">
        <f aca="false">IF(Tasks[[#This Row],[Task Name]]="","",IF(Tasks[[#This Row],[_IsSummary]],SUM(INDEX(Tasks[_LeafCost],Tasks[[#This Row],[_Row]]+1):INDEX(Tasks[_LeafCost],Tasks[[#This Row],[_Row]]+Tasks[[#This Row],[_Descendants]])),Tasks[[#This Row],[_LeafCost]]))</f>
        <v/>
      </c>
      <c r="AL68" s="97"/>
      <c r="AM68" s="29"/>
      <c r="AN6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68" s="82"/>
      <c r="AP68" s="24" t="str">
        <f aca="false">IF(Tasks[[#This Row],[Task Name]]="","",Tasks[[#This Row],[_Pred1IDText]]&amp;IF(AND(Tasks[[#This Row],[_Pred1IDText]]&lt;&gt;"",Tasks[[#This Row],[_Pred2IDText]]&lt;&gt;""),",","")&amp;Tasks[[#This Row],[_Pred2IDText]])</f>
        <v/>
      </c>
      <c r="AQ68" s="30"/>
      <c r="AR68" s="25" t="str">
        <f aca="false">IF(Tasks[[#This Row],[Task Name]]="","",Tasks[[#This Row],[Forecast Start]])</f>
        <v/>
      </c>
      <c r="AS68" s="25" t="str">
        <f aca="false">IF(Tasks[[#This Row],[Task Name]]="","",Tasks[[#This Row],[Forecast Finish]])</f>
        <v/>
      </c>
      <c r="AT68" s="28" t="str">
        <f aca="false">IF(Tasks[[#This Row],[Task Name]]="","",IF(Tasks[[#This Row],[_IsSummary]],NETWORKDAYS.INTL(Tasks[[#This Row],[Forecast Start]],Tasks[[#This Row],[Forecast Finish]],WorkWeek,Holidays),N(Tasks[[#This Row],[Duration]])))</f>
        <v/>
      </c>
      <c r="AU68" s="95" t="str">
        <f aca="false">IF(Tasks[[#This Row],[Task Name]]="","",Tasks[[#This Row],[Work]])</f>
        <v/>
      </c>
      <c r="AV68" s="96" t="str">
        <f aca="false">IF(Tasks[[#This Row],[Task Name]]="","",Tasks[[#This Row],[Cost]])</f>
        <v/>
      </c>
      <c r="AW68" s="73"/>
      <c r="AX68" s="73"/>
      <c r="AY68" s="29"/>
      <c r="AZ68" s="98"/>
      <c r="BA68" s="97"/>
      <c r="BB68" s="28" t="str">
        <f aca="false">IF(OR(Tasks[[#This Row],[Task Name]]="",Tasks[[#This Row],[Baseline Duration]]=""),"",Tasks[[#This Row],[BL Source Duration]]-N(Tasks[[#This Row],[Baseline Duration]]))</f>
        <v/>
      </c>
      <c r="BC68" s="95" t="str">
        <f aca="false">IF(OR(Tasks[[#This Row],[Task Name]]="",Tasks[[#This Row],[Baseline Work]]=""),"",Tasks[[#This Row],[Work]]-N(Tasks[[#This Row],[Baseline Work]]))</f>
        <v/>
      </c>
      <c r="BD68" s="96" t="str">
        <f aca="false">IF(OR(Tasks[[#This Row],[Task Name]]="",Tasks[[#This Row],[Baseline Cost]]=""),"",Tasks[[#This Row],[Cost]]-N(Tasks[[#This Row],[Baseline Cost]]))</f>
        <v/>
      </c>
      <c r="BE68" s="96" t="str">
        <f aca="false">IF(Tasks[[#This Row],[Task Name]]="","",IF(Tasks[[#This Row],[_IsSummary]],SUM(INDEX(Tasks[_LeafBudget],Tasks[[#This Row],[_Row]]+1):INDEX(Tasks[_LeafBudget],Tasks[[#This Row],[_Row]]+Tasks[[#This Row],[_Descendants]])),Tasks[[#This Row],[_LeafBudget]]))</f>
        <v/>
      </c>
      <c r="BF68" s="96" t="str">
        <f aca="false">IF(Tasks[[#This Row],[Task Name]]="","",IF(Tasks[[#This Row],[_IsSummary]],SUM(INDEX(Tasks[_LeafPV],Tasks[[#This Row],[_Row]]+1):INDEX(Tasks[_LeafPV],Tasks[[#This Row],[_Row]]+Tasks[[#This Row],[_Descendants]])),Tasks[[#This Row],[_LeafPV]]))</f>
        <v/>
      </c>
      <c r="BG68" s="96" t="str">
        <f aca="false">IF(Tasks[[#This Row],[Task Name]]="","",IF(Tasks[[#This Row],[_IsSummary]],SUM(INDEX(Tasks[_LeafEV],Tasks[[#This Row],[_Row]]+1):INDEX(Tasks[_LeafEV],Tasks[[#This Row],[_Row]]+Tasks[[#This Row],[_Descendants]])),Tasks[[#This Row],[_LeafEV]]))</f>
        <v/>
      </c>
      <c r="BH68" s="96" t="str">
        <f aca="false">IF(Tasks[[#This Row],[Task Name]]="","",IF(Tasks[[#This Row],[_IsSummary]],SUM(INDEX(Tasks[_LeafAC],Tasks[[#This Row],[_Row]]+1):INDEX(Tasks[_LeafAC],Tasks[[#This Row],[_Row]]+Tasks[[#This Row],[_Descendants]])),Tasks[[#This Row],[_LeafAC]]))</f>
        <v/>
      </c>
      <c r="BI68" s="41" t="str">
        <f aca="false">IF(Tasks[[#This Row],[Task Name]]="","",MAX(1,N(Tasks[[#This Row],[Level]])))</f>
        <v/>
      </c>
      <c r="BJ68" s="41" t="n">
        <f aca="false">ROW()-ROW(Tasks[[#Headers],[ID]])</f>
        <v>63</v>
      </c>
      <c r="BK68" s="41" t="n">
        <f aca="false">IF(OR(Tasks[[#This Row],[Task Name]]="",Tasks[[#This Row],[_Level]]&lt;=1),0,IFERROR(LOOKUP(2,1/(Tasks[[#Headers],[_Level]]:Tasks[[#This Row],[_Level]]=Tasks[[#This Row],[_Level]]-1),ROW(Tasks[[#Headers],[_Level]]:Tasks[[#This Row],[_Level]])),0))</f>
        <v>0</v>
      </c>
      <c r="BL68" s="41" t="n">
        <f aca="false">IFERROR(N(INDEX(Tasks[_Level],Tasks[[#This Row],[_Row]]+1)),0)</f>
        <v>0</v>
      </c>
      <c r="BM68" s="99" t="b">
        <f aca="false">AND(Tasks[[#This Row],[Task Name]]&lt;&gt;"",Tasks[[#This Row],[_NextLevel]]&gt;Tasks[[#This Row],[_Level]])</f>
        <v>0</v>
      </c>
      <c r="BN68" s="41" t="n">
        <f aca="false">IF(Tasks[[#This Row],[_IsSummary]],COUNTIF(Tasks[WBS],Tasks[[#This Row],[WBS]]&amp;".*"),0)</f>
        <v>0</v>
      </c>
      <c r="BO68" s="41" t="n">
        <f aca="false">IF(AND(Tasks[[#This Row],[Task Name]]&lt;&gt;"",NOT(Tasks[[#This Row],[_IsSummary]])),1,0)</f>
        <v>0</v>
      </c>
      <c r="BP68" s="41" t="n">
        <f aca="false">IF(N(Tasks[[#This Row],[Pred1 UID]])=0,0,IFERROR(MATCH(Tasks[[#This Row],[Pred1 UID]],Tasks[UID],0),-1))</f>
        <v>0</v>
      </c>
      <c r="BQ68" s="41" t="n">
        <f aca="false">IF(N(Tasks[[#This Row],[Pred2 UID]])=0,0,IFERROR(MATCH(Tasks[[#This Row],[Pred2 UID]],Tasks[UID],0),-1))</f>
        <v>0</v>
      </c>
      <c r="BR68"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68" s="100" t="str">
        <f aca="false">IF(NOT(Tasks[[#This Row],[_IsLeaf]]=1),"",IF(N(Tasks[[#This Row],[Duration]])&lt;=0,Tasks[[#This Row],[_LeafCalcStart]],WORKDAY.INTL(Tasks[[#This Row],[_LeafCalcStart]],Tasks[[#This Row],[Duration]]-1,WorkWeek,Holidays)))</f>
        <v/>
      </c>
      <c r="BT68"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68"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68" s="41" t="n">
        <f aca="false">IF(NOT(Tasks[[#This Row],[_IsLeaf]]=1),0,IF(N(Tasks[[#This Row],[Actual Finish]])&gt;0,1,MIN(1,N(Tasks[[#This Row],[% Complete]]))))</f>
        <v>0</v>
      </c>
      <c r="BW68" s="41" t="n">
        <f aca="false">IF(OR(NOT(Tasks[[#This Row],[_IsLeaf]]=1),Tasks[[#This Row],[Resource]]=""),0,N(Tasks[[#This Row],[Duration]])*HoursPerDay*IF(Tasks[[#This Row],[Units]]="",DefaultUnits,Tasks[[#This Row],[Units]]))</f>
        <v>0</v>
      </c>
      <c r="BX68" s="41" t="n">
        <f aca="false">IF(Tasks[[#This Row],[_LeafWork]]=0,0,Tasks[[#This Row],[_LeafWork]]*IFERROR(INDEX(res_Rate,MATCH(Tasks[[#This Row],[Resource]],res_Name,0)),0))</f>
        <v>0</v>
      </c>
      <c r="BY6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6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6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6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68" s="41" t="n">
        <f aca="false">IF(NOT(Tasks[[#This Row],[_IsLeaf]]=1),0,MAX(_xlfn.MAXIFS(Tasks[_Row],Tasks[Pred1 UID],Tasks[[#This Row],[UID]]),_xlfn.MAXIFS(Tasks[_Row],Tasks[Pred2 UID],Tasks[[#This Row],[UID]])))</f>
        <v>0</v>
      </c>
      <c r="CD68"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68" s="100" t="str">
        <f aca="false">IF(NOT(Tasks[[#This Row],[_IsLeaf]]=1),"",MIN(ProjectFinish,IF(N(Tasks[[#This Row],[Deadline]])&gt;0,Tasks[[#This Row],[Deadline]],2958465),Tasks[[#This Row],[_SuccessorFinishLimit]]))</f>
        <v/>
      </c>
      <c r="CF68" s="100" t="str">
        <f aca="false">IF(NOT(Tasks[[#This Row],[_IsLeaf]]=1),"",IF(N(Tasks[[#This Row],[Duration]])&lt;=0,Tasks[[#This Row],[_LeafLateFinish]],WORKDAY.INTL(Tasks[[#This Row],[_LeafLateFinish]],-(Tasks[[#This Row],[Duration]]-1),WorkWeek,Holidays)))</f>
        <v/>
      </c>
      <c r="CG6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68" s="99" t="b">
        <f aca="false">AND(Tasks[[#This Row],[_IsLeaf]]=1,Tasks[[#This Row],[_LeafProgress]]&lt;1,N(Tasks[[#This Row],[_LeafTotalSlack]])&lt;=CriticalSlackDays)</f>
        <v>0</v>
      </c>
      <c r="CI68" s="100" t="str">
        <f aca="false">IF(Tasks[[#This Row],[Task Name]]="","",IF(Tasks[[#This Row],[_IsSummary]],MIN(INDEX(Tasks[_LeafCalcStart],Tasks[[#This Row],[_Row]]+1):INDEX(Tasks[_LeafCalcStart],Tasks[[#This Row],[_Row]]+Tasks[[#This Row],[_Descendants]])),Tasks[[#This Row],[_LeafCalcStart]]))</f>
        <v/>
      </c>
      <c r="CJ68" s="100" t="str">
        <f aca="false">IF(Tasks[[#This Row],[Task Name]]="","",IF(Tasks[[#This Row],[_IsSummary]],MAX(INDEX(Tasks[_LeafCalcFinish],Tasks[[#This Row],[_Row]]+1):INDEX(Tasks[_LeafCalcFinish],Tasks[[#This Row],[_Row]]+Tasks[[#This Row],[_Descendants]])),Tasks[[#This Row],[_LeafCalcFinish]]))</f>
        <v/>
      </c>
      <c r="CK6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6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68"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68"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68"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68"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68" s="41" t="n">
        <f aca="false">IF(AND(Tasks[[#This Row],[_IsLeaf]]=1,Tasks[[#This Row],[_LeafWork]]&gt;0),NETWORKDAYS.INTL(ProjectStart,Tasks[[#This Row],[_LeafFcstStart]],WorkWeek,Holidays),0)</f>
        <v>0</v>
      </c>
      <c r="CR68" s="41" t="n">
        <f aca="false">IF(AND(Tasks[[#This Row],[_IsLeaf]]=1,Tasks[[#This Row],[_LeafWork]]&gt;0),MAX(Tasks[[#This Row],[_StartWorkday]],NETWORKDAYS.INTL(ProjectStart,Tasks[[#This Row],[_LeafFcstFinish]],WorkWeek,Holidays)),0)</f>
        <v>0</v>
      </c>
      <c r="CS68" s="41" t="n">
        <f aca="false">IF(AND(Tasks[[#This Row],[_IsLeaf]]=1,Tasks[[#This Row],[_LeafWork]]&gt;0),Tasks[[#This Row],[_LeafWork]]/(Tasks[[#This Row],[_FinishWorkday]]-Tasks[[#This Row],[_StartWorkday]]+1),0)</f>
        <v>0</v>
      </c>
      <c r="CT68" s="41" t="n">
        <f aca="false">Tasks[[#This Row],[_WorkPerWorkday]]*(Tasks[[#This Row],[_StartWorkday]]-1)</f>
        <v>-0</v>
      </c>
      <c r="CU68" s="41" t="n">
        <f aca="false">IF(Tasks[[#This Row],[_IsLeaf]]=1,MAX(N(Tasks[[#This Row],[Duration]]),0.1),0)</f>
        <v>0</v>
      </c>
      <c r="CV68" s="41" t="n">
        <f aca="false">Tasks[[#This Row],[_WeightDur]]*Tasks[[#This Row],[_LeafProgress]]</f>
        <v>0</v>
      </c>
      <c r="CW6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6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6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6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68" s="41" t="str">
        <f aca="false">IF(Tasks[[#This Row],[Task Name]]="","",Tasks[[#This Row],[_Pred1UIDText]]&amp;IF(AND(Tasks[[#This Row],[_Pred1UIDText]]&lt;&gt;"",Tasks[[#This Row],[_Pred2UIDText]]&lt;&gt;""),",","")&amp;Tasks[[#This Row],[_Pred2UIDText]])</f>
        <v/>
      </c>
      <c r="DB68" s="41" t="str">
        <f aca="false">IF(AND(Tasks[[#This Row],[_IsLeaf]]=1,N(Tasks[[#This Row],[Duration]])=0,Tasks[[#This Row],[_LeafProgress]]&lt;1),Tasks[[#This Row],[_LeafFcstFinish]]+Tasks[[#This Row],[_Row]]/100000,"")</f>
        <v/>
      </c>
      <c r="DC6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68" s="41" t="n">
        <f aca="false">IF(NOT(Tasks[[#This Row],[_IsLeaf]]=1),0,IF(Tasks[[#This Row],[Baseline Cost]]="",Tasks[[#This Row],[_LeafCost]],N(Tasks[[#This Row],[Baseline Cost]])))</f>
        <v>0</v>
      </c>
      <c r="DE68" s="41" t="n">
        <f aca="false">Tasks[[#This Row],[_LeafBudget]]*Tasks[[#This Row],[_PlannedPct]]</f>
        <v>0</v>
      </c>
      <c r="DF68" s="41" t="n">
        <f aca="false">Tasks[[#This Row],[_LeafBudget]]*Tasks[[#This Row],[_LeafProgress]]</f>
        <v>0</v>
      </c>
      <c r="DG68" s="41" t="n">
        <f aca="false">IF(NOT(Tasks[[#This Row],[_IsLeaf]]=1),0,IF(Tasks[[#This Row],[Actual Cost]]="",Tasks[[#This Row],[_LeafCost]]*Tasks[[#This Row],[_LeafProgress]],N(Tasks[[#This Row],[Actual Cost]])))</f>
        <v>0</v>
      </c>
      <c r="DH68" s="41" t="str">
        <f aca="false">IF(Tasks[[#This Row],[Task Name]]="","",LEFT(Tasks[[#This Row],[WBS]],FIND(".",Tasks[[#This Row],[WBS]]&amp;".")-1))</f>
        <v/>
      </c>
      <c r="DI68" s="41" t="str">
        <f aca="false">IF(AND(Tasks[[#This Row],[Task Name]]&lt;&gt;"",Tasks[[#This Row],[_Level]]=1),Tasks[[#This Row],[_Row]],"")</f>
        <v/>
      </c>
      <c r="DJ68" s="41" t="str">
        <f aca="false">IF(AND(Tasks[[#This Row],[_IsLeaf]]=1,N(Tasks[[#This Row],[Duration]])=0),Tasks[[#This Row],[Planned Finish]]+Tasks[[#This Row],[_Row]]/100000,"")</f>
        <v/>
      </c>
      <c r="DK68" s="41" t="str">
        <f aca="false">IF(AND(Tasks[[#This Row],[_IsLeaf]]=1,Tasks[[#This Row],[_LeafProgress]]&lt;1,OR(N(Tasks[[#This Row],[Finish Var]])&gt;0,Tasks[[#This Row],[Status]]="Late Start")),MAX(0,Tasks[[#This Row],[Finish Var]])+1-Tasks[[#This Row],[_Row]]/1000000,"")</f>
        <v/>
      </c>
      <c r="DL68" s="41" t="str">
        <f aca="false">IF(AND(Tasks[[#This Row],[_IsLeaf]]=1,N(Tasks[[#This Row],[Actual Start]])=0,Tasks[[#This Row],[_LeafFcstStart]]&gt;=StatusDate,Tasks[[#This Row],[_LeafFcstStart]]&lt;=LookaheadEnd),Tasks[[#This Row],[_LeafFcstStart]]+Tasks[[#This Row],[_Row]]/100000,"")</f>
        <v/>
      </c>
      <c r="DM68" s="41" t="str">
        <f aca="false">IF(AND(Tasks[[#This Row],[_IsLeaf]]=1,Tasks[[#This Row],[_LeafProgress]]&lt;1,Tasks[[#This Row],[_LeafFcstFinish]]&gt;=StatusDate,Tasks[[#This Row],[_LeafFcstFinish]]&lt;=LookaheadEnd),Tasks[[#This Row],[_LeafFcstFinish]]+Tasks[[#This Row],[_Row]]/100000,"")</f>
        <v/>
      </c>
      <c r="DN68" s="41" t="str">
        <f aca="false">IF(Tasks[[#This Row],[_LeafCritical]],Tasks[[#This Row],[_LeafFcstStart]]+Tasks[[#This Row],[_Row]]/100000,"")</f>
        <v/>
      </c>
      <c r="DO68" s="41" t="n">
        <f aca="false">Tasks[[#This Row],[_LeafWork]]*Tasks[[#This Row],[_LeafProgress]]</f>
        <v>0</v>
      </c>
      <c r="DP68" s="100" t="str">
        <f aca="false">IF(AND(Tasks[[#This Row],[_IsLeaf]]=1,Tasks[[#This Row],[_LeafProgress]]&gt;=1),IF(N(Tasks[[#This Row],[Actual Finish]])&gt;0,Tasks[[#This Row],[Actual Finish]],Tasks[[#This Row],[_LeafFcstFinish]]),"")</f>
        <v/>
      </c>
      <c r="DQ68" s="41" t="n">
        <f aca="false">IF(Tasks[[#This Row],[_IsLeaf]]=1,N(Tasks[[#This Row],[Story Points]]),0)</f>
        <v>0</v>
      </c>
      <c r="DR68" s="41" t="str">
        <f aca="false">IF(AND(Tasks[[#This Row],[_IsLeaf]]=1,CurrentSprint&lt;&gt;"",Tasks[[#This Row],[Sprint]]=CurrentSprint),Tasks[[#This Row],[_Row]],"")</f>
        <v/>
      </c>
    </row>
    <row r="69" customFormat="false" ht="15" hidden="false" customHeight="false" outlineLevel="0" collapsed="false">
      <c r="A69" s="28" t="str">
        <f aca="false">IF(Tasks[[#This Row],[Task Name]]="","",COUNTA(Tasks[[#Headers],[Task Name]]:Tasks[[#This Row],[Task Name]])-1)</f>
        <v/>
      </c>
      <c r="B69" s="29" t="n">
        <v>64</v>
      </c>
      <c r="C6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9" s="29"/>
      <c r="E69" s="30"/>
      <c r="F69" s="29"/>
      <c r="G69" s="29"/>
      <c r="H69" s="29"/>
      <c r="I69" s="29"/>
      <c r="J69" s="29"/>
      <c r="K69" s="29"/>
      <c r="L69" s="29"/>
      <c r="M69" s="29"/>
      <c r="N69" s="73"/>
      <c r="O69" s="73"/>
      <c r="P69" s="25" t="str">
        <f aca="false">IF(Tasks[[#This Row],[Task Name]]="","",IF(N(Tasks[[#This Row],[Baseline Start]])&gt;0,Tasks[[#This Row],[Baseline Start]],Tasks[[#This Row],[_CalcStart]]))</f>
        <v/>
      </c>
      <c r="Q69" s="25" t="str">
        <f aca="false">IF(Tasks[[#This Row],[Task Name]]="","",IF(N(Tasks[[#This Row],[Baseline Finish]])&gt;0,Tasks[[#This Row],[Baseline Finish]],Tasks[[#This Row],[_CalcFinish]]))</f>
        <v/>
      </c>
      <c r="R69" s="73"/>
      <c r="S69" s="73"/>
      <c r="T69" s="25" t="str">
        <f aca="false">IF(Tasks[[#This Row],[Task Name]]="","",IF(Tasks[[#This Row],[_IsSummary]],MIN(INDEX(Tasks[_LeafFcstStart],Tasks[[#This Row],[_Row]]+1):INDEX(Tasks[_LeafFcstStart],Tasks[[#This Row],[_Row]]+Tasks[[#This Row],[_Descendants]])),Tasks[[#This Row],[_LeafFcstStart]]))</f>
        <v/>
      </c>
      <c r="U69" s="25" t="str">
        <f aca="false">IF(Tasks[[#This Row],[Task Name]]="","",IF(Tasks[[#This Row],[_IsSummary]],MAX(INDEX(Tasks[_LeafFcstFinish],Tasks[[#This Row],[_Row]]+1):INDEX(Tasks[_LeafFcstFinish],Tasks[[#This Row],[_Row]]+Tasks[[#This Row],[_Descendants]])),Tasks[[#This Row],[_LeafFcstFinish]]))</f>
        <v/>
      </c>
      <c r="V6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6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9" s="25" t="str">
        <f aca="false">IF(Tasks[[#This Row],[Task Name]]="","",IF(Tasks[[#This Row],[_IsSummary]],MIN(INDEX(Tasks[_LeafLateStart],Tasks[[#This Row],[_Row]]+1):INDEX(Tasks[_LeafLateStart],Tasks[[#This Row],[_Row]]+Tasks[[#This Row],[_Descendants]])),Tasks[[#This Row],[_LeafLateStart]]))</f>
        <v/>
      </c>
      <c r="Y69" s="25" t="str">
        <f aca="false">IF(Tasks[[#This Row],[Task Name]]="","",IF(Tasks[[#This Row],[_IsSummary]],MAX(INDEX(Tasks[_LeafLateFinish],Tasks[[#This Row],[_Row]]+1):INDEX(Tasks[_LeafLateFinish],Tasks[[#This Row],[_Row]]+Tasks[[#This Row],[_Descendants]])),Tasks[[#This Row],[_LeafLateFinish]]))</f>
        <v/>
      </c>
      <c r="Z69" s="43" t="str">
        <f aca="false">IF(Tasks[[#This Row],[Task Name]]="","",IF(Tasks[[#This Row],[_IsSummary]],MIN(INDEX(Tasks[_LeafTotalSlack],Tasks[[#This Row],[_Row]]+1):INDEX(Tasks[_LeafTotalSlack],Tasks[[#This Row],[_Row]]+Tasks[[#This Row],[_Descendants]])),Tasks[[#This Row],[_LeafTotalSlack]]))</f>
        <v/>
      </c>
      <c r="AA6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9" s="28" t="str">
        <f aca="false">IF(Tasks[[#This Row],[Task Name]]="","",IF(IF(Tasks[[#This Row],[_IsSummary]],COUNTIF(INDEX(Tasks[_LeafCritical],Tasks[[#This Row],[_Row]]+1):INDEX(Tasks[_LeafCritical],Tasks[[#This Row],[_Row]]+Tasks[[#This Row],[_Descendants]]),TRUE())&gt;0,Tasks[[#This Row],[_LeafCritical]]),"Yes",""))</f>
        <v/>
      </c>
      <c r="AC6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9" s="24" t="str">
        <f aca="false">IF(Tasks[[#This Row],[Task Name]]="","",TRIM(IF(Tasks[[#This Row],[_Pred1Problem]]&lt;&gt;"","Pred 1: "&amp;Tasks[[#This Row],[_Pred1Problem]]&amp;". ","")&amp;IF(Tasks[[#This Row],[_Pred2Problem]]&lt;&gt;"","Pred 2: "&amp;Tasks[[#This Row],[_Pred2Problem]]&amp;".","")))</f>
        <v/>
      </c>
      <c r="AE69" s="88"/>
      <c r="AF69"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9" s="28" t="str">
        <f aca="false">IF(Tasks[[#This Row],[Task Name]]="","",IF(Tasks[[#This Row],[Progress]]&gt;=1,"Complete",IF(OR(N(Tasks[[#This Row],[Actual Start]])&gt;0,Tasks[[#This Row],[Progress]]&gt;0),IF(Tasks[[#This Row],[Finish Var]]&gt;0,"Behind","In Progress"),IF(Tasks[[#This Row],[Planned Start]]&lt;StatusDate,"Late Start","Not Started"))))</f>
        <v/>
      </c>
      <c r="AH69" s="30"/>
      <c r="AI69" s="88"/>
      <c r="AJ69" s="95" t="str">
        <f aca="false">IF(Tasks[[#This Row],[Task Name]]="","",IF(Tasks[[#This Row],[_IsSummary]],SUM(INDEX(Tasks[_LeafWork],Tasks[[#This Row],[_Row]]+1):INDEX(Tasks[_LeafWork],Tasks[[#This Row],[_Row]]+Tasks[[#This Row],[_Descendants]])),Tasks[[#This Row],[_LeafWork]]))</f>
        <v/>
      </c>
      <c r="AK69" s="96" t="str">
        <f aca="false">IF(Tasks[[#This Row],[Task Name]]="","",IF(Tasks[[#This Row],[_IsSummary]],SUM(INDEX(Tasks[_LeafCost],Tasks[[#This Row],[_Row]]+1):INDEX(Tasks[_LeafCost],Tasks[[#This Row],[_Row]]+Tasks[[#This Row],[_Descendants]])),Tasks[[#This Row],[_LeafCost]]))</f>
        <v/>
      </c>
      <c r="AL69" s="97"/>
      <c r="AM69" s="29"/>
      <c r="AN6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69" s="82"/>
      <c r="AP69" s="24" t="str">
        <f aca="false">IF(Tasks[[#This Row],[Task Name]]="","",Tasks[[#This Row],[_Pred1IDText]]&amp;IF(AND(Tasks[[#This Row],[_Pred1IDText]]&lt;&gt;"",Tasks[[#This Row],[_Pred2IDText]]&lt;&gt;""),",","")&amp;Tasks[[#This Row],[_Pred2IDText]])</f>
        <v/>
      </c>
      <c r="AQ69" s="30"/>
      <c r="AR69" s="25" t="str">
        <f aca="false">IF(Tasks[[#This Row],[Task Name]]="","",Tasks[[#This Row],[Forecast Start]])</f>
        <v/>
      </c>
      <c r="AS69" s="25" t="str">
        <f aca="false">IF(Tasks[[#This Row],[Task Name]]="","",Tasks[[#This Row],[Forecast Finish]])</f>
        <v/>
      </c>
      <c r="AT69" s="28" t="str">
        <f aca="false">IF(Tasks[[#This Row],[Task Name]]="","",IF(Tasks[[#This Row],[_IsSummary]],NETWORKDAYS.INTL(Tasks[[#This Row],[Forecast Start]],Tasks[[#This Row],[Forecast Finish]],WorkWeek,Holidays),N(Tasks[[#This Row],[Duration]])))</f>
        <v/>
      </c>
      <c r="AU69" s="95" t="str">
        <f aca="false">IF(Tasks[[#This Row],[Task Name]]="","",Tasks[[#This Row],[Work]])</f>
        <v/>
      </c>
      <c r="AV69" s="96" t="str">
        <f aca="false">IF(Tasks[[#This Row],[Task Name]]="","",Tasks[[#This Row],[Cost]])</f>
        <v/>
      </c>
      <c r="AW69" s="73"/>
      <c r="AX69" s="73"/>
      <c r="AY69" s="29"/>
      <c r="AZ69" s="98"/>
      <c r="BA69" s="97"/>
      <c r="BB69" s="28" t="str">
        <f aca="false">IF(OR(Tasks[[#This Row],[Task Name]]="",Tasks[[#This Row],[Baseline Duration]]=""),"",Tasks[[#This Row],[BL Source Duration]]-N(Tasks[[#This Row],[Baseline Duration]]))</f>
        <v/>
      </c>
      <c r="BC69" s="95" t="str">
        <f aca="false">IF(OR(Tasks[[#This Row],[Task Name]]="",Tasks[[#This Row],[Baseline Work]]=""),"",Tasks[[#This Row],[Work]]-N(Tasks[[#This Row],[Baseline Work]]))</f>
        <v/>
      </c>
      <c r="BD69" s="96" t="str">
        <f aca="false">IF(OR(Tasks[[#This Row],[Task Name]]="",Tasks[[#This Row],[Baseline Cost]]=""),"",Tasks[[#This Row],[Cost]]-N(Tasks[[#This Row],[Baseline Cost]]))</f>
        <v/>
      </c>
      <c r="BE69" s="96" t="str">
        <f aca="false">IF(Tasks[[#This Row],[Task Name]]="","",IF(Tasks[[#This Row],[_IsSummary]],SUM(INDEX(Tasks[_LeafBudget],Tasks[[#This Row],[_Row]]+1):INDEX(Tasks[_LeafBudget],Tasks[[#This Row],[_Row]]+Tasks[[#This Row],[_Descendants]])),Tasks[[#This Row],[_LeafBudget]]))</f>
        <v/>
      </c>
      <c r="BF69" s="96" t="str">
        <f aca="false">IF(Tasks[[#This Row],[Task Name]]="","",IF(Tasks[[#This Row],[_IsSummary]],SUM(INDEX(Tasks[_LeafPV],Tasks[[#This Row],[_Row]]+1):INDEX(Tasks[_LeafPV],Tasks[[#This Row],[_Row]]+Tasks[[#This Row],[_Descendants]])),Tasks[[#This Row],[_LeafPV]]))</f>
        <v/>
      </c>
      <c r="BG69" s="96" t="str">
        <f aca="false">IF(Tasks[[#This Row],[Task Name]]="","",IF(Tasks[[#This Row],[_IsSummary]],SUM(INDEX(Tasks[_LeafEV],Tasks[[#This Row],[_Row]]+1):INDEX(Tasks[_LeafEV],Tasks[[#This Row],[_Row]]+Tasks[[#This Row],[_Descendants]])),Tasks[[#This Row],[_LeafEV]]))</f>
        <v/>
      </c>
      <c r="BH69" s="96" t="str">
        <f aca="false">IF(Tasks[[#This Row],[Task Name]]="","",IF(Tasks[[#This Row],[_IsSummary]],SUM(INDEX(Tasks[_LeafAC],Tasks[[#This Row],[_Row]]+1):INDEX(Tasks[_LeafAC],Tasks[[#This Row],[_Row]]+Tasks[[#This Row],[_Descendants]])),Tasks[[#This Row],[_LeafAC]]))</f>
        <v/>
      </c>
      <c r="BI69" s="41" t="str">
        <f aca="false">IF(Tasks[[#This Row],[Task Name]]="","",MAX(1,N(Tasks[[#This Row],[Level]])))</f>
        <v/>
      </c>
      <c r="BJ69" s="41" t="n">
        <f aca="false">ROW()-ROW(Tasks[[#Headers],[ID]])</f>
        <v>64</v>
      </c>
      <c r="BK69" s="41" t="n">
        <f aca="false">IF(OR(Tasks[[#This Row],[Task Name]]="",Tasks[[#This Row],[_Level]]&lt;=1),0,IFERROR(LOOKUP(2,1/(Tasks[[#Headers],[_Level]]:Tasks[[#This Row],[_Level]]=Tasks[[#This Row],[_Level]]-1),ROW(Tasks[[#Headers],[_Level]]:Tasks[[#This Row],[_Level]])),0))</f>
        <v>0</v>
      </c>
      <c r="BL69" s="41" t="n">
        <f aca="false">IFERROR(N(INDEX(Tasks[_Level],Tasks[[#This Row],[_Row]]+1)),0)</f>
        <v>0</v>
      </c>
      <c r="BM69" s="99" t="b">
        <f aca="false">AND(Tasks[[#This Row],[Task Name]]&lt;&gt;"",Tasks[[#This Row],[_NextLevel]]&gt;Tasks[[#This Row],[_Level]])</f>
        <v>0</v>
      </c>
      <c r="BN69" s="41" t="n">
        <f aca="false">IF(Tasks[[#This Row],[_IsSummary]],COUNTIF(Tasks[WBS],Tasks[[#This Row],[WBS]]&amp;".*"),0)</f>
        <v>0</v>
      </c>
      <c r="BO69" s="41" t="n">
        <f aca="false">IF(AND(Tasks[[#This Row],[Task Name]]&lt;&gt;"",NOT(Tasks[[#This Row],[_IsSummary]])),1,0)</f>
        <v>0</v>
      </c>
      <c r="BP69" s="41" t="n">
        <f aca="false">IF(N(Tasks[[#This Row],[Pred1 UID]])=0,0,IFERROR(MATCH(Tasks[[#This Row],[Pred1 UID]],Tasks[UID],0),-1))</f>
        <v>0</v>
      </c>
      <c r="BQ69" s="41" t="n">
        <f aca="false">IF(N(Tasks[[#This Row],[Pred2 UID]])=0,0,IFERROR(MATCH(Tasks[[#This Row],[Pred2 UID]],Tasks[UID],0),-1))</f>
        <v>0</v>
      </c>
      <c r="BR69"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69" s="100" t="str">
        <f aca="false">IF(NOT(Tasks[[#This Row],[_IsLeaf]]=1),"",IF(N(Tasks[[#This Row],[Duration]])&lt;=0,Tasks[[#This Row],[_LeafCalcStart]],WORKDAY.INTL(Tasks[[#This Row],[_LeafCalcStart]],Tasks[[#This Row],[Duration]]-1,WorkWeek,Holidays)))</f>
        <v/>
      </c>
      <c r="BT69"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69"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69" s="41" t="n">
        <f aca="false">IF(NOT(Tasks[[#This Row],[_IsLeaf]]=1),0,IF(N(Tasks[[#This Row],[Actual Finish]])&gt;0,1,MIN(1,N(Tasks[[#This Row],[% Complete]]))))</f>
        <v>0</v>
      </c>
      <c r="BW69" s="41" t="n">
        <f aca="false">IF(OR(NOT(Tasks[[#This Row],[_IsLeaf]]=1),Tasks[[#This Row],[Resource]]=""),0,N(Tasks[[#This Row],[Duration]])*HoursPerDay*IF(Tasks[[#This Row],[Units]]="",DefaultUnits,Tasks[[#This Row],[Units]]))</f>
        <v>0</v>
      </c>
      <c r="BX69" s="41" t="n">
        <f aca="false">IF(Tasks[[#This Row],[_LeafWork]]=0,0,Tasks[[#This Row],[_LeafWork]]*IFERROR(INDEX(res_Rate,MATCH(Tasks[[#This Row],[Resource]],res_Name,0)),0))</f>
        <v>0</v>
      </c>
      <c r="BY6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6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6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6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69" s="41" t="n">
        <f aca="false">IF(NOT(Tasks[[#This Row],[_IsLeaf]]=1),0,MAX(_xlfn.MAXIFS(Tasks[_Row],Tasks[Pred1 UID],Tasks[[#This Row],[UID]]),_xlfn.MAXIFS(Tasks[_Row],Tasks[Pred2 UID],Tasks[[#This Row],[UID]])))</f>
        <v>0</v>
      </c>
      <c r="CD69"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69" s="100" t="str">
        <f aca="false">IF(NOT(Tasks[[#This Row],[_IsLeaf]]=1),"",MIN(ProjectFinish,IF(N(Tasks[[#This Row],[Deadline]])&gt;0,Tasks[[#This Row],[Deadline]],2958465),Tasks[[#This Row],[_SuccessorFinishLimit]]))</f>
        <v/>
      </c>
      <c r="CF69" s="100" t="str">
        <f aca="false">IF(NOT(Tasks[[#This Row],[_IsLeaf]]=1),"",IF(N(Tasks[[#This Row],[Duration]])&lt;=0,Tasks[[#This Row],[_LeafLateFinish]],WORKDAY.INTL(Tasks[[#This Row],[_LeafLateFinish]],-(Tasks[[#This Row],[Duration]]-1),WorkWeek,Holidays)))</f>
        <v/>
      </c>
      <c r="CG6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69" s="99" t="b">
        <f aca="false">AND(Tasks[[#This Row],[_IsLeaf]]=1,Tasks[[#This Row],[_LeafProgress]]&lt;1,N(Tasks[[#This Row],[_LeafTotalSlack]])&lt;=CriticalSlackDays)</f>
        <v>0</v>
      </c>
      <c r="CI69" s="100" t="str">
        <f aca="false">IF(Tasks[[#This Row],[Task Name]]="","",IF(Tasks[[#This Row],[_IsSummary]],MIN(INDEX(Tasks[_LeafCalcStart],Tasks[[#This Row],[_Row]]+1):INDEX(Tasks[_LeafCalcStart],Tasks[[#This Row],[_Row]]+Tasks[[#This Row],[_Descendants]])),Tasks[[#This Row],[_LeafCalcStart]]))</f>
        <v/>
      </c>
      <c r="CJ69" s="100" t="str">
        <f aca="false">IF(Tasks[[#This Row],[Task Name]]="","",IF(Tasks[[#This Row],[_IsSummary]],MAX(INDEX(Tasks[_LeafCalcFinish],Tasks[[#This Row],[_Row]]+1):INDEX(Tasks[_LeafCalcFinish],Tasks[[#This Row],[_Row]]+Tasks[[#This Row],[_Descendants]])),Tasks[[#This Row],[_LeafCalcFinish]]))</f>
        <v/>
      </c>
      <c r="CK6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6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69"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69"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69"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69"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69" s="41" t="n">
        <f aca="false">IF(AND(Tasks[[#This Row],[_IsLeaf]]=1,Tasks[[#This Row],[_LeafWork]]&gt;0),NETWORKDAYS.INTL(ProjectStart,Tasks[[#This Row],[_LeafFcstStart]],WorkWeek,Holidays),0)</f>
        <v>0</v>
      </c>
      <c r="CR69" s="41" t="n">
        <f aca="false">IF(AND(Tasks[[#This Row],[_IsLeaf]]=1,Tasks[[#This Row],[_LeafWork]]&gt;0),MAX(Tasks[[#This Row],[_StartWorkday]],NETWORKDAYS.INTL(ProjectStart,Tasks[[#This Row],[_LeafFcstFinish]],WorkWeek,Holidays)),0)</f>
        <v>0</v>
      </c>
      <c r="CS69" s="41" t="n">
        <f aca="false">IF(AND(Tasks[[#This Row],[_IsLeaf]]=1,Tasks[[#This Row],[_LeafWork]]&gt;0),Tasks[[#This Row],[_LeafWork]]/(Tasks[[#This Row],[_FinishWorkday]]-Tasks[[#This Row],[_StartWorkday]]+1),0)</f>
        <v>0</v>
      </c>
      <c r="CT69" s="41" t="n">
        <f aca="false">Tasks[[#This Row],[_WorkPerWorkday]]*(Tasks[[#This Row],[_StartWorkday]]-1)</f>
        <v>-0</v>
      </c>
      <c r="CU69" s="41" t="n">
        <f aca="false">IF(Tasks[[#This Row],[_IsLeaf]]=1,MAX(N(Tasks[[#This Row],[Duration]]),0.1),0)</f>
        <v>0</v>
      </c>
      <c r="CV69" s="41" t="n">
        <f aca="false">Tasks[[#This Row],[_WeightDur]]*Tasks[[#This Row],[_LeafProgress]]</f>
        <v>0</v>
      </c>
      <c r="CW6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6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6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6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69" s="41" t="str">
        <f aca="false">IF(Tasks[[#This Row],[Task Name]]="","",Tasks[[#This Row],[_Pred1UIDText]]&amp;IF(AND(Tasks[[#This Row],[_Pred1UIDText]]&lt;&gt;"",Tasks[[#This Row],[_Pred2UIDText]]&lt;&gt;""),",","")&amp;Tasks[[#This Row],[_Pred2UIDText]])</f>
        <v/>
      </c>
      <c r="DB69" s="41" t="str">
        <f aca="false">IF(AND(Tasks[[#This Row],[_IsLeaf]]=1,N(Tasks[[#This Row],[Duration]])=0,Tasks[[#This Row],[_LeafProgress]]&lt;1),Tasks[[#This Row],[_LeafFcstFinish]]+Tasks[[#This Row],[_Row]]/100000,"")</f>
        <v/>
      </c>
      <c r="DC6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69" s="41" t="n">
        <f aca="false">IF(NOT(Tasks[[#This Row],[_IsLeaf]]=1),0,IF(Tasks[[#This Row],[Baseline Cost]]="",Tasks[[#This Row],[_LeafCost]],N(Tasks[[#This Row],[Baseline Cost]])))</f>
        <v>0</v>
      </c>
      <c r="DE69" s="41" t="n">
        <f aca="false">Tasks[[#This Row],[_LeafBudget]]*Tasks[[#This Row],[_PlannedPct]]</f>
        <v>0</v>
      </c>
      <c r="DF69" s="41" t="n">
        <f aca="false">Tasks[[#This Row],[_LeafBudget]]*Tasks[[#This Row],[_LeafProgress]]</f>
        <v>0</v>
      </c>
      <c r="DG69" s="41" t="n">
        <f aca="false">IF(NOT(Tasks[[#This Row],[_IsLeaf]]=1),0,IF(Tasks[[#This Row],[Actual Cost]]="",Tasks[[#This Row],[_LeafCost]]*Tasks[[#This Row],[_LeafProgress]],N(Tasks[[#This Row],[Actual Cost]])))</f>
        <v>0</v>
      </c>
      <c r="DH69" s="41" t="str">
        <f aca="false">IF(Tasks[[#This Row],[Task Name]]="","",LEFT(Tasks[[#This Row],[WBS]],FIND(".",Tasks[[#This Row],[WBS]]&amp;".")-1))</f>
        <v/>
      </c>
      <c r="DI69" s="41" t="str">
        <f aca="false">IF(AND(Tasks[[#This Row],[Task Name]]&lt;&gt;"",Tasks[[#This Row],[_Level]]=1),Tasks[[#This Row],[_Row]],"")</f>
        <v/>
      </c>
      <c r="DJ69" s="41" t="str">
        <f aca="false">IF(AND(Tasks[[#This Row],[_IsLeaf]]=1,N(Tasks[[#This Row],[Duration]])=0),Tasks[[#This Row],[Planned Finish]]+Tasks[[#This Row],[_Row]]/100000,"")</f>
        <v/>
      </c>
      <c r="DK69" s="41" t="str">
        <f aca="false">IF(AND(Tasks[[#This Row],[_IsLeaf]]=1,Tasks[[#This Row],[_LeafProgress]]&lt;1,OR(N(Tasks[[#This Row],[Finish Var]])&gt;0,Tasks[[#This Row],[Status]]="Late Start")),MAX(0,Tasks[[#This Row],[Finish Var]])+1-Tasks[[#This Row],[_Row]]/1000000,"")</f>
        <v/>
      </c>
      <c r="DL69" s="41" t="str">
        <f aca="false">IF(AND(Tasks[[#This Row],[_IsLeaf]]=1,N(Tasks[[#This Row],[Actual Start]])=0,Tasks[[#This Row],[_LeafFcstStart]]&gt;=StatusDate,Tasks[[#This Row],[_LeafFcstStart]]&lt;=LookaheadEnd),Tasks[[#This Row],[_LeafFcstStart]]+Tasks[[#This Row],[_Row]]/100000,"")</f>
        <v/>
      </c>
      <c r="DM69" s="41" t="str">
        <f aca="false">IF(AND(Tasks[[#This Row],[_IsLeaf]]=1,Tasks[[#This Row],[_LeafProgress]]&lt;1,Tasks[[#This Row],[_LeafFcstFinish]]&gt;=StatusDate,Tasks[[#This Row],[_LeafFcstFinish]]&lt;=LookaheadEnd),Tasks[[#This Row],[_LeafFcstFinish]]+Tasks[[#This Row],[_Row]]/100000,"")</f>
        <v/>
      </c>
      <c r="DN69" s="41" t="str">
        <f aca="false">IF(Tasks[[#This Row],[_LeafCritical]],Tasks[[#This Row],[_LeafFcstStart]]+Tasks[[#This Row],[_Row]]/100000,"")</f>
        <v/>
      </c>
      <c r="DO69" s="41" t="n">
        <f aca="false">Tasks[[#This Row],[_LeafWork]]*Tasks[[#This Row],[_LeafProgress]]</f>
        <v>0</v>
      </c>
      <c r="DP69" s="100" t="str">
        <f aca="false">IF(AND(Tasks[[#This Row],[_IsLeaf]]=1,Tasks[[#This Row],[_LeafProgress]]&gt;=1),IF(N(Tasks[[#This Row],[Actual Finish]])&gt;0,Tasks[[#This Row],[Actual Finish]],Tasks[[#This Row],[_LeafFcstFinish]]),"")</f>
        <v/>
      </c>
      <c r="DQ69" s="41" t="n">
        <f aca="false">IF(Tasks[[#This Row],[_IsLeaf]]=1,N(Tasks[[#This Row],[Story Points]]),0)</f>
        <v>0</v>
      </c>
      <c r="DR69" s="41" t="str">
        <f aca="false">IF(AND(Tasks[[#This Row],[_IsLeaf]]=1,CurrentSprint&lt;&gt;"",Tasks[[#This Row],[Sprint]]=CurrentSprint),Tasks[[#This Row],[_Row]],"")</f>
        <v/>
      </c>
    </row>
    <row r="70" customFormat="false" ht="15" hidden="false" customHeight="false" outlineLevel="0" collapsed="false">
      <c r="A70" s="28" t="str">
        <f aca="false">IF(Tasks[[#This Row],[Task Name]]="","",COUNTA(Tasks[[#Headers],[Task Name]]:Tasks[[#This Row],[Task Name]])-1)</f>
        <v/>
      </c>
      <c r="B70" s="29" t="n">
        <v>65</v>
      </c>
      <c r="C7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0" s="29"/>
      <c r="E70" s="30"/>
      <c r="F70" s="29"/>
      <c r="G70" s="29"/>
      <c r="H70" s="29"/>
      <c r="I70" s="29"/>
      <c r="J70" s="29"/>
      <c r="K70" s="29"/>
      <c r="L70" s="29"/>
      <c r="M70" s="29"/>
      <c r="N70" s="73"/>
      <c r="O70" s="73"/>
      <c r="P70" s="25" t="str">
        <f aca="false">IF(Tasks[[#This Row],[Task Name]]="","",IF(N(Tasks[[#This Row],[Baseline Start]])&gt;0,Tasks[[#This Row],[Baseline Start]],Tasks[[#This Row],[_CalcStart]]))</f>
        <v/>
      </c>
      <c r="Q70" s="25" t="str">
        <f aca="false">IF(Tasks[[#This Row],[Task Name]]="","",IF(N(Tasks[[#This Row],[Baseline Finish]])&gt;0,Tasks[[#This Row],[Baseline Finish]],Tasks[[#This Row],[_CalcFinish]]))</f>
        <v/>
      </c>
      <c r="R70" s="73"/>
      <c r="S70" s="73"/>
      <c r="T70" s="25" t="str">
        <f aca="false">IF(Tasks[[#This Row],[Task Name]]="","",IF(Tasks[[#This Row],[_IsSummary]],MIN(INDEX(Tasks[_LeafFcstStart],Tasks[[#This Row],[_Row]]+1):INDEX(Tasks[_LeafFcstStart],Tasks[[#This Row],[_Row]]+Tasks[[#This Row],[_Descendants]])),Tasks[[#This Row],[_LeafFcstStart]]))</f>
        <v/>
      </c>
      <c r="U70" s="25" t="str">
        <f aca="false">IF(Tasks[[#This Row],[Task Name]]="","",IF(Tasks[[#This Row],[_IsSummary]],MAX(INDEX(Tasks[_LeafFcstFinish],Tasks[[#This Row],[_Row]]+1):INDEX(Tasks[_LeafFcstFinish],Tasks[[#This Row],[_Row]]+Tasks[[#This Row],[_Descendants]])),Tasks[[#This Row],[_LeafFcstFinish]]))</f>
        <v/>
      </c>
      <c r="V7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7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0" s="25" t="str">
        <f aca="false">IF(Tasks[[#This Row],[Task Name]]="","",IF(Tasks[[#This Row],[_IsSummary]],MIN(INDEX(Tasks[_LeafLateStart],Tasks[[#This Row],[_Row]]+1):INDEX(Tasks[_LeafLateStart],Tasks[[#This Row],[_Row]]+Tasks[[#This Row],[_Descendants]])),Tasks[[#This Row],[_LeafLateStart]]))</f>
        <v/>
      </c>
      <c r="Y70" s="25" t="str">
        <f aca="false">IF(Tasks[[#This Row],[Task Name]]="","",IF(Tasks[[#This Row],[_IsSummary]],MAX(INDEX(Tasks[_LeafLateFinish],Tasks[[#This Row],[_Row]]+1):INDEX(Tasks[_LeafLateFinish],Tasks[[#This Row],[_Row]]+Tasks[[#This Row],[_Descendants]])),Tasks[[#This Row],[_LeafLateFinish]]))</f>
        <v/>
      </c>
      <c r="Z70" s="43" t="str">
        <f aca="false">IF(Tasks[[#This Row],[Task Name]]="","",IF(Tasks[[#This Row],[_IsSummary]],MIN(INDEX(Tasks[_LeafTotalSlack],Tasks[[#This Row],[_Row]]+1):INDEX(Tasks[_LeafTotalSlack],Tasks[[#This Row],[_Row]]+Tasks[[#This Row],[_Descendants]])),Tasks[[#This Row],[_LeafTotalSlack]]))</f>
        <v/>
      </c>
      <c r="AA7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0" s="28" t="str">
        <f aca="false">IF(Tasks[[#This Row],[Task Name]]="","",IF(IF(Tasks[[#This Row],[_IsSummary]],COUNTIF(INDEX(Tasks[_LeafCritical],Tasks[[#This Row],[_Row]]+1):INDEX(Tasks[_LeafCritical],Tasks[[#This Row],[_Row]]+Tasks[[#This Row],[_Descendants]]),TRUE())&gt;0,Tasks[[#This Row],[_LeafCritical]]),"Yes",""))</f>
        <v/>
      </c>
      <c r="AC7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0" s="24" t="str">
        <f aca="false">IF(Tasks[[#This Row],[Task Name]]="","",TRIM(IF(Tasks[[#This Row],[_Pred1Problem]]&lt;&gt;"","Pred 1: "&amp;Tasks[[#This Row],[_Pred1Problem]]&amp;". ","")&amp;IF(Tasks[[#This Row],[_Pred2Problem]]&lt;&gt;"","Pred 2: "&amp;Tasks[[#This Row],[_Pred2Problem]]&amp;".","")))</f>
        <v/>
      </c>
      <c r="AE70" s="88"/>
      <c r="AF70"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0" s="28" t="str">
        <f aca="false">IF(Tasks[[#This Row],[Task Name]]="","",IF(Tasks[[#This Row],[Progress]]&gt;=1,"Complete",IF(OR(N(Tasks[[#This Row],[Actual Start]])&gt;0,Tasks[[#This Row],[Progress]]&gt;0),IF(Tasks[[#This Row],[Finish Var]]&gt;0,"Behind","In Progress"),IF(Tasks[[#This Row],[Planned Start]]&lt;StatusDate,"Late Start","Not Started"))))</f>
        <v/>
      </c>
      <c r="AH70" s="30"/>
      <c r="AI70" s="88"/>
      <c r="AJ70" s="95" t="str">
        <f aca="false">IF(Tasks[[#This Row],[Task Name]]="","",IF(Tasks[[#This Row],[_IsSummary]],SUM(INDEX(Tasks[_LeafWork],Tasks[[#This Row],[_Row]]+1):INDEX(Tasks[_LeafWork],Tasks[[#This Row],[_Row]]+Tasks[[#This Row],[_Descendants]])),Tasks[[#This Row],[_LeafWork]]))</f>
        <v/>
      </c>
      <c r="AK70" s="96" t="str">
        <f aca="false">IF(Tasks[[#This Row],[Task Name]]="","",IF(Tasks[[#This Row],[_IsSummary]],SUM(INDEX(Tasks[_LeafCost],Tasks[[#This Row],[_Row]]+1):INDEX(Tasks[_LeafCost],Tasks[[#This Row],[_Row]]+Tasks[[#This Row],[_Descendants]])),Tasks[[#This Row],[_LeafCost]]))</f>
        <v/>
      </c>
      <c r="AL70" s="97"/>
      <c r="AM70" s="29"/>
      <c r="AN7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70" s="82"/>
      <c r="AP70" s="24" t="str">
        <f aca="false">IF(Tasks[[#This Row],[Task Name]]="","",Tasks[[#This Row],[_Pred1IDText]]&amp;IF(AND(Tasks[[#This Row],[_Pred1IDText]]&lt;&gt;"",Tasks[[#This Row],[_Pred2IDText]]&lt;&gt;""),",","")&amp;Tasks[[#This Row],[_Pred2IDText]])</f>
        <v/>
      </c>
      <c r="AQ70" s="30"/>
      <c r="AR70" s="25" t="str">
        <f aca="false">IF(Tasks[[#This Row],[Task Name]]="","",Tasks[[#This Row],[Forecast Start]])</f>
        <v/>
      </c>
      <c r="AS70" s="25" t="str">
        <f aca="false">IF(Tasks[[#This Row],[Task Name]]="","",Tasks[[#This Row],[Forecast Finish]])</f>
        <v/>
      </c>
      <c r="AT70" s="28" t="str">
        <f aca="false">IF(Tasks[[#This Row],[Task Name]]="","",IF(Tasks[[#This Row],[_IsSummary]],NETWORKDAYS.INTL(Tasks[[#This Row],[Forecast Start]],Tasks[[#This Row],[Forecast Finish]],WorkWeek,Holidays),N(Tasks[[#This Row],[Duration]])))</f>
        <v/>
      </c>
      <c r="AU70" s="95" t="str">
        <f aca="false">IF(Tasks[[#This Row],[Task Name]]="","",Tasks[[#This Row],[Work]])</f>
        <v/>
      </c>
      <c r="AV70" s="96" t="str">
        <f aca="false">IF(Tasks[[#This Row],[Task Name]]="","",Tasks[[#This Row],[Cost]])</f>
        <v/>
      </c>
      <c r="AW70" s="73"/>
      <c r="AX70" s="73"/>
      <c r="AY70" s="29"/>
      <c r="AZ70" s="98"/>
      <c r="BA70" s="97"/>
      <c r="BB70" s="28" t="str">
        <f aca="false">IF(OR(Tasks[[#This Row],[Task Name]]="",Tasks[[#This Row],[Baseline Duration]]=""),"",Tasks[[#This Row],[BL Source Duration]]-N(Tasks[[#This Row],[Baseline Duration]]))</f>
        <v/>
      </c>
      <c r="BC70" s="95" t="str">
        <f aca="false">IF(OR(Tasks[[#This Row],[Task Name]]="",Tasks[[#This Row],[Baseline Work]]=""),"",Tasks[[#This Row],[Work]]-N(Tasks[[#This Row],[Baseline Work]]))</f>
        <v/>
      </c>
      <c r="BD70" s="96" t="str">
        <f aca="false">IF(OR(Tasks[[#This Row],[Task Name]]="",Tasks[[#This Row],[Baseline Cost]]=""),"",Tasks[[#This Row],[Cost]]-N(Tasks[[#This Row],[Baseline Cost]]))</f>
        <v/>
      </c>
      <c r="BE70" s="96" t="str">
        <f aca="false">IF(Tasks[[#This Row],[Task Name]]="","",IF(Tasks[[#This Row],[_IsSummary]],SUM(INDEX(Tasks[_LeafBudget],Tasks[[#This Row],[_Row]]+1):INDEX(Tasks[_LeafBudget],Tasks[[#This Row],[_Row]]+Tasks[[#This Row],[_Descendants]])),Tasks[[#This Row],[_LeafBudget]]))</f>
        <v/>
      </c>
      <c r="BF70" s="96" t="str">
        <f aca="false">IF(Tasks[[#This Row],[Task Name]]="","",IF(Tasks[[#This Row],[_IsSummary]],SUM(INDEX(Tasks[_LeafPV],Tasks[[#This Row],[_Row]]+1):INDEX(Tasks[_LeafPV],Tasks[[#This Row],[_Row]]+Tasks[[#This Row],[_Descendants]])),Tasks[[#This Row],[_LeafPV]]))</f>
        <v/>
      </c>
      <c r="BG70" s="96" t="str">
        <f aca="false">IF(Tasks[[#This Row],[Task Name]]="","",IF(Tasks[[#This Row],[_IsSummary]],SUM(INDEX(Tasks[_LeafEV],Tasks[[#This Row],[_Row]]+1):INDEX(Tasks[_LeafEV],Tasks[[#This Row],[_Row]]+Tasks[[#This Row],[_Descendants]])),Tasks[[#This Row],[_LeafEV]]))</f>
        <v/>
      </c>
      <c r="BH70" s="96" t="str">
        <f aca="false">IF(Tasks[[#This Row],[Task Name]]="","",IF(Tasks[[#This Row],[_IsSummary]],SUM(INDEX(Tasks[_LeafAC],Tasks[[#This Row],[_Row]]+1):INDEX(Tasks[_LeafAC],Tasks[[#This Row],[_Row]]+Tasks[[#This Row],[_Descendants]])),Tasks[[#This Row],[_LeafAC]]))</f>
        <v/>
      </c>
      <c r="BI70" s="41" t="str">
        <f aca="false">IF(Tasks[[#This Row],[Task Name]]="","",MAX(1,N(Tasks[[#This Row],[Level]])))</f>
        <v/>
      </c>
      <c r="BJ70" s="41" t="n">
        <f aca="false">ROW()-ROW(Tasks[[#Headers],[ID]])</f>
        <v>65</v>
      </c>
      <c r="BK70" s="41" t="n">
        <f aca="false">IF(OR(Tasks[[#This Row],[Task Name]]="",Tasks[[#This Row],[_Level]]&lt;=1),0,IFERROR(LOOKUP(2,1/(Tasks[[#Headers],[_Level]]:Tasks[[#This Row],[_Level]]=Tasks[[#This Row],[_Level]]-1),ROW(Tasks[[#Headers],[_Level]]:Tasks[[#This Row],[_Level]])),0))</f>
        <v>0</v>
      </c>
      <c r="BL70" s="41" t="n">
        <f aca="false">IFERROR(N(INDEX(Tasks[_Level],Tasks[[#This Row],[_Row]]+1)),0)</f>
        <v>0</v>
      </c>
      <c r="BM70" s="99" t="b">
        <f aca="false">AND(Tasks[[#This Row],[Task Name]]&lt;&gt;"",Tasks[[#This Row],[_NextLevel]]&gt;Tasks[[#This Row],[_Level]])</f>
        <v>0</v>
      </c>
      <c r="BN70" s="41" t="n">
        <f aca="false">IF(Tasks[[#This Row],[_IsSummary]],COUNTIF(Tasks[WBS],Tasks[[#This Row],[WBS]]&amp;".*"),0)</f>
        <v>0</v>
      </c>
      <c r="BO70" s="41" t="n">
        <f aca="false">IF(AND(Tasks[[#This Row],[Task Name]]&lt;&gt;"",NOT(Tasks[[#This Row],[_IsSummary]])),1,0)</f>
        <v>0</v>
      </c>
      <c r="BP70" s="41" t="n">
        <f aca="false">IF(N(Tasks[[#This Row],[Pred1 UID]])=0,0,IFERROR(MATCH(Tasks[[#This Row],[Pred1 UID]],Tasks[UID],0),-1))</f>
        <v>0</v>
      </c>
      <c r="BQ70" s="41" t="n">
        <f aca="false">IF(N(Tasks[[#This Row],[Pred2 UID]])=0,0,IFERROR(MATCH(Tasks[[#This Row],[Pred2 UID]],Tasks[UID],0),-1))</f>
        <v>0</v>
      </c>
      <c r="BR70"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70" s="100" t="str">
        <f aca="false">IF(NOT(Tasks[[#This Row],[_IsLeaf]]=1),"",IF(N(Tasks[[#This Row],[Duration]])&lt;=0,Tasks[[#This Row],[_LeafCalcStart]],WORKDAY.INTL(Tasks[[#This Row],[_LeafCalcStart]],Tasks[[#This Row],[Duration]]-1,WorkWeek,Holidays)))</f>
        <v/>
      </c>
      <c r="BT70"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70"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70" s="41" t="n">
        <f aca="false">IF(NOT(Tasks[[#This Row],[_IsLeaf]]=1),0,IF(N(Tasks[[#This Row],[Actual Finish]])&gt;0,1,MIN(1,N(Tasks[[#This Row],[% Complete]]))))</f>
        <v>0</v>
      </c>
      <c r="BW70" s="41" t="n">
        <f aca="false">IF(OR(NOT(Tasks[[#This Row],[_IsLeaf]]=1),Tasks[[#This Row],[Resource]]=""),0,N(Tasks[[#This Row],[Duration]])*HoursPerDay*IF(Tasks[[#This Row],[Units]]="",DefaultUnits,Tasks[[#This Row],[Units]]))</f>
        <v>0</v>
      </c>
      <c r="BX70" s="41" t="n">
        <f aca="false">IF(Tasks[[#This Row],[_LeafWork]]=0,0,Tasks[[#This Row],[_LeafWork]]*IFERROR(INDEX(res_Rate,MATCH(Tasks[[#This Row],[Resource]],res_Name,0)),0))</f>
        <v>0</v>
      </c>
      <c r="BY7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7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7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7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70" s="41" t="n">
        <f aca="false">IF(NOT(Tasks[[#This Row],[_IsLeaf]]=1),0,MAX(_xlfn.MAXIFS(Tasks[_Row],Tasks[Pred1 UID],Tasks[[#This Row],[UID]]),_xlfn.MAXIFS(Tasks[_Row],Tasks[Pred2 UID],Tasks[[#This Row],[UID]])))</f>
        <v>0</v>
      </c>
      <c r="CD70"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70" s="100" t="str">
        <f aca="false">IF(NOT(Tasks[[#This Row],[_IsLeaf]]=1),"",MIN(ProjectFinish,IF(N(Tasks[[#This Row],[Deadline]])&gt;0,Tasks[[#This Row],[Deadline]],2958465),Tasks[[#This Row],[_SuccessorFinishLimit]]))</f>
        <v/>
      </c>
      <c r="CF70" s="100" t="str">
        <f aca="false">IF(NOT(Tasks[[#This Row],[_IsLeaf]]=1),"",IF(N(Tasks[[#This Row],[Duration]])&lt;=0,Tasks[[#This Row],[_LeafLateFinish]],WORKDAY.INTL(Tasks[[#This Row],[_LeafLateFinish]],-(Tasks[[#This Row],[Duration]]-1),WorkWeek,Holidays)))</f>
        <v/>
      </c>
      <c r="CG7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70" s="99" t="b">
        <f aca="false">AND(Tasks[[#This Row],[_IsLeaf]]=1,Tasks[[#This Row],[_LeafProgress]]&lt;1,N(Tasks[[#This Row],[_LeafTotalSlack]])&lt;=CriticalSlackDays)</f>
        <v>0</v>
      </c>
      <c r="CI70" s="100" t="str">
        <f aca="false">IF(Tasks[[#This Row],[Task Name]]="","",IF(Tasks[[#This Row],[_IsSummary]],MIN(INDEX(Tasks[_LeafCalcStart],Tasks[[#This Row],[_Row]]+1):INDEX(Tasks[_LeafCalcStart],Tasks[[#This Row],[_Row]]+Tasks[[#This Row],[_Descendants]])),Tasks[[#This Row],[_LeafCalcStart]]))</f>
        <v/>
      </c>
      <c r="CJ70" s="100" t="str">
        <f aca="false">IF(Tasks[[#This Row],[Task Name]]="","",IF(Tasks[[#This Row],[_IsSummary]],MAX(INDEX(Tasks[_LeafCalcFinish],Tasks[[#This Row],[_Row]]+1):INDEX(Tasks[_LeafCalcFinish],Tasks[[#This Row],[_Row]]+Tasks[[#This Row],[_Descendants]])),Tasks[[#This Row],[_LeafCalcFinish]]))</f>
        <v/>
      </c>
      <c r="CK7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7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70"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70"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70"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70"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70" s="41" t="n">
        <f aca="false">IF(AND(Tasks[[#This Row],[_IsLeaf]]=1,Tasks[[#This Row],[_LeafWork]]&gt;0),NETWORKDAYS.INTL(ProjectStart,Tasks[[#This Row],[_LeafFcstStart]],WorkWeek,Holidays),0)</f>
        <v>0</v>
      </c>
      <c r="CR70" s="41" t="n">
        <f aca="false">IF(AND(Tasks[[#This Row],[_IsLeaf]]=1,Tasks[[#This Row],[_LeafWork]]&gt;0),MAX(Tasks[[#This Row],[_StartWorkday]],NETWORKDAYS.INTL(ProjectStart,Tasks[[#This Row],[_LeafFcstFinish]],WorkWeek,Holidays)),0)</f>
        <v>0</v>
      </c>
      <c r="CS70" s="41" t="n">
        <f aca="false">IF(AND(Tasks[[#This Row],[_IsLeaf]]=1,Tasks[[#This Row],[_LeafWork]]&gt;0),Tasks[[#This Row],[_LeafWork]]/(Tasks[[#This Row],[_FinishWorkday]]-Tasks[[#This Row],[_StartWorkday]]+1),0)</f>
        <v>0</v>
      </c>
      <c r="CT70" s="41" t="n">
        <f aca="false">Tasks[[#This Row],[_WorkPerWorkday]]*(Tasks[[#This Row],[_StartWorkday]]-1)</f>
        <v>-0</v>
      </c>
      <c r="CU70" s="41" t="n">
        <f aca="false">IF(Tasks[[#This Row],[_IsLeaf]]=1,MAX(N(Tasks[[#This Row],[Duration]]),0.1),0)</f>
        <v>0</v>
      </c>
      <c r="CV70" s="41" t="n">
        <f aca="false">Tasks[[#This Row],[_WeightDur]]*Tasks[[#This Row],[_LeafProgress]]</f>
        <v>0</v>
      </c>
      <c r="CW7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7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7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7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70" s="41" t="str">
        <f aca="false">IF(Tasks[[#This Row],[Task Name]]="","",Tasks[[#This Row],[_Pred1UIDText]]&amp;IF(AND(Tasks[[#This Row],[_Pred1UIDText]]&lt;&gt;"",Tasks[[#This Row],[_Pred2UIDText]]&lt;&gt;""),",","")&amp;Tasks[[#This Row],[_Pred2UIDText]])</f>
        <v/>
      </c>
      <c r="DB70" s="41" t="str">
        <f aca="false">IF(AND(Tasks[[#This Row],[_IsLeaf]]=1,N(Tasks[[#This Row],[Duration]])=0,Tasks[[#This Row],[_LeafProgress]]&lt;1),Tasks[[#This Row],[_LeafFcstFinish]]+Tasks[[#This Row],[_Row]]/100000,"")</f>
        <v/>
      </c>
      <c r="DC7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70" s="41" t="n">
        <f aca="false">IF(NOT(Tasks[[#This Row],[_IsLeaf]]=1),0,IF(Tasks[[#This Row],[Baseline Cost]]="",Tasks[[#This Row],[_LeafCost]],N(Tasks[[#This Row],[Baseline Cost]])))</f>
        <v>0</v>
      </c>
      <c r="DE70" s="41" t="n">
        <f aca="false">Tasks[[#This Row],[_LeafBudget]]*Tasks[[#This Row],[_PlannedPct]]</f>
        <v>0</v>
      </c>
      <c r="DF70" s="41" t="n">
        <f aca="false">Tasks[[#This Row],[_LeafBudget]]*Tasks[[#This Row],[_LeafProgress]]</f>
        <v>0</v>
      </c>
      <c r="DG70" s="41" t="n">
        <f aca="false">IF(NOT(Tasks[[#This Row],[_IsLeaf]]=1),0,IF(Tasks[[#This Row],[Actual Cost]]="",Tasks[[#This Row],[_LeafCost]]*Tasks[[#This Row],[_LeafProgress]],N(Tasks[[#This Row],[Actual Cost]])))</f>
        <v>0</v>
      </c>
      <c r="DH70" s="41" t="str">
        <f aca="false">IF(Tasks[[#This Row],[Task Name]]="","",LEFT(Tasks[[#This Row],[WBS]],FIND(".",Tasks[[#This Row],[WBS]]&amp;".")-1))</f>
        <v/>
      </c>
      <c r="DI70" s="41" t="str">
        <f aca="false">IF(AND(Tasks[[#This Row],[Task Name]]&lt;&gt;"",Tasks[[#This Row],[_Level]]=1),Tasks[[#This Row],[_Row]],"")</f>
        <v/>
      </c>
      <c r="DJ70" s="41" t="str">
        <f aca="false">IF(AND(Tasks[[#This Row],[_IsLeaf]]=1,N(Tasks[[#This Row],[Duration]])=0),Tasks[[#This Row],[Planned Finish]]+Tasks[[#This Row],[_Row]]/100000,"")</f>
        <v/>
      </c>
      <c r="DK70" s="41" t="str">
        <f aca="false">IF(AND(Tasks[[#This Row],[_IsLeaf]]=1,Tasks[[#This Row],[_LeafProgress]]&lt;1,OR(N(Tasks[[#This Row],[Finish Var]])&gt;0,Tasks[[#This Row],[Status]]="Late Start")),MAX(0,Tasks[[#This Row],[Finish Var]])+1-Tasks[[#This Row],[_Row]]/1000000,"")</f>
        <v/>
      </c>
      <c r="DL70" s="41" t="str">
        <f aca="false">IF(AND(Tasks[[#This Row],[_IsLeaf]]=1,N(Tasks[[#This Row],[Actual Start]])=0,Tasks[[#This Row],[_LeafFcstStart]]&gt;=StatusDate,Tasks[[#This Row],[_LeafFcstStart]]&lt;=LookaheadEnd),Tasks[[#This Row],[_LeafFcstStart]]+Tasks[[#This Row],[_Row]]/100000,"")</f>
        <v/>
      </c>
      <c r="DM70" s="41" t="str">
        <f aca="false">IF(AND(Tasks[[#This Row],[_IsLeaf]]=1,Tasks[[#This Row],[_LeafProgress]]&lt;1,Tasks[[#This Row],[_LeafFcstFinish]]&gt;=StatusDate,Tasks[[#This Row],[_LeafFcstFinish]]&lt;=LookaheadEnd),Tasks[[#This Row],[_LeafFcstFinish]]+Tasks[[#This Row],[_Row]]/100000,"")</f>
        <v/>
      </c>
      <c r="DN70" s="41" t="str">
        <f aca="false">IF(Tasks[[#This Row],[_LeafCritical]],Tasks[[#This Row],[_LeafFcstStart]]+Tasks[[#This Row],[_Row]]/100000,"")</f>
        <v/>
      </c>
      <c r="DO70" s="41" t="n">
        <f aca="false">Tasks[[#This Row],[_LeafWork]]*Tasks[[#This Row],[_LeafProgress]]</f>
        <v>0</v>
      </c>
      <c r="DP70" s="100" t="str">
        <f aca="false">IF(AND(Tasks[[#This Row],[_IsLeaf]]=1,Tasks[[#This Row],[_LeafProgress]]&gt;=1),IF(N(Tasks[[#This Row],[Actual Finish]])&gt;0,Tasks[[#This Row],[Actual Finish]],Tasks[[#This Row],[_LeafFcstFinish]]),"")</f>
        <v/>
      </c>
      <c r="DQ70" s="41" t="n">
        <f aca="false">IF(Tasks[[#This Row],[_IsLeaf]]=1,N(Tasks[[#This Row],[Story Points]]),0)</f>
        <v>0</v>
      </c>
      <c r="DR70" s="41" t="str">
        <f aca="false">IF(AND(Tasks[[#This Row],[_IsLeaf]]=1,CurrentSprint&lt;&gt;"",Tasks[[#This Row],[Sprint]]=CurrentSprint),Tasks[[#This Row],[_Row]],"")</f>
        <v/>
      </c>
    </row>
    <row r="71" customFormat="false" ht="15" hidden="false" customHeight="false" outlineLevel="0" collapsed="false">
      <c r="A71" s="28" t="str">
        <f aca="false">IF(Tasks[[#This Row],[Task Name]]="","",COUNTA(Tasks[[#Headers],[Task Name]]:Tasks[[#This Row],[Task Name]])-1)</f>
        <v/>
      </c>
      <c r="B71" s="29" t="n">
        <v>66</v>
      </c>
      <c r="C7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1" s="29"/>
      <c r="E71" s="30"/>
      <c r="F71" s="29"/>
      <c r="G71" s="29"/>
      <c r="H71" s="29"/>
      <c r="I71" s="29"/>
      <c r="J71" s="29"/>
      <c r="K71" s="29"/>
      <c r="L71" s="29"/>
      <c r="M71" s="29"/>
      <c r="N71" s="73"/>
      <c r="O71" s="73"/>
      <c r="P71" s="25" t="str">
        <f aca="false">IF(Tasks[[#This Row],[Task Name]]="","",IF(N(Tasks[[#This Row],[Baseline Start]])&gt;0,Tasks[[#This Row],[Baseline Start]],Tasks[[#This Row],[_CalcStart]]))</f>
        <v/>
      </c>
      <c r="Q71" s="25" t="str">
        <f aca="false">IF(Tasks[[#This Row],[Task Name]]="","",IF(N(Tasks[[#This Row],[Baseline Finish]])&gt;0,Tasks[[#This Row],[Baseline Finish]],Tasks[[#This Row],[_CalcFinish]]))</f>
        <v/>
      </c>
      <c r="R71" s="73"/>
      <c r="S71" s="73"/>
      <c r="T71" s="25" t="str">
        <f aca="false">IF(Tasks[[#This Row],[Task Name]]="","",IF(Tasks[[#This Row],[_IsSummary]],MIN(INDEX(Tasks[_LeafFcstStart],Tasks[[#This Row],[_Row]]+1):INDEX(Tasks[_LeafFcstStart],Tasks[[#This Row],[_Row]]+Tasks[[#This Row],[_Descendants]])),Tasks[[#This Row],[_LeafFcstStart]]))</f>
        <v/>
      </c>
      <c r="U71" s="25" t="str">
        <f aca="false">IF(Tasks[[#This Row],[Task Name]]="","",IF(Tasks[[#This Row],[_IsSummary]],MAX(INDEX(Tasks[_LeafFcstFinish],Tasks[[#This Row],[_Row]]+1):INDEX(Tasks[_LeafFcstFinish],Tasks[[#This Row],[_Row]]+Tasks[[#This Row],[_Descendants]])),Tasks[[#This Row],[_LeafFcstFinish]]))</f>
        <v/>
      </c>
      <c r="V7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7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1" s="25" t="str">
        <f aca="false">IF(Tasks[[#This Row],[Task Name]]="","",IF(Tasks[[#This Row],[_IsSummary]],MIN(INDEX(Tasks[_LeafLateStart],Tasks[[#This Row],[_Row]]+1):INDEX(Tasks[_LeafLateStart],Tasks[[#This Row],[_Row]]+Tasks[[#This Row],[_Descendants]])),Tasks[[#This Row],[_LeafLateStart]]))</f>
        <v/>
      </c>
      <c r="Y71" s="25" t="str">
        <f aca="false">IF(Tasks[[#This Row],[Task Name]]="","",IF(Tasks[[#This Row],[_IsSummary]],MAX(INDEX(Tasks[_LeafLateFinish],Tasks[[#This Row],[_Row]]+1):INDEX(Tasks[_LeafLateFinish],Tasks[[#This Row],[_Row]]+Tasks[[#This Row],[_Descendants]])),Tasks[[#This Row],[_LeafLateFinish]]))</f>
        <v/>
      </c>
      <c r="Z71" s="43" t="str">
        <f aca="false">IF(Tasks[[#This Row],[Task Name]]="","",IF(Tasks[[#This Row],[_IsSummary]],MIN(INDEX(Tasks[_LeafTotalSlack],Tasks[[#This Row],[_Row]]+1):INDEX(Tasks[_LeafTotalSlack],Tasks[[#This Row],[_Row]]+Tasks[[#This Row],[_Descendants]])),Tasks[[#This Row],[_LeafTotalSlack]]))</f>
        <v/>
      </c>
      <c r="AA7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1" s="28" t="str">
        <f aca="false">IF(Tasks[[#This Row],[Task Name]]="","",IF(IF(Tasks[[#This Row],[_IsSummary]],COUNTIF(INDEX(Tasks[_LeafCritical],Tasks[[#This Row],[_Row]]+1):INDEX(Tasks[_LeafCritical],Tasks[[#This Row],[_Row]]+Tasks[[#This Row],[_Descendants]]),TRUE())&gt;0,Tasks[[#This Row],[_LeafCritical]]),"Yes",""))</f>
        <v/>
      </c>
      <c r="AC7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1" s="24" t="str">
        <f aca="false">IF(Tasks[[#This Row],[Task Name]]="","",TRIM(IF(Tasks[[#This Row],[_Pred1Problem]]&lt;&gt;"","Pred 1: "&amp;Tasks[[#This Row],[_Pred1Problem]]&amp;". ","")&amp;IF(Tasks[[#This Row],[_Pred2Problem]]&lt;&gt;"","Pred 2: "&amp;Tasks[[#This Row],[_Pred2Problem]]&amp;".","")))</f>
        <v/>
      </c>
      <c r="AE71" s="88"/>
      <c r="AF71"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1" s="28" t="str">
        <f aca="false">IF(Tasks[[#This Row],[Task Name]]="","",IF(Tasks[[#This Row],[Progress]]&gt;=1,"Complete",IF(OR(N(Tasks[[#This Row],[Actual Start]])&gt;0,Tasks[[#This Row],[Progress]]&gt;0),IF(Tasks[[#This Row],[Finish Var]]&gt;0,"Behind","In Progress"),IF(Tasks[[#This Row],[Planned Start]]&lt;StatusDate,"Late Start","Not Started"))))</f>
        <v/>
      </c>
      <c r="AH71" s="30"/>
      <c r="AI71" s="88"/>
      <c r="AJ71" s="95" t="str">
        <f aca="false">IF(Tasks[[#This Row],[Task Name]]="","",IF(Tasks[[#This Row],[_IsSummary]],SUM(INDEX(Tasks[_LeafWork],Tasks[[#This Row],[_Row]]+1):INDEX(Tasks[_LeafWork],Tasks[[#This Row],[_Row]]+Tasks[[#This Row],[_Descendants]])),Tasks[[#This Row],[_LeafWork]]))</f>
        <v/>
      </c>
      <c r="AK71" s="96" t="str">
        <f aca="false">IF(Tasks[[#This Row],[Task Name]]="","",IF(Tasks[[#This Row],[_IsSummary]],SUM(INDEX(Tasks[_LeafCost],Tasks[[#This Row],[_Row]]+1):INDEX(Tasks[_LeafCost],Tasks[[#This Row],[_Row]]+Tasks[[#This Row],[_Descendants]])),Tasks[[#This Row],[_LeafCost]]))</f>
        <v/>
      </c>
      <c r="AL71" s="97"/>
      <c r="AM71" s="29"/>
      <c r="AN7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71" s="82"/>
      <c r="AP71" s="24" t="str">
        <f aca="false">IF(Tasks[[#This Row],[Task Name]]="","",Tasks[[#This Row],[_Pred1IDText]]&amp;IF(AND(Tasks[[#This Row],[_Pred1IDText]]&lt;&gt;"",Tasks[[#This Row],[_Pred2IDText]]&lt;&gt;""),",","")&amp;Tasks[[#This Row],[_Pred2IDText]])</f>
        <v/>
      </c>
      <c r="AQ71" s="30"/>
      <c r="AR71" s="25" t="str">
        <f aca="false">IF(Tasks[[#This Row],[Task Name]]="","",Tasks[[#This Row],[Forecast Start]])</f>
        <v/>
      </c>
      <c r="AS71" s="25" t="str">
        <f aca="false">IF(Tasks[[#This Row],[Task Name]]="","",Tasks[[#This Row],[Forecast Finish]])</f>
        <v/>
      </c>
      <c r="AT71" s="28" t="str">
        <f aca="false">IF(Tasks[[#This Row],[Task Name]]="","",IF(Tasks[[#This Row],[_IsSummary]],NETWORKDAYS.INTL(Tasks[[#This Row],[Forecast Start]],Tasks[[#This Row],[Forecast Finish]],WorkWeek,Holidays),N(Tasks[[#This Row],[Duration]])))</f>
        <v/>
      </c>
      <c r="AU71" s="95" t="str">
        <f aca="false">IF(Tasks[[#This Row],[Task Name]]="","",Tasks[[#This Row],[Work]])</f>
        <v/>
      </c>
      <c r="AV71" s="96" t="str">
        <f aca="false">IF(Tasks[[#This Row],[Task Name]]="","",Tasks[[#This Row],[Cost]])</f>
        <v/>
      </c>
      <c r="AW71" s="73"/>
      <c r="AX71" s="73"/>
      <c r="AY71" s="29"/>
      <c r="AZ71" s="98"/>
      <c r="BA71" s="97"/>
      <c r="BB71" s="28" t="str">
        <f aca="false">IF(OR(Tasks[[#This Row],[Task Name]]="",Tasks[[#This Row],[Baseline Duration]]=""),"",Tasks[[#This Row],[BL Source Duration]]-N(Tasks[[#This Row],[Baseline Duration]]))</f>
        <v/>
      </c>
      <c r="BC71" s="95" t="str">
        <f aca="false">IF(OR(Tasks[[#This Row],[Task Name]]="",Tasks[[#This Row],[Baseline Work]]=""),"",Tasks[[#This Row],[Work]]-N(Tasks[[#This Row],[Baseline Work]]))</f>
        <v/>
      </c>
      <c r="BD71" s="96" t="str">
        <f aca="false">IF(OR(Tasks[[#This Row],[Task Name]]="",Tasks[[#This Row],[Baseline Cost]]=""),"",Tasks[[#This Row],[Cost]]-N(Tasks[[#This Row],[Baseline Cost]]))</f>
        <v/>
      </c>
      <c r="BE71" s="96" t="str">
        <f aca="false">IF(Tasks[[#This Row],[Task Name]]="","",IF(Tasks[[#This Row],[_IsSummary]],SUM(INDEX(Tasks[_LeafBudget],Tasks[[#This Row],[_Row]]+1):INDEX(Tasks[_LeafBudget],Tasks[[#This Row],[_Row]]+Tasks[[#This Row],[_Descendants]])),Tasks[[#This Row],[_LeafBudget]]))</f>
        <v/>
      </c>
      <c r="BF71" s="96" t="str">
        <f aca="false">IF(Tasks[[#This Row],[Task Name]]="","",IF(Tasks[[#This Row],[_IsSummary]],SUM(INDEX(Tasks[_LeafPV],Tasks[[#This Row],[_Row]]+1):INDEX(Tasks[_LeafPV],Tasks[[#This Row],[_Row]]+Tasks[[#This Row],[_Descendants]])),Tasks[[#This Row],[_LeafPV]]))</f>
        <v/>
      </c>
      <c r="BG71" s="96" t="str">
        <f aca="false">IF(Tasks[[#This Row],[Task Name]]="","",IF(Tasks[[#This Row],[_IsSummary]],SUM(INDEX(Tasks[_LeafEV],Tasks[[#This Row],[_Row]]+1):INDEX(Tasks[_LeafEV],Tasks[[#This Row],[_Row]]+Tasks[[#This Row],[_Descendants]])),Tasks[[#This Row],[_LeafEV]]))</f>
        <v/>
      </c>
      <c r="BH71" s="96" t="str">
        <f aca="false">IF(Tasks[[#This Row],[Task Name]]="","",IF(Tasks[[#This Row],[_IsSummary]],SUM(INDEX(Tasks[_LeafAC],Tasks[[#This Row],[_Row]]+1):INDEX(Tasks[_LeafAC],Tasks[[#This Row],[_Row]]+Tasks[[#This Row],[_Descendants]])),Tasks[[#This Row],[_LeafAC]]))</f>
        <v/>
      </c>
      <c r="BI71" s="41" t="str">
        <f aca="false">IF(Tasks[[#This Row],[Task Name]]="","",MAX(1,N(Tasks[[#This Row],[Level]])))</f>
        <v/>
      </c>
      <c r="BJ71" s="41" t="n">
        <f aca="false">ROW()-ROW(Tasks[[#Headers],[ID]])</f>
        <v>66</v>
      </c>
      <c r="BK71" s="41" t="n">
        <f aca="false">IF(OR(Tasks[[#This Row],[Task Name]]="",Tasks[[#This Row],[_Level]]&lt;=1),0,IFERROR(LOOKUP(2,1/(Tasks[[#Headers],[_Level]]:Tasks[[#This Row],[_Level]]=Tasks[[#This Row],[_Level]]-1),ROW(Tasks[[#Headers],[_Level]]:Tasks[[#This Row],[_Level]])),0))</f>
        <v>0</v>
      </c>
      <c r="BL71" s="41" t="n">
        <f aca="false">IFERROR(N(INDEX(Tasks[_Level],Tasks[[#This Row],[_Row]]+1)),0)</f>
        <v>0</v>
      </c>
      <c r="BM71" s="99" t="b">
        <f aca="false">AND(Tasks[[#This Row],[Task Name]]&lt;&gt;"",Tasks[[#This Row],[_NextLevel]]&gt;Tasks[[#This Row],[_Level]])</f>
        <v>0</v>
      </c>
      <c r="BN71" s="41" t="n">
        <f aca="false">IF(Tasks[[#This Row],[_IsSummary]],COUNTIF(Tasks[WBS],Tasks[[#This Row],[WBS]]&amp;".*"),0)</f>
        <v>0</v>
      </c>
      <c r="BO71" s="41" t="n">
        <f aca="false">IF(AND(Tasks[[#This Row],[Task Name]]&lt;&gt;"",NOT(Tasks[[#This Row],[_IsSummary]])),1,0)</f>
        <v>0</v>
      </c>
      <c r="BP71" s="41" t="n">
        <f aca="false">IF(N(Tasks[[#This Row],[Pred1 UID]])=0,0,IFERROR(MATCH(Tasks[[#This Row],[Pred1 UID]],Tasks[UID],0),-1))</f>
        <v>0</v>
      </c>
      <c r="BQ71" s="41" t="n">
        <f aca="false">IF(N(Tasks[[#This Row],[Pred2 UID]])=0,0,IFERROR(MATCH(Tasks[[#This Row],[Pred2 UID]],Tasks[UID],0),-1))</f>
        <v>0</v>
      </c>
      <c r="BR71"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71" s="100" t="str">
        <f aca="false">IF(NOT(Tasks[[#This Row],[_IsLeaf]]=1),"",IF(N(Tasks[[#This Row],[Duration]])&lt;=0,Tasks[[#This Row],[_LeafCalcStart]],WORKDAY.INTL(Tasks[[#This Row],[_LeafCalcStart]],Tasks[[#This Row],[Duration]]-1,WorkWeek,Holidays)))</f>
        <v/>
      </c>
      <c r="BT71"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71"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71" s="41" t="n">
        <f aca="false">IF(NOT(Tasks[[#This Row],[_IsLeaf]]=1),0,IF(N(Tasks[[#This Row],[Actual Finish]])&gt;0,1,MIN(1,N(Tasks[[#This Row],[% Complete]]))))</f>
        <v>0</v>
      </c>
      <c r="BW71" s="41" t="n">
        <f aca="false">IF(OR(NOT(Tasks[[#This Row],[_IsLeaf]]=1),Tasks[[#This Row],[Resource]]=""),0,N(Tasks[[#This Row],[Duration]])*HoursPerDay*IF(Tasks[[#This Row],[Units]]="",DefaultUnits,Tasks[[#This Row],[Units]]))</f>
        <v>0</v>
      </c>
      <c r="BX71" s="41" t="n">
        <f aca="false">IF(Tasks[[#This Row],[_LeafWork]]=0,0,Tasks[[#This Row],[_LeafWork]]*IFERROR(INDEX(res_Rate,MATCH(Tasks[[#This Row],[Resource]],res_Name,0)),0))</f>
        <v>0</v>
      </c>
      <c r="BY7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7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7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7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71" s="41" t="n">
        <f aca="false">IF(NOT(Tasks[[#This Row],[_IsLeaf]]=1),0,MAX(_xlfn.MAXIFS(Tasks[_Row],Tasks[Pred1 UID],Tasks[[#This Row],[UID]]),_xlfn.MAXIFS(Tasks[_Row],Tasks[Pred2 UID],Tasks[[#This Row],[UID]])))</f>
        <v>0</v>
      </c>
      <c r="CD71"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71" s="100" t="str">
        <f aca="false">IF(NOT(Tasks[[#This Row],[_IsLeaf]]=1),"",MIN(ProjectFinish,IF(N(Tasks[[#This Row],[Deadline]])&gt;0,Tasks[[#This Row],[Deadline]],2958465),Tasks[[#This Row],[_SuccessorFinishLimit]]))</f>
        <v/>
      </c>
      <c r="CF71" s="100" t="str">
        <f aca="false">IF(NOT(Tasks[[#This Row],[_IsLeaf]]=1),"",IF(N(Tasks[[#This Row],[Duration]])&lt;=0,Tasks[[#This Row],[_LeafLateFinish]],WORKDAY.INTL(Tasks[[#This Row],[_LeafLateFinish]],-(Tasks[[#This Row],[Duration]]-1),WorkWeek,Holidays)))</f>
        <v/>
      </c>
      <c r="CG7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71" s="99" t="b">
        <f aca="false">AND(Tasks[[#This Row],[_IsLeaf]]=1,Tasks[[#This Row],[_LeafProgress]]&lt;1,N(Tasks[[#This Row],[_LeafTotalSlack]])&lt;=CriticalSlackDays)</f>
        <v>0</v>
      </c>
      <c r="CI71" s="100" t="str">
        <f aca="false">IF(Tasks[[#This Row],[Task Name]]="","",IF(Tasks[[#This Row],[_IsSummary]],MIN(INDEX(Tasks[_LeafCalcStart],Tasks[[#This Row],[_Row]]+1):INDEX(Tasks[_LeafCalcStart],Tasks[[#This Row],[_Row]]+Tasks[[#This Row],[_Descendants]])),Tasks[[#This Row],[_LeafCalcStart]]))</f>
        <v/>
      </c>
      <c r="CJ71" s="100" t="str">
        <f aca="false">IF(Tasks[[#This Row],[Task Name]]="","",IF(Tasks[[#This Row],[_IsSummary]],MAX(INDEX(Tasks[_LeafCalcFinish],Tasks[[#This Row],[_Row]]+1):INDEX(Tasks[_LeafCalcFinish],Tasks[[#This Row],[_Row]]+Tasks[[#This Row],[_Descendants]])),Tasks[[#This Row],[_LeafCalcFinish]]))</f>
        <v/>
      </c>
      <c r="CK7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7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71"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71"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71"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71"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71" s="41" t="n">
        <f aca="false">IF(AND(Tasks[[#This Row],[_IsLeaf]]=1,Tasks[[#This Row],[_LeafWork]]&gt;0),NETWORKDAYS.INTL(ProjectStart,Tasks[[#This Row],[_LeafFcstStart]],WorkWeek,Holidays),0)</f>
        <v>0</v>
      </c>
      <c r="CR71" s="41" t="n">
        <f aca="false">IF(AND(Tasks[[#This Row],[_IsLeaf]]=1,Tasks[[#This Row],[_LeafWork]]&gt;0),MAX(Tasks[[#This Row],[_StartWorkday]],NETWORKDAYS.INTL(ProjectStart,Tasks[[#This Row],[_LeafFcstFinish]],WorkWeek,Holidays)),0)</f>
        <v>0</v>
      </c>
      <c r="CS71" s="41" t="n">
        <f aca="false">IF(AND(Tasks[[#This Row],[_IsLeaf]]=1,Tasks[[#This Row],[_LeafWork]]&gt;0),Tasks[[#This Row],[_LeafWork]]/(Tasks[[#This Row],[_FinishWorkday]]-Tasks[[#This Row],[_StartWorkday]]+1),0)</f>
        <v>0</v>
      </c>
      <c r="CT71" s="41" t="n">
        <f aca="false">Tasks[[#This Row],[_WorkPerWorkday]]*(Tasks[[#This Row],[_StartWorkday]]-1)</f>
        <v>-0</v>
      </c>
      <c r="CU71" s="41" t="n">
        <f aca="false">IF(Tasks[[#This Row],[_IsLeaf]]=1,MAX(N(Tasks[[#This Row],[Duration]]),0.1),0)</f>
        <v>0</v>
      </c>
      <c r="CV71" s="41" t="n">
        <f aca="false">Tasks[[#This Row],[_WeightDur]]*Tasks[[#This Row],[_LeafProgress]]</f>
        <v>0</v>
      </c>
      <c r="CW7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7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7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7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71" s="41" t="str">
        <f aca="false">IF(Tasks[[#This Row],[Task Name]]="","",Tasks[[#This Row],[_Pred1UIDText]]&amp;IF(AND(Tasks[[#This Row],[_Pred1UIDText]]&lt;&gt;"",Tasks[[#This Row],[_Pred2UIDText]]&lt;&gt;""),",","")&amp;Tasks[[#This Row],[_Pred2UIDText]])</f>
        <v/>
      </c>
      <c r="DB71" s="41" t="str">
        <f aca="false">IF(AND(Tasks[[#This Row],[_IsLeaf]]=1,N(Tasks[[#This Row],[Duration]])=0,Tasks[[#This Row],[_LeafProgress]]&lt;1),Tasks[[#This Row],[_LeafFcstFinish]]+Tasks[[#This Row],[_Row]]/100000,"")</f>
        <v/>
      </c>
      <c r="DC7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71" s="41" t="n">
        <f aca="false">IF(NOT(Tasks[[#This Row],[_IsLeaf]]=1),0,IF(Tasks[[#This Row],[Baseline Cost]]="",Tasks[[#This Row],[_LeafCost]],N(Tasks[[#This Row],[Baseline Cost]])))</f>
        <v>0</v>
      </c>
      <c r="DE71" s="41" t="n">
        <f aca="false">Tasks[[#This Row],[_LeafBudget]]*Tasks[[#This Row],[_PlannedPct]]</f>
        <v>0</v>
      </c>
      <c r="DF71" s="41" t="n">
        <f aca="false">Tasks[[#This Row],[_LeafBudget]]*Tasks[[#This Row],[_LeafProgress]]</f>
        <v>0</v>
      </c>
      <c r="DG71" s="41" t="n">
        <f aca="false">IF(NOT(Tasks[[#This Row],[_IsLeaf]]=1),0,IF(Tasks[[#This Row],[Actual Cost]]="",Tasks[[#This Row],[_LeafCost]]*Tasks[[#This Row],[_LeafProgress]],N(Tasks[[#This Row],[Actual Cost]])))</f>
        <v>0</v>
      </c>
      <c r="DH71" s="41" t="str">
        <f aca="false">IF(Tasks[[#This Row],[Task Name]]="","",LEFT(Tasks[[#This Row],[WBS]],FIND(".",Tasks[[#This Row],[WBS]]&amp;".")-1))</f>
        <v/>
      </c>
      <c r="DI71" s="41" t="str">
        <f aca="false">IF(AND(Tasks[[#This Row],[Task Name]]&lt;&gt;"",Tasks[[#This Row],[_Level]]=1),Tasks[[#This Row],[_Row]],"")</f>
        <v/>
      </c>
      <c r="DJ71" s="41" t="str">
        <f aca="false">IF(AND(Tasks[[#This Row],[_IsLeaf]]=1,N(Tasks[[#This Row],[Duration]])=0),Tasks[[#This Row],[Planned Finish]]+Tasks[[#This Row],[_Row]]/100000,"")</f>
        <v/>
      </c>
      <c r="DK71" s="41" t="str">
        <f aca="false">IF(AND(Tasks[[#This Row],[_IsLeaf]]=1,Tasks[[#This Row],[_LeafProgress]]&lt;1,OR(N(Tasks[[#This Row],[Finish Var]])&gt;0,Tasks[[#This Row],[Status]]="Late Start")),MAX(0,Tasks[[#This Row],[Finish Var]])+1-Tasks[[#This Row],[_Row]]/1000000,"")</f>
        <v/>
      </c>
      <c r="DL71" s="41" t="str">
        <f aca="false">IF(AND(Tasks[[#This Row],[_IsLeaf]]=1,N(Tasks[[#This Row],[Actual Start]])=0,Tasks[[#This Row],[_LeafFcstStart]]&gt;=StatusDate,Tasks[[#This Row],[_LeafFcstStart]]&lt;=LookaheadEnd),Tasks[[#This Row],[_LeafFcstStart]]+Tasks[[#This Row],[_Row]]/100000,"")</f>
        <v/>
      </c>
      <c r="DM71" s="41" t="str">
        <f aca="false">IF(AND(Tasks[[#This Row],[_IsLeaf]]=1,Tasks[[#This Row],[_LeafProgress]]&lt;1,Tasks[[#This Row],[_LeafFcstFinish]]&gt;=StatusDate,Tasks[[#This Row],[_LeafFcstFinish]]&lt;=LookaheadEnd),Tasks[[#This Row],[_LeafFcstFinish]]+Tasks[[#This Row],[_Row]]/100000,"")</f>
        <v/>
      </c>
      <c r="DN71" s="41" t="str">
        <f aca="false">IF(Tasks[[#This Row],[_LeafCritical]],Tasks[[#This Row],[_LeafFcstStart]]+Tasks[[#This Row],[_Row]]/100000,"")</f>
        <v/>
      </c>
      <c r="DO71" s="41" t="n">
        <f aca="false">Tasks[[#This Row],[_LeafWork]]*Tasks[[#This Row],[_LeafProgress]]</f>
        <v>0</v>
      </c>
      <c r="DP71" s="100" t="str">
        <f aca="false">IF(AND(Tasks[[#This Row],[_IsLeaf]]=1,Tasks[[#This Row],[_LeafProgress]]&gt;=1),IF(N(Tasks[[#This Row],[Actual Finish]])&gt;0,Tasks[[#This Row],[Actual Finish]],Tasks[[#This Row],[_LeafFcstFinish]]),"")</f>
        <v/>
      </c>
      <c r="DQ71" s="41" t="n">
        <f aca="false">IF(Tasks[[#This Row],[_IsLeaf]]=1,N(Tasks[[#This Row],[Story Points]]),0)</f>
        <v>0</v>
      </c>
      <c r="DR71" s="41" t="str">
        <f aca="false">IF(AND(Tasks[[#This Row],[_IsLeaf]]=1,CurrentSprint&lt;&gt;"",Tasks[[#This Row],[Sprint]]=CurrentSprint),Tasks[[#This Row],[_Row]],"")</f>
        <v/>
      </c>
    </row>
    <row r="72" customFormat="false" ht="15" hidden="false" customHeight="false" outlineLevel="0" collapsed="false">
      <c r="A72" s="28" t="str">
        <f aca="false">IF(Tasks[[#This Row],[Task Name]]="","",COUNTA(Tasks[[#Headers],[Task Name]]:Tasks[[#This Row],[Task Name]])-1)</f>
        <v/>
      </c>
      <c r="B72" s="29" t="n">
        <v>67</v>
      </c>
      <c r="C7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2" s="29"/>
      <c r="E72" s="30"/>
      <c r="F72" s="29"/>
      <c r="G72" s="29"/>
      <c r="H72" s="29"/>
      <c r="I72" s="29"/>
      <c r="J72" s="29"/>
      <c r="K72" s="29"/>
      <c r="L72" s="29"/>
      <c r="M72" s="29"/>
      <c r="N72" s="73"/>
      <c r="O72" s="73"/>
      <c r="P72" s="25" t="str">
        <f aca="false">IF(Tasks[[#This Row],[Task Name]]="","",IF(N(Tasks[[#This Row],[Baseline Start]])&gt;0,Tasks[[#This Row],[Baseline Start]],Tasks[[#This Row],[_CalcStart]]))</f>
        <v/>
      </c>
      <c r="Q72" s="25" t="str">
        <f aca="false">IF(Tasks[[#This Row],[Task Name]]="","",IF(N(Tasks[[#This Row],[Baseline Finish]])&gt;0,Tasks[[#This Row],[Baseline Finish]],Tasks[[#This Row],[_CalcFinish]]))</f>
        <v/>
      </c>
      <c r="R72" s="73"/>
      <c r="S72" s="73"/>
      <c r="T72" s="25" t="str">
        <f aca="false">IF(Tasks[[#This Row],[Task Name]]="","",IF(Tasks[[#This Row],[_IsSummary]],MIN(INDEX(Tasks[_LeafFcstStart],Tasks[[#This Row],[_Row]]+1):INDEX(Tasks[_LeafFcstStart],Tasks[[#This Row],[_Row]]+Tasks[[#This Row],[_Descendants]])),Tasks[[#This Row],[_LeafFcstStart]]))</f>
        <v/>
      </c>
      <c r="U72" s="25" t="str">
        <f aca="false">IF(Tasks[[#This Row],[Task Name]]="","",IF(Tasks[[#This Row],[_IsSummary]],MAX(INDEX(Tasks[_LeafFcstFinish],Tasks[[#This Row],[_Row]]+1):INDEX(Tasks[_LeafFcstFinish],Tasks[[#This Row],[_Row]]+Tasks[[#This Row],[_Descendants]])),Tasks[[#This Row],[_LeafFcstFinish]]))</f>
        <v/>
      </c>
      <c r="V7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7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2" s="25" t="str">
        <f aca="false">IF(Tasks[[#This Row],[Task Name]]="","",IF(Tasks[[#This Row],[_IsSummary]],MIN(INDEX(Tasks[_LeafLateStart],Tasks[[#This Row],[_Row]]+1):INDEX(Tasks[_LeafLateStart],Tasks[[#This Row],[_Row]]+Tasks[[#This Row],[_Descendants]])),Tasks[[#This Row],[_LeafLateStart]]))</f>
        <v/>
      </c>
      <c r="Y72" s="25" t="str">
        <f aca="false">IF(Tasks[[#This Row],[Task Name]]="","",IF(Tasks[[#This Row],[_IsSummary]],MAX(INDEX(Tasks[_LeafLateFinish],Tasks[[#This Row],[_Row]]+1):INDEX(Tasks[_LeafLateFinish],Tasks[[#This Row],[_Row]]+Tasks[[#This Row],[_Descendants]])),Tasks[[#This Row],[_LeafLateFinish]]))</f>
        <v/>
      </c>
      <c r="Z72" s="43" t="str">
        <f aca="false">IF(Tasks[[#This Row],[Task Name]]="","",IF(Tasks[[#This Row],[_IsSummary]],MIN(INDEX(Tasks[_LeafTotalSlack],Tasks[[#This Row],[_Row]]+1):INDEX(Tasks[_LeafTotalSlack],Tasks[[#This Row],[_Row]]+Tasks[[#This Row],[_Descendants]])),Tasks[[#This Row],[_LeafTotalSlack]]))</f>
        <v/>
      </c>
      <c r="AA7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2" s="28" t="str">
        <f aca="false">IF(Tasks[[#This Row],[Task Name]]="","",IF(IF(Tasks[[#This Row],[_IsSummary]],COUNTIF(INDEX(Tasks[_LeafCritical],Tasks[[#This Row],[_Row]]+1):INDEX(Tasks[_LeafCritical],Tasks[[#This Row],[_Row]]+Tasks[[#This Row],[_Descendants]]),TRUE())&gt;0,Tasks[[#This Row],[_LeafCritical]]),"Yes",""))</f>
        <v/>
      </c>
      <c r="AC7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2" s="24" t="str">
        <f aca="false">IF(Tasks[[#This Row],[Task Name]]="","",TRIM(IF(Tasks[[#This Row],[_Pred1Problem]]&lt;&gt;"","Pred 1: "&amp;Tasks[[#This Row],[_Pred1Problem]]&amp;". ","")&amp;IF(Tasks[[#This Row],[_Pred2Problem]]&lt;&gt;"","Pred 2: "&amp;Tasks[[#This Row],[_Pred2Problem]]&amp;".","")))</f>
        <v/>
      </c>
      <c r="AE72" s="88"/>
      <c r="AF72"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2" s="28" t="str">
        <f aca="false">IF(Tasks[[#This Row],[Task Name]]="","",IF(Tasks[[#This Row],[Progress]]&gt;=1,"Complete",IF(OR(N(Tasks[[#This Row],[Actual Start]])&gt;0,Tasks[[#This Row],[Progress]]&gt;0),IF(Tasks[[#This Row],[Finish Var]]&gt;0,"Behind","In Progress"),IF(Tasks[[#This Row],[Planned Start]]&lt;StatusDate,"Late Start","Not Started"))))</f>
        <v/>
      </c>
      <c r="AH72" s="30"/>
      <c r="AI72" s="88"/>
      <c r="AJ72" s="95" t="str">
        <f aca="false">IF(Tasks[[#This Row],[Task Name]]="","",IF(Tasks[[#This Row],[_IsSummary]],SUM(INDEX(Tasks[_LeafWork],Tasks[[#This Row],[_Row]]+1):INDEX(Tasks[_LeafWork],Tasks[[#This Row],[_Row]]+Tasks[[#This Row],[_Descendants]])),Tasks[[#This Row],[_LeafWork]]))</f>
        <v/>
      </c>
      <c r="AK72" s="96" t="str">
        <f aca="false">IF(Tasks[[#This Row],[Task Name]]="","",IF(Tasks[[#This Row],[_IsSummary]],SUM(INDEX(Tasks[_LeafCost],Tasks[[#This Row],[_Row]]+1):INDEX(Tasks[_LeafCost],Tasks[[#This Row],[_Row]]+Tasks[[#This Row],[_Descendants]])),Tasks[[#This Row],[_LeafCost]]))</f>
        <v/>
      </c>
      <c r="AL72" s="97"/>
      <c r="AM72" s="29"/>
      <c r="AN7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72" s="82"/>
      <c r="AP72" s="24" t="str">
        <f aca="false">IF(Tasks[[#This Row],[Task Name]]="","",Tasks[[#This Row],[_Pred1IDText]]&amp;IF(AND(Tasks[[#This Row],[_Pred1IDText]]&lt;&gt;"",Tasks[[#This Row],[_Pred2IDText]]&lt;&gt;""),",","")&amp;Tasks[[#This Row],[_Pred2IDText]])</f>
        <v/>
      </c>
      <c r="AQ72" s="30"/>
      <c r="AR72" s="25" t="str">
        <f aca="false">IF(Tasks[[#This Row],[Task Name]]="","",Tasks[[#This Row],[Forecast Start]])</f>
        <v/>
      </c>
      <c r="AS72" s="25" t="str">
        <f aca="false">IF(Tasks[[#This Row],[Task Name]]="","",Tasks[[#This Row],[Forecast Finish]])</f>
        <v/>
      </c>
      <c r="AT72" s="28" t="str">
        <f aca="false">IF(Tasks[[#This Row],[Task Name]]="","",IF(Tasks[[#This Row],[_IsSummary]],NETWORKDAYS.INTL(Tasks[[#This Row],[Forecast Start]],Tasks[[#This Row],[Forecast Finish]],WorkWeek,Holidays),N(Tasks[[#This Row],[Duration]])))</f>
        <v/>
      </c>
      <c r="AU72" s="95" t="str">
        <f aca="false">IF(Tasks[[#This Row],[Task Name]]="","",Tasks[[#This Row],[Work]])</f>
        <v/>
      </c>
      <c r="AV72" s="96" t="str">
        <f aca="false">IF(Tasks[[#This Row],[Task Name]]="","",Tasks[[#This Row],[Cost]])</f>
        <v/>
      </c>
      <c r="AW72" s="73"/>
      <c r="AX72" s="73"/>
      <c r="AY72" s="29"/>
      <c r="AZ72" s="98"/>
      <c r="BA72" s="97"/>
      <c r="BB72" s="28" t="str">
        <f aca="false">IF(OR(Tasks[[#This Row],[Task Name]]="",Tasks[[#This Row],[Baseline Duration]]=""),"",Tasks[[#This Row],[BL Source Duration]]-N(Tasks[[#This Row],[Baseline Duration]]))</f>
        <v/>
      </c>
      <c r="BC72" s="95" t="str">
        <f aca="false">IF(OR(Tasks[[#This Row],[Task Name]]="",Tasks[[#This Row],[Baseline Work]]=""),"",Tasks[[#This Row],[Work]]-N(Tasks[[#This Row],[Baseline Work]]))</f>
        <v/>
      </c>
      <c r="BD72" s="96" t="str">
        <f aca="false">IF(OR(Tasks[[#This Row],[Task Name]]="",Tasks[[#This Row],[Baseline Cost]]=""),"",Tasks[[#This Row],[Cost]]-N(Tasks[[#This Row],[Baseline Cost]]))</f>
        <v/>
      </c>
      <c r="BE72" s="96" t="str">
        <f aca="false">IF(Tasks[[#This Row],[Task Name]]="","",IF(Tasks[[#This Row],[_IsSummary]],SUM(INDEX(Tasks[_LeafBudget],Tasks[[#This Row],[_Row]]+1):INDEX(Tasks[_LeafBudget],Tasks[[#This Row],[_Row]]+Tasks[[#This Row],[_Descendants]])),Tasks[[#This Row],[_LeafBudget]]))</f>
        <v/>
      </c>
      <c r="BF72" s="96" t="str">
        <f aca="false">IF(Tasks[[#This Row],[Task Name]]="","",IF(Tasks[[#This Row],[_IsSummary]],SUM(INDEX(Tasks[_LeafPV],Tasks[[#This Row],[_Row]]+1):INDEX(Tasks[_LeafPV],Tasks[[#This Row],[_Row]]+Tasks[[#This Row],[_Descendants]])),Tasks[[#This Row],[_LeafPV]]))</f>
        <v/>
      </c>
      <c r="BG72" s="96" t="str">
        <f aca="false">IF(Tasks[[#This Row],[Task Name]]="","",IF(Tasks[[#This Row],[_IsSummary]],SUM(INDEX(Tasks[_LeafEV],Tasks[[#This Row],[_Row]]+1):INDEX(Tasks[_LeafEV],Tasks[[#This Row],[_Row]]+Tasks[[#This Row],[_Descendants]])),Tasks[[#This Row],[_LeafEV]]))</f>
        <v/>
      </c>
      <c r="BH72" s="96" t="str">
        <f aca="false">IF(Tasks[[#This Row],[Task Name]]="","",IF(Tasks[[#This Row],[_IsSummary]],SUM(INDEX(Tasks[_LeafAC],Tasks[[#This Row],[_Row]]+1):INDEX(Tasks[_LeafAC],Tasks[[#This Row],[_Row]]+Tasks[[#This Row],[_Descendants]])),Tasks[[#This Row],[_LeafAC]]))</f>
        <v/>
      </c>
      <c r="BI72" s="41" t="str">
        <f aca="false">IF(Tasks[[#This Row],[Task Name]]="","",MAX(1,N(Tasks[[#This Row],[Level]])))</f>
        <v/>
      </c>
      <c r="BJ72" s="41" t="n">
        <f aca="false">ROW()-ROW(Tasks[[#Headers],[ID]])</f>
        <v>67</v>
      </c>
      <c r="BK72" s="41" t="n">
        <f aca="false">IF(OR(Tasks[[#This Row],[Task Name]]="",Tasks[[#This Row],[_Level]]&lt;=1),0,IFERROR(LOOKUP(2,1/(Tasks[[#Headers],[_Level]]:Tasks[[#This Row],[_Level]]=Tasks[[#This Row],[_Level]]-1),ROW(Tasks[[#Headers],[_Level]]:Tasks[[#This Row],[_Level]])),0))</f>
        <v>0</v>
      </c>
      <c r="BL72" s="41" t="n">
        <f aca="false">IFERROR(N(INDEX(Tasks[_Level],Tasks[[#This Row],[_Row]]+1)),0)</f>
        <v>0</v>
      </c>
      <c r="BM72" s="99" t="b">
        <f aca="false">AND(Tasks[[#This Row],[Task Name]]&lt;&gt;"",Tasks[[#This Row],[_NextLevel]]&gt;Tasks[[#This Row],[_Level]])</f>
        <v>0</v>
      </c>
      <c r="BN72" s="41" t="n">
        <f aca="false">IF(Tasks[[#This Row],[_IsSummary]],COUNTIF(Tasks[WBS],Tasks[[#This Row],[WBS]]&amp;".*"),0)</f>
        <v>0</v>
      </c>
      <c r="BO72" s="41" t="n">
        <f aca="false">IF(AND(Tasks[[#This Row],[Task Name]]&lt;&gt;"",NOT(Tasks[[#This Row],[_IsSummary]])),1,0)</f>
        <v>0</v>
      </c>
      <c r="BP72" s="41" t="n">
        <f aca="false">IF(N(Tasks[[#This Row],[Pred1 UID]])=0,0,IFERROR(MATCH(Tasks[[#This Row],[Pred1 UID]],Tasks[UID],0),-1))</f>
        <v>0</v>
      </c>
      <c r="BQ72" s="41" t="n">
        <f aca="false">IF(N(Tasks[[#This Row],[Pred2 UID]])=0,0,IFERROR(MATCH(Tasks[[#This Row],[Pred2 UID]],Tasks[UID],0),-1))</f>
        <v>0</v>
      </c>
      <c r="BR72"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72" s="100" t="str">
        <f aca="false">IF(NOT(Tasks[[#This Row],[_IsLeaf]]=1),"",IF(N(Tasks[[#This Row],[Duration]])&lt;=0,Tasks[[#This Row],[_LeafCalcStart]],WORKDAY.INTL(Tasks[[#This Row],[_LeafCalcStart]],Tasks[[#This Row],[Duration]]-1,WorkWeek,Holidays)))</f>
        <v/>
      </c>
      <c r="BT72"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72"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72" s="41" t="n">
        <f aca="false">IF(NOT(Tasks[[#This Row],[_IsLeaf]]=1),0,IF(N(Tasks[[#This Row],[Actual Finish]])&gt;0,1,MIN(1,N(Tasks[[#This Row],[% Complete]]))))</f>
        <v>0</v>
      </c>
      <c r="BW72" s="41" t="n">
        <f aca="false">IF(OR(NOT(Tasks[[#This Row],[_IsLeaf]]=1),Tasks[[#This Row],[Resource]]=""),0,N(Tasks[[#This Row],[Duration]])*HoursPerDay*IF(Tasks[[#This Row],[Units]]="",DefaultUnits,Tasks[[#This Row],[Units]]))</f>
        <v>0</v>
      </c>
      <c r="BX72" s="41" t="n">
        <f aca="false">IF(Tasks[[#This Row],[_LeafWork]]=0,0,Tasks[[#This Row],[_LeafWork]]*IFERROR(INDEX(res_Rate,MATCH(Tasks[[#This Row],[Resource]],res_Name,0)),0))</f>
        <v>0</v>
      </c>
      <c r="BY7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7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7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7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72" s="41" t="n">
        <f aca="false">IF(NOT(Tasks[[#This Row],[_IsLeaf]]=1),0,MAX(_xlfn.MAXIFS(Tasks[_Row],Tasks[Pred1 UID],Tasks[[#This Row],[UID]]),_xlfn.MAXIFS(Tasks[_Row],Tasks[Pred2 UID],Tasks[[#This Row],[UID]])))</f>
        <v>0</v>
      </c>
      <c r="CD72"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72" s="100" t="str">
        <f aca="false">IF(NOT(Tasks[[#This Row],[_IsLeaf]]=1),"",MIN(ProjectFinish,IF(N(Tasks[[#This Row],[Deadline]])&gt;0,Tasks[[#This Row],[Deadline]],2958465),Tasks[[#This Row],[_SuccessorFinishLimit]]))</f>
        <v/>
      </c>
      <c r="CF72" s="100" t="str">
        <f aca="false">IF(NOT(Tasks[[#This Row],[_IsLeaf]]=1),"",IF(N(Tasks[[#This Row],[Duration]])&lt;=0,Tasks[[#This Row],[_LeafLateFinish]],WORKDAY.INTL(Tasks[[#This Row],[_LeafLateFinish]],-(Tasks[[#This Row],[Duration]]-1),WorkWeek,Holidays)))</f>
        <v/>
      </c>
      <c r="CG7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72" s="99" t="b">
        <f aca="false">AND(Tasks[[#This Row],[_IsLeaf]]=1,Tasks[[#This Row],[_LeafProgress]]&lt;1,N(Tasks[[#This Row],[_LeafTotalSlack]])&lt;=CriticalSlackDays)</f>
        <v>0</v>
      </c>
      <c r="CI72" s="100" t="str">
        <f aca="false">IF(Tasks[[#This Row],[Task Name]]="","",IF(Tasks[[#This Row],[_IsSummary]],MIN(INDEX(Tasks[_LeafCalcStart],Tasks[[#This Row],[_Row]]+1):INDEX(Tasks[_LeafCalcStart],Tasks[[#This Row],[_Row]]+Tasks[[#This Row],[_Descendants]])),Tasks[[#This Row],[_LeafCalcStart]]))</f>
        <v/>
      </c>
      <c r="CJ72" s="100" t="str">
        <f aca="false">IF(Tasks[[#This Row],[Task Name]]="","",IF(Tasks[[#This Row],[_IsSummary]],MAX(INDEX(Tasks[_LeafCalcFinish],Tasks[[#This Row],[_Row]]+1):INDEX(Tasks[_LeafCalcFinish],Tasks[[#This Row],[_Row]]+Tasks[[#This Row],[_Descendants]])),Tasks[[#This Row],[_LeafCalcFinish]]))</f>
        <v/>
      </c>
      <c r="CK7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7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72"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72"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72"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72"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72" s="41" t="n">
        <f aca="false">IF(AND(Tasks[[#This Row],[_IsLeaf]]=1,Tasks[[#This Row],[_LeafWork]]&gt;0),NETWORKDAYS.INTL(ProjectStart,Tasks[[#This Row],[_LeafFcstStart]],WorkWeek,Holidays),0)</f>
        <v>0</v>
      </c>
      <c r="CR72" s="41" t="n">
        <f aca="false">IF(AND(Tasks[[#This Row],[_IsLeaf]]=1,Tasks[[#This Row],[_LeafWork]]&gt;0),MAX(Tasks[[#This Row],[_StartWorkday]],NETWORKDAYS.INTL(ProjectStart,Tasks[[#This Row],[_LeafFcstFinish]],WorkWeek,Holidays)),0)</f>
        <v>0</v>
      </c>
      <c r="CS72" s="41" t="n">
        <f aca="false">IF(AND(Tasks[[#This Row],[_IsLeaf]]=1,Tasks[[#This Row],[_LeafWork]]&gt;0),Tasks[[#This Row],[_LeafWork]]/(Tasks[[#This Row],[_FinishWorkday]]-Tasks[[#This Row],[_StartWorkday]]+1),0)</f>
        <v>0</v>
      </c>
      <c r="CT72" s="41" t="n">
        <f aca="false">Tasks[[#This Row],[_WorkPerWorkday]]*(Tasks[[#This Row],[_StartWorkday]]-1)</f>
        <v>-0</v>
      </c>
      <c r="CU72" s="41" t="n">
        <f aca="false">IF(Tasks[[#This Row],[_IsLeaf]]=1,MAX(N(Tasks[[#This Row],[Duration]]),0.1),0)</f>
        <v>0</v>
      </c>
      <c r="CV72" s="41" t="n">
        <f aca="false">Tasks[[#This Row],[_WeightDur]]*Tasks[[#This Row],[_LeafProgress]]</f>
        <v>0</v>
      </c>
      <c r="CW7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7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7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7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72" s="41" t="str">
        <f aca="false">IF(Tasks[[#This Row],[Task Name]]="","",Tasks[[#This Row],[_Pred1UIDText]]&amp;IF(AND(Tasks[[#This Row],[_Pred1UIDText]]&lt;&gt;"",Tasks[[#This Row],[_Pred2UIDText]]&lt;&gt;""),",","")&amp;Tasks[[#This Row],[_Pred2UIDText]])</f>
        <v/>
      </c>
      <c r="DB72" s="41" t="str">
        <f aca="false">IF(AND(Tasks[[#This Row],[_IsLeaf]]=1,N(Tasks[[#This Row],[Duration]])=0,Tasks[[#This Row],[_LeafProgress]]&lt;1),Tasks[[#This Row],[_LeafFcstFinish]]+Tasks[[#This Row],[_Row]]/100000,"")</f>
        <v/>
      </c>
      <c r="DC7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72" s="41" t="n">
        <f aca="false">IF(NOT(Tasks[[#This Row],[_IsLeaf]]=1),0,IF(Tasks[[#This Row],[Baseline Cost]]="",Tasks[[#This Row],[_LeafCost]],N(Tasks[[#This Row],[Baseline Cost]])))</f>
        <v>0</v>
      </c>
      <c r="DE72" s="41" t="n">
        <f aca="false">Tasks[[#This Row],[_LeafBudget]]*Tasks[[#This Row],[_PlannedPct]]</f>
        <v>0</v>
      </c>
      <c r="DF72" s="41" t="n">
        <f aca="false">Tasks[[#This Row],[_LeafBudget]]*Tasks[[#This Row],[_LeafProgress]]</f>
        <v>0</v>
      </c>
      <c r="DG72" s="41" t="n">
        <f aca="false">IF(NOT(Tasks[[#This Row],[_IsLeaf]]=1),0,IF(Tasks[[#This Row],[Actual Cost]]="",Tasks[[#This Row],[_LeafCost]]*Tasks[[#This Row],[_LeafProgress]],N(Tasks[[#This Row],[Actual Cost]])))</f>
        <v>0</v>
      </c>
      <c r="DH72" s="41" t="str">
        <f aca="false">IF(Tasks[[#This Row],[Task Name]]="","",LEFT(Tasks[[#This Row],[WBS]],FIND(".",Tasks[[#This Row],[WBS]]&amp;".")-1))</f>
        <v/>
      </c>
      <c r="DI72" s="41" t="str">
        <f aca="false">IF(AND(Tasks[[#This Row],[Task Name]]&lt;&gt;"",Tasks[[#This Row],[_Level]]=1),Tasks[[#This Row],[_Row]],"")</f>
        <v/>
      </c>
      <c r="DJ72" s="41" t="str">
        <f aca="false">IF(AND(Tasks[[#This Row],[_IsLeaf]]=1,N(Tasks[[#This Row],[Duration]])=0),Tasks[[#This Row],[Planned Finish]]+Tasks[[#This Row],[_Row]]/100000,"")</f>
        <v/>
      </c>
      <c r="DK72" s="41" t="str">
        <f aca="false">IF(AND(Tasks[[#This Row],[_IsLeaf]]=1,Tasks[[#This Row],[_LeafProgress]]&lt;1,OR(N(Tasks[[#This Row],[Finish Var]])&gt;0,Tasks[[#This Row],[Status]]="Late Start")),MAX(0,Tasks[[#This Row],[Finish Var]])+1-Tasks[[#This Row],[_Row]]/1000000,"")</f>
        <v/>
      </c>
      <c r="DL72" s="41" t="str">
        <f aca="false">IF(AND(Tasks[[#This Row],[_IsLeaf]]=1,N(Tasks[[#This Row],[Actual Start]])=0,Tasks[[#This Row],[_LeafFcstStart]]&gt;=StatusDate,Tasks[[#This Row],[_LeafFcstStart]]&lt;=LookaheadEnd),Tasks[[#This Row],[_LeafFcstStart]]+Tasks[[#This Row],[_Row]]/100000,"")</f>
        <v/>
      </c>
      <c r="DM72" s="41" t="str">
        <f aca="false">IF(AND(Tasks[[#This Row],[_IsLeaf]]=1,Tasks[[#This Row],[_LeafProgress]]&lt;1,Tasks[[#This Row],[_LeafFcstFinish]]&gt;=StatusDate,Tasks[[#This Row],[_LeafFcstFinish]]&lt;=LookaheadEnd),Tasks[[#This Row],[_LeafFcstFinish]]+Tasks[[#This Row],[_Row]]/100000,"")</f>
        <v/>
      </c>
      <c r="DN72" s="41" t="str">
        <f aca="false">IF(Tasks[[#This Row],[_LeafCritical]],Tasks[[#This Row],[_LeafFcstStart]]+Tasks[[#This Row],[_Row]]/100000,"")</f>
        <v/>
      </c>
      <c r="DO72" s="41" t="n">
        <f aca="false">Tasks[[#This Row],[_LeafWork]]*Tasks[[#This Row],[_LeafProgress]]</f>
        <v>0</v>
      </c>
      <c r="DP72" s="100" t="str">
        <f aca="false">IF(AND(Tasks[[#This Row],[_IsLeaf]]=1,Tasks[[#This Row],[_LeafProgress]]&gt;=1),IF(N(Tasks[[#This Row],[Actual Finish]])&gt;0,Tasks[[#This Row],[Actual Finish]],Tasks[[#This Row],[_LeafFcstFinish]]),"")</f>
        <v/>
      </c>
      <c r="DQ72" s="41" t="n">
        <f aca="false">IF(Tasks[[#This Row],[_IsLeaf]]=1,N(Tasks[[#This Row],[Story Points]]),0)</f>
        <v>0</v>
      </c>
      <c r="DR72" s="41" t="str">
        <f aca="false">IF(AND(Tasks[[#This Row],[_IsLeaf]]=1,CurrentSprint&lt;&gt;"",Tasks[[#This Row],[Sprint]]=CurrentSprint),Tasks[[#This Row],[_Row]],"")</f>
        <v/>
      </c>
    </row>
    <row r="73" customFormat="false" ht="15" hidden="false" customHeight="false" outlineLevel="0" collapsed="false">
      <c r="A73" s="28" t="str">
        <f aca="false">IF(Tasks[[#This Row],[Task Name]]="","",COUNTA(Tasks[[#Headers],[Task Name]]:Tasks[[#This Row],[Task Name]])-1)</f>
        <v/>
      </c>
      <c r="B73" s="29" t="n">
        <v>68</v>
      </c>
      <c r="C7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3" s="29"/>
      <c r="E73" s="30"/>
      <c r="F73" s="29"/>
      <c r="G73" s="29"/>
      <c r="H73" s="29"/>
      <c r="I73" s="29"/>
      <c r="J73" s="29"/>
      <c r="K73" s="29"/>
      <c r="L73" s="29"/>
      <c r="M73" s="29"/>
      <c r="N73" s="73"/>
      <c r="O73" s="73"/>
      <c r="P73" s="25" t="str">
        <f aca="false">IF(Tasks[[#This Row],[Task Name]]="","",IF(N(Tasks[[#This Row],[Baseline Start]])&gt;0,Tasks[[#This Row],[Baseline Start]],Tasks[[#This Row],[_CalcStart]]))</f>
        <v/>
      </c>
      <c r="Q73" s="25" t="str">
        <f aca="false">IF(Tasks[[#This Row],[Task Name]]="","",IF(N(Tasks[[#This Row],[Baseline Finish]])&gt;0,Tasks[[#This Row],[Baseline Finish]],Tasks[[#This Row],[_CalcFinish]]))</f>
        <v/>
      </c>
      <c r="R73" s="73"/>
      <c r="S73" s="73"/>
      <c r="T73" s="25" t="str">
        <f aca="false">IF(Tasks[[#This Row],[Task Name]]="","",IF(Tasks[[#This Row],[_IsSummary]],MIN(INDEX(Tasks[_LeafFcstStart],Tasks[[#This Row],[_Row]]+1):INDEX(Tasks[_LeafFcstStart],Tasks[[#This Row],[_Row]]+Tasks[[#This Row],[_Descendants]])),Tasks[[#This Row],[_LeafFcstStart]]))</f>
        <v/>
      </c>
      <c r="U73" s="25" t="str">
        <f aca="false">IF(Tasks[[#This Row],[Task Name]]="","",IF(Tasks[[#This Row],[_IsSummary]],MAX(INDEX(Tasks[_LeafFcstFinish],Tasks[[#This Row],[_Row]]+1):INDEX(Tasks[_LeafFcstFinish],Tasks[[#This Row],[_Row]]+Tasks[[#This Row],[_Descendants]])),Tasks[[#This Row],[_LeafFcstFinish]]))</f>
        <v/>
      </c>
      <c r="V7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7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3" s="25" t="str">
        <f aca="false">IF(Tasks[[#This Row],[Task Name]]="","",IF(Tasks[[#This Row],[_IsSummary]],MIN(INDEX(Tasks[_LeafLateStart],Tasks[[#This Row],[_Row]]+1):INDEX(Tasks[_LeafLateStart],Tasks[[#This Row],[_Row]]+Tasks[[#This Row],[_Descendants]])),Tasks[[#This Row],[_LeafLateStart]]))</f>
        <v/>
      </c>
      <c r="Y73" s="25" t="str">
        <f aca="false">IF(Tasks[[#This Row],[Task Name]]="","",IF(Tasks[[#This Row],[_IsSummary]],MAX(INDEX(Tasks[_LeafLateFinish],Tasks[[#This Row],[_Row]]+1):INDEX(Tasks[_LeafLateFinish],Tasks[[#This Row],[_Row]]+Tasks[[#This Row],[_Descendants]])),Tasks[[#This Row],[_LeafLateFinish]]))</f>
        <v/>
      </c>
      <c r="Z73" s="43" t="str">
        <f aca="false">IF(Tasks[[#This Row],[Task Name]]="","",IF(Tasks[[#This Row],[_IsSummary]],MIN(INDEX(Tasks[_LeafTotalSlack],Tasks[[#This Row],[_Row]]+1):INDEX(Tasks[_LeafTotalSlack],Tasks[[#This Row],[_Row]]+Tasks[[#This Row],[_Descendants]])),Tasks[[#This Row],[_LeafTotalSlack]]))</f>
        <v/>
      </c>
      <c r="AA7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3" s="28" t="str">
        <f aca="false">IF(Tasks[[#This Row],[Task Name]]="","",IF(IF(Tasks[[#This Row],[_IsSummary]],COUNTIF(INDEX(Tasks[_LeafCritical],Tasks[[#This Row],[_Row]]+1):INDEX(Tasks[_LeafCritical],Tasks[[#This Row],[_Row]]+Tasks[[#This Row],[_Descendants]]),TRUE())&gt;0,Tasks[[#This Row],[_LeafCritical]]),"Yes",""))</f>
        <v/>
      </c>
      <c r="AC7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3" s="24" t="str">
        <f aca="false">IF(Tasks[[#This Row],[Task Name]]="","",TRIM(IF(Tasks[[#This Row],[_Pred1Problem]]&lt;&gt;"","Pred 1: "&amp;Tasks[[#This Row],[_Pred1Problem]]&amp;". ","")&amp;IF(Tasks[[#This Row],[_Pred2Problem]]&lt;&gt;"","Pred 2: "&amp;Tasks[[#This Row],[_Pred2Problem]]&amp;".","")))</f>
        <v/>
      </c>
      <c r="AE73" s="88"/>
      <c r="AF73"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3" s="28" t="str">
        <f aca="false">IF(Tasks[[#This Row],[Task Name]]="","",IF(Tasks[[#This Row],[Progress]]&gt;=1,"Complete",IF(OR(N(Tasks[[#This Row],[Actual Start]])&gt;0,Tasks[[#This Row],[Progress]]&gt;0),IF(Tasks[[#This Row],[Finish Var]]&gt;0,"Behind","In Progress"),IF(Tasks[[#This Row],[Planned Start]]&lt;StatusDate,"Late Start","Not Started"))))</f>
        <v/>
      </c>
      <c r="AH73" s="30"/>
      <c r="AI73" s="88"/>
      <c r="AJ73" s="95" t="str">
        <f aca="false">IF(Tasks[[#This Row],[Task Name]]="","",IF(Tasks[[#This Row],[_IsSummary]],SUM(INDEX(Tasks[_LeafWork],Tasks[[#This Row],[_Row]]+1):INDEX(Tasks[_LeafWork],Tasks[[#This Row],[_Row]]+Tasks[[#This Row],[_Descendants]])),Tasks[[#This Row],[_LeafWork]]))</f>
        <v/>
      </c>
      <c r="AK73" s="96" t="str">
        <f aca="false">IF(Tasks[[#This Row],[Task Name]]="","",IF(Tasks[[#This Row],[_IsSummary]],SUM(INDEX(Tasks[_LeafCost],Tasks[[#This Row],[_Row]]+1):INDEX(Tasks[_LeafCost],Tasks[[#This Row],[_Row]]+Tasks[[#This Row],[_Descendants]])),Tasks[[#This Row],[_LeafCost]]))</f>
        <v/>
      </c>
      <c r="AL73" s="97"/>
      <c r="AM73" s="29"/>
      <c r="AN7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73" s="82"/>
      <c r="AP73" s="24" t="str">
        <f aca="false">IF(Tasks[[#This Row],[Task Name]]="","",Tasks[[#This Row],[_Pred1IDText]]&amp;IF(AND(Tasks[[#This Row],[_Pred1IDText]]&lt;&gt;"",Tasks[[#This Row],[_Pred2IDText]]&lt;&gt;""),",","")&amp;Tasks[[#This Row],[_Pred2IDText]])</f>
        <v/>
      </c>
      <c r="AQ73" s="30"/>
      <c r="AR73" s="25" t="str">
        <f aca="false">IF(Tasks[[#This Row],[Task Name]]="","",Tasks[[#This Row],[Forecast Start]])</f>
        <v/>
      </c>
      <c r="AS73" s="25" t="str">
        <f aca="false">IF(Tasks[[#This Row],[Task Name]]="","",Tasks[[#This Row],[Forecast Finish]])</f>
        <v/>
      </c>
      <c r="AT73" s="28" t="str">
        <f aca="false">IF(Tasks[[#This Row],[Task Name]]="","",IF(Tasks[[#This Row],[_IsSummary]],NETWORKDAYS.INTL(Tasks[[#This Row],[Forecast Start]],Tasks[[#This Row],[Forecast Finish]],WorkWeek,Holidays),N(Tasks[[#This Row],[Duration]])))</f>
        <v/>
      </c>
      <c r="AU73" s="95" t="str">
        <f aca="false">IF(Tasks[[#This Row],[Task Name]]="","",Tasks[[#This Row],[Work]])</f>
        <v/>
      </c>
      <c r="AV73" s="96" t="str">
        <f aca="false">IF(Tasks[[#This Row],[Task Name]]="","",Tasks[[#This Row],[Cost]])</f>
        <v/>
      </c>
      <c r="AW73" s="73"/>
      <c r="AX73" s="73"/>
      <c r="AY73" s="29"/>
      <c r="AZ73" s="98"/>
      <c r="BA73" s="97"/>
      <c r="BB73" s="28" t="str">
        <f aca="false">IF(OR(Tasks[[#This Row],[Task Name]]="",Tasks[[#This Row],[Baseline Duration]]=""),"",Tasks[[#This Row],[BL Source Duration]]-N(Tasks[[#This Row],[Baseline Duration]]))</f>
        <v/>
      </c>
      <c r="BC73" s="95" t="str">
        <f aca="false">IF(OR(Tasks[[#This Row],[Task Name]]="",Tasks[[#This Row],[Baseline Work]]=""),"",Tasks[[#This Row],[Work]]-N(Tasks[[#This Row],[Baseline Work]]))</f>
        <v/>
      </c>
      <c r="BD73" s="96" t="str">
        <f aca="false">IF(OR(Tasks[[#This Row],[Task Name]]="",Tasks[[#This Row],[Baseline Cost]]=""),"",Tasks[[#This Row],[Cost]]-N(Tasks[[#This Row],[Baseline Cost]]))</f>
        <v/>
      </c>
      <c r="BE73" s="96" t="str">
        <f aca="false">IF(Tasks[[#This Row],[Task Name]]="","",IF(Tasks[[#This Row],[_IsSummary]],SUM(INDEX(Tasks[_LeafBudget],Tasks[[#This Row],[_Row]]+1):INDEX(Tasks[_LeafBudget],Tasks[[#This Row],[_Row]]+Tasks[[#This Row],[_Descendants]])),Tasks[[#This Row],[_LeafBudget]]))</f>
        <v/>
      </c>
      <c r="BF73" s="96" t="str">
        <f aca="false">IF(Tasks[[#This Row],[Task Name]]="","",IF(Tasks[[#This Row],[_IsSummary]],SUM(INDEX(Tasks[_LeafPV],Tasks[[#This Row],[_Row]]+1):INDEX(Tasks[_LeafPV],Tasks[[#This Row],[_Row]]+Tasks[[#This Row],[_Descendants]])),Tasks[[#This Row],[_LeafPV]]))</f>
        <v/>
      </c>
      <c r="BG73" s="96" t="str">
        <f aca="false">IF(Tasks[[#This Row],[Task Name]]="","",IF(Tasks[[#This Row],[_IsSummary]],SUM(INDEX(Tasks[_LeafEV],Tasks[[#This Row],[_Row]]+1):INDEX(Tasks[_LeafEV],Tasks[[#This Row],[_Row]]+Tasks[[#This Row],[_Descendants]])),Tasks[[#This Row],[_LeafEV]]))</f>
        <v/>
      </c>
      <c r="BH73" s="96" t="str">
        <f aca="false">IF(Tasks[[#This Row],[Task Name]]="","",IF(Tasks[[#This Row],[_IsSummary]],SUM(INDEX(Tasks[_LeafAC],Tasks[[#This Row],[_Row]]+1):INDEX(Tasks[_LeafAC],Tasks[[#This Row],[_Row]]+Tasks[[#This Row],[_Descendants]])),Tasks[[#This Row],[_LeafAC]]))</f>
        <v/>
      </c>
      <c r="BI73" s="41" t="str">
        <f aca="false">IF(Tasks[[#This Row],[Task Name]]="","",MAX(1,N(Tasks[[#This Row],[Level]])))</f>
        <v/>
      </c>
      <c r="BJ73" s="41" t="n">
        <f aca="false">ROW()-ROW(Tasks[[#Headers],[ID]])</f>
        <v>68</v>
      </c>
      <c r="BK73" s="41" t="n">
        <f aca="false">IF(OR(Tasks[[#This Row],[Task Name]]="",Tasks[[#This Row],[_Level]]&lt;=1),0,IFERROR(LOOKUP(2,1/(Tasks[[#Headers],[_Level]]:Tasks[[#This Row],[_Level]]=Tasks[[#This Row],[_Level]]-1),ROW(Tasks[[#Headers],[_Level]]:Tasks[[#This Row],[_Level]])),0))</f>
        <v>0</v>
      </c>
      <c r="BL73" s="41" t="n">
        <f aca="false">IFERROR(N(INDEX(Tasks[_Level],Tasks[[#This Row],[_Row]]+1)),0)</f>
        <v>0</v>
      </c>
      <c r="BM73" s="99" t="b">
        <f aca="false">AND(Tasks[[#This Row],[Task Name]]&lt;&gt;"",Tasks[[#This Row],[_NextLevel]]&gt;Tasks[[#This Row],[_Level]])</f>
        <v>0</v>
      </c>
      <c r="BN73" s="41" t="n">
        <f aca="false">IF(Tasks[[#This Row],[_IsSummary]],COUNTIF(Tasks[WBS],Tasks[[#This Row],[WBS]]&amp;".*"),0)</f>
        <v>0</v>
      </c>
      <c r="BO73" s="41" t="n">
        <f aca="false">IF(AND(Tasks[[#This Row],[Task Name]]&lt;&gt;"",NOT(Tasks[[#This Row],[_IsSummary]])),1,0)</f>
        <v>0</v>
      </c>
      <c r="BP73" s="41" t="n">
        <f aca="false">IF(N(Tasks[[#This Row],[Pred1 UID]])=0,0,IFERROR(MATCH(Tasks[[#This Row],[Pred1 UID]],Tasks[UID],0),-1))</f>
        <v>0</v>
      </c>
      <c r="BQ73" s="41" t="n">
        <f aca="false">IF(N(Tasks[[#This Row],[Pred2 UID]])=0,0,IFERROR(MATCH(Tasks[[#This Row],[Pred2 UID]],Tasks[UID],0),-1))</f>
        <v>0</v>
      </c>
      <c r="BR73"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73" s="100" t="str">
        <f aca="false">IF(NOT(Tasks[[#This Row],[_IsLeaf]]=1),"",IF(N(Tasks[[#This Row],[Duration]])&lt;=0,Tasks[[#This Row],[_LeafCalcStart]],WORKDAY.INTL(Tasks[[#This Row],[_LeafCalcStart]],Tasks[[#This Row],[Duration]]-1,WorkWeek,Holidays)))</f>
        <v/>
      </c>
      <c r="BT73"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73"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73" s="41" t="n">
        <f aca="false">IF(NOT(Tasks[[#This Row],[_IsLeaf]]=1),0,IF(N(Tasks[[#This Row],[Actual Finish]])&gt;0,1,MIN(1,N(Tasks[[#This Row],[% Complete]]))))</f>
        <v>0</v>
      </c>
      <c r="BW73" s="41" t="n">
        <f aca="false">IF(OR(NOT(Tasks[[#This Row],[_IsLeaf]]=1),Tasks[[#This Row],[Resource]]=""),0,N(Tasks[[#This Row],[Duration]])*HoursPerDay*IF(Tasks[[#This Row],[Units]]="",DefaultUnits,Tasks[[#This Row],[Units]]))</f>
        <v>0</v>
      </c>
      <c r="BX73" s="41" t="n">
        <f aca="false">IF(Tasks[[#This Row],[_LeafWork]]=0,0,Tasks[[#This Row],[_LeafWork]]*IFERROR(INDEX(res_Rate,MATCH(Tasks[[#This Row],[Resource]],res_Name,0)),0))</f>
        <v>0</v>
      </c>
      <c r="BY7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7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7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7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73" s="41" t="n">
        <f aca="false">IF(NOT(Tasks[[#This Row],[_IsLeaf]]=1),0,MAX(_xlfn.MAXIFS(Tasks[_Row],Tasks[Pred1 UID],Tasks[[#This Row],[UID]]),_xlfn.MAXIFS(Tasks[_Row],Tasks[Pred2 UID],Tasks[[#This Row],[UID]])))</f>
        <v>0</v>
      </c>
      <c r="CD73"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73" s="100" t="str">
        <f aca="false">IF(NOT(Tasks[[#This Row],[_IsLeaf]]=1),"",MIN(ProjectFinish,IF(N(Tasks[[#This Row],[Deadline]])&gt;0,Tasks[[#This Row],[Deadline]],2958465),Tasks[[#This Row],[_SuccessorFinishLimit]]))</f>
        <v/>
      </c>
      <c r="CF73" s="100" t="str">
        <f aca="false">IF(NOT(Tasks[[#This Row],[_IsLeaf]]=1),"",IF(N(Tasks[[#This Row],[Duration]])&lt;=0,Tasks[[#This Row],[_LeafLateFinish]],WORKDAY.INTL(Tasks[[#This Row],[_LeafLateFinish]],-(Tasks[[#This Row],[Duration]]-1),WorkWeek,Holidays)))</f>
        <v/>
      </c>
      <c r="CG7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73" s="99" t="b">
        <f aca="false">AND(Tasks[[#This Row],[_IsLeaf]]=1,Tasks[[#This Row],[_LeafProgress]]&lt;1,N(Tasks[[#This Row],[_LeafTotalSlack]])&lt;=CriticalSlackDays)</f>
        <v>0</v>
      </c>
      <c r="CI73" s="100" t="str">
        <f aca="false">IF(Tasks[[#This Row],[Task Name]]="","",IF(Tasks[[#This Row],[_IsSummary]],MIN(INDEX(Tasks[_LeafCalcStart],Tasks[[#This Row],[_Row]]+1):INDEX(Tasks[_LeafCalcStart],Tasks[[#This Row],[_Row]]+Tasks[[#This Row],[_Descendants]])),Tasks[[#This Row],[_LeafCalcStart]]))</f>
        <v/>
      </c>
      <c r="CJ73" s="100" t="str">
        <f aca="false">IF(Tasks[[#This Row],[Task Name]]="","",IF(Tasks[[#This Row],[_IsSummary]],MAX(INDEX(Tasks[_LeafCalcFinish],Tasks[[#This Row],[_Row]]+1):INDEX(Tasks[_LeafCalcFinish],Tasks[[#This Row],[_Row]]+Tasks[[#This Row],[_Descendants]])),Tasks[[#This Row],[_LeafCalcFinish]]))</f>
        <v/>
      </c>
      <c r="CK7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7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73"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73"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73"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73"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73" s="41" t="n">
        <f aca="false">IF(AND(Tasks[[#This Row],[_IsLeaf]]=1,Tasks[[#This Row],[_LeafWork]]&gt;0),NETWORKDAYS.INTL(ProjectStart,Tasks[[#This Row],[_LeafFcstStart]],WorkWeek,Holidays),0)</f>
        <v>0</v>
      </c>
      <c r="CR73" s="41" t="n">
        <f aca="false">IF(AND(Tasks[[#This Row],[_IsLeaf]]=1,Tasks[[#This Row],[_LeafWork]]&gt;0),MAX(Tasks[[#This Row],[_StartWorkday]],NETWORKDAYS.INTL(ProjectStart,Tasks[[#This Row],[_LeafFcstFinish]],WorkWeek,Holidays)),0)</f>
        <v>0</v>
      </c>
      <c r="CS73" s="41" t="n">
        <f aca="false">IF(AND(Tasks[[#This Row],[_IsLeaf]]=1,Tasks[[#This Row],[_LeafWork]]&gt;0),Tasks[[#This Row],[_LeafWork]]/(Tasks[[#This Row],[_FinishWorkday]]-Tasks[[#This Row],[_StartWorkday]]+1),0)</f>
        <v>0</v>
      </c>
      <c r="CT73" s="41" t="n">
        <f aca="false">Tasks[[#This Row],[_WorkPerWorkday]]*(Tasks[[#This Row],[_StartWorkday]]-1)</f>
        <v>-0</v>
      </c>
      <c r="CU73" s="41" t="n">
        <f aca="false">IF(Tasks[[#This Row],[_IsLeaf]]=1,MAX(N(Tasks[[#This Row],[Duration]]),0.1),0)</f>
        <v>0</v>
      </c>
      <c r="CV73" s="41" t="n">
        <f aca="false">Tasks[[#This Row],[_WeightDur]]*Tasks[[#This Row],[_LeafProgress]]</f>
        <v>0</v>
      </c>
      <c r="CW7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7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7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7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73" s="41" t="str">
        <f aca="false">IF(Tasks[[#This Row],[Task Name]]="","",Tasks[[#This Row],[_Pred1UIDText]]&amp;IF(AND(Tasks[[#This Row],[_Pred1UIDText]]&lt;&gt;"",Tasks[[#This Row],[_Pred2UIDText]]&lt;&gt;""),",","")&amp;Tasks[[#This Row],[_Pred2UIDText]])</f>
        <v/>
      </c>
      <c r="DB73" s="41" t="str">
        <f aca="false">IF(AND(Tasks[[#This Row],[_IsLeaf]]=1,N(Tasks[[#This Row],[Duration]])=0,Tasks[[#This Row],[_LeafProgress]]&lt;1),Tasks[[#This Row],[_LeafFcstFinish]]+Tasks[[#This Row],[_Row]]/100000,"")</f>
        <v/>
      </c>
      <c r="DC7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73" s="41" t="n">
        <f aca="false">IF(NOT(Tasks[[#This Row],[_IsLeaf]]=1),0,IF(Tasks[[#This Row],[Baseline Cost]]="",Tasks[[#This Row],[_LeafCost]],N(Tasks[[#This Row],[Baseline Cost]])))</f>
        <v>0</v>
      </c>
      <c r="DE73" s="41" t="n">
        <f aca="false">Tasks[[#This Row],[_LeafBudget]]*Tasks[[#This Row],[_PlannedPct]]</f>
        <v>0</v>
      </c>
      <c r="DF73" s="41" t="n">
        <f aca="false">Tasks[[#This Row],[_LeafBudget]]*Tasks[[#This Row],[_LeafProgress]]</f>
        <v>0</v>
      </c>
      <c r="DG73" s="41" t="n">
        <f aca="false">IF(NOT(Tasks[[#This Row],[_IsLeaf]]=1),0,IF(Tasks[[#This Row],[Actual Cost]]="",Tasks[[#This Row],[_LeafCost]]*Tasks[[#This Row],[_LeafProgress]],N(Tasks[[#This Row],[Actual Cost]])))</f>
        <v>0</v>
      </c>
      <c r="DH73" s="41" t="str">
        <f aca="false">IF(Tasks[[#This Row],[Task Name]]="","",LEFT(Tasks[[#This Row],[WBS]],FIND(".",Tasks[[#This Row],[WBS]]&amp;".")-1))</f>
        <v/>
      </c>
      <c r="DI73" s="41" t="str">
        <f aca="false">IF(AND(Tasks[[#This Row],[Task Name]]&lt;&gt;"",Tasks[[#This Row],[_Level]]=1),Tasks[[#This Row],[_Row]],"")</f>
        <v/>
      </c>
      <c r="DJ73" s="41" t="str">
        <f aca="false">IF(AND(Tasks[[#This Row],[_IsLeaf]]=1,N(Tasks[[#This Row],[Duration]])=0),Tasks[[#This Row],[Planned Finish]]+Tasks[[#This Row],[_Row]]/100000,"")</f>
        <v/>
      </c>
      <c r="DK73" s="41" t="str">
        <f aca="false">IF(AND(Tasks[[#This Row],[_IsLeaf]]=1,Tasks[[#This Row],[_LeafProgress]]&lt;1,OR(N(Tasks[[#This Row],[Finish Var]])&gt;0,Tasks[[#This Row],[Status]]="Late Start")),MAX(0,Tasks[[#This Row],[Finish Var]])+1-Tasks[[#This Row],[_Row]]/1000000,"")</f>
        <v/>
      </c>
      <c r="DL73" s="41" t="str">
        <f aca="false">IF(AND(Tasks[[#This Row],[_IsLeaf]]=1,N(Tasks[[#This Row],[Actual Start]])=0,Tasks[[#This Row],[_LeafFcstStart]]&gt;=StatusDate,Tasks[[#This Row],[_LeafFcstStart]]&lt;=LookaheadEnd),Tasks[[#This Row],[_LeafFcstStart]]+Tasks[[#This Row],[_Row]]/100000,"")</f>
        <v/>
      </c>
      <c r="DM73" s="41" t="str">
        <f aca="false">IF(AND(Tasks[[#This Row],[_IsLeaf]]=1,Tasks[[#This Row],[_LeafProgress]]&lt;1,Tasks[[#This Row],[_LeafFcstFinish]]&gt;=StatusDate,Tasks[[#This Row],[_LeafFcstFinish]]&lt;=LookaheadEnd),Tasks[[#This Row],[_LeafFcstFinish]]+Tasks[[#This Row],[_Row]]/100000,"")</f>
        <v/>
      </c>
      <c r="DN73" s="41" t="str">
        <f aca="false">IF(Tasks[[#This Row],[_LeafCritical]],Tasks[[#This Row],[_LeafFcstStart]]+Tasks[[#This Row],[_Row]]/100000,"")</f>
        <v/>
      </c>
      <c r="DO73" s="41" t="n">
        <f aca="false">Tasks[[#This Row],[_LeafWork]]*Tasks[[#This Row],[_LeafProgress]]</f>
        <v>0</v>
      </c>
      <c r="DP73" s="100" t="str">
        <f aca="false">IF(AND(Tasks[[#This Row],[_IsLeaf]]=1,Tasks[[#This Row],[_LeafProgress]]&gt;=1),IF(N(Tasks[[#This Row],[Actual Finish]])&gt;0,Tasks[[#This Row],[Actual Finish]],Tasks[[#This Row],[_LeafFcstFinish]]),"")</f>
        <v/>
      </c>
      <c r="DQ73" s="41" t="n">
        <f aca="false">IF(Tasks[[#This Row],[_IsLeaf]]=1,N(Tasks[[#This Row],[Story Points]]),0)</f>
        <v>0</v>
      </c>
      <c r="DR73" s="41" t="str">
        <f aca="false">IF(AND(Tasks[[#This Row],[_IsLeaf]]=1,CurrentSprint&lt;&gt;"",Tasks[[#This Row],[Sprint]]=CurrentSprint),Tasks[[#This Row],[_Row]],"")</f>
        <v/>
      </c>
    </row>
    <row r="74" customFormat="false" ht="15" hidden="false" customHeight="false" outlineLevel="0" collapsed="false">
      <c r="A74" s="28" t="str">
        <f aca="false">IF(Tasks[[#This Row],[Task Name]]="","",COUNTA(Tasks[[#Headers],[Task Name]]:Tasks[[#This Row],[Task Name]])-1)</f>
        <v/>
      </c>
      <c r="B74" s="29" t="n">
        <v>69</v>
      </c>
      <c r="C7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4" s="29"/>
      <c r="E74" s="30"/>
      <c r="F74" s="29"/>
      <c r="G74" s="29"/>
      <c r="H74" s="29"/>
      <c r="I74" s="29"/>
      <c r="J74" s="29"/>
      <c r="K74" s="29"/>
      <c r="L74" s="29"/>
      <c r="M74" s="29"/>
      <c r="N74" s="73"/>
      <c r="O74" s="73"/>
      <c r="P74" s="25" t="str">
        <f aca="false">IF(Tasks[[#This Row],[Task Name]]="","",IF(N(Tasks[[#This Row],[Baseline Start]])&gt;0,Tasks[[#This Row],[Baseline Start]],Tasks[[#This Row],[_CalcStart]]))</f>
        <v/>
      </c>
      <c r="Q74" s="25" t="str">
        <f aca="false">IF(Tasks[[#This Row],[Task Name]]="","",IF(N(Tasks[[#This Row],[Baseline Finish]])&gt;0,Tasks[[#This Row],[Baseline Finish]],Tasks[[#This Row],[_CalcFinish]]))</f>
        <v/>
      </c>
      <c r="R74" s="73"/>
      <c r="S74" s="73"/>
      <c r="T74" s="25" t="str">
        <f aca="false">IF(Tasks[[#This Row],[Task Name]]="","",IF(Tasks[[#This Row],[_IsSummary]],MIN(INDEX(Tasks[_LeafFcstStart],Tasks[[#This Row],[_Row]]+1):INDEX(Tasks[_LeafFcstStart],Tasks[[#This Row],[_Row]]+Tasks[[#This Row],[_Descendants]])),Tasks[[#This Row],[_LeafFcstStart]]))</f>
        <v/>
      </c>
      <c r="U74" s="25" t="str">
        <f aca="false">IF(Tasks[[#This Row],[Task Name]]="","",IF(Tasks[[#This Row],[_IsSummary]],MAX(INDEX(Tasks[_LeafFcstFinish],Tasks[[#This Row],[_Row]]+1):INDEX(Tasks[_LeafFcstFinish],Tasks[[#This Row],[_Row]]+Tasks[[#This Row],[_Descendants]])),Tasks[[#This Row],[_LeafFcstFinish]]))</f>
        <v/>
      </c>
      <c r="V7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7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4" s="25" t="str">
        <f aca="false">IF(Tasks[[#This Row],[Task Name]]="","",IF(Tasks[[#This Row],[_IsSummary]],MIN(INDEX(Tasks[_LeafLateStart],Tasks[[#This Row],[_Row]]+1):INDEX(Tasks[_LeafLateStart],Tasks[[#This Row],[_Row]]+Tasks[[#This Row],[_Descendants]])),Tasks[[#This Row],[_LeafLateStart]]))</f>
        <v/>
      </c>
      <c r="Y74" s="25" t="str">
        <f aca="false">IF(Tasks[[#This Row],[Task Name]]="","",IF(Tasks[[#This Row],[_IsSummary]],MAX(INDEX(Tasks[_LeafLateFinish],Tasks[[#This Row],[_Row]]+1):INDEX(Tasks[_LeafLateFinish],Tasks[[#This Row],[_Row]]+Tasks[[#This Row],[_Descendants]])),Tasks[[#This Row],[_LeafLateFinish]]))</f>
        <v/>
      </c>
      <c r="Z74" s="43" t="str">
        <f aca="false">IF(Tasks[[#This Row],[Task Name]]="","",IF(Tasks[[#This Row],[_IsSummary]],MIN(INDEX(Tasks[_LeafTotalSlack],Tasks[[#This Row],[_Row]]+1):INDEX(Tasks[_LeafTotalSlack],Tasks[[#This Row],[_Row]]+Tasks[[#This Row],[_Descendants]])),Tasks[[#This Row],[_LeafTotalSlack]]))</f>
        <v/>
      </c>
      <c r="AA7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4" s="28" t="str">
        <f aca="false">IF(Tasks[[#This Row],[Task Name]]="","",IF(IF(Tasks[[#This Row],[_IsSummary]],COUNTIF(INDEX(Tasks[_LeafCritical],Tasks[[#This Row],[_Row]]+1):INDEX(Tasks[_LeafCritical],Tasks[[#This Row],[_Row]]+Tasks[[#This Row],[_Descendants]]),TRUE())&gt;0,Tasks[[#This Row],[_LeafCritical]]),"Yes",""))</f>
        <v/>
      </c>
      <c r="AC7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4" s="24" t="str">
        <f aca="false">IF(Tasks[[#This Row],[Task Name]]="","",TRIM(IF(Tasks[[#This Row],[_Pred1Problem]]&lt;&gt;"","Pred 1: "&amp;Tasks[[#This Row],[_Pred1Problem]]&amp;". ","")&amp;IF(Tasks[[#This Row],[_Pred2Problem]]&lt;&gt;"","Pred 2: "&amp;Tasks[[#This Row],[_Pred2Problem]]&amp;".","")))</f>
        <v/>
      </c>
      <c r="AE74" s="88"/>
      <c r="AF74"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4" s="28" t="str">
        <f aca="false">IF(Tasks[[#This Row],[Task Name]]="","",IF(Tasks[[#This Row],[Progress]]&gt;=1,"Complete",IF(OR(N(Tasks[[#This Row],[Actual Start]])&gt;0,Tasks[[#This Row],[Progress]]&gt;0),IF(Tasks[[#This Row],[Finish Var]]&gt;0,"Behind","In Progress"),IF(Tasks[[#This Row],[Planned Start]]&lt;StatusDate,"Late Start","Not Started"))))</f>
        <v/>
      </c>
      <c r="AH74" s="30"/>
      <c r="AI74" s="88"/>
      <c r="AJ74" s="95" t="str">
        <f aca="false">IF(Tasks[[#This Row],[Task Name]]="","",IF(Tasks[[#This Row],[_IsSummary]],SUM(INDEX(Tasks[_LeafWork],Tasks[[#This Row],[_Row]]+1):INDEX(Tasks[_LeafWork],Tasks[[#This Row],[_Row]]+Tasks[[#This Row],[_Descendants]])),Tasks[[#This Row],[_LeafWork]]))</f>
        <v/>
      </c>
      <c r="AK74" s="96" t="str">
        <f aca="false">IF(Tasks[[#This Row],[Task Name]]="","",IF(Tasks[[#This Row],[_IsSummary]],SUM(INDEX(Tasks[_LeafCost],Tasks[[#This Row],[_Row]]+1):INDEX(Tasks[_LeafCost],Tasks[[#This Row],[_Row]]+Tasks[[#This Row],[_Descendants]])),Tasks[[#This Row],[_LeafCost]]))</f>
        <v/>
      </c>
      <c r="AL74" s="97"/>
      <c r="AM74" s="29"/>
      <c r="AN7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74" s="82"/>
      <c r="AP74" s="24" t="str">
        <f aca="false">IF(Tasks[[#This Row],[Task Name]]="","",Tasks[[#This Row],[_Pred1IDText]]&amp;IF(AND(Tasks[[#This Row],[_Pred1IDText]]&lt;&gt;"",Tasks[[#This Row],[_Pred2IDText]]&lt;&gt;""),",","")&amp;Tasks[[#This Row],[_Pred2IDText]])</f>
        <v/>
      </c>
      <c r="AQ74" s="30"/>
      <c r="AR74" s="25" t="str">
        <f aca="false">IF(Tasks[[#This Row],[Task Name]]="","",Tasks[[#This Row],[Forecast Start]])</f>
        <v/>
      </c>
      <c r="AS74" s="25" t="str">
        <f aca="false">IF(Tasks[[#This Row],[Task Name]]="","",Tasks[[#This Row],[Forecast Finish]])</f>
        <v/>
      </c>
      <c r="AT74" s="28" t="str">
        <f aca="false">IF(Tasks[[#This Row],[Task Name]]="","",IF(Tasks[[#This Row],[_IsSummary]],NETWORKDAYS.INTL(Tasks[[#This Row],[Forecast Start]],Tasks[[#This Row],[Forecast Finish]],WorkWeek,Holidays),N(Tasks[[#This Row],[Duration]])))</f>
        <v/>
      </c>
      <c r="AU74" s="95" t="str">
        <f aca="false">IF(Tasks[[#This Row],[Task Name]]="","",Tasks[[#This Row],[Work]])</f>
        <v/>
      </c>
      <c r="AV74" s="96" t="str">
        <f aca="false">IF(Tasks[[#This Row],[Task Name]]="","",Tasks[[#This Row],[Cost]])</f>
        <v/>
      </c>
      <c r="AW74" s="73"/>
      <c r="AX74" s="73"/>
      <c r="AY74" s="29"/>
      <c r="AZ74" s="98"/>
      <c r="BA74" s="97"/>
      <c r="BB74" s="28" t="str">
        <f aca="false">IF(OR(Tasks[[#This Row],[Task Name]]="",Tasks[[#This Row],[Baseline Duration]]=""),"",Tasks[[#This Row],[BL Source Duration]]-N(Tasks[[#This Row],[Baseline Duration]]))</f>
        <v/>
      </c>
      <c r="BC74" s="95" t="str">
        <f aca="false">IF(OR(Tasks[[#This Row],[Task Name]]="",Tasks[[#This Row],[Baseline Work]]=""),"",Tasks[[#This Row],[Work]]-N(Tasks[[#This Row],[Baseline Work]]))</f>
        <v/>
      </c>
      <c r="BD74" s="96" t="str">
        <f aca="false">IF(OR(Tasks[[#This Row],[Task Name]]="",Tasks[[#This Row],[Baseline Cost]]=""),"",Tasks[[#This Row],[Cost]]-N(Tasks[[#This Row],[Baseline Cost]]))</f>
        <v/>
      </c>
      <c r="BE74" s="96" t="str">
        <f aca="false">IF(Tasks[[#This Row],[Task Name]]="","",IF(Tasks[[#This Row],[_IsSummary]],SUM(INDEX(Tasks[_LeafBudget],Tasks[[#This Row],[_Row]]+1):INDEX(Tasks[_LeafBudget],Tasks[[#This Row],[_Row]]+Tasks[[#This Row],[_Descendants]])),Tasks[[#This Row],[_LeafBudget]]))</f>
        <v/>
      </c>
      <c r="BF74" s="96" t="str">
        <f aca="false">IF(Tasks[[#This Row],[Task Name]]="","",IF(Tasks[[#This Row],[_IsSummary]],SUM(INDEX(Tasks[_LeafPV],Tasks[[#This Row],[_Row]]+1):INDEX(Tasks[_LeafPV],Tasks[[#This Row],[_Row]]+Tasks[[#This Row],[_Descendants]])),Tasks[[#This Row],[_LeafPV]]))</f>
        <v/>
      </c>
      <c r="BG74" s="96" t="str">
        <f aca="false">IF(Tasks[[#This Row],[Task Name]]="","",IF(Tasks[[#This Row],[_IsSummary]],SUM(INDEX(Tasks[_LeafEV],Tasks[[#This Row],[_Row]]+1):INDEX(Tasks[_LeafEV],Tasks[[#This Row],[_Row]]+Tasks[[#This Row],[_Descendants]])),Tasks[[#This Row],[_LeafEV]]))</f>
        <v/>
      </c>
      <c r="BH74" s="96" t="str">
        <f aca="false">IF(Tasks[[#This Row],[Task Name]]="","",IF(Tasks[[#This Row],[_IsSummary]],SUM(INDEX(Tasks[_LeafAC],Tasks[[#This Row],[_Row]]+1):INDEX(Tasks[_LeafAC],Tasks[[#This Row],[_Row]]+Tasks[[#This Row],[_Descendants]])),Tasks[[#This Row],[_LeafAC]]))</f>
        <v/>
      </c>
      <c r="BI74" s="41" t="str">
        <f aca="false">IF(Tasks[[#This Row],[Task Name]]="","",MAX(1,N(Tasks[[#This Row],[Level]])))</f>
        <v/>
      </c>
      <c r="BJ74" s="41" t="n">
        <f aca="false">ROW()-ROW(Tasks[[#Headers],[ID]])</f>
        <v>69</v>
      </c>
      <c r="BK74" s="41" t="n">
        <f aca="false">IF(OR(Tasks[[#This Row],[Task Name]]="",Tasks[[#This Row],[_Level]]&lt;=1),0,IFERROR(LOOKUP(2,1/(Tasks[[#Headers],[_Level]]:Tasks[[#This Row],[_Level]]=Tasks[[#This Row],[_Level]]-1),ROW(Tasks[[#Headers],[_Level]]:Tasks[[#This Row],[_Level]])),0))</f>
        <v>0</v>
      </c>
      <c r="BL74" s="41" t="n">
        <f aca="false">IFERROR(N(INDEX(Tasks[_Level],Tasks[[#This Row],[_Row]]+1)),0)</f>
        <v>0</v>
      </c>
      <c r="BM74" s="99" t="b">
        <f aca="false">AND(Tasks[[#This Row],[Task Name]]&lt;&gt;"",Tasks[[#This Row],[_NextLevel]]&gt;Tasks[[#This Row],[_Level]])</f>
        <v>0</v>
      </c>
      <c r="BN74" s="41" t="n">
        <f aca="false">IF(Tasks[[#This Row],[_IsSummary]],COUNTIF(Tasks[WBS],Tasks[[#This Row],[WBS]]&amp;".*"),0)</f>
        <v>0</v>
      </c>
      <c r="BO74" s="41" t="n">
        <f aca="false">IF(AND(Tasks[[#This Row],[Task Name]]&lt;&gt;"",NOT(Tasks[[#This Row],[_IsSummary]])),1,0)</f>
        <v>0</v>
      </c>
      <c r="BP74" s="41" t="n">
        <f aca="false">IF(N(Tasks[[#This Row],[Pred1 UID]])=0,0,IFERROR(MATCH(Tasks[[#This Row],[Pred1 UID]],Tasks[UID],0),-1))</f>
        <v>0</v>
      </c>
      <c r="BQ74" s="41" t="n">
        <f aca="false">IF(N(Tasks[[#This Row],[Pred2 UID]])=0,0,IFERROR(MATCH(Tasks[[#This Row],[Pred2 UID]],Tasks[UID],0),-1))</f>
        <v>0</v>
      </c>
      <c r="BR74"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74" s="100" t="str">
        <f aca="false">IF(NOT(Tasks[[#This Row],[_IsLeaf]]=1),"",IF(N(Tasks[[#This Row],[Duration]])&lt;=0,Tasks[[#This Row],[_LeafCalcStart]],WORKDAY.INTL(Tasks[[#This Row],[_LeafCalcStart]],Tasks[[#This Row],[Duration]]-1,WorkWeek,Holidays)))</f>
        <v/>
      </c>
      <c r="BT74"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74"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74" s="41" t="n">
        <f aca="false">IF(NOT(Tasks[[#This Row],[_IsLeaf]]=1),0,IF(N(Tasks[[#This Row],[Actual Finish]])&gt;0,1,MIN(1,N(Tasks[[#This Row],[% Complete]]))))</f>
        <v>0</v>
      </c>
      <c r="BW74" s="41" t="n">
        <f aca="false">IF(OR(NOT(Tasks[[#This Row],[_IsLeaf]]=1),Tasks[[#This Row],[Resource]]=""),0,N(Tasks[[#This Row],[Duration]])*HoursPerDay*IF(Tasks[[#This Row],[Units]]="",DefaultUnits,Tasks[[#This Row],[Units]]))</f>
        <v>0</v>
      </c>
      <c r="BX74" s="41" t="n">
        <f aca="false">IF(Tasks[[#This Row],[_LeafWork]]=0,0,Tasks[[#This Row],[_LeafWork]]*IFERROR(INDEX(res_Rate,MATCH(Tasks[[#This Row],[Resource]],res_Name,0)),0))</f>
        <v>0</v>
      </c>
      <c r="BY7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7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7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7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74" s="41" t="n">
        <f aca="false">IF(NOT(Tasks[[#This Row],[_IsLeaf]]=1),0,MAX(_xlfn.MAXIFS(Tasks[_Row],Tasks[Pred1 UID],Tasks[[#This Row],[UID]]),_xlfn.MAXIFS(Tasks[_Row],Tasks[Pred2 UID],Tasks[[#This Row],[UID]])))</f>
        <v>0</v>
      </c>
      <c r="CD74"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74" s="100" t="str">
        <f aca="false">IF(NOT(Tasks[[#This Row],[_IsLeaf]]=1),"",MIN(ProjectFinish,IF(N(Tasks[[#This Row],[Deadline]])&gt;0,Tasks[[#This Row],[Deadline]],2958465),Tasks[[#This Row],[_SuccessorFinishLimit]]))</f>
        <v/>
      </c>
      <c r="CF74" s="100" t="str">
        <f aca="false">IF(NOT(Tasks[[#This Row],[_IsLeaf]]=1),"",IF(N(Tasks[[#This Row],[Duration]])&lt;=0,Tasks[[#This Row],[_LeafLateFinish]],WORKDAY.INTL(Tasks[[#This Row],[_LeafLateFinish]],-(Tasks[[#This Row],[Duration]]-1),WorkWeek,Holidays)))</f>
        <v/>
      </c>
      <c r="CG7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74" s="99" t="b">
        <f aca="false">AND(Tasks[[#This Row],[_IsLeaf]]=1,Tasks[[#This Row],[_LeafProgress]]&lt;1,N(Tasks[[#This Row],[_LeafTotalSlack]])&lt;=CriticalSlackDays)</f>
        <v>0</v>
      </c>
      <c r="CI74" s="100" t="str">
        <f aca="false">IF(Tasks[[#This Row],[Task Name]]="","",IF(Tasks[[#This Row],[_IsSummary]],MIN(INDEX(Tasks[_LeafCalcStart],Tasks[[#This Row],[_Row]]+1):INDEX(Tasks[_LeafCalcStart],Tasks[[#This Row],[_Row]]+Tasks[[#This Row],[_Descendants]])),Tasks[[#This Row],[_LeafCalcStart]]))</f>
        <v/>
      </c>
      <c r="CJ74" s="100" t="str">
        <f aca="false">IF(Tasks[[#This Row],[Task Name]]="","",IF(Tasks[[#This Row],[_IsSummary]],MAX(INDEX(Tasks[_LeafCalcFinish],Tasks[[#This Row],[_Row]]+1):INDEX(Tasks[_LeafCalcFinish],Tasks[[#This Row],[_Row]]+Tasks[[#This Row],[_Descendants]])),Tasks[[#This Row],[_LeafCalcFinish]]))</f>
        <v/>
      </c>
      <c r="CK7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7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74"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74"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74"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74"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74" s="41" t="n">
        <f aca="false">IF(AND(Tasks[[#This Row],[_IsLeaf]]=1,Tasks[[#This Row],[_LeafWork]]&gt;0),NETWORKDAYS.INTL(ProjectStart,Tasks[[#This Row],[_LeafFcstStart]],WorkWeek,Holidays),0)</f>
        <v>0</v>
      </c>
      <c r="CR74" s="41" t="n">
        <f aca="false">IF(AND(Tasks[[#This Row],[_IsLeaf]]=1,Tasks[[#This Row],[_LeafWork]]&gt;0),MAX(Tasks[[#This Row],[_StartWorkday]],NETWORKDAYS.INTL(ProjectStart,Tasks[[#This Row],[_LeafFcstFinish]],WorkWeek,Holidays)),0)</f>
        <v>0</v>
      </c>
      <c r="CS74" s="41" t="n">
        <f aca="false">IF(AND(Tasks[[#This Row],[_IsLeaf]]=1,Tasks[[#This Row],[_LeafWork]]&gt;0),Tasks[[#This Row],[_LeafWork]]/(Tasks[[#This Row],[_FinishWorkday]]-Tasks[[#This Row],[_StartWorkday]]+1),0)</f>
        <v>0</v>
      </c>
      <c r="CT74" s="41" t="n">
        <f aca="false">Tasks[[#This Row],[_WorkPerWorkday]]*(Tasks[[#This Row],[_StartWorkday]]-1)</f>
        <v>-0</v>
      </c>
      <c r="CU74" s="41" t="n">
        <f aca="false">IF(Tasks[[#This Row],[_IsLeaf]]=1,MAX(N(Tasks[[#This Row],[Duration]]),0.1),0)</f>
        <v>0</v>
      </c>
      <c r="CV74" s="41" t="n">
        <f aca="false">Tasks[[#This Row],[_WeightDur]]*Tasks[[#This Row],[_LeafProgress]]</f>
        <v>0</v>
      </c>
      <c r="CW7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7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7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7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74" s="41" t="str">
        <f aca="false">IF(Tasks[[#This Row],[Task Name]]="","",Tasks[[#This Row],[_Pred1UIDText]]&amp;IF(AND(Tasks[[#This Row],[_Pred1UIDText]]&lt;&gt;"",Tasks[[#This Row],[_Pred2UIDText]]&lt;&gt;""),",","")&amp;Tasks[[#This Row],[_Pred2UIDText]])</f>
        <v/>
      </c>
      <c r="DB74" s="41" t="str">
        <f aca="false">IF(AND(Tasks[[#This Row],[_IsLeaf]]=1,N(Tasks[[#This Row],[Duration]])=0,Tasks[[#This Row],[_LeafProgress]]&lt;1),Tasks[[#This Row],[_LeafFcstFinish]]+Tasks[[#This Row],[_Row]]/100000,"")</f>
        <v/>
      </c>
      <c r="DC7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74" s="41" t="n">
        <f aca="false">IF(NOT(Tasks[[#This Row],[_IsLeaf]]=1),0,IF(Tasks[[#This Row],[Baseline Cost]]="",Tasks[[#This Row],[_LeafCost]],N(Tasks[[#This Row],[Baseline Cost]])))</f>
        <v>0</v>
      </c>
      <c r="DE74" s="41" t="n">
        <f aca="false">Tasks[[#This Row],[_LeafBudget]]*Tasks[[#This Row],[_PlannedPct]]</f>
        <v>0</v>
      </c>
      <c r="DF74" s="41" t="n">
        <f aca="false">Tasks[[#This Row],[_LeafBudget]]*Tasks[[#This Row],[_LeafProgress]]</f>
        <v>0</v>
      </c>
      <c r="DG74" s="41" t="n">
        <f aca="false">IF(NOT(Tasks[[#This Row],[_IsLeaf]]=1),0,IF(Tasks[[#This Row],[Actual Cost]]="",Tasks[[#This Row],[_LeafCost]]*Tasks[[#This Row],[_LeafProgress]],N(Tasks[[#This Row],[Actual Cost]])))</f>
        <v>0</v>
      </c>
      <c r="DH74" s="41" t="str">
        <f aca="false">IF(Tasks[[#This Row],[Task Name]]="","",LEFT(Tasks[[#This Row],[WBS]],FIND(".",Tasks[[#This Row],[WBS]]&amp;".")-1))</f>
        <v/>
      </c>
      <c r="DI74" s="41" t="str">
        <f aca="false">IF(AND(Tasks[[#This Row],[Task Name]]&lt;&gt;"",Tasks[[#This Row],[_Level]]=1),Tasks[[#This Row],[_Row]],"")</f>
        <v/>
      </c>
      <c r="DJ74" s="41" t="str">
        <f aca="false">IF(AND(Tasks[[#This Row],[_IsLeaf]]=1,N(Tasks[[#This Row],[Duration]])=0),Tasks[[#This Row],[Planned Finish]]+Tasks[[#This Row],[_Row]]/100000,"")</f>
        <v/>
      </c>
      <c r="DK74" s="41" t="str">
        <f aca="false">IF(AND(Tasks[[#This Row],[_IsLeaf]]=1,Tasks[[#This Row],[_LeafProgress]]&lt;1,OR(N(Tasks[[#This Row],[Finish Var]])&gt;0,Tasks[[#This Row],[Status]]="Late Start")),MAX(0,Tasks[[#This Row],[Finish Var]])+1-Tasks[[#This Row],[_Row]]/1000000,"")</f>
        <v/>
      </c>
      <c r="DL74" s="41" t="str">
        <f aca="false">IF(AND(Tasks[[#This Row],[_IsLeaf]]=1,N(Tasks[[#This Row],[Actual Start]])=0,Tasks[[#This Row],[_LeafFcstStart]]&gt;=StatusDate,Tasks[[#This Row],[_LeafFcstStart]]&lt;=LookaheadEnd),Tasks[[#This Row],[_LeafFcstStart]]+Tasks[[#This Row],[_Row]]/100000,"")</f>
        <v/>
      </c>
      <c r="DM74" s="41" t="str">
        <f aca="false">IF(AND(Tasks[[#This Row],[_IsLeaf]]=1,Tasks[[#This Row],[_LeafProgress]]&lt;1,Tasks[[#This Row],[_LeafFcstFinish]]&gt;=StatusDate,Tasks[[#This Row],[_LeafFcstFinish]]&lt;=LookaheadEnd),Tasks[[#This Row],[_LeafFcstFinish]]+Tasks[[#This Row],[_Row]]/100000,"")</f>
        <v/>
      </c>
      <c r="DN74" s="41" t="str">
        <f aca="false">IF(Tasks[[#This Row],[_LeafCritical]],Tasks[[#This Row],[_LeafFcstStart]]+Tasks[[#This Row],[_Row]]/100000,"")</f>
        <v/>
      </c>
      <c r="DO74" s="41" t="n">
        <f aca="false">Tasks[[#This Row],[_LeafWork]]*Tasks[[#This Row],[_LeafProgress]]</f>
        <v>0</v>
      </c>
      <c r="DP74" s="100" t="str">
        <f aca="false">IF(AND(Tasks[[#This Row],[_IsLeaf]]=1,Tasks[[#This Row],[_LeafProgress]]&gt;=1),IF(N(Tasks[[#This Row],[Actual Finish]])&gt;0,Tasks[[#This Row],[Actual Finish]],Tasks[[#This Row],[_LeafFcstFinish]]),"")</f>
        <v/>
      </c>
      <c r="DQ74" s="41" t="n">
        <f aca="false">IF(Tasks[[#This Row],[_IsLeaf]]=1,N(Tasks[[#This Row],[Story Points]]),0)</f>
        <v>0</v>
      </c>
      <c r="DR74" s="41" t="str">
        <f aca="false">IF(AND(Tasks[[#This Row],[_IsLeaf]]=1,CurrentSprint&lt;&gt;"",Tasks[[#This Row],[Sprint]]=CurrentSprint),Tasks[[#This Row],[_Row]],"")</f>
        <v/>
      </c>
    </row>
    <row r="75" customFormat="false" ht="15" hidden="false" customHeight="false" outlineLevel="0" collapsed="false">
      <c r="A75" s="28" t="str">
        <f aca="false">IF(Tasks[[#This Row],[Task Name]]="","",COUNTA(Tasks[[#Headers],[Task Name]]:Tasks[[#This Row],[Task Name]])-1)</f>
        <v/>
      </c>
      <c r="B75" s="29" t="n">
        <v>70</v>
      </c>
      <c r="C7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5" s="29"/>
      <c r="E75" s="30"/>
      <c r="F75" s="29"/>
      <c r="G75" s="29"/>
      <c r="H75" s="29"/>
      <c r="I75" s="29"/>
      <c r="J75" s="29"/>
      <c r="K75" s="29"/>
      <c r="L75" s="29"/>
      <c r="M75" s="29"/>
      <c r="N75" s="73"/>
      <c r="O75" s="73"/>
      <c r="P75" s="25" t="str">
        <f aca="false">IF(Tasks[[#This Row],[Task Name]]="","",IF(N(Tasks[[#This Row],[Baseline Start]])&gt;0,Tasks[[#This Row],[Baseline Start]],Tasks[[#This Row],[_CalcStart]]))</f>
        <v/>
      </c>
      <c r="Q75" s="25" t="str">
        <f aca="false">IF(Tasks[[#This Row],[Task Name]]="","",IF(N(Tasks[[#This Row],[Baseline Finish]])&gt;0,Tasks[[#This Row],[Baseline Finish]],Tasks[[#This Row],[_CalcFinish]]))</f>
        <v/>
      </c>
      <c r="R75" s="73"/>
      <c r="S75" s="73"/>
      <c r="T75" s="25" t="str">
        <f aca="false">IF(Tasks[[#This Row],[Task Name]]="","",IF(Tasks[[#This Row],[_IsSummary]],MIN(INDEX(Tasks[_LeafFcstStart],Tasks[[#This Row],[_Row]]+1):INDEX(Tasks[_LeafFcstStart],Tasks[[#This Row],[_Row]]+Tasks[[#This Row],[_Descendants]])),Tasks[[#This Row],[_LeafFcstStart]]))</f>
        <v/>
      </c>
      <c r="U75" s="25" t="str">
        <f aca="false">IF(Tasks[[#This Row],[Task Name]]="","",IF(Tasks[[#This Row],[_IsSummary]],MAX(INDEX(Tasks[_LeafFcstFinish],Tasks[[#This Row],[_Row]]+1):INDEX(Tasks[_LeafFcstFinish],Tasks[[#This Row],[_Row]]+Tasks[[#This Row],[_Descendants]])),Tasks[[#This Row],[_LeafFcstFinish]]))</f>
        <v/>
      </c>
      <c r="V7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7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5" s="25" t="str">
        <f aca="false">IF(Tasks[[#This Row],[Task Name]]="","",IF(Tasks[[#This Row],[_IsSummary]],MIN(INDEX(Tasks[_LeafLateStart],Tasks[[#This Row],[_Row]]+1):INDEX(Tasks[_LeafLateStart],Tasks[[#This Row],[_Row]]+Tasks[[#This Row],[_Descendants]])),Tasks[[#This Row],[_LeafLateStart]]))</f>
        <v/>
      </c>
      <c r="Y75" s="25" t="str">
        <f aca="false">IF(Tasks[[#This Row],[Task Name]]="","",IF(Tasks[[#This Row],[_IsSummary]],MAX(INDEX(Tasks[_LeafLateFinish],Tasks[[#This Row],[_Row]]+1):INDEX(Tasks[_LeafLateFinish],Tasks[[#This Row],[_Row]]+Tasks[[#This Row],[_Descendants]])),Tasks[[#This Row],[_LeafLateFinish]]))</f>
        <v/>
      </c>
      <c r="Z75" s="43" t="str">
        <f aca="false">IF(Tasks[[#This Row],[Task Name]]="","",IF(Tasks[[#This Row],[_IsSummary]],MIN(INDEX(Tasks[_LeafTotalSlack],Tasks[[#This Row],[_Row]]+1):INDEX(Tasks[_LeafTotalSlack],Tasks[[#This Row],[_Row]]+Tasks[[#This Row],[_Descendants]])),Tasks[[#This Row],[_LeafTotalSlack]]))</f>
        <v/>
      </c>
      <c r="AA7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5" s="28" t="str">
        <f aca="false">IF(Tasks[[#This Row],[Task Name]]="","",IF(IF(Tasks[[#This Row],[_IsSummary]],COUNTIF(INDEX(Tasks[_LeafCritical],Tasks[[#This Row],[_Row]]+1):INDEX(Tasks[_LeafCritical],Tasks[[#This Row],[_Row]]+Tasks[[#This Row],[_Descendants]]),TRUE())&gt;0,Tasks[[#This Row],[_LeafCritical]]),"Yes",""))</f>
        <v/>
      </c>
      <c r="AC7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5" s="24" t="str">
        <f aca="false">IF(Tasks[[#This Row],[Task Name]]="","",TRIM(IF(Tasks[[#This Row],[_Pred1Problem]]&lt;&gt;"","Pred 1: "&amp;Tasks[[#This Row],[_Pred1Problem]]&amp;". ","")&amp;IF(Tasks[[#This Row],[_Pred2Problem]]&lt;&gt;"","Pred 2: "&amp;Tasks[[#This Row],[_Pred2Problem]]&amp;".","")))</f>
        <v/>
      </c>
      <c r="AE75" s="88"/>
      <c r="AF75"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5" s="28" t="str">
        <f aca="false">IF(Tasks[[#This Row],[Task Name]]="","",IF(Tasks[[#This Row],[Progress]]&gt;=1,"Complete",IF(OR(N(Tasks[[#This Row],[Actual Start]])&gt;0,Tasks[[#This Row],[Progress]]&gt;0),IF(Tasks[[#This Row],[Finish Var]]&gt;0,"Behind","In Progress"),IF(Tasks[[#This Row],[Planned Start]]&lt;StatusDate,"Late Start","Not Started"))))</f>
        <v/>
      </c>
      <c r="AH75" s="30"/>
      <c r="AI75" s="88"/>
      <c r="AJ75" s="95" t="str">
        <f aca="false">IF(Tasks[[#This Row],[Task Name]]="","",IF(Tasks[[#This Row],[_IsSummary]],SUM(INDEX(Tasks[_LeafWork],Tasks[[#This Row],[_Row]]+1):INDEX(Tasks[_LeafWork],Tasks[[#This Row],[_Row]]+Tasks[[#This Row],[_Descendants]])),Tasks[[#This Row],[_LeafWork]]))</f>
        <v/>
      </c>
      <c r="AK75" s="96" t="str">
        <f aca="false">IF(Tasks[[#This Row],[Task Name]]="","",IF(Tasks[[#This Row],[_IsSummary]],SUM(INDEX(Tasks[_LeafCost],Tasks[[#This Row],[_Row]]+1):INDEX(Tasks[_LeafCost],Tasks[[#This Row],[_Row]]+Tasks[[#This Row],[_Descendants]])),Tasks[[#This Row],[_LeafCost]]))</f>
        <v/>
      </c>
      <c r="AL75" s="97"/>
      <c r="AM75" s="29"/>
      <c r="AN7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75" s="82"/>
      <c r="AP75" s="24" t="str">
        <f aca="false">IF(Tasks[[#This Row],[Task Name]]="","",Tasks[[#This Row],[_Pred1IDText]]&amp;IF(AND(Tasks[[#This Row],[_Pred1IDText]]&lt;&gt;"",Tasks[[#This Row],[_Pred2IDText]]&lt;&gt;""),",","")&amp;Tasks[[#This Row],[_Pred2IDText]])</f>
        <v/>
      </c>
      <c r="AQ75" s="30"/>
      <c r="AR75" s="25" t="str">
        <f aca="false">IF(Tasks[[#This Row],[Task Name]]="","",Tasks[[#This Row],[Forecast Start]])</f>
        <v/>
      </c>
      <c r="AS75" s="25" t="str">
        <f aca="false">IF(Tasks[[#This Row],[Task Name]]="","",Tasks[[#This Row],[Forecast Finish]])</f>
        <v/>
      </c>
      <c r="AT75" s="28" t="str">
        <f aca="false">IF(Tasks[[#This Row],[Task Name]]="","",IF(Tasks[[#This Row],[_IsSummary]],NETWORKDAYS.INTL(Tasks[[#This Row],[Forecast Start]],Tasks[[#This Row],[Forecast Finish]],WorkWeek,Holidays),N(Tasks[[#This Row],[Duration]])))</f>
        <v/>
      </c>
      <c r="AU75" s="95" t="str">
        <f aca="false">IF(Tasks[[#This Row],[Task Name]]="","",Tasks[[#This Row],[Work]])</f>
        <v/>
      </c>
      <c r="AV75" s="96" t="str">
        <f aca="false">IF(Tasks[[#This Row],[Task Name]]="","",Tasks[[#This Row],[Cost]])</f>
        <v/>
      </c>
      <c r="AW75" s="73"/>
      <c r="AX75" s="73"/>
      <c r="AY75" s="29"/>
      <c r="AZ75" s="98"/>
      <c r="BA75" s="97"/>
      <c r="BB75" s="28" t="str">
        <f aca="false">IF(OR(Tasks[[#This Row],[Task Name]]="",Tasks[[#This Row],[Baseline Duration]]=""),"",Tasks[[#This Row],[BL Source Duration]]-N(Tasks[[#This Row],[Baseline Duration]]))</f>
        <v/>
      </c>
      <c r="BC75" s="95" t="str">
        <f aca="false">IF(OR(Tasks[[#This Row],[Task Name]]="",Tasks[[#This Row],[Baseline Work]]=""),"",Tasks[[#This Row],[Work]]-N(Tasks[[#This Row],[Baseline Work]]))</f>
        <v/>
      </c>
      <c r="BD75" s="96" t="str">
        <f aca="false">IF(OR(Tasks[[#This Row],[Task Name]]="",Tasks[[#This Row],[Baseline Cost]]=""),"",Tasks[[#This Row],[Cost]]-N(Tasks[[#This Row],[Baseline Cost]]))</f>
        <v/>
      </c>
      <c r="BE75" s="96" t="str">
        <f aca="false">IF(Tasks[[#This Row],[Task Name]]="","",IF(Tasks[[#This Row],[_IsSummary]],SUM(INDEX(Tasks[_LeafBudget],Tasks[[#This Row],[_Row]]+1):INDEX(Tasks[_LeafBudget],Tasks[[#This Row],[_Row]]+Tasks[[#This Row],[_Descendants]])),Tasks[[#This Row],[_LeafBudget]]))</f>
        <v/>
      </c>
      <c r="BF75" s="96" t="str">
        <f aca="false">IF(Tasks[[#This Row],[Task Name]]="","",IF(Tasks[[#This Row],[_IsSummary]],SUM(INDEX(Tasks[_LeafPV],Tasks[[#This Row],[_Row]]+1):INDEX(Tasks[_LeafPV],Tasks[[#This Row],[_Row]]+Tasks[[#This Row],[_Descendants]])),Tasks[[#This Row],[_LeafPV]]))</f>
        <v/>
      </c>
      <c r="BG75" s="96" t="str">
        <f aca="false">IF(Tasks[[#This Row],[Task Name]]="","",IF(Tasks[[#This Row],[_IsSummary]],SUM(INDEX(Tasks[_LeafEV],Tasks[[#This Row],[_Row]]+1):INDEX(Tasks[_LeafEV],Tasks[[#This Row],[_Row]]+Tasks[[#This Row],[_Descendants]])),Tasks[[#This Row],[_LeafEV]]))</f>
        <v/>
      </c>
      <c r="BH75" s="96" t="str">
        <f aca="false">IF(Tasks[[#This Row],[Task Name]]="","",IF(Tasks[[#This Row],[_IsSummary]],SUM(INDEX(Tasks[_LeafAC],Tasks[[#This Row],[_Row]]+1):INDEX(Tasks[_LeafAC],Tasks[[#This Row],[_Row]]+Tasks[[#This Row],[_Descendants]])),Tasks[[#This Row],[_LeafAC]]))</f>
        <v/>
      </c>
      <c r="BI75" s="41" t="str">
        <f aca="false">IF(Tasks[[#This Row],[Task Name]]="","",MAX(1,N(Tasks[[#This Row],[Level]])))</f>
        <v/>
      </c>
      <c r="BJ75" s="41" t="n">
        <f aca="false">ROW()-ROW(Tasks[[#Headers],[ID]])</f>
        <v>70</v>
      </c>
      <c r="BK75" s="41" t="n">
        <f aca="false">IF(OR(Tasks[[#This Row],[Task Name]]="",Tasks[[#This Row],[_Level]]&lt;=1),0,IFERROR(LOOKUP(2,1/(Tasks[[#Headers],[_Level]]:Tasks[[#This Row],[_Level]]=Tasks[[#This Row],[_Level]]-1),ROW(Tasks[[#Headers],[_Level]]:Tasks[[#This Row],[_Level]])),0))</f>
        <v>0</v>
      </c>
      <c r="BL75" s="41" t="n">
        <f aca="false">IFERROR(N(INDEX(Tasks[_Level],Tasks[[#This Row],[_Row]]+1)),0)</f>
        <v>0</v>
      </c>
      <c r="BM75" s="99" t="b">
        <f aca="false">AND(Tasks[[#This Row],[Task Name]]&lt;&gt;"",Tasks[[#This Row],[_NextLevel]]&gt;Tasks[[#This Row],[_Level]])</f>
        <v>0</v>
      </c>
      <c r="BN75" s="41" t="n">
        <f aca="false">IF(Tasks[[#This Row],[_IsSummary]],COUNTIF(Tasks[WBS],Tasks[[#This Row],[WBS]]&amp;".*"),0)</f>
        <v>0</v>
      </c>
      <c r="BO75" s="41" t="n">
        <f aca="false">IF(AND(Tasks[[#This Row],[Task Name]]&lt;&gt;"",NOT(Tasks[[#This Row],[_IsSummary]])),1,0)</f>
        <v>0</v>
      </c>
      <c r="BP75" s="41" t="n">
        <f aca="false">IF(N(Tasks[[#This Row],[Pred1 UID]])=0,0,IFERROR(MATCH(Tasks[[#This Row],[Pred1 UID]],Tasks[UID],0),-1))</f>
        <v>0</v>
      </c>
      <c r="BQ75" s="41" t="n">
        <f aca="false">IF(N(Tasks[[#This Row],[Pred2 UID]])=0,0,IFERROR(MATCH(Tasks[[#This Row],[Pred2 UID]],Tasks[UID],0),-1))</f>
        <v>0</v>
      </c>
      <c r="BR75"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75" s="100" t="str">
        <f aca="false">IF(NOT(Tasks[[#This Row],[_IsLeaf]]=1),"",IF(N(Tasks[[#This Row],[Duration]])&lt;=0,Tasks[[#This Row],[_LeafCalcStart]],WORKDAY.INTL(Tasks[[#This Row],[_LeafCalcStart]],Tasks[[#This Row],[Duration]]-1,WorkWeek,Holidays)))</f>
        <v/>
      </c>
      <c r="BT75"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75"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75" s="41" t="n">
        <f aca="false">IF(NOT(Tasks[[#This Row],[_IsLeaf]]=1),0,IF(N(Tasks[[#This Row],[Actual Finish]])&gt;0,1,MIN(1,N(Tasks[[#This Row],[% Complete]]))))</f>
        <v>0</v>
      </c>
      <c r="BW75" s="41" t="n">
        <f aca="false">IF(OR(NOT(Tasks[[#This Row],[_IsLeaf]]=1),Tasks[[#This Row],[Resource]]=""),0,N(Tasks[[#This Row],[Duration]])*HoursPerDay*IF(Tasks[[#This Row],[Units]]="",DefaultUnits,Tasks[[#This Row],[Units]]))</f>
        <v>0</v>
      </c>
      <c r="BX75" s="41" t="n">
        <f aca="false">IF(Tasks[[#This Row],[_LeafWork]]=0,0,Tasks[[#This Row],[_LeafWork]]*IFERROR(INDEX(res_Rate,MATCH(Tasks[[#This Row],[Resource]],res_Name,0)),0))</f>
        <v>0</v>
      </c>
      <c r="BY7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7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7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7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75" s="41" t="n">
        <f aca="false">IF(NOT(Tasks[[#This Row],[_IsLeaf]]=1),0,MAX(_xlfn.MAXIFS(Tasks[_Row],Tasks[Pred1 UID],Tasks[[#This Row],[UID]]),_xlfn.MAXIFS(Tasks[_Row],Tasks[Pred2 UID],Tasks[[#This Row],[UID]])))</f>
        <v>0</v>
      </c>
      <c r="CD75"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75" s="100" t="str">
        <f aca="false">IF(NOT(Tasks[[#This Row],[_IsLeaf]]=1),"",MIN(ProjectFinish,IF(N(Tasks[[#This Row],[Deadline]])&gt;0,Tasks[[#This Row],[Deadline]],2958465),Tasks[[#This Row],[_SuccessorFinishLimit]]))</f>
        <v/>
      </c>
      <c r="CF75" s="100" t="str">
        <f aca="false">IF(NOT(Tasks[[#This Row],[_IsLeaf]]=1),"",IF(N(Tasks[[#This Row],[Duration]])&lt;=0,Tasks[[#This Row],[_LeafLateFinish]],WORKDAY.INTL(Tasks[[#This Row],[_LeafLateFinish]],-(Tasks[[#This Row],[Duration]]-1),WorkWeek,Holidays)))</f>
        <v/>
      </c>
      <c r="CG7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75" s="99" t="b">
        <f aca="false">AND(Tasks[[#This Row],[_IsLeaf]]=1,Tasks[[#This Row],[_LeafProgress]]&lt;1,N(Tasks[[#This Row],[_LeafTotalSlack]])&lt;=CriticalSlackDays)</f>
        <v>0</v>
      </c>
      <c r="CI75" s="100" t="str">
        <f aca="false">IF(Tasks[[#This Row],[Task Name]]="","",IF(Tasks[[#This Row],[_IsSummary]],MIN(INDEX(Tasks[_LeafCalcStart],Tasks[[#This Row],[_Row]]+1):INDEX(Tasks[_LeafCalcStart],Tasks[[#This Row],[_Row]]+Tasks[[#This Row],[_Descendants]])),Tasks[[#This Row],[_LeafCalcStart]]))</f>
        <v/>
      </c>
      <c r="CJ75" s="100" t="str">
        <f aca="false">IF(Tasks[[#This Row],[Task Name]]="","",IF(Tasks[[#This Row],[_IsSummary]],MAX(INDEX(Tasks[_LeafCalcFinish],Tasks[[#This Row],[_Row]]+1):INDEX(Tasks[_LeafCalcFinish],Tasks[[#This Row],[_Row]]+Tasks[[#This Row],[_Descendants]])),Tasks[[#This Row],[_LeafCalcFinish]]))</f>
        <v/>
      </c>
      <c r="CK7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7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75"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75"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75"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75"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75" s="41" t="n">
        <f aca="false">IF(AND(Tasks[[#This Row],[_IsLeaf]]=1,Tasks[[#This Row],[_LeafWork]]&gt;0),NETWORKDAYS.INTL(ProjectStart,Tasks[[#This Row],[_LeafFcstStart]],WorkWeek,Holidays),0)</f>
        <v>0</v>
      </c>
      <c r="CR75" s="41" t="n">
        <f aca="false">IF(AND(Tasks[[#This Row],[_IsLeaf]]=1,Tasks[[#This Row],[_LeafWork]]&gt;0),MAX(Tasks[[#This Row],[_StartWorkday]],NETWORKDAYS.INTL(ProjectStart,Tasks[[#This Row],[_LeafFcstFinish]],WorkWeek,Holidays)),0)</f>
        <v>0</v>
      </c>
      <c r="CS75" s="41" t="n">
        <f aca="false">IF(AND(Tasks[[#This Row],[_IsLeaf]]=1,Tasks[[#This Row],[_LeafWork]]&gt;0),Tasks[[#This Row],[_LeafWork]]/(Tasks[[#This Row],[_FinishWorkday]]-Tasks[[#This Row],[_StartWorkday]]+1),0)</f>
        <v>0</v>
      </c>
      <c r="CT75" s="41" t="n">
        <f aca="false">Tasks[[#This Row],[_WorkPerWorkday]]*(Tasks[[#This Row],[_StartWorkday]]-1)</f>
        <v>-0</v>
      </c>
      <c r="CU75" s="41" t="n">
        <f aca="false">IF(Tasks[[#This Row],[_IsLeaf]]=1,MAX(N(Tasks[[#This Row],[Duration]]),0.1),0)</f>
        <v>0</v>
      </c>
      <c r="CV75" s="41" t="n">
        <f aca="false">Tasks[[#This Row],[_WeightDur]]*Tasks[[#This Row],[_LeafProgress]]</f>
        <v>0</v>
      </c>
      <c r="CW7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7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7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7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75" s="41" t="str">
        <f aca="false">IF(Tasks[[#This Row],[Task Name]]="","",Tasks[[#This Row],[_Pred1UIDText]]&amp;IF(AND(Tasks[[#This Row],[_Pred1UIDText]]&lt;&gt;"",Tasks[[#This Row],[_Pred2UIDText]]&lt;&gt;""),",","")&amp;Tasks[[#This Row],[_Pred2UIDText]])</f>
        <v/>
      </c>
      <c r="DB75" s="41" t="str">
        <f aca="false">IF(AND(Tasks[[#This Row],[_IsLeaf]]=1,N(Tasks[[#This Row],[Duration]])=0,Tasks[[#This Row],[_LeafProgress]]&lt;1),Tasks[[#This Row],[_LeafFcstFinish]]+Tasks[[#This Row],[_Row]]/100000,"")</f>
        <v/>
      </c>
      <c r="DC7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75" s="41" t="n">
        <f aca="false">IF(NOT(Tasks[[#This Row],[_IsLeaf]]=1),0,IF(Tasks[[#This Row],[Baseline Cost]]="",Tasks[[#This Row],[_LeafCost]],N(Tasks[[#This Row],[Baseline Cost]])))</f>
        <v>0</v>
      </c>
      <c r="DE75" s="41" t="n">
        <f aca="false">Tasks[[#This Row],[_LeafBudget]]*Tasks[[#This Row],[_PlannedPct]]</f>
        <v>0</v>
      </c>
      <c r="DF75" s="41" t="n">
        <f aca="false">Tasks[[#This Row],[_LeafBudget]]*Tasks[[#This Row],[_LeafProgress]]</f>
        <v>0</v>
      </c>
      <c r="DG75" s="41" t="n">
        <f aca="false">IF(NOT(Tasks[[#This Row],[_IsLeaf]]=1),0,IF(Tasks[[#This Row],[Actual Cost]]="",Tasks[[#This Row],[_LeafCost]]*Tasks[[#This Row],[_LeafProgress]],N(Tasks[[#This Row],[Actual Cost]])))</f>
        <v>0</v>
      </c>
      <c r="DH75" s="41" t="str">
        <f aca="false">IF(Tasks[[#This Row],[Task Name]]="","",LEFT(Tasks[[#This Row],[WBS]],FIND(".",Tasks[[#This Row],[WBS]]&amp;".")-1))</f>
        <v/>
      </c>
      <c r="DI75" s="41" t="str">
        <f aca="false">IF(AND(Tasks[[#This Row],[Task Name]]&lt;&gt;"",Tasks[[#This Row],[_Level]]=1),Tasks[[#This Row],[_Row]],"")</f>
        <v/>
      </c>
      <c r="DJ75" s="41" t="str">
        <f aca="false">IF(AND(Tasks[[#This Row],[_IsLeaf]]=1,N(Tasks[[#This Row],[Duration]])=0),Tasks[[#This Row],[Planned Finish]]+Tasks[[#This Row],[_Row]]/100000,"")</f>
        <v/>
      </c>
      <c r="DK75" s="41" t="str">
        <f aca="false">IF(AND(Tasks[[#This Row],[_IsLeaf]]=1,Tasks[[#This Row],[_LeafProgress]]&lt;1,OR(N(Tasks[[#This Row],[Finish Var]])&gt;0,Tasks[[#This Row],[Status]]="Late Start")),MAX(0,Tasks[[#This Row],[Finish Var]])+1-Tasks[[#This Row],[_Row]]/1000000,"")</f>
        <v/>
      </c>
      <c r="DL75" s="41" t="str">
        <f aca="false">IF(AND(Tasks[[#This Row],[_IsLeaf]]=1,N(Tasks[[#This Row],[Actual Start]])=0,Tasks[[#This Row],[_LeafFcstStart]]&gt;=StatusDate,Tasks[[#This Row],[_LeafFcstStart]]&lt;=LookaheadEnd),Tasks[[#This Row],[_LeafFcstStart]]+Tasks[[#This Row],[_Row]]/100000,"")</f>
        <v/>
      </c>
      <c r="DM75" s="41" t="str">
        <f aca="false">IF(AND(Tasks[[#This Row],[_IsLeaf]]=1,Tasks[[#This Row],[_LeafProgress]]&lt;1,Tasks[[#This Row],[_LeafFcstFinish]]&gt;=StatusDate,Tasks[[#This Row],[_LeafFcstFinish]]&lt;=LookaheadEnd),Tasks[[#This Row],[_LeafFcstFinish]]+Tasks[[#This Row],[_Row]]/100000,"")</f>
        <v/>
      </c>
      <c r="DN75" s="41" t="str">
        <f aca="false">IF(Tasks[[#This Row],[_LeafCritical]],Tasks[[#This Row],[_LeafFcstStart]]+Tasks[[#This Row],[_Row]]/100000,"")</f>
        <v/>
      </c>
      <c r="DO75" s="41" t="n">
        <f aca="false">Tasks[[#This Row],[_LeafWork]]*Tasks[[#This Row],[_LeafProgress]]</f>
        <v>0</v>
      </c>
      <c r="DP75" s="100" t="str">
        <f aca="false">IF(AND(Tasks[[#This Row],[_IsLeaf]]=1,Tasks[[#This Row],[_LeafProgress]]&gt;=1),IF(N(Tasks[[#This Row],[Actual Finish]])&gt;0,Tasks[[#This Row],[Actual Finish]],Tasks[[#This Row],[_LeafFcstFinish]]),"")</f>
        <v/>
      </c>
      <c r="DQ75" s="41" t="n">
        <f aca="false">IF(Tasks[[#This Row],[_IsLeaf]]=1,N(Tasks[[#This Row],[Story Points]]),0)</f>
        <v>0</v>
      </c>
      <c r="DR75" s="41" t="str">
        <f aca="false">IF(AND(Tasks[[#This Row],[_IsLeaf]]=1,CurrentSprint&lt;&gt;"",Tasks[[#This Row],[Sprint]]=CurrentSprint),Tasks[[#This Row],[_Row]],"")</f>
        <v/>
      </c>
    </row>
    <row r="76" customFormat="false" ht="15" hidden="false" customHeight="false" outlineLevel="0" collapsed="false">
      <c r="A76" s="28" t="str">
        <f aca="false">IF(Tasks[[#This Row],[Task Name]]="","",COUNTA(Tasks[[#Headers],[Task Name]]:Tasks[[#This Row],[Task Name]])-1)</f>
        <v/>
      </c>
      <c r="B76" s="29" t="n">
        <v>71</v>
      </c>
      <c r="C7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6" s="29"/>
      <c r="E76" s="30"/>
      <c r="F76" s="29"/>
      <c r="G76" s="29"/>
      <c r="H76" s="29"/>
      <c r="I76" s="29"/>
      <c r="J76" s="29"/>
      <c r="K76" s="29"/>
      <c r="L76" s="29"/>
      <c r="M76" s="29"/>
      <c r="N76" s="73"/>
      <c r="O76" s="73"/>
      <c r="P76" s="25" t="str">
        <f aca="false">IF(Tasks[[#This Row],[Task Name]]="","",IF(N(Tasks[[#This Row],[Baseline Start]])&gt;0,Tasks[[#This Row],[Baseline Start]],Tasks[[#This Row],[_CalcStart]]))</f>
        <v/>
      </c>
      <c r="Q76" s="25" t="str">
        <f aca="false">IF(Tasks[[#This Row],[Task Name]]="","",IF(N(Tasks[[#This Row],[Baseline Finish]])&gt;0,Tasks[[#This Row],[Baseline Finish]],Tasks[[#This Row],[_CalcFinish]]))</f>
        <v/>
      </c>
      <c r="R76" s="73"/>
      <c r="S76" s="73"/>
      <c r="T76" s="25" t="str">
        <f aca="false">IF(Tasks[[#This Row],[Task Name]]="","",IF(Tasks[[#This Row],[_IsSummary]],MIN(INDEX(Tasks[_LeafFcstStart],Tasks[[#This Row],[_Row]]+1):INDEX(Tasks[_LeafFcstStart],Tasks[[#This Row],[_Row]]+Tasks[[#This Row],[_Descendants]])),Tasks[[#This Row],[_LeafFcstStart]]))</f>
        <v/>
      </c>
      <c r="U76" s="25" t="str">
        <f aca="false">IF(Tasks[[#This Row],[Task Name]]="","",IF(Tasks[[#This Row],[_IsSummary]],MAX(INDEX(Tasks[_LeafFcstFinish],Tasks[[#This Row],[_Row]]+1):INDEX(Tasks[_LeafFcstFinish],Tasks[[#This Row],[_Row]]+Tasks[[#This Row],[_Descendants]])),Tasks[[#This Row],[_LeafFcstFinish]]))</f>
        <v/>
      </c>
      <c r="V7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7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6" s="25" t="str">
        <f aca="false">IF(Tasks[[#This Row],[Task Name]]="","",IF(Tasks[[#This Row],[_IsSummary]],MIN(INDEX(Tasks[_LeafLateStart],Tasks[[#This Row],[_Row]]+1):INDEX(Tasks[_LeafLateStart],Tasks[[#This Row],[_Row]]+Tasks[[#This Row],[_Descendants]])),Tasks[[#This Row],[_LeafLateStart]]))</f>
        <v/>
      </c>
      <c r="Y76" s="25" t="str">
        <f aca="false">IF(Tasks[[#This Row],[Task Name]]="","",IF(Tasks[[#This Row],[_IsSummary]],MAX(INDEX(Tasks[_LeafLateFinish],Tasks[[#This Row],[_Row]]+1):INDEX(Tasks[_LeafLateFinish],Tasks[[#This Row],[_Row]]+Tasks[[#This Row],[_Descendants]])),Tasks[[#This Row],[_LeafLateFinish]]))</f>
        <v/>
      </c>
      <c r="Z76" s="43" t="str">
        <f aca="false">IF(Tasks[[#This Row],[Task Name]]="","",IF(Tasks[[#This Row],[_IsSummary]],MIN(INDEX(Tasks[_LeafTotalSlack],Tasks[[#This Row],[_Row]]+1):INDEX(Tasks[_LeafTotalSlack],Tasks[[#This Row],[_Row]]+Tasks[[#This Row],[_Descendants]])),Tasks[[#This Row],[_LeafTotalSlack]]))</f>
        <v/>
      </c>
      <c r="AA7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6" s="28" t="str">
        <f aca="false">IF(Tasks[[#This Row],[Task Name]]="","",IF(IF(Tasks[[#This Row],[_IsSummary]],COUNTIF(INDEX(Tasks[_LeafCritical],Tasks[[#This Row],[_Row]]+1):INDEX(Tasks[_LeafCritical],Tasks[[#This Row],[_Row]]+Tasks[[#This Row],[_Descendants]]),TRUE())&gt;0,Tasks[[#This Row],[_LeafCritical]]),"Yes",""))</f>
        <v/>
      </c>
      <c r="AC7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6" s="24" t="str">
        <f aca="false">IF(Tasks[[#This Row],[Task Name]]="","",TRIM(IF(Tasks[[#This Row],[_Pred1Problem]]&lt;&gt;"","Pred 1: "&amp;Tasks[[#This Row],[_Pred1Problem]]&amp;". ","")&amp;IF(Tasks[[#This Row],[_Pred2Problem]]&lt;&gt;"","Pred 2: "&amp;Tasks[[#This Row],[_Pred2Problem]]&amp;".","")))</f>
        <v/>
      </c>
      <c r="AE76" s="88"/>
      <c r="AF76"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6" s="28" t="str">
        <f aca="false">IF(Tasks[[#This Row],[Task Name]]="","",IF(Tasks[[#This Row],[Progress]]&gt;=1,"Complete",IF(OR(N(Tasks[[#This Row],[Actual Start]])&gt;0,Tasks[[#This Row],[Progress]]&gt;0),IF(Tasks[[#This Row],[Finish Var]]&gt;0,"Behind","In Progress"),IF(Tasks[[#This Row],[Planned Start]]&lt;StatusDate,"Late Start","Not Started"))))</f>
        <v/>
      </c>
      <c r="AH76" s="30"/>
      <c r="AI76" s="88"/>
      <c r="AJ76" s="95" t="str">
        <f aca="false">IF(Tasks[[#This Row],[Task Name]]="","",IF(Tasks[[#This Row],[_IsSummary]],SUM(INDEX(Tasks[_LeafWork],Tasks[[#This Row],[_Row]]+1):INDEX(Tasks[_LeafWork],Tasks[[#This Row],[_Row]]+Tasks[[#This Row],[_Descendants]])),Tasks[[#This Row],[_LeafWork]]))</f>
        <v/>
      </c>
      <c r="AK76" s="96" t="str">
        <f aca="false">IF(Tasks[[#This Row],[Task Name]]="","",IF(Tasks[[#This Row],[_IsSummary]],SUM(INDEX(Tasks[_LeafCost],Tasks[[#This Row],[_Row]]+1):INDEX(Tasks[_LeafCost],Tasks[[#This Row],[_Row]]+Tasks[[#This Row],[_Descendants]])),Tasks[[#This Row],[_LeafCost]]))</f>
        <v/>
      </c>
      <c r="AL76" s="97"/>
      <c r="AM76" s="29"/>
      <c r="AN7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76" s="82"/>
      <c r="AP76" s="24" t="str">
        <f aca="false">IF(Tasks[[#This Row],[Task Name]]="","",Tasks[[#This Row],[_Pred1IDText]]&amp;IF(AND(Tasks[[#This Row],[_Pred1IDText]]&lt;&gt;"",Tasks[[#This Row],[_Pred2IDText]]&lt;&gt;""),",","")&amp;Tasks[[#This Row],[_Pred2IDText]])</f>
        <v/>
      </c>
      <c r="AQ76" s="30"/>
      <c r="AR76" s="25" t="str">
        <f aca="false">IF(Tasks[[#This Row],[Task Name]]="","",Tasks[[#This Row],[Forecast Start]])</f>
        <v/>
      </c>
      <c r="AS76" s="25" t="str">
        <f aca="false">IF(Tasks[[#This Row],[Task Name]]="","",Tasks[[#This Row],[Forecast Finish]])</f>
        <v/>
      </c>
      <c r="AT76" s="28" t="str">
        <f aca="false">IF(Tasks[[#This Row],[Task Name]]="","",IF(Tasks[[#This Row],[_IsSummary]],NETWORKDAYS.INTL(Tasks[[#This Row],[Forecast Start]],Tasks[[#This Row],[Forecast Finish]],WorkWeek,Holidays),N(Tasks[[#This Row],[Duration]])))</f>
        <v/>
      </c>
      <c r="AU76" s="95" t="str">
        <f aca="false">IF(Tasks[[#This Row],[Task Name]]="","",Tasks[[#This Row],[Work]])</f>
        <v/>
      </c>
      <c r="AV76" s="96" t="str">
        <f aca="false">IF(Tasks[[#This Row],[Task Name]]="","",Tasks[[#This Row],[Cost]])</f>
        <v/>
      </c>
      <c r="AW76" s="73"/>
      <c r="AX76" s="73"/>
      <c r="AY76" s="29"/>
      <c r="AZ76" s="98"/>
      <c r="BA76" s="97"/>
      <c r="BB76" s="28" t="str">
        <f aca="false">IF(OR(Tasks[[#This Row],[Task Name]]="",Tasks[[#This Row],[Baseline Duration]]=""),"",Tasks[[#This Row],[BL Source Duration]]-N(Tasks[[#This Row],[Baseline Duration]]))</f>
        <v/>
      </c>
      <c r="BC76" s="95" t="str">
        <f aca="false">IF(OR(Tasks[[#This Row],[Task Name]]="",Tasks[[#This Row],[Baseline Work]]=""),"",Tasks[[#This Row],[Work]]-N(Tasks[[#This Row],[Baseline Work]]))</f>
        <v/>
      </c>
      <c r="BD76" s="96" t="str">
        <f aca="false">IF(OR(Tasks[[#This Row],[Task Name]]="",Tasks[[#This Row],[Baseline Cost]]=""),"",Tasks[[#This Row],[Cost]]-N(Tasks[[#This Row],[Baseline Cost]]))</f>
        <v/>
      </c>
      <c r="BE76" s="96" t="str">
        <f aca="false">IF(Tasks[[#This Row],[Task Name]]="","",IF(Tasks[[#This Row],[_IsSummary]],SUM(INDEX(Tasks[_LeafBudget],Tasks[[#This Row],[_Row]]+1):INDEX(Tasks[_LeafBudget],Tasks[[#This Row],[_Row]]+Tasks[[#This Row],[_Descendants]])),Tasks[[#This Row],[_LeafBudget]]))</f>
        <v/>
      </c>
      <c r="BF76" s="96" t="str">
        <f aca="false">IF(Tasks[[#This Row],[Task Name]]="","",IF(Tasks[[#This Row],[_IsSummary]],SUM(INDEX(Tasks[_LeafPV],Tasks[[#This Row],[_Row]]+1):INDEX(Tasks[_LeafPV],Tasks[[#This Row],[_Row]]+Tasks[[#This Row],[_Descendants]])),Tasks[[#This Row],[_LeafPV]]))</f>
        <v/>
      </c>
      <c r="BG76" s="96" t="str">
        <f aca="false">IF(Tasks[[#This Row],[Task Name]]="","",IF(Tasks[[#This Row],[_IsSummary]],SUM(INDEX(Tasks[_LeafEV],Tasks[[#This Row],[_Row]]+1):INDEX(Tasks[_LeafEV],Tasks[[#This Row],[_Row]]+Tasks[[#This Row],[_Descendants]])),Tasks[[#This Row],[_LeafEV]]))</f>
        <v/>
      </c>
      <c r="BH76" s="96" t="str">
        <f aca="false">IF(Tasks[[#This Row],[Task Name]]="","",IF(Tasks[[#This Row],[_IsSummary]],SUM(INDEX(Tasks[_LeafAC],Tasks[[#This Row],[_Row]]+1):INDEX(Tasks[_LeafAC],Tasks[[#This Row],[_Row]]+Tasks[[#This Row],[_Descendants]])),Tasks[[#This Row],[_LeafAC]]))</f>
        <v/>
      </c>
      <c r="BI76" s="41" t="str">
        <f aca="false">IF(Tasks[[#This Row],[Task Name]]="","",MAX(1,N(Tasks[[#This Row],[Level]])))</f>
        <v/>
      </c>
      <c r="BJ76" s="41" t="n">
        <f aca="false">ROW()-ROW(Tasks[[#Headers],[ID]])</f>
        <v>71</v>
      </c>
      <c r="BK76" s="41" t="n">
        <f aca="false">IF(OR(Tasks[[#This Row],[Task Name]]="",Tasks[[#This Row],[_Level]]&lt;=1),0,IFERROR(LOOKUP(2,1/(Tasks[[#Headers],[_Level]]:Tasks[[#This Row],[_Level]]=Tasks[[#This Row],[_Level]]-1),ROW(Tasks[[#Headers],[_Level]]:Tasks[[#This Row],[_Level]])),0))</f>
        <v>0</v>
      </c>
      <c r="BL76" s="41" t="n">
        <f aca="false">IFERROR(N(INDEX(Tasks[_Level],Tasks[[#This Row],[_Row]]+1)),0)</f>
        <v>0</v>
      </c>
      <c r="BM76" s="99" t="b">
        <f aca="false">AND(Tasks[[#This Row],[Task Name]]&lt;&gt;"",Tasks[[#This Row],[_NextLevel]]&gt;Tasks[[#This Row],[_Level]])</f>
        <v>0</v>
      </c>
      <c r="BN76" s="41" t="n">
        <f aca="false">IF(Tasks[[#This Row],[_IsSummary]],COUNTIF(Tasks[WBS],Tasks[[#This Row],[WBS]]&amp;".*"),0)</f>
        <v>0</v>
      </c>
      <c r="BO76" s="41" t="n">
        <f aca="false">IF(AND(Tasks[[#This Row],[Task Name]]&lt;&gt;"",NOT(Tasks[[#This Row],[_IsSummary]])),1,0)</f>
        <v>0</v>
      </c>
      <c r="BP76" s="41" t="n">
        <f aca="false">IF(N(Tasks[[#This Row],[Pred1 UID]])=0,0,IFERROR(MATCH(Tasks[[#This Row],[Pred1 UID]],Tasks[UID],0),-1))</f>
        <v>0</v>
      </c>
      <c r="BQ76" s="41" t="n">
        <f aca="false">IF(N(Tasks[[#This Row],[Pred2 UID]])=0,0,IFERROR(MATCH(Tasks[[#This Row],[Pred2 UID]],Tasks[UID],0),-1))</f>
        <v>0</v>
      </c>
      <c r="BR76"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76" s="100" t="str">
        <f aca="false">IF(NOT(Tasks[[#This Row],[_IsLeaf]]=1),"",IF(N(Tasks[[#This Row],[Duration]])&lt;=0,Tasks[[#This Row],[_LeafCalcStart]],WORKDAY.INTL(Tasks[[#This Row],[_LeafCalcStart]],Tasks[[#This Row],[Duration]]-1,WorkWeek,Holidays)))</f>
        <v/>
      </c>
      <c r="BT76"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76"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76" s="41" t="n">
        <f aca="false">IF(NOT(Tasks[[#This Row],[_IsLeaf]]=1),0,IF(N(Tasks[[#This Row],[Actual Finish]])&gt;0,1,MIN(1,N(Tasks[[#This Row],[% Complete]]))))</f>
        <v>0</v>
      </c>
      <c r="BW76" s="41" t="n">
        <f aca="false">IF(OR(NOT(Tasks[[#This Row],[_IsLeaf]]=1),Tasks[[#This Row],[Resource]]=""),0,N(Tasks[[#This Row],[Duration]])*HoursPerDay*IF(Tasks[[#This Row],[Units]]="",DefaultUnits,Tasks[[#This Row],[Units]]))</f>
        <v>0</v>
      </c>
      <c r="BX76" s="41" t="n">
        <f aca="false">IF(Tasks[[#This Row],[_LeafWork]]=0,0,Tasks[[#This Row],[_LeafWork]]*IFERROR(INDEX(res_Rate,MATCH(Tasks[[#This Row],[Resource]],res_Name,0)),0))</f>
        <v>0</v>
      </c>
      <c r="BY7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7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7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7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76" s="41" t="n">
        <f aca="false">IF(NOT(Tasks[[#This Row],[_IsLeaf]]=1),0,MAX(_xlfn.MAXIFS(Tasks[_Row],Tasks[Pred1 UID],Tasks[[#This Row],[UID]]),_xlfn.MAXIFS(Tasks[_Row],Tasks[Pred2 UID],Tasks[[#This Row],[UID]])))</f>
        <v>0</v>
      </c>
      <c r="CD76"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76" s="100" t="str">
        <f aca="false">IF(NOT(Tasks[[#This Row],[_IsLeaf]]=1),"",MIN(ProjectFinish,IF(N(Tasks[[#This Row],[Deadline]])&gt;0,Tasks[[#This Row],[Deadline]],2958465),Tasks[[#This Row],[_SuccessorFinishLimit]]))</f>
        <v/>
      </c>
      <c r="CF76" s="100" t="str">
        <f aca="false">IF(NOT(Tasks[[#This Row],[_IsLeaf]]=1),"",IF(N(Tasks[[#This Row],[Duration]])&lt;=0,Tasks[[#This Row],[_LeafLateFinish]],WORKDAY.INTL(Tasks[[#This Row],[_LeafLateFinish]],-(Tasks[[#This Row],[Duration]]-1),WorkWeek,Holidays)))</f>
        <v/>
      </c>
      <c r="CG7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76" s="99" t="b">
        <f aca="false">AND(Tasks[[#This Row],[_IsLeaf]]=1,Tasks[[#This Row],[_LeafProgress]]&lt;1,N(Tasks[[#This Row],[_LeafTotalSlack]])&lt;=CriticalSlackDays)</f>
        <v>0</v>
      </c>
      <c r="CI76" s="100" t="str">
        <f aca="false">IF(Tasks[[#This Row],[Task Name]]="","",IF(Tasks[[#This Row],[_IsSummary]],MIN(INDEX(Tasks[_LeafCalcStart],Tasks[[#This Row],[_Row]]+1):INDEX(Tasks[_LeafCalcStart],Tasks[[#This Row],[_Row]]+Tasks[[#This Row],[_Descendants]])),Tasks[[#This Row],[_LeafCalcStart]]))</f>
        <v/>
      </c>
      <c r="CJ76" s="100" t="str">
        <f aca="false">IF(Tasks[[#This Row],[Task Name]]="","",IF(Tasks[[#This Row],[_IsSummary]],MAX(INDEX(Tasks[_LeafCalcFinish],Tasks[[#This Row],[_Row]]+1):INDEX(Tasks[_LeafCalcFinish],Tasks[[#This Row],[_Row]]+Tasks[[#This Row],[_Descendants]])),Tasks[[#This Row],[_LeafCalcFinish]]))</f>
        <v/>
      </c>
      <c r="CK7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7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76"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76"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76"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76"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76" s="41" t="n">
        <f aca="false">IF(AND(Tasks[[#This Row],[_IsLeaf]]=1,Tasks[[#This Row],[_LeafWork]]&gt;0),NETWORKDAYS.INTL(ProjectStart,Tasks[[#This Row],[_LeafFcstStart]],WorkWeek,Holidays),0)</f>
        <v>0</v>
      </c>
      <c r="CR76" s="41" t="n">
        <f aca="false">IF(AND(Tasks[[#This Row],[_IsLeaf]]=1,Tasks[[#This Row],[_LeafWork]]&gt;0),MAX(Tasks[[#This Row],[_StartWorkday]],NETWORKDAYS.INTL(ProjectStart,Tasks[[#This Row],[_LeafFcstFinish]],WorkWeek,Holidays)),0)</f>
        <v>0</v>
      </c>
      <c r="CS76" s="41" t="n">
        <f aca="false">IF(AND(Tasks[[#This Row],[_IsLeaf]]=1,Tasks[[#This Row],[_LeafWork]]&gt;0),Tasks[[#This Row],[_LeafWork]]/(Tasks[[#This Row],[_FinishWorkday]]-Tasks[[#This Row],[_StartWorkday]]+1),0)</f>
        <v>0</v>
      </c>
      <c r="CT76" s="41" t="n">
        <f aca="false">Tasks[[#This Row],[_WorkPerWorkday]]*(Tasks[[#This Row],[_StartWorkday]]-1)</f>
        <v>-0</v>
      </c>
      <c r="CU76" s="41" t="n">
        <f aca="false">IF(Tasks[[#This Row],[_IsLeaf]]=1,MAX(N(Tasks[[#This Row],[Duration]]),0.1),0)</f>
        <v>0</v>
      </c>
      <c r="CV76" s="41" t="n">
        <f aca="false">Tasks[[#This Row],[_WeightDur]]*Tasks[[#This Row],[_LeafProgress]]</f>
        <v>0</v>
      </c>
      <c r="CW7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7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7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7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76" s="41" t="str">
        <f aca="false">IF(Tasks[[#This Row],[Task Name]]="","",Tasks[[#This Row],[_Pred1UIDText]]&amp;IF(AND(Tasks[[#This Row],[_Pred1UIDText]]&lt;&gt;"",Tasks[[#This Row],[_Pred2UIDText]]&lt;&gt;""),",","")&amp;Tasks[[#This Row],[_Pred2UIDText]])</f>
        <v/>
      </c>
      <c r="DB76" s="41" t="str">
        <f aca="false">IF(AND(Tasks[[#This Row],[_IsLeaf]]=1,N(Tasks[[#This Row],[Duration]])=0,Tasks[[#This Row],[_LeafProgress]]&lt;1),Tasks[[#This Row],[_LeafFcstFinish]]+Tasks[[#This Row],[_Row]]/100000,"")</f>
        <v/>
      </c>
      <c r="DC7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76" s="41" t="n">
        <f aca="false">IF(NOT(Tasks[[#This Row],[_IsLeaf]]=1),0,IF(Tasks[[#This Row],[Baseline Cost]]="",Tasks[[#This Row],[_LeafCost]],N(Tasks[[#This Row],[Baseline Cost]])))</f>
        <v>0</v>
      </c>
      <c r="DE76" s="41" t="n">
        <f aca="false">Tasks[[#This Row],[_LeafBudget]]*Tasks[[#This Row],[_PlannedPct]]</f>
        <v>0</v>
      </c>
      <c r="DF76" s="41" t="n">
        <f aca="false">Tasks[[#This Row],[_LeafBudget]]*Tasks[[#This Row],[_LeafProgress]]</f>
        <v>0</v>
      </c>
      <c r="DG76" s="41" t="n">
        <f aca="false">IF(NOT(Tasks[[#This Row],[_IsLeaf]]=1),0,IF(Tasks[[#This Row],[Actual Cost]]="",Tasks[[#This Row],[_LeafCost]]*Tasks[[#This Row],[_LeafProgress]],N(Tasks[[#This Row],[Actual Cost]])))</f>
        <v>0</v>
      </c>
      <c r="DH76" s="41" t="str">
        <f aca="false">IF(Tasks[[#This Row],[Task Name]]="","",LEFT(Tasks[[#This Row],[WBS]],FIND(".",Tasks[[#This Row],[WBS]]&amp;".")-1))</f>
        <v/>
      </c>
      <c r="DI76" s="41" t="str">
        <f aca="false">IF(AND(Tasks[[#This Row],[Task Name]]&lt;&gt;"",Tasks[[#This Row],[_Level]]=1),Tasks[[#This Row],[_Row]],"")</f>
        <v/>
      </c>
      <c r="DJ76" s="41" t="str">
        <f aca="false">IF(AND(Tasks[[#This Row],[_IsLeaf]]=1,N(Tasks[[#This Row],[Duration]])=0),Tasks[[#This Row],[Planned Finish]]+Tasks[[#This Row],[_Row]]/100000,"")</f>
        <v/>
      </c>
      <c r="DK76" s="41" t="str">
        <f aca="false">IF(AND(Tasks[[#This Row],[_IsLeaf]]=1,Tasks[[#This Row],[_LeafProgress]]&lt;1,OR(N(Tasks[[#This Row],[Finish Var]])&gt;0,Tasks[[#This Row],[Status]]="Late Start")),MAX(0,Tasks[[#This Row],[Finish Var]])+1-Tasks[[#This Row],[_Row]]/1000000,"")</f>
        <v/>
      </c>
      <c r="DL76" s="41" t="str">
        <f aca="false">IF(AND(Tasks[[#This Row],[_IsLeaf]]=1,N(Tasks[[#This Row],[Actual Start]])=0,Tasks[[#This Row],[_LeafFcstStart]]&gt;=StatusDate,Tasks[[#This Row],[_LeafFcstStart]]&lt;=LookaheadEnd),Tasks[[#This Row],[_LeafFcstStart]]+Tasks[[#This Row],[_Row]]/100000,"")</f>
        <v/>
      </c>
      <c r="DM76" s="41" t="str">
        <f aca="false">IF(AND(Tasks[[#This Row],[_IsLeaf]]=1,Tasks[[#This Row],[_LeafProgress]]&lt;1,Tasks[[#This Row],[_LeafFcstFinish]]&gt;=StatusDate,Tasks[[#This Row],[_LeafFcstFinish]]&lt;=LookaheadEnd),Tasks[[#This Row],[_LeafFcstFinish]]+Tasks[[#This Row],[_Row]]/100000,"")</f>
        <v/>
      </c>
      <c r="DN76" s="41" t="str">
        <f aca="false">IF(Tasks[[#This Row],[_LeafCritical]],Tasks[[#This Row],[_LeafFcstStart]]+Tasks[[#This Row],[_Row]]/100000,"")</f>
        <v/>
      </c>
      <c r="DO76" s="41" t="n">
        <f aca="false">Tasks[[#This Row],[_LeafWork]]*Tasks[[#This Row],[_LeafProgress]]</f>
        <v>0</v>
      </c>
      <c r="DP76" s="100" t="str">
        <f aca="false">IF(AND(Tasks[[#This Row],[_IsLeaf]]=1,Tasks[[#This Row],[_LeafProgress]]&gt;=1),IF(N(Tasks[[#This Row],[Actual Finish]])&gt;0,Tasks[[#This Row],[Actual Finish]],Tasks[[#This Row],[_LeafFcstFinish]]),"")</f>
        <v/>
      </c>
      <c r="DQ76" s="41" t="n">
        <f aca="false">IF(Tasks[[#This Row],[_IsLeaf]]=1,N(Tasks[[#This Row],[Story Points]]),0)</f>
        <v>0</v>
      </c>
      <c r="DR76" s="41" t="str">
        <f aca="false">IF(AND(Tasks[[#This Row],[_IsLeaf]]=1,CurrentSprint&lt;&gt;"",Tasks[[#This Row],[Sprint]]=CurrentSprint),Tasks[[#This Row],[_Row]],"")</f>
        <v/>
      </c>
    </row>
    <row r="77" customFormat="false" ht="15" hidden="false" customHeight="false" outlineLevel="0" collapsed="false">
      <c r="A77" s="28" t="str">
        <f aca="false">IF(Tasks[[#This Row],[Task Name]]="","",COUNTA(Tasks[[#Headers],[Task Name]]:Tasks[[#This Row],[Task Name]])-1)</f>
        <v/>
      </c>
      <c r="B77" s="29" t="n">
        <v>72</v>
      </c>
      <c r="C7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7" s="29"/>
      <c r="E77" s="30"/>
      <c r="F77" s="29"/>
      <c r="G77" s="29"/>
      <c r="H77" s="29"/>
      <c r="I77" s="29"/>
      <c r="J77" s="29"/>
      <c r="K77" s="29"/>
      <c r="L77" s="29"/>
      <c r="M77" s="29"/>
      <c r="N77" s="73"/>
      <c r="O77" s="73"/>
      <c r="P77" s="25" t="str">
        <f aca="false">IF(Tasks[[#This Row],[Task Name]]="","",IF(N(Tasks[[#This Row],[Baseline Start]])&gt;0,Tasks[[#This Row],[Baseline Start]],Tasks[[#This Row],[_CalcStart]]))</f>
        <v/>
      </c>
      <c r="Q77" s="25" t="str">
        <f aca="false">IF(Tasks[[#This Row],[Task Name]]="","",IF(N(Tasks[[#This Row],[Baseline Finish]])&gt;0,Tasks[[#This Row],[Baseline Finish]],Tasks[[#This Row],[_CalcFinish]]))</f>
        <v/>
      </c>
      <c r="R77" s="73"/>
      <c r="S77" s="73"/>
      <c r="T77" s="25" t="str">
        <f aca="false">IF(Tasks[[#This Row],[Task Name]]="","",IF(Tasks[[#This Row],[_IsSummary]],MIN(INDEX(Tasks[_LeafFcstStart],Tasks[[#This Row],[_Row]]+1):INDEX(Tasks[_LeafFcstStart],Tasks[[#This Row],[_Row]]+Tasks[[#This Row],[_Descendants]])),Tasks[[#This Row],[_LeafFcstStart]]))</f>
        <v/>
      </c>
      <c r="U77" s="25" t="str">
        <f aca="false">IF(Tasks[[#This Row],[Task Name]]="","",IF(Tasks[[#This Row],[_IsSummary]],MAX(INDEX(Tasks[_LeafFcstFinish],Tasks[[#This Row],[_Row]]+1):INDEX(Tasks[_LeafFcstFinish],Tasks[[#This Row],[_Row]]+Tasks[[#This Row],[_Descendants]])),Tasks[[#This Row],[_LeafFcstFinish]]))</f>
        <v/>
      </c>
      <c r="V7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7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7" s="25" t="str">
        <f aca="false">IF(Tasks[[#This Row],[Task Name]]="","",IF(Tasks[[#This Row],[_IsSummary]],MIN(INDEX(Tasks[_LeafLateStart],Tasks[[#This Row],[_Row]]+1):INDEX(Tasks[_LeafLateStart],Tasks[[#This Row],[_Row]]+Tasks[[#This Row],[_Descendants]])),Tasks[[#This Row],[_LeafLateStart]]))</f>
        <v/>
      </c>
      <c r="Y77" s="25" t="str">
        <f aca="false">IF(Tasks[[#This Row],[Task Name]]="","",IF(Tasks[[#This Row],[_IsSummary]],MAX(INDEX(Tasks[_LeafLateFinish],Tasks[[#This Row],[_Row]]+1):INDEX(Tasks[_LeafLateFinish],Tasks[[#This Row],[_Row]]+Tasks[[#This Row],[_Descendants]])),Tasks[[#This Row],[_LeafLateFinish]]))</f>
        <v/>
      </c>
      <c r="Z77" s="43" t="str">
        <f aca="false">IF(Tasks[[#This Row],[Task Name]]="","",IF(Tasks[[#This Row],[_IsSummary]],MIN(INDEX(Tasks[_LeafTotalSlack],Tasks[[#This Row],[_Row]]+1):INDEX(Tasks[_LeafTotalSlack],Tasks[[#This Row],[_Row]]+Tasks[[#This Row],[_Descendants]])),Tasks[[#This Row],[_LeafTotalSlack]]))</f>
        <v/>
      </c>
      <c r="AA7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7" s="28" t="str">
        <f aca="false">IF(Tasks[[#This Row],[Task Name]]="","",IF(IF(Tasks[[#This Row],[_IsSummary]],COUNTIF(INDEX(Tasks[_LeafCritical],Tasks[[#This Row],[_Row]]+1):INDEX(Tasks[_LeafCritical],Tasks[[#This Row],[_Row]]+Tasks[[#This Row],[_Descendants]]),TRUE())&gt;0,Tasks[[#This Row],[_LeafCritical]]),"Yes",""))</f>
        <v/>
      </c>
      <c r="AC7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7" s="24" t="str">
        <f aca="false">IF(Tasks[[#This Row],[Task Name]]="","",TRIM(IF(Tasks[[#This Row],[_Pred1Problem]]&lt;&gt;"","Pred 1: "&amp;Tasks[[#This Row],[_Pred1Problem]]&amp;". ","")&amp;IF(Tasks[[#This Row],[_Pred2Problem]]&lt;&gt;"","Pred 2: "&amp;Tasks[[#This Row],[_Pred2Problem]]&amp;".","")))</f>
        <v/>
      </c>
      <c r="AE77" s="88"/>
      <c r="AF77"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7" s="28" t="str">
        <f aca="false">IF(Tasks[[#This Row],[Task Name]]="","",IF(Tasks[[#This Row],[Progress]]&gt;=1,"Complete",IF(OR(N(Tasks[[#This Row],[Actual Start]])&gt;0,Tasks[[#This Row],[Progress]]&gt;0),IF(Tasks[[#This Row],[Finish Var]]&gt;0,"Behind","In Progress"),IF(Tasks[[#This Row],[Planned Start]]&lt;StatusDate,"Late Start","Not Started"))))</f>
        <v/>
      </c>
      <c r="AH77" s="30"/>
      <c r="AI77" s="88"/>
      <c r="AJ77" s="95" t="str">
        <f aca="false">IF(Tasks[[#This Row],[Task Name]]="","",IF(Tasks[[#This Row],[_IsSummary]],SUM(INDEX(Tasks[_LeafWork],Tasks[[#This Row],[_Row]]+1):INDEX(Tasks[_LeafWork],Tasks[[#This Row],[_Row]]+Tasks[[#This Row],[_Descendants]])),Tasks[[#This Row],[_LeafWork]]))</f>
        <v/>
      </c>
      <c r="AK77" s="96" t="str">
        <f aca="false">IF(Tasks[[#This Row],[Task Name]]="","",IF(Tasks[[#This Row],[_IsSummary]],SUM(INDEX(Tasks[_LeafCost],Tasks[[#This Row],[_Row]]+1):INDEX(Tasks[_LeafCost],Tasks[[#This Row],[_Row]]+Tasks[[#This Row],[_Descendants]])),Tasks[[#This Row],[_LeafCost]]))</f>
        <v/>
      </c>
      <c r="AL77" s="97"/>
      <c r="AM77" s="29"/>
      <c r="AN7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77" s="82"/>
      <c r="AP77" s="24" t="str">
        <f aca="false">IF(Tasks[[#This Row],[Task Name]]="","",Tasks[[#This Row],[_Pred1IDText]]&amp;IF(AND(Tasks[[#This Row],[_Pred1IDText]]&lt;&gt;"",Tasks[[#This Row],[_Pred2IDText]]&lt;&gt;""),",","")&amp;Tasks[[#This Row],[_Pred2IDText]])</f>
        <v/>
      </c>
      <c r="AQ77" s="30"/>
      <c r="AR77" s="25" t="str">
        <f aca="false">IF(Tasks[[#This Row],[Task Name]]="","",Tasks[[#This Row],[Forecast Start]])</f>
        <v/>
      </c>
      <c r="AS77" s="25" t="str">
        <f aca="false">IF(Tasks[[#This Row],[Task Name]]="","",Tasks[[#This Row],[Forecast Finish]])</f>
        <v/>
      </c>
      <c r="AT77" s="28" t="str">
        <f aca="false">IF(Tasks[[#This Row],[Task Name]]="","",IF(Tasks[[#This Row],[_IsSummary]],NETWORKDAYS.INTL(Tasks[[#This Row],[Forecast Start]],Tasks[[#This Row],[Forecast Finish]],WorkWeek,Holidays),N(Tasks[[#This Row],[Duration]])))</f>
        <v/>
      </c>
      <c r="AU77" s="95" t="str">
        <f aca="false">IF(Tasks[[#This Row],[Task Name]]="","",Tasks[[#This Row],[Work]])</f>
        <v/>
      </c>
      <c r="AV77" s="96" t="str">
        <f aca="false">IF(Tasks[[#This Row],[Task Name]]="","",Tasks[[#This Row],[Cost]])</f>
        <v/>
      </c>
      <c r="AW77" s="73"/>
      <c r="AX77" s="73"/>
      <c r="AY77" s="29"/>
      <c r="AZ77" s="98"/>
      <c r="BA77" s="97"/>
      <c r="BB77" s="28" t="str">
        <f aca="false">IF(OR(Tasks[[#This Row],[Task Name]]="",Tasks[[#This Row],[Baseline Duration]]=""),"",Tasks[[#This Row],[BL Source Duration]]-N(Tasks[[#This Row],[Baseline Duration]]))</f>
        <v/>
      </c>
      <c r="BC77" s="95" t="str">
        <f aca="false">IF(OR(Tasks[[#This Row],[Task Name]]="",Tasks[[#This Row],[Baseline Work]]=""),"",Tasks[[#This Row],[Work]]-N(Tasks[[#This Row],[Baseline Work]]))</f>
        <v/>
      </c>
      <c r="BD77" s="96" t="str">
        <f aca="false">IF(OR(Tasks[[#This Row],[Task Name]]="",Tasks[[#This Row],[Baseline Cost]]=""),"",Tasks[[#This Row],[Cost]]-N(Tasks[[#This Row],[Baseline Cost]]))</f>
        <v/>
      </c>
      <c r="BE77" s="96" t="str">
        <f aca="false">IF(Tasks[[#This Row],[Task Name]]="","",IF(Tasks[[#This Row],[_IsSummary]],SUM(INDEX(Tasks[_LeafBudget],Tasks[[#This Row],[_Row]]+1):INDEX(Tasks[_LeafBudget],Tasks[[#This Row],[_Row]]+Tasks[[#This Row],[_Descendants]])),Tasks[[#This Row],[_LeafBudget]]))</f>
        <v/>
      </c>
      <c r="BF77" s="96" t="str">
        <f aca="false">IF(Tasks[[#This Row],[Task Name]]="","",IF(Tasks[[#This Row],[_IsSummary]],SUM(INDEX(Tasks[_LeafPV],Tasks[[#This Row],[_Row]]+1):INDEX(Tasks[_LeafPV],Tasks[[#This Row],[_Row]]+Tasks[[#This Row],[_Descendants]])),Tasks[[#This Row],[_LeafPV]]))</f>
        <v/>
      </c>
      <c r="BG77" s="96" t="str">
        <f aca="false">IF(Tasks[[#This Row],[Task Name]]="","",IF(Tasks[[#This Row],[_IsSummary]],SUM(INDEX(Tasks[_LeafEV],Tasks[[#This Row],[_Row]]+1):INDEX(Tasks[_LeafEV],Tasks[[#This Row],[_Row]]+Tasks[[#This Row],[_Descendants]])),Tasks[[#This Row],[_LeafEV]]))</f>
        <v/>
      </c>
      <c r="BH77" s="96" t="str">
        <f aca="false">IF(Tasks[[#This Row],[Task Name]]="","",IF(Tasks[[#This Row],[_IsSummary]],SUM(INDEX(Tasks[_LeafAC],Tasks[[#This Row],[_Row]]+1):INDEX(Tasks[_LeafAC],Tasks[[#This Row],[_Row]]+Tasks[[#This Row],[_Descendants]])),Tasks[[#This Row],[_LeafAC]]))</f>
        <v/>
      </c>
      <c r="BI77" s="41" t="str">
        <f aca="false">IF(Tasks[[#This Row],[Task Name]]="","",MAX(1,N(Tasks[[#This Row],[Level]])))</f>
        <v/>
      </c>
      <c r="BJ77" s="41" t="n">
        <f aca="false">ROW()-ROW(Tasks[[#Headers],[ID]])</f>
        <v>72</v>
      </c>
      <c r="BK77" s="41" t="n">
        <f aca="false">IF(OR(Tasks[[#This Row],[Task Name]]="",Tasks[[#This Row],[_Level]]&lt;=1),0,IFERROR(LOOKUP(2,1/(Tasks[[#Headers],[_Level]]:Tasks[[#This Row],[_Level]]=Tasks[[#This Row],[_Level]]-1),ROW(Tasks[[#Headers],[_Level]]:Tasks[[#This Row],[_Level]])),0))</f>
        <v>0</v>
      </c>
      <c r="BL77" s="41" t="n">
        <f aca="false">IFERROR(N(INDEX(Tasks[_Level],Tasks[[#This Row],[_Row]]+1)),0)</f>
        <v>0</v>
      </c>
      <c r="BM77" s="99" t="b">
        <f aca="false">AND(Tasks[[#This Row],[Task Name]]&lt;&gt;"",Tasks[[#This Row],[_NextLevel]]&gt;Tasks[[#This Row],[_Level]])</f>
        <v>0</v>
      </c>
      <c r="BN77" s="41" t="n">
        <f aca="false">IF(Tasks[[#This Row],[_IsSummary]],COUNTIF(Tasks[WBS],Tasks[[#This Row],[WBS]]&amp;".*"),0)</f>
        <v>0</v>
      </c>
      <c r="BO77" s="41" t="n">
        <f aca="false">IF(AND(Tasks[[#This Row],[Task Name]]&lt;&gt;"",NOT(Tasks[[#This Row],[_IsSummary]])),1,0)</f>
        <v>0</v>
      </c>
      <c r="BP77" s="41" t="n">
        <f aca="false">IF(N(Tasks[[#This Row],[Pred1 UID]])=0,0,IFERROR(MATCH(Tasks[[#This Row],[Pred1 UID]],Tasks[UID],0),-1))</f>
        <v>0</v>
      </c>
      <c r="BQ77" s="41" t="n">
        <f aca="false">IF(N(Tasks[[#This Row],[Pred2 UID]])=0,0,IFERROR(MATCH(Tasks[[#This Row],[Pred2 UID]],Tasks[UID],0),-1))</f>
        <v>0</v>
      </c>
      <c r="BR77"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77" s="100" t="str">
        <f aca="false">IF(NOT(Tasks[[#This Row],[_IsLeaf]]=1),"",IF(N(Tasks[[#This Row],[Duration]])&lt;=0,Tasks[[#This Row],[_LeafCalcStart]],WORKDAY.INTL(Tasks[[#This Row],[_LeafCalcStart]],Tasks[[#This Row],[Duration]]-1,WorkWeek,Holidays)))</f>
        <v/>
      </c>
      <c r="BT77"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77"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77" s="41" t="n">
        <f aca="false">IF(NOT(Tasks[[#This Row],[_IsLeaf]]=1),0,IF(N(Tasks[[#This Row],[Actual Finish]])&gt;0,1,MIN(1,N(Tasks[[#This Row],[% Complete]]))))</f>
        <v>0</v>
      </c>
      <c r="BW77" s="41" t="n">
        <f aca="false">IF(OR(NOT(Tasks[[#This Row],[_IsLeaf]]=1),Tasks[[#This Row],[Resource]]=""),0,N(Tasks[[#This Row],[Duration]])*HoursPerDay*IF(Tasks[[#This Row],[Units]]="",DefaultUnits,Tasks[[#This Row],[Units]]))</f>
        <v>0</v>
      </c>
      <c r="BX77" s="41" t="n">
        <f aca="false">IF(Tasks[[#This Row],[_LeafWork]]=0,0,Tasks[[#This Row],[_LeafWork]]*IFERROR(INDEX(res_Rate,MATCH(Tasks[[#This Row],[Resource]],res_Name,0)),0))</f>
        <v>0</v>
      </c>
      <c r="BY7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7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7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7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77" s="41" t="n">
        <f aca="false">IF(NOT(Tasks[[#This Row],[_IsLeaf]]=1),0,MAX(_xlfn.MAXIFS(Tasks[_Row],Tasks[Pred1 UID],Tasks[[#This Row],[UID]]),_xlfn.MAXIFS(Tasks[_Row],Tasks[Pred2 UID],Tasks[[#This Row],[UID]])))</f>
        <v>0</v>
      </c>
      <c r="CD77"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77" s="100" t="str">
        <f aca="false">IF(NOT(Tasks[[#This Row],[_IsLeaf]]=1),"",MIN(ProjectFinish,IF(N(Tasks[[#This Row],[Deadline]])&gt;0,Tasks[[#This Row],[Deadline]],2958465),Tasks[[#This Row],[_SuccessorFinishLimit]]))</f>
        <v/>
      </c>
      <c r="CF77" s="100" t="str">
        <f aca="false">IF(NOT(Tasks[[#This Row],[_IsLeaf]]=1),"",IF(N(Tasks[[#This Row],[Duration]])&lt;=0,Tasks[[#This Row],[_LeafLateFinish]],WORKDAY.INTL(Tasks[[#This Row],[_LeafLateFinish]],-(Tasks[[#This Row],[Duration]]-1),WorkWeek,Holidays)))</f>
        <v/>
      </c>
      <c r="CG7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77" s="99" t="b">
        <f aca="false">AND(Tasks[[#This Row],[_IsLeaf]]=1,Tasks[[#This Row],[_LeafProgress]]&lt;1,N(Tasks[[#This Row],[_LeafTotalSlack]])&lt;=CriticalSlackDays)</f>
        <v>0</v>
      </c>
      <c r="CI77" s="100" t="str">
        <f aca="false">IF(Tasks[[#This Row],[Task Name]]="","",IF(Tasks[[#This Row],[_IsSummary]],MIN(INDEX(Tasks[_LeafCalcStart],Tasks[[#This Row],[_Row]]+1):INDEX(Tasks[_LeafCalcStart],Tasks[[#This Row],[_Row]]+Tasks[[#This Row],[_Descendants]])),Tasks[[#This Row],[_LeafCalcStart]]))</f>
        <v/>
      </c>
      <c r="CJ77" s="100" t="str">
        <f aca="false">IF(Tasks[[#This Row],[Task Name]]="","",IF(Tasks[[#This Row],[_IsSummary]],MAX(INDEX(Tasks[_LeafCalcFinish],Tasks[[#This Row],[_Row]]+1):INDEX(Tasks[_LeafCalcFinish],Tasks[[#This Row],[_Row]]+Tasks[[#This Row],[_Descendants]])),Tasks[[#This Row],[_LeafCalcFinish]]))</f>
        <v/>
      </c>
      <c r="CK7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7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77"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77"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77"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77"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77" s="41" t="n">
        <f aca="false">IF(AND(Tasks[[#This Row],[_IsLeaf]]=1,Tasks[[#This Row],[_LeafWork]]&gt;0),NETWORKDAYS.INTL(ProjectStart,Tasks[[#This Row],[_LeafFcstStart]],WorkWeek,Holidays),0)</f>
        <v>0</v>
      </c>
      <c r="CR77" s="41" t="n">
        <f aca="false">IF(AND(Tasks[[#This Row],[_IsLeaf]]=1,Tasks[[#This Row],[_LeafWork]]&gt;0),MAX(Tasks[[#This Row],[_StartWorkday]],NETWORKDAYS.INTL(ProjectStart,Tasks[[#This Row],[_LeafFcstFinish]],WorkWeek,Holidays)),0)</f>
        <v>0</v>
      </c>
      <c r="CS77" s="41" t="n">
        <f aca="false">IF(AND(Tasks[[#This Row],[_IsLeaf]]=1,Tasks[[#This Row],[_LeafWork]]&gt;0),Tasks[[#This Row],[_LeafWork]]/(Tasks[[#This Row],[_FinishWorkday]]-Tasks[[#This Row],[_StartWorkday]]+1),0)</f>
        <v>0</v>
      </c>
      <c r="CT77" s="41" t="n">
        <f aca="false">Tasks[[#This Row],[_WorkPerWorkday]]*(Tasks[[#This Row],[_StartWorkday]]-1)</f>
        <v>-0</v>
      </c>
      <c r="CU77" s="41" t="n">
        <f aca="false">IF(Tasks[[#This Row],[_IsLeaf]]=1,MAX(N(Tasks[[#This Row],[Duration]]),0.1),0)</f>
        <v>0</v>
      </c>
      <c r="CV77" s="41" t="n">
        <f aca="false">Tasks[[#This Row],[_WeightDur]]*Tasks[[#This Row],[_LeafProgress]]</f>
        <v>0</v>
      </c>
      <c r="CW7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7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7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7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77" s="41" t="str">
        <f aca="false">IF(Tasks[[#This Row],[Task Name]]="","",Tasks[[#This Row],[_Pred1UIDText]]&amp;IF(AND(Tasks[[#This Row],[_Pred1UIDText]]&lt;&gt;"",Tasks[[#This Row],[_Pred2UIDText]]&lt;&gt;""),",","")&amp;Tasks[[#This Row],[_Pred2UIDText]])</f>
        <v/>
      </c>
      <c r="DB77" s="41" t="str">
        <f aca="false">IF(AND(Tasks[[#This Row],[_IsLeaf]]=1,N(Tasks[[#This Row],[Duration]])=0,Tasks[[#This Row],[_LeafProgress]]&lt;1),Tasks[[#This Row],[_LeafFcstFinish]]+Tasks[[#This Row],[_Row]]/100000,"")</f>
        <v/>
      </c>
      <c r="DC7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77" s="41" t="n">
        <f aca="false">IF(NOT(Tasks[[#This Row],[_IsLeaf]]=1),0,IF(Tasks[[#This Row],[Baseline Cost]]="",Tasks[[#This Row],[_LeafCost]],N(Tasks[[#This Row],[Baseline Cost]])))</f>
        <v>0</v>
      </c>
      <c r="DE77" s="41" t="n">
        <f aca="false">Tasks[[#This Row],[_LeafBudget]]*Tasks[[#This Row],[_PlannedPct]]</f>
        <v>0</v>
      </c>
      <c r="DF77" s="41" t="n">
        <f aca="false">Tasks[[#This Row],[_LeafBudget]]*Tasks[[#This Row],[_LeafProgress]]</f>
        <v>0</v>
      </c>
      <c r="DG77" s="41" t="n">
        <f aca="false">IF(NOT(Tasks[[#This Row],[_IsLeaf]]=1),0,IF(Tasks[[#This Row],[Actual Cost]]="",Tasks[[#This Row],[_LeafCost]]*Tasks[[#This Row],[_LeafProgress]],N(Tasks[[#This Row],[Actual Cost]])))</f>
        <v>0</v>
      </c>
      <c r="DH77" s="41" t="str">
        <f aca="false">IF(Tasks[[#This Row],[Task Name]]="","",LEFT(Tasks[[#This Row],[WBS]],FIND(".",Tasks[[#This Row],[WBS]]&amp;".")-1))</f>
        <v/>
      </c>
      <c r="DI77" s="41" t="str">
        <f aca="false">IF(AND(Tasks[[#This Row],[Task Name]]&lt;&gt;"",Tasks[[#This Row],[_Level]]=1),Tasks[[#This Row],[_Row]],"")</f>
        <v/>
      </c>
      <c r="DJ77" s="41" t="str">
        <f aca="false">IF(AND(Tasks[[#This Row],[_IsLeaf]]=1,N(Tasks[[#This Row],[Duration]])=0),Tasks[[#This Row],[Planned Finish]]+Tasks[[#This Row],[_Row]]/100000,"")</f>
        <v/>
      </c>
      <c r="DK77" s="41" t="str">
        <f aca="false">IF(AND(Tasks[[#This Row],[_IsLeaf]]=1,Tasks[[#This Row],[_LeafProgress]]&lt;1,OR(N(Tasks[[#This Row],[Finish Var]])&gt;0,Tasks[[#This Row],[Status]]="Late Start")),MAX(0,Tasks[[#This Row],[Finish Var]])+1-Tasks[[#This Row],[_Row]]/1000000,"")</f>
        <v/>
      </c>
      <c r="DL77" s="41" t="str">
        <f aca="false">IF(AND(Tasks[[#This Row],[_IsLeaf]]=1,N(Tasks[[#This Row],[Actual Start]])=0,Tasks[[#This Row],[_LeafFcstStart]]&gt;=StatusDate,Tasks[[#This Row],[_LeafFcstStart]]&lt;=LookaheadEnd),Tasks[[#This Row],[_LeafFcstStart]]+Tasks[[#This Row],[_Row]]/100000,"")</f>
        <v/>
      </c>
      <c r="DM77" s="41" t="str">
        <f aca="false">IF(AND(Tasks[[#This Row],[_IsLeaf]]=1,Tasks[[#This Row],[_LeafProgress]]&lt;1,Tasks[[#This Row],[_LeafFcstFinish]]&gt;=StatusDate,Tasks[[#This Row],[_LeafFcstFinish]]&lt;=LookaheadEnd),Tasks[[#This Row],[_LeafFcstFinish]]+Tasks[[#This Row],[_Row]]/100000,"")</f>
        <v/>
      </c>
      <c r="DN77" s="41" t="str">
        <f aca="false">IF(Tasks[[#This Row],[_LeafCritical]],Tasks[[#This Row],[_LeafFcstStart]]+Tasks[[#This Row],[_Row]]/100000,"")</f>
        <v/>
      </c>
      <c r="DO77" s="41" t="n">
        <f aca="false">Tasks[[#This Row],[_LeafWork]]*Tasks[[#This Row],[_LeafProgress]]</f>
        <v>0</v>
      </c>
      <c r="DP77" s="100" t="str">
        <f aca="false">IF(AND(Tasks[[#This Row],[_IsLeaf]]=1,Tasks[[#This Row],[_LeafProgress]]&gt;=1),IF(N(Tasks[[#This Row],[Actual Finish]])&gt;0,Tasks[[#This Row],[Actual Finish]],Tasks[[#This Row],[_LeafFcstFinish]]),"")</f>
        <v/>
      </c>
      <c r="DQ77" s="41" t="n">
        <f aca="false">IF(Tasks[[#This Row],[_IsLeaf]]=1,N(Tasks[[#This Row],[Story Points]]),0)</f>
        <v>0</v>
      </c>
      <c r="DR77" s="41" t="str">
        <f aca="false">IF(AND(Tasks[[#This Row],[_IsLeaf]]=1,CurrentSprint&lt;&gt;"",Tasks[[#This Row],[Sprint]]=CurrentSprint),Tasks[[#This Row],[_Row]],"")</f>
        <v/>
      </c>
    </row>
    <row r="78" customFormat="false" ht="15" hidden="false" customHeight="false" outlineLevel="0" collapsed="false">
      <c r="A78" s="28" t="str">
        <f aca="false">IF(Tasks[[#This Row],[Task Name]]="","",COUNTA(Tasks[[#Headers],[Task Name]]:Tasks[[#This Row],[Task Name]])-1)</f>
        <v/>
      </c>
      <c r="B78" s="29" t="n">
        <v>73</v>
      </c>
      <c r="C7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8" s="29"/>
      <c r="E78" s="30"/>
      <c r="F78" s="29"/>
      <c r="G78" s="29"/>
      <c r="H78" s="29"/>
      <c r="I78" s="29"/>
      <c r="J78" s="29"/>
      <c r="K78" s="29"/>
      <c r="L78" s="29"/>
      <c r="M78" s="29"/>
      <c r="N78" s="73"/>
      <c r="O78" s="73"/>
      <c r="P78" s="25" t="str">
        <f aca="false">IF(Tasks[[#This Row],[Task Name]]="","",IF(N(Tasks[[#This Row],[Baseline Start]])&gt;0,Tasks[[#This Row],[Baseline Start]],Tasks[[#This Row],[_CalcStart]]))</f>
        <v/>
      </c>
      <c r="Q78" s="25" t="str">
        <f aca="false">IF(Tasks[[#This Row],[Task Name]]="","",IF(N(Tasks[[#This Row],[Baseline Finish]])&gt;0,Tasks[[#This Row],[Baseline Finish]],Tasks[[#This Row],[_CalcFinish]]))</f>
        <v/>
      </c>
      <c r="R78" s="73"/>
      <c r="S78" s="73"/>
      <c r="T78" s="25" t="str">
        <f aca="false">IF(Tasks[[#This Row],[Task Name]]="","",IF(Tasks[[#This Row],[_IsSummary]],MIN(INDEX(Tasks[_LeafFcstStart],Tasks[[#This Row],[_Row]]+1):INDEX(Tasks[_LeafFcstStart],Tasks[[#This Row],[_Row]]+Tasks[[#This Row],[_Descendants]])),Tasks[[#This Row],[_LeafFcstStart]]))</f>
        <v/>
      </c>
      <c r="U78" s="25" t="str">
        <f aca="false">IF(Tasks[[#This Row],[Task Name]]="","",IF(Tasks[[#This Row],[_IsSummary]],MAX(INDEX(Tasks[_LeafFcstFinish],Tasks[[#This Row],[_Row]]+1):INDEX(Tasks[_LeafFcstFinish],Tasks[[#This Row],[_Row]]+Tasks[[#This Row],[_Descendants]])),Tasks[[#This Row],[_LeafFcstFinish]]))</f>
        <v/>
      </c>
      <c r="V7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7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8" s="25" t="str">
        <f aca="false">IF(Tasks[[#This Row],[Task Name]]="","",IF(Tasks[[#This Row],[_IsSummary]],MIN(INDEX(Tasks[_LeafLateStart],Tasks[[#This Row],[_Row]]+1):INDEX(Tasks[_LeafLateStart],Tasks[[#This Row],[_Row]]+Tasks[[#This Row],[_Descendants]])),Tasks[[#This Row],[_LeafLateStart]]))</f>
        <v/>
      </c>
      <c r="Y78" s="25" t="str">
        <f aca="false">IF(Tasks[[#This Row],[Task Name]]="","",IF(Tasks[[#This Row],[_IsSummary]],MAX(INDEX(Tasks[_LeafLateFinish],Tasks[[#This Row],[_Row]]+1):INDEX(Tasks[_LeafLateFinish],Tasks[[#This Row],[_Row]]+Tasks[[#This Row],[_Descendants]])),Tasks[[#This Row],[_LeafLateFinish]]))</f>
        <v/>
      </c>
      <c r="Z78" s="43" t="str">
        <f aca="false">IF(Tasks[[#This Row],[Task Name]]="","",IF(Tasks[[#This Row],[_IsSummary]],MIN(INDEX(Tasks[_LeafTotalSlack],Tasks[[#This Row],[_Row]]+1):INDEX(Tasks[_LeafTotalSlack],Tasks[[#This Row],[_Row]]+Tasks[[#This Row],[_Descendants]])),Tasks[[#This Row],[_LeafTotalSlack]]))</f>
        <v/>
      </c>
      <c r="AA7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8" s="28" t="str">
        <f aca="false">IF(Tasks[[#This Row],[Task Name]]="","",IF(IF(Tasks[[#This Row],[_IsSummary]],COUNTIF(INDEX(Tasks[_LeafCritical],Tasks[[#This Row],[_Row]]+1):INDEX(Tasks[_LeafCritical],Tasks[[#This Row],[_Row]]+Tasks[[#This Row],[_Descendants]]),TRUE())&gt;0,Tasks[[#This Row],[_LeafCritical]]),"Yes",""))</f>
        <v/>
      </c>
      <c r="AC7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8" s="24" t="str">
        <f aca="false">IF(Tasks[[#This Row],[Task Name]]="","",TRIM(IF(Tasks[[#This Row],[_Pred1Problem]]&lt;&gt;"","Pred 1: "&amp;Tasks[[#This Row],[_Pred1Problem]]&amp;". ","")&amp;IF(Tasks[[#This Row],[_Pred2Problem]]&lt;&gt;"","Pred 2: "&amp;Tasks[[#This Row],[_Pred2Problem]]&amp;".","")))</f>
        <v/>
      </c>
      <c r="AE78" s="88"/>
      <c r="AF78"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8" s="28" t="str">
        <f aca="false">IF(Tasks[[#This Row],[Task Name]]="","",IF(Tasks[[#This Row],[Progress]]&gt;=1,"Complete",IF(OR(N(Tasks[[#This Row],[Actual Start]])&gt;0,Tasks[[#This Row],[Progress]]&gt;0),IF(Tasks[[#This Row],[Finish Var]]&gt;0,"Behind","In Progress"),IF(Tasks[[#This Row],[Planned Start]]&lt;StatusDate,"Late Start","Not Started"))))</f>
        <v/>
      </c>
      <c r="AH78" s="30"/>
      <c r="AI78" s="88"/>
      <c r="AJ78" s="95" t="str">
        <f aca="false">IF(Tasks[[#This Row],[Task Name]]="","",IF(Tasks[[#This Row],[_IsSummary]],SUM(INDEX(Tasks[_LeafWork],Tasks[[#This Row],[_Row]]+1):INDEX(Tasks[_LeafWork],Tasks[[#This Row],[_Row]]+Tasks[[#This Row],[_Descendants]])),Tasks[[#This Row],[_LeafWork]]))</f>
        <v/>
      </c>
      <c r="AK78" s="96" t="str">
        <f aca="false">IF(Tasks[[#This Row],[Task Name]]="","",IF(Tasks[[#This Row],[_IsSummary]],SUM(INDEX(Tasks[_LeafCost],Tasks[[#This Row],[_Row]]+1):INDEX(Tasks[_LeafCost],Tasks[[#This Row],[_Row]]+Tasks[[#This Row],[_Descendants]])),Tasks[[#This Row],[_LeafCost]]))</f>
        <v/>
      </c>
      <c r="AL78" s="97"/>
      <c r="AM78" s="29"/>
      <c r="AN7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78" s="82"/>
      <c r="AP78" s="24" t="str">
        <f aca="false">IF(Tasks[[#This Row],[Task Name]]="","",Tasks[[#This Row],[_Pred1IDText]]&amp;IF(AND(Tasks[[#This Row],[_Pred1IDText]]&lt;&gt;"",Tasks[[#This Row],[_Pred2IDText]]&lt;&gt;""),",","")&amp;Tasks[[#This Row],[_Pred2IDText]])</f>
        <v/>
      </c>
      <c r="AQ78" s="30"/>
      <c r="AR78" s="25" t="str">
        <f aca="false">IF(Tasks[[#This Row],[Task Name]]="","",Tasks[[#This Row],[Forecast Start]])</f>
        <v/>
      </c>
      <c r="AS78" s="25" t="str">
        <f aca="false">IF(Tasks[[#This Row],[Task Name]]="","",Tasks[[#This Row],[Forecast Finish]])</f>
        <v/>
      </c>
      <c r="AT78" s="28" t="str">
        <f aca="false">IF(Tasks[[#This Row],[Task Name]]="","",IF(Tasks[[#This Row],[_IsSummary]],NETWORKDAYS.INTL(Tasks[[#This Row],[Forecast Start]],Tasks[[#This Row],[Forecast Finish]],WorkWeek,Holidays),N(Tasks[[#This Row],[Duration]])))</f>
        <v/>
      </c>
      <c r="AU78" s="95" t="str">
        <f aca="false">IF(Tasks[[#This Row],[Task Name]]="","",Tasks[[#This Row],[Work]])</f>
        <v/>
      </c>
      <c r="AV78" s="96" t="str">
        <f aca="false">IF(Tasks[[#This Row],[Task Name]]="","",Tasks[[#This Row],[Cost]])</f>
        <v/>
      </c>
      <c r="AW78" s="73"/>
      <c r="AX78" s="73"/>
      <c r="AY78" s="29"/>
      <c r="AZ78" s="98"/>
      <c r="BA78" s="97"/>
      <c r="BB78" s="28" t="str">
        <f aca="false">IF(OR(Tasks[[#This Row],[Task Name]]="",Tasks[[#This Row],[Baseline Duration]]=""),"",Tasks[[#This Row],[BL Source Duration]]-N(Tasks[[#This Row],[Baseline Duration]]))</f>
        <v/>
      </c>
      <c r="BC78" s="95" t="str">
        <f aca="false">IF(OR(Tasks[[#This Row],[Task Name]]="",Tasks[[#This Row],[Baseline Work]]=""),"",Tasks[[#This Row],[Work]]-N(Tasks[[#This Row],[Baseline Work]]))</f>
        <v/>
      </c>
      <c r="BD78" s="96" t="str">
        <f aca="false">IF(OR(Tasks[[#This Row],[Task Name]]="",Tasks[[#This Row],[Baseline Cost]]=""),"",Tasks[[#This Row],[Cost]]-N(Tasks[[#This Row],[Baseline Cost]]))</f>
        <v/>
      </c>
      <c r="BE78" s="96" t="str">
        <f aca="false">IF(Tasks[[#This Row],[Task Name]]="","",IF(Tasks[[#This Row],[_IsSummary]],SUM(INDEX(Tasks[_LeafBudget],Tasks[[#This Row],[_Row]]+1):INDEX(Tasks[_LeafBudget],Tasks[[#This Row],[_Row]]+Tasks[[#This Row],[_Descendants]])),Tasks[[#This Row],[_LeafBudget]]))</f>
        <v/>
      </c>
      <c r="BF78" s="96" t="str">
        <f aca="false">IF(Tasks[[#This Row],[Task Name]]="","",IF(Tasks[[#This Row],[_IsSummary]],SUM(INDEX(Tasks[_LeafPV],Tasks[[#This Row],[_Row]]+1):INDEX(Tasks[_LeafPV],Tasks[[#This Row],[_Row]]+Tasks[[#This Row],[_Descendants]])),Tasks[[#This Row],[_LeafPV]]))</f>
        <v/>
      </c>
      <c r="BG78" s="96" t="str">
        <f aca="false">IF(Tasks[[#This Row],[Task Name]]="","",IF(Tasks[[#This Row],[_IsSummary]],SUM(INDEX(Tasks[_LeafEV],Tasks[[#This Row],[_Row]]+1):INDEX(Tasks[_LeafEV],Tasks[[#This Row],[_Row]]+Tasks[[#This Row],[_Descendants]])),Tasks[[#This Row],[_LeafEV]]))</f>
        <v/>
      </c>
      <c r="BH78" s="96" t="str">
        <f aca="false">IF(Tasks[[#This Row],[Task Name]]="","",IF(Tasks[[#This Row],[_IsSummary]],SUM(INDEX(Tasks[_LeafAC],Tasks[[#This Row],[_Row]]+1):INDEX(Tasks[_LeafAC],Tasks[[#This Row],[_Row]]+Tasks[[#This Row],[_Descendants]])),Tasks[[#This Row],[_LeafAC]]))</f>
        <v/>
      </c>
      <c r="BI78" s="41" t="str">
        <f aca="false">IF(Tasks[[#This Row],[Task Name]]="","",MAX(1,N(Tasks[[#This Row],[Level]])))</f>
        <v/>
      </c>
      <c r="BJ78" s="41" t="n">
        <f aca="false">ROW()-ROW(Tasks[[#Headers],[ID]])</f>
        <v>73</v>
      </c>
      <c r="BK78" s="41" t="n">
        <f aca="false">IF(OR(Tasks[[#This Row],[Task Name]]="",Tasks[[#This Row],[_Level]]&lt;=1),0,IFERROR(LOOKUP(2,1/(Tasks[[#Headers],[_Level]]:Tasks[[#This Row],[_Level]]=Tasks[[#This Row],[_Level]]-1),ROW(Tasks[[#Headers],[_Level]]:Tasks[[#This Row],[_Level]])),0))</f>
        <v>0</v>
      </c>
      <c r="BL78" s="41" t="n">
        <f aca="false">IFERROR(N(INDEX(Tasks[_Level],Tasks[[#This Row],[_Row]]+1)),0)</f>
        <v>0</v>
      </c>
      <c r="BM78" s="99" t="b">
        <f aca="false">AND(Tasks[[#This Row],[Task Name]]&lt;&gt;"",Tasks[[#This Row],[_NextLevel]]&gt;Tasks[[#This Row],[_Level]])</f>
        <v>0</v>
      </c>
      <c r="BN78" s="41" t="n">
        <f aca="false">IF(Tasks[[#This Row],[_IsSummary]],COUNTIF(Tasks[WBS],Tasks[[#This Row],[WBS]]&amp;".*"),0)</f>
        <v>0</v>
      </c>
      <c r="BO78" s="41" t="n">
        <f aca="false">IF(AND(Tasks[[#This Row],[Task Name]]&lt;&gt;"",NOT(Tasks[[#This Row],[_IsSummary]])),1,0)</f>
        <v>0</v>
      </c>
      <c r="BP78" s="41" t="n">
        <f aca="false">IF(N(Tasks[[#This Row],[Pred1 UID]])=0,0,IFERROR(MATCH(Tasks[[#This Row],[Pred1 UID]],Tasks[UID],0),-1))</f>
        <v>0</v>
      </c>
      <c r="BQ78" s="41" t="n">
        <f aca="false">IF(N(Tasks[[#This Row],[Pred2 UID]])=0,0,IFERROR(MATCH(Tasks[[#This Row],[Pred2 UID]],Tasks[UID],0),-1))</f>
        <v>0</v>
      </c>
      <c r="BR78"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78" s="100" t="str">
        <f aca="false">IF(NOT(Tasks[[#This Row],[_IsLeaf]]=1),"",IF(N(Tasks[[#This Row],[Duration]])&lt;=0,Tasks[[#This Row],[_LeafCalcStart]],WORKDAY.INTL(Tasks[[#This Row],[_LeafCalcStart]],Tasks[[#This Row],[Duration]]-1,WorkWeek,Holidays)))</f>
        <v/>
      </c>
      <c r="BT78"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78"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78" s="41" t="n">
        <f aca="false">IF(NOT(Tasks[[#This Row],[_IsLeaf]]=1),0,IF(N(Tasks[[#This Row],[Actual Finish]])&gt;0,1,MIN(1,N(Tasks[[#This Row],[% Complete]]))))</f>
        <v>0</v>
      </c>
      <c r="BW78" s="41" t="n">
        <f aca="false">IF(OR(NOT(Tasks[[#This Row],[_IsLeaf]]=1),Tasks[[#This Row],[Resource]]=""),0,N(Tasks[[#This Row],[Duration]])*HoursPerDay*IF(Tasks[[#This Row],[Units]]="",DefaultUnits,Tasks[[#This Row],[Units]]))</f>
        <v>0</v>
      </c>
      <c r="BX78" s="41" t="n">
        <f aca="false">IF(Tasks[[#This Row],[_LeafWork]]=0,0,Tasks[[#This Row],[_LeafWork]]*IFERROR(INDEX(res_Rate,MATCH(Tasks[[#This Row],[Resource]],res_Name,0)),0))</f>
        <v>0</v>
      </c>
      <c r="BY7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7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7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7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78" s="41" t="n">
        <f aca="false">IF(NOT(Tasks[[#This Row],[_IsLeaf]]=1),0,MAX(_xlfn.MAXIFS(Tasks[_Row],Tasks[Pred1 UID],Tasks[[#This Row],[UID]]),_xlfn.MAXIFS(Tasks[_Row],Tasks[Pred2 UID],Tasks[[#This Row],[UID]])))</f>
        <v>0</v>
      </c>
      <c r="CD78"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78" s="100" t="str">
        <f aca="false">IF(NOT(Tasks[[#This Row],[_IsLeaf]]=1),"",MIN(ProjectFinish,IF(N(Tasks[[#This Row],[Deadline]])&gt;0,Tasks[[#This Row],[Deadline]],2958465),Tasks[[#This Row],[_SuccessorFinishLimit]]))</f>
        <v/>
      </c>
      <c r="CF78" s="100" t="str">
        <f aca="false">IF(NOT(Tasks[[#This Row],[_IsLeaf]]=1),"",IF(N(Tasks[[#This Row],[Duration]])&lt;=0,Tasks[[#This Row],[_LeafLateFinish]],WORKDAY.INTL(Tasks[[#This Row],[_LeafLateFinish]],-(Tasks[[#This Row],[Duration]]-1),WorkWeek,Holidays)))</f>
        <v/>
      </c>
      <c r="CG7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78" s="99" t="b">
        <f aca="false">AND(Tasks[[#This Row],[_IsLeaf]]=1,Tasks[[#This Row],[_LeafProgress]]&lt;1,N(Tasks[[#This Row],[_LeafTotalSlack]])&lt;=CriticalSlackDays)</f>
        <v>0</v>
      </c>
      <c r="CI78" s="100" t="str">
        <f aca="false">IF(Tasks[[#This Row],[Task Name]]="","",IF(Tasks[[#This Row],[_IsSummary]],MIN(INDEX(Tasks[_LeafCalcStart],Tasks[[#This Row],[_Row]]+1):INDEX(Tasks[_LeafCalcStart],Tasks[[#This Row],[_Row]]+Tasks[[#This Row],[_Descendants]])),Tasks[[#This Row],[_LeafCalcStart]]))</f>
        <v/>
      </c>
      <c r="CJ78" s="100" t="str">
        <f aca="false">IF(Tasks[[#This Row],[Task Name]]="","",IF(Tasks[[#This Row],[_IsSummary]],MAX(INDEX(Tasks[_LeafCalcFinish],Tasks[[#This Row],[_Row]]+1):INDEX(Tasks[_LeafCalcFinish],Tasks[[#This Row],[_Row]]+Tasks[[#This Row],[_Descendants]])),Tasks[[#This Row],[_LeafCalcFinish]]))</f>
        <v/>
      </c>
      <c r="CK7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7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78"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78"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78"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78"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78" s="41" t="n">
        <f aca="false">IF(AND(Tasks[[#This Row],[_IsLeaf]]=1,Tasks[[#This Row],[_LeafWork]]&gt;0),NETWORKDAYS.INTL(ProjectStart,Tasks[[#This Row],[_LeafFcstStart]],WorkWeek,Holidays),0)</f>
        <v>0</v>
      </c>
      <c r="CR78" s="41" t="n">
        <f aca="false">IF(AND(Tasks[[#This Row],[_IsLeaf]]=1,Tasks[[#This Row],[_LeafWork]]&gt;0),MAX(Tasks[[#This Row],[_StartWorkday]],NETWORKDAYS.INTL(ProjectStart,Tasks[[#This Row],[_LeafFcstFinish]],WorkWeek,Holidays)),0)</f>
        <v>0</v>
      </c>
      <c r="CS78" s="41" t="n">
        <f aca="false">IF(AND(Tasks[[#This Row],[_IsLeaf]]=1,Tasks[[#This Row],[_LeafWork]]&gt;0),Tasks[[#This Row],[_LeafWork]]/(Tasks[[#This Row],[_FinishWorkday]]-Tasks[[#This Row],[_StartWorkday]]+1),0)</f>
        <v>0</v>
      </c>
      <c r="CT78" s="41" t="n">
        <f aca="false">Tasks[[#This Row],[_WorkPerWorkday]]*(Tasks[[#This Row],[_StartWorkday]]-1)</f>
        <v>-0</v>
      </c>
      <c r="CU78" s="41" t="n">
        <f aca="false">IF(Tasks[[#This Row],[_IsLeaf]]=1,MAX(N(Tasks[[#This Row],[Duration]]),0.1),0)</f>
        <v>0</v>
      </c>
      <c r="CV78" s="41" t="n">
        <f aca="false">Tasks[[#This Row],[_WeightDur]]*Tasks[[#This Row],[_LeafProgress]]</f>
        <v>0</v>
      </c>
      <c r="CW7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7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7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7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78" s="41" t="str">
        <f aca="false">IF(Tasks[[#This Row],[Task Name]]="","",Tasks[[#This Row],[_Pred1UIDText]]&amp;IF(AND(Tasks[[#This Row],[_Pred1UIDText]]&lt;&gt;"",Tasks[[#This Row],[_Pred2UIDText]]&lt;&gt;""),",","")&amp;Tasks[[#This Row],[_Pred2UIDText]])</f>
        <v/>
      </c>
      <c r="DB78" s="41" t="str">
        <f aca="false">IF(AND(Tasks[[#This Row],[_IsLeaf]]=1,N(Tasks[[#This Row],[Duration]])=0,Tasks[[#This Row],[_LeafProgress]]&lt;1),Tasks[[#This Row],[_LeafFcstFinish]]+Tasks[[#This Row],[_Row]]/100000,"")</f>
        <v/>
      </c>
      <c r="DC7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78" s="41" t="n">
        <f aca="false">IF(NOT(Tasks[[#This Row],[_IsLeaf]]=1),0,IF(Tasks[[#This Row],[Baseline Cost]]="",Tasks[[#This Row],[_LeafCost]],N(Tasks[[#This Row],[Baseline Cost]])))</f>
        <v>0</v>
      </c>
      <c r="DE78" s="41" t="n">
        <f aca="false">Tasks[[#This Row],[_LeafBudget]]*Tasks[[#This Row],[_PlannedPct]]</f>
        <v>0</v>
      </c>
      <c r="DF78" s="41" t="n">
        <f aca="false">Tasks[[#This Row],[_LeafBudget]]*Tasks[[#This Row],[_LeafProgress]]</f>
        <v>0</v>
      </c>
      <c r="DG78" s="41" t="n">
        <f aca="false">IF(NOT(Tasks[[#This Row],[_IsLeaf]]=1),0,IF(Tasks[[#This Row],[Actual Cost]]="",Tasks[[#This Row],[_LeafCost]]*Tasks[[#This Row],[_LeafProgress]],N(Tasks[[#This Row],[Actual Cost]])))</f>
        <v>0</v>
      </c>
      <c r="DH78" s="41" t="str">
        <f aca="false">IF(Tasks[[#This Row],[Task Name]]="","",LEFT(Tasks[[#This Row],[WBS]],FIND(".",Tasks[[#This Row],[WBS]]&amp;".")-1))</f>
        <v/>
      </c>
      <c r="DI78" s="41" t="str">
        <f aca="false">IF(AND(Tasks[[#This Row],[Task Name]]&lt;&gt;"",Tasks[[#This Row],[_Level]]=1),Tasks[[#This Row],[_Row]],"")</f>
        <v/>
      </c>
      <c r="DJ78" s="41" t="str">
        <f aca="false">IF(AND(Tasks[[#This Row],[_IsLeaf]]=1,N(Tasks[[#This Row],[Duration]])=0),Tasks[[#This Row],[Planned Finish]]+Tasks[[#This Row],[_Row]]/100000,"")</f>
        <v/>
      </c>
      <c r="DK78" s="41" t="str">
        <f aca="false">IF(AND(Tasks[[#This Row],[_IsLeaf]]=1,Tasks[[#This Row],[_LeafProgress]]&lt;1,OR(N(Tasks[[#This Row],[Finish Var]])&gt;0,Tasks[[#This Row],[Status]]="Late Start")),MAX(0,Tasks[[#This Row],[Finish Var]])+1-Tasks[[#This Row],[_Row]]/1000000,"")</f>
        <v/>
      </c>
      <c r="DL78" s="41" t="str">
        <f aca="false">IF(AND(Tasks[[#This Row],[_IsLeaf]]=1,N(Tasks[[#This Row],[Actual Start]])=0,Tasks[[#This Row],[_LeafFcstStart]]&gt;=StatusDate,Tasks[[#This Row],[_LeafFcstStart]]&lt;=LookaheadEnd),Tasks[[#This Row],[_LeafFcstStart]]+Tasks[[#This Row],[_Row]]/100000,"")</f>
        <v/>
      </c>
      <c r="DM78" s="41" t="str">
        <f aca="false">IF(AND(Tasks[[#This Row],[_IsLeaf]]=1,Tasks[[#This Row],[_LeafProgress]]&lt;1,Tasks[[#This Row],[_LeafFcstFinish]]&gt;=StatusDate,Tasks[[#This Row],[_LeafFcstFinish]]&lt;=LookaheadEnd),Tasks[[#This Row],[_LeafFcstFinish]]+Tasks[[#This Row],[_Row]]/100000,"")</f>
        <v/>
      </c>
      <c r="DN78" s="41" t="str">
        <f aca="false">IF(Tasks[[#This Row],[_LeafCritical]],Tasks[[#This Row],[_LeafFcstStart]]+Tasks[[#This Row],[_Row]]/100000,"")</f>
        <v/>
      </c>
      <c r="DO78" s="41" t="n">
        <f aca="false">Tasks[[#This Row],[_LeafWork]]*Tasks[[#This Row],[_LeafProgress]]</f>
        <v>0</v>
      </c>
      <c r="DP78" s="100" t="str">
        <f aca="false">IF(AND(Tasks[[#This Row],[_IsLeaf]]=1,Tasks[[#This Row],[_LeafProgress]]&gt;=1),IF(N(Tasks[[#This Row],[Actual Finish]])&gt;0,Tasks[[#This Row],[Actual Finish]],Tasks[[#This Row],[_LeafFcstFinish]]),"")</f>
        <v/>
      </c>
      <c r="DQ78" s="41" t="n">
        <f aca="false">IF(Tasks[[#This Row],[_IsLeaf]]=1,N(Tasks[[#This Row],[Story Points]]),0)</f>
        <v>0</v>
      </c>
      <c r="DR78" s="41" t="str">
        <f aca="false">IF(AND(Tasks[[#This Row],[_IsLeaf]]=1,CurrentSprint&lt;&gt;"",Tasks[[#This Row],[Sprint]]=CurrentSprint),Tasks[[#This Row],[_Row]],"")</f>
        <v/>
      </c>
    </row>
    <row r="79" customFormat="false" ht="15" hidden="false" customHeight="false" outlineLevel="0" collapsed="false">
      <c r="A79" s="28" t="str">
        <f aca="false">IF(Tasks[[#This Row],[Task Name]]="","",COUNTA(Tasks[[#Headers],[Task Name]]:Tasks[[#This Row],[Task Name]])-1)</f>
        <v/>
      </c>
      <c r="B79" s="29" t="n">
        <v>74</v>
      </c>
      <c r="C7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9" s="29"/>
      <c r="E79" s="30"/>
      <c r="F79" s="29"/>
      <c r="G79" s="29"/>
      <c r="H79" s="29"/>
      <c r="I79" s="29"/>
      <c r="J79" s="29"/>
      <c r="K79" s="29"/>
      <c r="L79" s="29"/>
      <c r="M79" s="29"/>
      <c r="N79" s="73"/>
      <c r="O79" s="73"/>
      <c r="P79" s="25" t="str">
        <f aca="false">IF(Tasks[[#This Row],[Task Name]]="","",IF(N(Tasks[[#This Row],[Baseline Start]])&gt;0,Tasks[[#This Row],[Baseline Start]],Tasks[[#This Row],[_CalcStart]]))</f>
        <v/>
      </c>
      <c r="Q79" s="25" t="str">
        <f aca="false">IF(Tasks[[#This Row],[Task Name]]="","",IF(N(Tasks[[#This Row],[Baseline Finish]])&gt;0,Tasks[[#This Row],[Baseline Finish]],Tasks[[#This Row],[_CalcFinish]]))</f>
        <v/>
      </c>
      <c r="R79" s="73"/>
      <c r="S79" s="73"/>
      <c r="T79" s="25" t="str">
        <f aca="false">IF(Tasks[[#This Row],[Task Name]]="","",IF(Tasks[[#This Row],[_IsSummary]],MIN(INDEX(Tasks[_LeafFcstStart],Tasks[[#This Row],[_Row]]+1):INDEX(Tasks[_LeafFcstStart],Tasks[[#This Row],[_Row]]+Tasks[[#This Row],[_Descendants]])),Tasks[[#This Row],[_LeafFcstStart]]))</f>
        <v/>
      </c>
      <c r="U79" s="25" t="str">
        <f aca="false">IF(Tasks[[#This Row],[Task Name]]="","",IF(Tasks[[#This Row],[_IsSummary]],MAX(INDEX(Tasks[_LeafFcstFinish],Tasks[[#This Row],[_Row]]+1):INDEX(Tasks[_LeafFcstFinish],Tasks[[#This Row],[_Row]]+Tasks[[#This Row],[_Descendants]])),Tasks[[#This Row],[_LeafFcstFinish]]))</f>
        <v/>
      </c>
      <c r="V7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7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9" s="25" t="str">
        <f aca="false">IF(Tasks[[#This Row],[Task Name]]="","",IF(Tasks[[#This Row],[_IsSummary]],MIN(INDEX(Tasks[_LeafLateStart],Tasks[[#This Row],[_Row]]+1):INDEX(Tasks[_LeafLateStart],Tasks[[#This Row],[_Row]]+Tasks[[#This Row],[_Descendants]])),Tasks[[#This Row],[_LeafLateStart]]))</f>
        <v/>
      </c>
      <c r="Y79" s="25" t="str">
        <f aca="false">IF(Tasks[[#This Row],[Task Name]]="","",IF(Tasks[[#This Row],[_IsSummary]],MAX(INDEX(Tasks[_LeafLateFinish],Tasks[[#This Row],[_Row]]+1):INDEX(Tasks[_LeafLateFinish],Tasks[[#This Row],[_Row]]+Tasks[[#This Row],[_Descendants]])),Tasks[[#This Row],[_LeafLateFinish]]))</f>
        <v/>
      </c>
      <c r="Z79" s="43" t="str">
        <f aca="false">IF(Tasks[[#This Row],[Task Name]]="","",IF(Tasks[[#This Row],[_IsSummary]],MIN(INDEX(Tasks[_LeafTotalSlack],Tasks[[#This Row],[_Row]]+1):INDEX(Tasks[_LeafTotalSlack],Tasks[[#This Row],[_Row]]+Tasks[[#This Row],[_Descendants]])),Tasks[[#This Row],[_LeafTotalSlack]]))</f>
        <v/>
      </c>
      <c r="AA7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9" s="28" t="str">
        <f aca="false">IF(Tasks[[#This Row],[Task Name]]="","",IF(IF(Tasks[[#This Row],[_IsSummary]],COUNTIF(INDEX(Tasks[_LeafCritical],Tasks[[#This Row],[_Row]]+1):INDEX(Tasks[_LeafCritical],Tasks[[#This Row],[_Row]]+Tasks[[#This Row],[_Descendants]]),TRUE())&gt;0,Tasks[[#This Row],[_LeafCritical]]),"Yes",""))</f>
        <v/>
      </c>
      <c r="AC7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9" s="24" t="str">
        <f aca="false">IF(Tasks[[#This Row],[Task Name]]="","",TRIM(IF(Tasks[[#This Row],[_Pred1Problem]]&lt;&gt;"","Pred 1: "&amp;Tasks[[#This Row],[_Pred1Problem]]&amp;". ","")&amp;IF(Tasks[[#This Row],[_Pred2Problem]]&lt;&gt;"","Pred 2: "&amp;Tasks[[#This Row],[_Pred2Problem]]&amp;".","")))</f>
        <v/>
      </c>
      <c r="AE79" s="88"/>
      <c r="AF79"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9" s="28" t="str">
        <f aca="false">IF(Tasks[[#This Row],[Task Name]]="","",IF(Tasks[[#This Row],[Progress]]&gt;=1,"Complete",IF(OR(N(Tasks[[#This Row],[Actual Start]])&gt;0,Tasks[[#This Row],[Progress]]&gt;0),IF(Tasks[[#This Row],[Finish Var]]&gt;0,"Behind","In Progress"),IF(Tasks[[#This Row],[Planned Start]]&lt;StatusDate,"Late Start","Not Started"))))</f>
        <v/>
      </c>
      <c r="AH79" s="30"/>
      <c r="AI79" s="88"/>
      <c r="AJ79" s="95" t="str">
        <f aca="false">IF(Tasks[[#This Row],[Task Name]]="","",IF(Tasks[[#This Row],[_IsSummary]],SUM(INDEX(Tasks[_LeafWork],Tasks[[#This Row],[_Row]]+1):INDEX(Tasks[_LeafWork],Tasks[[#This Row],[_Row]]+Tasks[[#This Row],[_Descendants]])),Tasks[[#This Row],[_LeafWork]]))</f>
        <v/>
      </c>
      <c r="AK79" s="96" t="str">
        <f aca="false">IF(Tasks[[#This Row],[Task Name]]="","",IF(Tasks[[#This Row],[_IsSummary]],SUM(INDEX(Tasks[_LeafCost],Tasks[[#This Row],[_Row]]+1):INDEX(Tasks[_LeafCost],Tasks[[#This Row],[_Row]]+Tasks[[#This Row],[_Descendants]])),Tasks[[#This Row],[_LeafCost]]))</f>
        <v/>
      </c>
      <c r="AL79" s="97"/>
      <c r="AM79" s="29"/>
      <c r="AN7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79" s="82"/>
      <c r="AP79" s="24" t="str">
        <f aca="false">IF(Tasks[[#This Row],[Task Name]]="","",Tasks[[#This Row],[_Pred1IDText]]&amp;IF(AND(Tasks[[#This Row],[_Pred1IDText]]&lt;&gt;"",Tasks[[#This Row],[_Pred2IDText]]&lt;&gt;""),",","")&amp;Tasks[[#This Row],[_Pred2IDText]])</f>
        <v/>
      </c>
      <c r="AQ79" s="30"/>
      <c r="AR79" s="25" t="str">
        <f aca="false">IF(Tasks[[#This Row],[Task Name]]="","",Tasks[[#This Row],[Forecast Start]])</f>
        <v/>
      </c>
      <c r="AS79" s="25" t="str">
        <f aca="false">IF(Tasks[[#This Row],[Task Name]]="","",Tasks[[#This Row],[Forecast Finish]])</f>
        <v/>
      </c>
      <c r="AT79" s="28" t="str">
        <f aca="false">IF(Tasks[[#This Row],[Task Name]]="","",IF(Tasks[[#This Row],[_IsSummary]],NETWORKDAYS.INTL(Tasks[[#This Row],[Forecast Start]],Tasks[[#This Row],[Forecast Finish]],WorkWeek,Holidays),N(Tasks[[#This Row],[Duration]])))</f>
        <v/>
      </c>
      <c r="AU79" s="95" t="str">
        <f aca="false">IF(Tasks[[#This Row],[Task Name]]="","",Tasks[[#This Row],[Work]])</f>
        <v/>
      </c>
      <c r="AV79" s="96" t="str">
        <f aca="false">IF(Tasks[[#This Row],[Task Name]]="","",Tasks[[#This Row],[Cost]])</f>
        <v/>
      </c>
      <c r="AW79" s="73"/>
      <c r="AX79" s="73"/>
      <c r="AY79" s="29"/>
      <c r="AZ79" s="98"/>
      <c r="BA79" s="97"/>
      <c r="BB79" s="28" t="str">
        <f aca="false">IF(OR(Tasks[[#This Row],[Task Name]]="",Tasks[[#This Row],[Baseline Duration]]=""),"",Tasks[[#This Row],[BL Source Duration]]-N(Tasks[[#This Row],[Baseline Duration]]))</f>
        <v/>
      </c>
      <c r="BC79" s="95" t="str">
        <f aca="false">IF(OR(Tasks[[#This Row],[Task Name]]="",Tasks[[#This Row],[Baseline Work]]=""),"",Tasks[[#This Row],[Work]]-N(Tasks[[#This Row],[Baseline Work]]))</f>
        <v/>
      </c>
      <c r="BD79" s="96" t="str">
        <f aca="false">IF(OR(Tasks[[#This Row],[Task Name]]="",Tasks[[#This Row],[Baseline Cost]]=""),"",Tasks[[#This Row],[Cost]]-N(Tasks[[#This Row],[Baseline Cost]]))</f>
        <v/>
      </c>
      <c r="BE79" s="96" t="str">
        <f aca="false">IF(Tasks[[#This Row],[Task Name]]="","",IF(Tasks[[#This Row],[_IsSummary]],SUM(INDEX(Tasks[_LeafBudget],Tasks[[#This Row],[_Row]]+1):INDEX(Tasks[_LeafBudget],Tasks[[#This Row],[_Row]]+Tasks[[#This Row],[_Descendants]])),Tasks[[#This Row],[_LeafBudget]]))</f>
        <v/>
      </c>
      <c r="BF79" s="96" t="str">
        <f aca="false">IF(Tasks[[#This Row],[Task Name]]="","",IF(Tasks[[#This Row],[_IsSummary]],SUM(INDEX(Tasks[_LeafPV],Tasks[[#This Row],[_Row]]+1):INDEX(Tasks[_LeafPV],Tasks[[#This Row],[_Row]]+Tasks[[#This Row],[_Descendants]])),Tasks[[#This Row],[_LeafPV]]))</f>
        <v/>
      </c>
      <c r="BG79" s="96" t="str">
        <f aca="false">IF(Tasks[[#This Row],[Task Name]]="","",IF(Tasks[[#This Row],[_IsSummary]],SUM(INDEX(Tasks[_LeafEV],Tasks[[#This Row],[_Row]]+1):INDEX(Tasks[_LeafEV],Tasks[[#This Row],[_Row]]+Tasks[[#This Row],[_Descendants]])),Tasks[[#This Row],[_LeafEV]]))</f>
        <v/>
      </c>
      <c r="BH79" s="96" t="str">
        <f aca="false">IF(Tasks[[#This Row],[Task Name]]="","",IF(Tasks[[#This Row],[_IsSummary]],SUM(INDEX(Tasks[_LeafAC],Tasks[[#This Row],[_Row]]+1):INDEX(Tasks[_LeafAC],Tasks[[#This Row],[_Row]]+Tasks[[#This Row],[_Descendants]])),Tasks[[#This Row],[_LeafAC]]))</f>
        <v/>
      </c>
      <c r="BI79" s="41" t="str">
        <f aca="false">IF(Tasks[[#This Row],[Task Name]]="","",MAX(1,N(Tasks[[#This Row],[Level]])))</f>
        <v/>
      </c>
      <c r="BJ79" s="41" t="n">
        <f aca="false">ROW()-ROW(Tasks[[#Headers],[ID]])</f>
        <v>74</v>
      </c>
      <c r="BK79" s="41" t="n">
        <f aca="false">IF(OR(Tasks[[#This Row],[Task Name]]="",Tasks[[#This Row],[_Level]]&lt;=1),0,IFERROR(LOOKUP(2,1/(Tasks[[#Headers],[_Level]]:Tasks[[#This Row],[_Level]]=Tasks[[#This Row],[_Level]]-1),ROW(Tasks[[#Headers],[_Level]]:Tasks[[#This Row],[_Level]])),0))</f>
        <v>0</v>
      </c>
      <c r="BL79" s="41" t="n">
        <f aca="false">IFERROR(N(INDEX(Tasks[_Level],Tasks[[#This Row],[_Row]]+1)),0)</f>
        <v>0</v>
      </c>
      <c r="BM79" s="99" t="b">
        <f aca="false">AND(Tasks[[#This Row],[Task Name]]&lt;&gt;"",Tasks[[#This Row],[_NextLevel]]&gt;Tasks[[#This Row],[_Level]])</f>
        <v>0</v>
      </c>
      <c r="BN79" s="41" t="n">
        <f aca="false">IF(Tasks[[#This Row],[_IsSummary]],COUNTIF(Tasks[WBS],Tasks[[#This Row],[WBS]]&amp;".*"),0)</f>
        <v>0</v>
      </c>
      <c r="BO79" s="41" t="n">
        <f aca="false">IF(AND(Tasks[[#This Row],[Task Name]]&lt;&gt;"",NOT(Tasks[[#This Row],[_IsSummary]])),1,0)</f>
        <v>0</v>
      </c>
      <c r="BP79" s="41" t="n">
        <f aca="false">IF(N(Tasks[[#This Row],[Pred1 UID]])=0,0,IFERROR(MATCH(Tasks[[#This Row],[Pred1 UID]],Tasks[UID],0),-1))</f>
        <v>0</v>
      </c>
      <c r="BQ79" s="41" t="n">
        <f aca="false">IF(N(Tasks[[#This Row],[Pred2 UID]])=0,0,IFERROR(MATCH(Tasks[[#This Row],[Pred2 UID]],Tasks[UID],0),-1))</f>
        <v>0</v>
      </c>
      <c r="BR79"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79" s="100" t="str">
        <f aca="false">IF(NOT(Tasks[[#This Row],[_IsLeaf]]=1),"",IF(N(Tasks[[#This Row],[Duration]])&lt;=0,Tasks[[#This Row],[_LeafCalcStart]],WORKDAY.INTL(Tasks[[#This Row],[_LeafCalcStart]],Tasks[[#This Row],[Duration]]-1,WorkWeek,Holidays)))</f>
        <v/>
      </c>
      <c r="BT79"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79"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79" s="41" t="n">
        <f aca="false">IF(NOT(Tasks[[#This Row],[_IsLeaf]]=1),0,IF(N(Tasks[[#This Row],[Actual Finish]])&gt;0,1,MIN(1,N(Tasks[[#This Row],[% Complete]]))))</f>
        <v>0</v>
      </c>
      <c r="BW79" s="41" t="n">
        <f aca="false">IF(OR(NOT(Tasks[[#This Row],[_IsLeaf]]=1),Tasks[[#This Row],[Resource]]=""),0,N(Tasks[[#This Row],[Duration]])*HoursPerDay*IF(Tasks[[#This Row],[Units]]="",DefaultUnits,Tasks[[#This Row],[Units]]))</f>
        <v>0</v>
      </c>
      <c r="BX79" s="41" t="n">
        <f aca="false">IF(Tasks[[#This Row],[_LeafWork]]=0,0,Tasks[[#This Row],[_LeafWork]]*IFERROR(INDEX(res_Rate,MATCH(Tasks[[#This Row],[Resource]],res_Name,0)),0))</f>
        <v>0</v>
      </c>
      <c r="BY7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7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7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7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79" s="41" t="n">
        <f aca="false">IF(NOT(Tasks[[#This Row],[_IsLeaf]]=1),0,MAX(_xlfn.MAXIFS(Tasks[_Row],Tasks[Pred1 UID],Tasks[[#This Row],[UID]]),_xlfn.MAXIFS(Tasks[_Row],Tasks[Pred2 UID],Tasks[[#This Row],[UID]])))</f>
        <v>0</v>
      </c>
      <c r="CD79"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79" s="100" t="str">
        <f aca="false">IF(NOT(Tasks[[#This Row],[_IsLeaf]]=1),"",MIN(ProjectFinish,IF(N(Tasks[[#This Row],[Deadline]])&gt;0,Tasks[[#This Row],[Deadline]],2958465),Tasks[[#This Row],[_SuccessorFinishLimit]]))</f>
        <v/>
      </c>
      <c r="CF79" s="100" t="str">
        <f aca="false">IF(NOT(Tasks[[#This Row],[_IsLeaf]]=1),"",IF(N(Tasks[[#This Row],[Duration]])&lt;=0,Tasks[[#This Row],[_LeafLateFinish]],WORKDAY.INTL(Tasks[[#This Row],[_LeafLateFinish]],-(Tasks[[#This Row],[Duration]]-1),WorkWeek,Holidays)))</f>
        <v/>
      </c>
      <c r="CG7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79" s="99" t="b">
        <f aca="false">AND(Tasks[[#This Row],[_IsLeaf]]=1,Tasks[[#This Row],[_LeafProgress]]&lt;1,N(Tasks[[#This Row],[_LeafTotalSlack]])&lt;=CriticalSlackDays)</f>
        <v>0</v>
      </c>
      <c r="CI79" s="100" t="str">
        <f aca="false">IF(Tasks[[#This Row],[Task Name]]="","",IF(Tasks[[#This Row],[_IsSummary]],MIN(INDEX(Tasks[_LeafCalcStart],Tasks[[#This Row],[_Row]]+1):INDEX(Tasks[_LeafCalcStart],Tasks[[#This Row],[_Row]]+Tasks[[#This Row],[_Descendants]])),Tasks[[#This Row],[_LeafCalcStart]]))</f>
        <v/>
      </c>
      <c r="CJ79" s="100" t="str">
        <f aca="false">IF(Tasks[[#This Row],[Task Name]]="","",IF(Tasks[[#This Row],[_IsSummary]],MAX(INDEX(Tasks[_LeafCalcFinish],Tasks[[#This Row],[_Row]]+1):INDEX(Tasks[_LeafCalcFinish],Tasks[[#This Row],[_Row]]+Tasks[[#This Row],[_Descendants]])),Tasks[[#This Row],[_LeafCalcFinish]]))</f>
        <v/>
      </c>
      <c r="CK7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7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79"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79"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79"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79"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79" s="41" t="n">
        <f aca="false">IF(AND(Tasks[[#This Row],[_IsLeaf]]=1,Tasks[[#This Row],[_LeafWork]]&gt;0),NETWORKDAYS.INTL(ProjectStart,Tasks[[#This Row],[_LeafFcstStart]],WorkWeek,Holidays),0)</f>
        <v>0</v>
      </c>
      <c r="CR79" s="41" t="n">
        <f aca="false">IF(AND(Tasks[[#This Row],[_IsLeaf]]=1,Tasks[[#This Row],[_LeafWork]]&gt;0),MAX(Tasks[[#This Row],[_StartWorkday]],NETWORKDAYS.INTL(ProjectStart,Tasks[[#This Row],[_LeafFcstFinish]],WorkWeek,Holidays)),0)</f>
        <v>0</v>
      </c>
      <c r="CS79" s="41" t="n">
        <f aca="false">IF(AND(Tasks[[#This Row],[_IsLeaf]]=1,Tasks[[#This Row],[_LeafWork]]&gt;0),Tasks[[#This Row],[_LeafWork]]/(Tasks[[#This Row],[_FinishWorkday]]-Tasks[[#This Row],[_StartWorkday]]+1),0)</f>
        <v>0</v>
      </c>
      <c r="CT79" s="41" t="n">
        <f aca="false">Tasks[[#This Row],[_WorkPerWorkday]]*(Tasks[[#This Row],[_StartWorkday]]-1)</f>
        <v>-0</v>
      </c>
      <c r="CU79" s="41" t="n">
        <f aca="false">IF(Tasks[[#This Row],[_IsLeaf]]=1,MAX(N(Tasks[[#This Row],[Duration]]),0.1),0)</f>
        <v>0</v>
      </c>
      <c r="CV79" s="41" t="n">
        <f aca="false">Tasks[[#This Row],[_WeightDur]]*Tasks[[#This Row],[_LeafProgress]]</f>
        <v>0</v>
      </c>
      <c r="CW7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7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7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7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79" s="41" t="str">
        <f aca="false">IF(Tasks[[#This Row],[Task Name]]="","",Tasks[[#This Row],[_Pred1UIDText]]&amp;IF(AND(Tasks[[#This Row],[_Pred1UIDText]]&lt;&gt;"",Tasks[[#This Row],[_Pred2UIDText]]&lt;&gt;""),",","")&amp;Tasks[[#This Row],[_Pred2UIDText]])</f>
        <v/>
      </c>
      <c r="DB79" s="41" t="str">
        <f aca="false">IF(AND(Tasks[[#This Row],[_IsLeaf]]=1,N(Tasks[[#This Row],[Duration]])=0,Tasks[[#This Row],[_LeafProgress]]&lt;1),Tasks[[#This Row],[_LeafFcstFinish]]+Tasks[[#This Row],[_Row]]/100000,"")</f>
        <v/>
      </c>
      <c r="DC7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79" s="41" t="n">
        <f aca="false">IF(NOT(Tasks[[#This Row],[_IsLeaf]]=1),0,IF(Tasks[[#This Row],[Baseline Cost]]="",Tasks[[#This Row],[_LeafCost]],N(Tasks[[#This Row],[Baseline Cost]])))</f>
        <v>0</v>
      </c>
      <c r="DE79" s="41" t="n">
        <f aca="false">Tasks[[#This Row],[_LeafBudget]]*Tasks[[#This Row],[_PlannedPct]]</f>
        <v>0</v>
      </c>
      <c r="DF79" s="41" t="n">
        <f aca="false">Tasks[[#This Row],[_LeafBudget]]*Tasks[[#This Row],[_LeafProgress]]</f>
        <v>0</v>
      </c>
      <c r="DG79" s="41" t="n">
        <f aca="false">IF(NOT(Tasks[[#This Row],[_IsLeaf]]=1),0,IF(Tasks[[#This Row],[Actual Cost]]="",Tasks[[#This Row],[_LeafCost]]*Tasks[[#This Row],[_LeafProgress]],N(Tasks[[#This Row],[Actual Cost]])))</f>
        <v>0</v>
      </c>
      <c r="DH79" s="41" t="str">
        <f aca="false">IF(Tasks[[#This Row],[Task Name]]="","",LEFT(Tasks[[#This Row],[WBS]],FIND(".",Tasks[[#This Row],[WBS]]&amp;".")-1))</f>
        <v/>
      </c>
      <c r="DI79" s="41" t="str">
        <f aca="false">IF(AND(Tasks[[#This Row],[Task Name]]&lt;&gt;"",Tasks[[#This Row],[_Level]]=1),Tasks[[#This Row],[_Row]],"")</f>
        <v/>
      </c>
      <c r="DJ79" s="41" t="str">
        <f aca="false">IF(AND(Tasks[[#This Row],[_IsLeaf]]=1,N(Tasks[[#This Row],[Duration]])=0),Tasks[[#This Row],[Planned Finish]]+Tasks[[#This Row],[_Row]]/100000,"")</f>
        <v/>
      </c>
      <c r="DK79" s="41" t="str">
        <f aca="false">IF(AND(Tasks[[#This Row],[_IsLeaf]]=1,Tasks[[#This Row],[_LeafProgress]]&lt;1,OR(N(Tasks[[#This Row],[Finish Var]])&gt;0,Tasks[[#This Row],[Status]]="Late Start")),MAX(0,Tasks[[#This Row],[Finish Var]])+1-Tasks[[#This Row],[_Row]]/1000000,"")</f>
        <v/>
      </c>
      <c r="DL79" s="41" t="str">
        <f aca="false">IF(AND(Tasks[[#This Row],[_IsLeaf]]=1,N(Tasks[[#This Row],[Actual Start]])=0,Tasks[[#This Row],[_LeafFcstStart]]&gt;=StatusDate,Tasks[[#This Row],[_LeafFcstStart]]&lt;=LookaheadEnd),Tasks[[#This Row],[_LeafFcstStart]]+Tasks[[#This Row],[_Row]]/100000,"")</f>
        <v/>
      </c>
      <c r="DM79" s="41" t="str">
        <f aca="false">IF(AND(Tasks[[#This Row],[_IsLeaf]]=1,Tasks[[#This Row],[_LeafProgress]]&lt;1,Tasks[[#This Row],[_LeafFcstFinish]]&gt;=StatusDate,Tasks[[#This Row],[_LeafFcstFinish]]&lt;=LookaheadEnd),Tasks[[#This Row],[_LeafFcstFinish]]+Tasks[[#This Row],[_Row]]/100000,"")</f>
        <v/>
      </c>
      <c r="DN79" s="41" t="str">
        <f aca="false">IF(Tasks[[#This Row],[_LeafCritical]],Tasks[[#This Row],[_LeafFcstStart]]+Tasks[[#This Row],[_Row]]/100000,"")</f>
        <v/>
      </c>
      <c r="DO79" s="41" t="n">
        <f aca="false">Tasks[[#This Row],[_LeafWork]]*Tasks[[#This Row],[_LeafProgress]]</f>
        <v>0</v>
      </c>
      <c r="DP79" s="100" t="str">
        <f aca="false">IF(AND(Tasks[[#This Row],[_IsLeaf]]=1,Tasks[[#This Row],[_LeafProgress]]&gt;=1),IF(N(Tasks[[#This Row],[Actual Finish]])&gt;0,Tasks[[#This Row],[Actual Finish]],Tasks[[#This Row],[_LeafFcstFinish]]),"")</f>
        <v/>
      </c>
      <c r="DQ79" s="41" t="n">
        <f aca="false">IF(Tasks[[#This Row],[_IsLeaf]]=1,N(Tasks[[#This Row],[Story Points]]),0)</f>
        <v>0</v>
      </c>
      <c r="DR79" s="41" t="str">
        <f aca="false">IF(AND(Tasks[[#This Row],[_IsLeaf]]=1,CurrentSprint&lt;&gt;"",Tasks[[#This Row],[Sprint]]=CurrentSprint),Tasks[[#This Row],[_Row]],"")</f>
        <v/>
      </c>
    </row>
    <row r="80" customFormat="false" ht="15" hidden="false" customHeight="false" outlineLevel="0" collapsed="false">
      <c r="A80" s="28" t="str">
        <f aca="false">IF(Tasks[[#This Row],[Task Name]]="","",COUNTA(Tasks[[#Headers],[Task Name]]:Tasks[[#This Row],[Task Name]])-1)</f>
        <v/>
      </c>
      <c r="B80" s="29" t="n">
        <v>75</v>
      </c>
      <c r="C8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0" s="29"/>
      <c r="E80" s="30"/>
      <c r="F80" s="29"/>
      <c r="G80" s="29"/>
      <c r="H80" s="29"/>
      <c r="I80" s="29"/>
      <c r="J80" s="29"/>
      <c r="K80" s="29"/>
      <c r="L80" s="29"/>
      <c r="M80" s="29"/>
      <c r="N80" s="73"/>
      <c r="O80" s="73"/>
      <c r="P80" s="25" t="str">
        <f aca="false">IF(Tasks[[#This Row],[Task Name]]="","",IF(N(Tasks[[#This Row],[Baseline Start]])&gt;0,Tasks[[#This Row],[Baseline Start]],Tasks[[#This Row],[_CalcStart]]))</f>
        <v/>
      </c>
      <c r="Q80" s="25" t="str">
        <f aca="false">IF(Tasks[[#This Row],[Task Name]]="","",IF(N(Tasks[[#This Row],[Baseline Finish]])&gt;0,Tasks[[#This Row],[Baseline Finish]],Tasks[[#This Row],[_CalcFinish]]))</f>
        <v/>
      </c>
      <c r="R80" s="73"/>
      <c r="S80" s="73"/>
      <c r="T80" s="25" t="str">
        <f aca="false">IF(Tasks[[#This Row],[Task Name]]="","",IF(Tasks[[#This Row],[_IsSummary]],MIN(INDEX(Tasks[_LeafFcstStart],Tasks[[#This Row],[_Row]]+1):INDEX(Tasks[_LeafFcstStart],Tasks[[#This Row],[_Row]]+Tasks[[#This Row],[_Descendants]])),Tasks[[#This Row],[_LeafFcstStart]]))</f>
        <v/>
      </c>
      <c r="U80" s="25" t="str">
        <f aca="false">IF(Tasks[[#This Row],[Task Name]]="","",IF(Tasks[[#This Row],[_IsSummary]],MAX(INDEX(Tasks[_LeafFcstFinish],Tasks[[#This Row],[_Row]]+1):INDEX(Tasks[_LeafFcstFinish],Tasks[[#This Row],[_Row]]+Tasks[[#This Row],[_Descendants]])),Tasks[[#This Row],[_LeafFcstFinish]]))</f>
        <v/>
      </c>
      <c r="V8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8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0" s="25" t="str">
        <f aca="false">IF(Tasks[[#This Row],[Task Name]]="","",IF(Tasks[[#This Row],[_IsSummary]],MIN(INDEX(Tasks[_LeafLateStart],Tasks[[#This Row],[_Row]]+1):INDEX(Tasks[_LeafLateStart],Tasks[[#This Row],[_Row]]+Tasks[[#This Row],[_Descendants]])),Tasks[[#This Row],[_LeafLateStart]]))</f>
        <v/>
      </c>
      <c r="Y80" s="25" t="str">
        <f aca="false">IF(Tasks[[#This Row],[Task Name]]="","",IF(Tasks[[#This Row],[_IsSummary]],MAX(INDEX(Tasks[_LeafLateFinish],Tasks[[#This Row],[_Row]]+1):INDEX(Tasks[_LeafLateFinish],Tasks[[#This Row],[_Row]]+Tasks[[#This Row],[_Descendants]])),Tasks[[#This Row],[_LeafLateFinish]]))</f>
        <v/>
      </c>
      <c r="Z80" s="43" t="str">
        <f aca="false">IF(Tasks[[#This Row],[Task Name]]="","",IF(Tasks[[#This Row],[_IsSummary]],MIN(INDEX(Tasks[_LeafTotalSlack],Tasks[[#This Row],[_Row]]+1):INDEX(Tasks[_LeafTotalSlack],Tasks[[#This Row],[_Row]]+Tasks[[#This Row],[_Descendants]])),Tasks[[#This Row],[_LeafTotalSlack]]))</f>
        <v/>
      </c>
      <c r="AA8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0" s="28" t="str">
        <f aca="false">IF(Tasks[[#This Row],[Task Name]]="","",IF(IF(Tasks[[#This Row],[_IsSummary]],COUNTIF(INDEX(Tasks[_LeafCritical],Tasks[[#This Row],[_Row]]+1):INDEX(Tasks[_LeafCritical],Tasks[[#This Row],[_Row]]+Tasks[[#This Row],[_Descendants]]),TRUE())&gt;0,Tasks[[#This Row],[_LeafCritical]]),"Yes",""))</f>
        <v/>
      </c>
      <c r="AC8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0" s="24" t="str">
        <f aca="false">IF(Tasks[[#This Row],[Task Name]]="","",TRIM(IF(Tasks[[#This Row],[_Pred1Problem]]&lt;&gt;"","Pred 1: "&amp;Tasks[[#This Row],[_Pred1Problem]]&amp;". ","")&amp;IF(Tasks[[#This Row],[_Pred2Problem]]&lt;&gt;"","Pred 2: "&amp;Tasks[[#This Row],[_Pred2Problem]]&amp;".","")))</f>
        <v/>
      </c>
      <c r="AE80" s="88"/>
      <c r="AF80"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0" s="28" t="str">
        <f aca="false">IF(Tasks[[#This Row],[Task Name]]="","",IF(Tasks[[#This Row],[Progress]]&gt;=1,"Complete",IF(OR(N(Tasks[[#This Row],[Actual Start]])&gt;0,Tasks[[#This Row],[Progress]]&gt;0),IF(Tasks[[#This Row],[Finish Var]]&gt;0,"Behind","In Progress"),IF(Tasks[[#This Row],[Planned Start]]&lt;StatusDate,"Late Start","Not Started"))))</f>
        <v/>
      </c>
      <c r="AH80" s="30"/>
      <c r="AI80" s="88"/>
      <c r="AJ80" s="95" t="str">
        <f aca="false">IF(Tasks[[#This Row],[Task Name]]="","",IF(Tasks[[#This Row],[_IsSummary]],SUM(INDEX(Tasks[_LeafWork],Tasks[[#This Row],[_Row]]+1):INDEX(Tasks[_LeafWork],Tasks[[#This Row],[_Row]]+Tasks[[#This Row],[_Descendants]])),Tasks[[#This Row],[_LeafWork]]))</f>
        <v/>
      </c>
      <c r="AK80" s="96" t="str">
        <f aca="false">IF(Tasks[[#This Row],[Task Name]]="","",IF(Tasks[[#This Row],[_IsSummary]],SUM(INDEX(Tasks[_LeafCost],Tasks[[#This Row],[_Row]]+1):INDEX(Tasks[_LeafCost],Tasks[[#This Row],[_Row]]+Tasks[[#This Row],[_Descendants]])),Tasks[[#This Row],[_LeafCost]]))</f>
        <v/>
      </c>
      <c r="AL80" s="97"/>
      <c r="AM80" s="29"/>
      <c r="AN8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80" s="82"/>
      <c r="AP80" s="24" t="str">
        <f aca="false">IF(Tasks[[#This Row],[Task Name]]="","",Tasks[[#This Row],[_Pred1IDText]]&amp;IF(AND(Tasks[[#This Row],[_Pred1IDText]]&lt;&gt;"",Tasks[[#This Row],[_Pred2IDText]]&lt;&gt;""),",","")&amp;Tasks[[#This Row],[_Pred2IDText]])</f>
        <v/>
      </c>
      <c r="AQ80" s="30"/>
      <c r="AR80" s="25" t="str">
        <f aca="false">IF(Tasks[[#This Row],[Task Name]]="","",Tasks[[#This Row],[Forecast Start]])</f>
        <v/>
      </c>
      <c r="AS80" s="25" t="str">
        <f aca="false">IF(Tasks[[#This Row],[Task Name]]="","",Tasks[[#This Row],[Forecast Finish]])</f>
        <v/>
      </c>
      <c r="AT80" s="28" t="str">
        <f aca="false">IF(Tasks[[#This Row],[Task Name]]="","",IF(Tasks[[#This Row],[_IsSummary]],NETWORKDAYS.INTL(Tasks[[#This Row],[Forecast Start]],Tasks[[#This Row],[Forecast Finish]],WorkWeek,Holidays),N(Tasks[[#This Row],[Duration]])))</f>
        <v/>
      </c>
      <c r="AU80" s="95" t="str">
        <f aca="false">IF(Tasks[[#This Row],[Task Name]]="","",Tasks[[#This Row],[Work]])</f>
        <v/>
      </c>
      <c r="AV80" s="96" t="str">
        <f aca="false">IF(Tasks[[#This Row],[Task Name]]="","",Tasks[[#This Row],[Cost]])</f>
        <v/>
      </c>
      <c r="AW80" s="73"/>
      <c r="AX80" s="73"/>
      <c r="AY80" s="29"/>
      <c r="AZ80" s="98"/>
      <c r="BA80" s="97"/>
      <c r="BB80" s="28" t="str">
        <f aca="false">IF(OR(Tasks[[#This Row],[Task Name]]="",Tasks[[#This Row],[Baseline Duration]]=""),"",Tasks[[#This Row],[BL Source Duration]]-N(Tasks[[#This Row],[Baseline Duration]]))</f>
        <v/>
      </c>
      <c r="BC80" s="95" t="str">
        <f aca="false">IF(OR(Tasks[[#This Row],[Task Name]]="",Tasks[[#This Row],[Baseline Work]]=""),"",Tasks[[#This Row],[Work]]-N(Tasks[[#This Row],[Baseline Work]]))</f>
        <v/>
      </c>
      <c r="BD80" s="96" t="str">
        <f aca="false">IF(OR(Tasks[[#This Row],[Task Name]]="",Tasks[[#This Row],[Baseline Cost]]=""),"",Tasks[[#This Row],[Cost]]-N(Tasks[[#This Row],[Baseline Cost]]))</f>
        <v/>
      </c>
      <c r="BE80" s="96" t="str">
        <f aca="false">IF(Tasks[[#This Row],[Task Name]]="","",IF(Tasks[[#This Row],[_IsSummary]],SUM(INDEX(Tasks[_LeafBudget],Tasks[[#This Row],[_Row]]+1):INDEX(Tasks[_LeafBudget],Tasks[[#This Row],[_Row]]+Tasks[[#This Row],[_Descendants]])),Tasks[[#This Row],[_LeafBudget]]))</f>
        <v/>
      </c>
      <c r="BF80" s="96" t="str">
        <f aca="false">IF(Tasks[[#This Row],[Task Name]]="","",IF(Tasks[[#This Row],[_IsSummary]],SUM(INDEX(Tasks[_LeafPV],Tasks[[#This Row],[_Row]]+1):INDEX(Tasks[_LeafPV],Tasks[[#This Row],[_Row]]+Tasks[[#This Row],[_Descendants]])),Tasks[[#This Row],[_LeafPV]]))</f>
        <v/>
      </c>
      <c r="BG80" s="96" t="str">
        <f aca="false">IF(Tasks[[#This Row],[Task Name]]="","",IF(Tasks[[#This Row],[_IsSummary]],SUM(INDEX(Tasks[_LeafEV],Tasks[[#This Row],[_Row]]+1):INDEX(Tasks[_LeafEV],Tasks[[#This Row],[_Row]]+Tasks[[#This Row],[_Descendants]])),Tasks[[#This Row],[_LeafEV]]))</f>
        <v/>
      </c>
      <c r="BH80" s="96" t="str">
        <f aca="false">IF(Tasks[[#This Row],[Task Name]]="","",IF(Tasks[[#This Row],[_IsSummary]],SUM(INDEX(Tasks[_LeafAC],Tasks[[#This Row],[_Row]]+1):INDEX(Tasks[_LeafAC],Tasks[[#This Row],[_Row]]+Tasks[[#This Row],[_Descendants]])),Tasks[[#This Row],[_LeafAC]]))</f>
        <v/>
      </c>
      <c r="BI80" s="41" t="str">
        <f aca="false">IF(Tasks[[#This Row],[Task Name]]="","",MAX(1,N(Tasks[[#This Row],[Level]])))</f>
        <v/>
      </c>
      <c r="BJ80" s="41" t="n">
        <f aca="false">ROW()-ROW(Tasks[[#Headers],[ID]])</f>
        <v>75</v>
      </c>
      <c r="BK80" s="41" t="n">
        <f aca="false">IF(OR(Tasks[[#This Row],[Task Name]]="",Tasks[[#This Row],[_Level]]&lt;=1),0,IFERROR(LOOKUP(2,1/(Tasks[[#Headers],[_Level]]:Tasks[[#This Row],[_Level]]=Tasks[[#This Row],[_Level]]-1),ROW(Tasks[[#Headers],[_Level]]:Tasks[[#This Row],[_Level]])),0))</f>
        <v>0</v>
      </c>
      <c r="BL80" s="41" t="n">
        <f aca="false">IFERROR(N(INDEX(Tasks[_Level],Tasks[[#This Row],[_Row]]+1)),0)</f>
        <v>0</v>
      </c>
      <c r="BM80" s="99" t="b">
        <f aca="false">AND(Tasks[[#This Row],[Task Name]]&lt;&gt;"",Tasks[[#This Row],[_NextLevel]]&gt;Tasks[[#This Row],[_Level]])</f>
        <v>0</v>
      </c>
      <c r="BN80" s="41" t="n">
        <f aca="false">IF(Tasks[[#This Row],[_IsSummary]],COUNTIF(Tasks[WBS],Tasks[[#This Row],[WBS]]&amp;".*"),0)</f>
        <v>0</v>
      </c>
      <c r="BO80" s="41" t="n">
        <f aca="false">IF(AND(Tasks[[#This Row],[Task Name]]&lt;&gt;"",NOT(Tasks[[#This Row],[_IsSummary]])),1,0)</f>
        <v>0</v>
      </c>
      <c r="BP80" s="41" t="n">
        <f aca="false">IF(N(Tasks[[#This Row],[Pred1 UID]])=0,0,IFERROR(MATCH(Tasks[[#This Row],[Pred1 UID]],Tasks[UID],0),-1))</f>
        <v>0</v>
      </c>
      <c r="BQ80" s="41" t="n">
        <f aca="false">IF(N(Tasks[[#This Row],[Pred2 UID]])=0,0,IFERROR(MATCH(Tasks[[#This Row],[Pred2 UID]],Tasks[UID],0),-1))</f>
        <v>0</v>
      </c>
      <c r="BR80"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80" s="100" t="str">
        <f aca="false">IF(NOT(Tasks[[#This Row],[_IsLeaf]]=1),"",IF(N(Tasks[[#This Row],[Duration]])&lt;=0,Tasks[[#This Row],[_LeafCalcStart]],WORKDAY.INTL(Tasks[[#This Row],[_LeafCalcStart]],Tasks[[#This Row],[Duration]]-1,WorkWeek,Holidays)))</f>
        <v/>
      </c>
      <c r="BT80"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80"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80" s="41" t="n">
        <f aca="false">IF(NOT(Tasks[[#This Row],[_IsLeaf]]=1),0,IF(N(Tasks[[#This Row],[Actual Finish]])&gt;0,1,MIN(1,N(Tasks[[#This Row],[% Complete]]))))</f>
        <v>0</v>
      </c>
      <c r="BW80" s="41" t="n">
        <f aca="false">IF(OR(NOT(Tasks[[#This Row],[_IsLeaf]]=1),Tasks[[#This Row],[Resource]]=""),0,N(Tasks[[#This Row],[Duration]])*HoursPerDay*IF(Tasks[[#This Row],[Units]]="",DefaultUnits,Tasks[[#This Row],[Units]]))</f>
        <v>0</v>
      </c>
      <c r="BX80" s="41" t="n">
        <f aca="false">IF(Tasks[[#This Row],[_LeafWork]]=0,0,Tasks[[#This Row],[_LeafWork]]*IFERROR(INDEX(res_Rate,MATCH(Tasks[[#This Row],[Resource]],res_Name,0)),0))</f>
        <v>0</v>
      </c>
      <c r="BY8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8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8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8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80" s="41" t="n">
        <f aca="false">IF(NOT(Tasks[[#This Row],[_IsLeaf]]=1),0,MAX(_xlfn.MAXIFS(Tasks[_Row],Tasks[Pred1 UID],Tasks[[#This Row],[UID]]),_xlfn.MAXIFS(Tasks[_Row],Tasks[Pred2 UID],Tasks[[#This Row],[UID]])))</f>
        <v>0</v>
      </c>
      <c r="CD80"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80" s="100" t="str">
        <f aca="false">IF(NOT(Tasks[[#This Row],[_IsLeaf]]=1),"",MIN(ProjectFinish,IF(N(Tasks[[#This Row],[Deadline]])&gt;0,Tasks[[#This Row],[Deadline]],2958465),Tasks[[#This Row],[_SuccessorFinishLimit]]))</f>
        <v/>
      </c>
      <c r="CF80" s="100" t="str">
        <f aca="false">IF(NOT(Tasks[[#This Row],[_IsLeaf]]=1),"",IF(N(Tasks[[#This Row],[Duration]])&lt;=0,Tasks[[#This Row],[_LeafLateFinish]],WORKDAY.INTL(Tasks[[#This Row],[_LeafLateFinish]],-(Tasks[[#This Row],[Duration]]-1),WorkWeek,Holidays)))</f>
        <v/>
      </c>
      <c r="CG8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80" s="99" t="b">
        <f aca="false">AND(Tasks[[#This Row],[_IsLeaf]]=1,Tasks[[#This Row],[_LeafProgress]]&lt;1,N(Tasks[[#This Row],[_LeafTotalSlack]])&lt;=CriticalSlackDays)</f>
        <v>0</v>
      </c>
      <c r="CI80" s="100" t="str">
        <f aca="false">IF(Tasks[[#This Row],[Task Name]]="","",IF(Tasks[[#This Row],[_IsSummary]],MIN(INDEX(Tasks[_LeafCalcStart],Tasks[[#This Row],[_Row]]+1):INDEX(Tasks[_LeafCalcStart],Tasks[[#This Row],[_Row]]+Tasks[[#This Row],[_Descendants]])),Tasks[[#This Row],[_LeafCalcStart]]))</f>
        <v/>
      </c>
      <c r="CJ80" s="100" t="str">
        <f aca="false">IF(Tasks[[#This Row],[Task Name]]="","",IF(Tasks[[#This Row],[_IsSummary]],MAX(INDEX(Tasks[_LeafCalcFinish],Tasks[[#This Row],[_Row]]+1):INDEX(Tasks[_LeafCalcFinish],Tasks[[#This Row],[_Row]]+Tasks[[#This Row],[_Descendants]])),Tasks[[#This Row],[_LeafCalcFinish]]))</f>
        <v/>
      </c>
      <c r="CK8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8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80"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80"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80"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80"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80" s="41" t="n">
        <f aca="false">IF(AND(Tasks[[#This Row],[_IsLeaf]]=1,Tasks[[#This Row],[_LeafWork]]&gt;0),NETWORKDAYS.INTL(ProjectStart,Tasks[[#This Row],[_LeafFcstStart]],WorkWeek,Holidays),0)</f>
        <v>0</v>
      </c>
      <c r="CR80" s="41" t="n">
        <f aca="false">IF(AND(Tasks[[#This Row],[_IsLeaf]]=1,Tasks[[#This Row],[_LeafWork]]&gt;0),MAX(Tasks[[#This Row],[_StartWorkday]],NETWORKDAYS.INTL(ProjectStart,Tasks[[#This Row],[_LeafFcstFinish]],WorkWeek,Holidays)),0)</f>
        <v>0</v>
      </c>
      <c r="CS80" s="41" t="n">
        <f aca="false">IF(AND(Tasks[[#This Row],[_IsLeaf]]=1,Tasks[[#This Row],[_LeafWork]]&gt;0),Tasks[[#This Row],[_LeafWork]]/(Tasks[[#This Row],[_FinishWorkday]]-Tasks[[#This Row],[_StartWorkday]]+1),0)</f>
        <v>0</v>
      </c>
      <c r="CT80" s="41" t="n">
        <f aca="false">Tasks[[#This Row],[_WorkPerWorkday]]*(Tasks[[#This Row],[_StartWorkday]]-1)</f>
        <v>-0</v>
      </c>
      <c r="CU80" s="41" t="n">
        <f aca="false">IF(Tasks[[#This Row],[_IsLeaf]]=1,MAX(N(Tasks[[#This Row],[Duration]]),0.1),0)</f>
        <v>0</v>
      </c>
      <c r="CV80" s="41" t="n">
        <f aca="false">Tasks[[#This Row],[_WeightDur]]*Tasks[[#This Row],[_LeafProgress]]</f>
        <v>0</v>
      </c>
      <c r="CW8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8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8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8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80" s="41" t="str">
        <f aca="false">IF(Tasks[[#This Row],[Task Name]]="","",Tasks[[#This Row],[_Pred1UIDText]]&amp;IF(AND(Tasks[[#This Row],[_Pred1UIDText]]&lt;&gt;"",Tasks[[#This Row],[_Pred2UIDText]]&lt;&gt;""),",","")&amp;Tasks[[#This Row],[_Pred2UIDText]])</f>
        <v/>
      </c>
      <c r="DB80" s="41" t="str">
        <f aca="false">IF(AND(Tasks[[#This Row],[_IsLeaf]]=1,N(Tasks[[#This Row],[Duration]])=0,Tasks[[#This Row],[_LeafProgress]]&lt;1),Tasks[[#This Row],[_LeafFcstFinish]]+Tasks[[#This Row],[_Row]]/100000,"")</f>
        <v/>
      </c>
      <c r="DC8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80" s="41" t="n">
        <f aca="false">IF(NOT(Tasks[[#This Row],[_IsLeaf]]=1),0,IF(Tasks[[#This Row],[Baseline Cost]]="",Tasks[[#This Row],[_LeafCost]],N(Tasks[[#This Row],[Baseline Cost]])))</f>
        <v>0</v>
      </c>
      <c r="DE80" s="41" t="n">
        <f aca="false">Tasks[[#This Row],[_LeafBudget]]*Tasks[[#This Row],[_PlannedPct]]</f>
        <v>0</v>
      </c>
      <c r="DF80" s="41" t="n">
        <f aca="false">Tasks[[#This Row],[_LeafBudget]]*Tasks[[#This Row],[_LeafProgress]]</f>
        <v>0</v>
      </c>
      <c r="DG80" s="41" t="n">
        <f aca="false">IF(NOT(Tasks[[#This Row],[_IsLeaf]]=1),0,IF(Tasks[[#This Row],[Actual Cost]]="",Tasks[[#This Row],[_LeafCost]]*Tasks[[#This Row],[_LeafProgress]],N(Tasks[[#This Row],[Actual Cost]])))</f>
        <v>0</v>
      </c>
      <c r="DH80" s="41" t="str">
        <f aca="false">IF(Tasks[[#This Row],[Task Name]]="","",LEFT(Tasks[[#This Row],[WBS]],FIND(".",Tasks[[#This Row],[WBS]]&amp;".")-1))</f>
        <v/>
      </c>
      <c r="DI80" s="41" t="str">
        <f aca="false">IF(AND(Tasks[[#This Row],[Task Name]]&lt;&gt;"",Tasks[[#This Row],[_Level]]=1),Tasks[[#This Row],[_Row]],"")</f>
        <v/>
      </c>
      <c r="DJ80" s="41" t="str">
        <f aca="false">IF(AND(Tasks[[#This Row],[_IsLeaf]]=1,N(Tasks[[#This Row],[Duration]])=0),Tasks[[#This Row],[Planned Finish]]+Tasks[[#This Row],[_Row]]/100000,"")</f>
        <v/>
      </c>
      <c r="DK80" s="41" t="str">
        <f aca="false">IF(AND(Tasks[[#This Row],[_IsLeaf]]=1,Tasks[[#This Row],[_LeafProgress]]&lt;1,OR(N(Tasks[[#This Row],[Finish Var]])&gt;0,Tasks[[#This Row],[Status]]="Late Start")),MAX(0,Tasks[[#This Row],[Finish Var]])+1-Tasks[[#This Row],[_Row]]/1000000,"")</f>
        <v/>
      </c>
      <c r="DL80" s="41" t="str">
        <f aca="false">IF(AND(Tasks[[#This Row],[_IsLeaf]]=1,N(Tasks[[#This Row],[Actual Start]])=0,Tasks[[#This Row],[_LeafFcstStart]]&gt;=StatusDate,Tasks[[#This Row],[_LeafFcstStart]]&lt;=LookaheadEnd),Tasks[[#This Row],[_LeafFcstStart]]+Tasks[[#This Row],[_Row]]/100000,"")</f>
        <v/>
      </c>
      <c r="DM80" s="41" t="str">
        <f aca="false">IF(AND(Tasks[[#This Row],[_IsLeaf]]=1,Tasks[[#This Row],[_LeafProgress]]&lt;1,Tasks[[#This Row],[_LeafFcstFinish]]&gt;=StatusDate,Tasks[[#This Row],[_LeafFcstFinish]]&lt;=LookaheadEnd),Tasks[[#This Row],[_LeafFcstFinish]]+Tasks[[#This Row],[_Row]]/100000,"")</f>
        <v/>
      </c>
      <c r="DN80" s="41" t="str">
        <f aca="false">IF(Tasks[[#This Row],[_LeafCritical]],Tasks[[#This Row],[_LeafFcstStart]]+Tasks[[#This Row],[_Row]]/100000,"")</f>
        <v/>
      </c>
      <c r="DO80" s="41" t="n">
        <f aca="false">Tasks[[#This Row],[_LeafWork]]*Tasks[[#This Row],[_LeafProgress]]</f>
        <v>0</v>
      </c>
      <c r="DP80" s="100" t="str">
        <f aca="false">IF(AND(Tasks[[#This Row],[_IsLeaf]]=1,Tasks[[#This Row],[_LeafProgress]]&gt;=1),IF(N(Tasks[[#This Row],[Actual Finish]])&gt;0,Tasks[[#This Row],[Actual Finish]],Tasks[[#This Row],[_LeafFcstFinish]]),"")</f>
        <v/>
      </c>
      <c r="DQ80" s="41" t="n">
        <f aca="false">IF(Tasks[[#This Row],[_IsLeaf]]=1,N(Tasks[[#This Row],[Story Points]]),0)</f>
        <v>0</v>
      </c>
      <c r="DR80" s="41" t="str">
        <f aca="false">IF(AND(Tasks[[#This Row],[_IsLeaf]]=1,CurrentSprint&lt;&gt;"",Tasks[[#This Row],[Sprint]]=CurrentSprint),Tasks[[#This Row],[_Row]],"")</f>
        <v/>
      </c>
    </row>
    <row r="81" customFormat="false" ht="15" hidden="false" customHeight="false" outlineLevel="0" collapsed="false">
      <c r="A81" s="28" t="str">
        <f aca="false">IF(Tasks[[#This Row],[Task Name]]="","",COUNTA(Tasks[[#Headers],[Task Name]]:Tasks[[#This Row],[Task Name]])-1)</f>
        <v/>
      </c>
      <c r="B81" s="29" t="n">
        <v>76</v>
      </c>
      <c r="C8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1" s="29"/>
      <c r="E81" s="30"/>
      <c r="F81" s="29"/>
      <c r="G81" s="29"/>
      <c r="H81" s="29"/>
      <c r="I81" s="29"/>
      <c r="J81" s="29"/>
      <c r="K81" s="29"/>
      <c r="L81" s="29"/>
      <c r="M81" s="29"/>
      <c r="N81" s="73"/>
      <c r="O81" s="73"/>
      <c r="P81" s="25" t="str">
        <f aca="false">IF(Tasks[[#This Row],[Task Name]]="","",IF(N(Tasks[[#This Row],[Baseline Start]])&gt;0,Tasks[[#This Row],[Baseline Start]],Tasks[[#This Row],[_CalcStart]]))</f>
        <v/>
      </c>
      <c r="Q81" s="25" t="str">
        <f aca="false">IF(Tasks[[#This Row],[Task Name]]="","",IF(N(Tasks[[#This Row],[Baseline Finish]])&gt;0,Tasks[[#This Row],[Baseline Finish]],Tasks[[#This Row],[_CalcFinish]]))</f>
        <v/>
      </c>
      <c r="R81" s="73"/>
      <c r="S81" s="73"/>
      <c r="T81" s="25" t="str">
        <f aca="false">IF(Tasks[[#This Row],[Task Name]]="","",IF(Tasks[[#This Row],[_IsSummary]],MIN(INDEX(Tasks[_LeafFcstStart],Tasks[[#This Row],[_Row]]+1):INDEX(Tasks[_LeafFcstStart],Tasks[[#This Row],[_Row]]+Tasks[[#This Row],[_Descendants]])),Tasks[[#This Row],[_LeafFcstStart]]))</f>
        <v/>
      </c>
      <c r="U81" s="25" t="str">
        <f aca="false">IF(Tasks[[#This Row],[Task Name]]="","",IF(Tasks[[#This Row],[_IsSummary]],MAX(INDEX(Tasks[_LeafFcstFinish],Tasks[[#This Row],[_Row]]+1):INDEX(Tasks[_LeafFcstFinish],Tasks[[#This Row],[_Row]]+Tasks[[#This Row],[_Descendants]])),Tasks[[#This Row],[_LeafFcstFinish]]))</f>
        <v/>
      </c>
      <c r="V8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8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1" s="25" t="str">
        <f aca="false">IF(Tasks[[#This Row],[Task Name]]="","",IF(Tasks[[#This Row],[_IsSummary]],MIN(INDEX(Tasks[_LeafLateStart],Tasks[[#This Row],[_Row]]+1):INDEX(Tasks[_LeafLateStart],Tasks[[#This Row],[_Row]]+Tasks[[#This Row],[_Descendants]])),Tasks[[#This Row],[_LeafLateStart]]))</f>
        <v/>
      </c>
      <c r="Y81" s="25" t="str">
        <f aca="false">IF(Tasks[[#This Row],[Task Name]]="","",IF(Tasks[[#This Row],[_IsSummary]],MAX(INDEX(Tasks[_LeafLateFinish],Tasks[[#This Row],[_Row]]+1):INDEX(Tasks[_LeafLateFinish],Tasks[[#This Row],[_Row]]+Tasks[[#This Row],[_Descendants]])),Tasks[[#This Row],[_LeafLateFinish]]))</f>
        <v/>
      </c>
      <c r="Z81" s="43" t="str">
        <f aca="false">IF(Tasks[[#This Row],[Task Name]]="","",IF(Tasks[[#This Row],[_IsSummary]],MIN(INDEX(Tasks[_LeafTotalSlack],Tasks[[#This Row],[_Row]]+1):INDEX(Tasks[_LeafTotalSlack],Tasks[[#This Row],[_Row]]+Tasks[[#This Row],[_Descendants]])),Tasks[[#This Row],[_LeafTotalSlack]]))</f>
        <v/>
      </c>
      <c r="AA8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1" s="28" t="str">
        <f aca="false">IF(Tasks[[#This Row],[Task Name]]="","",IF(IF(Tasks[[#This Row],[_IsSummary]],COUNTIF(INDEX(Tasks[_LeafCritical],Tasks[[#This Row],[_Row]]+1):INDEX(Tasks[_LeafCritical],Tasks[[#This Row],[_Row]]+Tasks[[#This Row],[_Descendants]]),TRUE())&gt;0,Tasks[[#This Row],[_LeafCritical]]),"Yes",""))</f>
        <v/>
      </c>
      <c r="AC8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1" s="24" t="str">
        <f aca="false">IF(Tasks[[#This Row],[Task Name]]="","",TRIM(IF(Tasks[[#This Row],[_Pred1Problem]]&lt;&gt;"","Pred 1: "&amp;Tasks[[#This Row],[_Pred1Problem]]&amp;". ","")&amp;IF(Tasks[[#This Row],[_Pred2Problem]]&lt;&gt;"","Pred 2: "&amp;Tasks[[#This Row],[_Pred2Problem]]&amp;".","")))</f>
        <v/>
      </c>
      <c r="AE81" s="88"/>
      <c r="AF81"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1" s="28" t="str">
        <f aca="false">IF(Tasks[[#This Row],[Task Name]]="","",IF(Tasks[[#This Row],[Progress]]&gt;=1,"Complete",IF(OR(N(Tasks[[#This Row],[Actual Start]])&gt;0,Tasks[[#This Row],[Progress]]&gt;0),IF(Tasks[[#This Row],[Finish Var]]&gt;0,"Behind","In Progress"),IF(Tasks[[#This Row],[Planned Start]]&lt;StatusDate,"Late Start","Not Started"))))</f>
        <v/>
      </c>
      <c r="AH81" s="30"/>
      <c r="AI81" s="88"/>
      <c r="AJ81" s="95" t="str">
        <f aca="false">IF(Tasks[[#This Row],[Task Name]]="","",IF(Tasks[[#This Row],[_IsSummary]],SUM(INDEX(Tasks[_LeafWork],Tasks[[#This Row],[_Row]]+1):INDEX(Tasks[_LeafWork],Tasks[[#This Row],[_Row]]+Tasks[[#This Row],[_Descendants]])),Tasks[[#This Row],[_LeafWork]]))</f>
        <v/>
      </c>
      <c r="AK81" s="96" t="str">
        <f aca="false">IF(Tasks[[#This Row],[Task Name]]="","",IF(Tasks[[#This Row],[_IsSummary]],SUM(INDEX(Tasks[_LeafCost],Tasks[[#This Row],[_Row]]+1):INDEX(Tasks[_LeafCost],Tasks[[#This Row],[_Row]]+Tasks[[#This Row],[_Descendants]])),Tasks[[#This Row],[_LeafCost]]))</f>
        <v/>
      </c>
      <c r="AL81" s="97"/>
      <c r="AM81" s="29"/>
      <c r="AN8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81" s="82"/>
      <c r="AP81" s="24" t="str">
        <f aca="false">IF(Tasks[[#This Row],[Task Name]]="","",Tasks[[#This Row],[_Pred1IDText]]&amp;IF(AND(Tasks[[#This Row],[_Pred1IDText]]&lt;&gt;"",Tasks[[#This Row],[_Pred2IDText]]&lt;&gt;""),",","")&amp;Tasks[[#This Row],[_Pred2IDText]])</f>
        <v/>
      </c>
      <c r="AQ81" s="30"/>
      <c r="AR81" s="25" t="str">
        <f aca="false">IF(Tasks[[#This Row],[Task Name]]="","",Tasks[[#This Row],[Forecast Start]])</f>
        <v/>
      </c>
      <c r="AS81" s="25" t="str">
        <f aca="false">IF(Tasks[[#This Row],[Task Name]]="","",Tasks[[#This Row],[Forecast Finish]])</f>
        <v/>
      </c>
      <c r="AT81" s="28" t="str">
        <f aca="false">IF(Tasks[[#This Row],[Task Name]]="","",IF(Tasks[[#This Row],[_IsSummary]],NETWORKDAYS.INTL(Tasks[[#This Row],[Forecast Start]],Tasks[[#This Row],[Forecast Finish]],WorkWeek,Holidays),N(Tasks[[#This Row],[Duration]])))</f>
        <v/>
      </c>
      <c r="AU81" s="95" t="str">
        <f aca="false">IF(Tasks[[#This Row],[Task Name]]="","",Tasks[[#This Row],[Work]])</f>
        <v/>
      </c>
      <c r="AV81" s="96" t="str">
        <f aca="false">IF(Tasks[[#This Row],[Task Name]]="","",Tasks[[#This Row],[Cost]])</f>
        <v/>
      </c>
      <c r="AW81" s="73"/>
      <c r="AX81" s="73"/>
      <c r="AY81" s="29"/>
      <c r="AZ81" s="98"/>
      <c r="BA81" s="97"/>
      <c r="BB81" s="28" t="str">
        <f aca="false">IF(OR(Tasks[[#This Row],[Task Name]]="",Tasks[[#This Row],[Baseline Duration]]=""),"",Tasks[[#This Row],[BL Source Duration]]-N(Tasks[[#This Row],[Baseline Duration]]))</f>
        <v/>
      </c>
      <c r="BC81" s="95" t="str">
        <f aca="false">IF(OR(Tasks[[#This Row],[Task Name]]="",Tasks[[#This Row],[Baseline Work]]=""),"",Tasks[[#This Row],[Work]]-N(Tasks[[#This Row],[Baseline Work]]))</f>
        <v/>
      </c>
      <c r="BD81" s="96" t="str">
        <f aca="false">IF(OR(Tasks[[#This Row],[Task Name]]="",Tasks[[#This Row],[Baseline Cost]]=""),"",Tasks[[#This Row],[Cost]]-N(Tasks[[#This Row],[Baseline Cost]]))</f>
        <v/>
      </c>
      <c r="BE81" s="96" t="str">
        <f aca="false">IF(Tasks[[#This Row],[Task Name]]="","",IF(Tasks[[#This Row],[_IsSummary]],SUM(INDEX(Tasks[_LeafBudget],Tasks[[#This Row],[_Row]]+1):INDEX(Tasks[_LeafBudget],Tasks[[#This Row],[_Row]]+Tasks[[#This Row],[_Descendants]])),Tasks[[#This Row],[_LeafBudget]]))</f>
        <v/>
      </c>
      <c r="BF81" s="96" t="str">
        <f aca="false">IF(Tasks[[#This Row],[Task Name]]="","",IF(Tasks[[#This Row],[_IsSummary]],SUM(INDEX(Tasks[_LeafPV],Tasks[[#This Row],[_Row]]+1):INDEX(Tasks[_LeafPV],Tasks[[#This Row],[_Row]]+Tasks[[#This Row],[_Descendants]])),Tasks[[#This Row],[_LeafPV]]))</f>
        <v/>
      </c>
      <c r="BG81" s="96" t="str">
        <f aca="false">IF(Tasks[[#This Row],[Task Name]]="","",IF(Tasks[[#This Row],[_IsSummary]],SUM(INDEX(Tasks[_LeafEV],Tasks[[#This Row],[_Row]]+1):INDEX(Tasks[_LeafEV],Tasks[[#This Row],[_Row]]+Tasks[[#This Row],[_Descendants]])),Tasks[[#This Row],[_LeafEV]]))</f>
        <v/>
      </c>
      <c r="BH81" s="96" t="str">
        <f aca="false">IF(Tasks[[#This Row],[Task Name]]="","",IF(Tasks[[#This Row],[_IsSummary]],SUM(INDEX(Tasks[_LeafAC],Tasks[[#This Row],[_Row]]+1):INDEX(Tasks[_LeafAC],Tasks[[#This Row],[_Row]]+Tasks[[#This Row],[_Descendants]])),Tasks[[#This Row],[_LeafAC]]))</f>
        <v/>
      </c>
      <c r="BI81" s="41" t="str">
        <f aca="false">IF(Tasks[[#This Row],[Task Name]]="","",MAX(1,N(Tasks[[#This Row],[Level]])))</f>
        <v/>
      </c>
      <c r="BJ81" s="41" t="n">
        <f aca="false">ROW()-ROW(Tasks[[#Headers],[ID]])</f>
        <v>76</v>
      </c>
      <c r="BK81" s="41" t="n">
        <f aca="false">IF(OR(Tasks[[#This Row],[Task Name]]="",Tasks[[#This Row],[_Level]]&lt;=1),0,IFERROR(LOOKUP(2,1/(Tasks[[#Headers],[_Level]]:Tasks[[#This Row],[_Level]]=Tasks[[#This Row],[_Level]]-1),ROW(Tasks[[#Headers],[_Level]]:Tasks[[#This Row],[_Level]])),0))</f>
        <v>0</v>
      </c>
      <c r="BL81" s="41" t="n">
        <f aca="false">IFERROR(N(INDEX(Tasks[_Level],Tasks[[#This Row],[_Row]]+1)),0)</f>
        <v>0</v>
      </c>
      <c r="BM81" s="99" t="b">
        <f aca="false">AND(Tasks[[#This Row],[Task Name]]&lt;&gt;"",Tasks[[#This Row],[_NextLevel]]&gt;Tasks[[#This Row],[_Level]])</f>
        <v>0</v>
      </c>
      <c r="BN81" s="41" t="n">
        <f aca="false">IF(Tasks[[#This Row],[_IsSummary]],COUNTIF(Tasks[WBS],Tasks[[#This Row],[WBS]]&amp;".*"),0)</f>
        <v>0</v>
      </c>
      <c r="BO81" s="41" t="n">
        <f aca="false">IF(AND(Tasks[[#This Row],[Task Name]]&lt;&gt;"",NOT(Tasks[[#This Row],[_IsSummary]])),1,0)</f>
        <v>0</v>
      </c>
      <c r="BP81" s="41" t="n">
        <f aca="false">IF(N(Tasks[[#This Row],[Pred1 UID]])=0,0,IFERROR(MATCH(Tasks[[#This Row],[Pred1 UID]],Tasks[UID],0),-1))</f>
        <v>0</v>
      </c>
      <c r="BQ81" s="41" t="n">
        <f aca="false">IF(N(Tasks[[#This Row],[Pred2 UID]])=0,0,IFERROR(MATCH(Tasks[[#This Row],[Pred2 UID]],Tasks[UID],0),-1))</f>
        <v>0</v>
      </c>
      <c r="BR81"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81" s="100" t="str">
        <f aca="false">IF(NOT(Tasks[[#This Row],[_IsLeaf]]=1),"",IF(N(Tasks[[#This Row],[Duration]])&lt;=0,Tasks[[#This Row],[_LeafCalcStart]],WORKDAY.INTL(Tasks[[#This Row],[_LeafCalcStart]],Tasks[[#This Row],[Duration]]-1,WorkWeek,Holidays)))</f>
        <v/>
      </c>
      <c r="BT81"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81"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81" s="41" t="n">
        <f aca="false">IF(NOT(Tasks[[#This Row],[_IsLeaf]]=1),0,IF(N(Tasks[[#This Row],[Actual Finish]])&gt;0,1,MIN(1,N(Tasks[[#This Row],[% Complete]]))))</f>
        <v>0</v>
      </c>
      <c r="BW81" s="41" t="n">
        <f aca="false">IF(OR(NOT(Tasks[[#This Row],[_IsLeaf]]=1),Tasks[[#This Row],[Resource]]=""),0,N(Tasks[[#This Row],[Duration]])*HoursPerDay*IF(Tasks[[#This Row],[Units]]="",DefaultUnits,Tasks[[#This Row],[Units]]))</f>
        <v>0</v>
      </c>
      <c r="BX81" s="41" t="n">
        <f aca="false">IF(Tasks[[#This Row],[_LeafWork]]=0,0,Tasks[[#This Row],[_LeafWork]]*IFERROR(INDEX(res_Rate,MATCH(Tasks[[#This Row],[Resource]],res_Name,0)),0))</f>
        <v>0</v>
      </c>
      <c r="BY8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8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8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8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81" s="41" t="n">
        <f aca="false">IF(NOT(Tasks[[#This Row],[_IsLeaf]]=1),0,MAX(_xlfn.MAXIFS(Tasks[_Row],Tasks[Pred1 UID],Tasks[[#This Row],[UID]]),_xlfn.MAXIFS(Tasks[_Row],Tasks[Pred2 UID],Tasks[[#This Row],[UID]])))</f>
        <v>0</v>
      </c>
      <c r="CD81"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81" s="100" t="str">
        <f aca="false">IF(NOT(Tasks[[#This Row],[_IsLeaf]]=1),"",MIN(ProjectFinish,IF(N(Tasks[[#This Row],[Deadline]])&gt;0,Tasks[[#This Row],[Deadline]],2958465),Tasks[[#This Row],[_SuccessorFinishLimit]]))</f>
        <v/>
      </c>
      <c r="CF81" s="100" t="str">
        <f aca="false">IF(NOT(Tasks[[#This Row],[_IsLeaf]]=1),"",IF(N(Tasks[[#This Row],[Duration]])&lt;=0,Tasks[[#This Row],[_LeafLateFinish]],WORKDAY.INTL(Tasks[[#This Row],[_LeafLateFinish]],-(Tasks[[#This Row],[Duration]]-1),WorkWeek,Holidays)))</f>
        <v/>
      </c>
      <c r="CG8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81" s="99" t="b">
        <f aca="false">AND(Tasks[[#This Row],[_IsLeaf]]=1,Tasks[[#This Row],[_LeafProgress]]&lt;1,N(Tasks[[#This Row],[_LeafTotalSlack]])&lt;=CriticalSlackDays)</f>
        <v>0</v>
      </c>
      <c r="CI81" s="100" t="str">
        <f aca="false">IF(Tasks[[#This Row],[Task Name]]="","",IF(Tasks[[#This Row],[_IsSummary]],MIN(INDEX(Tasks[_LeafCalcStart],Tasks[[#This Row],[_Row]]+1):INDEX(Tasks[_LeafCalcStart],Tasks[[#This Row],[_Row]]+Tasks[[#This Row],[_Descendants]])),Tasks[[#This Row],[_LeafCalcStart]]))</f>
        <v/>
      </c>
      <c r="CJ81" s="100" t="str">
        <f aca="false">IF(Tasks[[#This Row],[Task Name]]="","",IF(Tasks[[#This Row],[_IsSummary]],MAX(INDEX(Tasks[_LeafCalcFinish],Tasks[[#This Row],[_Row]]+1):INDEX(Tasks[_LeafCalcFinish],Tasks[[#This Row],[_Row]]+Tasks[[#This Row],[_Descendants]])),Tasks[[#This Row],[_LeafCalcFinish]]))</f>
        <v/>
      </c>
      <c r="CK8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8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81"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81"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81"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81"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81" s="41" t="n">
        <f aca="false">IF(AND(Tasks[[#This Row],[_IsLeaf]]=1,Tasks[[#This Row],[_LeafWork]]&gt;0),NETWORKDAYS.INTL(ProjectStart,Tasks[[#This Row],[_LeafFcstStart]],WorkWeek,Holidays),0)</f>
        <v>0</v>
      </c>
      <c r="CR81" s="41" t="n">
        <f aca="false">IF(AND(Tasks[[#This Row],[_IsLeaf]]=1,Tasks[[#This Row],[_LeafWork]]&gt;0),MAX(Tasks[[#This Row],[_StartWorkday]],NETWORKDAYS.INTL(ProjectStart,Tasks[[#This Row],[_LeafFcstFinish]],WorkWeek,Holidays)),0)</f>
        <v>0</v>
      </c>
      <c r="CS81" s="41" t="n">
        <f aca="false">IF(AND(Tasks[[#This Row],[_IsLeaf]]=1,Tasks[[#This Row],[_LeafWork]]&gt;0),Tasks[[#This Row],[_LeafWork]]/(Tasks[[#This Row],[_FinishWorkday]]-Tasks[[#This Row],[_StartWorkday]]+1),0)</f>
        <v>0</v>
      </c>
      <c r="CT81" s="41" t="n">
        <f aca="false">Tasks[[#This Row],[_WorkPerWorkday]]*(Tasks[[#This Row],[_StartWorkday]]-1)</f>
        <v>-0</v>
      </c>
      <c r="CU81" s="41" t="n">
        <f aca="false">IF(Tasks[[#This Row],[_IsLeaf]]=1,MAX(N(Tasks[[#This Row],[Duration]]),0.1),0)</f>
        <v>0</v>
      </c>
      <c r="CV81" s="41" t="n">
        <f aca="false">Tasks[[#This Row],[_WeightDur]]*Tasks[[#This Row],[_LeafProgress]]</f>
        <v>0</v>
      </c>
      <c r="CW8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8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8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8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81" s="41" t="str">
        <f aca="false">IF(Tasks[[#This Row],[Task Name]]="","",Tasks[[#This Row],[_Pred1UIDText]]&amp;IF(AND(Tasks[[#This Row],[_Pred1UIDText]]&lt;&gt;"",Tasks[[#This Row],[_Pred2UIDText]]&lt;&gt;""),",","")&amp;Tasks[[#This Row],[_Pred2UIDText]])</f>
        <v/>
      </c>
      <c r="DB81" s="41" t="str">
        <f aca="false">IF(AND(Tasks[[#This Row],[_IsLeaf]]=1,N(Tasks[[#This Row],[Duration]])=0,Tasks[[#This Row],[_LeafProgress]]&lt;1),Tasks[[#This Row],[_LeafFcstFinish]]+Tasks[[#This Row],[_Row]]/100000,"")</f>
        <v/>
      </c>
      <c r="DC8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81" s="41" t="n">
        <f aca="false">IF(NOT(Tasks[[#This Row],[_IsLeaf]]=1),0,IF(Tasks[[#This Row],[Baseline Cost]]="",Tasks[[#This Row],[_LeafCost]],N(Tasks[[#This Row],[Baseline Cost]])))</f>
        <v>0</v>
      </c>
      <c r="DE81" s="41" t="n">
        <f aca="false">Tasks[[#This Row],[_LeafBudget]]*Tasks[[#This Row],[_PlannedPct]]</f>
        <v>0</v>
      </c>
      <c r="DF81" s="41" t="n">
        <f aca="false">Tasks[[#This Row],[_LeafBudget]]*Tasks[[#This Row],[_LeafProgress]]</f>
        <v>0</v>
      </c>
      <c r="DG81" s="41" t="n">
        <f aca="false">IF(NOT(Tasks[[#This Row],[_IsLeaf]]=1),0,IF(Tasks[[#This Row],[Actual Cost]]="",Tasks[[#This Row],[_LeafCost]]*Tasks[[#This Row],[_LeafProgress]],N(Tasks[[#This Row],[Actual Cost]])))</f>
        <v>0</v>
      </c>
      <c r="DH81" s="41" t="str">
        <f aca="false">IF(Tasks[[#This Row],[Task Name]]="","",LEFT(Tasks[[#This Row],[WBS]],FIND(".",Tasks[[#This Row],[WBS]]&amp;".")-1))</f>
        <v/>
      </c>
      <c r="DI81" s="41" t="str">
        <f aca="false">IF(AND(Tasks[[#This Row],[Task Name]]&lt;&gt;"",Tasks[[#This Row],[_Level]]=1),Tasks[[#This Row],[_Row]],"")</f>
        <v/>
      </c>
      <c r="DJ81" s="41" t="str">
        <f aca="false">IF(AND(Tasks[[#This Row],[_IsLeaf]]=1,N(Tasks[[#This Row],[Duration]])=0),Tasks[[#This Row],[Planned Finish]]+Tasks[[#This Row],[_Row]]/100000,"")</f>
        <v/>
      </c>
      <c r="DK81" s="41" t="str">
        <f aca="false">IF(AND(Tasks[[#This Row],[_IsLeaf]]=1,Tasks[[#This Row],[_LeafProgress]]&lt;1,OR(N(Tasks[[#This Row],[Finish Var]])&gt;0,Tasks[[#This Row],[Status]]="Late Start")),MAX(0,Tasks[[#This Row],[Finish Var]])+1-Tasks[[#This Row],[_Row]]/1000000,"")</f>
        <v/>
      </c>
      <c r="DL81" s="41" t="str">
        <f aca="false">IF(AND(Tasks[[#This Row],[_IsLeaf]]=1,N(Tasks[[#This Row],[Actual Start]])=0,Tasks[[#This Row],[_LeafFcstStart]]&gt;=StatusDate,Tasks[[#This Row],[_LeafFcstStart]]&lt;=LookaheadEnd),Tasks[[#This Row],[_LeafFcstStart]]+Tasks[[#This Row],[_Row]]/100000,"")</f>
        <v/>
      </c>
      <c r="DM81" s="41" t="str">
        <f aca="false">IF(AND(Tasks[[#This Row],[_IsLeaf]]=1,Tasks[[#This Row],[_LeafProgress]]&lt;1,Tasks[[#This Row],[_LeafFcstFinish]]&gt;=StatusDate,Tasks[[#This Row],[_LeafFcstFinish]]&lt;=LookaheadEnd),Tasks[[#This Row],[_LeafFcstFinish]]+Tasks[[#This Row],[_Row]]/100000,"")</f>
        <v/>
      </c>
      <c r="DN81" s="41" t="str">
        <f aca="false">IF(Tasks[[#This Row],[_LeafCritical]],Tasks[[#This Row],[_LeafFcstStart]]+Tasks[[#This Row],[_Row]]/100000,"")</f>
        <v/>
      </c>
      <c r="DO81" s="41" t="n">
        <f aca="false">Tasks[[#This Row],[_LeafWork]]*Tasks[[#This Row],[_LeafProgress]]</f>
        <v>0</v>
      </c>
      <c r="DP81" s="100" t="str">
        <f aca="false">IF(AND(Tasks[[#This Row],[_IsLeaf]]=1,Tasks[[#This Row],[_LeafProgress]]&gt;=1),IF(N(Tasks[[#This Row],[Actual Finish]])&gt;0,Tasks[[#This Row],[Actual Finish]],Tasks[[#This Row],[_LeafFcstFinish]]),"")</f>
        <v/>
      </c>
      <c r="DQ81" s="41" t="n">
        <f aca="false">IF(Tasks[[#This Row],[_IsLeaf]]=1,N(Tasks[[#This Row],[Story Points]]),0)</f>
        <v>0</v>
      </c>
      <c r="DR81" s="41" t="str">
        <f aca="false">IF(AND(Tasks[[#This Row],[_IsLeaf]]=1,CurrentSprint&lt;&gt;"",Tasks[[#This Row],[Sprint]]=CurrentSprint),Tasks[[#This Row],[_Row]],"")</f>
        <v/>
      </c>
    </row>
    <row r="82" customFormat="false" ht="15" hidden="false" customHeight="false" outlineLevel="0" collapsed="false">
      <c r="A82" s="28" t="str">
        <f aca="false">IF(Tasks[[#This Row],[Task Name]]="","",COUNTA(Tasks[[#Headers],[Task Name]]:Tasks[[#This Row],[Task Name]])-1)</f>
        <v/>
      </c>
      <c r="B82" s="29" t="n">
        <v>77</v>
      </c>
      <c r="C8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2" s="29"/>
      <c r="E82" s="30"/>
      <c r="F82" s="29"/>
      <c r="G82" s="29"/>
      <c r="H82" s="29"/>
      <c r="I82" s="29"/>
      <c r="J82" s="29"/>
      <c r="K82" s="29"/>
      <c r="L82" s="29"/>
      <c r="M82" s="29"/>
      <c r="N82" s="73"/>
      <c r="O82" s="73"/>
      <c r="P82" s="25" t="str">
        <f aca="false">IF(Tasks[[#This Row],[Task Name]]="","",IF(N(Tasks[[#This Row],[Baseline Start]])&gt;0,Tasks[[#This Row],[Baseline Start]],Tasks[[#This Row],[_CalcStart]]))</f>
        <v/>
      </c>
      <c r="Q82" s="25" t="str">
        <f aca="false">IF(Tasks[[#This Row],[Task Name]]="","",IF(N(Tasks[[#This Row],[Baseline Finish]])&gt;0,Tasks[[#This Row],[Baseline Finish]],Tasks[[#This Row],[_CalcFinish]]))</f>
        <v/>
      </c>
      <c r="R82" s="73"/>
      <c r="S82" s="73"/>
      <c r="T82" s="25" t="str">
        <f aca="false">IF(Tasks[[#This Row],[Task Name]]="","",IF(Tasks[[#This Row],[_IsSummary]],MIN(INDEX(Tasks[_LeafFcstStart],Tasks[[#This Row],[_Row]]+1):INDEX(Tasks[_LeafFcstStart],Tasks[[#This Row],[_Row]]+Tasks[[#This Row],[_Descendants]])),Tasks[[#This Row],[_LeafFcstStart]]))</f>
        <v/>
      </c>
      <c r="U82" s="25" t="str">
        <f aca="false">IF(Tasks[[#This Row],[Task Name]]="","",IF(Tasks[[#This Row],[_IsSummary]],MAX(INDEX(Tasks[_LeafFcstFinish],Tasks[[#This Row],[_Row]]+1):INDEX(Tasks[_LeafFcstFinish],Tasks[[#This Row],[_Row]]+Tasks[[#This Row],[_Descendants]])),Tasks[[#This Row],[_LeafFcstFinish]]))</f>
        <v/>
      </c>
      <c r="V8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8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2" s="25" t="str">
        <f aca="false">IF(Tasks[[#This Row],[Task Name]]="","",IF(Tasks[[#This Row],[_IsSummary]],MIN(INDEX(Tasks[_LeafLateStart],Tasks[[#This Row],[_Row]]+1):INDEX(Tasks[_LeafLateStart],Tasks[[#This Row],[_Row]]+Tasks[[#This Row],[_Descendants]])),Tasks[[#This Row],[_LeafLateStart]]))</f>
        <v/>
      </c>
      <c r="Y82" s="25" t="str">
        <f aca="false">IF(Tasks[[#This Row],[Task Name]]="","",IF(Tasks[[#This Row],[_IsSummary]],MAX(INDEX(Tasks[_LeafLateFinish],Tasks[[#This Row],[_Row]]+1):INDEX(Tasks[_LeafLateFinish],Tasks[[#This Row],[_Row]]+Tasks[[#This Row],[_Descendants]])),Tasks[[#This Row],[_LeafLateFinish]]))</f>
        <v/>
      </c>
      <c r="Z82" s="43" t="str">
        <f aca="false">IF(Tasks[[#This Row],[Task Name]]="","",IF(Tasks[[#This Row],[_IsSummary]],MIN(INDEX(Tasks[_LeafTotalSlack],Tasks[[#This Row],[_Row]]+1):INDEX(Tasks[_LeafTotalSlack],Tasks[[#This Row],[_Row]]+Tasks[[#This Row],[_Descendants]])),Tasks[[#This Row],[_LeafTotalSlack]]))</f>
        <v/>
      </c>
      <c r="AA8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2" s="28" t="str">
        <f aca="false">IF(Tasks[[#This Row],[Task Name]]="","",IF(IF(Tasks[[#This Row],[_IsSummary]],COUNTIF(INDEX(Tasks[_LeafCritical],Tasks[[#This Row],[_Row]]+1):INDEX(Tasks[_LeafCritical],Tasks[[#This Row],[_Row]]+Tasks[[#This Row],[_Descendants]]),TRUE())&gt;0,Tasks[[#This Row],[_LeafCritical]]),"Yes",""))</f>
        <v/>
      </c>
      <c r="AC8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2" s="24" t="str">
        <f aca="false">IF(Tasks[[#This Row],[Task Name]]="","",TRIM(IF(Tasks[[#This Row],[_Pred1Problem]]&lt;&gt;"","Pred 1: "&amp;Tasks[[#This Row],[_Pred1Problem]]&amp;". ","")&amp;IF(Tasks[[#This Row],[_Pred2Problem]]&lt;&gt;"","Pred 2: "&amp;Tasks[[#This Row],[_Pred2Problem]]&amp;".","")))</f>
        <v/>
      </c>
      <c r="AE82" s="88"/>
      <c r="AF82"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2" s="28" t="str">
        <f aca="false">IF(Tasks[[#This Row],[Task Name]]="","",IF(Tasks[[#This Row],[Progress]]&gt;=1,"Complete",IF(OR(N(Tasks[[#This Row],[Actual Start]])&gt;0,Tasks[[#This Row],[Progress]]&gt;0),IF(Tasks[[#This Row],[Finish Var]]&gt;0,"Behind","In Progress"),IF(Tasks[[#This Row],[Planned Start]]&lt;StatusDate,"Late Start","Not Started"))))</f>
        <v/>
      </c>
      <c r="AH82" s="30"/>
      <c r="AI82" s="88"/>
      <c r="AJ82" s="95" t="str">
        <f aca="false">IF(Tasks[[#This Row],[Task Name]]="","",IF(Tasks[[#This Row],[_IsSummary]],SUM(INDEX(Tasks[_LeafWork],Tasks[[#This Row],[_Row]]+1):INDEX(Tasks[_LeafWork],Tasks[[#This Row],[_Row]]+Tasks[[#This Row],[_Descendants]])),Tasks[[#This Row],[_LeafWork]]))</f>
        <v/>
      </c>
      <c r="AK82" s="96" t="str">
        <f aca="false">IF(Tasks[[#This Row],[Task Name]]="","",IF(Tasks[[#This Row],[_IsSummary]],SUM(INDEX(Tasks[_LeafCost],Tasks[[#This Row],[_Row]]+1):INDEX(Tasks[_LeafCost],Tasks[[#This Row],[_Row]]+Tasks[[#This Row],[_Descendants]])),Tasks[[#This Row],[_LeafCost]]))</f>
        <v/>
      </c>
      <c r="AL82" s="97"/>
      <c r="AM82" s="29"/>
      <c r="AN8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82" s="82"/>
      <c r="AP82" s="24" t="str">
        <f aca="false">IF(Tasks[[#This Row],[Task Name]]="","",Tasks[[#This Row],[_Pred1IDText]]&amp;IF(AND(Tasks[[#This Row],[_Pred1IDText]]&lt;&gt;"",Tasks[[#This Row],[_Pred2IDText]]&lt;&gt;""),",","")&amp;Tasks[[#This Row],[_Pred2IDText]])</f>
        <v/>
      </c>
      <c r="AQ82" s="30"/>
      <c r="AR82" s="25" t="str">
        <f aca="false">IF(Tasks[[#This Row],[Task Name]]="","",Tasks[[#This Row],[Forecast Start]])</f>
        <v/>
      </c>
      <c r="AS82" s="25" t="str">
        <f aca="false">IF(Tasks[[#This Row],[Task Name]]="","",Tasks[[#This Row],[Forecast Finish]])</f>
        <v/>
      </c>
      <c r="AT82" s="28" t="str">
        <f aca="false">IF(Tasks[[#This Row],[Task Name]]="","",IF(Tasks[[#This Row],[_IsSummary]],NETWORKDAYS.INTL(Tasks[[#This Row],[Forecast Start]],Tasks[[#This Row],[Forecast Finish]],WorkWeek,Holidays),N(Tasks[[#This Row],[Duration]])))</f>
        <v/>
      </c>
      <c r="AU82" s="95" t="str">
        <f aca="false">IF(Tasks[[#This Row],[Task Name]]="","",Tasks[[#This Row],[Work]])</f>
        <v/>
      </c>
      <c r="AV82" s="96" t="str">
        <f aca="false">IF(Tasks[[#This Row],[Task Name]]="","",Tasks[[#This Row],[Cost]])</f>
        <v/>
      </c>
      <c r="AW82" s="73"/>
      <c r="AX82" s="73"/>
      <c r="AY82" s="29"/>
      <c r="AZ82" s="98"/>
      <c r="BA82" s="97"/>
      <c r="BB82" s="28" t="str">
        <f aca="false">IF(OR(Tasks[[#This Row],[Task Name]]="",Tasks[[#This Row],[Baseline Duration]]=""),"",Tasks[[#This Row],[BL Source Duration]]-N(Tasks[[#This Row],[Baseline Duration]]))</f>
        <v/>
      </c>
      <c r="BC82" s="95" t="str">
        <f aca="false">IF(OR(Tasks[[#This Row],[Task Name]]="",Tasks[[#This Row],[Baseline Work]]=""),"",Tasks[[#This Row],[Work]]-N(Tasks[[#This Row],[Baseline Work]]))</f>
        <v/>
      </c>
      <c r="BD82" s="96" t="str">
        <f aca="false">IF(OR(Tasks[[#This Row],[Task Name]]="",Tasks[[#This Row],[Baseline Cost]]=""),"",Tasks[[#This Row],[Cost]]-N(Tasks[[#This Row],[Baseline Cost]]))</f>
        <v/>
      </c>
      <c r="BE82" s="96" t="str">
        <f aca="false">IF(Tasks[[#This Row],[Task Name]]="","",IF(Tasks[[#This Row],[_IsSummary]],SUM(INDEX(Tasks[_LeafBudget],Tasks[[#This Row],[_Row]]+1):INDEX(Tasks[_LeafBudget],Tasks[[#This Row],[_Row]]+Tasks[[#This Row],[_Descendants]])),Tasks[[#This Row],[_LeafBudget]]))</f>
        <v/>
      </c>
      <c r="BF82" s="96" t="str">
        <f aca="false">IF(Tasks[[#This Row],[Task Name]]="","",IF(Tasks[[#This Row],[_IsSummary]],SUM(INDEX(Tasks[_LeafPV],Tasks[[#This Row],[_Row]]+1):INDEX(Tasks[_LeafPV],Tasks[[#This Row],[_Row]]+Tasks[[#This Row],[_Descendants]])),Tasks[[#This Row],[_LeafPV]]))</f>
        <v/>
      </c>
      <c r="BG82" s="96" t="str">
        <f aca="false">IF(Tasks[[#This Row],[Task Name]]="","",IF(Tasks[[#This Row],[_IsSummary]],SUM(INDEX(Tasks[_LeafEV],Tasks[[#This Row],[_Row]]+1):INDEX(Tasks[_LeafEV],Tasks[[#This Row],[_Row]]+Tasks[[#This Row],[_Descendants]])),Tasks[[#This Row],[_LeafEV]]))</f>
        <v/>
      </c>
      <c r="BH82" s="96" t="str">
        <f aca="false">IF(Tasks[[#This Row],[Task Name]]="","",IF(Tasks[[#This Row],[_IsSummary]],SUM(INDEX(Tasks[_LeafAC],Tasks[[#This Row],[_Row]]+1):INDEX(Tasks[_LeafAC],Tasks[[#This Row],[_Row]]+Tasks[[#This Row],[_Descendants]])),Tasks[[#This Row],[_LeafAC]]))</f>
        <v/>
      </c>
      <c r="BI82" s="41" t="str">
        <f aca="false">IF(Tasks[[#This Row],[Task Name]]="","",MAX(1,N(Tasks[[#This Row],[Level]])))</f>
        <v/>
      </c>
      <c r="BJ82" s="41" t="n">
        <f aca="false">ROW()-ROW(Tasks[[#Headers],[ID]])</f>
        <v>77</v>
      </c>
      <c r="BK82" s="41" t="n">
        <f aca="false">IF(OR(Tasks[[#This Row],[Task Name]]="",Tasks[[#This Row],[_Level]]&lt;=1),0,IFERROR(LOOKUP(2,1/(Tasks[[#Headers],[_Level]]:Tasks[[#This Row],[_Level]]=Tasks[[#This Row],[_Level]]-1),ROW(Tasks[[#Headers],[_Level]]:Tasks[[#This Row],[_Level]])),0))</f>
        <v>0</v>
      </c>
      <c r="BL82" s="41" t="n">
        <f aca="false">IFERROR(N(INDEX(Tasks[_Level],Tasks[[#This Row],[_Row]]+1)),0)</f>
        <v>0</v>
      </c>
      <c r="BM82" s="99" t="b">
        <f aca="false">AND(Tasks[[#This Row],[Task Name]]&lt;&gt;"",Tasks[[#This Row],[_NextLevel]]&gt;Tasks[[#This Row],[_Level]])</f>
        <v>0</v>
      </c>
      <c r="BN82" s="41" t="n">
        <f aca="false">IF(Tasks[[#This Row],[_IsSummary]],COUNTIF(Tasks[WBS],Tasks[[#This Row],[WBS]]&amp;".*"),0)</f>
        <v>0</v>
      </c>
      <c r="BO82" s="41" t="n">
        <f aca="false">IF(AND(Tasks[[#This Row],[Task Name]]&lt;&gt;"",NOT(Tasks[[#This Row],[_IsSummary]])),1,0)</f>
        <v>0</v>
      </c>
      <c r="BP82" s="41" t="n">
        <f aca="false">IF(N(Tasks[[#This Row],[Pred1 UID]])=0,0,IFERROR(MATCH(Tasks[[#This Row],[Pred1 UID]],Tasks[UID],0),-1))</f>
        <v>0</v>
      </c>
      <c r="BQ82" s="41" t="n">
        <f aca="false">IF(N(Tasks[[#This Row],[Pred2 UID]])=0,0,IFERROR(MATCH(Tasks[[#This Row],[Pred2 UID]],Tasks[UID],0),-1))</f>
        <v>0</v>
      </c>
      <c r="BR82"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82" s="100" t="str">
        <f aca="false">IF(NOT(Tasks[[#This Row],[_IsLeaf]]=1),"",IF(N(Tasks[[#This Row],[Duration]])&lt;=0,Tasks[[#This Row],[_LeafCalcStart]],WORKDAY.INTL(Tasks[[#This Row],[_LeafCalcStart]],Tasks[[#This Row],[Duration]]-1,WorkWeek,Holidays)))</f>
        <v/>
      </c>
      <c r="BT82"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82"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82" s="41" t="n">
        <f aca="false">IF(NOT(Tasks[[#This Row],[_IsLeaf]]=1),0,IF(N(Tasks[[#This Row],[Actual Finish]])&gt;0,1,MIN(1,N(Tasks[[#This Row],[% Complete]]))))</f>
        <v>0</v>
      </c>
      <c r="BW82" s="41" t="n">
        <f aca="false">IF(OR(NOT(Tasks[[#This Row],[_IsLeaf]]=1),Tasks[[#This Row],[Resource]]=""),0,N(Tasks[[#This Row],[Duration]])*HoursPerDay*IF(Tasks[[#This Row],[Units]]="",DefaultUnits,Tasks[[#This Row],[Units]]))</f>
        <v>0</v>
      </c>
      <c r="BX82" s="41" t="n">
        <f aca="false">IF(Tasks[[#This Row],[_LeafWork]]=0,0,Tasks[[#This Row],[_LeafWork]]*IFERROR(INDEX(res_Rate,MATCH(Tasks[[#This Row],[Resource]],res_Name,0)),0))</f>
        <v>0</v>
      </c>
      <c r="BY8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8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8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8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82" s="41" t="n">
        <f aca="false">IF(NOT(Tasks[[#This Row],[_IsLeaf]]=1),0,MAX(_xlfn.MAXIFS(Tasks[_Row],Tasks[Pred1 UID],Tasks[[#This Row],[UID]]),_xlfn.MAXIFS(Tasks[_Row],Tasks[Pred2 UID],Tasks[[#This Row],[UID]])))</f>
        <v>0</v>
      </c>
      <c r="CD82"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82" s="100" t="str">
        <f aca="false">IF(NOT(Tasks[[#This Row],[_IsLeaf]]=1),"",MIN(ProjectFinish,IF(N(Tasks[[#This Row],[Deadline]])&gt;0,Tasks[[#This Row],[Deadline]],2958465),Tasks[[#This Row],[_SuccessorFinishLimit]]))</f>
        <v/>
      </c>
      <c r="CF82" s="100" t="str">
        <f aca="false">IF(NOT(Tasks[[#This Row],[_IsLeaf]]=1),"",IF(N(Tasks[[#This Row],[Duration]])&lt;=0,Tasks[[#This Row],[_LeafLateFinish]],WORKDAY.INTL(Tasks[[#This Row],[_LeafLateFinish]],-(Tasks[[#This Row],[Duration]]-1),WorkWeek,Holidays)))</f>
        <v/>
      </c>
      <c r="CG8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82" s="99" t="b">
        <f aca="false">AND(Tasks[[#This Row],[_IsLeaf]]=1,Tasks[[#This Row],[_LeafProgress]]&lt;1,N(Tasks[[#This Row],[_LeafTotalSlack]])&lt;=CriticalSlackDays)</f>
        <v>0</v>
      </c>
      <c r="CI82" s="100" t="str">
        <f aca="false">IF(Tasks[[#This Row],[Task Name]]="","",IF(Tasks[[#This Row],[_IsSummary]],MIN(INDEX(Tasks[_LeafCalcStart],Tasks[[#This Row],[_Row]]+1):INDEX(Tasks[_LeafCalcStart],Tasks[[#This Row],[_Row]]+Tasks[[#This Row],[_Descendants]])),Tasks[[#This Row],[_LeafCalcStart]]))</f>
        <v/>
      </c>
      <c r="CJ82" s="100" t="str">
        <f aca="false">IF(Tasks[[#This Row],[Task Name]]="","",IF(Tasks[[#This Row],[_IsSummary]],MAX(INDEX(Tasks[_LeafCalcFinish],Tasks[[#This Row],[_Row]]+1):INDEX(Tasks[_LeafCalcFinish],Tasks[[#This Row],[_Row]]+Tasks[[#This Row],[_Descendants]])),Tasks[[#This Row],[_LeafCalcFinish]]))</f>
        <v/>
      </c>
      <c r="CK8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8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82"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82"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82"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82"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82" s="41" t="n">
        <f aca="false">IF(AND(Tasks[[#This Row],[_IsLeaf]]=1,Tasks[[#This Row],[_LeafWork]]&gt;0),NETWORKDAYS.INTL(ProjectStart,Tasks[[#This Row],[_LeafFcstStart]],WorkWeek,Holidays),0)</f>
        <v>0</v>
      </c>
      <c r="CR82" s="41" t="n">
        <f aca="false">IF(AND(Tasks[[#This Row],[_IsLeaf]]=1,Tasks[[#This Row],[_LeafWork]]&gt;0),MAX(Tasks[[#This Row],[_StartWorkday]],NETWORKDAYS.INTL(ProjectStart,Tasks[[#This Row],[_LeafFcstFinish]],WorkWeek,Holidays)),0)</f>
        <v>0</v>
      </c>
      <c r="CS82" s="41" t="n">
        <f aca="false">IF(AND(Tasks[[#This Row],[_IsLeaf]]=1,Tasks[[#This Row],[_LeafWork]]&gt;0),Tasks[[#This Row],[_LeafWork]]/(Tasks[[#This Row],[_FinishWorkday]]-Tasks[[#This Row],[_StartWorkday]]+1),0)</f>
        <v>0</v>
      </c>
      <c r="CT82" s="41" t="n">
        <f aca="false">Tasks[[#This Row],[_WorkPerWorkday]]*(Tasks[[#This Row],[_StartWorkday]]-1)</f>
        <v>-0</v>
      </c>
      <c r="CU82" s="41" t="n">
        <f aca="false">IF(Tasks[[#This Row],[_IsLeaf]]=1,MAX(N(Tasks[[#This Row],[Duration]]),0.1),0)</f>
        <v>0</v>
      </c>
      <c r="CV82" s="41" t="n">
        <f aca="false">Tasks[[#This Row],[_WeightDur]]*Tasks[[#This Row],[_LeafProgress]]</f>
        <v>0</v>
      </c>
      <c r="CW8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8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8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8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82" s="41" t="str">
        <f aca="false">IF(Tasks[[#This Row],[Task Name]]="","",Tasks[[#This Row],[_Pred1UIDText]]&amp;IF(AND(Tasks[[#This Row],[_Pred1UIDText]]&lt;&gt;"",Tasks[[#This Row],[_Pred2UIDText]]&lt;&gt;""),",","")&amp;Tasks[[#This Row],[_Pred2UIDText]])</f>
        <v/>
      </c>
      <c r="DB82" s="41" t="str">
        <f aca="false">IF(AND(Tasks[[#This Row],[_IsLeaf]]=1,N(Tasks[[#This Row],[Duration]])=0,Tasks[[#This Row],[_LeafProgress]]&lt;1),Tasks[[#This Row],[_LeafFcstFinish]]+Tasks[[#This Row],[_Row]]/100000,"")</f>
        <v/>
      </c>
      <c r="DC8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82" s="41" t="n">
        <f aca="false">IF(NOT(Tasks[[#This Row],[_IsLeaf]]=1),0,IF(Tasks[[#This Row],[Baseline Cost]]="",Tasks[[#This Row],[_LeafCost]],N(Tasks[[#This Row],[Baseline Cost]])))</f>
        <v>0</v>
      </c>
      <c r="DE82" s="41" t="n">
        <f aca="false">Tasks[[#This Row],[_LeafBudget]]*Tasks[[#This Row],[_PlannedPct]]</f>
        <v>0</v>
      </c>
      <c r="DF82" s="41" t="n">
        <f aca="false">Tasks[[#This Row],[_LeafBudget]]*Tasks[[#This Row],[_LeafProgress]]</f>
        <v>0</v>
      </c>
      <c r="DG82" s="41" t="n">
        <f aca="false">IF(NOT(Tasks[[#This Row],[_IsLeaf]]=1),0,IF(Tasks[[#This Row],[Actual Cost]]="",Tasks[[#This Row],[_LeafCost]]*Tasks[[#This Row],[_LeafProgress]],N(Tasks[[#This Row],[Actual Cost]])))</f>
        <v>0</v>
      </c>
      <c r="DH82" s="41" t="str">
        <f aca="false">IF(Tasks[[#This Row],[Task Name]]="","",LEFT(Tasks[[#This Row],[WBS]],FIND(".",Tasks[[#This Row],[WBS]]&amp;".")-1))</f>
        <v/>
      </c>
      <c r="DI82" s="41" t="str">
        <f aca="false">IF(AND(Tasks[[#This Row],[Task Name]]&lt;&gt;"",Tasks[[#This Row],[_Level]]=1),Tasks[[#This Row],[_Row]],"")</f>
        <v/>
      </c>
      <c r="DJ82" s="41" t="str">
        <f aca="false">IF(AND(Tasks[[#This Row],[_IsLeaf]]=1,N(Tasks[[#This Row],[Duration]])=0),Tasks[[#This Row],[Planned Finish]]+Tasks[[#This Row],[_Row]]/100000,"")</f>
        <v/>
      </c>
      <c r="DK82" s="41" t="str">
        <f aca="false">IF(AND(Tasks[[#This Row],[_IsLeaf]]=1,Tasks[[#This Row],[_LeafProgress]]&lt;1,OR(N(Tasks[[#This Row],[Finish Var]])&gt;0,Tasks[[#This Row],[Status]]="Late Start")),MAX(0,Tasks[[#This Row],[Finish Var]])+1-Tasks[[#This Row],[_Row]]/1000000,"")</f>
        <v/>
      </c>
      <c r="DL82" s="41" t="str">
        <f aca="false">IF(AND(Tasks[[#This Row],[_IsLeaf]]=1,N(Tasks[[#This Row],[Actual Start]])=0,Tasks[[#This Row],[_LeafFcstStart]]&gt;=StatusDate,Tasks[[#This Row],[_LeafFcstStart]]&lt;=LookaheadEnd),Tasks[[#This Row],[_LeafFcstStart]]+Tasks[[#This Row],[_Row]]/100000,"")</f>
        <v/>
      </c>
      <c r="DM82" s="41" t="str">
        <f aca="false">IF(AND(Tasks[[#This Row],[_IsLeaf]]=1,Tasks[[#This Row],[_LeafProgress]]&lt;1,Tasks[[#This Row],[_LeafFcstFinish]]&gt;=StatusDate,Tasks[[#This Row],[_LeafFcstFinish]]&lt;=LookaheadEnd),Tasks[[#This Row],[_LeafFcstFinish]]+Tasks[[#This Row],[_Row]]/100000,"")</f>
        <v/>
      </c>
      <c r="DN82" s="41" t="str">
        <f aca="false">IF(Tasks[[#This Row],[_LeafCritical]],Tasks[[#This Row],[_LeafFcstStart]]+Tasks[[#This Row],[_Row]]/100000,"")</f>
        <v/>
      </c>
      <c r="DO82" s="41" t="n">
        <f aca="false">Tasks[[#This Row],[_LeafWork]]*Tasks[[#This Row],[_LeafProgress]]</f>
        <v>0</v>
      </c>
      <c r="DP82" s="100" t="str">
        <f aca="false">IF(AND(Tasks[[#This Row],[_IsLeaf]]=1,Tasks[[#This Row],[_LeafProgress]]&gt;=1),IF(N(Tasks[[#This Row],[Actual Finish]])&gt;0,Tasks[[#This Row],[Actual Finish]],Tasks[[#This Row],[_LeafFcstFinish]]),"")</f>
        <v/>
      </c>
      <c r="DQ82" s="41" t="n">
        <f aca="false">IF(Tasks[[#This Row],[_IsLeaf]]=1,N(Tasks[[#This Row],[Story Points]]),0)</f>
        <v>0</v>
      </c>
      <c r="DR82" s="41" t="str">
        <f aca="false">IF(AND(Tasks[[#This Row],[_IsLeaf]]=1,CurrentSprint&lt;&gt;"",Tasks[[#This Row],[Sprint]]=CurrentSprint),Tasks[[#This Row],[_Row]],"")</f>
        <v/>
      </c>
    </row>
    <row r="83" customFormat="false" ht="15" hidden="false" customHeight="false" outlineLevel="0" collapsed="false">
      <c r="A83" s="28" t="str">
        <f aca="false">IF(Tasks[[#This Row],[Task Name]]="","",COUNTA(Tasks[[#Headers],[Task Name]]:Tasks[[#This Row],[Task Name]])-1)</f>
        <v/>
      </c>
      <c r="B83" s="29" t="n">
        <v>78</v>
      </c>
      <c r="C8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3" s="29"/>
      <c r="E83" s="30"/>
      <c r="F83" s="29"/>
      <c r="G83" s="29"/>
      <c r="H83" s="29"/>
      <c r="I83" s="29"/>
      <c r="J83" s="29"/>
      <c r="K83" s="29"/>
      <c r="L83" s="29"/>
      <c r="M83" s="29"/>
      <c r="N83" s="73"/>
      <c r="O83" s="73"/>
      <c r="P83" s="25" t="str">
        <f aca="false">IF(Tasks[[#This Row],[Task Name]]="","",IF(N(Tasks[[#This Row],[Baseline Start]])&gt;0,Tasks[[#This Row],[Baseline Start]],Tasks[[#This Row],[_CalcStart]]))</f>
        <v/>
      </c>
      <c r="Q83" s="25" t="str">
        <f aca="false">IF(Tasks[[#This Row],[Task Name]]="","",IF(N(Tasks[[#This Row],[Baseline Finish]])&gt;0,Tasks[[#This Row],[Baseline Finish]],Tasks[[#This Row],[_CalcFinish]]))</f>
        <v/>
      </c>
      <c r="R83" s="73"/>
      <c r="S83" s="73"/>
      <c r="T83" s="25" t="str">
        <f aca="false">IF(Tasks[[#This Row],[Task Name]]="","",IF(Tasks[[#This Row],[_IsSummary]],MIN(INDEX(Tasks[_LeafFcstStart],Tasks[[#This Row],[_Row]]+1):INDEX(Tasks[_LeafFcstStart],Tasks[[#This Row],[_Row]]+Tasks[[#This Row],[_Descendants]])),Tasks[[#This Row],[_LeafFcstStart]]))</f>
        <v/>
      </c>
      <c r="U83" s="25" t="str">
        <f aca="false">IF(Tasks[[#This Row],[Task Name]]="","",IF(Tasks[[#This Row],[_IsSummary]],MAX(INDEX(Tasks[_LeafFcstFinish],Tasks[[#This Row],[_Row]]+1):INDEX(Tasks[_LeafFcstFinish],Tasks[[#This Row],[_Row]]+Tasks[[#This Row],[_Descendants]])),Tasks[[#This Row],[_LeafFcstFinish]]))</f>
        <v/>
      </c>
      <c r="V8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8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3" s="25" t="str">
        <f aca="false">IF(Tasks[[#This Row],[Task Name]]="","",IF(Tasks[[#This Row],[_IsSummary]],MIN(INDEX(Tasks[_LeafLateStart],Tasks[[#This Row],[_Row]]+1):INDEX(Tasks[_LeafLateStart],Tasks[[#This Row],[_Row]]+Tasks[[#This Row],[_Descendants]])),Tasks[[#This Row],[_LeafLateStart]]))</f>
        <v/>
      </c>
      <c r="Y83" s="25" t="str">
        <f aca="false">IF(Tasks[[#This Row],[Task Name]]="","",IF(Tasks[[#This Row],[_IsSummary]],MAX(INDEX(Tasks[_LeafLateFinish],Tasks[[#This Row],[_Row]]+1):INDEX(Tasks[_LeafLateFinish],Tasks[[#This Row],[_Row]]+Tasks[[#This Row],[_Descendants]])),Tasks[[#This Row],[_LeafLateFinish]]))</f>
        <v/>
      </c>
      <c r="Z83" s="43" t="str">
        <f aca="false">IF(Tasks[[#This Row],[Task Name]]="","",IF(Tasks[[#This Row],[_IsSummary]],MIN(INDEX(Tasks[_LeafTotalSlack],Tasks[[#This Row],[_Row]]+1):INDEX(Tasks[_LeafTotalSlack],Tasks[[#This Row],[_Row]]+Tasks[[#This Row],[_Descendants]])),Tasks[[#This Row],[_LeafTotalSlack]]))</f>
        <v/>
      </c>
      <c r="AA8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3" s="28" t="str">
        <f aca="false">IF(Tasks[[#This Row],[Task Name]]="","",IF(IF(Tasks[[#This Row],[_IsSummary]],COUNTIF(INDEX(Tasks[_LeafCritical],Tasks[[#This Row],[_Row]]+1):INDEX(Tasks[_LeafCritical],Tasks[[#This Row],[_Row]]+Tasks[[#This Row],[_Descendants]]),TRUE())&gt;0,Tasks[[#This Row],[_LeafCritical]]),"Yes",""))</f>
        <v/>
      </c>
      <c r="AC8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3" s="24" t="str">
        <f aca="false">IF(Tasks[[#This Row],[Task Name]]="","",TRIM(IF(Tasks[[#This Row],[_Pred1Problem]]&lt;&gt;"","Pred 1: "&amp;Tasks[[#This Row],[_Pred1Problem]]&amp;". ","")&amp;IF(Tasks[[#This Row],[_Pred2Problem]]&lt;&gt;"","Pred 2: "&amp;Tasks[[#This Row],[_Pred2Problem]]&amp;".","")))</f>
        <v/>
      </c>
      <c r="AE83" s="88"/>
      <c r="AF83"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3" s="28" t="str">
        <f aca="false">IF(Tasks[[#This Row],[Task Name]]="","",IF(Tasks[[#This Row],[Progress]]&gt;=1,"Complete",IF(OR(N(Tasks[[#This Row],[Actual Start]])&gt;0,Tasks[[#This Row],[Progress]]&gt;0),IF(Tasks[[#This Row],[Finish Var]]&gt;0,"Behind","In Progress"),IF(Tasks[[#This Row],[Planned Start]]&lt;StatusDate,"Late Start","Not Started"))))</f>
        <v/>
      </c>
      <c r="AH83" s="30"/>
      <c r="AI83" s="88"/>
      <c r="AJ83" s="95" t="str">
        <f aca="false">IF(Tasks[[#This Row],[Task Name]]="","",IF(Tasks[[#This Row],[_IsSummary]],SUM(INDEX(Tasks[_LeafWork],Tasks[[#This Row],[_Row]]+1):INDEX(Tasks[_LeafWork],Tasks[[#This Row],[_Row]]+Tasks[[#This Row],[_Descendants]])),Tasks[[#This Row],[_LeafWork]]))</f>
        <v/>
      </c>
      <c r="AK83" s="96" t="str">
        <f aca="false">IF(Tasks[[#This Row],[Task Name]]="","",IF(Tasks[[#This Row],[_IsSummary]],SUM(INDEX(Tasks[_LeafCost],Tasks[[#This Row],[_Row]]+1):INDEX(Tasks[_LeafCost],Tasks[[#This Row],[_Row]]+Tasks[[#This Row],[_Descendants]])),Tasks[[#This Row],[_LeafCost]]))</f>
        <v/>
      </c>
      <c r="AL83" s="97"/>
      <c r="AM83" s="29"/>
      <c r="AN8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83" s="82"/>
      <c r="AP83" s="24" t="str">
        <f aca="false">IF(Tasks[[#This Row],[Task Name]]="","",Tasks[[#This Row],[_Pred1IDText]]&amp;IF(AND(Tasks[[#This Row],[_Pred1IDText]]&lt;&gt;"",Tasks[[#This Row],[_Pred2IDText]]&lt;&gt;""),",","")&amp;Tasks[[#This Row],[_Pred2IDText]])</f>
        <v/>
      </c>
      <c r="AQ83" s="30"/>
      <c r="AR83" s="25" t="str">
        <f aca="false">IF(Tasks[[#This Row],[Task Name]]="","",Tasks[[#This Row],[Forecast Start]])</f>
        <v/>
      </c>
      <c r="AS83" s="25" t="str">
        <f aca="false">IF(Tasks[[#This Row],[Task Name]]="","",Tasks[[#This Row],[Forecast Finish]])</f>
        <v/>
      </c>
      <c r="AT83" s="28" t="str">
        <f aca="false">IF(Tasks[[#This Row],[Task Name]]="","",IF(Tasks[[#This Row],[_IsSummary]],NETWORKDAYS.INTL(Tasks[[#This Row],[Forecast Start]],Tasks[[#This Row],[Forecast Finish]],WorkWeek,Holidays),N(Tasks[[#This Row],[Duration]])))</f>
        <v/>
      </c>
      <c r="AU83" s="95" t="str">
        <f aca="false">IF(Tasks[[#This Row],[Task Name]]="","",Tasks[[#This Row],[Work]])</f>
        <v/>
      </c>
      <c r="AV83" s="96" t="str">
        <f aca="false">IF(Tasks[[#This Row],[Task Name]]="","",Tasks[[#This Row],[Cost]])</f>
        <v/>
      </c>
      <c r="AW83" s="73"/>
      <c r="AX83" s="73"/>
      <c r="AY83" s="29"/>
      <c r="AZ83" s="98"/>
      <c r="BA83" s="97"/>
      <c r="BB83" s="28" t="str">
        <f aca="false">IF(OR(Tasks[[#This Row],[Task Name]]="",Tasks[[#This Row],[Baseline Duration]]=""),"",Tasks[[#This Row],[BL Source Duration]]-N(Tasks[[#This Row],[Baseline Duration]]))</f>
        <v/>
      </c>
      <c r="BC83" s="95" t="str">
        <f aca="false">IF(OR(Tasks[[#This Row],[Task Name]]="",Tasks[[#This Row],[Baseline Work]]=""),"",Tasks[[#This Row],[Work]]-N(Tasks[[#This Row],[Baseline Work]]))</f>
        <v/>
      </c>
      <c r="BD83" s="96" t="str">
        <f aca="false">IF(OR(Tasks[[#This Row],[Task Name]]="",Tasks[[#This Row],[Baseline Cost]]=""),"",Tasks[[#This Row],[Cost]]-N(Tasks[[#This Row],[Baseline Cost]]))</f>
        <v/>
      </c>
      <c r="BE83" s="96" t="str">
        <f aca="false">IF(Tasks[[#This Row],[Task Name]]="","",IF(Tasks[[#This Row],[_IsSummary]],SUM(INDEX(Tasks[_LeafBudget],Tasks[[#This Row],[_Row]]+1):INDEX(Tasks[_LeafBudget],Tasks[[#This Row],[_Row]]+Tasks[[#This Row],[_Descendants]])),Tasks[[#This Row],[_LeafBudget]]))</f>
        <v/>
      </c>
      <c r="BF83" s="96" t="str">
        <f aca="false">IF(Tasks[[#This Row],[Task Name]]="","",IF(Tasks[[#This Row],[_IsSummary]],SUM(INDEX(Tasks[_LeafPV],Tasks[[#This Row],[_Row]]+1):INDEX(Tasks[_LeafPV],Tasks[[#This Row],[_Row]]+Tasks[[#This Row],[_Descendants]])),Tasks[[#This Row],[_LeafPV]]))</f>
        <v/>
      </c>
      <c r="BG83" s="96" t="str">
        <f aca="false">IF(Tasks[[#This Row],[Task Name]]="","",IF(Tasks[[#This Row],[_IsSummary]],SUM(INDEX(Tasks[_LeafEV],Tasks[[#This Row],[_Row]]+1):INDEX(Tasks[_LeafEV],Tasks[[#This Row],[_Row]]+Tasks[[#This Row],[_Descendants]])),Tasks[[#This Row],[_LeafEV]]))</f>
        <v/>
      </c>
      <c r="BH83" s="96" t="str">
        <f aca="false">IF(Tasks[[#This Row],[Task Name]]="","",IF(Tasks[[#This Row],[_IsSummary]],SUM(INDEX(Tasks[_LeafAC],Tasks[[#This Row],[_Row]]+1):INDEX(Tasks[_LeafAC],Tasks[[#This Row],[_Row]]+Tasks[[#This Row],[_Descendants]])),Tasks[[#This Row],[_LeafAC]]))</f>
        <v/>
      </c>
      <c r="BI83" s="41" t="str">
        <f aca="false">IF(Tasks[[#This Row],[Task Name]]="","",MAX(1,N(Tasks[[#This Row],[Level]])))</f>
        <v/>
      </c>
      <c r="BJ83" s="41" t="n">
        <f aca="false">ROW()-ROW(Tasks[[#Headers],[ID]])</f>
        <v>78</v>
      </c>
      <c r="BK83" s="41" t="n">
        <f aca="false">IF(OR(Tasks[[#This Row],[Task Name]]="",Tasks[[#This Row],[_Level]]&lt;=1),0,IFERROR(LOOKUP(2,1/(Tasks[[#Headers],[_Level]]:Tasks[[#This Row],[_Level]]=Tasks[[#This Row],[_Level]]-1),ROW(Tasks[[#Headers],[_Level]]:Tasks[[#This Row],[_Level]])),0))</f>
        <v>0</v>
      </c>
      <c r="BL83" s="41" t="n">
        <f aca="false">IFERROR(N(INDEX(Tasks[_Level],Tasks[[#This Row],[_Row]]+1)),0)</f>
        <v>0</v>
      </c>
      <c r="BM83" s="99" t="b">
        <f aca="false">AND(Tasks[[#This Row],[Task Name]]&lt;&gt;"",Tasks[[#This Row],[_NextLevel]]&gt;Tasks[[#This Row],[_Level]])</f>
        <v>0</v>
      </c>
      <c r="BN83" s="41" t="n">
        <f aca="false">IF(Tasks[[#This Row],[_IsSummary]],COUNTIF(Tasks[WBS],Tasks[[#This Row],[WBS]]&amp;".*"),0)</f>
        <v>0</v>
      </c>
      <c r="BO83" s="41" t="n">
        <f aca="false">IF(AND(Tasks[[#This Row],[Task Name]]&lt;&gt;"",NOT(Tasks[[#This Row],[_IsSummary]])),1,0)</f>
        <v>0</v>
      </c>
      <c r="BP83" s="41" t="n">
        <f aca="false">IF(N(Tasks[[#This Row],[Pred1 UID]])=0,0,IFERROR(MATCH(Tasks[[#This Row],[Pred1 UID]],Tasks[UID],0),-1))</f>
        <v>0</v>
      </c>
      <c r="BQ83" s="41" t="n">
        <f aca="false">IF(N(Tasks[[#This Row],[Pred2 UID]])=0,0,IFERROR(MATCH(Tasks[[#This Row],[Pred2 UID]],Tasks[UID],0),-1))</f>
        <v>0</v>
      </c>
      <c r="BR83"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83" s="100" t="str">
        <f aca="false">IF(NOT(Tasks[[#This Row],[_IsLeaf]]=1),"",IF(N(Tasks[[#This Row],[Duration]])&lt;=0,Tasks[[#This Row],[_LeafCalcStart]],WORKDAY.INTL(Tasks[[#This Row],[_LeafCalcStart]],Tasks[[#This Row],[Duration]]-1,WorkWeek,Holidays)))</f>
        <v/>
      </c>
      <c r="BT83"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83"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83" s="41" t="n">
        <f aca="false">IF(NOT(Tasks[[#This Row],[_IsLeaf]]=1),0,IF(N(Tasks[[#This Row],[Actual Finish]])&gt;0,1,MIN(1,N(Tasks[[#This Row],[% Complete]]))))</f>
        <v>0</v>
      </c>
      <c r="BW83" s="41" t="n">
        <f aca="false">IF(OR(NOT(Tasks[[#This Row],[_IsLeaf]]=1),Tasks[[#This Row],[Resource]]=""),0,N(Tasks[[#This Row],[Duration]])*HoursPerDay*IF(Tasks[[#This Row],[Units]]="",DefaultUnits,Tasks[[#This Row],[Units]]))</f>
        <v>0</v>
      </c>
      <c r="BX83" s="41" t="n">
        <f aca="false">IF(Tasks[[#This Row],[_LeafWork]]=0,0,Tasks[[#This Row],[_LeafWork]]*IFERROR(INDEX(res_Rate,MATCH(Tasks[[#This Row],[Resource]],res_Name,0)),0))</f>
        <v>0</v>
      </c>
      <c r="BY8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8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8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8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83" s="41" t="n">
        <f aca="false">IF(NOT(Tasks[[#This Row],[_IsLeaf]]=1),0,MAX(_xlfn.MAXIFS(Tasks[_Row],Tasks[Pred1 UID],Tasks[[#This Row],[UID]]),_xlfn.MAXIFS(Tasks[_Row],Tasks[Pred2 UID],Tasks[[#This Row],[UID]])))</f>
        <v>0</v>
      </c>
      <c r="CD83"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83" s="100" t="str">
        <f aca="false">IF(NOT(Tasks[[#This Row],[_IsLeaf]]=1),"",MIN(ProjectFinish,IF(N(Tasks[[#This Row],[Deadline]])&gt;0,Tasks[[#This Row],[Deadline]],2958465),Tasks[[#This Row],[_SuccessorFinishLimit]]))</f>
        <v/>
      </c>
      <c r="CF83" s="100" t="str">
        <f aca="false">IF(NOT(Tasks[[#This Row],[_IsLeaf]]=1),"",IF(N(Tasks[[#This Row],[Duration]])&lt;=0,Tasks[[#This Row],[_LeafLateFinish]],WORKDAY.INTL(Tasks[[#This Row],[_LeafLateFinish]],-(Tasks[[#This Row],[Duration]]-1),WorkWeek,Holidays)))</f>
        <v/>
      </c>
      <c r="CG8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83" s="99" t="b">
        <f aca="false">AND(Tasks[[#This Row],[_IsLeaf]]=1,Tasks[[#This Row],[_LeafProgress]]&lt;1,N(Tasks[[#This Row],[_LeafTotalSlack]])&lt;=CriticalSlackDays)</f>
        <v>0</v>
      </c>
      <c r="CI83" s="100" t="str">
        <f aca="false">IF(Tasks[[#This Row],[Task Name]]="","",IF(Tasks[[#This Row],[_IsSummary]],MIN(INDEX(Tasks[_LeafCalcStart],Tasks[[#This Row],[_Row]]+1):INDEX(Tasks[_LeafCalcStart],Tasks[[#This Row],[_Row]]+Tasks[[#This Row],[_Descendants]])),Tasks[[#This Row],[_LeafCalcStart]]))</f>
        <v/>
      </c>
      <c r="CJ83" s="100" t="str">
        <f aca="false">IF(Tasks[[#This Row],[Task Name]]="","",IF(Tasks[[#This Row],[_IsSummary]],MAX(INDEX(Tasks[_LeafCalcFinish],Tasks[[#This Row],[_Row]]+1):INDEX(Tasks[_LeafCalcFinish],Tasks[[#This Row],[_Row]]+Tasks[[#This Row],[_Descendants]])),Tasks[[#This Row],[_LeafCalcFinish]]))</f>
        <v/>
      </c>
      <c r="CK8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8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83"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83"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83"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83"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83" s="41" t="n">
        <f aca="false">IF(AND(Tasks[[#This Row],[_IsLeaf]]=1,Tasks[[#This Row],[_LeafWork]]&gt;0),NETWORKDAYS.INTL(ProjectStart,Tasks[[#This Row],[_LeafFcstStart]],WorkWeek,Holidays),0)</f>
        <v>0</v>
      </c>
      <c r="CR83" s="41" t="n">
        <f aca="false">IF(AND(Tasks[[#This Row],[_IsLeaf]]=1,Tasks[[#This Row],[_LeafWork]]&gt;0),MAX(Tasks[[#This Row],[_StartWorkday]],NETWORKDAYS.INTL(ProjectStart,Tasks[[#This Row],[_LeafFcstFinish]],WorkWeek,Holidays)),0)</f>
        <v>0</v>
      </c>
      <c r="CS83" s="41" t="n">
        <f aca="false">IF(AND(Tasks[[#This Row],[_IsLeaf]]=1,Tasks[[#This Row],[_LeafWork]]&gt;0),Tasks[[#This Row],[_LeafWork]]/(Tasks[[#This Row],[_FinishWorkday]]-Tasks[[#This Row],[_StartWorkday]]+1),0)</f>
        <v>0</v>
      </c>
      <c r="CT83" s="41" t="n">
        <f aca="false">Tasks[[#This Row],[_WorkPerWorkday]]*(Tasks[[#This Row],[_StartWorkday]]-1)</f>
        <v>-0</v>
      </c>
      <c r="CU83" s="41" t="n">
        <f aca="false">IF(Tasks[[#This Row],[_IsLeaf]]=1,MAX(N(Tasks[[#This Row],[Duration]]),0.1),0)</f>
        <v>0</v>
      </c>
      <c r="CV83" s="41" t="n">
        <f aca="false">Tasks[[#This Row],[_WeightDur]]*Tasks[[#This Row],[_LeafProgress]]</f>
        <v>0</v>
      </c>
      <c r="CW8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8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8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8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83" s="41" t="str">
        <f aca="false">IF(Tasks[[#This Row],[Task Name]]="","",Tasks[[#This Row],[_Pred1UIDText]]&amp;IF(AND(Tasks[[#This Row],[_Pred1UIDText]]&lt;&gt;"",Tasks[[#This Row],[_Pred2UIDText]]&lt;&gt;""),",","")&amp;Tasks[[#This Row],[_Pred2UIDText]])</f>
        <v/>
      </c>
      <c r="DB83" s="41" t="str">
        <f aca="false">IF(AND(Tasks[[#This Row],[_IsLeaf]]=1,N(Tasks[[#This Row],[Duration]])=0,Tasks[[#This Row],[_LeafProgress]]&lt;1),Tasks[[#This Row],[_LeafFcstFinish]]+Tasks[[#This Row],[_Row]]/100000,"")</f>
        <v/>
      </c>
      <c r="DC8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83" s="41" t="n">
        <f aca="false">IF(NOT(Tasks[[#This Row],[_IsLeaf]]=1),0,IF(Tasks[[#This Row],[Baseline Cost]]="",Tasks[[#This Row],[_LeafCost]],N(Tasks[[#This Row],[Baseline Cost]])))</f>
        <v>0</v>
      </c>
      <c r="DE83" s="41" t="n">
        <f aca="false">Tasks[[#This Row],[_LeafBudget]]*Tasks[[#This Row],[_PlannedPct]]</f>
        <v>0</v>
      </c>
      <c r="DF83" s="41" t="n">
        <f aca="false">Tasks[[#This Row],[_LeafBudget]]*Tasks[[#This Row],[_LeafProgress]]</f>
        <v>0</v>
      </c>
      <c r="DG83" s="41" t="n">
        <f aca="false">IF(NOT(Tasks[[#This Row],[_IsLeaf]]=1),0,IF(Tasks[[#This Row],[Actual Cost]]="",Tasks[[#This Row],[_LeafCost]]*Tasks[[#This Row],[_LeafProgress]],N(Tasks[[#This Row],[Actual Cost]])))</f>
        <v>0</v>
      </c>
      <c r="DH83" s="41" t="str">
        <f aca="false">IF(Tasks[[#This Row],[Task Name]]="","",LEFT(Tasks[[#This Row],[WBS]],FIND(".",Tasks[[#This Row],[WBS]]&amp;".")-1))</f>
        <v/>
      </c>
      <c r="DI83" s="41" t="str">
        <f aca="false">IF(AND(Tasks[[#This Row],[Task Name]]&lt;&gt;"",Tasks[[#This Row],[_Level]]=1),Tasks[[#This Row],[_Row]],"")</f>
        <v/>
      </c>
      <c r="DJ83" s="41" t="str">
        <f aca="false">IF(AND(Tasks[[#This Row],[_IsLeaf]]=1,N(Tasks[[#This Row],[Duration]])=0),Tasks[[#This Row],[Planned Finish]]+Tasks[[#This Row],[_Row]]/100000,"")</f>
        <v/>
      </c>
      <c r="DK83" s="41" t="str">
        <f aca="false">IF(AND(Tasks[[#This Row],[_IsLeaf]]=1,Tasks[[#This Row],[_LeafProgress]]&lt;1,OR(N(Tasks[[#This Row],[Finish Var]])&gt;0,Tasks[[#This Row],[Status]]="Late Start")),MAX(0,Tasks[[#This Row],[Finish Var]])+1-Tasks[[#This Row],[_Row]]/1000000,"")</f>
        <v/>
      </c>
      <c r="DL83" s="41" t="str">
        <f aca="false">IF(AND(Tasks[[#This Row],[_IsLeaf]]=1,N(Tasks[[#This Row],[Actual Start]])=0,Tasks[[#This Row],[_LeafFcstStart]]&gt;=StatusDate,Tasks[[#This Row],[_LeafFcstStart]]&lt;=LookaheadEnd),Tasks[[#This Row],[_LeafFcstStart]]+Tasks[[#This Row],[_Row]]/100000,"")</f>
        <v/>
      </c>
      <c r="DM83" s="41" t="str">
        <f aca="false">IF(AND(Tasks[[#This Row],[_IsLeaf]]=1,Tasks[[#This Row],[_LeafProgress]]&lt;1,Tasks[[#This Row],[_LeafFcstFinish]]&gt;=StatusDate,Tasks[[#This Row],[_LeafFcstFinish]]&lt;=LookaheadEnd),Tasks[[#This Row],[_LeafFcstFinish]]+Tasks[[#This Row],[_Row]]/100000,"")</f>
        <v/>
      </c>
      <c r="DN83" s="41" t="str">
        <f aca="false">IF(Tasks[[#This Row],[_LeafCritical]],Tasks[[#This Row],[_LeafFcstStart]]+Tasks[[#This Row],[_Row]]/100000,"")</f>
        <v/>
      </c>
      <c r="DO83" s="41" t="n">
        <f aca="false">Tasks[[#This Row],[_LeafWork]]*Tasks[[#This Row],[_LeafProgress]]</f>
        <v>0</v>
      </c>
      <c r="DP83" s="100" t="str">
        <f aca="false">IF(AND(Tasks[[#This Row],[_IsLeaf]]=1,Tasks[[#This Row],[_LeafProgress]]&gt;=1),IF(N(Tasks[[#This Row],[Actual Finish]])&gt;0,Tasks[[#This Row],[Actual Finish]],Tasks[[#This Row],[_LeafFcstFinish]]),"")</f>
        <v/>
      </c>
      <c r="DQ83" s="41" t="n">
        <f aca="false">IF(Tasks[[#This Row],[_IsLeaf]]=1,N(Tasks[[#This Row],[Story Points]]),0)</f>
        <v>0</v>
      </c>
      <c r="DR83" s="41" t="str">
        <f aca="false">IF(AND(Tasks[[#This Row],[_IsLeaf]]=1,CurrentSprint&lt;&gt;"",Tasks[[#This Row],[Sprint]]=CurrentSprint),Tasks[[#This Row],[_Row]],"")</f>
        <v/>
      </c>
    </row>
    <row r="84" customFormat="false" ht="15" hidden="false" customHeight="false" outlineLevel="0" collapsed="false">
      <c r="A84" s="28" t="str">
        <f aca="false">IF(Tasks[[#This Row],[Task Name]]="","",COUNTA(Tasks[[#Headers],[Task Name]]:Tasks[[#This Row],[Task Name]])-1)</f>
        <v/>
      </c>
      <c r="B84" s="29" t="n">
        <v>79</v>
      </c>
      <c r="C8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4" s="29"/>
      <c r="E84" s="30"/>
      <c r="F84" s="29"/>
      <c r="G84" s="29"/>
      <c r="H84" s="29"/>
      <c r="I84" s="29"/>
      <c r="J84" s="29"/>
      <c r="K84" s="29"/>
      <c r="L84" s="29"/>
      <c r="M84" s="29"/>
      <c r="N84" s="73"/>
      <c r="O84" s="73"/>
      <c r="P84" s="25" t="str">
        <f aca="false">IF(Tasks[[#This Row],[Task Name]]="","",IF(N(Tasks[[#This Row],[Baseline Start]])&gt;0,Tasks[[#This Row],[Baseline Start]],Tasks[[#This Row],[_CalcStart]]))</f>
        <v/>
      </c>
      <c r="Q84" s="25" t="str">
        <f aca="false">IF(Tasks[[#This Row],[Task Name]]="","",IF(N(Tasks[[#This Row],[Baseline Finish]])&gt;0,Tasks[[#This Row],[Baseline Finish]],Tasks[[#This Row],[_CalcFinish]]))</f>
        <v/>
      </c>
      <c r="R84" s="73"/>
      <c r="S84" s="73"/>
      <c r="T84" s="25" t="str">
        <f aca="false">IF(Tasks[[#This Row],[Task Name]]="","",IF(Tasks[[#This Row],[_IsSummary]],MIN(INDEX(Tasks[_LeafFcstStart],Tasks[[#This Row],[_Row]]+1):INDEX(Tasks[_LeafFcstStart],Tasks[[#This Row],[_Row]]+Tasks[[#This Row],[_Descendants]])),Tasks[[#This Row],[_LeafFcstStart]]))</f>
        <v/>
      </c>
      <c r="U84" s="25" t="str">
        <f aca="false">IF(Tasks[[#This Row],[Task Name]]="","",IF(Tasks[[#This Row],[_IsSummary]],MAX(INDEX(Tasks[_LeafFcstFinish],Tasks[[#This Row],[_Row]]+1):INDEX(Tasks[_LeafFcstFinish],Tasks[[#This Row],[_Row]]+Tasks[[#This Row],[_Descendants]])),Tasks[[#This Row],[_LeafFcstFinish]]))</f>
        <v/>
      </c>
      <c r="V8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8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4" s="25" t="str">
        <f aca="false">IF(Tasks[[#This Row],[Task Name]]="","",IF(Tasks[[#This Row],[_IsSummary]],MIN(INDEX(Tasks[_LeafLateStart],Tasks[[#This Row],[_Row]]+1):INDEX(Tasks[_LeafLateStart],Tasks[[#This Row],[_Row]]+Tasks[[#This Row],[_Descendants]])),Tasks[[#This Row],[_LeafLateStart]]))</f>
        <v/>
      </c>
      <c r="Y84" s="25" t="str">
        <f aca="false">IF(Tasks[[#This Row],[Task Name]]="","",IF(Tasks[[#This Row],[_IsSummary]],MAX(INDEX(Tasks[_LeafLateFinish],Tasks[[#This Row],[_Row]]+1):INDEX(Tasks[_LeafLateFinish],Tasks[[#This Row],[_Row]]+Tasks[[#This Row],[_Descendants]])),Tasks[[#This Row],[_LeafLateFinish]]))</f>
        <v/>
      </c>
      <c r="Z84" s="43" t="str">
        <f aca="false">IF(Tasks[[#This Row],[Task Name]]="","",IF(Tasks[[#This Row],[_IsSummary]],MIN(INDEX(Tasks[_LeafTotalSlack],Tasks[[#This Row],[_Row]]+1):INDEX(Tasks[_LeafTotalSlack],Tasks[[#This Row],[_Row]]+Tasks[[#This Row],[_Descendants]])),Tasks[[#This Row],[_LeafTotalSlack]]))</f>
        <v/>
      </c>
      <c r="AA8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4" s="28" t="str">
        <f aca="false">IF(Tasks[[#This Row],[Task Name]]="","",IF(IF(Tasks[[#This Row],[_IsSummary]],COUNTIF(INDEX(Tasks[_LeafCritical],Tasks[[#This Row],[_Row]]+1):INDEX(Tasks[_LeafCritical],Tasks[[#This Row],[_Row]]+Tasks[[#This Row],[_Descendants]]),TRUE())&gt;0,Tasks[[#This Row],[_LeafCritical]]),"Yes",""))</f>
        <v/>
      </c>
      <c r="AC8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4" s="24" t="str">
        <f aca="false">IF(Tasks[[#This Row],[Task Name]]="","",TRIM(IF(Tasks[[#This Row],[_Pred1Problem]]&lt;&gt;"","Pred 1: "&amp;Tasks[[#This Row],[_Pred1Problem]]&amp;". ","")&amp;IF(Tasks[[#This Row],[_Pred2Problem]]&lt;&gt;"","Pred 2: "&amp;Tasks[[#This Row],[_Pred2Problem]]&amp;".","")))</f>
        <v/>
      </c>
      <c r="AE84" s="88"/>
      <c r="AF84"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4" s="28" t="str">
        <f aca="false">IF(Tasks[[#This Row],[Task Name]]="","",IF(Tasks[[#This Row],[Progress]]&gt;=1,"Complete",IF(OR(N(Tasks[[#This Row],[Actual Start]])&gt;0,Tasks[[#This Row],[Progress]]&gt;0),IF(Tasks[[#This Row],[Finish Var]]&gt;0,"Behind","In Progress"),IF(Tasks[[#This Row],[Planned Start]]&lt;StatusDate,"Late Start","Not Started"))))</f>
        <v/>
      </c>
      <c r="AH84" s="30"/>
      <c r="AI84" s="88"/>
      <c r="AJ84" s="95" t="str">
        <f aca="false">IF(Tasks[[#This Row],[Task Name]]="","",IF(Tasks[[#This Row],[_IsSummary]],SUM(INDEX(Tasks[_LeafWork],Tasks[[#This Row],[_Row]]+1):INDEX(Tasks[_LeafWork],Tasks[[#This Row],[_Row]]+Tasks[[#This Row],[_Descendants]])),Tasks[[#This Row],[_LeafWork]]))</f>
        <v/>
      </c>
      <c r="AK84" s="96" t="str">
        <f aca="false">IF(Tasks[[#This Row],[Task Name]]="","",IF(Tasks[[#This Row],[_IsSummary]],SUM(INDEX(Tasks[_LeafCost],Tasks[[#This Row],[_Row]]+1):INDEX(Tasks[_LeafCost],Tasks[[#This Row],[_Row]]+Tasks[[#This Row],[_Descendants]])),Tasks[[#This Row],[_LeafCost]]))</f>
        <v/>
      </c>
      <c r="AL84" s="97"/>
      <c r="AM84" s="29"/>
      <c r="AN8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84" s="82"/>
      <c r="AP84" s="24" t="str">
        <f aca="false">IF(Tasks[[#This Row],[Task Name]]="","",Tasks[[#This Row],[_Pred1IDText]]&amp;IF(AND(Tasks[[#This Row],[_Pred1IDText]]&lt;&gt;"",Tasks[[#This Row],[_Pred2IDText]]&lt;&gt;""),",","")&amp;Tasks[[#This Row],[_Pred2IDText]])</f>
        <v/>
      </c>
      <c r="AQ84" s="30"/>
      <c r="AR84" s="25" t="str">
        <f aca="false">IF(Tasks[[#This Row],[Task Name]]="","",Tasks[[#This Row],[Forecast Start]])</f>
        <v/>
      </c>
      <c r="AS84" s="25" t="str">
        <f aca="false">IF(Tasks[[#This Row],[Task Name]]="","",Tasks[[#This Row],[Forecast Finish]])</f>
        <v/>
      </c>
      <c r="AT84" s="28" t="str">
        <f aca="false">IF(Tasks[[#This Row],[Task Name]]="","",IF(Tasks[[#This Row],[_IsSummary]],NETWORKDAYS.INTL(Tasks[[#This Row],[Forecast Start]],Tasks[[#This Row],[Forecast Finish]],WorkWeek,Holidays),N(Tasks[[#This Row],[Duration]])))</f>
        <v/>
      </c>
      <c r="AU84" s="95" t="str">
        <f aca="false">IF(Tasks[[#This Row],[Task Name]]="","",Tasks[[#This Row],[Work]])</f>
        <v/>
      </c>
      <c r="AV84" s="96" t="str">
        <f aca="false">IF(Tasks[[#This Row],[Task Name]]="","",Tasks[[#This Row],[Cost]])</f>
        <v/>
      </c>
      <c r="AW84" s="73"/>
      <c r="AX84" s="73"/>
      <c r="AY84" s="29"/>
      <c r="AZ84" s="98"/>
      <c r="BA84" s="97"/>
      <c r="BB84" s="28" t="str">
        <f aca="false">IF(OR(Tasks[[#This Row],[Task Name]]="",Tasks[[#This Row],[Baseline Duration]]=""),"",Tasks[[#This Row],[BL Source Duration]]-N(Tasks[[#This Row],[Baseline Duration]]))</f>
        <v/>
      </c>
      <c r="BC84" s="95" t="str">
        <f aca="false">IF(OR(Tasks[[#This Row],[Task Name]]="",Tasks[[#This Row],[Baseline Work]]=""),"",Tasks[[#This Row],[Work]]-N(Tasks[[#This Row],[Baseline Work]]))</f>
        <v/>
      </c>
      <c r="BD84" s="96" t="str">
        <f aca="false">IF(OR(Tasks[[#This Row],[Task Name]]="",Tasks[[#This Row],[Baseline Cost]]=""),"",Tasks[[#This Row],[Cost]]-N(Tasks[[#This Row],[Baseline Cost]]))</f>
        <v/>
      </c>
      <c r="BE84" s="96" t="str">
        <f aca="false">IF(Tasks[[#This Row],[Task Name]]="","",IF(Tasks[[#This Row],[_IsSummary]],SUM(INDEX(Tasks[_LeafBudget],Tasks[[#This Row],[_Row]]+1):INDEX(Tasks[_LeafBudget],Tasks[[#This Row],[_Row]]+Tasks[[#This Row],[_Descendants]])),Tasks[[#This Row],[_LeafBudget]]))</f>
        <v/>
      </c>
      <c r="BF84" s="96" t="str">
        <f aca="false">IF(Tasks[[#This Row],[Task Name]]="","",IF(Tasks[[#This Row],[_IsSummary]],SUM(INDEX(Tasks[_LeafPV],Tasks[[#This Row],[_Row]]+1):INDEX(Tasks[_LeafPV],Tasks[[#This Row],[_Row]]+Tasks[[#This Row],[_Descendants]])),Tasks[[#This Row],[_LeafPV]]))</f>
        <v/>
      </c>
      <c r="BG84" s="96" t="str">
        <f aca="false">IF(Tasks[[#This Row],[Task Name]]="","",IF(Tasks[[#This Row],[_IsSummary]],SUM(INDEX(Tasks[_LeafEV],Tasks[[#This Row],[_Row]]+1):INDEX(Tasks[_LeafEV],Tasks[[#This Row],[_Row]]+Tasks[[#This Row],[_Descendants]])),Tasks[[#This Row],[_LeafEV]]))</f>
        <v/>
      </c>
      <c r="BH84" s="96" t="str">
        <f aca="false">IF(Tasks[[#This Row],[Task Name]]="","",IF(Tasks[[#This Row],[_IsSummary]],SUM(INDEX(Tasks[_LeafAC],Tasks[[#This Row],[_Row]]+1):INDEX(Tasks[_LeafAC],Tasks[[#This Row],[_Row]]+Tasks[[#This Row],[_Descendants]])),Tasks[[#This Row],[_LeafAC]]))</f>
        <v/>
      </c>
      <c r="BI84" s="41" t="str">
        <f aca="false">IF(Tasks[[#This Row],[Task Name]]="","",MAX(1,N(Tasks[[#This Row],[Level]])))</f>
        <v/>
      </c>
      <c r="BJ84" s="41" t="n">
        <f aca="false">ROW()-ROW(Tasks[[#Headers],[ID]])</f>
        <v>79</v>
      </c>
      <c r="BK84" s="41" t="n">
        <f aca="false">IF(OR(Tasks[[#This Row],[Task Name]]="",Tasks[[#This Row],[_Level]]&lt;=1),0,IFERROR(LOOKUP(2,1/(Tasks[[#Headers],[_Level]]:Tasks[[#This Row],[_Level]]=Tasks[[#This Row],[_Level]]-1),ROW(Tasks[[#Headers],[_Level]]:Tasks[[#This Row],[_Level]])),0))</f>
        <v>0</v>
      </c>
      <c r="BL84" s="41" t="n">
        <f aca="false">IFERROR(N(INDEX(Tasks[_Level],Tasks[[#This Row],[_Row]]+1)),0)</f>
        <v>0</v>
      </c>
      <c r="BM84" s="99" t="b">
        <f aca="false">AND(Tasks[[#This Row],[Task Name]]&lt;&gt;"",Tasks[[#This Row],[_NextLevel]]&gt;Tasks[[#This Row],[_Level]])</f>
        <v>0</v>
      </c>
      <c r="BN84" s="41" t="n">
        <f aca="false">IF(Tasks[[#This Row],[_IsSummary]],COUNTIF(Tasks[WBS],Tasks[[#This Row],[WBS]]&amp;".*"),0)</f>
        <v>0</v>
      </c>
      <c r="BO84" s="41" t="n">
        <f aca="false">IF(AND(Tasks[[#This Row],[Task Name]]&lt;&gt;"",NOT(Tasks[[#This Row],[_IsSummary]])),1,0)</f>
        <v>0</v>
      </c>
      <c r="BP84" s="41" t="n">
        <f aca="false">IF(N(Tasks[[#This Row],[Pred1 UID]])=0,0,IFERROR(MATCH(Tasks[[#This Row],[Pred1 UID]],Tasks[UID],0),-1))</f>
        <v>0</v>
      </c>
      <c r="BQ84" s="41" t="n">
        <f aca="false">IF(N(Tasks[[#This Row],[Pred2 UID]])=0,0,IFERROR(MATCH(Tasks[[#This Row],[Pred2 UID]],Tasks[UID],0),-1))</f>
        <v>0</v>
      </c>
      <c r="BR84"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84" s="100" t="str">
        <f aca="false">IF(NOT(Tasks[[#This Row],[_IsLeaf]]=1),"",IF(N(Tasks[[#This Row],[Duration]])&lt;=0,Tasks[[#This Row],[_LeafCalcStart]],WORKDAY.INTL(Tasks[[#This Row],[_LeafCalcStart]],Tasks[[#This Row],[Duration]]-1,WorkWeek,Holidays)))</f>
        <v/>
      </c>
      <c r="BT84"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84"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84" s="41" t="n">
        <f aca="false">IF(NOT(Tasks[[#This Row],[_IsLeaf]]=1),0,IF(N(Tasks[[#This Row],[Actual Finish]])&gt;0,1,MIN(1,N(Tasks[[#This Row],[% Complete]]))))</f>
        <v>0</v>
      </c>
      <c r="BW84" s="41" t="n">
        <f aca="false">IF(OR(NOT(Tasks[[#This Row],[_IsLeaf]]=1),Tasks[[#This Row],[Resource]]=""),0,N(Tasks[[#This Row],[Duration]])*HoursPerDay*IF(Tasks[[#This Row],[Units]]="",DefaultUnits,Tasks[[#This Row],[Units]]))</f>
        <v>0</v>
      </c>
      <c r="BX84" s="41" t="n">
        <f aca="false">IF(Tasks[[#This Row],[_LeafWork]]=0,0,Tasks[[#This Row],[_LeafWork]]*IFERROR(INDEX(res_Rate,MATCH(Tasks[[#This Row],[Resource]],res_Name,0)),0))</f>
        <v>0</v>
      </c>
      <c r="BY8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8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8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8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84" s="41" t="n">
        <f aca="false">IF(NOT(Tasks[[#This Row],[_IsLeaf]]=1),0,MAX(_xlfn.MAXIFS(Tasks[_Row],Tasks[Pred1 UID],Tasks[[#This Row],[UID]]),_xlfn.MAXIFS(Tasks[_Row],Tasks[Pred2 UID],Tasks[[#This Row],[UID]])))</f>
        <v>0</v>
      </c>
      <c r="CD84"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84" s="100" t="str">
        <f aca="false">IF(NOT(Tasks[[#This Row],[_IsLeaf]]=1),"",MIN(ProjectFinish,IF(N(Tasks[[#This Row],[Deadline]])&gt;0,Tasks[[#This Row],[Deadline]],2958465),Tasks[[#This Row],[_SuccessorFinishLimit]]))</f>
        <v/>
      </c>
      <c r="CF84" s="100" t="str">
        <f aca="false">IF(NOT(Tasks[[#This Row],[_IsLeaf]]=1),"",IF(N(Tasks[[#This Row],[Duration]])&lt;=0,Tasks[[#This Row],[_LeafLateFinish]],WORKDAY.INTL(Tasks[[#This Row],[_LeafLateFinish]],-(Tasks[[#This Row],[Duration]]-1),WorkWeek,Holidays)))</f>
        <v/>
      </c>
      <c r="CG8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84" s="99" t="b">
        <f aca="false">AND(Tasks[[#This Row],[_IsLeaf]]=1,Tasks[[#This Row],[_LeafProgress]]&lt;1,N(Tasks[[#This Row],[_LeafTotalSlack]])&lt;=CriticalSlackDays)</f>
        <v>0</v>
      </c>
      <c r="CI84" s="100" t="str">
        <f aca="false">IF(Tasks[[#This Row],[Task Name]]="","",IF(Tasks[[#This Row],[_IsSummary]],MIN(INDEX(Tasks[_LeafCalcStart],Tasks[[#This Row],[_Row]]+1):INDEX(Tasks[_LeafCalcStart],Tasks[[#This Row],[_Row]]+Tasks[[#This Row],[_Descendants]])),Tasks[[#This Row],[_LeafCalcStart]]))</f>
        <v/>
      </c>
      <c r="CJ84" s="100" t="str">
        <f aca="false">IF(Tasks[[#This Row],[Task Name]]="","",IF(Tasks[[#This Row],[_IsSummary]],MAX(INDEX(Tasks[_LeafCalcFinish],Tasks[[#This Row],[_Row]]+1):INDEX(Tasks[_LeafCalcFinish],Tasks[[#This Row],[_Row]]+Tasks[[#This Row],[_Descendants]])),Tasks[[#This Row],[_LeafCalcFinish]]))</f>
        <v/>
      </c>
      <c r="CK8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8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84"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84"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84"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84"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84" s="41" t="n">
        <f aca="false">IF(AND(Tasks[[#This Row],[_IsLeaf]]=1,Tasks[[#This Row],[_LeafWork]]&gt;0),NETWORKDAYS.INTL(ProjectStart,Tasks[[#This Row],[_LeafFcstStart]],WorkWeek,Holidays),0)</f>
        <v>0</v>
      </c>
      <c r="CR84" s="41" t="n">
        <f aca="false">IF(AND(Tasks[[#This Row],[_IsLeaf]]=1,Tasks[[#This Row],[_LeafWork]]&gt;0),MAX(Tasks[[#This Row],[_StartWorkday]],NETWORKDAYS.INTL(ProjectStart,Tasks[[#This Row],[_LeafFcstFinish]],WorkWeek,Holidays)),0)</f>
        <v>0</v>
      </c>
      <c r="CS84" s="41" t="n">
        <f aca="false">IF(AND(Tasks[[#This Row],[_IsLeaf]]=1,Tasks[[#This Row],[_LeafWork]]&gt;0),Tasks[[#This Row],[_LeafWork]]/(Tasks[[#This Row],[_FinishWorkday]]-Tasks[[#This Row],[_StartWorkday]]+1),0)</f>
        <v>0</v>
      </c>
      <c r="CT84" s="41" t="n">
        <f aca="false">Tasks[[#This Row],[_WorkPerWorkday]]*(Tasks[[#This Row],[_StartWorkday]]-1)</f>
        <v>-0</v>
      </c>
      <c r="CU84" s="41" t="n">
        <f aca="false">IF(Tasks[[#This Row],[_IsLeaf]]=1,MAX(N(Tasks[[#This Row],[Duration]]),0.1),0)</f>
        <v>0</v>
      </c>
      <c r="CV84" s="41" t="n">
        <f aca="false">Tasks[[#This Row],[_WeightDur]]*Tasks[[#This Row],[_LeafProgress]]</f>
        <v>0</v>
      </c>
      <c r="CW8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8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8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8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84" s="41" t="str">
        <f aca="false">IF(Tasks[[#This Row],[Task Name]]="","",Tasks[[#This Row],[_Pred1UIDText]]&amp;IF(AND(Tasks[[#This Row],[_Pred1UIDText]]&lt;&gt;"",Tasks[[#This Row],[_Pred2UIDText]]&lt;&gt;""),",","")&amp;Tasks[[#This Row],[_Pred2UIDText]])</f>
        <v/>
      </c>
      <c r="DB84" s="41" t="str">
        <f aca="false">IF(AND(Tasks[[#This Row],[_IsLeaf]]=1,N(Tasks[[#This Row],[Duration]])=0,Tasks[[#This Row],[_LeafProgress]]&lt;1),Tasks[[#This Row],[_LeafFcstFinish]]+Tasks[[#This Row],[_Row]]/100000,"")</f>
        <v/>
      </c>
      <c r="DC8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84" s="41" t="n">
        <f aca="false">IF(NOT(Tasks[[#This Row],[_IsLeaf]]=1),0,IF(Tasks[[#This Row],[Baseline Cost]]="",Tasks[[#This Row],[_LeafCost]],N(Tasks[[#This Row],[Baseline Cost]])))</f>
        <v>0</v>
      </c>
      <c r="DE84" s="41" t="n">
        <f aca="false">Tasks[[#This Row],[_LeafBudget]]*Tasks[[#This Row],[_PlannedPct]]</f>
        <v>0</v>
      </c>
      <c r="DF84" s="41" t="n">
        <f aca="false">Tasks[[#This Row],[_LeafBudget]]*Tasks[[#This Row],[_LeafProgress]]</f>
        <v>0</v>
      </c>
      <c r="DG84" s="41" t="n">
        <f aca="false">IF(NOT(Tasks[[#This Row],[_IsLeaf]]=1),0,IF(Tasks[[#This Row],[Actual Cost]]="",Tasks[[#This Row],[_LeafCost]]*Tasks[[#This Row],[_LeafProgress]],N(Tasks[[#This Row],[Actual Cost]])))</f>
        <v>0</v>
      </c>
      <c r="DH84" s="41" t="str">
        <f aca="false">IF(Tasks[[#This Row],[Task Name]]="","",LEFT(Tasks[[#This Row],[WBS]],FIND(".",Tasks[[#This Row],[WBS]]&amp;".")-1))</f>
        <v/>
      </c>
      <c r="DI84" s="41" t="str">
        <f aca="false">IF(AND(Tasks[[#This Row],[Task Name]]&lt;&gt;"",Tasks[[#This Row],[_Level]]=1),Tasks[[#This Row],[_Row]],"")</f>
        <v/>
      </c>
      <c r="DJ84" s="41" t="str">
        <f aca="false">IF(AND(Tasks[[#This Row],[_IsLeaf]]=1,N(Tasks[[#This Row],[Duration]])=0),Tasks[[#This Row],[Planned Finish]]+Tasks[[#This Row],[_Row]]/100000,"")</f>
        <v/>
      </c>
      <c r="DK84" s="41" t="str">
        <f aca="false">IF(AND(Tasks[[#This Row],[_IsLeaf]]=1,Tasks[[#This Row],[_LeafProgress]]&lt;1,OR(N(Tasks[[#This Row],[Finish Var]])&gt;0,Tasks[[#This Row],[Status]]="Late Start")),MAX(0,Tasks[[#This Row],[Finish Var]])+1-Tasks[[#This Row],[_Row]]/1000000,"")</f>
        <v/>
      </c>
      <c r="DL84" s="41" t="str">
        <f aca="false">IF(AND(Tasks[[#This Row],[_IsLeaf]]=1,N(Tasks[[#This Row],[Actual Start]])=0,Tasks[[#This Row],[_LeafFcstStart]]&gt;=StatusDate,Tasks[[#This Row],[_LeafFcstStart]]&lt;=LookaheadEnd),Tasks[[#This Row],[_LeafFcstStart]]+Tasks[[#This Row],[_Row]]/100000,"")</f>
        <v/>
      </c>
      <c r="DM84" s="41" t="str">
        <f aca="false">IF(AND(Tasks[[#This Row],[_IsLeaf]]=1,Tasks[[#This Row],[_LeafProgress]]&lt;1,Tasks[[#This Row],[_LeafFcstFinish]]&gt;=StatusDate,Tasks[[#This Row],[_LeafFcstFinish]]&lt;=LookaheadEnd),Tasks[[#This Row],[_LeafFcstFinish]]+Tasks[[#This Row],[_Row]]/100000,"")</f>
        <v/>
      </c>
      <c r="DN84" s="41" t="str">
        <f aca="false">IF(Tasks[[#This Row],[_LeafCritical]],Tasks[[#This Row],[_LeafFcstStart]]+Tasks[[#This Row],[_Row]]/100000,"")</f>
        <v/>
      </c>
      <c r="DO84" s="41" t="n">
        <f aca="false">Tasks[[#This Row],[_LeafWork]]*Tasks[[#This Row],[_LeafProgress]]</f>
        <v>0</v>
      </c>
      <c r="DP84" s="100" t="str">
        <f aca="false">IF(AND(Tasks[[#This Row],[_IsLeaf]]=1,Tasks[[#This Row],[_LeafProgress]]&gt;=1),IF(N(Tasks[[#This Row],[Actual Finish]])&gt;0,Tasks[[#This Row],[Actual Finish]],Tasks[[#This Row],[_LeafFcstFinish]]),"")</f>
        <v/>
      </c>
      <c r="DQ84" s="41" t="n">
        <f aca="false">IF(Tasks[[#This Row],[_IsLeaf]]=1,N(Tasks[[#This Row],[Story Points]]),0)</f>
        <v>0</v>
      </c>
      <c r="DR84" s="41" t="str">
        <f aca="false">IF(AND(Tasks[[#This Row],[_IsLeaf]]=1,CurrentSprint&lt;&gt;"",Tasks[[#This Row],[Sprint]]=CurrentSprint),Tasks[[#This Row],[_Row]],"")</f>
        <v/>
      </c>
    </row>
    <row r="85" customFormat="false" ht="15" hidden="false" customHeight="false" outlineLevel="0" collapsed="false">
      <c r="A85" s="28" t="str">
        <f aca="false">IF(Tasks[[#This Row],[Task Name]]="","",COUNTA(Tasks[[#Headers],[Task Name]]:Tasks[[#This Row],[Task Name]])-1)</f>
        <v/>
      </c>
      <c r="B85" s="29" t="n">
        <v>80</v>
      </c>
      <c r="C8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5" s="29"/>
      <c r="E85" s="30"/>
      <c r="F85" s="29"/>
      <c r="G85" s="29"/>
      <c r="H85" s="29"/>
      <c r="I85" s="29"/>
      <c r="J85" s="29"/>
      <c r="K85" s="29"/>
      <c r="L85" s="29"/>
      <c r="M85" s="29"/>
      <c r="N85" s="73"/>
      <c r="O85" s="73"/>
      <c r="P85" s="25" t="str">
        <f aca="false">IF(Tasks[[#This Row],[Task Name]]="","",IF(N(Tasks[[#This Row],[Baseline Start]])&gt;0,Tasks[[#This Row],[Baseline Start]],Tasks[[#This Row],[_CalcStart]]))</f>
        <v/>
      </c>
      <c r="Q85" s="25" t="str">
        <f aca="false">IF(Tasks[[#This Row],[Task Name]]="","",IF(N(Tasks[[#This Row],[Baseline Finish]])&gt;0,Tasks[[#This Row],[Baseline Finish]],Tasks[[#This Row],[_CalcFinish]]))</f>
        <v/>
      </c>
      <c r="R85" s="73"/>
      <c r="S85" s="73"/>
      <c r="T85" s="25" t="str">
        <f aca="false">IF(Tasks[[#This Row],[Task Name]]="","",IF(Tasks[[#This Row],[_IsSummary]],MIN(INDEX(Tasks[_LeafFcstStart],Tasks[[#This Row],[_Row]]+1):INDEX(Tasks[_LeafFcstStart],Tasks[[#This Row],[_Row]]+Tasks[[#This Row],[_Descendants]])),Tasks[[#This Row],[_LeafFcstStart]]))</f>
        <v/>
      </c>
      <c r="U85" s="25" t="str">
        <f aca="false">IF(Tasks[[#This Row],[Task Name]]="","",IF(Tasks[[#This Row],[_IsSummary]],MAX(INDEX(Tasks[_LeafFcstFinish],Tasks[[#This Row],[_Row]]+1):INDEX(Tasks[_LeafFcstFinish],Tasks[[#This Row],[_Row]]+Tasks[[#This Row],[_Descendants]])),Tasks[[#This Row],[_LeafFcstFinish]]))</f>
        <v/>
      </c>
      <c r="V8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8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5" s="25" t="str">
        <f aca="false">IF(Tasks[[#This Row],[Task Name]]="","",IF(Tasks[[#This Row],[_IsSummary]],MIN(INDEX(Tasks[_LeafLateStart],Tasks[[#This Row],[_Row]]+1):INDEX(Tasks[_LeafLateStart],Tasks[[#This Row],[_Row]]+Tasks[[#This Row],[_Descendants]])),Tasks[[#This Row],[_LeafLateStart]]))</f>
        <v/>
      </c>
      <c r="Y85" s="25" t="str">
        <f aca="false">IF(Tasks[[#This Row],[Task Name]]="","",IF(Tasks[[#This Row],[_IsSummary]],MAX(INDEX(Tasks[_LeafLateFinish],Tasks[[#This Row],[_Row]]+1):INDEX(Tasks[_LeafLateFinish],Tasks[[#This Row],[_Row]]+Tasks[[#This Row],[_Descendants]])),Tasks[[#This Row],[_LeafLateFinish]]))</f>
        <v/>
      </c>
      <c r="Z85" s="43" t="str">
        <f aca="false">IF(Tasks[[#This Row],[Task Name]]="","",IF(Tasks[[#This Row],[_IsSummary]],MIN(INDEX(Tasks[_LeafTotalSlack],Tasks[[#This Row],[_Row]]+1):INDEX(Tasks[_LeafTotalSlack],Tasks[[#This Row],[_Row]]+Tasks[[#This Row],[_Descendants]])),Tasks[[#This Row],[_LeafTotalSlack]]))</f>
        <v/>
      </c>
      <c r="AA8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5" s="28" t="str">
        <f aca="false">IF(Tasks[[#This Row],[Task Name]]="","",IF(IF(Tasks[[#This Row],[_IsSummary]],COUNTIF(INDEX(Tasks[_LeafCritical],Tasks[[#This Row],[_Row]]+1):INDEX(Tasks[_LeafCritical],Tasks[[#This Row],[_Row]]+Tasks[[#This Row],[_Descendants]]),TRUE())&gt;0,Tasks[[#This Row],[_LeafCritical]]),"Yes",""))</f>
        <v/>
      </c>
      <c r="AC8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5" s="24" t="str">
        <f aca="false">IF(Tasks[[#This Row],[Task Name]]="","",TRIM(IF(Tasks[[#This Row],[_Pred1Problem]]&lt;&gt;"","Pred 1: "&amp;Tasks[[#This Row],[_Pred1Problem]]&amp;". ","")&amp;IF(Tasks[[#This Row],[_Pred2Problem]]&lt;&gt;"","Pred 2: "&amp;Tasks[[#This Row],[_Pred2Problem]]&amp;".","")))</f>
        <v/>
      </c>
      <c r="AE85" s="88"/>
      <c r="AF85"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5" s="28" t="str">
        <f aca="false">IF(Tasks[[#This Row],[Task Name]]="","",IF(Tasks[[#This Row],[Progress]]&gt;=1,"Complete",IF(OR(N(Tasks[[#This Row],[Actual Start]])&gt;0,Tasks[[#This Row],[Progress]]&gt;0),IF(Tasks[[#This Row],[Finish Var]]&gt;0,"Behind","In Progress"),IF(Tasks[[#This Row],[Planned Start]]&lt;StatusDate,"Late Start","Not Started"))))</f>
        <v/>
      </c>
      <c r="AH85" s="30"/>
      <c r="AI85" s="88"/>
      <c r="AJ85" s="95" t="str">
        <f aca="false">IF(Tasks[[#This Row],[Task Name]]="","",IF(Tasks[[#This Row],[_IsSummary]],SUM(INDEX(Tasks[_LeafWork],Tasks[[#This Row],[_Row]]+1):INDEX(Tasks[_LeafWork],Tasks[[#This Row],[_Row]]+Tasks[[#This Row],[_Descendants]])),Tasks[[#This Row],[_LeafWork]]))</f>
        <v/>
      </c>
      <c r="AK85" s="96" t="str">
        <f aca="false">IF(Tasks[[#This Row],[Task Name]]="","",IF(Tasks[[#This Row],[_IsSummary]],SUM(INDEX(Tasks[_LeafCost],Tasks[[#This Row],[_Row]]+1):INDEX(Tasks[_LeafCost],Tasks[[#This Row],[_Row]]+Tasks[[#This Row],[_Descendants]])),Tasks[[#This Row],[_LeafCost]]))</f>
        <v/>
      </c>
      <c r="AL85" s="97"/>
      <c r="AM85" s="29"/>
      <c r="AN8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85" s="82"/>
      <c r="AP85" s="24" t="str">
        <f aca="false">IF(Tasks[[#This Row],[Task Name]]="","",Tasks[[#This Row],[_Pred1IDText]]&amp;IF(AND(Tasks[[#This Row],[_Pred1IDText]]&lt;&gt;"",Tasks[[#This Row],[_Pred2IDText]]&lt;&gt;""),",","")&amp;Tasks[[#This Row],[_Pred2IDText]])</f>
        <v/>
      </c>
      <c r="AQ85" s="30"/>
      <c r="AR85" s="25" t="str">
        <f aca="false">IF(Tasks[[#This Row],[Task Name]]="","",Tasks[[#This Row],[Forecast Start]])</f>
        <v/>
      </c>
      <c r="AS85" s="25" t="str">
        <f aca="false">IF(Tasks[[#This Row],[Task Name]]="","",Tasks[[#This Row],[Forecast Finish]])</f>
        <v/>
      </c>
      <c r="AT85" s="28" t="str">
        <f aca="false">IF(Tasks[[#This Row],[Task Name]]="","",IF(Tasks[[#This Row],[_IsSummary]],NETWORKDAYS.INTL(Tasks[[#This Row],[Forecast Start]],Tasks[[#This Row],[Forecast Finish]],WorkWeek,Holidays),N(Tasks[[#This Row],[Duration]])))</f>
        <v/>
      </c>
      <c r="AU85" s="95" t="str">
        <f aca="false">IF(Tasks[[#This Row],[Task Name]]="","",Tasks[[#This Row],[Work]])</f>
        <v/>
      </c>
      <c r="AV85" s="96" t="str">
        <f aca="false">IF(Tasks[[#This Row],[Task Name]]="","",Tasks[[#This Row],[Cost]])</f>
        <v/>
      </c>
      <c r="AW85" s="73"/>
      <c r="AX85" s="73"/>
      <c r="AY85" s="29"/>
      <c r="AZ85" s="98"/>
      <c r="BA85" s="97"/>
      <c r="BB85" s="28" t="str">
        <f aca="false">IF(OR(Tasks[[#This Row],[Task Name]]="",Tasks[[#This Row],[Baseline Duration]]=""),"",Tasks[[#This Row],[BL Source Duration]]-N(Tasks[[#This Row],[Baseline Duration]]))</f>
        <v/>
      </c>
      <c r="BC85" s="95" t="str">
        <f aca="false">IF(OR(Tasks[[#This Row],[Task Name]]="",Tasks[[#This Row],[Baseline Work]]=""),"",Tasks[[#This Row],[Work]]-N(Tasks[[#This Row],[Baseline Work]]))</f>
        <v/>
      </c>
      <c r="BD85" s="96" t="str">
        <f aca="false">IF(OR(Tasks[[#This Row],[Task Name]]="",Tasks[[#This Row],[Baseline Cost]]=""),"",Tasks[[#This Row],[Cost]]-N(Tasks[[#This Row],[Baseline Cost]]))</f>
        <v/>
      </c>
      <c r="BE85" s="96" t="str">
        <f aca="false">IF(Tasks[[#This Row],[Task Name]]="","",IF(Tasks[[#This Row],[_IsSummary]],SUM(INDEX(Tasks[_LeafBudget],Tasks[[#This Row],[_Row]]+1):INDEX(Tasks[_LeafBudget],Tasks[[#This Row],[_Row]]+Tasks[[#This Row],[_Descendants]])),Tasks[[#This Row],[_LeafBudget]]))</f>
        <v/>
      </c>
      <c r="BF85" s="96" t="str">
        <f aca="false">IF(Tasks[[#This Row],[Task Name]]="","",IF(Tasks[[#This Row],[_IsSummary]],SUM(INDEX(Tasks[_LeafPV],Tasks[[#This Row],[_Row]]+1):INDEX(Tasks[_LeafPV],Tasks[[#This Row],[_Row]]+Tasks[[#This Row],[_Descendants]])),Tasks[[#This Row],[_LeafPV]]))</f>
        <v/>
      </c>
      <c r="BG85" s="96" t="str">
        <f aca="false">IF(Tasks[[#This Row],[Task Name]]="","",IF(Tasks[[#This Row],[_IsSummary]],SUM(INDEX(Tasks[_LeafEV],Tasks[[#This Row],[_Row]]+1):INDEX(Tasks[_LeafEV],Tasks[[#This Row],[_Row]]+Tasks[[#This Row],[_Descendants]])),Tasks[[#This Row],[_LeafEV]]))</f>
        <v/>
      </c>
      <c r="BH85" s="96" t="str">
        <f aca="false">IF(Tasks[[#This Row],[Task Name]]="","",IF(Tasks[[#This Row],[_IsSummary]],SUM(INDEX(Tasks[_LeafAC],Tasks[[#This Row],[_Row]]+1):INDEX(Tasks[_LeafAC],Tasks[[#This Row],[_Row]]+Tasks[[#This Row],[_Descendants]])),Tasks[[#This Row],[_LeafAC]]))</f>
        <v/>
      </c>
      <c r="BI85" s="41" t="str">
        <f aca="false">IF(Tasks[[#This Row],[Task Name]]="","",MAX(1,N(Tasks[[#This Row],[Level]])))</f>
        <v/>
      </c>
      <c r="BJ85" s="41" t="n">
        <f aca="false">ROW()-ROW(Tasks[[#Headers],[ID]])</f>
        <v>80</v>
      </c>
      <c r="BK85" s="41" t="n">
        <f aca="false">IF(OR(Tasks[[#This Row],[Task Name]]="",Tasks[[#This Row],[_Level]]&lt;=1),0,IFERROR(LOOKUP(2,1/(Tasks[[#Headers],[_Level]]:Tasks[[#This Row],[_Level]]=Tasks[[#This Row],[_Level]]-1),ROW(Tasks[[#Headers],[_Level]]:Tasks[[#This Row],[_Level]])),0))</f>
        <v>0</v>
      </c>
      <c r="BL85" s="41" t="n">
        <f aca="false">IFERROR(N(INDEX(Tasks[_Level],Tasks[[#This Row],[_Row]]+1)),0)</f>
        <v>0</v>
      </c>
      <c r="BM85" s="99" t="b">
        <f aca="false">AND(Tasks[[#This Row],[Task Name]]&lt;&gt;"",Tasks[[#This Row],[_NextLevel]]&gt;Tasks[[#This Row],[_Level]])</f>
        <v>0</v>
      </c>
      <c r="BN85" s="41" t="n">
        <f aca="false">IF(Tasks[[#This Row],[_IsSummary]],COUNTIF(Tasks[WBS],Tasks[[#This Row],[WBS]]&amp;".*"),0)</f>
        <v>0</v>
      </c>
      <c r="BO85" s="41" t="n">
        <f aca="false">IF(AND(Tasks[[#This Row],[Task Name]]&lt;&gt;"",NOT(Tasks[[#This Row],[_IsSummary]])),1,0)</f>
        <v>0</v>
      </c>
      <c r="BP85" s="41" t="n">
        <f aca="false">IF(N(Tasks[[#This Row],[Pred1 UID]])=0,0,IFERROR(MATCH(Tasks[[#This Row],[Pred1 UID]],Tasks[UID],0),-1))</f>
        <v>0</v>
      </c>
      <c r="BQ85" s="41" t="n">
        <f aca="false">IF(N(Tasks[[#This Row],[Pred2 UID]])=0,0,IFERROR(MATCH(Tasks[[#This Row],[Pred2 UID]],Tasks[UID],0),-1))</f>
        <v>0</v>
      </c>
      <c r="BR85"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85" s="100" t="str">
        <f aca="false">IF(NOT(Tasks[[#This Row],[_IsLeaf]]=1),"",IF(N(Tasks[[#This Row],[Duration]])&lt;=0,Tasks[[#This Row],[_LeafCalcStart]],WORKDAY.INTL(Tasks[[#This Row],[_LeafCalcStart]],Tasks[[#This Row],[Duration]]-1,WorkWeek,Holidays)))</f>
        <v/>
      </c>
      <c r="BT85"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85"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85" s="41" t="n">
        <f aca="false">IF(NOT(Tasks[[#This Row],[_IsLeaf]]=1),0,IF(N(Tasks[[#This Row],[Actual Finish]])&gt;0,1,MIN(1,N(Tasks[[#This Row],[% Complete]]))))</f>
        <v>0</v>
      </c>
      <c r="BW85" s="41" t="n">
        <f aca="false">IF(OR(NOT(Tasks[[#This Row],[_IsLeaf]]=1),Tasks[[#This Row],[Resource]]=""),0,N(Tasks[[#This Row],[Duration]])*HoursPerDay*IF(Tasks[[#This Row],[Units]]="",DefaultUnits,Tasks[[#This Row],[Units]]))</f>
        <v>0</v>
      </c>
      <c r="BX85" s="41" t="n">
        <f aca="false">IF(Tasks[[#This Row],[_LeafWork]]=0,0,Tasks[[#This Row],[_LeafWork]]*IFERROR(INDEX(res_Rate,MATCH(Tasks[[#This Row],[Resource]],res_Name,0)),0))</f>
        <v>0</v>
      </c>
      <c r="BY8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8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8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8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85" s="41" t="n">
        <f aca="false">IF(NOT(Tasks[[#This Row],[_IsLeaf]]=1),0,MAX(_xlfn.MAXIFS(Tasks[_Row],Tasks[Pred1 UID],Tasks[[#This Row],[UID]]),_xlfn.MAXIFS(Tasks[_Row],Tasks[Pred2 UID],Tasks[[#This Row],[UID]])))</f>
        <v>0</v>
      </c>
      <c r="CD85"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85" s="100" t="str">
        <f aca="false">IF(NOT(Tasks[[#This Row],[_IsLeaf]]=1),"",MIN(ProjectFinish,IF(N(Tasks[[#This Row],[Deadline]])&gt;0,Tasks[[#This Row],[Deadline]],2958465),Tasks[[#This Row],[_SuccessorFinishLimit]]))</f>
        <v/>
      </c>
      <c r="CF85" s="100" t="str">
        <f aca="false">IF(NOT(Tasks[[#This Row],[_IsLeaf]]=1),"",IF(N(Tasks[[#This Row],[Duration]])&lt;=0,Tasks[[#This Row],[_LeafLateFinish]],WORKDAY.INTL(Tasks[[#This Row],[_LeafLateFinish]],-(Tasks[[#This Row],[Duration]]-1),WorkWeek,Holidays)))</f>
        <v/>
      </c>
      <c r="CG8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85" s="99" t="b">
        <f aca="false">AND(Tasks[[#This Row],[_IsLeaf]]=1,Tasks[[#This Row],[_LeafProgress]]&lt;1,N(Tasks[[#This Row],[_LeafTotalSlack]])&lt;=CriticalSlackDays)</f>
        <v>0</v>
      </c>
      <c r="CI85" s="100" t="str">
        <f aca="false">IF(Tasks[[#This Row],[Task Name]]="","",IF(Tasks[[#This Row],[_IsSummary]],MIN(INDEX(Tasks[_LeafCalcStart],Tasks[[#This Row],[_Row]]+1):INDEX(Tasks[_LeafCalcStart],Tasks[[#This Row],[_Row]]+Tasks[[#This Row],[_Descendants]])),Tasks[[#This Row],[_LeafCalcStart]]))</f>
        <v/>
      </c>
      <c r="CJ85" s="100" t="str">
        <f aca="false">IF(Tasks[[#This Row],[Task Name]]="","",IF(Tasks[[#This Row],[_IsSummary]],MAX(INDEX(Tasks[_LeafCalcFinish],Tasks[[#This Row],[_Row]]+1):INDEX(Tasks[_LeafCalcFinish],Tasks[[#This Row],[_Row]]+Tasks[[#This Row],[_Descendants]])),Tasks[[#This Row],[_LeafCalcFinish]]))</f>
        <v/>
      </c>
      <c r="CK8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8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85"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85"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85"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85"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85" s="41" t="n">
        <f aca="false">IF(AND(Tasks[[#This Row],[_IsLeaf]]=1,Tasks[[#This Row],[_LeafWork]]&gt;0),NETWORKDAYS.INTL(ProjectStart,Tasks[[#This Row],[_LeafFcstStart]],WorkWeek,Holidays),0)</f>
        <v>0</v>
      </c>
      <c r="CR85" s="41" t="n">
        <f aca="false">IF(AND(Tasks[[#This Row],[_IsLeaf]]=1,Tasks[[#This Row],[_LeafWork]]&gt;0),MAX(Tasks[[#This Row],[_StartWorkday]],NETWORKDAYS.INTL(ProjectStart,Tasks[[#This Row],[_LeafFcstFinish]],WorkWeek,Holidays)),0)</f>
        <v>0</v>
      </c>
      <c r="CS85" s="41" t="n">
        <f aca="false">IF(AND(Tasks[[#This Row],[_IsLeaf]]=1,Tasks[[#This Row],[_LeafWork]]&gt;0),Tasks[[#This Row],[_LeafWork]]/(Tasks[[#This Row],[_FinishWorkday]]-Tasks[[#This Row],[_StartWorkday]]+1),0)</f>
        <v>0</v>
      </c>
      <c r="CT85" s="41" t="n">
        <f aca="false">Tasks[[#This Row],[_WorkPerWorkday]]*(Tasks[[#This Row],[_StartWorkday]]-1)</f>
        <v>-0</v>
      </c>
      <c r="CU85" s="41" t="n">
        <f aca="false">IF(Tasks[[#This Row],[_IsLeaf]]=1,MAX(N(Tasks[[#This Row],[Duration]]),0.1),0)</f>
        <v>0</v>
      </c>
      <c r="CV85" s="41" t="n">
        <f aca="false">Tasks[[#This Row],[_WeightDur]]*Tasks[[#This Row],[_LeafProgress]]</f>
        <v>0</v>
      </c>
      <c r="CW8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8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8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8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85" s="41" t="str">
        <f aca="false">IF(Tasks[[#This Row],[Task Name]]="","",Tasks[[#This Row],[_Pred1UIDText]]&amp;IF(AND(Tasks[[#This Row],[_Pred1UIDText]]&lt;&gt;"",Tasks[[#This Row],[_Pred2UIDText]]&lt;&gt;""),",","")&amp;Tasks[[#This Row],[_Pred2UIDText]])</f>
        <v/>
      </c>
      <c r="DB85" s="41" t="str">
        <f aca="false">IF(AND(Tasks[[#This Row],[_IsLeaf]]=1,N(Tasks[[#This Row],[Duration]])=0,Tasks[[#This Row],[_LeafProgress]]&lt;1),Tasks[[#This Row],[_LeafFcstFinish]]+Tasks[[#This Row],[_Row]]/100000,"")</f>
        <v/>
      </c>
      <c r="DC8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85" s="41" t="n">
        <f aca="false">IF(NOT(Tasks[[#This Row],[_IsLeaf]]=1),0,IF(Tasks[[#This Row],[Baseline Cost]]="",Tasks[[#This Row],[_LeafCost]],N(Tasks[[#This Row],[Baseline Cost]])))</f>
        <v>0</v>
      </c>
      <c r="DE85" s="41" t="n">
        <f aca="false">Tasks[[#This Row],[_LeafBudget]]*Tasks[[#This Row],[_PlannedPct]]</f>
        <v>0</v>
      </c>
      <c r="DF85" s="41" t="n">
        <f aca="false">Tasks[[#This Row],[_LeafBudget]]*Tasks[[#This Row],[_LeafProgress]]</f>
        <v>0</v>
      </c>
      <c r="DG85" s="41" t="n">
        <f aca="false">IF(NOT(Tasks[[#This Row],[_IsLeaf]]=1),0,IF(Tasks[[#This Row],[Actual Cost]]="",Tasks[[#This Row],[_LeafCost]]*Tasks[[#This Row],[_LeafProgress]],N(Tasks[[#This Row],[Actual Cost]])))</f>
        <v>0</v>
      </c>
      <c r="DH85" s="41" t="str">
        <f aca="false">IF(Tasks[[#This Row],[Task Name]]="","",LEFT(Tasks[[#This Row],[WBS]],FIND(".",Tasks[[#This Row],[WBS]]&amp;".")-1))</f>
        <v/>
      </c>
      <c r="DI85" s="41" t="str">
        <f aca="false">IF(AND(Tasks[[#This Row],[Task Name]]&lt;&gt;"",Tasks[[#This Row],[_Level]]=1),Tasks[[#This Row],[_Row]],"")</f>
        <v/>
      </c>
      <c r="DJ85" s="41" t="str">
        <f aca="false">IF(AND(Tasks[[#This Row],[_IsLeaf]]=1,N(Tasks[[#This Row],[Duration]])=0),Tasks[[#This Row],[Planned Finish]]+Tasks[[#This Row],[_Row]]/100000,"")</f>
        <v/>
      </c>
      <c r="DK85" s="41" t="str">
        <f aca="false">IF(AND(Tasks[[#This Row],[_IsLeaf]]=1,Tasks[[#This Row],[_LeafProgress]]&lt;1,OR(N(Tasks[[#This Row],[Finish Var]])&gt;0,Tasks[[#This Row],[Status]]="Late Start")),MAX(0,Tasks[[#This Row],[Finish Var]])+1-Tasks[[#This Row],[_Row]]/1000000,"")</f>
        <v/>
      </c>
      <c r="DL85" s="41" t="str">
        <f aca="false">IF(AND(Tasks[[#This Row],[_IsLeaf]]=1,N(Tasks[[#This Row],[Actual Start]])=0,Tasks[[#This Row],[_LeafFcstStart]]&gt;=StatusDate,Tasks[[#This Row],[_LeafFcstStart]]&lt;=LookaheadEnd),Tasks[[#This Row],[_LeafFcstStart]]+Tasks[[#This Row],[_Row]]/100000,"")</f>
        <v/>
      </c>
      <c r="DM85" s="41" t="str">
        <f aca="false">IF(AND(Tasks[[#This Row],[_IsLeaf]]=1,Tasks[[#This Row],[_LeafProgress]]&lt;1,Tasks[[#This Row],[_LeafFcstFinish]]&gt;=StatusDate,Tasks[[#This Row],[_LeafFcstFinish]]&lt;=LookaheadEnd),Tasks[[#This Row],[_LeafFcstFinish]]+Tasks[[#This Row],[_Row]]/100000,"")</f>
        <v/>
      </c>
      <c r="DN85" s="41" t="str">
        <f aca="false">IF(Tasks[[#This Row],[_LeafCritical]],Tasks[[#This Row],[_LeafFcstStart]]+Tasks[[#This Row],[_Row]]/100000,"")</f>
        <v/>
      </c>
      <c r="DO85" s="41" t="n">
        <f aca="false">Tasks[[#This Row],[_LeafWork]]*Tasks[[#This Row],[_LeafProgress]]</f>
        <v>0</v>
      </c>
      <c r="DP85" s="100" t="str">
        <f aca="false">IF(AND(Tasks[[#This Row],[_IsLeaf]]=1,Tasks[[#This Row],[_LeafProgress]]&gt;=1),IF(N(Tasks[[#This Row],[Actual Finish]])&gt;0,Tasks[[#This Row],[Actual Finish]],Tasks[[#This Row],[_LeafFcstFinish]]),"")</f>
        <v/>
      </c>
      <c r="DQ85" s="41" t="n">
        <f aca="false">IF(Tasks[[#This Row],[_IsLeaf]]=1,N(Tasks[[#This Row],[Story Points]]),0)</f>
        <v>0</v>
      </c>
      <c r="DR85" s="41" t="str">
        <f aca="false">IF(AND(Tasks[[#This Row],[_IsLeaf]]=1,CurrentSprint&lt;&gt;"",Tasks[[#This Row],[Sprint]]=CurrentSprint),Tasks[[#This Row],[_Row]],"")</f>
        <v/>
      </c>
    </row>
    <row r="86" customFormat="false" ht="15" hidden="false" customHeight="false" outlineLevel="0" collapsed="false">
      <c r="A86" s="28" t="str">
        <f aca="false">IF(Tasks[[#This Row],[Task Name]]="","",COUNTA(Tasks[[#Headers],[Task Name]]:Tasks[[#This Row],[Task Name]])-1)</f>
        <v/>
      </c>
      <c r="B86" s="29" t="n">
        <v>81</v>
      </c>
      <c r="C8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6" s="29"/>
      <c r="E86" s="30"/>
      <c r="F86" s="29"/>
      <c r="G86" s="29"/>
      <c r="H86" s="29"/>
      <c r="I86" s="29"/>
      <c r="J86" s="29"/>
      <c r="K86" s="29"/>
      <c r="L86" s="29"/>
      <c r="M86" s="29"/>
      <c r="N86" s="73"/>
      <c r="O86" s="73"/>
      <c r="P86" s="25" t="str">
        <f aca="false">IF(Tasks[[#This Row],[Task Name]]="","",IF(N(Tasks[[#This Row],[Baseline Start]])&gt;0,Tasks[[#This Row],[Baseline Start]],Tasks[[#This Row],[_CalcStart]]))</f>
        <v/>
      </c>
      <c r="Q86" s="25" t="str">
        <f aca="false">IF(Tasks[[#This Row],[Task Name]]="","",IF(N(Tasks[[#This Row],[Baseline Finish]])&gt;0,Tasks[[#This Row],[Baseline Finish]],Tasks[[#This Row],[_CalcFinish]]))</f>
        <v/>
      </c>
      <c r="R86" s="73"/>
      <c r="S86" s="73"/>
      <c r="T86" s="25" t="str">
        <f aca="false">IF(Tasks[[#This Row],[Task Name]]="","",IF(Tasks[[#This Row],[_IsSummary]],MIN(INDEX(Tasks[_LeafFcstStart],Tasks[[#This Row],[_Row]]+1):INDEX(Tasks[_LeafFcstStart],Tasks[[#This Row],[_Row]]+Tasks[[#This Row],[_Descendants]])),Tasks[[#This Row],[_LeafFcstStart]]))</f>
        <v/>
      </c>
      <c r="U86" s="25" t="str">
        <f aca="false">IF(Tasks[[#This Row],[Task Name]]="","",IF(Tasks[[#This Row],[_IsSummary]],MAX(INDEX(Tasks[_LeafFcstFinish],Tasks[[#This Row],[_Row]]+1):INDEX(Tasks[_LeafFcstFinish],Tasks[[#This Row],[_Row]]+Tasks[[#This Row],[_Descendants]])),Tasks[[#This Row],[_LeafFcstFinish]]))</f>
        <v/>
      </c>
      <c r="V8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8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6" s="25" t="str">
        <f aca="false">IF(Tasks[[#This Row],[Task Name]]="","",IF(Tasks[[#This Row],[_IsSummary]],MIN(INDEX(Tasks[_LeafLateStart],Tasks[[#This Row],[_Row]]+1):INDEX(Tasks[_LeafLateStart],Tasks[[#This Row],[_Row]]+Tasks[[#This Row],[_Descendants]])),Tasks[[#This Row],[_LeafLateStart]]))</f>
        <v/>
      </c>
      <c r="Y86" s="25" t="str">
        <f aca="false">IF(Tasks[[#This Row],[Task Name]]="","",IF(Tasks[[#This Row],[_IsSummary]],MAX(INDEX(Tasks[_LeafLateFinish],Tasks[[#This Row],[_Row]]+1):INDEX(Tasks[_LeafLateFinish],Tasks[[#This Row],[_Row]]+Tasks[[#This Row],[_Descendants]])),Tasks[[#This Row],[_LeafLateFinish]]))</f>
        <v/>
      </c>
      <c r="Z86" s="43" t="str">
        <f aca="false">IF(Tasks[[#This Row],[Task Name]]="","",IF(Tasks[[#This Row],[_IsSummary]],MIN(INDEX(Tasks[_LeafTotalSlack],Tasks[[#This Row],[_Row]]+1):INDEX(Tasks[_LeafTotalSlack],Tasks[[#This Row],[_Row]]+Tasks[[#This Row],[_Descendants]])),Tasks[[#This Row],[_LeafTotalSlack]]))</f>
        <v/>
      </c>
      <c r="AA8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6" s="28" t="str">
        <f aca="false">IF(Tasks[[#This Row],[Task Name]]="","",IF(IF(Tasks[[#This Row],[_IsSummary]],COUNTIF(INDEX(Tasks[_LeafCritical],Tasks[[#This Row],[_Row]]+1):INDEX(Tasks[_LeafCritical],Tasks[[#This Row],[_Row]]+Tasks[[#This Row],[_Descendants]]),TRUE())&gt;0,Tasks[[#This Row],[_LeafCritical]]),"Yes",""))</f>
        <v/>
      </c>
      <c r="AC8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6" s="24" t="str">
        <f aca="false">IF(Tasks[[#This Row],[Task Name]]="","",TRIM(IF(Tasks[[#This Row],[_Pred1Problem]]&lt;&gt;"","Pred 1: "&amp;Tasks[[#This Row],[_Pred1Problem]]&amp;". ","")&amp;IF(Tasks[[#This Row],[_Pred2Problem]]&lt;&gt;"","Pred 2: "&amp;Tasks[[#This Row],[_Pred2Problem]]&amp;".","")))</f>
        <v/>
      </c>
      <c r="AE86" s="88"/>
      <c r="AF86"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6" s="28" t="str">
        <f aca="false">IF(Tasks[[#This Row],[Task Name]]="","",IF(Tasks[[#This Row],[Progress]]&gt;=1,"Complete",IF(OR(N(Tasks[[#This Row],[Actual Start]])&gt;0,Tasks[[#This Row],[Progress]]&gt;0),IF(Tasks[[#This Row],[Finish Var]]&gt;0,"Behind","In Progress"),IF(Tasks[[#This Row],[Planned Start]]&lt;StatusDate,"Late Start","Not Started"))))</f>
        <v/>
      </c>
      <c r="AH86" s="30"/>
      <c r="AI86" s="88"/>
      <c r="AJ86" s="95" t="str">
        <f aca="false">IF(Tasks[[#This Row],[Task Name]]="","",IF(Tasks[[#This Row],[_IsSummary]],SUM(INDEX(Tasks[_LeafWork],Tasks[[#This Row],[_Row]]+1):INDEX(Tasks[_LeafWork],Tasks[[#This Row],[_Row]]+Tasks[[#This Row],[_Descendants]])),Tasks[[#This Row],[_LeafWork]]))</f>
        <v/>
      </c>
      <c r="AK86" s="96" t="str">
        <f aca="false">IF(Tasks[[#This Row],[Task Name]]="","",IF(Tasks[[#This Row],[_IsSummary]],SUM(INDEX(Tasks[_LeafCost],Tasks[[#This Row],[_Row]]+1):INDEX(Tasks[_LeafCost],Tasks[[#This Row],[_Row]]+Tasks[[#This Row],[_Descendants]])),Tasks[[#This Row],[_LeafCost]]))</f>
        <v/>
      </c>
      <c r="AL86" s="97"/>
      <c r="AM86" s="29"/>
      <c r="AN8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86" s="82"/>
      <c r="AP86" s="24" t="str">
        <f aca="false">IF(Tasks[[#This Row],[Task Name]]="","",Tasks[[#This Row],[_Pred1IDText]]&amp;IF(AND(Tasks[[#This Row],[_Pred1IDText]]&lt;&gt;"",Tasks[[#This Row],[_Pred2IDText]]&lt;&gt;""),",","")&amp;Tasks[[#This Row],[_Pred2IDText]])</f>
        <v/>
      </c>
      <c r="AQ86" s="30"/>
      <c r="AR86" s="25" t="str">
        <f aca="false">IF(Tasks[[#This Row],[Task Name]]="","",Tasks[[#This Row],[Forecast Start]])</f>
        <v/>
      </c>
      <c r="AS86" s="25" t="str">
        <f aca="false">IF(Tasks[[#This Row],[Task Name]]="","",Tasks[[#This Row],[Forecast Finish]])</f>
        <v/>
      </c>
      <c r="AT86" s="28" t="str">
        <f aca="false">IF(Tasks[[#This Row],[Task Name]]="","",IF(Tasks[[#This Row],[_IsSummary]],NETWORKDAYS.INTL(Tasks[[#This Row],[Forecast Start]],Tasks[[#This Row],[Forecast Finish]],WorkWeek,Holidays),N(Tasks[[#This Row],[Duration]])))</f>
        <v/>
      </c>
      <c r="AU86" s="95" t="str">
        <f aca="false">IF(Tasks[[#This Row],[Task Name]]="","",Tasks[[#This Row],[Work]])</f>
        <v/>
      </c>
      <c r="AV86" s="96" t="str">
        <f aca="false">IF(Tasks[[#This Row],[Task Name]]="","",Tasks[[#This Row],[Cost]])</f>
        <v/>
      </c>
      <c r="AW86" s="73"/>
      <c r="AX86" s="73"/>
      <c r="AY86" s="29"/>
      <c r="AZ86" s="98"/>
      <c r="BA86" s="97"/>
      <c r="BB86" s="28" t="str">
        <f aca="false">IF(OR(Tasks[[#This Row],[Task Name]]="",Tasks[[#This Row],[Baseline Duration]]=""),"",Tasks[[#This Row],[BL Source Duration]]-N(Tasks[[#This Row],[Baseline Duration]]))</f>
        <v/>
      </c>
      <c r="BC86" s="95" t="str">
        <f aca="false">IF(OR(Tasks[[#This Row],[Task Name]]="",Tasks[[#This Row],[Baseline Work]]=""),"",Tasks[[#This Row],[Work]]-N(Tasks[[#This Row],[Baseline Work]]))</f>
        <v/>
      </c>
      <c r="BD86" s="96" t="str">
        <f aca="false">IF(OR(Tasks[[#This Row],[Task Name]]="",Tasks[[#This Row],[Baseline Cost]]=""),"",Tasks[[#This Row],[Cost]]-N(Tasks[[#This Row],[Baseline Cost]]))</f>
        <v/>
      </c>
      <c r="BE86" s="96" t="str">
        <f aca="false">IF(Tasks[[#This Row],[Task Name]]="","",IF(Tasks[[#This Row],[_IsSummary]],SUM(INDEX(Tasks[_LeafBudget],Tasks[[#This Row],[_Row]]+1):INDEX(Tasks[_LeafBudget],Tasks[[#This Row],[_Row]]+Tasks[[#This Row],[_Descendants]])),Tasks[[#This Row],[_LeafBudget]]))</f>
        <v/>
      </c>
      <c r="BF86" s="96" t="str">
        <f aca="false">IF(Tasks[[#This Row],[Task Name]]="","",IF(Tasks[[#This Row],[_IsSummary]],SUM(INDEX(Tasks[_LeafPV],Tasks[[#This Row],[_Row]]+1):INDEX(Tasks[_LeafPV],Tasks[[#This Row],[_Row]]+Tasks[[#This Row],[_Descendants]])),Tasks[[#This Row],[_LeafPV]]))</f>
        <v/>
      </c>
      <c r="BG86" s="96" t="str">
        <f aca="false">IF(Tasks[[#This Row],[Task Name]]="","",IF(Tasks[[#This Row],[_IsSummary]],SUM(INDEX(Tasks[_LeafEV],Tasks[[#This Row],[_Row]]+1):INDEX(Tasks[_LeafEV],Tasks[[#This Row],[_Row]]+Tasks[[#This Row],[_Descendants]])),Tasks[[#This Row],[_LeafEV]]))</f>
        <v/>
      </c>
      <c r="BH86" s="96" t="str">
        <f aca="false">IF(Tasks[[#This Row],[Task Name]]="","",IF(Tasks[[#This Row],[_IsSummary]],SUM(INDEX(Tasks[_LeafAC],Tasks[[#This Row],[_Row]]+1):INDEX(Tasks[_LeafAC],Tasks[[#This Row],[_Row]]+Tasks[[#This Row],[_Descendants]])),Tasks[[#This Row],[_LeafAC]]))</f>
        <v/>
      </c>
      <c r="BI86" s="41" t="str">
        <f aca="false">IF(Tasks[[#This Row],[Task Name]]="","",MAX(1,N(Tasks[[#This Row],[Level]])))</f>
        <v/>
      </c>
      <c r="BJ86" s="41" t="n">
        <f aca="false">ROW()-ROW(Tasks[[#Headers],[ID]])</f>
        <v>81</v>
      </c>
      <c r="BK86" s="41" t="n">
        <f aca="false">IF(OR(Tasks[[#This Row],[Task Name]]="",Tasks[[#This Row],[_Level]]&lt;=1),0,IFERROR(LOOKUP(2,1/(Tasks[[#Headers],[_Level]]:Tasks[[#This Row],[_Level]]=Tasks[[#This Row],[_Level]]-1),ROW(Tasks[[#Headers],[_Level]]:Tasks[[#This Row],[_Level]])),0))</f>
        <v>0</v>
      </c>
      <c r="BL86" s="41" t="n">
        <f aca="false">IFERROR(N(INDEX(Tasks[_Level],Tasks[[#This Row],[_Row]]+1)),0)</f>
        <v>0</v>
      </c>
      <c r="BM86" s="99" t="b">
        <f aca="false">AND(Tasks[[#This Row],[Task Name]]&lt;&gt;"",Tasks[[#This Row],[_NextLevel]]&gt;Tasks[[#This Row],[_Level]])</f>
        <v>0</v>
      </c>
      <c r="BN86" s="41" t="n">
        <f aca="false">IF(Tasks[[#This Row],[_IsSummary]],COUNTIF(Tasks[WBS],Tasks[[#This Row],[WBS]]&amp;".*"),0)</f>
        <v>0</v>
      </c>
      <c r="BO86" s="41" t="n">
        <f aca="false">IF(AND(Tasks[[#This Row],[Task Name]]&lt;&gt;"",NOT(Tasks[[#This Row],[_IsSummary]])),1,0)</f>
        <v>0</v>
      </c>
      <c r="BP86" s="41" t="n">
        <f aca="false">IF(N(Tasks[[#This Row],[Pred1 UID]])=0,0,IFERROR(MATCH(Tasks[[#This Row],[Pred1 UID]],Tasks[UID],0),-1))</f>
        <v>0</v>
      </c>
      <c r="BQ86" s="41" t="n">
        <f aca="false">IF(N(Tasks[[#This Row],[Pred2 UID]])=0,0,IFERROR(MATCH(Tasks[[#This Row],[Pred2 UID]],Tasks[UID],0),-1))</f>
        <v>0</v>
      </c>
      <c r="BR86"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86" s="100" t="str">
        <f aca="false">IF(NOT(Tasks[[#This Row],[_IsLeaf]]=1),"",IF(N(Tasks[[#This Row],[Duration]])&lt;=0,Tasks[[#This Row],[_LeafCalcStart]],WORKDAY.INTL(Tasks[[#This Row],[_LeafCalcStart]],Tasks[[#This Row],[Duration]]-1,WorkWeek,Holidays)))</f>
        <v/>
      </c>
      <c r="BT86"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86"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86" s="41" t="n">
        <f aca="false">IF(NOT(Tasks[[#This Row],[_IsLeaf]]=1),0,IF(N(Tasks[[#This Row],[Actual Finish]])&gt;0,1,MIN(1,N(Tasks[[#This Row],[% Complete]]))))</f>
        <v>0</v>
      </c>
      <c r="BW86" s="41" t="n">
        <f aca="false">IF(OR(NOT(Tasks[[#This Row],[_IsLeaf]]=1),Tasks[[#This Row],[Resource]]=""),0,N(Tasks[[#This Row],[Duration]])*HoursPerDay*IF(Tasks[[#This Row],[Units]]="",DefaultUnits,Tasks[[#This Row],[Units]]))</f>
        <v>0</v>
      </c>
      <c r="BX86" s="41" t="n">
        <f aca="false">IF(Tasks[[#This Row],[_LeafWork]]=0,0,Tasks[[#This Row],[_LeafWork]]*IFERROR(INDEX(res_Rate,MATCH(Tasks[[#This Row],[Resource]],res_Name,0)),0))</f>
        <v>0</v>
      </c>
      <c r="BY8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8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8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8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86" s="41" t="n">
        <f aca="false">IF(NOT(Tasks[[#This Row],[_IsLeaf]]=1),0,MAX(_xlfn.MAXIFS(Tasks[_Row],Tasks[Pred1 UID],Tasks[[#This Row],[UID]]),_xlfn.MAXIFS(Tasks[_Row],Tasks[Pred2 UID],Tasks[[#This Row],[UID]])))</f>
        <v>0</v>
      </c>
      <c r="CD86"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86" s="100" t="str">
        <f aca="false">IF(NOT(Tasks[[#This Row],[_IsLeaf]]=1),"",MIN(ProjectFinish,IF(N(Tasks[[#This Row],[Deadline]])&gt;0,Tasks[[#This Row],[Deadline]],2958465),Tasks[[#This Row],[_SuccessorFinishLimit]]))</f>
        <v/>
      </c>
      <c r="CF86" s="100" t="str">
        <f aca="false">IF(NOT(Tasks[[#This Row],[_IsLeaf]]=1),"",IF(N(Tasks[[#This Row],[Duration]])&lt;=0,Tasks[[#This Row],[_LeafLateFinish]],WORKDAY.INTL(Tasks[[#This Row],[_LeafLateFinish]],-(Tasks[[#This Row],[Duration]]-1),WorkWeek,Holidays)))</f>
        <v/>
      </c>
      <c r="CG8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86" s="99" t="b">
        <f aca="false">AND(Tasks[[#This Row],[_IsLeaf]]=1,Tasks[[#This Row],[_LeafProgress]]&lt;1,N(Tasks[[#This Row],[_LeafTotalSlack]])&lt;=CriticalSlackDays)</f>
        <v>0</v>
      </c>
      <c r="CI86" s="100" t="str">
        <f aca="false">IF(Tasks[[#This Row],[Task Name]]="","",IF(Tasks[[#This Row],[_IsSummary]],MIN(INDEX(Tasks[_LeafCalcStart],Tasks[[#This Row],[_Row]]+1):INDEX(Tasks[_LeafCalcStart],Tasks[[#This Row],[_Row]]+Tasks[[#This Row],[_Descendants]])),Tasks[[#This Row],[_LeafCalcStart]]))</f>
        <v/>
      </c>
      <c r="CJ86" s="100" t="str">
        <f aca="false">IF(Tasks[[#This Row],[Task Name]]="","",IF(Tasks[[#This Row],[_IsSummary]],MAX(INDEX(Tasks[_LeafCalcFinish],Tasks[[#This Row],[_Row]]+1):INDEX(Tasks[_LeafCalcFinish],Tasks[[#This Row],[_Row]]+Tasks[[#This Row],[_Descendants]])),Tasks[[#This Row],[_LeafCalcFinish]]))</f>
        <v/>
      </c>
      <c r="CK8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8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86"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86"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86"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86"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86" s="41" t="n">
        <f aca="false">IF(AND(Tasks[[#This Row],[_IsLeaf]]=1,Tasks[[#This Row],[_LeafWork]]&gt;0),NETWORKDAYS.INTL(ProjectStart,Tasks[[#This Row],[_LeafFcstStart]],WorkWeek,Holidays),0)</f>
        <v>0</v>
      </c>
      <c r="CR86" s="41" t="n">
        <f aca="false">IF(AND(Tasks[[#This Row],[_IsLeaf]]=1,Tasks[[#This Row],[_LeafWork]]&gt;0),MAX(Tasks[[#This Row],[_StartWorkday]],NETWORKDAYS.INTL(ProjectStart,Tasks[[#This Row],[_LeafFcstFinish]],WorkWeek,Holidays)),0)</f>
        <v>0</v>
      </c>
      <c r="CS86" s="41" t="n">
        <f aca="false">IF(AND(Tasks[[#This Row],[_IsLeaf]]=1,Tasks[[#This Row],[_LeafWork]]&gt;0),Tasks[[#This Row],[_LeafWork]]/(Tasks[[#This Row],[_FinishWorkday]]-Tasks[[#This Row],[_StartWorkday]]+1),0)</f>
        <v>0</v>
      </c>
      <c r="CT86" s="41" t="n">
        <f aca="false">Tasks[[#This Row],[_WorkPerWorkday]]*(Tasks[[#This Row],[_StartWorkday]]-1)</f>
        <v>-0</v>
      </c>
      <c r="CU86" s="41" t="n">
        <f aca="false">IF(Tasks[[#This Row],[_IsLeaf]]=1,MAX(N(Tasks[[#This Row],[Duration]]),0.1),0)</f>
        <v>0</v>
      </c>
      <c r="CV86" s="41" t="n">
        <f aca="false">Tasks[[#This Row],[_WeightDur]]*Tasks[[#This Row],[_LeafProgress]]</f>
        <v>0</v>
      </c>
      <c r="CW8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8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8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8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86" s="41" t="str">
        <f aca="false">IF(Tasks[[#This Row],[Task Name]]="","",Tasks[[#This Row],[_Pred1UIDText]]&amp;IF(AND(Tasks[[#This Row],[_Pred1UIDText]]&lt;&gt;"",Tasks[[#This Row],[_Pred2UIDText]]&lt;&gt;""),",","")&amp;Tasks[[#This Row],[_Pred2UIDText]])</f>
        <v/>
      </c>
      <c r="DB86" s="41" t="str">
        <f aca="false">IF(AND(Tasks[[#This Row],[_IsLeaf]]=1,N(Tasks[[#This Row],[Duration]])=0,Tasks[[#This Row],[_LeafProgress]]&lt;1),Tasks[[#This Row],[_LeafFcstFinish]]+Tasks[[#This Row],[_Row]]/100000,"")</f>
        <v/>
      </c>
      <c r="DC8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86" s="41" t="n">
        <f aca="false">IF(NOT(Tasks[[#This Row],[_IsLeaf]]=1),0,IF(Tasks[[#This Row],[Baseline Cost]]="",Tasks[[#This Row],[_LeafCost]],N(Tasks[[#This Row],[Baseline Cost]])))</f>
        <v>0</v>
      </c>
      <c r="DE86" s="41" t="n">
        <f aca="false">Tasks[[#This Row],[_LeafBudget]]*Tasks[[#This Row],[_PlannedPct]]</f>
        <v>0</v>
      </c>
      <c r="DF86" s="41" t="n">
        <f aca="false">Tasks[[#This Row],[_LeafBudget]]*Tasks[[#This Row],[_LeafProgress]]</f>
        <v>0</v>
      </c>
      <c r="DG86" s="41" t="n">
        <f aca="false">IF(NOT(Tasks[[#This Row],[_IsLeaf]]=1),0,IF(Tasks[[#This Row],[Actual Cost]]="",Tasks[[#This Row],[_LeafCost]]*Tasks[[#This Row],[_LeafProgress]],N(Tasks[[#This Row],[Actual Cost]])))</f>
        <v>0</v>
      </c>
      <c r="DH86" s="41" t="str">
        <f aca="false">IF(Tasks[[#This Row],[Task Name]]="","",LEFT(Tasks[[#This Row],[WBS]],FIND(".",Tasks[[#This Row],[WBS]]&amp;".")-1))</f>
        <v/>
      </c>
      <c r="DI86" s="41" t="str">
        <f aca="false">IF(AND(Tasks[[#This Row],[Task Name]]&lt;&gt;"",Tasks[[#This Row],[_Level]]=1),Tasks[[#This Row],[_Row]],"")</f>
        <v/>
      </c>
      <c r="DJ86" s="41" t="str">
        <f aca="false">IF(AND(Tasks[[#This Row],[_IsLeaf]]=1,N(Tasks[[#This Row],[Duration]])=0),Tasks[[#This Row],[Planned Finish]]+Tasks[[#This Row],[_Row]]/100000,"")</f>
        <v/>
      </c>
      <c r="DK86" s="41" t="str">
        <f aca="false">IF(AND(Tasks[[#This Row],[_IsLeaf]]=1,Tasks[[#This Row],[_LeafProgress]]&lt;1,OR(N(Tasks[[#This Row],[Finish Var]])&gt;0,Tasks[[#This Row],[Status]]="Late Start")),MAX(0,Tasks[[#This Row],[Finish Var]])+1-Tasks[[#This Row],[_Row]]/1000000,"")</f>
        <v/>
      </c>
      <c r="DL86" s="41" t="str">
        <f aca="false">IF(AND(Tasks[[#This Row],[_IsLeaf]]=1,N(Tasks[[#This Row],[Actual Start]])=0,Tasks[[#This Row],[_LeafFcstStart]]&gt;=StatusDate,Tasks[[#This Row],[_LeafFcstStart]]&lt;=LookaheadEnd),Tasks[[#This Row],[_LeafFcstStart]]+Tasks[[#This Row],[_Row]]/100000,"")</f>
        <v/>
      </c>
      <c r="DM86" s="41" t="str">
        <f aca="false">IF(AND(Tasks[[#This Row],[_IsLeaf]]=1,Tasks[[#This Row],[_LeafProgress]]&lt;1,Tasks[[#This Row],[_LeafFcstFinish]]&gt;=StatusDate,Tasks[[#This Row],[_LeafFcstFinish]]&lt;=LookaheadEnd),Tasks[[#This Row],[_LeafFcstFinish]]+Tasks[[#This Row],[_Row]]/100000,"")</f>
        <v/>
      </c>
      <c r="DN86" s="41" t="str">
        <f aca="false">IF(Tasks[[#This Row],[_LeafCritical]],Tasks[[#This Row],[_LeafFcstStart]]+Tasks[[#This Row],[_Row]]/100000,"")</f>
        <v/>
      </c>
      <c r="DO86" s="41" t="n">
        <f aca="false">Tasks[[#This Row],[_LeafWork]]*Tasks[[#This Row],[_LeafProgress]]</f>
        <v>0</v>
      </c>
      <c r="DP86" s="100" t="str">
        <f aca="false">IF(AND(Tasks[[#This Row],[_IsLeaf]]=1,Tasks[[#This Row],[_LeafProgress]]&gt;=1),IF(N(Tasks[[#This Row],[Actual Finish]])&gt;0,Tasks[[#This Row],[Actual Finish]],Tasks[[#This Row],[_LeafFcstFinish]]),"")</f>
        <v/>
      </c>
      <c r="DQ86" s="41" t="n">
        <f aca="false">IF(Tasks[[#This Row],[_IsLeaf]]=1,N(Tasks[[#This Row],[Story Points]]),0)</f>
        <v>0</v>
      </c>
      <c r="DR86" s="41" t="str">
        <f aca="false">IF(AND(Tasks[[#This Row],[_IsLeaf]]=1,CurrentSprint&lt;&gt;"",Tasks[[#This Row],[Sprint]]=CurrentSprint),Tasks[[#This Row],[_Row]],"")</f>
        <v/>
      </c>
    </row>
    <row r="87" customFormat="false" ht="15" hidden="false" customHeight="false" outlineLevel="0" collapsed="false">
      <c r="A87" s="28" t="str">
        <f aca="false">IF(Tasks[[#This Row],[Task Name]]="","",COUNTA(Tasks[[#Headers],[Task Name]]:Tasks[[#This Row],[Task Name]])-1)</f>
        <v/>
      </c>
      <c r="B87" s="29" t="n">
        <v>82</v>
      </c>
      <c r="C8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7" s="29"/>
      <c r="E87" s="30"/>
      <c r="F87" s="29"/>
      <c r="G87" s="29"/>
      <c r="H87" s="29"/>
      <c r="I87" s="29"/>
      <c r="J87" s="29"/>
      <c r="K87" s="29"/>
      <c r="L87" s="29"/>
      <c r="M87" s="29"/>
      <c r="N87" s="73"/>
      <c r="O87" s="73"/>
      <c r="P87" s="25" t="str">
        <f aca="false">IF(Tasks[[#This Row],[Task Name]]="","",IF(N(Tasks[[#This Row],[Baseline Start]])&gt;0,Tasks[[#This Row],[Baseline Start]],Tasks[[#This Row],[_CalcStart]]))</f>
        <v/>
      </c>
      <c r="Q87" s="25" t="str">
        <f aca="false">IF(Tasks[[#This Row],[Task Name]]="","",IF(N(Tasks[[#This Row],[Baseline Finish]])&gt;0,Tasks[[#This Row],[Baseline Finish]],Tasks[[#This Row],[_CalcFinish]]))</f>
        <v/>
      </c>
      <c r="R87" s="73"/>
      <c r="S87" s="73"/>
      <c r="T87" s="25" t="str">
        <f aca="false">IF(Tasks[[#This Row],[Task Name]]="","",IF(Tasks[[#This Row],[_IsSummary]],MIN(INDEX(Tasks[_LeafFcstStart],Tasks[[#This Row],[_Row]]+1):INDEX(Tasks[_LeafFcstStart],Tasks[[#This Row],[_Row]]+Tasks[[#This Row],[_Descendants]])),Tasks[[#This Row],[_LeafFcstStart]]))</f>
        <v/>
      </c>
      <c r="U87" s="25" t="str">
        <f aca="false">IF(Tasks[[#This Row],[Task Name]]="","",IF(Tasks[[#This Row],[_IsSummary]],MAX(INDEX(Tasks[_LeafFcstFinish],Tasks[[#This Row],[_Row]]+1):INDEX(Tasks[_LeafFcstFinish],Tasks[[#This Row],[_Row]]+Tasks[[#This Row],[_Descendants]])),Tasks[[#This Row],[_LeafFcstFinish]]))</f>
        <v/>
      </c>
      <c r="V8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8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7" s="25" t="str">
        <f aca="false">IF(Tasks[[#This Row],[Task Name]]="","",IF(Tasks[[#This Row],[_IsSummary]],MIN(INDEX(Tasks[_LeafLateStart],Tasks[[#This Row],[_Row]]+1):INDEX(Tasks[_LeafLateStart],Tasks[[#This Row],[_Row]]+Tasks[[#This Row],[_Descendants]])),Tasks[[#This Row],[_LeafLateStart]]))</f>
        <v/>
      </c>
      <c r="Y87" s="25" t="str">
        <f aca="false">IF(Tasks[[#This Row],[Task Name]]="","",IF(Tasks[[#This Row],[_IsSummary]],MAX(INDEX(Tasks[_LeafLateFinish],Tasks[[#This Row],[_Row]]+1):INDEX(Tasks[_LeafLateFinish],Tasks[[#This Row],[_Row]]+Tasks[[#This Row],[_Descendants]])),Tasks[[#This Row],[_LeafLateFinish]]))</f>
        <v/>
      </c>
      <c r="Z87" s="43" t="str">
        <f aca="false">IF(Tasks[[#This Row],[Task Name]]="","",IF(Tasks[[#This Row],[_IsSummary]],MIN(INDEX(Tasks[_LeafTotalSlack],Tasks[[#This Row],[_Row]]+1):INDEX(Tasks[_LeafTotalSlack],Tasks[[#This Row],[_Row]]+Tasks[[#This Row],[_Descendants]])),Tasks[[#This Row],[_LeafTotalSlack]]))</f>
        <v/>
      </c>
      <c r="AA8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7" s="28" t="str">
        <f aca="false">IF(Tasks[[#This Row],[Task Name]]="","",IF(IF(Tasks[[#This Row],[_IsSummary]],COUNTIF(INDEX(Tasks[_LeafCritical],Tasks[[#This Row],[_Row]]+1):INDEX(Tasks[_LeafCritical],Tasks[[#This Row],[_Row]]+Tasks[[#This Row],[_Descendants]]),TRUE())&gt;0,Tasks[[#This Row],[_LeafCritical]]),"Yes",""))</f>
        <v/>
      </c>
      <c r="AC8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7" s="24" t="str">
        <f aca="false">IF(Tasks[[#This Row],[Task Name]]="","",TRIM(IF(Tasks[[#This Row],[_Pred1Problem]]&lt;&gt;"","Pred 1: "&amp;Tasks[[#This Row],[_Pred1Problem]]&amp;". ","")&amp;IF(Tasks[[#This Row],[_Pred2Problem]]&lt;&gt;"","Pred 2: "&amp;Tasks[[#This Row],[_Pred2Problem]]&amp;".","")))</f>
        <v/>
      </c>
      <c r="AE87" s="88"/>
      <c r="AF87"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7" s="28" t="str">
        <f aca="false">IF(Tasks[[#This Row],[Task Name]]="","",IF(Tasks[[#This Row],[Progress]]&gt;=1,"Complete",IF(OR(N(Tasks[[#This Row],[Actual Start]])&gt;0,Tasks[[#This Row],[Progress]]&gt;0),IF(Tasks[[#This Row],[Finish Var]]&gt;0,"Behind","In Progress"),IF(Tasks[[#This Row],[Planned Start]]&lt;StatusDate,"Late Start","Not Started"))))</f>
        <v/>
      </c>
      <c r="AH87" s="30"/>
      <c r="AI87" s="88"/>
      <c r="AJ87" s="95" t="str">
        <f aca="false">IF(Tasks[[#This Row],[Task Name]]="","",IF(Tasks[[#This Row],[_IsSummary]],SUM(INDEX(Tasks[_LeafWork],Tasks[[#This Row],[_Row]]+1):INDEX(Tasks[_LeafWork],Tasks[[#This Row],[_Row]]+Tasks[[#This Row],[_Descendants]])),Tasks[[#This Row],[_LeafWork]]))</f>
        <v/>
      </c>
      <c r="AK87" s="96" t="str">
        <f aca="false">IF(Tasks[[#This Row],[Task Name]]="","",IF(Tasks[[#This Row],[_IsSummary]],SUM(INDEX(Tasks[_LeafCost],Tasks[[#This Row],[_Row]]+1):INDEX(Tasks[_LeafCost],Tasks[[#This Row],[_Row]]+Tasks[[#This Row],[_Descendants]])),Tasks[[#This Row],[_LeafCost]]))</f>
        <v/>
      </c>
      <c r="AL87" s="97"/>
      <c r="AM87" s="29"/>
      <c r="AN8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87" s="82"/>
      <c r="AP87" s="24" t="str">
        <f aca="false">IF(Tasks[[#This Row],[Task Name]]="","",Tasks[[#This Row],[_Pred1IDText]]&amp;IF(AND(Tasks[[#This Row],[_Pred1IDText]]&lt;&gt;"",Tasks[[#This Row],[_Pred2IDText]]&lt;&gt;""),",","")&amp;Tasks[[#This Row],[_Pred2IDText]])</f>
        <v/>
      </c>
      <c r="AQ87" s="30"/>
      <c r="AR87" s="25" t="str">
        <f aca="false">IF(Tasks[[#This Row],[Task Name]]="","",Tasks[[#This Row],[Forecast Start]])</f>
        <v/>
      </c>
      <c r="AS87" s="25" t="str">
        <f aca="false">IF(Tasks[[#This Row],[Task Name]]="","",Tasks[[#This Row],[Forecast Finish]])</f>
        <v/>
      </c>
      <c r="AT87" s="28" t="str">
        <f aca="false">IF(Tasks[[#This Row],[Task Name]]="","",IF(Tasks[[#This Row],[_IsSummary]],NETWORKDAYS.INTL(Tasks[[#This Row],[Forecast Start]],Tasks[[#This Row],[Forecast Finish]],WorkWeek,Holidays),N(Tasks[[#This Row],[Duration]])))</f>
        <v/>
      </c>
      <c r="AU87" s="95" t="str">
        <f aca="false">IF(Tasks[[#This Row],[Task Name]]="","",Tasks[[#This Row],[Work]])</f>
        <v/>
      </c>
      <c r="AV87" s="96" t="str">
        <f aca="false">IF(Tasks[[#This Row],[Task Name]]="","",Tasks[[#This Row],[Cost]])</f>
        <v/>
      </c>
      <c r="AW87" s="73"/>
      <c r="AX87" s="73"/>
      <c r="AY87" s="29"/>
      <c r="AZ87" s="98"/>
      <c r="BA87" s="97"/>
      <c r="BB87" s="28" t="str">
        <f aca="false">IF(OR(Tasks[[#This Row],[Task Name]]="",Tasks[[#This Row],[Baseline Duration]]=""),"",Tasks[[#This Row],[BL Source Duration]]-N(Tasks[[#This Row],[Baseline Duration]]))</f>
        <v/>
      </c>
      <c r="BC87" s="95" t="str">
        <f aca="false">IF(OR(Tasks[[#This Row],[Task Name]]="",Tasks[[#This Row],[Baseline Work]]=""),"",Tasks[[#This Row],[Work]]-N(Tasks[[#This Row],[Baseline Work]]))</f>
        <v/>
      </c>
      <c r="BD87" s="96" t="str">
        <f aca="false">IF(OR(Tasks[[#This Row],[Task Name]]="",Tasks[[#This Row],[Baseline Cost]]=""),"",Tasks[[#This Row],[Cost]]-N(Tasks[[#This Row],[Baseline Cost]]))</f>
        <v/>
      </c>
      <c r="BE87" s="96" t="str">
        <f aca="false">IF(Tasks[[#This Row],[Task Name]]="","",IF(Tasks[[#This Row],[_IsSummary]],SUM(INDEX(Tasks[_LeafBudget],Tasks[[#This Row],[_Row]]+1):INDEX(Tasks[_LeafBudget],Tasks[[#This Row],[_Row]]+Tasks[[#This Row],[_Descendants]])),Tasks[[#This Row],[_LeafBudget]]))</f>
        <v/>
      </c>
      <c r="BF87" s="96" t="str">
        <f aca="false">IF(Tasks[[#This Row],[Task Name]]="","",IF(Tasks[[#This Row],[_IsSummary]],SUM(INDEX(Tasks[_LeafPV],Tasks[[#This Row],[_Row]]+1):INDEX(Tasks[_LeafPV],Tasks[[#This Row],[_Row]]+Tasks[[#This Row],[_Descendants]])),Tasks[[#This Row],[_LeafPV]]))</f>
        <v/>
      </c>
      <c r="BG87" s="96" t="str">
        <f aca="false">IF(Tasks[[#This Row],[Task Name]]="","",IF(Tasks[[#This Row],[_IsSummary]],SUM(INDEX(Tasks[_LeafEV],Tasks[[#This Row],[_Row]]+1):INDEX(Tasks[_LeafEV],Tasks[[#This Row],[_Row]]+Tasks[[#This Row],[_Descendants]])),Tasks[[#This Row],[_LeafEV]]))</f>
        <v/>
      </c>
      <c r="BH87" s="96" t="str">
        <f aca="false">IF(Tasks[[#This Row],[Task Name]]="","",IF(Tasks[[#This Row],[_IsSummary]],SUM(INDEX(Tasks[_LeafAC],Tasks[[#This Row],[_Row]]+1):INDEX(Tasks[_LeafAC],Tasks[[#This Row],[_Row]]+Tasks[[#This Row],[_Descendants]])),Tasks[[#This Row],[_LeafAC]]))</f>
        <v/>
      </c>
      <c r="BI87" s="41" t="str">
        <f aca="false">IF(Tasks[[#This Row],[Task Name]]="","",MAX(1,N(Tasks[[#This Row],[Level]])))</f>
        <v/>
      </c>
      <c r="BJ87" s="41" t="n">
        <f aca="false">ROW()-ROW(Tasks[[#Headers],[ID]])</f>
        <v>82</v>
      </c>
      <c r="BK87" s="41" t="n">
        <f aca="false">IF(OR(Tasks[[#This Row],[Task Name]]="",Tasks[[#This Row],[_Level]]&lt;=1),0,IFERROR(LOOKUP(2,1/(Tasks[[#Headers],[_Level]]:Tasks[[#This Row],[_Level]]=Tasks[[#This Row],[_Level]]-1),ROW(Tasks[[#Headers],[_Level]]:Tasks[[#This Row],[_Level]])),0))</f>
        <v>0</v>
      </c>
      <c r="BL87" s="41" t="n">
        <f aca="false">IFERROR(N(INDEX(Tasks[_Level],Tasks[[#This Row],[_Row]]+1)),0)</f>
        <v>0</v>
      </c>
      <c r="BM87" s="99" t="b">
        <f aca="false">AND(Tasks[[#This Row],[Task Name]]&lt;&gt;"",Tasks[[#This Row],[_NextLevel]]&gt;Tasks[[#This Row],[_Level]])</f>
        <v>0</v>
      </c>
      <c r="BN87" s="41" t="n">
        <f aca="false">IF(Tasks[[#This Row],[_IsSummary]],COUNTIF(Tasks[WBS],Tasks[[#This Row],[WBS]]&amp;".*"),0)</f>
        <v>0</v>
      </c>
      <c r="BO87" s="41" t="n">
        <f aca="false">IF(AND(Tasks[[#This Row],[Task Name]]&lt;&gt;"",NOT(Tasks[[#This Row],[_IsSummary]])),1,0)</f>
        <v>0</v>
      </c>
      <c r="BP87" s="41" t="n">
        <f aca="false">IF(N(Tasks[[#This Row],[Pred1 UID]])=0,0,IFERROR(MATCH(Tasks[[#This Row],[Pred1 UID]],Tasks[UID],0),-1))</f>
        <v>0</v>
      </c>
      <c r="BQ87" s="41" t="n">
        <f aca="false">IF(N(Tasks[[#This Row],[Pred2 UID]])=0,0,IFERROR(MATCH(Tasks[[#This Row],[Pred2 UID]],Tasks[UID],0),-1))</f>
        <v>0</v>
      </c>
      <c r="BR87"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87" s="100" t="str">
        <f aca="false">IF(NOT(Tasks[[#This Row],[_IsLeaf]]=1),"",IF(N(Tasks[[#This Row],[Duration]])&lt;=0,Tasks[[#This Row],[_LeafCalcStart]],WORKDAY.INTL(Tasks[[#This Row],[_LeafCalcStart]],Tasks[[#This Row],[Duration]]-1,WorkWeek,Holidays)))</f>
        <v/>
      </c>
      <c r="BT87"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87"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87" s="41" t="n">
        <f aca="false">IF(NOT(Tasks[[#This Row],[_IsLeaf]]=1),0,IF(N(Tasks[[#This Row],[Actual Finish]])&gt;0,1,MIN(1,N(Tasks[[#This Row],[% Complete]]))))</f>
        <v>0</v>
      </c>
      <c r="BW87" s="41" t="n">
        <f aca="false">IF(OR(NOT(Tasks[[#This Row],[_IsLeaf]]=1),Tasks[[#This Row],[Resource]]=""),0,N(Tasks[[#This Row],[Duration]])*HoursPerDay*IF(Tasks[[#This Row],[Units]]="",DefaultUnits,Tasks[[#This Row],[Units]]))</f>
        <v>0</v>
      </c>
      <c r="BX87" s="41" t="n">
        <f aca="false">IF(Tasks[[#This Row],[_LeafWork]]=0,0,Tasks[[#This Row],[_LeafWork]]*IFERROR(INDEX(res_Rate,MATCH(Tasks[[#This Row],[Resource]],res_Name,0)),0))</f>
        <v>0</v>
      </c>
      <c r="BY8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8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8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8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87" s="41" t="n">
        <f aca="false">IF(NOT(Tasks[[#This Row],[_IsLeaf]]=1),0,MAX(_xlfn.MAXIFS(Tasks[_Row],Tasks[Pred1 UID],Tasks[[#This Row],[UID]]),_xlfn.MAXIFS(Tasks[_Row],Tasks[Pred2 UID],Tasks[[#This Row],[UID]])))</f>
        <v>0</v>
      </c>
      <c r="CD87"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87" s="100" t="str">
        <f aca="false">IF(NOT(Tasks[[#This Row],[_IsLeaf]]=1),"",MIN(ProjectFinish,IF(N(Tasks[[#This Row],[Deadline]])&gt;0,Tasks[[#This Row],[Deadline]],2958465),Tasks[[#This Row],[_SuccessorFinishLimit]]))</f>
        <v/>
      </c>
      <c r="CF87" s="100" t="str">
        <f aca="false">IF(NOT(Tasks[[#This Row],[_IsLeaf]]=1),"",IF(N(Tasks[[#This Row],[Duration]])&lt;=0,Tasks[[#This Row],[_LeafLateFinish]],WORKDAY.INTL(Tasks[[#This Row],[_LeafLateFinish]],-(Tasks[[#This Row],[Duration]]-1),WorkWeek,Holidays)))</f>
        <v/>
      </c>
      <c r="CG8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87" s="99" t="b">
        <f aca="false">AND(Tasks[[#This Row],[_IsLeaf]]=1,Tasks[[#This Row],[_LeafProgress]]&lt;1,N(Tasks[[#This Row],[_LeafTotalSlack]])&lt;=CriticalSlackDays)</f>
        <v>0</v>
      </c>
      <c r="CI87" s="100" t="str">
        <f aca="false">IF(Tasks[[#This Row],[Task Name]]="","",IF(Tasks[[#This Row],[_IsSummary]],MIN(INDEX(Tasks[_LeafCalcStart],Tasks[[#This Row],[_Row]]+1):INDEX(Tasks[_LeafCalcStart],Tasks[[#This Row],[_Row]]+Tasks[[#This Row],[_Descendants]])),Tasks[[#This Row],[_LeafCalcStart]]))</f>
        <v/>
      </c>
      <c r="CJ87" s="100" t="str">
        <f aca="false">IF(Tasks[[#This Row],[Task Name]]="","",IF(Tasks[[#This Row],[_IsSummary]],MAX(INDEX(Tasks[_LeafCalcFinish],Tasks[[#This Row],[_Row]]+1):INDEX(Tasks[_LeafCalcFinish],Tasks[[#This Row],[_Row]]+Tasks[[#This Row],[_Descendants]])),Tasks[[#This Row],[_LeafCalcFinish]]))</f>
        <v/>
      </c>
      <c r="CK8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8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87"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87"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87"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87"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87" s="41" t="n">
        <f aca="false">IF(AND(Tasks[[#This Row],[_IsLeaf]]=1,Tasks[[#This Row],[_LeafWork]]&gt;0),NETWORKDAYS.INTL(ProjectStart,Tasks[[#This Row],[_LeafFcstStart]],WorkWeek,Holidays),0)</f>
        <v>0</v>
      </c>
      <c r="CR87" s="41" t="n">
        <f aca="false">IF(AND(Tasks[[#This Row],[_IsLeaf]]=1,Tasks[[#This Row],[_LeafWork]]&gt;0),MAX(Tasks[[#This Row],[_StartWorkday]],NETWORKDAYS.INTL(ProjectStart,Tasks[[#This Row],[_LeafFcstFinish]],WorkWeek,Holidays)),0)</f>
        <v>0</v>
      </c>
      <c r="CS87" s="41" t="n">
        <f aca="false">IF(AND(Tasks[[#This Row],[_IsLeaf]]=1,Tasks[[#This Row],[_LeafWork]]&gt;0),Tasks[[#This Row],[_LeafWork]]/(Tasks[[#This Row],[_FinishWorkday]]-Tasks[[#This Row],[_StartWorkday]]+1),0)</f>
        <v>0</v>
      </c>
      <c r="CT87" s="41" t="n">
        <f aca="false">Tasks[[#This Row],[_WorkPerWorkday]]*(Tasks[[#This Row],[_StartWorkday]]-1)</f>
        <v>-0</v>
      </c>
      <c r="CU87" s="41" t="n">
        <f aca="false">IF(Tasks[[#This Row],[_IsLeaf]]=1,MAX(N(Tasks[[#This Row],[Duration]]),0.1),0)</f>
        <v>0</v>
      </c>
      <c r="CV87" s="41" t="n">
        <f aca="false">Tasks[[#This Row],[_WeightDur]]*Tasks[[#This Row],[_LeafProgress]]</f>
        <v>0</v>
      </c>
      <c r="CW8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8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8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8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87" s="41" t="str">
        <f aca="false">IF(Tasks[[#This Row],[Task Name]]="","",Tasks[[#This Row],[_Pred1UIDText]]&amp;IF(AND(Tasks[[#This Row],[_Pred1UIDText]]&lt;&gt;"",Tasks[[#This Row],[_Pred2UIDText]]&lt;&gt;""),",","")&amp;Tasks[[#This Row],[_Pred2UIDText]])</f>
        <v/>
      </c>
      <c r="DB87" s="41" t="str">
        <f aca="false">IF(AND(Tasks[[#This Row],[_IsLeaf]]=1,N(Tasks[[#This Row],[Duration]])=0,Tasks[[#This Row],[_LeafProgress]]&lt;1),Tasks[[#This Row],[_LeafFcstFinish]]+Tasks[[#This Row],[_Row]]/100000,"")</f>
        <v/>
      </c>
      <c r="DC8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87" s="41" t="n">
        <f aca="false">IF(NOT(Tasks[[#This Row],[_IsLeaf]]=1),0,IF(Tasks[[#This Row],[Baseline Cost]]="",Tasks[[#This Row],[_LeafCost]],N(Tasks[[#This Row],[Baseline Cost]])))</f>
        <v>0</v>
      </c>
      <c r="DE87" s="41" t="n">
        <f aca="false">Tasks[[#This Row],[_LeafBudget]]*Tasks[[#This Row],[_PlannedPct]]</f>
        <v>0</v>
      </c>
      <c r="DF87" s="41" t="n">
        <f aca="false">Tasks[[#This Row],[_LeafBudget]]*Tasks[[#This Row],[_LeafProgress]]</f>
        <v>0</v>
      </c>
      <c r="DG87" s="41" t="n">
        <f aca="false">IF(NOT(Tasks[[#This Row],[_IsLeaf]]=1),0,IF(Tasks[[#This Row],[Actual Cost]]="",Tasks[[#This Row],[_LeafCost]]*Tasks[[#This Row],[_LeafProgress]],N(Tasks[[#This Row],[Actual Cost]])))</f>
        <v>0</v>
      </c>
      <c r="DH87" s="41" t="str">
        <f aca="false">IF(Tasks[[#This Row],[Task Name]]="","",LEFT(Tasks[[#This Row],[WBS]],FIND(".",Tasks[[#This Row],[WBS]]&amp;".")-1))</f>
        <v/>
      </c>
      <c r="DI87" s="41" t="str">
        <f aca="false">IF(AND(Tasks[[#This Row],[Task Name]]&lt;&gt;"",Tasks[[#This Row],[_Level]]=1),Tasks[[#This Row],[_Row]],"")</f>
        <v/>
      </c>
      <c r="DJ87" s="41" t="str">
        <f aca="false">IF(AND(Tasks[[#This Row],[_IsLeaf]]=1,N(Tasks[[#This Row],[Duration]])=0),Tasks[[#This Row],[Planned Finish]]+Tasks[[#This Row],[_Row]]/100000,"")</f>
        <v/>
      </c>
      <c r="DK87" s="41" t="str">
        <f aca="false">IF(AND(Tasks[[#This Row],[_IsLeaf]]=1,Tasks[[#This Row],[_LeafProgress]]&lt;1,OR(N(Tasks[[#This Row],[Finish Var]])&gt;0,Tasks[[#This Row],[Status]]="Late Start")),MAX(0,Tasks[[#This Row],[Finish Var]])+1-Tasks[[#This Row],[_Row]]/1000000,"")</f>
        <v/>
      </c>
      <c r="DL87" s="41" t="str">
        <f aca="false">IF(AND(Tasks[[#This Row],[_IsLeaf]]=1,N(Tasks[[#This Row],[Actual Start]])=0,Tasks[[#This Row],[_LeafFcstStart]]&gt;=StatusDate,Tasks[[#This Row],[_LeafFcstStart]]&lt;=LookaheadEnd),Tasks[[#This Row],[_LeafFcstStart]]+Tasks[[#This Row],[_Row]]/100000,"")</f>
        <v/>
      </c>
      <c r="DM87" s="41" t="str">
        <f aca="false">IF(AND(Tasks[[#This Row],[_IsLeaf]]=1,Tasks[[#This Row],[_LeafProgress]]&lt;1,Tasks[[#This Row],[_LeafFcstFinish]]&gt;=StatusDate,Tasks[[#This Row],[_LeafFcstFinish]]&lt;=LookaheadEnd),Tasks[[#This Row],[_LeafFcstFinish]]+Tasks[[#This Row],[_Row]]/100000,"")</f>
        <v/>
      </c>
      <c r="DN87" s="41" t="str">
        <f aca="false">IF(Tasks[[#This Row],[_LeafCritical]],Tasks[[#This Row],[_LeafFcstStart]]+Tasks[[#This Row],[_Row]]/100000,"")</f>
        <v/>
      </c>
      <c r="DO87" s="41" t="n">
        <f aca="false">Tasks[[#This Row],[_LeafWork]]*Tasks[[#This Row],[_LeafProgress]]</f>
        <v>0</v>
      </c>
      <c r="DP87" s="100" t="str">
        <f aca="false">IF(AND(Tasks[[#This Row],[_IsLeaf]]=1,Tasks[[#This Row],[_LeafProgress]]&gt;=1),IF(N(Tasks[[#This Row],[Actual Finish]])&gt;0,Tasks[[#This Row],[Actual Finish]],Tasks[[#This Row],[_LeafFcstFinish]]),"")</f>
        <v/>
      </c>
      <c r="DQ87" s="41" t="n">
        <f aca="false">IF(Tasks[[#This Row],[_IsLeaf]]=1,N(Tasks[[#This Row],[Story Points]]),0)</f>
        <v>0</v>
      </c>
      <c r="DR87" s="41" t="str">
        <f aca="false">IF(AND(Tasks[[#This Row],[_IsLeaf]]=1,CurrentSprint&lt;&gt;"",Tasks[[#This Row],[Sprint]]=CurrentSprint),Tasks[[#This Row],[_Row]],"")</f>
        <v/>
      </c>
    </row>
    <row r="88" customFormat="false" ht="15" hidden="false" customHeight="false" outlineLevel="0" collapsed="false">
      <c r="A88" s="28" t="str">
        <f aca="false">IF(Tasks[[#This Row],[Task Name]]="","",COUNTA(Tasks[[#Headers],[Task Name]]:Tasks[[#This Row],[Task Name]])-1)</f>
        <v/>
      </c>
      <c r="B88" s="29" t="n">
        <v>83</v>
      </c>
      <c r="C8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8" s="29"/>
      <c r="E88" s="30"/>
      <c r="F88" s="29"/>
      <c r="G88" s="29"/>
      <c r="H88" s="29"/>
      <c r="I88" s="29"/>
      <c r="J88" s="29"/>
      <c r="K88" s="29"/>
      <c r="L88" s="29"/>
      <c r="M88" s="29"/>
      <c r="N88" s="73"/>
      <c r="O88" s="73"/>
      <c r="P88" s="25" t="str">
        <f aca="false">IF(Tasks[[#This Row],[Task Name]]="","",IF(N(Tasks[[#This Row],[Baseline Start]])&gt;0,Tasks[[#This Row],[Baseline Start]],Tasks[[#This Row],[_CalcStart]]))</f>
        <v/>
      </c>
      <c r="Q88" s="25" t="str">
        <f aca="false">IF(Tasks[[#This Row],[Task Name]]="","",IF(N(Tasks[[#This Row],[Baseline Finish]])&gt;0,Tasks[[#This Row],[Baseline Finish]],Tasks[[#This Row],[_CalcFinish]]))</f>
        <v/>
      </c>
      <c r="R88" s="73"/>
      <c r="S88" s="73"/>
      <c r="T88" s="25" t="str">
        <f aca="false">IF(Tasks[[#This Row],[Task Name]]="","",IF(Tasks[[#This Row],[_IsSummary]],MIN(INDEX(Tasks[_LeafFcstStart],Tasks[[#This Row],[_Row]]+1):INDEX(Tasks[_LeafFcstStart],Tasks[[#This Row],[_Row]]+Tasks[[#This Row],[_Descendants]])),Tasks[[#This Row],[_LeafFcstStart]]))</f>
        <v/>
      </c>
      <c r="U88" s="25" t="str">
        <f aca="false">IF(Tasks[[#This Row],[Task Name]]="","",IF(Tasks[[#This Row],[_IsSummary]],MAX(INDEX(Tasks[_LeafFcstFinish],Tasks[[#This Row],[_Row]]+1):INDEX(Tasks[_LeafFcstFinish],Tasks[[#This Row],[_Row]]+Tasks[[#This Row],[_Descendants]])),Tasks[[#This Row],[_LeafFcstFinish]]))</f>
        <v/>
      </c>
      <c r="V8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8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8" s="25" t="str">
        <f aca="false">IF(Tasks[[#This Row],[Task Name]]="","",IF(Tasks[[#This Row],[_IsSummary]],MIN(INDEX(Tasks[_LeafLateStart],Tasks[[#This Row],[_Row]]+1):INDEX(Tasks[_LeafLateStart],Tasks[[#This Row],[_Row]]+Tasks[[#This Row],[_Descendants]])),Tasks[[#This Row],[_LeafLateStart]]))</f>
        <v/>
      </c>
      <c r="Y88" s="25" t="str">
        <f aca="false">IF(Tasks[[#This Row],[Task Name]]="","",IF(Tasks[[#This Row],[_IsSummary]],MAX(INDEX(Tasks[_LeafLateFinish],Tasks[[#This Row],[_Row]]+1):INDEX(Tasks[_LeafLateFinish],Tasks[[#This Row],[_Row]]+Tasks[[#This Row],[_Descendants]])),Tasks[[#This Row],[_LeafLateFinish]]))</f>
        <v/>
      </c>
      <c r="Z88" s="43" t="str">
        <f aca="false">IF(Tasks[[#This Row],[Task Name]]="","",IF(Tasks[[#This Row],[_IsSummary]],MIN(INDEX(Tasks[_LeafTotalSlack],Tasks[[#This Row],[_Row]]+1):INDEX(Tasks[_LeafTotalSlack],Tasks[[#This Row],[_Row]]+Tasks[[#This Row],[_Descendants]])),Tasks[[#This Row],[_LeafTotalSlack]]))</f>
        <v/>
      </c>
      <c r="AA8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8" s="28" t="str">
        <f aca="false">IF(Tasks[[#This Row],[Task Name]]="","",IF(IF(Tasks[[#This Row],[_IsSummary]],COUNTIF(INDEX(Tasks[_LeafCritical],Tasks[[#This Row],[_Row]]+1):INDEX(Tasks[_LeafCritical],Tasks[[#This Row],[_Row]]+Tasks[[#This Row],[_Descendants]]),TRUE())&gt;0,Tasks[[#This Row],[_LeafCritical]]),"Yes",""))</f>
        <v/>
      </c>
      <c r="AC8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8" s="24" t="str">
        <f aca="false">IF(Tasks[[#This Row],[Task Name]]="","",TRIM(IF(Tasks[[#This Row],[_Pred1Problem]]&lt;&gt;"","Pred 1: "&amp;Tasks[[#This Row],[_Pred1Problem]]&amp;". ","")&amp;IF(Tasks[[#This Row],[_Pred2Problem]]&lt;&gt;"","Pred 2: "&amp;Tasks[[#This Row],[_Pred2Problem]]&amp;".","")))</f>
        <v/>
      </c>
      <c r="AE88" s="88"/>
      <c r="AF88"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8" s="28" t="str">
        <f aca="false">IF(Tasks[[#This Row],[Task Name]]="","",IF(Tasks[[#This Row],[Progress]]&gt;=1,"Complete",IF(OR(N(Tasks[[#This Row],[Actual Start]])&gt;0,Tasks[[#This Row],[Progress]]&gt;0),IF(Tasks[[#This Row],[Finish Var]]&gt;0,"Behind","In Progress"),IF(Tasks[[#This Row],[Planned Start]]&lt;StatusDate,"Late Start","Not Started"))))</f>
        <v/>
      </c>
      <c r="AH88" s="30"/>
      <c r="AI88" s="88"/>
      <c r="AJ88" s="95" t="str">
        <f aca="false">IF(Tasks[[#This Row],[Task Name]]="","",IF(Tasks[[#This Row],[_IsSummary]],SUM(INDEX(Tasks[_LeafWork],Tasks[[#This Row],[_Row]]+1):INDEX(Tasks[_LeafWork],Tasks[[#This Row],[_Row]]+Tasks[[#This Row],[_Descendants]])),Tasks[[#This Row],[_LeafWork]]))</f>
        <v/>
      </c>
      <c r="AK88" s="96" t="str">
        <f aca="false">IF(Tasks[[#This Row],[Task Name]]="","",IF(Tasks[[#This Row],[_IsSummary]],SUM(INDEX(Tasks[_LeafCost],Tasks[[#This Row],[_Row]]+1):INDEX(Tasks[_LeafCost],Tasks[[#This Row],[_Row]]+Tasks[[#This Row],[_Descendants]])),Tasks[[#This Row],[_LeafCost]]))</f>
        <v/>
      </c>
      <c r="AL88" s="97"/>
      <c r="AM88" s="29"/>
      <c r="AN8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88" s="82"/>
      <c r="AP88" s="24" t="str">
        <f aca="false">IF(Tasks[[#This Row],[Task Name]]="","",Tasks[[#This Row],[_Pred1IDText]]&amp;IF(AND(Tasks[[#This Row],[_Pred1IDText]]&lt;&gt;"",Tasks[[#This Row],[_Pred2IDText]]&lt;&gt;""),",","")&amp;Tasks[[#This Row],[_Pred2IDText]])</f>
        <v/>
      </c>
      <c r="AQ88" s="30"/>
      <c r="AR88" s="25" t="str">
        <f aca="false">IF(Tasks[[#This Row],[Task Name]]="","",Tasks[[#This Row],[Forecast Start]])</f>
        <v/>
      </c>
      <c r="AS88" s="25" t="str">
        <f aca="false">IF(Tasks[[#This Row],[Task Name]]="","",Tasks[[#This Row],[Forecast Finish]])</f>
        <v/>
      </c>
      <c r="AT88" s="28" t="str">
        <f aca="false">IF(Tasks[[#This Row],[Task Name]]="","",IF(Tasks[[#This Row],[_IsSummary]],NETWORKDAYS.INTL(Tasks[[#This Row],[Forecast Start]],Tasks[[#This Row],[Forecast Finish]],WorkWeek,Holidays),N(Tasks[[#This Row],[Duration]])))</f>
        <v/>
      </c>
      <c r="AU88" s="95" t="str">
        <f aca="false">IF(Tasks[[#This Row],[Task Name]]="","",Tasks[[#This Row],[Work]])</f>
        <v/>
      </c>
      <c r="AV88" s="96" t="str">
        <f aca="false">IF(Tasks[[#This Row],[Task Name]]="","",Tasks[[#This Row],[Cost]])</f>
        <v/>
      </c>
      <c r="AW88" s="73"/>
      <c r="AX88" s="73"/>
      <c r="AY88" s="29"/>
      <c r="AZ88" s="98"/>
      <c r="BA88" s="97"/>
      <c r="BB88" s="28" t="str">
        <f aca="false">IF(OR(Tasks[[#This Row],[Task Name]]="",Tasks[[#This Row],[Baseline Duration]]=""),"",Tasks[[#This Row],[BL Source Duration]]-N(Tasks[[#This Row],[Baseline Duration]]))</f>
        <v/>
      </c>
      <c r="BC88" s="95" t="str">
        <f aca="false">IF(OR(Tasks[[#This Row],[Task Name]]="",Tasks[[#This Row],[Baseline Work]]=""),"",Tasks[[#This Row],[Work]]-N(Tasks[[#This Row],[Baseline Work]]))</f>
        <v/>
      </c>
      <c r="BD88" s="96" t="str">
        <f aca="false">IF(OR(Tasks[[#This Row],[Task Name]]="",Tasks[[#This Row],[Baseline Cost]]=""),"",Tasks[[#This Row],[Cost]]-N(Tasks[[#This Row],[Baseline Cost]]))</f>
        <v/>
      </c>
      <c r="BE88" s="96" t="str">
        <f aca="false">IF(Tasks[[#This Row],[Task Name]]="","",IF(Tasks[[#This Row],[_IsSummary]],SUM(INDEX(Tasks[_LeafBudget],Tasks[[#This Row],[_Row]]+1):INDEX(Tasks[_LeafBudget],Tasks[[#This Row],[_Row]]+Tasks[[#This Row],[_Descendants]])),Tasks[[#This Row],[_LeafBudget]]))</f>
        <v/>
      </c>
      <c r="BF88" s="96" t="str">
        <f aca="false">IF(Tasks[[#This Row],[Task Name]]="","",IF(Tasks[[#This Row],[_IsSummary]],SUM(INDEX(Tasks[_LeafPV],Tasks[[#This Row],[_Row]]+1):INDEX(Tasks[_LeafPV],Tasks[[#This Row],[_Row]]+Tasks[[#This Row],[_Descendants]])),Tasks[[#This Row],[_LeafPV]]))</f>
        <v/>
      </c>
      <c r="BG88" s="96" t="str">
        <f aca="false">IF(Tasks[[#This Row],[Task Name]]="","",IF(Tasks[[#This Row],[_IsSummary]],SUM(INDEX(Tasks[_LeafEV],Tasks[[#This Row],[_Row]]+1):INDEX(Tasks[_LeafEV],Tasks[[#This Row],[_Row]]+Tasks[[#This Row],[_Descendants]])),Tasks[[#This Row],[_LeafEV]]))</f>
        <v/>
      </c>
      <c r="BH88" s="96" t="str">
        <f aca="false">IF(Tasks[[#This Row],[Task Name]]="","",IF(Tasks[[#This Row],[_IsSummary]],SUM(INDEX(Tasks[_LeafAC],Tasks[[#This Row],[_Row]]+1):INDEX(Tasks[_LeafAC],Tasks[[#This Row],[_Row]]+Tasks[[#This Row],[_Descendants]])),Tasks[[#This Row],[_LeafAC]]))</f>
        <v/>
      </c>
      <c r="BI88" s="41" t="str">
        <f aca="false">IF(Tasks[[#This Row],[Task Name]]="","",MAX(1,N(Tasks[[#This Row],[Level]])))</f>
        <v/>
      </c>
      <c r="BJ88" s="41" t="n">
        <f aca="false">ROW()-ROW(Tasks[[#Headers],[ID]])</f>
        <v>83</v>
      </c>
      <c r="BK88" s="41" t="n">
        <f aca="false">IF(OR(Tasks[[#This Row],[Task Name]]="",Tasks[[#This Row],[_Level]]&lt;=1),0,IFERROR(LOOKUP(2,1/(Tasks[[#Headers],[_Level]]:Tasks[[#This Row],[_Level]]=Tasks[[#This Row],[_Level]]-1),ROW(Tasks[[#Headers],[_Level]]:Tasks[[#This Row],[_Level]])),0))</f>
        <v>0</v>
      </c>
      <c r="BL88" s="41" t="n">
        <f aca="false">IFERROR(N(INDEX(Tasks[_Level],Tasks[[#This Row],[_Row]]+1)),0)</f>
        <v>0</v>
      </c>
      <c r="BM88" s="99" t="b">
        <f aca="false">AND(Tasks[[#This Row],[Task Name]]&lt;&gt;"",Tasks[[#This Row],[_NextLevel]]&gt;Tasks[[#This Row],[_Level]])</f>
        <v>0</v>
      </c>
      <c r="BN88" s="41" t="n">
        <f aca="false">IF(Tasks[[#This Row],[_IsSummary]],COUNTIF(Tasks[WBS],Tasks[[#This Row],[WBS]]&amp;".*"),0)</f>
        <v>0</v>
      </c>
      <c r="BO88" s="41" t="n">
        <f aca="false">IF(AND(Tasks[[#This Row],[Task Name]]&lt;&gt;"",NOT(Tasks[[#This Row],[_IsSummary]])),1,0)</f>
        <v>0</v>
      </c>
      <c r="BP88" s="41" t="n">
        <f aca="false">IF(N(Tasks[[#This Row],[Pred1 UID]])=0,0,IFERROR(MATCH(Tasks[[#This Row],[Pred1 UID]],Tasks[UID],0),-1))</f>
        <v>0</v>
      </c>
      <c r="BQ88" s="41" t="n">
        <f aca="false">IF(N(Tasks[[#This Row],[Pred2 UID]])=0,0,IFERROR(MATCH(Tasks[[#This Row],[Pred2 UID]],Tasks[UID],0),-1))</f>
        <v>0</v>
      </c>
      <c r="BR88"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88" s="100" t="str">
        <f aca="false">IF(NOT(Tasks[[#This Row],[_IsLeaf]]=1),"",IF(N(Tasks[[#This Row],[Duration]])&lt;=0,Tasks[[#This Row],[_LeafCalcStart]],WORKDAY.INTL(Tasks[[#This Row],[_LeafCalcStart]],Tasks[[#This Row],[Duration]]-1,WorkWeek,Holidays)))</f>
        <v/>
      </c>
      <c r="BT88"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88"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88" s="41" t="n">
        <f aca="false">IF(NOT(Tasks[[#This Row],[_IsLeaf]]=1),0,IF(N(Tasks[[#This Row],[Actual Finish]])&gt;0,1,MIN(1,N(Tasks[[#This Row],[% Complete]]))))</f>
        <v>0</v>
      </c>
      <c r="BW88" s="41" t="n">
        <f aca="false">IF(OR(NOT(Tasks[[#This Row],[_IsLeaf]]=1),Tasks[[#This Row],[Resource]]=""),0,N(Tasks[[#This Row],[Duration]])*HoursPerDay*IF(Tasks[[#This Row],[Units]]="",DefaultUnits,Tasks[[#This Row],[Units]]))</f>
        <v>0</v>
      </c>
      <c r="BX88" s="41" t="n">
        <f aca="false">IF(Tasks[[#This Row],[_LeafWork]]=0,0,Tasks[[#This Row],[_LeafWork]]*IFERROR(INDEX(res_Rate,MATCH(Tasks[[#This Row],[Resource]],res_Name,0)),0))</f>
        <v>0</v>
      </c>
      <c r="BY8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8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8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8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88" s="41" t="n">
        <f aca="false">IF(NOT(Tasks[[#This Row],[_IsLeaf]]=1),0,MAX(_xlfn.MAXIFS(Tasks[_Row],Tasks[Pred1 UID],Tasks[[#This Row],[UID]]),_xlfn.MAXIFS(Tasks[_Row],Tasks[Pred2 UID],Tasks[[#This Row],[UID]])))</f>
        <v>0</v>
      </c>
      <c r="CD88"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88" s="100" t="str">
        <f aca="false">IF(NOT(Tasks[[#This Row],[_IsLeaf]]=1),"",MIN(ProjectFinish,IF(N(Tasks[[#This Row],[Deadline]])&gt;0,Tasks[[#This Row],[Deadline]],2958465),Tasks[[#This Row],[_SuccessorFinishLimit]]))</f>
        <v/>
      </c>
      <c r="CF88" s="100" t="str">
        <f aca="false">IF(NOT(Tasks[[#This Row],[_IsLeaf]]=1),"",IF(N(Tasks[[#This Row],[Duration]])&lt;=0,Tasks[[#This Row],[_LeafLateFinish]],WORKDAY.INTL(Tasks[[#This Row],[_LeafLateFinish]],-(Tasks[[#This Row],[Duration]]-1),WorkWeek,Holidays)))</f>
        <v/>
      </c>
      <c r="CG8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88" s="99" t="b">
        <f aca="false">AND(Tasks[[#This Row],[_IsLeaf]]=1,Tasks[[#This Row],[_LeafProgress]]&lt;1,N(Tasks[[#This Row],[_LeafTotalSlack]])&lt;=CriticalSlackDays)</f>
        <v>0</v>
      </c>
      <c r="CI88" s="100" t="str">
        <f aca="false">IF(Tasks[[#This Row],[Task Name]]="","",IF(Tasks[[#This Row],[_IsSummary]],MIN(INDEX(Tasks[_LeafCalcStart],Tasks[[#This Row],[_Row]]+1):INDEX(Tasks[_LeafCalcStart],Tasks[[#This Row],[_Row]]+Tasks[[#This Row],[_Descendants]])),Tasks[[#This Row],[_LeafCalcStart]]))</f>
        <v/>
      </c>
      <c r="CJ88" s="100" t="str">
        <f aca="false">IF(Tasks[[#This Row],[Task Name]]="","",IF(Tasks[[#This Row],[_IsSummary]],MAX(INDEX(Tasks[_LeafCalcFinish],Tasks[[#This Row],[_Row]]+1):INDEX(Tasks[_LeafCalcFinish],Tasks[[#This Row],[_Row]]+Tasks[[#This Row],[_Descendants]])),Tasks[[#This Row],[_LeafCalcFinish]]))</f>
        <v/>
      </c>
      <c r="CK8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8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88"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88"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88"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88"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88" s="41" t="n">
        <f aca="false">IF(AND(Tasks[[#This Row],[_IsLeaf]]=1,Tasks[[#This Row],[_LeafWork]]&gt;0),NETWORKDAYS.INTL(ProjectStart,Tasks[[#This Row],[_LeafFcstStart]],WorkWeek,Holidays),0)</f>
        <v>0</v>
      </c>
      <c r="CR88" s="41" t="n">
        <f aca="false">IF(AND(Tasks[[#This Row],[_IsLeaf]]=1,Tasks[[#This Row],[_LeafWork]]&gt;0),MAX(Tasks[[#This Row],[_StartWorkday]],NETWORKDAYS.INTL(ProjectStart,Tasks[[#This Row],[_LeafFcstFinish]],WorkWeek,Holidays)),0)</f>
        <v>0</v>
      </c>
      <c r="CS88" s="41" t="n">
        <f aca="false">IF(AND(Tasks[[#This Row],[_IsLeaf]]=1,Tasks[[#This Row],[_LeafWork]]&gt;0),Tasks[[#This Row],[_LeafWork]]/(Tasks[[#This Row],[_FinishWorkday]]-Tasks[[#This Row],[_StartWorkday]]+1),0)</f>
        <v>0</v>
      </c>
      <c r="CT88" s="41" t="n">
        <f aca="false">Tasks[[#This Row],[_WorkPerWorkday]]*(Tasks[[#This Row],[_StartWorkday]]-1)</f>
        <v>-0</v>
      </c>
      <c r="CU88" s="41" t="n">
        <f aca="false">IF(Tasks[[#This Row],[_IsLeaf]]=1,MAX(N(Tasks[[#This Row],[Duration]]),0.1),0)</f>
        <v>0</v>
      </c>
      <c r="CV88" s="41" t="n">
        <f aca="false">Tasks[[#This Row],[_WeightDur]]*Tasks[[#This Row],[_LeafProgress]]</f>
        <v>0</v>
      </c>
      <c r="CW8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8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8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8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88" s="41" t="str">
        <f aca="false">IF(Tasks[[#This Row],[Task Name]]="","",Tasks[[#This Row],[_Pred1UIDText]]&amp;IF(AND(Tasks[[#This Row],[_Pred1UIDText]]&lt;&gt;"",Tasks[[#This Row],[_Pred2UIDText]]&lt;&gt;""),",","")&amp;Tasks[[#This Row],[_Pred2UIDText]])</f>
        <v/>
      </c>
      <c r="DB88" s="41" t="str">
        <f aca="false">IF(AND(Tasks[[#This Row],[_IsLeaf]]=1,N(Tasks[[#This Row],[Duration]])=0,Tasks[[#This Row],[_LeafProgress]]&lt;1),Tasks[[#This Row],[_LeafFcstFinish]]+Tasks[[#This Row],[_Row]]/100000,"")</f>
        <v/>
      </c>
      <c r="DC8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88" s="41" t="n">
        <f aca="false">IF(NOT(Tasks[[#This Row],[_IsLeaf]]=1),0,IF(Tasks[[#This Row],[Baseline Cost]]="",Tasks[[#This Row],[_LeafCost]],N(Tasks[[#This Row],[Baseline Cost]])))</f>
        <v>0</v>
      </c>
      <c r="DE88" s="41" t="n">
        <f aca="false">Tasks[[#This Row],[_LeafBudget]]*Tasks[[#This Row],[_PlannedPct]]</f>
        <v>0</v>
      </c>
      <c r="DF88" s="41" t="n">
        <f aca="false">Tasks[[#This Row],[_LeafBudget]]*Tasks[[#This Row],[_LeafProgress]]</f>
        <v>0</v>
      </c>
      <c r="DG88" s="41" t="n">
        <f aca="false">IF(NOT(Tasks[[#This Row],[_IsLeaf]]=1),0,IF(Tasks[[#This Row],[Actual Cost]]="",Tasks[[#This Row],[_LeafCost]]*Tasks[[#This Row],[_LeafProgress]],N(Tasks[[#This Row],[Actual Cost]])))</f>
        <v>0</v>
      </c>
      <c r="DH88" s="41" t="str">
        <f aca="false">IF(Tasks[[#This Row],[Task Name]]="","",LEFT(Tasks[[#This Row],[WBS]],FIND(".",Tasks[[#This Row],[WBS]]&amp;".")-1))</f>
        <v/>
      </c>
      <c r="DI88" s="41" t="str">
        <f aca="false">IF(AND(Tasks[[#This Row],[Task Name]]&lt;&gt;"",Tasks[[#This Row],[_Level]]=1),Tasks[[#This Row],[_Row]],"")</f>
        <v/>
      </c>
      <c r="DJ88" s="41" t="str">
        <f aca="false">IF(AND(Tasks[[#This Row],[_IsLeaf]]=1,N(Tasks[[#This Row],[Duration]])=0),Tasks[[#This Row],[Planned Finish]]+Tasks[[#This Row],[_Row]]/100000,"")</f>
        <v/>
      </c>
      <c r="DK88" s="41" t="str">
        <f aca="false">IF(AND(Tasks[[#This Row],[_IsLeaf]]=1,Tasks[[#This Row],[_LeafProgress]]&lt;1,OR(N(Tasks[[#This Row],[Finish Var]])&gt;0,Tasks[[#This Row],[Status]]="Late Start")),MAX(0,Tasks[[#This Row],[Finish Var]])+1-Tasks[[#This Row],[_Row]]/1000000,"")</f>
        <v/>
      </c>
      <c r="DL88" s="41" t="str">
        <f aca="false">IF(AND(Tasks[[#This Row],[_IsLeaf]]=1,N(Tasks[[#This Row],[Actual Start]])=0,Tasks[[#This Row],[_LeafFcstStart]]&gt;=StatusDate,Tasks[[#This Row],[_LeafFcstStart]]&lt;=LookaheadEnd),Tasks[[#This Row],[_LeafFcstStart]]+Tasks[[#This Row],[_Row]]/100000,"")</f>
        <v/>
      </c>
      <c r="DM88" s="41" t="str">
        <f aca="false">IF(AND(Tasks[[#This Row],[_IsLeaf]]=1,Tasks[[#This Row],[_LeafProgress]]&lt;1,Tasks[[#This Row],[_LeafFcstFinish]]&gt;=StatusDate,Tasks[[#This Row],[_LeafFcstFinish]]&lt;=LookaheadEnd),Tasks[[#This Row],[_LeafFcstFinish]]+Tasks[[#This Row],[_Row]]/100000,"")</f>
        <v/>
      </c>
      <c r="DN88" s="41" t="str">
        <f aca="false">IF(Tasks[[#This Row],[_LeafCritical]],Tasks[[#This Row],[_LeafFcstStart]]+Tasks[[#This Row],[_Row]]/100000,"")</f>
        <v/>
      </c>
      <c r="DO88" s="41" t="n">
        <f aca="false">Tasks[[#This Row],[_LeafWork]]*Tasks[[#This Row],[_LeafProgress]]</f>
        <v>0</v>
      </c>
      <c r="DP88" s="100" t="str">
        <f aca="false">IF(AND(Tasks[[#This Row],[_IsLeaf]]=1,Tasks[[#This Row],[_LeafProgress]]&gt;=1),IF(N(Tasks[[#This Row],[Actual Finish]])&gt;0,Tasks[[#This Row],[Actual Finish]],Tasks[[#This Row],[_LeafFcstFinish]]),"")</f>
        <v/>
      </c>
      <c r="DQ88" s="41" t="n">
        <f aca="false">IF(Tasks[[#This Row],[_IsLeaf]]=1,N(Tasks[[#This Row],[Story Points]]),0)</f>
        <v>0</v>
      </c>
      <c r="DR88" s="41" t="str">
        <f aca="false">IF(AND(Tasks[[#This Row],[_IsLeaf]]=1,CurrentSprint&lt;&gt;"",Tasks[[#This Row],[Sprint]]=CurrentSprint),Tasks[[#This Row],[_Row]],"")</f>
        <v/>
      </c>
    </row>
    <row r="89" customFormat="false" ht="15" hidden="false" customHeight="false" outlineLevel="0" collapsed="false">
      <c r="A89" s="28" t="str">
        <f aca="false">IF(Tasks[[#This Row],[Task Name]]="","",COUNTA(Tasks[[#Headers],[Task Name]]:Tasks[[#This Row],[Task Name]])-1)</f>
        <v/>
      </c>
      <c r="B89" s="29" t="n">
        <v>84</v>
      </c>
      <c r="C8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9" s="29"/>
      <c r="E89" s="30"/>
      <c r="F89" s="29"/>
      <c r="G89" s="29"/>
      <c r="H89" s="29"/>
      <c r="I89" s="29"/>
      <c r="J89" s="29"/>
      <c r="K89" s="29"/>
      <c r="L89" s="29"/>
      <c r="M89" s="29"/>
      <c r="N89" s="73"/>
      <c r="O89" s="73"/>
      <c r="P89" s="25" t="str">
        <f aca="false">IF(Tasks[[#This Row],[Task Name]]="","",IF(N(Tasks[[#This Row],[Baseline Start]])&gt;0,Tasks[[#This Row],[Baseline Start]],Tasks[[#This Row],[_CalcStart]]))</f>
        <v/>
      </c>
      <c r="Q89" s="25" t="str">
        <f aca="false">IF(Tasks[[#This Row],[Task Name]]="","",IF(N(Tasks[[#This Row],[Baseline Finish]])&gt;0,Tasks[[#This Row],[Baseline Finish]],Tasks[[#This Row],[_CalcFinish]]))</f>
        <v/>
      </c>
      <c r="R89" s="73"/>
      <c r="S89" s="73"/>
      <c r="T89" s="25" t="str">
        <f aca="false">IF(Tasks[[#This Row],[Task Name]]="","",IF(Tasks[[#This Row],[_IsSummary]],MIN(INDEX(Tasks[_LeafFcstStart],Tasks[[#This Row],[_Row]]+1):INDEX(Tasks[_LeafFcstStart],Tasks[[#This Row],[_Row]]+Tasks[[#This Row],[_Descendants]])),Tasks[[#This Row],[_LeafFcstStart]]))</f>
        <v/>
      </c>
      <c r="U89" s="25" t="str">
        <f aca="false">IF(Tasks[[#This Row],[Task Name]]="","",IF(Tasks[[#This Row],[_IsSummary]],MAX(INDEX(Tasks[_LeafFcstFinish],Tasks[[#This Row],[_Row]]+1):INDEX(Tasks[_LeafFcstFinish],Tasks[[#This Row],[_Row]]+Tasks[[#This Row],[_Descendants]])),Tasks[[#This Row],[_LeafFcstFinish]]))</f>
        <v/>
      </c>
      <c r="V8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8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9" s="25" t="str">
        <f aca="false">IF(Tasks[[#This Row],[Task Name]]="","",IF(Tasks[[#This Row],[_IsSummary]],MIN(INDEX(Tasks[_LeafLateStart],Tasks[[#This Row],[_Row]]+1):INDEX(Tasks[_LeafLateStart],Tasks[[#This Row],[_Row]]+Tasks[[#This Row],[_Descendants]])),Tasks[[#This Row],[_LeafLateStart]]))</f>
        <v/>
      </c>
      <c r="Y89" s="25" t="str">
        <f aca="false">IF(Tasks[[#This Row],[Task Name]]="","",IF(Tasks[[#This Row],[_IsSummary]],MAX(INDEX(Tasks[_LeafLateFinish],Tasks[[#This Row],[_Row]]+1):INDEX(Tasks[_LeafLateFinish],Tasks[[#This Row],[_Row]]+Tasks[[#This Row],[_Descendants]])),Tasks[[#This Row],[_LeafLateFinish]]))</f>
        <v/>
      </c>
      <c r="Z89" s="43" t="str">
        <f aca="false">IF(Tasks[[#This Row],[Task Name]]="","",IF(Tasks[[#This Row],[_IsSummary]],MIN(INDEX(Tasks[_LeafTotalSlack],Tasks[[#This Row],[_Row]]+1):INDEX(Tasks[_LeafTotalSlack],Tasks[[#This Row],[_Row]]+Tasks[[#This Row],[_Descendants]])),Tasks[[#This Row],[_LeafTotalSlack]]))</f>
        <v/>
      </c>
      <c r="AA8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9" s="28" t="str">
        <f aca="false">IF(Tasks[[#This Row],[Task Name]]="","",IF(IF(Tasks[[#This Row],[_IsSummary]],COUNTIF(INDEX(Tasks[_LeafCritical],Tasks[[#This Row],[_Row]]+1):INDEX(Tasks[_LeafCritical],Tasks[[#This Row],[_Row]]+Tasks[[#This Row],[_Descendants]]),TRUE())&gt;0,Tasks[[#This Row],[_LeafCritical]]),"Yes",""))</f>
        <v/>
      </c>
      <c r="AC8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9" s="24" t="str">
        <f aca="false">IF(Tasks[[#This Row],[Task Name]]="","",TRIM(IF(Tasks[[#This Row],[_Pred1Problem]]&lt;&gt;"","Pred 1: "&amp;Tasks[[#This Row],[_Pred1Problem]]&amp;". ","")&amp;IF(Tasks[[#This Row],[_Pred2Problem]]&lt;&gt;"","Pred 2: "&amp;Tasks[[#This Row],[_Pred2Problem]]&amp;".","")))</f>
        <v/>
      </c>
      <c r="AE89" s="88"/>
      <c r="AF89"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9" s="28" t="str">
        <f aca="false">IF(Tasks[[#This Row],[Task Name]]="","",IF(Tasks[[#This Row],[Progress]]&gt;=1,"Complete",IF(OR(N(Tasks[[#This Row],[Actual Start]])&gt;0,Tasks[[#This Row],[Progress]]&gt;0),IF(Tasks[[#This Row],[Finish Var]]&gt;0,"Behind","In Progress"),IF(Tasks[[#This Row],[Planned Start]]&lt;StatusDate,"Late Start","Not Started"))))</f>
        <v/>
      </c>
      <c r="AH89" s="30"/>
      <c r="AI89" s="88"/>
      <c r="AJ89" s="95" t="str">
        <f aca="false">IF(Tasks[[#This Row],[Task Name]]="","",IF(Tasks[[#This Row],[_IsSummary]],SUM(INDEX(Tasks[_LeafWork],Tasks[[#This Row],[_Row]]+1):INDEX(Tasks[_LeafWork],Tasks[[#This Row],[_Row]]+Tasks[[#This Row],[_Descendants]])),Tasks[[#This Row],[_LeafWork]]))</f>
        <v/>
      </c>
      <c r="AK89" s="96" t="str">
        <f aca="false">IF(Tasks[[#This Row],[Task Name]]="","",IF(Tasks[[#This Row],[_IsSummary]],SUM(INDEX(Tasks[_LeafCost],Tasks[[#This Row],[_Row]]+1):INDEX(Tasks[_LeafCost],Tasks[[#This Row],[_Row]]+Tasks[[#This Row],[_Descendants]])),Tasks[[#This Row],[_LeafCost]]))</f>
        <v/>
      </c>
      <c r="AL89" s="97"/>
      <c r="AM89" s="29"/>
      <c r="AN8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89" s="82"/>
      <c r="AP89" s="24" t="str">
        <f aca="false">IF(Tasks[[#This Row],[Task Name]]="","",Tasks[[#This Row],[_Pred1IDText]]&amp;IF(AND(Tasks[[#This Row],[_Pred1IDText]]&lt;&gt;"",Tasks[[#This Row],[_Pred2IDText]]&lt;&gt;""),",","")&amp;Tasks[[#This Row],[_Pred2IDText]])</f>
        <v/>
      </c>
      <c r="AQ89" s="30"/>
      <c r="AR89" s="25" t="str">
        <f aca="false">IF(Tasks[[#This Row],[Task Name]]="","",Tasks[[#This Row],[Forecast Start]])</f>
        <v/>
      </c>
      <c r="AS89" s="25" t="str">
        <f aca="false">IF(Tasks[[#This Row],[Task Name]]="","",Tasks[[#This Row],[Forecast Finish]])</f>
        <v/>
      </c>
      <c r="AT89" s="28" t="str">
        <f aca="false">IF(Tasks[[#This Row],[Task Name]]="","",IF(Tasks[[#This Row],[_IsSummary]],NETWORKDAYS.INTL(Tasks[[#This Row],[Forecast Start]],Tasks[[#This Row],[Forecast Finish]],WorkWeek,Holidays),N(Tasks[[#This Row],[Duration]])))</f>
        <v/>
      </c>
      <c r="AU89" s="95" t="str">
        <f aca="false">IF(Tasks[[#This Row],[Task Name]]="","",Tasks[[#This Row],[Work]])</f>
        <v/>
      </c>
      <c r="AV89" s="96" t="str">
        <f aca="false">IF(Tasks[[#This Row],[Task Name]]="","",Tasks[[#This Row],[Cost]])</f>
        <v/>
      </c>
      <c r="AW89" s="73"/>
      <c r="AX89" s="73"/>
      <c r="AY89" s="29"/>
      <c r="AZ89" s="98"/>
      <c r="BA89" s="97"/>
      <c r="BB89" s="28" t="str">
        <f aca="false">IF(OR(Tasks[[#This Row],[Task Name]]="",Tasks[[#This Row],[Baseline Duration]]=""),"",Tasks[[#This Row],[BL Source Duration]]-N(Tasks[[#This Row],[Baseline Duration]]))</f>
        <v/>
      </c>
      <c r="BC89" s="95" t="str">
        <f aca="false">IF(OR(Tasks[[#This Row],[Task Name]]="",Tasks[[#This Row],[Baseline Work]]=""),"",Tasks[[#This Row],[Work]]-N(Tasks[[#This Row],[Baseline Work]]))</f>
        <v/>
      </c>
      <c r="BD89" s="96" t="str">
        <f aca="false">IF(OR(Tasks[[#This Row],[Task Name]]="",Tasks[[#This Row],[Baseline Cost]]=""),"",Tasks[[#This Row],[Cost]]-N(Tasks[[#This Row],[Baseline Cost]]))</f>
        <v/>
      </c>
      <c r="BE89" s="96" t="str">
        <f aca="false">IF(Tasks[[#This Row],[Task Name]]="","",IF(Tasks[[#This Row],[_IsSummary]],SUM(INDEX(Tasks[_LeafBudget],Tasks[[#This Row],[_Row]]+1):INDEX(Tasks[_LeafBudget],Tasks[[#This Row],[_Row]]+Tasks[[#This Row],[_Descendants]])),Tasks[[#This Row],[_LeafBudget]]))</f>
        <v/>
      </c>
      <c r="BF89" s="96" t="str">
        <f aca="false">IF(Tasks[[#This Row],[Task Name]]="","",IF(Tasks[[#This Row],[_IsSummary]],SUM(INDEX(Tasks[_LeafPV],Tasks[[#This Row],[_Row]]+1):INDEX(Tasks[_LeafPV],Tasks[[#This Row],[_Row]]+Tasks[[#This Row],[_Descendants]])),Tasks[[#This Row],[_LeafPV]]))</f>
        <v/>
      </c>
      <c r="BG89" s="96" t="str">
        <f aca="false">IF(Tasks[[#This Row],[Task Name]]="","",IF(Tasks[[#This Row],[_IsSummary]],SUM(INDEX(Tasks[_LeafEV],Tasks[[#This Row],[_Row]]+1):INDEX(Tasks[_LeafEV],Tasks[[#This Row],[_Row]]+Tasks[[#This Row],[_Descendants]])),Tasks[[#This Row],[_LeafEV]]))</f>
        <v/>
      </c>
      <c r="BH89" s="96" t="str">
        <f aca="false">IF(Tasks[[#This Row],[Task Name]]="","",IF(Tasks[[#This Row],[_IsSummary]],SUM(INDEX(Tasks[_LeafAC],Tasks[[#This Row],[_Row]]+1):INDEX(Tasks[_LeafAC],Tasks[[#This Row],[_Row]]+Tasks[[#This Row],[_Descendants]])),Tasks[[#This Row],[_LeafAC]]))</f>
        <v/>
      </c>
      <c r="BI89" s="41" t="str">
        <f aca="false">IF(Tasks[[#This Row],[Task Name]]="","",MAX(1,N(Tasks[[#This Row],[Level]])))</f>
        <v/>
      </c>
      <c r="BJ89" s="41" t="n">
        <f aca="false">ROW()-ROW(Tasks[[#Headers],[ID]])</f>
        <v>84</v>
      </c>
      <c r="BK89" s="41" t="n">
        <f aca="false">IF(OR(Tasks[[#This Row],[Task Name]]="",Tasks[[#This Row],[_Level]]&lt;=1),0,IFERROR(LOOKUP(2,1/(Tasks[[#Headers],[_Level]]:Tasks[[#This Row],[_Level]]=Tasks[[#This Row],[_Level]]-1),ROW(Tasks[[#Headers],[_Level]]:Tasks[[#This Row],[_Level]])),0))</f>
        <v>0</v>
      </c>
      <c r="BL89" s="41" t="n">
        <f aca="false">IFERROR(N(INDEX(Tasks[_Level],Tasks[[#This Row],[_Row]]+1)),0)</f>
        <v>0</v>
      </c>
      <c r="BM89" s="99" t="b">
        <f aca="false">AND(Tasks[[#This Row],[Task Name]]&lt;&gt;"",Tasks[[#This Row],[_NextLevel]]&gt;Tasks[[#This Row],[_Level]])</f>
        <v>0</v>
      </c>
      <c r="BN89" s="41" t="n">
        <f aca="false">IF(Tasks[[#This Row],[_IsSummary]],COUNTIF(Tasks[WBS],Tasks[[#This Row],[WBS]]&amp;".*"),0)</f>
        <v>0</v>
      </c>
      <c r="BO89" s="41" t="n">
        <f aca="false">IF(AND(Tasks[[#This Row],[Task Name]]&lt;&gt;"",NOT(Tasks[[#This Row],[_IsSummary]])),1,0)</f>
        <v>0</v>
      </c>
      <c r="BP89" s="41" t="n">
        <f aca="false">IF(N(Tasks[[#This Row],[Pred1 UID]])=0,0,IFERROR(MATCH(Tasks[[#This Row],[Pred1 UID]],Tasks[UID],0),-1))</f>
        <v>0</v>
      </c>
      <c r="BQ89" s="41" t="n">
        <f aca="false">IF(N(Tasks[[#This Row],[Pred2 UID]])=0,0,IFERROR(MATCH(Tasks[[#This Row],[Pred2 UID]],Tasks[UID],0),-1))</f>
        <v>0</v>
      </c>
      <c r="BR89"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89" s="100" t="str">
        <f aca="false">IF(NOT(Tasks[[#This Row],[_IsLeaf]]=1),"",IF(N(Tasks[[#This Row],[Duration]])&lt;=0,Tasks[[#This Row],[_LeafCalcStart]],WORKDAY.INTL(Tasks[[#This Row],[_LeafCalcStart]],Tasks[[#This Row],[Duration]]-1,WorkWeek,Holidays)))</f>
        <v/>
      </c>
      <c r="BT89"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89"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89" s="41" t="n">
        <f aca="false">IF(NOT(Tasks[[#This Row],[_IsLeaf]]=1),0,IF(N(Tasks[[#This Row],[Actual Finish]])&gt;0,1,MIN(1,N(Tasks[[#This Row],[% Complete]]))))</f>
        <v>0</v>
      </c>
      <c r="BW89" s="41" t="n">
        <f aca="false">IF(OR(NOT(Tasks[[#This Row],[_IsLeaf]]=1),Tasks[[#This Row],[Resource]]=""),0,N(Tasks[[#This Row],[Duration]])*HoursPerDay*IF(Tasks[[#This Row],[Units]]="",DefaultUnits,Tasks[[#This Row],[Units]]))</f>
        <v>0</v>
      </c>
      <c r="BX89" s="41" t="n">
        <f aca="false">IF(Tasks[[#This Row],[_LeafWork]]=0,0,Tasks[[#This Row],[_LeafWork]]*IFERROR(INDEX(res_Rate,MATCH(Tasks[[#This Row],[Resource]],res_Name,0)),0))</f>
        <v>0</v>
      </c>
      <c r="BY8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8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8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8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89" s="41" t="n">
        <f aca="false">IF(NOT(Tasks[[#This Row],[_IsLeaf]]=1),0,MAX(_xlfn.MAXIFS(Tasks[_Row],Tasks[Pred1 UID],Tasks[[#This Row],[UID]]),_xlfn.MAXIFS(Tasks[_Row],Tasks[Pred2 UID],Tasks[[#This Row],[UID]])))</f>
        <v>0</v>
      </c>
      <c r="CD89"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89" s="100" t="str">
        <f aca="false">IF(NOT(Tasks[[#This Row],[_IsLeaf]]=1),"",MIN(ProjectFinish,IF(N(Tasks[[#This Row],[Deadline]])&gt;0,Tasks[[#This Row],[Deadline]],2958465),Tasks[[#This Row],[_SuccessorFinishLimit]]))</f>
        <v/>
      </c>
      <c r="CF89" s="100" t="str">
        <f aca="false">IF(NOT(Tasks[[#This Row],[_IsLeaf]]=1),"",IF(N(Tasks[[#This Row],[Duration]])&lt;=0,Tasks[[#This Row],[_LeafLateFinish]],WORKDAY.INTL(Tasks[[#This Row],[_LeafLateFinish]],-(Tasks[[#This Row],[Duration]]-1),WorkWeek,Holidays)))</f>
        <v/>
      </c>
      <c r="CG8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89" s="99" t="b">
        <f aca="false">AND(Tasks[[#This Row],[_IsLeaf]]=1,Tasks[[#This Row],[_LeafProgress]]&lt;1,N(Tasks[[#This Row],[_LeafTotalSlack]])&lt;=CriticalSlackDays)</f>
        <v>0</v>
      </c>
      <c r="CI89" s="100" t="str">
        <f aca="false">IF(Tasks[[#This Row],[Task Name]]="","",IF(Tasks[[#This Row],[_IsSummary]],MIN(INDEX(Tasks[_LeafCalcStart],Tasks[[#This Row],[_Row]]+1):INDEX(Tasks[_LeafCalcStart],Tasks[[#This Row],[_Row]]+Tasks[[#This Row],[_Descendants]])),Tasks[[#This Row],[_LeafCalcStart]]))</f>
        <v/>
      </c>
      <c r="CJ89" s="100" t="str">
        <f aca="false">IF(Tasks[[#This Row],[Task Name]]="","",IF(Tasks[[#This Row],[_IsSummary]],MAX(INDEX(Tasks[_LeafCalcFinish],Tasks[[#This Row],[_Row]]+1):INDEX(Tasks[_LeafCalcFinish],Tasks[[#This Row],[_Row]]+Tasks[[#This Row],[_Descendants]])),Tasks[[#This Row],[_LeafCalcFinish]]))</f>
        <v/>
      </c>
      <c r="CK8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8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89"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89"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89"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89"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89" s="41" t="n">
        <f aca="false">IF(AND(Tasks[[#This Row],[_IsLeaf]]=1,Tasks[[#This Row],[_LeafWork]]&gt;0),NETWORKDAYS.INTL(ProjectStart,Tasks[[#This Row],[_LeafFcstStart]],WorkWeek,Holidays),0)</f>
        <v>0</v>
      </c>
      <c r="CR89" s="41" t="n">
        <f aca="false">IF(AND(Tasks[[#This Row],[_IsLeaf]]=1,Tasks[[#This Row],[_LeafWork]]&gt;0),MAX(Tasks[[#This Row],[_StartWorkday]],NETWORKDAYS.INTL(ProjectStart,Tasks[[#This Row],[_LeafFcstFinish]],WorkWeek,Holidays)),0)</f>
        <v>0</v>
      </c>
      <c r="CS89" s="41" t="n">
        <f aca="false">IF(AND(Tasks[[#This Row],[_IsLeaf]]=1,Tasks[[#This Row],[_LeafWork]]&gt;0),Tasks[[#This Row],[_LeafWork]]/(Tasks[[#This Row],[_FinishWorkday]]-Tasks[[#This Row],[_StartWorkday]]+1),0)</f>
        <v>0</v>
      </c>
      <c r="CT89" s="41" t="n">
        <f aca="false">Tasks[[#This Row],[_WorkPerWorkday]]*(Tasks[[#This Row],[_StartWorkday]]-1)</f>
        <v>-0</v>
      </c>
      <c r="CU89" s="41" t="n">
        <f aca="false">IF(Tasks[[#This Row],[_IsLeaf]]=1,MAX(N(Tasks[[#This Row],[Duration]]),0.1),0)</f>
        <v>0</v>
      </c>
      <c r="CV89" s="41" t="n">
        <f aca="false">Tasks[[#This Row],[_WeightDur]]*Tasks[[#This Row],[_LeafProgress]]</f>
        <v>0</v>
      </c>
      <c r="CW8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8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8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8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89" s="41" t="str">
        <f aca="false">IF(Tasks[[#This Row],[Task Name]]="","",Tasks[[#This Row],[_Pred1UIDText]]&amp;IF(AND(Tasks[[#This Row],[_Pred1UIDText]]&lt;&gt;"",Tasks[[#This Row],[_Pred2UIDText]]&lt;&gt;""),",","")&amp;Tasks[[#This Row],[_Pred2UIDText]])</f>
        <v/>
      </c>
      <c r="DB89" s="41" t="str">
        <f aca="false">IF(AND(Tasks[[#This Row],[_IsLeaf]]=1,N(Tasks[[#This Row],[Duration]])=0,Tasks[[#This Row],[_LeafProgress]]&lt;1),Tasks[[#This Row],[_LeafFcstFinish]]+Tasks[[#This Row],[_Row]]/100000,"")</f>
        <v/>
      </c>
      <c r="DC8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89" s="41" t="n">
        <f aca="false">IF(NOT(Tasks[[#This Row],[_IsLeaf]]=1),0,IF(Tasks[[#This Row],[Baseline Cost]]="",Tasks[[#This Row],[_LeafCost]],N(Tasks[[#This Row],[Baseline Cost]])))</f>
        <v>0</v>
      </c>
      <c r="DE89" s="41" t="n">
        <f aca="false">Tasks[[#This Row],[_LeafBudget]]*Tasks[[#This Row],[_PlannedPct]]</f>
        <v>0</v>
      </c>
      <c r="DF89" s="41" t="n">
        <f aca="false">Tasks[[#This Row],[_LeafBudget]]*Tasks[[#This Row],[_LeafProgress]]</f>
        <v>0</v>
      </c>
      <c r="DG89" s="41" t="n">
        <f aca="false">IF(NOT(Tasks[[#This Row],[_IsLeaf]]=1),0,IF(Tasks[[#This Row],[Actual Cost]]="",Tasks[[#This Row],[_LeafCost]]*Tasks[[#This Row],[_LeafProgress]],N(Tasks[[#This Row],[Actual Cost]])))</f>
        <v>0</v>
      </c>
      <c r="DH89" s="41" t="str">
        <f aca="false">IF(Tasks[[#This Row],[Task Name]]="","",LEFT(Tasks[[#This Row],[WBS]],FIND(".",Tasks[[#This Row],[WBS]]&amp;".")-1))</f>
        <v/>
      </c>
      <c r="DI89" s="41" t="str">
        <f aca="false">IF(AND(Tasks[[#This Row],[Task Name]]&lt;&gt;"",Tasks[[#This Row],[_Level]]=1),Tasks[[#This Row],[_Row]],"")</f>
        <v/>
      </c>
      <c r="DJ89" s="41" t="str">
        <f aca="false">IF(AND(Tasks[[#This Row],[_IsLeaf]]=1,N(Tasks[[#This Row],[Duration]])=0),Tasks[[#This Row],[Planned Finish]]+Tasks[[#This Row],[_Row]]/100000,"")</f>
        <v/>
      </c>
      <c r="DK89" s="41" t="str">
        <f aca="false">IF(AND(Tasks[[#This Row],[_IsLeaf]]=1,Tasks[[#This Row],[_LeafProgress]]&lt;1,OR(N(Tasks[[#This Row],[Finish Var]])&gt;0,Tasks[[#This Row],[Status]]="Late Start")),MAX(0,Tasks[[#This Row],[Finish Var]])+1-Tasks[[#This Row],[_Row]]/1000000,"")</f>
        <v/>
      </c>
      <c r="DL89" s="41" t="str">
        <f aca="false">IF(AND(Tasks[[#This Row],[_IsLeaf]]=1,N(Tasks[[#This Row],[Actual Start]])=0,Tasks[[#This Row],[_LeafFcstStart]]&gt;=StatusDate,Tasks[[#This Row],[_LeafFcstStart]]&lt;=LookaheadEnd),Tasks[[#This Row],[_LeafFcstStart]]+Tasks[[#This Row],[_Row]]/100000,"")</f>
        <v/>
      </c>
      <c r="DM89" s="41" t="str">
        <f aca="false">IF(AND(Tasks[[#This Row],[_IsLeaf]]=1,Tasks[[#This Row],[_LeafProgress]]&lt;1,Tasks[[#This Row],[_LeafFcstFinish]]&gt;=StatusDate,Tasks[[#This Row],[_LeafFcstFinish]]&lt;=LookaheadEnd),Tasks[[#This Row],[_LeafFcstFinish]]+Tasks[[#This Row],[_Row]]/100000,"")</f>
        <v/>
      </c>
      <c r="DN89" s="41" t="str">
        <f aca="false">IF(Tasks[[#This Row],[_LeafCritical]],Tasks[[#This Row],[_LeafFcstStart]]+Tasks[[#This Row],[_Row]]/100000,"")</f>
        <v/>
      </c>
      <c r="DO89" s="41" t="n">
        <f aca="false">Tasks[[#This Row],[_LeafWork]]*Tasks[[#This Row],[_LeafProgress]]</f>
        <v>0</v>
      </c>
      <c r="DP89" s="100" t="str">
        <f aca="false">IF(AND(Tasks[[#This Row],[_IsLeaf]]=1,Tasks[[#This Row],[_LeafProgress]]&gt;=1),IF(N(Tasks[[#This Row],[Actual Finish]])&gt;0,Tasks[[#This Row],[Actual Finish]],Tasks[[#This Row],[_LeafFcstFinish]]),"")</f>
        <v/>
      </c>
      <c r="DQ89" s="41" t="n">
        <f aca="false">IF(Tasks[[#This Row],[_IsLeaf]]=1,N(Tasks[[#This Row],[Story Points]]),0)</f>
        <v>0</v>
      </c>
      <c r="DR89" s="41" t="str">
        <f aca="false">IF(AND(Tasks[[#This Row],[_IsLeaf]]=1,CurrentSprint&lt;&gt;"",Tasks[[#This Row],[Sprint]]=CurrentSprint),Tasks[[#This Row],[_Row]],"")</f>
        <v/>
      </c>
    </row>
    <row r="90" customFormat="false" ht="15" hidden="false" customHeight="false" outlineLevel="0" collapsed="false">
      <c r="A90" s="28" t="str">
        <f aca="false">IF(Tasks[[#This Row],[Task Name]]="","",COUNTA(Tasks[[#Headers],[Task Name]]:Tasks[[#This Row],[Task Name]])-1)</f>
        <v/>
      </c>
      <c r="B90" s="29" t="n">
        <v>85</v>
      </c>
      <c r="C9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0" s="29"/>
      <c r="E90" s="30"/>
      <c r="F90" s="29"/>
      <c r="G90" s="29"/>
      <c r="H90" s="29"/>
      <c r="I90" s="29"/>
      <c r="J90" s="29"/>
      <c r="K90" s="29"/>
      <c r="L90" s="29"/>
      <c r="M90" s="29"/>
      <c r="N90" s="73"/>
      <c r="O90" s="73"/>
      <c r="P90" s="25" t="str">
        <f aca="false">IF(Tasks[[#This Row],[Task Name]]="","",IF(N(Tasks[[#This Row],[Baseline Start]])&gt;0,Tasks[[#This Row],[Baseline Start]],Tasks[[#This Row],[_CalcStart]]))</f>
        <v/>
      </c>
      <c r="Q90" s="25" t="str">
        <f aca="false">IF(Tasks[[#This Row],[Task Name]]="","",IF(N(Tasks[[#This Row],[Baseline Finish]])&gt;0,Tasks[[#This Row],[Baseline Finish]],Tasks[[#This Row],[_CalcFinish]]))</f>
        <v/>
      </c>
      <c r="R90" s="73"/>
      <c r="S90" s="73"/>
      <c r="T90" s="25" t="str">
        <f aca="false">IF(Tasks[[#This Row],[Task Name]]="","",IF(Tasks[[#This Row],[_IsSummary]],MIN(INDEX(Tasks[_LeafFcstStart],Tasks[[#This Row],[_Row]]+1):INDEX(Tasks[_LeafFcstStart],Tasks[[#This Row],[_Row]]+Tasks[[#This Row],[_Descendants]])),Tasks[[#This Row],[_LeafFcstStart]]))</f>
        <v/>
      </c>
      <c r="U90" s="25" t="str">
        <f aca="false">IF(Tasks[[#This Row],[Task Name]]="","",IF(Tasks[[#This Row],[_IsSummary]],MAX(INDEX(Tasks[_LeafFcstFinish],Tasks[[#This Row],[_Row]]+1):INDEX(Tasks[_LeafFcstFinish],Tasks[[#This Row],[_Row]]+Tasks[[#This Row],[_Descendants]])),Tasks[[#This Row],[_LeafFcstFinish]]))</f>
        <v/>
      </c>
      <c r="V9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9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0" s="25" t="str">
        <f aca="false">IF(Tasks[[#This Row],[Task Name]]="","",IF(Tasks[[#This Row],[_IsSummary]],MIN(INDEX(Tasks[_LeafLateStart],Tasks[[#This Row],[_Row]]+1):INDEX(Tasks[_LeafLateStart],Tasks[[#This Row],[_Row]]+Tasks[[#This Row],[_Descendants]])),Tasks[[#This Row],[_LeafLateStart]]))</f>
        <v/>
      </c>
      <c r="Y90" s="25" t="str">
        <f aca="false">IF(Tasks[[#This Row],[Task Name]]="","",IF(Tasks[[#This Row],[_IsSummary]],MAX(INDEX(Tasks[_LeafLateFinish],Tasks[[#This Row],[_Row]]+1):INDEX(Tasks[_LeafLateFinish],Tasks[[#This Row],[_Row]]+Tasks[[#This Row],[_Descendants]])),Tasks[[#This Row],[_LeafLateFinish]]))</f>
        <v/>
      </c>
      <c r="Z90" s="43" t="str">
        <f aca="false">IF(Tasks[[#This Row],[Task Name]]="","",IF(Tasks[[#This Row],[_IsSummary]],MIN(INDEX(Tasks[_LeafTotalSlack],Tasks[[#This Row],[_Row]]+1):INDEX(Tasks[_LeafTotalSlack],Tasks[[#This Row],[_Row]]+Tasks[[#This Row],[_Descendants]])),Tasks[[#This Row],[_LeafTotalSlack]]))</f>
        <v/>
      </c>
      <c r="AA9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0" s="28" t="str">
        <f aca="false">IF(Tasks[[#This Row],[Task Name]]="","",IF(IF(Tasks[[#This Row],[_IsSummary]],COUNTIF(INDEX(Tasks[_LeafCritical],Tasks[[#This Row],[_Row]]+1):INDEX(Tasks[_LeafCritical],Tasks[[#This Row],[_Row]]+Tasks[[#This Row],[_Descendants]]),TRUE())&gt;0,Tasks[[#This Row],[_LeafCritical]]),"Yes",""))</f>
        <v/>
      </c>
      <c r="AC9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0" s="24" t="str">
        <f aca="false">IF(Tasks[[#This Row],[Task Name]]="","",TRIM(IF(Tasks[[#This Row],[_Pred1Problem]]&lt;&gt;"","Pred 1: "&amp;Tasks[[#This Row],[_Pred1Problem]]&amp;". ","")&amp;IF(Tasks[[#This Row],[_Pred2Problem]]&lt;&gt;"","Pred 2: "&amp;Tasks[[#This Row],[_Pred2Problem]]&amp;".","")))</f>
        <v/>
      </c>
      <c r="AE90" s="88"/>
      <c r="AF90"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0" s="28" t="str">
        <f aca="false">IF(Tasks[[#This Row],[Task Name]]="","",IF(Tasks[[#This Row],[Progress]]&gt;=1,"Complete",IF(OR(N(Tasks[[#This Row],[Actual Start]])&gt;0,Tasks[[#This Row],[Progress]]&gt;0),IF(Tasks[[#This Row],[Finish Var]]&gt;0,"Behind","In Progress"),IF(Tasks[[#This Row],[Planned Start]]&lt;StatusDate,"Late Start","Not Started"))))</f>
        <v/>
      </c>
      <c r="AH90" s="30"/>
      <c r="AI90" s="88"/>
      <c r="AJ90" s="95" t="str">
        <f aca="false">IF(Tasks[[#This Row],[Task Name]]="","",IF(Tasks[[#This Row],[_IsSummary]],SUM(INDEX(Tasks[_LeafWork],Tasks[[#This Row],[_Row]]+1):INDEX(Tasks[_LeafWork],Tasks[[#This Row],[_Row]]+Tasks[[#This Row],[_Descendants]])),Tasks[[#This Row],[_LeafWork]]))</f>
        <v/>
      </c>
      <c r="AK90" s="96" t="str">
        <f aca="false">IF(Tasks[[#This Row],[Task Name]]="","",IF(Tasks[[#This Row],[_IsSummary]],SUM(INDEX(Tasks[_LeafCost],Tasks[[#This Row],[_Row]]+1):INDEX(Tasks[_LeafCost],Tasks[[#This Row],[_Row]]+Tasks[[#This Row],[_Descendants]])),Tasks[[#This Row],[_LeafCost]]))</f>
        <v/>
      </c>
      <c r="AL90" s="97"/>
      <c r="AM90" s="29"/>
      <c r="AN9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90" s="82"/>
      <c r="AP90" s="24" t="str">
        <f aca="false">IF(Tasks[[#This Row],[Task Name]]="","",Tasks[[#This Row],[_Pred1IDText]]&amp;IF(AND(Tasks[[#This Row],[_Pred1IDText]]&lt;&gt;"",Tasks[[#This Row],[_Pred2IDText]]&lt;&gt;""),",","")&amp;Tasks[[#This Row],[_Pred2IDText]])</f>
        <v/>
      </c>
      <c r="AQ90" s="30"/>
      <c r="AR90" s="25" t="str">
        <f aca="false">IF(Tasks[[#This Row],[Task Name]]="","",Tasks[[#This Row],[Forecast Start]])</f>
        <v/>
      </c>
      <c r="AS90" s="25" t="str">
        <f aca="false">IF(Tasks[[#This Row],[Task Name]]="","",Tasks[[#This Row],[Forecast Finish]])</f>
        <v/>
      </c>
      <c r="AT90" s="28" t="str">
        <f aca="false">IF(Tasks[[#This Row],[Task Name]]="","",IF(Tasks[[#This Row],[_IsSummary]],NETWORKDAYS.INTL(Tasks[[#This Row],[Forecast Start]],Tasks[[#This Row],[Forecast Finish]],WorkWeek,Holidays),N(Tasks[[#This Row],[Duration]])))</f>
        <v/>
      </c>
      <c r="AU90" s="95" t="str">
        <f aca="false">IF(Tasks[[#This Row],[Task Name]]="","",Tasks[[#This Row],[Work]])</f>
        <v/>
      </c>
      <c r="AV90" s="96" t="str">
        <f aca="false">IF(Tasks[[#This Row],[Task Name]]="","",Tasks[[#This Row],[Cost]])</f>
        <v/>
      </c>
      <c r="AW90" s="73"/>
      <c r="AX90" s="73"/>
      <c r="AY90" s="29"/>
      <c r="AZ90" s="98"/>
      <c r="BA90" s="97"/>
      <c r="BB90" s="28" t="str">
        <f aca="false">IF(OR(Tasks[[#This Row],[Task Name]]="",Tasks[[#This Row],[Baseline Duration]]=""),"",Tasks[[#This Row],[BL Source Duration]]-N(Tasks[[#This Row],[Baseline Duration]]))</f>
        <v/>
      </c>
      <c r="BC90" s="95" t="str">
        <f aca="false">IF(OR(Tasks[[#This Row],[Task Name]]="",Tasks[[#This Row],[Baseline Work]]=""),"",Tasks[[#This Row],[Work]]-N(Tasks[[#This Row],[Baseline Work]]))</f>
        <v/>
      </c>
      <c r="BD90" s="96" t="str">
        <f aca="false">IF(OR(Tasks[[#This Row],[Task Name]]="",Tasks[[#This Row],[Baseline Cost]]=""),"",Tasks[[#This Row],[Cost]]-N(Tasks[[#This Row],[Baseline Cost]]))</f>
        <v/>
      </c>
      <c r="BE90" s="96" t="str">
        <f aca="false">IF(Tasks[[#This Row],[Task Name]]="","",IF(Tasks[[#This Row],[_IsSummary]],SUM(INDEX(Tasks[_LeafBudget],Tasks[[#This Row],[_Row]]+1):INDEX(Tasks[_LeafBudget],Tasks[[#This Row],[_Row]]+Tasks[[#This Row],[_Descendants]])),Tasks[[#This Row],[_LeafBudget]]))</f>
        <v/>
      </c>
      <c r="BF90" s="96" t="str">
        <f aca="false">IF(Tasks[[#This Row],[Task Name]]="","",IF(Tasks[[#This Row],[_IsSummary]],SUM(INDEX(Tasks[_LeafPV],Tasks[[#This Row],[_Row]]+1):INDEX(Tasks[_LeafPV],Tasks[[#This Row],[_Row]]+Tasks[[#This Row],[_Descendants]])),Tasks[[#This Row],[_LeafPV]]))</f>
        <v/>
      </c>
      <c r="BG90" s="96" t="str">
        <f aca="false">IF(Tasks[[#This Row],[Task Name]]="","",IF(Tasks[[#This Row],[_IsSummary]],SUM(INDEX(Tasks[_LeafEV],Tasks[[#This Row],[_Row]]+1):INDEX(Tasks[_LeafEV],Tasks[[#This Row],[_Row]]+Tasks[[#This Row],[_Descendants]])),Tasks[[#This Row],[_LeafEV]]))</f>
        <v/>
      </c>
      <c r="BH90" s="96" t="str">
        <f aca="false">IF(Tasks[[#This Row],[Task Name]]="","",IF(Tasks[[#This Row],[_IsSummary]],SUM(INDEX(Tasks[_LeafAC],Tasks[[#This Row],[_Row]]+1):INDEX(Tasks[_LeafAC],Tasks[[#This Row],[_Row]]+Tasks[[#This Row],[_Descendants]])),Tasks[[#This Row],[_LeafAC]]))</f>
        <v/>
      </c>
      <c r="BI90" s="41" t="str">
        <f aca="false">IF(Tasks[[#This Row],[Task Name]]="","",MAX(1,N(Tasks[[#This Row],[Level]])))</f>
        <v/>
      </c>
      <c r="BJ90" s="41" t="n">
        <f aca="false">ROW()-ROW(Tasks[[#Headers],[ID]])</f>
        <v>85</v>
      </c>
      <c r="BK90" s="41" t="n">
        <f aca="false">IF(OR(Tasks[[#This Row],[Task Name]]="",Tasks[[#This Row],[_Level]]&lt;=1),0,IFERROR(LOOKUP(2,1/(Tasks[[#Headers],[_Level]]:Tasks[[#This Row],[_Level]]=Tasks[[#This Row],[_Level]]-1),ROW(Tasks[[#Headers],[_Level]]:Tasks[[#This Row],[_Level]])),0))</f>
        <v>0</v>
      </c>
      <c r="BL90" s="41" t="n">
        <f aca="false">IFERROR(N(INDEX(Tasks[_Level],Tasks[[#This Row],[_Row]]+1)),0)</f>
        <v>0</v>
      </c>
      <c r="BM90" s="99" t="b">
        <f aca="false">AND(Tasks[[#This Row],[Task Name]]&lt;&gt;"",Tasks[[#This Row],[_NextLevel]]&gt;Tasks[[#This Row],[_Level]])</f>
        <v>0</v>
      </c>
      <c r="BN90" s="41" t="n">
        <f aca="false">IF(Tasks[[#This Row],[_IsSummary]],COUNTIF(Tasks[WBS],Tasks[[#This Row],[WBS]]&amp;".*"),0)</f>
        <v>0</v>
      </c>
      <c r="BO90" s="41" t="n">
        <f aca="false">IF(AND(Tasks[[#This Row],[Task Name]]&lt;&gt;"",NOT(Tasks[[#This Row],[_IsSummary]])),1,0)</f>
        <v>0</v>
      </c>
      <c r="BP90" s="41" t="n">
        <f aca="false">IF(N(Tasks[[#This Row],[Pred1 UID]])=0,0,IFERROR(MATCH(Tasks[[#This Row],[Pred1 UID]],Tasks[UID],0),-1))</f>
        <v>0</v>
      </c>
      <c r="BQ90" s="41" t="n">
        <f aca="false">IF(N(Tasks[[#This Row],[Pred2 UID]])=0,0,IFERROR(MATCH(Tasks[[#This Row],[Pred2 UID]],Tasks[UID],0),-1))</f>
        <v>0</v>
      </c>
      <c r="BR90"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90" s="100" t="str">
        <f aca="false">IF(NOT(Tasks[[#This Row],[_IsLeaf]]=1),"",IF(N(Tasks[[#This Row],[Duration]])&lt;=0,Tasks[[#This Row],[_LeafCalcStart]],WORKDAY.INTL(Tasks[[#This Row],[_LeafCalcStart]],Tasks[[#This Row],[Duration]]-1,WorkWeek,Holidays)))</f>
        <v/>
      </c>
      <c r="BT90"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90"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90" s="41" t="n">
        <f aca="false">IF(NOT(Tasks[[#This Row],[_IsLeaf]]=1),0,IF(N(Tasks[[#This Row],[Actual Finish]])&gt;0,1,MIN(1,N(Tasks[[#This Row],[% Complete]]))))</f>
        <v>0</v>
      </c>
      <c r="BW90" s="41" t="n">
        <f aca="false">IF(OR(NOT(Tasks[[#This Row],[_IsLeaf]]=1),Tasks[[#This Row],[Resource]]=""),0,N(Tasks[[#This Row],[Duration]])*HoursPerDay*IF(Tasks[[#This Row],[Units]]="",DefaultUnits,Tasks[[#This Row],[Units]]))</f>
        <v>0</v>
      </c>
      <c r="BX90" s="41" t="n">
        <f aca="false">IF(Tasks[[#This Row],[_LeafWork]]=0,0,Tasks[[#This Row],[_LeafWork]]*IFERROR(INDEX(res_Rate,MATCH(Tasks[[#This Row],[Resource]],res_Name,0)),0))</f>
        <v>0</v>
      </c>
      <c r="BY9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9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9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9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90" s="41" t="n">
        <f aca="false">IF(NOT(Tasks[[#This Row],[_IsLeaf]]=1),0,MAX(_xlfn.MAXIFS(Tasks[_Row],Tasks[Pred1 UID],Tasks[[#This Row],[UID]]),_xlfn.MAXIFS(Tasks[_Row],Tasks[Pred2 UID],Tasks[[#This Row],[UID]])))</f>
        <v>0</v>
      </c>
      <c r="CD90"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90" s="100" t="str">
        <f aca="false">IF(NOT(Tasks[[#This Row],[_IsLeaf]]=1),"",MIN(ProjectFinish,IF(N(Tasks[[#This Row],[Deadline]])&gt;0,Tasks[[#This Row],[Deadline]],2958465),Tasks[[#This Row],[_SuccessorFinishLimit]]))</f>
        <v/>
      </c>
      <c r="CF90" s="100" t="str">
        <f aca="false">IF(NOT(Tasks[[#This Row],[_IsLeaf]]=1),"",IF(N(Tasks[[#This Row],[Duration]])&lt;=0,Tasks[[#This Row],[_LeafLateFinish]],WORKDAY.INTL(Tasks[[#This Row],[_LeafLateFinish]],-(Tasks[[#This Row],[Duration]]-1),WorkWeek,Holidays)))</f>
        <v/>
      </c>
      <c r="CG9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90" s="99" t="b">
        <f aca="false">AND(Tasks[[#This Row],[_IsLeaf]]=1,Tasks[[#This Row],[_LeafProgress]]&lt;1,N(Tasks[[#This Row],[_LeafTotalSlack]])&lt;=CriticalSlackDays)</f>
        <v>0</v>
      </c>
      <c r="CI90" s="100" t="str">
        <f aca="false">IF(Tasks[[#This Row],[Task Name]]="","",IF(Tasks[[#This Row],[_IsSummary]],MIN(INDEX(Tasks[_LeafCalcStart],Tasks[[#This Row],[_Row]]+1):INDEX(Tasks[_LeafCalcStart],Tasks[[#This Row],[_Row]]+Tasks[[#This Row],[_Descendants]])),Tasks[[#This Row],[_LeafCalcStart]]))</f>
        <v/>
      </c>
      <c r="CJ90" s="100" t="str">
        <f aca="false">IF(Tasks[[#This Row],[Task Name]]="","",IF(Tasks[[#This Row],[_IsSummary]],MAX(INDEX(Tasks[_LeafCalcFinish],Tasks[[#This Row],[_Row]]+1):INDEX(Tasks[_LeafCalcFinish],Tasks[[#This Row],[_Row]]+Tasks[[#This Row],[_Descendants]])),Tasks[[#This Row],[_LeafCalcFinish]]))</f>
        <v/>
      </c>
      <c r="CK9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9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90"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90"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90"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90"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90" s="41" t="n">
        <f aca="false">IF(AND(Tasks[[#This Row],[_IsLeaf]]=1,Tasks[[#This Row],[_LeafWork]]&gt;0),NETWORKDAYS.INTL(ProjectStart,Tasks[[#This Row],[_LeafFcstStart]],WorkWeek,Holidays),0)</f>
        <v>0</v>
      </c>
      <c r="CR90" s="41" t="n">
        <f aca="false">IF(AND(Tasks[[#This Row],[_IsLeaf]]=1,Tasks[[#This Row],[_LeafWork]]&gt;0),MAX(Tasks[[#This Row],[_StartWorkday]],NETWORKDAYS.INTL(ProjectStart,Tasks[[#This Row],[_LeafFcstFinish]],WorkWeek,Holidays)),0)</f>
        <v>0</v>
      </c>
      <c r="CS90" s="41" t="n">
        <f aca="false">IF(AND(Tasks[[#This Row],[_IsLeaf]]=1,Tasks[[#This Row],[_LeafWork]]&gt;0),Tasks[[#This Row],[_LeafWork]]/(Tasks[[#This Row],[_FinishWorkday]]-Tasks[[#This Row],[_StartWorkday]]+1),0)</f>
        <v>0</v>
      </c>
      <c r="CT90" s="41" t="n">
        <f aca="false">Tasks[[#This Row],[_WorkPerWorkday]]*(Tasks[[#This Row],[_StartWorkday]]-1)</f>
        <v>-0</v>
      </c>
      <c r="CU90" s="41" t="n">
        <f aca="false">IF(Tasks[[#This Row],[_IsLeaf]]=1,MAX(N(Tasks[[#This Row],[Duration]]),0.1),0)</f>
        <v>0</v>
      </c>
      <c r="CV90" s="41" t="n">
        <f aca="false">Tasks[[#This Row],[_WeightDur]]*Tasks[[#This Row],[_LeafProgress]]</f>
        <v>0</v>
      </c>
      <c r="CW9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9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9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9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90" s="41" t="str">
        <f aca="false">IF(Tasks[[#This Row],[Task Name]]="","",Tasks[[#This Row],[_Pred1UIDText]]&amp;IF(AND(Tasks[[#This Row],[_Pred1UIDText]]&lt;&gt;"",Tasks[[#This Row],[_Pred2UIDText]]&lt;&gt;""),",","")&amp;Tasks[[#This Row],[_Pred2UIDText]])</f>
        <v/>
      </c>
      <c r="DB90" s="41" t="str">
        <f aca="false">IF(AND(Tasks[[#This Row],[_IsLeaf]]=1,N(Tasks[[#This Row],[Duration]])=0,Tasks[[#This Row],[_LeafProgress]]&lt;1),Tasks[[#This Row],[_LeafFcstFinish]]+Tasks[[#This Row],[_Row]]/100000,"")</f>
        <v/>
      </c>
      <c r="DC9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90" s="41" t="n">
        <f aca="false">IF(NOT(Tasks[[#This Row],[_IsLeaf]]=1),0,IF(Tasks[[#This Row],[Baseline Cost]]="",Tasks[[#This Row],[_LeafCost]],N(Tasks[[#This Row],[Baseline Cost]])))</f>
        <v>0</v>
      </c>
      <c r="DE90" s="41" t="n">
        <f aca="false">Tasks[[#This Row],[_LeafBudget]]*Tasks[[#This Row],[_PlannedPct]]</f>
        <v>0</v>
      </c>
      <c r="DF90" s="41" t="n">
        <f aca="false">Tasks[[#This Row],[_LeafBudget]]*Tasks[[#This Row],[_LeafProgress]]</f>
        <v>0</v>
      </c>
      <c r="DG90" s="41" t="n">
        <f aca="false">IF(NOT(Tasks[[#This Row],[_IsLeaf]]=1),0,IF(Tasks[[#This Row],[Actual Cost]]="",Tasks[[#This Row],[_LeafCost]]*Tasks[[#This Row],[_LeafProgress]],N(Tasks[[#This Row],[Actual Cost]])))</f>
        <v>0</v>
      </c>
      <c r="DH90" s="41" t="str">
        <f aca="false">IF(Tasks[[#This Row],[Task Name]]="","",LEFT(Tasks[[#This Row],[WBS]],FIND(".",Tasks[[#This Row],[WBS]]&amp;".")-1))</f>
        <v/>
      </c>
      <c r="DI90" s="41" t="str">
        <f aca="false">IF(AND(Tasks[[#This Row],[Task Name]]&lt;&gt;"",Tasks[[#This Row],[_Level]]=1),Tasks[[#This Row],[_Row]],"")</f>
        <v/>
      </c>
      <c r="DJ90" s="41" t="str">
        <f aca="false">IF(AND(Tasks[[#This Row],[_IsLeaf]]=1,N(Tasks[[#This Row],[Duration]])=0),Tasks[[#This Row],[Planned Finish]]+Tasks[[#This Row],[_Row]]/100000,"")</f>
        <v/>
      </c>
      <c r="DK90" s="41" t="str">
        <f aca="false">IF(AND(Tasks[[#This Row],[_IsLeaf]]=1,Tasks[[#This Row],[_LeafProgress]]&lt;1,OR(N(Tasks[[#This Row],[Finish Var]])&gt;0,Tasks[[#This Row],[Status]]="Late Start")),MAX(0,Tasks[[#This Row],[Finish Var]])+1-Tasks[[#This Row],[_Row]]/1000000,"")</f>
        <v/>
      </c>
      <c r="DL90" s="41" t="str">
        <f aca="false">IF(AND(Tasks[[#This Row],[_IsLeaf]]=1,N(Tasks[[#This Row],[Actual Start]])=0,Tasks[[#This Row],[_LeafFcstStart]]&gt;=StatusDate,Tasks[[#This Row],[_LeafFcstStart]]&lt;=LookaheadEnd),Tasks[[#This Row],[_LeafFcstStart]]+Tasks[[#This Row],[_Row]]/100000,"")</f>
        <v/>
      </c>
      <c r="DM90" s="41" t="str">
        <f aca="false">IF(AND(Tasks[[#This Row],[_IsLeaf]]=1,Tasks[[#This Row],[_LeafProgress]]&lt;1,Tasks[[#This Row],[_LeafFcstFinish]]&gt;=StatusDate,Tasks[[#This Row],[_LeafFcstFinish]]&lt;=LookaheadEnd),Tasks[[#This Row],[_LeafFcstFinish]]+Tasks[[#This Row],[_Row]]/100000,"")</f>
        <v/>
      </c>
      <c r="DN90" s="41" t="str">
        <f aca="false">IF(Tasks[[#This Row],[_LeafCritical]],Tasks[[#This Row],[_LeafFcstStart]]+Tasks[[#This Row],[_Row]]/100000,"")</f>
        <v/>
      </c>
      <c r="DO90" s="41" t="n">
        <f aca="false">Tasks[[#This Row],[_LeafWork]]*Tasks[[#This Row],[_LeafProgress]]</f>
        <v>0</v>
      </c>
      <c r="DP90" s="100" t="str">
        <f aca="false">IF(AND(Tasks[[#This Row],[_IsLeaf]]=1,Tasks[[#This Row],[_LeafProgress]]&gt;=1),IF(N(Tasks[[#This Row],[Actual Finish]])&gt;0,Tasks[[#This Row],[Actual Finish]],Tasks[[#This Row],[_LeafFcstFinish]]),"")</f>
        <v/>
      </c>
      <c r="DQ90" s="41" t="n">
        <f aca="false">IF(Tasks[[#This Row],[_IsLeaf]]=1,N(Tasks[[#This Row],[Story Points]]),0)</f>
        <v>0</v>
      </c>
      <c r="DR90" s="41" t="str">
        <f aca="false">IF(AND(Tasks[[#This Row],[_IsLeaf]]=1,CurrentSprint&lt;&gt;"",Tasks[[#This Row],[Sprint]]=CurrentSprint),Tasks[[#This Row],[_Row]],"")</f>
        <v/>
      </c>
    </row>
    <row r="91" customFormat="false" ht="15" hidden="false" customHeight="false" outlineLevel="0" collapsed="false">
      <c r="A91" s="28" t="str">
        <f aca="false">IF(Tasks[[#This Row],[Task Name]]="","",COUNTA(Tasks[[#Headers],[Task Name]]:Tasks[[#This Row],[Task Name]])-1)</f>
        <v/>
      </c>
      <c r="B91" s="29" t="n">
        <v>86</v>
      </c>
      <c r="C9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1" s="29"/>
      <c r="E91" s="30"/>
      <c r="F91" s="29"/>
      <c r="G91" s="29"/>
      <c r="H91" s="29"/>
      <c r="I91" s="29"/>
      <c r="J91" s="29"/>
      <c r="K91" s="29"/>
      <c r="L91" s="29"/>
      <c r="M91" s="29"/>
      <c r="N91" s="73"/>
      <c r="O91" s="73"/>
      <c r="P91" s="25" t="str">
        <f aca="false">IF(Tasks[[#This Row],[Task Name]]="","",IF(N(Tasks[[#This Row],[Baseline Start]])&gt;0,Tasks[[#This Row],[Baseline Start]],Tasks[[#This Row],[_CalcStart]]))</f>
        <v/>
      </c>
      <c r="Q91" s="25" t="str">
        <f aca="false">IF(Tasks[[#This Row],[Task Name]]="","",IF(N(Tasks[[#This Row],[Baseline Finish]])&gt;0,Tasks[[#This Row],[Baseline Finish]],Tasks[[#This Row],[_CalcFinish]]))</f>
        <v/>
      </c>
      <c r="R91" s="73"/>
      <c r="S91" s="73"/>
      <c r="T91" s="25" t="str">
        <f aca="false">IF(Tasks[[#This Row],[Task Name]]="","",IF(Tasks[[#This Row],[_IsSummary]],MIN(INDEX(Tasks[_LeafFcstStart],Tasks[[#This Row],[_Row]]+1):INDEX(Tasks[_LeafFcstStart],Tasks[[#This Row],[_Row]]+Tasks[[#This Row],[_Descendants]])),Tasks[[#This Row],[_LeafFcstStart]]))</f>
        <v/>
      </c>
      <c r="U91" s="25" t="str">
        <f aca="false">IF(Tasks[[#This Row],[Task Name]]="","",IF(Tasks[[#This Row],[_IsSummary]],MAX(INDEX(Tasks[_LeafFcstFinish],Tasks[[#This Row],[_Row]]+1):INDEX(Tasks[_LeafFcstFinish],Tasks[[#This Row],[_Row]]+Tasks[[#This Row],[_Descendants]])),Tasks[[#This Row],[_LeafFcstFinish]]))</f>
        <v/>
      </c>
      <c r="V9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9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1" s="25" t="str">
        <f aca="false">IF(Tasks[[#This Row],[Task Name]]="","",IF(Tasks[[#This Row],[_IsSummary]],MIN(INDEX(Tasks[_LeafLateStart],Tasks[[#This Row],[_Row]]+1):INDEX(Tasks[_LeafLateStart],Tasks[[#This Row],[_Row]]+Tasks[[#This Row],[_Descendants]])),Tasks[[#This Row],[_LeafLateStart]]))</f>
        <v/>
      </c>
      <c r="Y91" s="25" t="str">
        <f aca="false">IF(Tasks[[#This Row],[Task Name]]="","",IF(Tasks[[#This Row],[_IsSummary]],MAX(INDEX(Tasks[_LeafLateFinish],Tasks[[#This Row],[_Row]]+1):INDEX(Tasks[_LeafLateFinish],Tasks[[#This Row],[_Row]]+Tasks[[#This Row],[_Descendants]])),Tasks[[#This Row],[_LeafLateFinish]]))</f>
        <v/>
      </c>
      <c r="Z91" s="43" t="str">
        <f aca="false">IF(Tasks[[#This Row],[Task Name]]="","",IF(Tasks[[#This Row],[_IsSummary]],MIN(INDEX(Tasks[_LeafTotalSlack],Tasks[[#This Row],[_Row]]+1):INDEX(Tasks[_LeafTotalSlack],Tasks[[#This Row],[_Row]]+Tasks[[#This Row],[_Descendants]])),Tasks[[#This Row],[_LeafTotalSlack]]))</f>
        <v/>
      </c>
      <c r="AA9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1" s="28" t="str">
        <f aca="false">IF(Tasks[[#This Row],[Task Name]]="","",IF(IF(Tasks[[#This Row],[_IsSummary]],COUNTIF(INDEX(Tasks[_LeafCritical],Tasks[[#This Row],[_Row]]+1):INDEX(Tasks[_LeafCritical],Tasks[[#This Row],[_Row]]+Tasks[[#This Row],[_Descendants]]),TRUE())&gt;0,Tasks[[#This Row],[_LeafCritical]]),"Yes",""))</f>
        <v/>
      </c>
      <c r="AC9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1" s="24" t="str">
        <f aca="false">IF(Tasks[[#This Row],[Task Name]]="","",TRIM(IF(Tasks[[#This Row],[_Pred1Problem]]&lt;&gt;"","Pred 1: "&amp;Tasks[[#This Row],[_Pred1Problem]]&amp;". ","")&amp;IF(Tasks[[#This Row],[_Pred2Problem]]&lt;&gt;"","Pred 2: "&amp;Tasks[[#This Row],[_Pred2Problem]]&amp;".","")))</f>
        <v/>
      </c>
      <c r="AE91" s="88"/>
      <c r="AF91"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1" s="28" t="str">
        <f aca="false">IF(Tasks[[#This Row],[Task Name]]="","",IF(Tasks[[#This Row],[Progress]]&gt;=1,"Complete",IF(OR(N(Tasks[[#This Row],[Actual Start]])&gt;0,Tasks[[#This Row],[Progress]]&gt;0),IF(Tasks[[#This Row],[Finish Var]]&gt;0,"Behind","In Progress"),IF(Tasks[[#This Row],[Planned Start]]&lt;StatusDate,"Late Start","Not Started"))))</f>
        <v/>
      </c>
      <c r="AH91" s="30"/>
      <c r="AI91" s="88"/>
      <c r="AJ91" s="95" t="str">
        <f aca="false">IF(Tasks[[#This Row],[Task Name]]="","",IF(Tasks[[#This Row],[_IsSummary]],SUM(INDEX(Tasks[_LeafWork],Tasks[[#This Row],[_Row]]+1):INDEX(Tasks[_LeafWork],Tasks[[#This Row],[_Row]]+Tasks[[#This Row],[_Descendants]])),Tasks[[#This Row],[_LeafWork]]))</f>
        <v/>
      </c>
      <c r="AK91" s="96" t="str">
        <f aca="false">IF(Tasks[[#This Row],[Task Name]]="","",IF(Tasks[[#This Row],[_IsSummary]],SUM(INDEX(Tasks[_LeafCost],Tasks[[#This Row],[_Row]]+1):INDEX(Tasks[_LeafCost],Tasks[[#This Row],[_Row]]+Tasks[[#This Row],[_Descendants]])),Tasks[[#This Row],[_LeafCost]]))</f>
        <v/>
      </c>
      <c r="AL91" s="97"/>
      <c r="AM91" s="29"/>
      <c r="AN9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91" s="82"/>
      <c r="AP91" s="24" t="str">
        <f aca="false">IF(Tasks[[#This Row],[Task Name]]="","",Tasks[[#This Row],[_Pred1IDText]]&amp;IF(AND(Tasks[[#This Row],[_Pred1IDText]]&lt;&gt;"",Tasks[[#This Row],[_Pred2IDText]]&lt;&gt;""),",","")&amp;Tasks[[#This Row],[_Pred2IDText]])</f>
        <v/>
      </c>
      <c r="AQ91" s="30"/>
      <c r="AR91" s="25" t="str">
        <f aca="false">IF(Tasks[[#This Row],[Task Name]]="","",Tasks[[#This Row],[Forecast Start]])</f>
        <v/>
      </c>
      <c r="AS91" s="25" t="str">
        <f aca="false">IF(Tasks[[#This Row],[Task Name]]="","",Tasks[[#This Row],[Forecast Finish]])</f>
        <v/>
      </c>
      <c r="AT91" s="28" t="str">
        <f aca="false">IF(Tasks[[#This Row],[Task Name]]="","",IF(Tasks[[#This Row],[_IsSummary]],NETWORKDAYS.INTL(Tasks[[#This Row],[Forecast Start]],Tasks[[#This Row],[Forecast Finish]],WorkWeek,Holidays),N(Tasks[[#This Row],[Duration]])))</f>
        <v/>
      </c>
      <c r="AU91" s="95" t="str">
        <f aca="false">IF(Tasks[[#This Row],[Task Name]]="","",Tasks[[#This Row],[Work]])</f>
        <v/>
      </c>
      <c r="AV91" s="96" t="str">
        <f aca="false">IF(Tasks[[#This Row],[Task Name]]="","",Tasks[[#This Row],[Cost]])</f>
        <v/>
      </c>
      <c r="AW91" s="73"/>
      <c r="AX91" s="73"/>
      <c r="AY91" s="29"/>
      <c r="AZ91" s="98"/>
      <c r="BA91" s="97"/>
      <c r="BB91" s="28" t="str">
        <f aca="false">IF(OR(Tasks[[#This Row],[Task Name]]="",Tasks[[#This Row],[Baseline Duration]]=""),"",Tasks[[#This Row],[BL Source Duration]]-N(Tasks[[#This Row],[Baseline Duration]]))</f>
        <v/>
      </c>
      <c r="BC91" s="95" t="str">
        <f aca="false">IF(OR(Tasks[[#This Row],[Task Name]]="",Tasks[[#This Row],[Baseline Work]]=""),"",Tasks[[#This Row],[Work]]-N(Tasks[[#This Row],[Baseline Work]]))</f>
        <v/>
      </c>
      <c r="BD91" s="96" t="str">
        <f aca="false">IF(OR(Tasks[[#This Row],[Task Name]]="",Tasks[[#This Row],[Baseline Cost]]=""),"",Tasks[[#This Row],[Cost]]-N(Tasks[[#This Row],[Baseline Cost]]))</f>
        <v/>
      </c>
      <c r="BE91" s="96" t="str">
        <f aca="false">IF(Tasks[[#This Row],[Task Name]]="","",IF(Tasks[[#This Row],[_IsSummary]],SUM(INDEX(Tasks[_LeafBudget],Tasks[[#This Row],[_Row]]+1):INDEX(Tasks[_LeafBudget],Tasks[[#This Row],[_Row]]+Tasks[[#This Row],[_Descendants]])),Tasks[[#This Row],[_LeafBudget]]))</f>
        <v/>
      </c>
      <c r="BF91" s="96" t="str">
        <f aca="false">IF(Tasks[[#This Row],[Task Name]]="","",IF(Tasks[[#This Row],[_IsSummary]],SUM(INDEX(Tasks[_LeafPV],Tasks[[#This Row],[_Row]]+1):INDEX(Tasks[_LeafPV],Tasks[[#This Row],[_Row]]+Tasks[[#This Row],[_Descendants]])),Tasks[[#This Row],[_LeafPV]]))</f>
        <v/>
      </c>
      <c r="BG91" s="96" t="str">
        <f aca="false">IF(Tasks[[#This Row],[Task Name]]="","",IF(Tasks[[#This Row],[_IsSummary]],SUM(INDEX(Tasks[_LeafEV],Tasks[[#This Row],[_Row]]+1):INDEX(Tasks[_LeafEV],Tasks[[#This Row],[_Row]]+Tasks[[#This Row],[_Descendants]])),Tasks[[#This Row],[_LeafEV]]))</f>
        <v/>
      </c>
      <c r="BH91" s="96" t="str">
        <f aca="false">IF(Tasks[[#This Row],[Task Name]]="","",IF(Tasks[[#This Row],[_IsSummary]],SUM(INDEX(Tasks[_LeafAC],Tasks[[#This Row],[_Row]]+1):INDEX(Tasks[_LeafAC],Tasks[[#This Row],[_Row]]+Tasks[[#This Row],[_Descendants]])),Tasks[[#This Row],[_LeafAC]]))</f>
        <v/>
      </c>
      <c r="BI91" s="41" t="str">
        <f aca="false">IF(Tasks[[#This Row],[Task Name]]="","",MAX(1,N(Tasks[[#This Row],[Level]])))</f>
        <v/>
      </c>
      <c r="BJ91" s="41" t="n">
        <f aca="false">ROW()-ROW(Tasks[[#Headers],[ID]])</f>
        <v>86</v>
      </c>
      <c r="BK91" s="41" t="n">
        <f aca="false">IF(OR(Tasks[[#This Row],[Task Name]]="",Tasks[[#This Row],[_Level]]&lt;=1),0,IFERROR(LOOKUP(2,1/(Tasks[[#Headers],[_Level]]:Tasks[[#This Row],[_Level]]=Tasks[[#This Row],[_Level]]-1),ROW(Tasks[[#Headers],[_Level]]:Tasks[[#This Row],[_Level]])),0))</f>
        <v>0</v>
      </c>
      <c r="BL91" s="41" t="n">
        <f aca="false">IFERROR(N(INDEX(Tasks[_Level],Tasks[[#This Row],[_Row]]+1)),0)</f>
        <v>0</v>
      </c>
      <c r="BM91" s="99" t="b">
        <f aca="false">AND(Tasks[[#This Row],[Task Name]]&lt;&gt;"",Tasks[[#This Row],[_NextLevel]]&gt;Tasks[[#This Row],[_Level]])</f>
        <v>0</v>
      </c>
      <c r="BN91" s="41" t="n">
        <f aca="false">IF(Tasks[[#This Row],[_IsSummary]],COUNTIF(Tasks[WBS],Tasks[[#This Row],[WBS]]&amp;".*"),0)</f>
        <v>0</v>
      </c>
      <c r="BO91" s="41" t="n">
        <f aca="false">IF(AND(Tasks[[#This Row],[Task Name]]&lt;&gt;"",NOT(Tasks[[#This Row],[_IsSummary]])),1,0)</f>
        <v>0</v>
      </c>
      <c r="BP91" s="41" t="n">
        <f aca="false">IF(N(Tasks[[#This Row],[Pred1 UID]])=0,0,IFERROR(MATCH(Tasks[[#This Row],[Pred1 UID]],Tasks[UID],0),-1))</f>
        <v>0</v>
      </c>
      <c r="BQ91" s="41" t="n">
        <f aca="false">IF(N(Tasks[[#This Row],[Pred2 UID]])=0,0,IFERROR(MATCH(Tasks[[#This Row],[Pred2 UID]],Tasks[UID],0),-1))</f>
        <v>0</v>
      </c>
      <c r="BR91"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91" s="100" t="str">
        <f aca="false">IF(NOT(Tasks[[#This Row],[_IsLeaf]]=1),"",IF(N(Tasks[[#This Row],[Duration]])&lt;=0,Tasks[[#This Row],[_LeafCalcStart]],WORKDAY.INTL(Tasks[[#This Row],[_LeafCalcStart]],Tasks[[#This Row],[Duration]]-1,WorkWeek,Holidays)))</f>
        <v/>
      </c>
      <c r="BT91"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91"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91" s="41" t="n">
        <f aca="false">IF(NOT(Tasks[[#This Row],[_IsLeaf]]=1),0,IF(N(Tasks[[#This Row],[Actual Finish]])&gt;0,1,MIN(1,N(Tasks[[#This Row],[% Complete]]))))</f>
        <v>0</v>
      </c>
      <c r="BW91" s="41" t="n">
        <f aca="false">IF(OR(NOT(Tasks[[#This Row],[_IsLeaf]]=1),Tasks[[#This Row],[Resource]]=""),0,N(Tasks[[#This Row],[Duration]])*HoursPerDay*IF(Tasks[[#This Row],[Units]]="",DefaultUnits,Tasks[[#This Row],[Units]]))</f>
        <v>0</v>
      </c>
      <c r="BX91" s="41" t="n">
        <f aca="false">IF(Tasks[[#This Row],[_LeafWork]]=0,0,Tasks[[#This Row],[_LeafWork]]*IFERROR(INDEX(res_Rate,MATCH(Tasks[[#This Row],[Resource]],res_Name,0)),0))</f>
        <v>0</v>
      </c>
      <c r="BY9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9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9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9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91" s="41" t="n">
        <f aca="false">IF(NOT(Tasks[[#This Row],[_IsLeaf]]=1),0,MAX(_xlfn.MAXIFS(Tasks[_Row],Tasks[Pred1 UID],Tasks[[#This Row],[UID]]),_xlfn.MAXIFS(Tasks[_Row],Tasks[Pred2 UID],Tasks[[#This Row],[UID]])))</f>
        <v>0</v>
      </c>
      <c r="CD91"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91" s="100" t="str">
        <f aca="false">IF(NOT(Tasks[[#This Row],[_IsLeaf]]=1),"",MIN(ProjectFinish,IF(N(Tasks[[#This Row],[Deadline]])&gt;0,Tasks[[#This Row],[Deadline]],2958465),Tasks[[#This Row],[_SuccessorFinishLimit]]))</f>
        <v/>
      </c>
      <c r="CF91" s="100" t="str">
        <f aca="false">IF(NOT(Tasks[[#This Row],[_IsLeaf]]=1),"",IF(N(Tasks[[#This Row],[Duration]])&lt;=0,Tasks[[#This Row],[_LeafLateFinish]],WORKDAY.INTL(Tasks[[#This Row],[_LeafLateFinish]],-(Tasks[[#This Row],[Duration]]-1),WorkWeek,Holidays)))</f>
        <v/>
      </c>
      <c r="CG9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91" s="99" t="b">
        <f aca="false">AND(Tasks[[#This Row],[_IsLeaf]]=1,Tasks[[#This Row],[_LeafProgress]]&lt;1,N(Tasks[[#This Row],[_LeafTotalSlack]])&lt;=CriticalSlackDays)</f>
        <v>0</v>
      </c>
      <c r="CI91" s="100" t="str">
        <f aca="false">IF(Tasks[[#This Row],[Task Name]]="","",IF(Tasks[[#This Row],[_IsSummary]],MIN(INDEX(Tasks[_LeafCalcStart],Tasks[[#This Row],[_Row]]+1):INDEX(Tasks[_LeafCalcStart],Tasks[[#This Row],[_Row]]+Tasks[[#This Row],[_Descendants]])),Tasks[[#This Row],[_LeafCalcStart]]))</f>
        <v/>
      </c>
      <c r="CJ91" s="100" t="str">
        <f aca="false">IF(Tasks[[#This Row],[Task Name]]="","",IF(Tasks[[#This Row],[_IsSummary]],MAX(INDEX(Tasks[_LeafCalcFinish],Tasks[[#This Row],[_Row]]+1):INDEX(Tasks[_LeafCalcFinish],Tasks[[#This Row],[_Row]]+Tasks[[#This Row],[_Descendants]])),Tasks[[#This Row],[_LeafCalcFinish]]))</f>
        <v/>
      </c>
      <c r="CK9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9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91"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91"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91"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91"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91" s="41" t="n">
        <f aca="false">IF(AND(Tasks[[#This Row],[_IsLeaf]]=1,Tasks[[#This Row],[_LeafWork]]&gt;0),NETWORKDAYS.INTL(ProjectStart,Tasks[[#This Row],[_LeafFcstStart]],WorkWeek,Holidays),0)</f>
        <v>0</v>
      </c>
      <c r="CR91" s="41" t="n">
        <f aca="false">IF(AND(Tasks[[#This Row],[_IsLeaf]]=1,Tasks[[#This Row],[_LeafWork]]&gt;0),MAX(Tasks[[#This Row],[_StartWorkday]],NETWORKDAYS.INTL(ProjectStart,Tasks[[#This Row],[_LeafFcstFinish]],WorkWeek,Holidays)),0)</f>
        <v>0</v>
      </c>
      <c r="CS91" s="41" t="n">
        <f aca="false">IF(AND(Tasks[[#This Row],[_IsLeaf]]=1,Tasks[[#This Row],[_LeafWork]]&gt;0),Tasks[[#This Row],[_LeafWork]]/(Tasks[[#This Row],[_FinishWorkday]]-Tasks[[#This Row],[_StartWorkday]]+1),0)</f>
        <v>0</v>
      </c>
      <c r="CT91" s="41" t="n">
        <f aca="false">Tasks[[#This Row],[_WorkPerWorkday]]*(Tasks[[#This Row],[_StartWorkday]]-1)</f>
        <v>-0</v>
      </c>
      <c r="CU91" s="41" t="n">
        <f aca="false">IF(Tasks[[#This Row],[_IsLeaf]]=1,MAX(N(Tasks[[#This Row],[Duration]]),0.1),0)</f>
        <v>0</v>
      </c>
      <c r="CV91" s="41" t="n">
        <f aca="false">Tasks[[#This Row],[_WeightDur]]*Tasks[[#This Row],[_LeafProgress]]</f>
        <v>0</v>
      </c>
      <c r="CW9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9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9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9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91" s="41" t="str">
        <f aca="false">IF(Tasks[[#This Row],[Task Name]]="","",Tasks[[#This Row],[_Pred1UIDText]]&amp;IF(AND(Tasks[[#This Row],[_Pred1UIDText]]&lt;&gt;"",Tasks[[#This Row],[_Pred2UIDText]]&lt;&gt;""),",","")&amp;Tasks[[#This Row],[_Pred2UIDText]])</f>
        <v/>
      </c>
      <c r="DB91" s="41" t="str">
        <f aca="false">IF(AND(Tasks[[#This Row],[_IsLeaf]]=1,N(Tasks[[#This Row],[Duration]])=0,Tasks[[#This Row],[_LeafProgress]]&lt;1),Tasks[[#This Row],[_LeafFcstFinish]]+Tasks[[#This Row],[_Row]]/100000,"")</f>
        <v/>
      </c>
      <c r="DC9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91" s="41" t="n">
        <f aca="false">IF(NOT(Tasks[[#This Row],[_IsLeaf]]=1),0,IF(Tasks[[#This Row],[Baseline Cost]]="",Tasks[[#This Row],[_LeafCost]],N(Tasks[[#This Row],[Baseline Cost]])))</f>
        <v>0</v>
      </c>
      <c r="DE91" s="41" t="n">
        <f aca="false">Tasks[[#This Row],[_LeafBudget]]*Tasks[[#This Row],[_PlannedPct]]</f>
        <v>0</v>
      </c>
      <c r="DF91" s="41" t="n">
        <f aca="false">Tasks[[#This Row],[_LeafBudget]]*Tasks[[#This Row],[_LeafProgress]]</f>
        <v>0</v>
      </c>
      <c r="DG91" s="41" t="n">
        <f aca="false">IF(NOT(Tasks[[#This Row],[_IsLeaf]]=1),0,IF(Tasks[[#This Row],[Actual Cost]]="",Tasks[[#This Row],[_LeafCost]]*Tasks[[#This Row],[_LeafProgress]],N(Tasks[[#This Row],[Actual Cost]])))</f>
        <v>0</v>
      </c>
      <c r="DH91" s="41" t="str">
        <f aca="false">IF(Tasks[[#This Row],[Task Name]]="","",LEFT(Tasks[[#This Row],[WBS]],FIND(".",Tasks[[#This Row],[WBS]]&amp;".")-1))</f>
        <v/>
      </c>
      <c r="DI91" s="41" t="str">
        <f aca="false">IF(AND(Tasks[[#This Row],[Task Name]]&lt;&gt;"",Tasks[[#This Row],[_Level]]=1),Tasks[[#This Row],[_Row]],"")</f>
        <v/>
      </c>
      <c r="DJ91" s="41" t="str">
        <f aca="false">IF(AND(Tasks[[#This Row],[_IsLeaf]]=1,N(Tasks[[#This Row],[Duration]])=0),Tasks[[#This Row],[Planned Finish]]+Tasks[[#This Row],[_Row]]/100000,"")</f>
        <v/>
      </c>
      <c r="DK91" s="41" t="str">
        <f aca="false">IF(AND(Tasks[[#This Row],[_IsLeaf]]=1,Tasks[[#This Row],[_LeafProgress]]&lt;1,OR(N(Tasks[[#This Row],[Finish Var]])&gt;0,Tasks[[#This Row],[Status]]="Late Start")),MAX(0,Tasks[[#This Row],[Finish Var]])+1-Tasks[[#This Row],[_Row]]/1000000,"")</f>
        <v/>
      </c>
      <c r="DL91" s="41" t="str">
        <f aca="false">IF(AND(Tasks[[#This Row],[_IsLeaf]]=1,N(Tasks[[#This Row],[Actual Start]])=0,Tasks[[#This Row],[_LeafFcstStart]]&gt;=StatusDate,Tasks[[#This Row],[_LeafFcstStart]]&lt;=LookaheadEnd),Tasks[[#This Row],[_LeafFcstStart]]+Tasks[[#This Row],[_Row]]/100000,"")</f>
        <v/>
      </c>
      <c r="DM91" s="41" t="str">
        <f aca="false">IF(AND(Tasks[[#This Row],[_IsLeaf]]=1,Tasks[[#This Row],[_LeafProgress]]&lt;1,Tasks[[#This Row],[_LeafFcstFinish]]&gt;=StatusDate,Tasks[[#This Row],[_LeafFcstFinish]]&lt;=LookaheadEnd),Tasks[[#This Row],[_LeafFcstFinish]]+Tasks[[#This Row],[_Row]]/100000,"")</f>
        <v/>
      </c>
      <c r="DN91" s="41" t="str">
        <f aca="false">IF(Tasks[[#This Row],[_LeafCritical]],Tasks[[#This Row],[_LeafFcstStart]]+Tasks[[#This Row],[_Row]]/100000,"")</f>
        <v/>
      </c>
      <c r="DO91" s="41" t="n">
        <f aca="false">Tasks[[#This Row],[_LeafWork]]*Tasks[[#This Row],[_LeafProgress]]</f>
        <v>0</v>
      </c>
      <c r="DP91" s="100" t="str">
        <f aca="false">IF(AND(Tasks[[#This Row],[_IsLeaf]]=1,Tasks[[#This Row],[_LeafProgress]]&gt;=1),IF(N(Tasks[[#This Row],[Actual Finish]])&gt;0,Tasks[[#This Row],[Actual Finish]],Tasks[[#This Row],[_LeafFcstFinish]]),"")</f>
        <v/>
      </c>
      <c r="DQ91" s="41" t="n">
        <f aca="false">IF(Tasks[[#This Row],[_IsLeaf]]=1,N(Tasks[[#This Row],[Story Points]]),0)</f>
        <v>0</v>
      </c>
      <c r="DR91" s="41" t="str">
        <f aca="false">IF(AND(Tasks[[#This Row],[_IsLeaf]]=1,CurrentSprint&lt;&gt;"",Tasks[[#This Row],[Sprint]]=CurrentSprint),Tasks[[#This Row],[_Row]],"")</f>
        <v/>
      </c>
    </row>
    <row r="92" customFormat="false" ht="15" hidden="false" customHeight="false" outlineLevel="0" collapsed="false">
      <c r="A92" s="28" t="str">
        <f aca="false">IF(Tasks[[#This Row],[Task Name]]="","",COUNTA(Tasks[[#Headers],[Task Name]]:Tasks[[#This Row],[Task Name]])-1)</f>
        <v/>
      </c>
      <c r="B92" s="29" t="n">
        <v>87</v>
      </c>
      <c r="C9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2" s="29"/>
      <c r="E92" s="30"/>
      <c r="F92" s="29"/>
      <c r="G92" s="29"/>
      <c r="H92" s="29"/>
      <c r="I92" s="29"/>
      <c r="J92" s="29"/>
      <c r="K92" s="29"/>
      <c r="L92" s="29"/>
      <c r="M92" s="29"/>
      <c r="N92" s="73"/>
      <c r="O92" s="73"/>
      <c r="P92" s="25" t="str">
        <f aca="false">IF(Tasks[[#This Row],[Task Name]]="","",IF(N(Tasks[[#This Row],[Baseline Start]])&gt;0,Tasks[[#This Row],[Baseline Start]],Tasks[[#This Row],[_CalcStart]]))</f>
        <v/>
      </c>
      <c r="Q92" s="25" t="str">
        <f aca="false">IF(Tasks[[#This Row],[Task Name]]="","",IF(N(Tasks[[#This Row],[Baseline Finish]])&gt;0,Tasks[[#This Row],[Baseline Finish]],Tasks[[#This Row],[_CalcFinish]]))</f>
        <v/>
      </c>
      <c r="R92" s="73"/>
      <c r="S92" s="73"/>
      <c r="T92" s="25" t="str">
        <f aca="false">IF(Tasks[[#This Row],[Task Name]]="","",IF(Tasks[[#This Row],[_IsSummary]],MIN(INDEX(Tasks[_LeafFcstStart],Tasks[[#This Row],[_Row]]+1):INDEX(Tasks[_LeafFcstStart],Tasks[[#This Row],[_Row]]+Tasks[[#This Row],[_Descendants]])),Tasks[[#This Row],[_LeafFcstStart]]))</f>
        <v/>
      </c>
      <c r="U92" s="25" t="str">
        <f aca="false">IF(Tasks[[#This Row],[Task Name]]="","",IF(Tasks[[#This Row],[_IsSummary]],MAX(INDEX(Tasks[_LeafFcstFinish],Tasks[[#This Row],[_Row]]+1):INDEX(Tasks[_LeafFcstFinish],Tasks[[#This Row],[_Row]]+Tasks[[#This Row],[_Descendants]])),Tasks[[#This Row],[_LeafFcstFinish]]))</f>
        <v/>
      </c>
      <c r="V9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9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2" s="25" t="str">
        <f aca="false">IF(Tasks[[#This Row],[Task Name]]="","",IF(Tasks[[#This Row],[_IsSummary]],MIN(INDEX(Tasks[_LeafLateStart],Tasks[[#This Row],[_Row]]+1):INDEX(Tasks[_LeafLateStart],Tasks[[#This Row],[_Row]]+Tasks[[#This Row],[_Descendants]])),Tasks[[#This Row],[_LeafLateStart]]))</f>
        <v/>
      </c>
      <c r="Y92" s="25" t="str">
        <f aca="false">IF(Tasks[[#This Row],[Task Name]]="","",IF(Tasks[[#This Row],[_IsSummary]],MAX(INDEX(Tasks[_LeafLateFinish],Tasks[[#This Row],[_Row]]+1):INDEX(Tasks[_LeafLateFinish],Tasks[[#This Row],[_Row]]+Tasks[[#This Row],[_Descendants]])),Tasks[[#This Row],[_LeafLateFinish]]))</f>
        <v/>
      </c>
      <c r="Z92" s="43" t="str">
        <f aca="false">IF(Tasks[[#This Row],[Task Name]]="","",IF(Tasks[[#This Row],[_IsSummary]],MIN(INDEX(Tasks[_LeafTotalSlack],Tasks[[#This Row],[_Row]]+1):INDEX(Tasks[_LeafTotalSlack],Tasks[[#This Row],[_Row]]+Tasks[[#This Row],[_Descendants]])),Tasks[[#This Row],[_LeafTotalSlack]]))</f>
        <v/>
      </c>
      <c r="AA9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2" s="28" t="str">
        <f aca="false">IF(Tasks[[#This Row],[Task Name]]="","",IF(IF(Tasks[[#This Row],[_IsSummary]],COUNTIF(INDEX(Tasks[_LeafCritical],Tasks[[#This Row],[_Row]]+1):INDEX(Tasks[_LeafCritical],Tasks[[#This Row],[_Row]]+Tasks[[#This Row],[_Descendants]]),TRUE())&gt;0,Tasks[[#This Row],[_LeafCritical]]),"Yes",""))</f>
        <v/>
      </c>
      <c r="AC9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2" s="24" t="str">
        <f aca="false">IF(Tasks[[#This Row],[Task Name]]="","",TRIM(IF(Tasks[[#This Row],[_Pred1Problem]]&lt;&gt;"","Pred 1: "&amp;Tasks[[#This Row],[_Pred1Problem]]&amp;". ","")&amp;IF(Tasks[[#This Row],[_Pred2Problem]]&lt;&gt;"","Pred 2: "&amp;Tasks[[#This Row],[_Pred2Problem]]&amp;".","")))</f>
        <v/>
      </c>
      <c r="AE92" s="88"/>
      <c r="AF92"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2" s="28" t="str">
        <f aca="false">IF(Tasks[[#This Row],[Task Name]]="","",IF(Tasks[[#This Row],[Progress]]&gt;=1,"Complete",IF(OR(N(Tasks[[#This Row],[Actual Start]])&gt;0,Tasks[[#This Row],[Progress]]&gt;0),IF(Tasks[[#This Row],[Finish Var]]&gt;0,"Behind","In Progress"),IF(Tasks[[#This Row],[Planned Start]]&lt;StatusDate,"Late Start","Not Started"))))</f>
        <v/>
      </c>
      <c r="AH92" s="30"/>
      <c r="AI92" s="88"/>
      <c r="AJ92" s="95" t="str">
        <f aca="false">IF(Tasks[[#This Row],[Task Name]]="","",IF(Tasks[[#This Row],[_IsSummary]],SUM(INDEX(Tasks[_LeafWork],Tasks[[#This Row],[_Row]]+1):INDEX(Tasks[_LeafWork],Tasks[[#This Row],[_Row]]+Tasks[[#This Row],[_Descendants]])),Tasks[[#This Row],[_LeafWork]]))</f>
        <v/>
      </c>
      <c r="AK92" s="96" t="str">
        <f aca="false">IF(Tasks[[#This Row],[Task Name]]="","",IF(Tasks[[#This Row],[_IsSummary]],SUM(INDEX(Tasks[_LeafCost],Tasks[[#This Row],[_Row]]+1):INDEX(Tasks[_LeafCost],Tasks[[#This Row],[_Row]]+Tasks[[#This Row],[_Descendants]])),Tasks[[#This Row],[_LeafCost]]))</f>
        <v/>
      </c>
      <c r="AL92" s="97"/>
      <c r="AM92" s="29"/>
      <c r="AN9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92" s="82"/>
      <c r="AP92" s="24" t="str">
        <f aca="false">IF(Tasks[[#This Row],[Task Name]]="","",Tasks[[#This Row],[_Pred1IDText]]&amp;IF(AND(Tasks[[#This Row],[_Pred1IDText]]&lt;&gt;"",Tasks[[#This Row],[_Pred2IDText]]&lt;&gt;""),",","")&amp;Tasks[[#This Row],[_Pred2IDText]])</f>
        <v/>
      </c>
      <c r="AQ92" s="30"/>
      <c r="AR92" s="25" t="str">
        <f aca="false">IF(Tasks[[#This Row],[Task Name]]="","",Tasks[[#This Row],[Forecast Start]])</f>
        <v/>
      </c>
      <c r="AS92" s="25" t="str">
        <f aca="false">IF(Tasks[[#This Row],[Task Name]]="","",Tasks[[#This Row],[Forecast Finish]])</f>
        <v/>
      </c>
      <c r="AT92" s="28" t="str">
        <f aca="false">IF(Tasks[[#This Row],[Task Name]]="","",IF(Tasks[[#This Row],[_IsSummary]],NETWORKDAYS.INTL(Tasks[[#This Row],[Forecast Start]],Tasks[[#This Row],[Forecast Finish]],WorkWeek,Holidays),N(Tasks[[#This Row],[Duration]])))</f>
        <v/>
      </c>
      <c r="AU92" s="95" t="str">
        <f aca="false">IF(Tasks[[#This Row],[Task Name]]="","",Tasks[[#This Row],[Work]])</f>
        <v/>
      </c>
      <c r="AV92" s="96" t="str">
        <f aca="false">IF(Tasks[[#This Row],[Task Name]]="","",Tasks[[#This Row],[Cost]])</f>
        <v/>
      </c>
      <c r="AW92" s="73"/>
      <c r="AX92" s="73"/>
      <c r="AY92" s="29"/>
      <c r="AZ92" s="98"/>
      <c r="BA92" s="97"/>
      <c r="BB92" s="28" t="str">
        <f aca="false">IF(OR(Tasks[[#This Row],[Task Name]]="",Tasks[[#This Row],[Baseline Duration]]=""),"",Tasks[[#This Row],[BL Source Duration]]-N(Tasks[[#This Row],[Baseline Duration]]))</f>
        <v/>
      </c>
      <c r="BC92" s="95" t="str">
        <f aca="false">IF(OR(Tasks[[#This Row],[Task Name]]="",Tasks[[#This Row],[Baseline Work]]=""),"",Tasks[[#This Row],[Work]]-N(Tasks[[#This Row],[Baseline Work]]))</f>
        <v/>
      </c>
      <c r="BD92" s="96" t="str">
        <f aca="false">IF(OR(Tasks[[#This Row],[Task Name]]="",Tasks[[#This Row],[Baseline Cost]]=""),"",Tasks[[#This Row],[Cost]]-N(Tasks[[#This Row],[Baseline Cost]]))</f>
        <v/>
      </c>
      <c r="BE92" s="96" t="str">
        <f aca="false">IF(Tasks[[#This Row],[Task Name]]="","",IF(Tasks[[#This Row],[_IsSummary]],SUM(INDEX(Tasks[_LeafBudget],Tasks[[#This Row],[_Row]]+1):INDEX(Tasks[_LeafBudget],Tasks[[#This Row],[_Row]]+Tasks[[#This Row],[_Descendants]])),Tasks[[#This Row],[_LeafBudget]]))</f>
        <v/>
      </c>
      <c r="BF92" s="96" t="str">
        <f aca="false">IF(Tasks[[#This Row],[Task Name]]="","",IF(Tasks[[#This Row],[_IsSummary]],SUM(INDEX(Tasks[_LeafPV],Tasks[[#This Row],[_Row]]+1):INDEX(Tasks[_LeafPV],Tasks[[#This Row],[_Row]]+Tasks[[#This Row],[_Descendants]])),Tasks[[#This Row],[_LeafPV]]))</f>
        <v/>
      </c>
      <c r="BG92" s="96" t="str">
        <f aca="false">IF(Tasks[[#This Row],[Task Name]]="","",IF(Tasks[[#This Row],[_IsSummary]],SUM(INDEX(Tasks[_LeafEV],Tasks[[#This Row],[_Row]]+1):INDEX(Tasks[_LeafEV],Tasks[[#This Row],[_Row]]+Tasks[[#This Row],[_Descendants]])),Tasks[[#This Row],[_LeafEV]]))</f>
        <v/>
      </c>
      <c r="BH92" s="96" t="str">
        <f aca="false">IF(Tasks[[#This Row],[Task Name]]="","",IF(Tasks[[#This Row],[_IsSummary]],SUM(INDEX(Tasks[_LeafAC],Tasks[[#This Row],[_Row]]+1):INDEX(Tasks[_LeafAC],Tasks[[#This Row],[_Row]]+Tasks[[#This Row],[_Descendants]])),Tasks[[#This Row],[_LeafAC]]))</f>
        <v/>
      </c>
      <c r="BI92" s="41" t="str">
        <f aca="false">IF(Tasks[[#This Row],[Task Name]]="","",MAX(1,N(Tasks[[#This Row],[Level]])))</f>
        <v/>
      </c>
      <c r="BJ92" s="41" t="n">
        <f aca="false">ROW()-ROW(Tasks[[#Headers],[ID]])</f>
        <v>87</v>
      </c>
      <c r="BK92" s="41" t="n">
        <f aca="false">IF(OR(Tasks[[#This Row],[Task Name]]="",Tasks[[#This Row],[_Level]]&lt;=1),0,IFERROR(LOOKUP(2,1/(Tasks[[#Headers],[_Level]]:Tasks[[#This Row],[_Level]]=Tasks[[#This Row],[_Level]]-1),ROW(Tasks[[#Headers],[_Level]]:Tasks[[#This Row],[_Level]])),0))</f>
        <v>0</v>
      </c>
      <c r="BL92" s="41" t="n">
        <f aca="false">IFERROR(N(INDEX(Tasks[_Level],Tasks[[#This Row],[_Row]]+1)),0)</f>
        <v>0</v>
      </c>
      <c r="BM92" s="99" t="b">
        <f aca="false">AND(Tasks[[#This Row],[Task Name]]&lt;&gt;"",Tasks[[#This Row],[_NextLevel]]&gt;Tasks[[#This Row],[_Level]])</f>
        <v>0</v>
      </c>
      <c r="BN92" s="41" t="n">
        <f aca="false">IF(Tasks[[#This Row],[_IsSummary]],COUNTIF(Tasks[WBS],Tasks[[#This Row],[WBS]]&amp;".*"),0)</f>
        <v>0</v>
      </c>
      <c r="BO92" s="41" t="n">
        <f aca="false">IF(AND(Tasks[[#This Row],[Task Name]]&lt;&gt;"",NOT(Tasks[[#This Row],[_IsSummary]])),1,0)</f>
        <v>0</v>
      </c>
      <c r="BP92" s="41" t="n">
        <f aca="false">IF(N(Tasks[[#This Row],[Pred1 UID]])=0,0,IFERROR(MATCH(Tasks[[#This Row],[Pred1 UID]],Tasks[UID],0),-1))</f>
        <v>0</v>
      </c>
      <c r="BQ92" s="41" t="n">
        <f aca="false">IF(N(Tasks[[#This Row],[Pred2 UID]])=0,0,IFERROR(MATCH(Tasks[[#This Row],[Pred2 UID]],Tasks[UID],0),-1))</f>
        <v>0</v>
      </c>
      <c r="BR92"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92" s="100" t="str">
        <f aca="false">IF(NOT(Tasks[[#This Row],[_IsLeaf]]=1),"",IF(N(Tasks[[#This Row],[Duration]])&lt;=0,Tasks[[#This Row],[_LeafCalcStart]],WORKDAY.INTL(Tasks[[#This Row],[_LeafCalcStart]],Tasks[[#This Row],[Duration]]-1,WorkWeek,Holidays)))</f>
        <v/>
      </c>
      <c r="BT92"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92"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92" s="41" t="n">
        <f aca="false">IF(NOT(Tasks[[#This Row],[_IsLeaf]]=1),0,IF(N(Tasks[[#This Row],[Actual Finish]])&gt;0,1,MIN(1,N(Tasks[[#This Row],[% Complete]]))))</f>
        <v>0</v>
      </c>
      <c r="BW92" s="41" t="n">
        <f aca="false">IF(OR(NOT(Tasks[[#This Row],[_IsLeaf]]=1),Tasks[[#This Row],[Resource]]=""),0,N(Tasks[[#This Row],[Duration]])*HoursPerDay*IF(Tasks[[#This Row],[Units]]="",DefaultUnits,Tasks[[#This Row],[Units]]))</f>
        <v>0</v>
      </c>
      <c r="BX92" s="41" t="n">
        <f aca="false">IF(Tasks[[#This Row],[_LeafWork]]=0,0,Tasks[[#This Row],[_LeafWork]]*IFERROR(INDEX(res_Rate,MATCH(Tasks[[#This Row],[Resource]],res_Name,0)),0))</f>
        <v>0</v>
      </c>
      <c r="BY9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9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9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9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92" s="41" t="n">
        <f aca="false">IF(NOT(Tasks[[#This Row],[_IsLeaf]]=1),0,MAX(_xlfn.MAXIFS(Tasks[_Row],Tasks[Pred1 UID],Tasks[[#This Row],[UID]]),_xlfn.MAXIFS(Tasks[_Row],Tasks[Pred2 UID],Tasks[[#This Row],[UID]])))</f>
        <v>0</v>
      </c>
      <c r="CD92"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92" s="100" t="str">
        <f aca="false">IF(NOT(Tasks[[#This Row],[_IsLeaf]]=1),"",MIN(ProjectFinish,IF(N(Tasks[[#This Row],[Deadline]])&gt;0,Tasks[[#This Row],[Deadline]],2958465),Tasks[[#This Row],[_SuccessorFinishLimit]]))</f>
        <v/>
      </c>
      <c r="CF92" s="100" t="str">
        <f aca="false">IF(NOT(Tasks[[#This Row],[_IsLeaf]]=1),"",IF(N(Tasks[[#This Row],[Duration]])&lt;=0,Tasks[[#This Row],[_LeafLateFinish]],WORKDAY.INTL(Tasks[[#This Row],[_LeafLateFinish]],-(Tasks[[#This Row],[Duration]]-1),WorkWeek,Holidays)))</f>
        <v/>
      </c>
      <c r="CG9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92" s="99" t="b">
        <f aca="false">AND(Tasks[[#This Row],[_IsLeaf]]=1,Tasks[[#This Row],[_LeafProgress]]&lt;1,N(Tasks[[#This Row],[_LeafTotalSlack]])&lt;=CriticalSlackDays)</f>
        <v>0</v>
      </c>
      <c r="CI92" s="100" t="str">
        <f aca="false">IF(Tasks[[#This Row],[Task Name]]="","",IF(Tasks[[#This Row],[_IsSummary]],MIN(INDEX(Tasks[_LeafCalcStart],Tasks[[#This Row],[_Row]]+1):INDEX(Tasks[_LeafCalcStart],Tasks[[#This Row],[_Row]]+Tasks[[#This Row],[_Descendants]])),Tasks[[#This Row],[_LeafCalcStart]]))</f>
        <v/>
      </c>
      <c r="CJ92" s="100" t="str">
        <f aca="false">IF(Tasks[[#This Row],[Task Name]]="","",IF(Tasks[[#This Row],[_IsSummary]],MAX(INDEX(Tasks[_LeafCalcFinish],Tasks[[#This Row],[_Row]]+1):INDEX(Tasks[_LeafCalcFinish],Tasks[[#This Row],[_Row]]+Tasks[[#This Row],[_Descendants]])),Tasks[[#This Row],[_LeafCalcFinish]]))</f>
        <v/>
      </c>
      <c r="CK9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9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92"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92"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92"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92"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92" s="41" t="n">
        <f aca="false">IF(AND(Tasks[[#This Row],[_IsLeaf]]=1,Tasks[[#This Row],[_LeafWork]]&gt;0),NETWORKDAYS.INTL(ProjectStart,Tasks[[#This Row],[_LeafFcstStart]],WorkWeek,Holidays),0)</f>
        <v>0</v>
      </c>
      <c r="CR92" s="41" t="n">
        <f aca="false">IF(AND(Tasks[[#This Row],[_IsLeaf]]=1,Tasks[[#This Row],[_LeafWork]]&gt;0),MAX(Tasks[[#This Row],[_StartWorkday]],NETWORKDAYS.INTL(ProjectStart,Tasks[[#This Row],[_LeafFcstFinish]],WorkWeek,Holidays)),0)</f>
        <v>0</v>
      </c>
      <c r="CS92" s="41" t="n">
        <f aca="false">IF(AND(Tasks[[#This Row],[_IsLeaf]]=1,Tasks[[#This Row],[_LeafWork]]&gt;0),Tasks[[#This Row],[_LeafWork]]/(Tasks[[#This Row],[_FinishWorkday]]-Tasks[[#This Row],[_StartWorkday]]+1),0)</f>
        <v>0</v>
      </c>
      <c r="CT92" s="41" t="n">
        <f aca="false">Tasks[[#This Row],[_WorkPerWorkday]]*(Tasks[[#This Row],[_StartWorkday]]-1)</f>
        <v>-0</v>
      </c>
      <c r="CU92" s="41" t="n">
        <f aca="false">IF(Tasks[[#This Row],[_IsLeaf]]=1,MAX(N(Tasks[[#This Row],[Duration]]),0.1),0)</f>
        <v>0</v>
      </c>
      <c r="CV92" s="41" t="n">
        <f aca="false">Tasks[[#This Row],[_WeightDur]]*Tasks[[#This Row],[_LeafProgress]]</f>
        <v>0</v>
      </c>
      <c r="CW9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9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9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9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92" s="41" t="str">
        <f aca="false">IF(Tasks[[#This Row],[Task Name]]="","",Tasks[[#This Row],[_Pred1UIDText]]&amp;IF(AND(Tasks[[#This Row],[_Pred1UIDText]]&lt;&gt;"",Tasks[[#This Row],[_Pred2UIDText]]&lt;&gt;""),",","")&amp;Tasks[[#This Row],[_Pred2UIDText]])</f>
        <v/>
      </c>
      <c r="DB92" s="41" t="str">
        <f aca="false">IF(AND(Tasks[[#This Row],[_IsLeaf]]=1,N(Tasks[[#This Row],[Duration]])=0,Tasks[[#This Row],[_LeafProgress]]&lt;1),Tasks[[#This Row],[_LeafFcstFinish]]+Tasks[[#This Row],[_Row]]/100000,"")</f>
        <v/>
      </c>
      <c r="DC9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92" s="41" t="n">
        <f aca="false">IF(NOT(Tasks[[#This Row],[_IsLeaf]]=1),0,IF(Tasks[[#This Row],[Baseline Cost]]="",Tasks[[#This Row],[_LeafCost]],N(Tasks[[#This Row],[Baseline Cost]])))</f>
        <v>0</v>
      </c>
      <c r="DE92" s="41" t="n">
        <f aca="false">Tasks[[#This Row],[_LeafBudget]]*Tasks[[#This Row],[_PlannedPct]]</f>
        <v>0</v>
      </c>
      <c r="DF92" s="41" t="n">
        <f aca="false">Tasks[[#This Row],[_LeafBudget]]*Tasks[[#This Row],[_LeafProgress]]</f>
        <v>0</v>
      </c>
      <c r="DG92" s="41" t="n">
        <f aca="false">IF(NOT(Tasks[[#This Row],[_IsLeaf]]=1),0,IF(Tasks[[#This Row],[Actual Cost]]="",Tasks[[#This Row],[_LeafCost]]*Tasks[[#This Row],[_LeafProgress]],N(Tasks[[#This Row],[Actual Cost]])))</f>
        <v>0</v>
      </c>
      <c r="DH92" s="41" t="str">
        <f aca="false">IF(Tasks[[#This Row],[Task Name]]="","",LEFT(Tasks[[#This Row],[WBS]],FIND(".",Tasks[[#This Row],[WBS]]&amp;".")-1))</f>
        <v/>
      </c>
      <c r="DI92" s="41" t="str">
        <f aca="false">IF(AND(Tasks[[#This Row],[Task Name]]&lt;&gt;"",Tasks[[#This Row],[_Level]]=1),Tasks[[#This Row],[_Row]],"")</f>
        <v/>
      </c>
      <c r="DJ92" s="41" t="str">
        <f aca="false">IF(AND(Tasks[[#This Row],[_IsLeaf]]=1,N(Tasks[[#This Row],[Duration]])=0),Tasks[[#This Row],[Planned Finish]]+Tasks[[#This Row],[_Row]]/100000,"")</f>
        <v/>
      </c>
      <c r="DK92" s="41" t="str">
        <f aca="false">IF(AND(Tasks[[#This Row],[_IsLeaf]]=1,Tasks[[#This Row],[_LeafProgress]]&lt;1,OR(N(Tasks[[#This Row],[Finish Var]])&gt;0,Tasks[[#This Row],[Status]]="Late Start")),MAX(0,Tasks[[#This Row],[Finish Var]])+1-Tasks[[#This Row],[_Row]]/1000000,"")</f>
        <v/>
      </c>
      <c r="DL92" s="41" t="str">
        <f aca="false">IF(AND(Tasks[[#This Row],[_IsLeaf]]=1,N(Tasks[[#This Row],[Actual Start]])=0,Tasks[[#This Row],[_LeafFcstStart]]&gt;=StatusDate,Tasks[[#This Row],[_LeafFcstStart]]&lt;=LookaheadEnd),Tasks[[#This Row],[_LeafFcstStart]]+Tasks[[#This Row],[_Row]]/100000,"")</f>
        <v/>
      </c>
      <c r="DM92" s="41" t="str">
        <f aca="false">IF(AND(Tasks[[#This Row],[_IsLeaf]]=1,Tasks[[#This Row],[_LeafProgress]]&lt;1,Tasks[[#This Row],[_LeafFcstFinish]]&gt;=StatusDate,Tasks[[#This Row],[_LeafFcstFinish]]&lt;=LookaheadEnd),Tasks[[#This Row],[_LeafFcstFinish]]+Tasks[[#This Row],[_Row]]/100000,"")</f>
        <v/>
      </c>
      <c r="DN92" s="41" t="str">
        <f aca="false">IF(Tasks[[#This Row],[_LeafCritical]],Tasks[[#This Row],[_LeafFcstStart]]+Tasks[[#This Row],[_Row]]/100000,"")</f>
        <v/>
      </c>
      <c r="DO92" s="41" t="n">
        <f aca="false">Tasks[[#This Row],[_LeafWork]]*Tasks[[#This Row],[_LeafProgress]]</f>
        <v>0</v>
      </c>
      <c r="DP92" s="100" t="str">
        <f aca="false">IF(AND(Tasks[[#This Row],[_IsLeaf]]=1,Tasks[[#This Row],[_LeafProgress]]&gt;=1),IF(N(Tasks[[#This Row],[Actual Finish]])&gt;0,Tasks[[#This Row],[Actual Finish]],Tasks[[#This Row],[_LeafFcstFinish]]),"")</f>
        <v/>
      </c>
      <c r="DQ92" s="41" t="n">
        <f aca="false">IF(Tasks[[#This Row],[_IsLeaf]]=1,N(Tasks[[#This Row],[Story Points]]),0)</f>
        <v>0</v>
      </c>
      <c r="DR92" s="41" t="str">
        <f aca="false">IF(AND(Tasks[[#This Row],[_IsLeaf]]=1,CurrentSprint&lt;&gt;"",Tasks[[#This Row],[Sprint]]=CurrentSprint),Tasks[[#This Row],[_Row]],"")</f>
        <v/>
      </c>
    </row>
    <row r="93" customFormat="false" ht="15" hidden="false" customHeight="false" outlineLevel="0" collapsed="false">
      <c r="A93" s="28" t="str">
        <f aca="false">IF(Tasks[[#This Row],[Task Name]]="","",COUNTA(Tasks[[#Headers],[Task Name]]:Tasks[[#This Row],[Task Name]])-1)</f>
        <v/>
      </c>
      <c r="B93" s="29" t="n">
        <v>88</v>
      </c>
      <c r="C9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3" s="29"/>
      <c r="E93" s="30"/>
      <c r="F93" s="29"/>
      <c r="G93" s="29"/>
      <c r="H93" s="29"/>
      <c r="I93" s="29"/>
      <c r="J93" s="29"/>
      <c r="K93" s="29"/>
      <c r="L93" s="29"/>
      <c r="M93" s="29"/>
      <c r="N93" s="73"/>
      <c r="O93" s="73"/>
      <c r="P93" s="25" t="str">
        <f aca="false">IF(Tasks[[#This Row],[Task Name]]="","",IF(N(Tasks[[#This Row],[Baseline Start]])&gt;0,Tasks[[#This Row],[Baseline Start]],Tasks[[#This Row],[_CalcStart]]))</f>
        <v/>
      </c>
      <c r="Q93" s="25" t="str">
        <f aca="false">IF(Tasks[[#This Row],[Task Name]]="","",IF(N(Tasks[[#This Row],[Baseline Finish]])&gt;0,Tasks[[#This Row],[Baseline Finish]],Tasks[[#This Row],[_CalcFinish]]))</f>
        <v/>
      </c>
      <c r="R93" s="73"/>
      <c r="S93" s="73"/>
      <c r="T93" s="25" t="str">
        <f aca="false">IF(Tasks[[#This Row],[Task Name]]="","",IF(Tasks[[#This Row],[_IsSummary]],MIN(INDEX(Tasks[_LeafFcstStart],Tasks[[#This Row],[_Row]]+1):INDEX(Tasks[_LeafFcstStart],Tasks[[#This Row],[_Row]]+Tasks[[#This Row],[_Descendants]])),Tasks[[#This Row],[_LeafFcstStart]]))</f>
        <v/>
      </c>
      <c r="U93" s="25" t="str">
        <f aca="false">IF(Tasks[[#This Row],[Task Name]]="","",IF(Tasks[[#This Row],[_IsSummary]],MAX(INDEX(Tasks[_LeafFcstFinish],Tasks[[#This Row],[_Row]]+1):INDEX(Tasks[_LeafFcstFinish],Tasks[[#This Row],[_Row]]+Tasks[[#This Row],[_Descendants]])),Tasks[[#This Row],[_LeafFcstFinish]]))</f>
        <v/>
      </c>
      <c r="V9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9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3" s="25" t="str">
        <f aca="false">IF(Tasks[[#This Row],[Task Name]]="","",IF(Tasks[[#This Row],[_IsSummary]],MIN(INDEX(Tasks[_LeafLateStart],Tasks[[#This Row],[_Row]]+1):INDEX(Tasks[_LeafLateStart],Tasks[[#This Row],[_Row]]+Tasks[[#This Row],[_Descendants]])),Tasks[[#This Row],[_LeafLateStart]]))</f>
        <v/>
      </c>
      <c r="Y93" s="25" t="str">
        <f aca="false">IF(Tasks[[#This Row],[Task Name]]="","",IF(Tasks[[#This Row],[_IsSummary]],MAX(INDEX(Tasks[_LeafLateFinish],Tasks[[#This Row],[_Row]]+1):INDEX(Tasks[_LeafLateFinish],Tasks[[#This Row],[_Row]]+Tasks[[#This Row],[_Descendants]])),Tasks[[#This Row],[_LeafLateFinish]]))</f>
        <v/>
      </c>
      <c r="Z93" s="43" t="str">
        <f aca="false">IF(Tasks[[#This Row],[Task Name]]="","",IF(Tasks[[#This Row],[_IsSummary]],MIN(INDEX(Tasks[_LeafTotalSlack],Tasks[[#This Row],[_Row]]+1):INDEX(Tasks[_LeafTotalSlack],Tasks[[#This Row],[_Row]]+Tasks[[#This Row],[_Descendants]])),Tasks[[#This Row],[_LeafTotalSlack]]))</f>
        <v/>
      </c>
      <c r="AA9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3" s="28" t="str">
        <f aca="false">IF(Tasks[[#This Row],[Task Name]]="","",IF(IF(Tasks[[#This Row],[_IsSummary]],COUNTIF(INDEX(Tasks[_LeafCritical],Tasks[[#This Row],[_Row]]+1):INDEX(Tasks[_LeafCritical],Tasks[[#This Row],[_Row]]+Tasks[[#This Row],[_Descendants]]),TRUE())&gt;0,Tasks[[#This Row],[_LeafCritical]]),"Yes",""))</f>
        <v/>
      </c>
      <c r="AC9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3" s="24" t="str">
        <f aca="false">IF(Tasks[[#This Row],[Task Name]]="","",TRIM(IF(Tasks[[#This Row],[_Pred1Problem]]&lt;&gt;"","Pred 1: "&amp;Tasks[[#This Row],[_Pred1Problem]]&amp;". ","")&amp;IF(Tasks[[#This Row],[_Pred2Problem]]&lt;&gt;"","Pred 2: "&amp;Tasks[[#This Row],[_Pred2Problem]]&amp;".","")))</f>
        <v/>
      </c>
      <c r="AE93" s="88"/>
      <c r="AF93"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3" s="28" t="str">
        <f aca="false">IF(Tasks[[#This Row],[Task Name]]="","",IF(Tasks[[#This Row],[Progress]]&gt;=1,"Complete",IF(OR(N(Tasks[[#This Row],[Actual Start]])&gt;0,Tasks[[#This Row],[Progress]]&gt;0),IF(Tasks[[#This Row],[Finish Var]]&gt;0,"Behind","In Progress"),IF(Tasks[[#This Row],[Planned Start]]&lt;StatusDate,"Late Start","Not Started"))))</f>
        <v/>
      </c>
      <c r="AH93" s="30"/>
      <c r="AI93" s="88"/>
      <c r="AJ93" s="95" t="str">
        <f aca="false">IF(Tasks[[#This Row],[Task Name]]="","",IF(Tasks[[#This Row],[_IsSummary]],SUM(INDEX(Tasks[_LeafWork],Tasks[[#This Row],[_Row]]+1):INDEX(Tasks[_LeafWork],Tasks[[#This Row],[_Row]]+Tasks[[#This Row],[_Descendants]])),Tasks[[#This Row],[_LeafWork]]))</f>
        <v/>
      </c>
      <c r="AK93" s="96" t="str">
        <f aca="false">IF(Tasks[[#This Row],[Task Name]]="","",IF(Tasks[[#This Row],[_IsSummary]],SUM(INDEX(Tasks[_LeafCost],Tasks[[#This Row],[_Row]]+1):INDEX(Tasks[_LeafCost],Tasks[[#This Row],[_Row]]+Tasks[[#This Row],[_Descendants]])),Tasks[[#This Row],[_LeafCost]]))</f>
        <v/>
      </c>
      <c r="AL93" s="97"/>
      <c r="AM93" s="29"/>
      <c r="AN9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93" s="82"/>
      <c r="AP93" s="24" t="str">
        <f aca="false">IF(Tasks[[#This Row],[Task Name]]="","",Tasks[[#This Row],[_Pred1IDText]]&amp;IF(AND(Tasks[[#This Row],[_Pred1IDText]]&lt;&gt;"",Tasks[[#This Row],[_Pred2IDText]]&lt;&gt;""),",","")&amp;Tasks[[#This Row],[_Pred2IDText]])</f>
        <v/>
      </c>
      <c r="AQ93" s="30"/>
      <c r="AR93" s="25" t="str">
        <f aca="false">IF(Tasks[[#This Row],[Task Name]]="","",Tasks[[#This Row],[Forecast Start]])</f>
        <v/>
      </c>
      <c r="AS93" s="25" t="str">
        <f aca="false">IF(Tasks[[#This Row],[Task Name]]="","",Tasks[[#This Row],[Forecast Finish]])</f>
        <v/>
      </c>
      <c r="AT93" s="28" t="str">
        <f aca="false">IF(Tasks[[#This Row],[Task Name]]="","",IF(Tasks[[#This Row],[_IsSummary]],NETWORKDAYS.INTL(Tasks[[#This Row],[Forecast Start]],Tasks[[#This Row],[Forecast Finish]],WorkWeek,Holidays),N(Tasks[[#This Row],[Duration]])))</f>
        <v/>
      </c>
      <c r="AU93" s="95" t="str">
        <f aca="false">IF(Tasks[[#This Row],[Task Name]]="","",Tasks[[#This Row],[Work]])</f>
        <v/>
      </c>
      <c r="AV93" s="96" t="str">
        <f aca="false">IF(Tasks[[#This Row],[Task Name]]="","",Tasks[[#This Row],[Cost]])</f>
        <v/>
      </c>
      <c r="AW93" s="73"/>
      <c r="AX93" s="73"/>
      <c r="AY93" s="29"/>
      <c r="AZ93" s="98"/>
      <c r="BA93" s="97"/>
      <c r="BB93" s="28" t="str">
        <f aca="false">IF(OR(Tasks[[#This Row],[Task Name]]="",Tasks[[#This Row],[Baseline Duration]]=""),"",Tasks[[#This Row],[BL Source Duration]]-N(Tasks[[#This Row],[Baseline Duration]]))</f>
        <v/>
      </c>
      <c r="BC93" s="95" t="str">
        <f aca="false">IF(OR(Tasks[[#This Row],[Task Name]]="",Tasks[[#This Row],[Baseline Work]]=""),"",Tasks[[#This Row],[Work]]-N(Tasks[[#This Row],[Baseline Work]]))</f>
        <v/>
      </c>
      <c r="BD93" s="96" t="str">
        <f aca="false">IF(OR(Tasks[[#This Row],[Task Name]]="",Tasks[[#This Row],[Baseline Cost]]=""),"",Tasks[[#This Row],[Cost]]-N(Tasks[[#This Row],[Baseline Cost]]))</f>
        <v/>
      </c>
      <c r="BE93" s="96" t="str">
        <f aca="false">IF(Tasks[[#This Row],[Task Name]]="","",IF(Tasks[[#This Row],[_IsSummary]],SUM(INDEX(Tasks[_LeafBudget],Tasks[[#This Row],[_Row]]+1):INDEX(Tasks[_LeafBudget],Tasks[[#This Row],[_Row]]+Tasks[[#This Row],[_Descendants]])),Tasks[[#This Row],[_LeafBudget]]))</f>
        <v/>
      </c>
      <c r="BF93" s="96" t="str">
        <f aca="false">IF(Tasks[[#This Row],[Task Name]]="","",IF(Tasks[[#This Row],[_IsSummary]],SUM(INDEX(Tasks[_LeafPV],Tasks[[#This Row],[_Row]]+1):INDEX(Tasks[_LeafPV],Tasks[[#This Row],[_Row]]+Tasks[[#This Row],[_Descendants]])),Tasks[[#This Row],[_LeafPV]]))</f>
        <v/>
      </c>
      <c r="BG93" s="96" t="str">
        <f aca="false">IF(Tasks[[#This Row],[Task Name]]="","",IF(Tasks[[#This Row],[_IsSummary]],SUM(INDEX(Tasks[_LeafEV],Tasks[[#This Row],[_Row]]+1):INDEX(Tasks[_LeafEV],Tasks[[#This Row],[_Row]]+Tasks[[#This Row],[_Descendants]])),Tasks[[#This Row],[_LeafEV]]))</f>
        <v/>
      </c>
      <c r="BH93" s="96" t="str">
        <f aca="false">IF(Tasks[[#This Row],[Task Name]]="","",IF(Tasks[[#This Row],[_IsSummary]],SUM(INDEX(Tasks[_LeafAC],Tasks[[#This Row],[_Row]]+1):INDEX(Tasks[_LeafAC],Tasks[[#This Row],[_Row]]+Tasks[[#This Row],[_Descendants]])),Tasks[[#This Row],[_LeafAC]]))</f>
        <v/>
      </c>
      <c r="BI93" s="41" t="str">
        <f aca="false">IF(Tasks[[#This Row],[Task Name]]="","",MAX(1,N(Tasks[[#This Row],[Level]])))</f>
        <v/>
      </c>
      <c r="BJ93" s="41" t="n">
        <f aca="false">ROW()-ROW(Tasks[[#Headers],[ID]])</f>
        <v>88</v>
      </c>
      <c r="BK93" s="41" t="n">
        <f aca="false">IF(OR(Tasks[[#This Row],[Task Name]]="",Tasks[[#This Row],[_Level]]&lt;=1),0,IFERROR(LOOKUP(2,1/(Tasks[[#Headers],[_Level]]:Tasks[[#This Row],[_Level]]=Tasks[[#This Row],[_Level]]-1),ROW(Tasks[[#Headers],[_Level]]:Tasks[[#This Row],[_Level]])),0))</f>
        <v>0</v>
      </c>
      <c r="BL93" s="41" t="n">
        <f aca="false">IFERROR(N(INDEX(Tasks[_Level],Tasks[[#This Row],[_Row]]+1)),0)</f>
        <v>0</v>
      </c>
      <c r="BM93" s="99" t="b">
        <f aca="false">AND(Tasks[[#This Row],[Task Name]]&lt;&gt;"",Tasks[[#This Row],[_NextLevel]]&gt;Tasks[[#This Row],[_Level]])</f>
        <v>0</v>
      </c>
      <c r="BN93" s="41" t="n">
        <f aca="false">IF(Tasks[[#This Row],[_IsSummary]],COUNTIF(Tasks[WBS],Tasks[[#This Row],[WBS]]&amp;".*"),0)</f>
        <v>0</v>
      </c>
      <c r="BO93" s="41" t="n">
        <f aca="false">IF(AND(Tasks[[#This Row],[Task Name]]&lt;&gt;"",NOT(Tasks[[#This Row],[_IsSummary]])),1,0)</f>
        <v>0</v>
      </c>
      <c r="BP93" s="41" t="n">
        <f aca="false">IF(N(Tasks[[#This Row],[Pred1 UID]])=0,0,IFERROR(MATCH(Tasks[[#This Row],[Pred1 UID]],Tasks[UID],0),-1))</f>
        <v>0</v>
      </c>
      <c r="BQ93" s="41" t="n">
        <f aca="false">IF(N(Tasks[[#This Row],[Pred2 UID]])=0,0,IFERROR(MATCH(Tasks[[#This Row],[Pred2 UID]],Tasks[UID],0),-1))</f>
        <v>0</v>
      </c>
      <c r="BR93"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93" s="100" t="str">
        <f aca="false">IF(NOT(Tasks[[#This Row],[_IsLeaf]]=1),"",IF(N(Tasks[[#This Row],[Duration]])&lt;=0,Tasks[[#This Row],[_LeafCalcStart]],WORKDAY.INTL(Tasks[[#This Row],[_LeafCalcStart]],Tasks[[#This Row],[Duration]]-1,WorkWeek,Holidays)))</f>
        <v/>
      </c>
      <c r="BT93"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93"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93" s="41" t="n">
        <f aca="false">IF(NOT(Tasks[[#This Row],[_IsLeaf]]=1),0,IF(N(Tasks[[#This Row],[Actual Finish]])&gt;0,1,MIN(1,N(Tasks[[#This Row],[% Complete]]))))</f>
        <v>0</v>
      </c>
      <c r="BW93" s="41" t="n">
        <f aca="false">IF(OR(NOT(Tasks[[#This Row],[_IsLeaf]]=1),Tasks[[#This Row],[Resource]]=""),0,N(Tasks[[#This Row],[Duration]])*HoursPerDay*IF(Tasks[[#This Row],[Units]]="",DefaultUnits,Tasks[[#This Row],[Units]]))</f>
        <v>0</v>
      </c>
      <c r="BX93" s="41" t="n">
        <f aca="false">IF(Tasks[[#This Row],[_LeafWork]]=0,0,Tasks[[#This Row],[_LeafWork]]*IFERROR(INDEX(res_Rate,MATCH(Tasks[[#This Row],[Resource]],res_Name,0)),0))</f>
        <v>0</v>
      </c>
      <c r="BY9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9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9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9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93" s="41" t="n">
        <f aca="false">IF(NOT(Tasks[[#This Row],[_IsLeaf]]=1),0,MAX(_xlfn.MAXIFS(Tasks[_Row],Tasks[Pred1 UID],Tasks[[#This Row],[UID]]),_xlfn.MAXIFS(Tasks[_Row],Tasks[Pred2 UID],Tasks[[#This Row],[UID]])))</f>
        <v>0</v>
      </c>
      <c r="CD93"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93" s="100" t="str">
        <f aca="false">IF(NOT(Tasks[[#This Row],[_IsLeaf]]=1),"",MIN(ProjectFinish,IF(N(Tasks[[#This Row],[Deadline]])&gt;0,Tasks[[#This Row],[Deadline]],2958465),Tasks[[#This Row],[_SuccessorFinishLimit]]))</f>
        <v/>
      </c>
      <c r="CF93" s="100" t="str">
        <f aca="false">IF(NOT(Tasks[[#This Row],[_IsLeaf]]=1),"",IF(N(Tasks[[#This Row],[Duration]])&lt;=0,Tasks[[#This Row],[_LeafLateFinish]],WORKDAY.INTL(Tasks[[#This Row],[_LeafLateFinish]],-(Tasks[[#This Row],[Duration]]-1),WorkWeek,Holidays)))</f>
        <v/>
      </c>
      <c r="CG9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93" s="99" t="b">
        <f aca="false">AND(Tasks[[#This Row],[_IsLeaf]]=1,Tasks[[#This Row],[_LeafProgress]]&lt;1,N(Tasks[[#This Row],[_LeafTotalSlack]])&lt;=CriticalSlackDays)</f>
        <v>0</v>
      </c>
      <c r="CI93" s="100" t="str">
        <f aca="false">IF(Tasks[[#This Row],[Task Name]]="","",IF(Tasks[[#This Row],[_IsSummary]],MIN(INDEX(Tasks[_LeafCalcStart],Tasks[[#This Row],[_Row]]+1):INDEX(Tasks[_LeafCalcStart],Tasks[[#This Row],[_Row]]+Tasks[[#This Row],[_Descendants]])),Tasks[[#This Row],[_LeafCalcStart]]))</f>
        <v/>
      </c>
      <c r="CJ93" s="100" t="str">
        <f aca="false">IF(Tasks[[#This Row],[Task Name]]="","",IF(Tasks[[#This Row],[_IsSummary]],MAX(INDEX(Tasks[_LeafCalcFinish],Tasks[[#This Row],[_Row]]+1):INDEX(Tasks[_LeafCalcFinish],Tasks[[#This Row],[_Row]]+Tasks[[#This Row],[_Descendants]])),Tasks[[#This Row],[_LeafCalcFinish]]))</f>
        <v/>
      </c>
      <c r="CK9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9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93"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93"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93"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93"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93" s="41" t="n">
        <f aca="false">IF(AND(Tasks[[#This Row],[_IsLeaf]]=1,Tasks[[#This Row],[_LeafWork]]&gt;0),NETWORKDAYS.INTL(ProjectStart,Tasks[[#This Row],[_LeafFcstStart]],WorkWeek,Holidays),0)</f>
        <v>0</v>
      </c>
      <c r="CR93" s="41" t="n">
        <f aca="false">IF(AND(Tasks[[#This Row],[_IsLeaf]]=1,Tasks[[#This Row],[_LeafWork]]&gt;0),MAX(Tasks[[#This Row],[_StartWorkday]],NETWORKDAYS.INTL(ProjectStart,Tasks[[#This Row],[_LeafFcstFinish]],WorkWeek,Holidays)),0)</f>
        <v>0</v>
      </c>
      <c r="CS93" s="41" t="n">
        <f aca="false">IF(AND(Tasks[[#This Row],[_IsLeaf]]=1,Tasks[[#This Row],[_LeafWork]]&gt;0),Tasks[[#This Row],[_LeafWork]]/(Tasks[[#This Row],[_FinishWorkday]]-Tasks[[#This Row],[_StartWorkday]]+1),0)</f>
        <v>0</v>
      </c>
      <c r="CT93" s="41" t="n">
        <f aca="false">Tasks[[#This Row],[_WorkPerWorkday]]*(Tasks[[#This Row],[_StartWorkday]]-1)</f>
        <v>-0</v>
      </c>
      <c r="CU93" s="41" t="n">
        <f aca="false">IF(Tasks[[#This Row],[_IsLeaf]]=1,MAX(N(Tasks[[#This Row],[Duration]]),0.1),0)</f>
        <v>0</v>
      </c>
      <c r="CV93" s="41" t="n">
        <f aca="false">Tasks[[#This Row],[_WeightDur]]*Tasks[[#This Row],[_LeafProgress]]</f>
        <v>0</v>
      </c>
      <c r="CW9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9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9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9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93" s="41" t="str">
        <f aca="false">IF(Tasks[[#This Row],[Task Name]]="","",Tasks[[#This Row],[_Pred1UIDText]]&amp;IF(AND(Tasks[[#This Row],[_Pred1UIDText]]&lt;&gt;"",Tasks[[#This Row],[_Pred2UIDText]]&lt;&gt;""),",","")&amp;Tasks[[#This Row],[_Pred2UIDText]])</f>
        <v/>
      </c>
      <c r="DB93" s="41" t="str">
        <f aca="false">IF(AND(Tasks[[#This Row],[_IsLeaf]]=1,N(Tasks[[#This Row],[Duration]])=0,Tasks[[#This Row],[_LeafProgress]]&lt;1),Tasks[[#This Row],[_LeafFcstFinish]]+Tasks[[#This Row],[_Row]]/100000,"")</f>
        <v/>
      </c>
      <c r="DC9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93" s="41" t="n">
        <f aca="false">IF(NOT(Tasks[[#This Row],[_IsLeaf]]=1),0,IF(Tasks[[#This Row],[Baseline Cost]]="",Tasks[[#This Row],[_LeafCost]],N(Tasks[[#This Row],[Baseline Cost]])))</f>
        <v>0</v>
      </c>
      <c r="DE93" s="41" t="n">
        <f aca="false">Tasks[[#This Row],[_LeafBudget]]*Tasks[[#This Row],[_PlannedPct]]</f>
        <v>0</v>
      </c>
      <c r="DF93" s="41" t="n">
        <f aca="false">Tasks[[#This Row],[_LeafBudget]]*Tasks[[#This Row],[_LeafProgress]]</f>
        <v>0</v>
      </c>
      <c r="DG93" s="41" t="n">
        <f aca="false">IF(NOT(Tasks[[#This Row],[_IsLeaf]]=1),0,IF(Tasks[[#This Row],[Actual Cost]]="",Tasks[[#This Row],[_LeafCost]]*Tasks[[#This Row],[_LeafProgress]],N(Tasks[[#This Row],[Actual Cost]])))</f>
        <v>0</v>
      </c>
      <c r="DH93" s="41" t="str">
        <f aca="false">IF(Tasks[[#This Row],[Task Name]]="","",LEFT(Tasks[[#This Row],[WBS]],FIND(".",Tasks[[#This Row],[WBS]]&amp;".")-1))</f>
        <v/>
      </c>
      <c r="DI93" s="41" t="str">
        <f aca="false">IF(AND(Tasks[[#This Row],[Task Name]]&lt;&gt;"",Tasks[[#This Row],[_Level]]=1),Tasks[[#This Row],[_Row]],"")</f>
        <v/>
      </c>
      <c r="DJ93" s="41" t="str">
        <f aca="false">IF(AND(Tasks[[#This Row],[_IsLeaf]]=1,N(Tasks[[#This Row],[Duration]])=0),Tasks[[#This Row],[Planned Finish]]+Tasks[[#This Row],[_Row]]/100000,"")</f>
        <v/>
      </c>
      <c r="DK93" s="41" t="str">
        <f aca="false">IF(AND(Tasks[[#This Row],[_IsLeaf]]=1,Tasks[[#This Row],[_LeafProgress]]&lt;1,OR(N(Tasks[[#This Row],[Finish Var]])&gt;0,Tasks[[#This Row],[Status]]="Late Start")),MAX(0,Tasks[[#This Row],[Finish Var]])+1-Tasks[[#This Row],[_Row]]/1000000,"")</f>
        <v/>
      </c>
      <c r="DL93" s="41" t="str">
        <f aca="false">IF(AND(Tasks[[#This Row],[_IsLeaf]]=1,N(Tasks[[#This Row],[Actual Start]])=0,Tasks[[#This Row],[_LeafFcstStart]]&gt;=StatusDate,Tasks[[#This Row],[_LeafFcstStart]]&lt;=LookaheadEnd),Tasks[[#This Row],[_LeafFcstStart]]+Tasks[[#This Row],[_Row]]/100000,"")</f>
        <v/>
      </c>
      <c r="DM93" s="41" t="str">
        <f aca="false">IF(AND(Tasks[[#This Row],[_IsLeaf]]=1,Tasks[[#This Row],[_LeafProgress]]&lt;1,Tasks[[#This Row],[_LeafFcstFinish]]&gt;=StatusDate,Tasks[[#This Row],[_LeafFcstFinish]]&lt;=LookaheadEnd),Tasks[[#This Row],[_LeafFcstFinish]]+Tasks[[#This Row],[_Row]]/100000,"")</f>
        <v/>
      </c>
      <c r="DN93" s="41" t="str">
        <f aca="false">IF(Tasks[[#This Row],[_LeafCritical]],Tasks[[#This Row],[_LeafFcstStart]]+Tasks[[#This Row],[_Row]]/100000,"")</f>
        <v/>
      </c>
      <c r="DO93" s="41" t="n">
        <f aca="false">Tasks[[#This Row],[_LeafWork]]*Tasks[[#This Row],[_LeafProgress]]</f>
        <v>0</v>
      </c>
      <c r="DP93" s="100" t="str">
        <f aca="false">IF(AND(Tasks[[#This Row],[_IsLeaf]]=1,Tasks[[#This Row],[_LeafProgress]]&gt;=1),IF(N(Tasks[[#This Row],[Actual Finish]])&gt;0,Tasks[[#This Row],[Actual Finish]],Tasks[[#This Row],[_LeafFcstFinish]]),"")</f>
        <v/>
      </c>
      <c r="DQ93" s="41" t="n">
        <f aca="false">IF(Tasks[[#This Row],[_IsLeaf]]=1,N(Tasks[[#This Row],[Story Points]]),0)</f>
        <v>0</v>
      </c>
      <c r="DR93" s="41" t="str">
        <f aca="false">IF(AND(Tasks[[#This Row],[_IsLeaf]]=1,CurrentSprint&lt;&gt;"",Tasks[[#This Row],[Sprint]]=CurrentSprint),Tasks[[#This Row],[_Row]],"")</f>
        <v/>
      </c>
    </row>
    <row r="94" customFormat="false" ht="15" hidden="false" customHeight="false" outlineLevel="0" collapsed="false">
      <c r="A94" s="28" t="str">
        <f aca="false">IF(Tasks[[#This Row],[Task Name]]="","",COUNTA(Tasks[[#Headers],[Task Name]]:Tasks[[#This Row],[Task Name]])-1)</f>
        <v/>
      </c>
      <c r="B94" s="29" t="n">
        <v>89</v>
      </c>
      <c r="C9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4" s="29"/>
      <c r="E94" s="30"/>
      <c r="F94" s="29"/>
      <c r="G94" s="29"/>
      <c r="H94" s="29"/>
      <c r="I94" s="29"/>
      <c r="J94" s="29"/>
      <c r="K94" s="29"/>
      <c r="L94" s="29"/>
      <c r="M94" s="29"/>
      <c r="N94" s="73"/>
      <c r="O94" s="73"/>
      <c r="P94" s="25" t="str">
        <f aca="false">IF(Tasks[[#This Row],[Task Name]]="","",IF(N(Tasks[[#This Row],[Baseline Start]])&gt;0,Tasks[[#This Row],[Baseline Start]],Tasks[[#This Row],[_CalcStart]]))</f>
        <v/>
      </c>
      <c r="Q94" s="25" t="str">
        <f aca="false">IF(Tasks[[#This Row],[Task Name]]="","",IF(N(Tasks[[#This Row],[Baseline Finish]])&gt;0,Tasks[[#This Row],[Baseline Finish]],Tasks[[#This Row],[_CalcFinish]]))</f>
        <v/>
      </c>
      <c r="R94" s="73"/>
      <c r="S94" s="73"/>
      <c r="T94" s="25" t="str">
        <f aca="false">IF(Tasks[[#This Row],[Task Name]]="","",IF(Tasks[[#This Row],[_IsSummary]],MIN(INDEX(Tasks[_LeafFcstStart],Tasks[[#This Row],[_Row]]+1):INDEX(Tasks[_LeafFcstStart],Tasks[[#This Row],[_Row]]+Tasks[[#This Row],[_Descendants]])),Tasks[[#This Row],[_LeafFcstStart]]))</f>
        <v/>
      </c>
      <c r="U94" s="25" t="str">
        <f aca="false">IF(Tasks[[#This Row],[Task Name]]="","",IF(Tasks[[#This Row],[_IsSummary]],MAX(INDEX(Tasks[_LeafFcstFinish],Tasks[[#This Row],[_Row]]+1):INDEX(Tasks[_LeafFcstFinish],Tasks[[#This Row],[_Row]]+Tasks[[#This Row],[_Descendants]])),Tasks[[#This Row],[_LeafFcstFinish]]))</f>
        <v/>
      </c>
      <c r="V9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9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4" s="25" t="str">
        <f aca="false">IF(Tasks[[#This Row],[Task Name]]="","",IF(Tasks[[#This Row],[_IsSummary]],MIN(INDEX(Tasks[_LeafLateStart],Tasks[[#This Row],[_Row]]+1):INDEX(Tasks[_LeafLateStart],Tasks[[#This Row],[_Row]]+Tasks[[#This Row],[_Descendants]])),Tasks[[#This Row],[_LeafLateStart]]))</f>
        <v/>
      </c>
      <c r="Y94" s="25" t="str">
        <f aca="false">IF(Tasks[[#This Row],[Task Name]]="","",IF(Tasks[[#This Row],[_IsSummary]],MAX(INDEX(Tasks[_LeafLateFinish],Tasks[[#This Row],[_Row]]+1):INDEX(Tasks[_LeafLateFinish],Tasks[[#This Row],[_Row]]+Tasks[[#This Row],[_Descendants]])),Tasks[[#This Row],[_LeafLateFinish]]))</f>
        <v/>
      </c>
      <c r="Z94" s="43" t="str">
        <f aca="false">IF(Tasks[[#This Row],[Task Name]]="","",IF(Tasks[[#This Row],[_IsSummary]],MIN(INDEX(Tasks[_LeafTotalSlack],Tasks[[#This Row],[_Row]]+1):INDEX(Tasks[_LeafTotalSlack],Tasks[[#This Row],[_Row]]+Tasks[[#This Row],[_Descendants]])),Tasks[[#This Row],[_LeafTotalSlack]]))</f>
        <v/>
      </c>
      <c r="AA9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4" s="28" t="str">
        <f aca="false">IF(Tasks[[#This Row],[Task Name]]="","",IF(IF(Tasks[[#This Row],[_IsSummary]],COUNTIF(INDEX(Tasks[_LeafCritical],Tasks[[#This Row],[_Row]]+1):INDEX(Tasks[_LeafCritical],Tasks[[#This Row],[_Row]]+Tasks[[#This Row],[_Descendants]]),TRUE())&gt;0,Tasks[[#This Row],[_LeafCritical]]),"Yes",""))</f>
        <v/>
      </c>
      <c r="AC9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4" s="24" t="str">
        <f aca="false">IF(Tasks[[#This Row],[Task Name]]="","",TRIM(IF(Tasks[[#This Row],[_Pred1Problem]]&lt;&gt;"","Pred 1: "&amp;Tasks[[#This Row],[_Pred1Problem]]&amp;". ","")&amp;IF(Tasks[[#This Row],[_Pred2Problem]]&lt;&gt;"","Pred 2: "&amp;Tasks[[#This Row],[_Pred2Problem]]&amp;".","")))</f>
        <v/>
      </c>
      <c r="AE94" s="88"/>
      <c r="AF94"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4" s="28" t="str">
        <f aca="false">IF(Tasks[[#This Row],[Task Name]]="","",IF(Tasks[[#This Row],[Progress]]&gt;=1,"Complete",IF(OR(N(Tasks[[#This Row],[Actual Start]])&gt;0,Tasks[[#This Row],[Progress]]&gt;0),IF(Tasks[[#This Row],[Finish Var]]&gt;0,"Behind","In Progress"),IF(Tasks[[#This Row],[Planned Start]]&lt;StatusDate,"Late Start","Not Started"))))</f>
        <v/>
      </c>
      <c r="AH94" s="30"/>
      <c r="AI94" s="88"/>
      <c r="AJ94" s="95" t="str">
        <f aca="false">IF(Tasks[[#This Row],[Task Name]]="","",IF(Tasks[[#This Row],[_IsSummary]],SUM(INDEX(Tasks[_LeafWork],Tasks[[#This Row],[_Row]]+1):INDEX(Tasks[_LeafWork],Tasks[[#This Row],[_Row]]+Tasks[[#This Row],[_Descendants]])),Tasks[[#This Row],[_LeafWork]]))</f>
        <v/>
      </c>
      <c r="AK94" s="96" t="str">
        <f aca="false">IF(Tasks[[#This Row],[Task Name]]="","",IF(Tasks[[#This Row],[_IsSummary]],SUM(INDEX(Tasks[_LeafCost],Tasks[[#This Row],[_Row]]+1):INDEX(Tasks[_LeafCost],Tasks[[#This Row],[_Row]]+Tasks[[#This Row],[_Descendants]])),Tasks[[#This Row],[_LeafCost]]))</f>
        <v/>
      </c>
      <c r="AL94" s="97"/>
      <c r="AM94" s="29"/>
      <c r="AN9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94" s="82"/>
      <c r="AP94" s="24" t="str">
        <f aca="false">IF(Tasks[[#This Row],[Task Name]]="","",Tasks[[#This Row],[_Pred1IDText]]&amp;IF(AND(Tasks[[#This Row],[_Pred1IDText]]&lt;&gt;"",Tasks[[#This Row],[_Pred2IDText]]&lt;&gt;""),",","")&amp;Tasks[[#This Row],[_Pred2IDText]])</f>
        <v/>
      </c>
      <c r="AQ94" s="30"/>
      <c r="AR94" s="25" t="str">
        <f aca="false">IF(Tasks[[#This Row],[Task Name]]="","",Tasks[[#This Row],[Forecast Start]])</f>
        <v/>
      </c>
      <c r="AS94" s="25" t="str">
        <f aca="false">IF(Tasks[[#This Row],[Task Name]]="","",Tasks[[#This Row],[Forecast Finish]])</f>
        <v/>
      </c>
      <c r="AT94" s="28" t="str">
        <f aca="false">IF(Tasks[[#This Row],[Task Name]]="","",IF(Tasks[[#This Row],[_IsSummary]],NETWORKDAYS.INTL(Tasks[[#This Row],[Forecast Start]],Tasks[[#This Row],[Forecast Finish]],WorkWeek,Holidays),N(Tasks[[#This Row],[Duration]])))</f>
        <v/>
      </c>
      <c r="AU94" s="95" t="str">
        <f aca="false">IF(Tasks[[#This Row],[Task Name]]="","",Tasks[[#This Row],[Work]])</f>
        <v/>
      </c>
      <c r="AV94" s="96" t="str">
        <f aca="false">IF(Tasks[[#This Row],[Task Name]]="","",Tasks[[#This Row],[Cost]])</f>
        <v/>
      </c>
      <c r="AW94" s="73"/>
      <c r="AX94" s="73"/>
      <c r="AY94" s="29"/>
      <c r="AZ94" s="98"/>
      <c r="BA94" s="97"/>
      <c r="BB94" s="28" t="str">
        <f aca="false">IF(OR(Tasks[[#This Row],[Task Name]]="",Tasks[[#This Row],[Baseline Duration]]=""),"",Tasks[[#This Row],[BL Source Duration]]-N(Tasks[[#This Row],[Baseline Duration]]))</f>
        <v/>
      </c>
      <c r="BC94" s="95" t="str">
        <f aca="false">IF(OR(Tasks[[#This Row],[Task Name]]="",Tasks[[#This Row],[Baseline Work]]=""),"",Tasks[[#This Row],[Work]]-N(Tasks[[#This Row],[Baseline Work]]))</f>
        <v/>
      </c>
      <c r="BD94" s="96" t="str">
        <f aca="false">IF(OR(Tasks[[#This Row],[Task Name]]="",Tasks[[#This Row],[Baseline Cost]]=""),"",Tasks[[#This Row],[Cost]]-N(Tasks[[#This Row],[Baseline Cost]]))</f>
        <v/>
      </c>
      <c r="BE94" s="96" t="str">
        <f aca="false">IF(Tasks[[#This Row],[Task Name]]="","",IF(Tasks[[#This Row],[_IsSummary]],SUM(INDEX(Tasks[_LeafBudget],Tasks[[#This Row],[_Row]]+1):INDEX(Tasks[_LeafBudget],Tasks[[#This Row],[_Row]]+Tasks[[#This Row],[_Descendants]])),Tasks[[#This Row],[_LeafBudget]]))</f>
        <v/>
      </c>
      <c r="BF94" s="96" t="str">
        <f aca="false">IF(Tasks[[#This Row],[Task Name]]="","",IF(Tasks[[#This Row],[_IsSummary]],SUM(INDEX(Tasks[_LeafPV],Tasks[[#This Row],[_Row]]+1):INDEX(Tasks[_LeafPV],Tasks[[#This Row],[_Row]]+Tasks[[#This Row],[_Descendants]])),Tasks[[#This Row],[_LeafPV]]))</f>
        <v/>
      </c>
      <c r="BG94" s="96" t="str">
        <f aca="false">IF(Tasks[[#This Row],[Task Name]]="","",IF(Tasks[[#This Row],[_IsSummary]],SUM(INDEX(Tasks[_LeafEV],Tasks[[#This Row],[_Row]]+1):INDEX(Tasks[_LeafEV],Tasks[[#This Row],[_Row]]+Tasks[[#This Row],[_Descendants]])),Tasks[[#This Row],[_LeafEV]]))</f>
        <v/>
      </c>
      <c r="BH94" s="96" t="str">
        <f aca="false">IF(Tasks[[#This Row],[Task Name]]="","",IF(Tasks[[#This Row],[_IsSummary]],SUM(INDEX(Tasks[_LeafAC],Tasks[[#This Row],[_Row]]+1):INDEX(Tasks[_LeafAC],Tasks[[#This Row],[_Row]]+Tasks[[#This Row],[_Descendants]])),Tasks[[#This Row],[_LeafAC]]))</f>
        <v/>
      </c>
      <c r="BI94" s="41" t="str">
        <f aca="false">IF(Tasks[[#This Row],[Task Name]]="","",MAX(1,N(Tasks[[#This Row],[Level]])))</f>
        <v/>
      </c>
      <c r="BJ94" s="41" t="n">
        <f aca="false">ROW()-ROW(Tasks[[#Headers],[ID]])</f>
        <v>89</v>
      </c>
      <c r="BK94" s="41" t="n">
        <f aca="false">IF(OR(Tasks[[#This Row],[Task Name]]="",Tasks[[#This Row],[_Level]]&lt;=1),0,IFERROR(LOOKUP(2,1/(Tasks[[#Headers],[_Level]]:Tasks[[#This Row],[_Level]]=Tasks[[#This Row],[_Level]]-1),ROW(Tasks[[#Headers],[_Level]]:Tasks[[#This Row],[_Level]])),0))</f>
        <v>0</v>
      </c>
      <c r="BL94" s="41" t="n">
        <f aca="false">IFERROR(N(INDEX(Tasks[_Level],Tasks[[#This Row],[_Row]]+1)),0)</f>
        <v>0</v>
      </c>
      <c r="BM94" s="99" t="b">
        <f aca="false">AND(Tasks[[#This Row],[Task Name]]&lt;&gt;"",Tasks[[#This Row],[_NextLevel]]&gt;Tasks[[#This Row],[_Level]])</f>
        <v>0</v>
      </c>
      <c r="BN94" s="41" t="n">
        <f aca="false">IF(Tasks[[#This Row],[_IsSummary]],COUNTIF(Tasks[WBS],Tasks[[#This Row],[WBS]]&amp;".*"),0)</f>
        <v>0</v>
      </c>
      <c r="BO94" s="41" t="n">
        <f aca="false">IF(AND(Tasks[[#This Row],[Task Name]]&lt;&gt;"",NOT(Tasks[[#This Row],[_IsSummary]])),1,0)</f>
        <v>0</v>
      </c>
      <c r="BP94" s="41" t="n">
        <f aca="false">IF(N(Tasks[[#This Row],[Pred1 UID]])=0,0,IFERROR(MATCH(Tasks[[#This Row],[Pred1 UID]],Tasks[UID],0),-1))</f>
        <v>0</v>
      </c>
      <c r="BQ94" s="41" t="n">
        <f aca="false">IF(N(Tasks[[#This Row],[Pred2 UID]])=0,0,IFERROR(MATCH(Tasks[[#This Row],[Pred2 UID]],Tasks[UID],0),-1))</f>
        <v>0</v>
      </c>
      <c r="BR94"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94" s="100" t="str">
        <f aca="false">IF(NOT(Tasks[[#This Row],[_IsLeaf]]=1),"",IF(N(Tasks[[#This Row],[Duration]])&lt;=0,Tasks[[#This Row],[_LeafCalcStart]],WORKDAY.INTL(Tasks[[#This Row],[_LeafCalcStart]],Tasks[[#This Row],[Duration]]-1,WorkWeek,Holidays)))</f>
        <v/>
      </c>
      <c r="BT94"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94"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94" s="41" t="n">
        <f aca="false">IF(NOT(Tasks[[#This Row],[_IsLeaf]]=1),0,IF(N(Tasks[[#This Row],[Actual Finish]])&gt;0,1,MIN(1,N(Tasks[[#This Row],[% Complete]]))))</f>
        <v>0</v>
      </c>
      <c r="BW94" s="41" t="n">
        <f aca="false">IF(OR(NOT(Tasks[[#This Row],[_IsLeaf]]=1),Tasks[[#This Row],[Resource]]=""),0,N(Tasks[[#This Row],[Duration]])*HoursPerDay*IF(Tasks[[#This Row],[Units]]="",DefaultUnits,Tasks[[#This Row],[Units]]))</f>
        <v>0</v>
      </c>
      <c r="BX94" s="41" t="n">
        <f aca="false">IF(Tasks[[#This Row],[_LeafWork]]=0,0,Tasks[[#This Row],[_LeafWork]]*IFERROR(INDEX(res_Rate,MATCH(Tasks[[#This Row],[Resource]],res_Name,0)),0))</f>
        <v>0</v>
      </c>
      <c r="BY9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9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9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9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94" s="41" t="n">
        <f aca="false">IF(NOT(Tasks[[#This Row],[_IsLeaf]]=1),0,MAX(_xlfn.MAXIFS(Tasks[_Row],Tasks[Pred1 UID],Tasks[[#This Row],[UID]]),_xlfn.MAXIFS(Tasks[_Row],Tasks[Pred2 UID],Tasks[[#This Row],[UID]])))</f>
        <v>0</v>
      </c>
      <c r="CD94"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94" s="100" t="str">
        <f aca="false">IF(NOT(Tasks[[#This Row],[_IsLeaf]]=1),"",MIN(ProjectFinish,IF(N(Tasks[[#This Row],[Deadline]])&gt;0,Tasks[[#This Row],[Deadline]],2958465),Tasks[[#This Row],[_SuccessorFinishLimit]]))</f>
        <v/>
      </c>
      <c r="CF94" s="100" t="str">
        <f aca="false">IF(NOT(Tasks[[#This Row],[_IsLeaf]]=1),"",IF(N(Tasks[[#This Row],[Duration]])&lt;=0,Tasks[[#This Row],[_LeafLateFinish]],WORKDAY.INTL(Tasks[[#This Row],[_LeafLateFinish]],-(Tasks[[#This Row],[Duration]]-1),WorkWeek,Holidays)))</f>
        <v/>
      </c>
      <c r="CG9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94" s="99" t="b">
        <f aca="false">AND(Tasks[[#This Row],[_IsLeaf]]=1,Tasks[[#This Row],[_LeafProgress]]&lt;1,N(Tasks[[#This Row],[_LeafTotalSlack]])&lt;=CriticalSlackDays)</f>
        <v>0</v>
      </c>
      <c r="CI94" s="100" t="str">
        <f aca="false">IF(Tasks[[#This Row],[Task Name]]="","",IF(Tasks[[#This Row],[_IsSummary]],MIN(INDEX(Tasks[_LeafCalcStart],Tasks[[#This Row],[_Row]]+1):INDEX(Tasks[_LeafCalcStart],Tasks[[#This Row],[_Row]]+Tasks[[#This Row],[_Descendants]])),Tasks[[#This Row],[_LeafCalcStart]]))</f>
        <v/>
      </c>
      <c r="CJ94" s="100" t="str">
        <f aca="false">IF(Tasks[[#This Row],[Task Name]]="","",IF(Tasks[[#This Row],[_IsSummary]],MAX(INDEX(Tasks[_LeafCalcFinish],Tasks[[#This Row],[_Row]]+1):INDEX(Tasks[_LeafCalcFinish],Tasks[[#This Row],[_Row]]+Tasks[[#This Row],[_Descendants]])),Tasks[[#This Row],[_LeafCalcFinish]]))</f>
        <v/>
      </c>
      <c r="CK9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9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94"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94"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94"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94"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94" s="41" t="n">
        <f aca="false">IF(AND(Tasks[[#This Row],[_IsLeaf]]=1,Tasks[[#This Row],[_LeafWork]]&gt;0),NETWORKDAYS.INTL(ProjectStart,Tasks[[#This Row],[_LeafFcstStart]],WorkWeek,Holidays),0)</f>
        <v>0</v>
      </c>
      <c r="CR94" s="41" t="n">
        <f aca="false">IF(AND(Tasks[[#This Row],[_IsLeaf]]=1,Tasks[[#This Row],[_LeafWork]]&gt;0),MAX(Tasks[[#This Row],[_StartWorkday]],NETWORKDAYS.INTL(ProjectStart,Tasks[[#This Row],[_LeafFcstFinish]],WorkWeek,Holidays)),0)</f>
        <v>0</v>
      </c>
      <c r="CS94" s="41" t="n">
        <f aca="false">IF(AND(Tasks[[#This Row],[_IsLeaf]]=1,Tasks[[#This Row],[_LeafWork]]&gt;0),Tasks[[#This Row],[_LeafWork]]/(Tasks[[#This Row],[_FinishWorkday]]-Tasks[[#This Row],[_StartWorkday]]+1),0)</f>
        <v>0</v>
      </c>
      <c r="CT94" s="41" t="n">
        <f aca="false">Tasks[[#This Row],[_WorkPerWorkday]]*(Tasks[[#This Row],[_StartWorkday]]-1)</f>
        <v>-0</v>
      </c>
      <c r="CU94" s="41" t="n">
        <f aca="false">IF(Tasks[[#This Row],[_IsLeaf]]=1,MAX(N(Tasks[[#This Row],[Duration]]),0.1),0)</f>
        <v>0</v>
      </c>
      <c r="CV94" s="41" t="n">
        <f aca="false">Tasks[[#This Row],[_WeightDur]]*Tasks[[#This Row],[_LeafProgress]]</f>
        <v>0</v>
      </c>
      <c r="CW9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9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9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9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94" s="41" t="str">
        <f aca="false">IF(Tasks[[#This Row],[Task Name]]="","",Tasks[[#This Row],[_Pred1UIDText]]&amp;IF(AND(Tasks[[#This Row],[_Pred1UIDText]]&lt;&gt;"",Tasks[[#This Row],[_Pred2UIDText]]&lt;&gt;""),",","")&amp;Tasks[[#This Row],[_Pred2UIDText]])</f>
        <v/>
      </c>
      <c r="DB94" s="41" t="str">
        <f aca="false">IF(AND(Tasks[[#This Row],[_IsLeaf]]=1,N(Tasks[[#This Row],[Duration]])=0,Tasks[[#This Row],[_LeafProgress]]&lt;1),Tasks[[#This Row],[_LeafFcstFinish]]+Tasks[[#This Row],[_Row]]/100000,"")</f>
        <v/>
      </c>
      <c r="DC9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94" s="41" t="n">
        <f aca="false">IF(NOT(Tasks[[#This Row],[_IsLeaf]]=1),0,IF(Tasks[[#This Row],[Baseline Cost]]="",Tasks[[#This Row],[_LeafCost]],N(Tasks[[#This Row],[Baseline Cost]])))</f>
        <v>0</v>
      </c>
      <c r="DE94" s="41" t="n">
        <f aca="false">Tasks[[#This Row],[_LeafBudget]]*Tasks[[#This Row],[_PlannedPct]]</f>
        <v>0</v>
      </c>
      <c r="DF94" s="41" t="n">
        <f aca="false">Tasks[[#This Row],[_LeafBudget]]*Tasks[[#This Row],[_LeafProgress]]</f>
        <v>0</v>
      </c>
      <c r="DG94" s="41" t="n">
        <f aca="false">IF(NOT(Tasks[[#This Row],[_IsLeaf]]=1),0,IF(Tasks[[#This Row],[Actual Cost]]="",Tasks[[#This Row],[_LeafCost]]*Tasks[[#This Row],[_LeafProgress]],N(Tasks[[#This Row],[Actual Cost]])))</f>
        <v>0</v>
      </c>
      <c r="DH94" s="41" t="str">
        <f aca="false">IF(Tasks[[#This Row],[Task Name]]="","",LEFT(Tasks[[#This Row],[WBS]],FIND(".",Tasks[[#This Row],[WBS]]&amp;".")-1))</f>
        <v/>
      </c>
      <c r="DI94" s="41" t="str">
        <f aca="false">IF(AND(Tasks[[#This Row],[Task Name]]&lt;&gt;"",Tasks[[#This Row],[_Level]]=1),Tasks[[#This Row],[_Row]],"")</f>
        <v/>
      </c>
      <c r="DJ94" s="41" t="str">
        <f aca="false">IF(AND(Tasks[[#This Row],[_IsLeaf]]=1,N(Tasks[[#This Row],[Duration]])=0),Tasks[[#This Row],[Planned Finish]]+Tasks[[#This Row],[_Row]]/100000,"")</f>
        <v/>
      </c>
      <c r="DK94" s="41" t="str">
        <f aca="false">IF(AND(Tasks[[#This Row],[_IsLeaf]]=1,Tasks[[#This Row],[_LeafProgress]]&lt;1,OR(N(Tasks[[#This Row],[Finish Var]])&gt;0,Tasks[[#This Row],[Status]]="Late Start")),MAX(0,Tasks[[#This Row],[Finish Var]])+1-Tasks[[#This Row],[_Row]]/1000000,"")</f>
        <v/>
      </c>
      <c r="DL94" s="41" t="str">
        <f aca="false">IF(AND(Tasks[[#This Row],[_IsLeaf]]=1,N(Tasks[[#This Row],[Actual Start]])=0,Tasks[[#This Row],[_LeafFcstStart]]&gt;=StatusDate,Tasks[[#This Row],[_LeafFcstStart]]&lt;=LookaheadEnd),Tasks[[#This Row],[_LeafFcstStart]]+Tasks[[#This Row],[_Row]]/100000,"")</f>
        <v/>
      </c>
      <c r="DM94" s="41" t="str">
        <f aca="false">IF(AND(Tasks[[#This Row],[_IsLeaf]]=1,Tasks[[#This Row],[_LeafProgress]]&lt;1,Tasks[[#This Row],[_LeafFcstFinish]]&gt;=StatusDate,Tasks[[#This Row],[_LeafFcstFinish]]&lt;=LookaheadEnd),Tasks[[#This Row],[_LeafFcstFinish]]+Tasks[[#This Row],[_Row]]/100000,"")</f>
        <v/>
      </c>
      <c r="DN94" s="41" t="str">
        <f aca="false">IF(Tasks[[#This Row],[_LeafCritical]],Tasks[[#This Row],[_LeafFcstStart]]+Tasks[[#This Row],[_Row]]/100000,"")</f>
        <v/>
      </c>
      <c r="DO94" s="41" t="n">
        <f aca="false">Tasks[[#This Row],[_LeafWork]]*Tasks[[#This Row],[_LeafProgress]]</f>
        <v>0</v>
      </c>
      <c r="DP94" s="100" t="str">
        <f aca="false">IF(AND(Tasks[[#This Row],[_IsLeaf]]=1,Tasks[[#This Row],[_LeafProgress]]&gt;=1),IF(N(Tasks[[#This Row],[Actual Finish]])&gt;0,Tasks[[#This Row],[Actual Finish]],Tasks[[#This Row],[_LeafFcstFinish]]),"")</f>
        <v/>
      </c>
      <c r="DQ94" s="41" t="n">
        <f aca="false">IF(Tasks[[#This Row],[_IsLeaf]]=1,N(Tasks[[#This Row],[Story Points]]),0)</f>
        <v>0</v>
      </c>
      <c r="DR94" s="41" t="str">
        <f aca="false">IF(AND(Tasks[[#This Row],[_IsLeaf]]=1,CurrentSprint&lt;&gt;"",Tasks[[#This Row],[Sprint]]=CurrentSprint),Tasks[[#This Row],[_Row]],"")</f>
        <v/>
      </c>
    </row>
    <row r="95" customFormat="false" ht="15" hidden="false" customHeight="false" outlineLevel="0" collapsed="false">
      <c r="A95" s="28" t="str">
        <f aca="false">IF(Tasks[[#This Row],[Task Name]]="","",COUNTA(Tasks[[#Headers],[Task Name]]:Tasks[[#This Row],[Task Name]])-1)</f>
        <v/>
      </c>
      <c r="B95" s="29" t="n">
        <v>90</v>
      </c>
      <c r="C9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5" s="29"/>
      <c r="E95" s="30"/>
      <c r="F95" s="29"/>
      <c r="G95" s="29"/>
      <c r="H95" s="29"/>
      <c r="I95" s="29"/>
      <c r="J95" s="29"/>
      <c r="K95" s="29"/>
      <c r="L95" s="29"/>
      <c r="M95" s="29"/>
      <c r="N95" s="73"/>
      <c r="O95" s="73"/>
      <c r="P95" s="25" t="str">
        <f aca="false">IF(Tasks[[#This Row],[Task Name]]="","",IF(N(Tasks[[#This Row],[Baseline Start]])&gt;0,Tasks[[#This Row],[Baseline Start]],Tasks[[#This Row],[_CalcStart]]))</f>
        <v/>
      </c>
      <c r="Q95" s="25" t="str">
        <f aca="false">IF(Tasks[[#This Row],[Task Name]]="","",IF(N(Tasks[[#This Row],[Baseline Finish]])&gt;0,Tasks[[#This Row],[Baseline Finish]],Tasks[[#This Row],[_CalcFinish]]))</f>
        <v/>
      </c>
      <c r="R95" s="73"/>
      <c r="S95" s="73"/>
      <c r="T95" s="25" t="str">
        <f aca="false">IF(Tasks[[#This Row],[Task Name]]="","",IF(Tasks[[#This Row],[_IsSummary]],MIN(INDEX(Tasks[_LeafFcstStart],Tasks[[#This Row],[_Row]]+1):INDEX(Tasks[_LeafFcstStart],Tasks[[#This Row],[_Row]]+Tasks[[#This Row],[_Descendants]])),Tasks[[#This Row],[_LeafFcstStart]]))</f>
        <v/>
      </c>
      <c r="U95" s="25" t="str">
        <f aca="false">IF(Tasks[[#This Row],[Task Name]]="","",IF(Tasks[[#This Row],[_IsSummary]],MAX(INDEX(Tasks[_LeafFcstFinish],Tasks[[#This Row],[_Row]]+1):INDEX(Tasks[_LeafFcstFinish],Tasks[[#This Row],[_Row]]+Tasks[[#This Row],[_Descendants]])),Tasks[[#This Row],[_LeafFcstFinish]]))</f>
        <v/>
      </c>
      <c r="V9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9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5" s="25" t="str">
        <f aca="false">IF(Tasks[[#This Row],[Task Name]]="","",IF(Tasks[[#This Row],[_IsSummary]],MIN(INDEX(Tasks[_LeafLateStart],Tasks[[#This Row],[_Row]]+1):INDEX(Tasks[_LeafLateStart],Tasks[[#This Row],[_Row]]+Tasks[[#This Row],[_Descendants]])),Tasks[[#This Row],[_LeafLateStart]]))</f>
        <v/>
      </c>
      <c r="Y95" s="25" t="str">
        <f aca="false">IF(Tasks[[#This Row],[Task Name]]="","",IF(Tasks[[#This Row],[_IsSummary]],MAX(INDEX(Tasks[_LeafLateFinish],Tasks[[#This Row],[_Row]]+1):INDEX(Tasks[_LeafLateFinish],Tasks[[#This Row],[_Row]]+Tasks[[#This Row],[_Descendants]])),Tasks[[#This Row],[_LeafLateFinish]]))</f>
        <v/>
      </c>
      <c r="Z95" s="43" t="str">
        <f aca="false">IF(Tasks[[#This Row],[Task Name]]="","",IF(Tasks[[#This Row],[_IsSummary]],MIN(INDEX(Tasks[_LeafTotalSlack],Tasks[[#This Row],[_Row]]+1):INDEX(Tasks[_LeafTotalSlack],Tasks[[#This Row],[_Row]]+Tasks[[#This Row],[_Descendants]])),Tasks[[#This Row],[_LeafTotalSlack]]))</f>
        <v/>
      </c>
      <c r="AA9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5" s="28" t="str">
        <f aca="false">IF(Tasks[[#This Row],[Task Name]]="","",IF(IF(Tasks[[#This Row],[_IsSummary]],COUNTIF(INDEX(Tasks[_LeafCritical],Tasks[[#This Row],[_Row]]+1):INDEX(Tasks[_LeafCritical],Tasks[[#This Row],[_Row]]+Tasks[[#This Row],[_Descendants]]),TRUE())&gt;0,Tasks[[#This Row],[_LeafCritical]]),"Yes",""))</f>
        <v/>
      </c>
      <c r="AC9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5" s="24" t="str">
        <f aca="false">IF(Tasks[[#This Row],[Task Name]]="","",TRIM(IF(Tasks[[#This Row],[_Pred1Problem]]&lt;&gt;"","Pred 1: "&amp;Tasks[[#This Row],[_Pred1Problem]]&amp;". ","")&amp;IF(Tasks[[#This Row],[_Pred2Problem]]&lt;&gt;"","Pred 2: "&amp;Tasks[[#This Row],[_Pred2Problem]]&amp;".","")))</f>
        <v/>
      </c>
      <c r="AE95" s="88"/>
      <c r="AF95"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5" s="28" t="str">
        <f aca="false">IF(Tasks[[#This Row],[Task Name]]="","",IF(Tasks[[#This Row],[Progress]]&gt;=1,"Complete",IF(OR(N(Tasks[[#This Row],[Actual Start]])&gt;0,Tasks[[#This Row],[Progress]]&gt;0),IF(Tasks[[#This Row],[Finish Var]]&gt;0,"Behind","In Progress"),IF(Tasks[[#This Row],[Planned Start]]&lt;StatusDate,"Late Start","Not Started"))))</f>
        <v/>
      </c>
      <c r="AH95" s="30"/>
      <c r="AI95" s="88"/>
      <c r="AJ95" s="95" t="str">
        <f aca="false">IF(Tasks[[#This Row],[Task Name]]="","",IF(Tasks[[#This Row],[_IsSummary]],SUM(INDEX(Tasks[_LeafWork],Tasks[[#This Row],[_Row]]+1):INDEX(Tasks[_LeafWork],Tasks[[#This Row],[_Row]]+Tasks[[#This Row],[_Descendants]])),Tasks[[#This Row],[_LeafWork]]))</f>
        <v/>
      </c>
      <c r="AK95" s="96" t="str">
        <f aca="false">IF(Tasks[[#This Row],[Task Name]]="","",IF(Tasks[[#This Row],[_IsSummary]],SUM(INDEX(Tasks[_LeafCost],Tasks[[#This Row],[_Row]]+1):INDEX(Tasks[_LeafCost],Tasks[[#This Row],[_Row]]+Tasks[[#This Row],[_Descendants]])),Tasks[[#This Row],[_LeafCost]]))</f>
        <v/>
      </c>
      <c r="AL95" s="97"/>
      <c r="AM95" s="29"/>
      <c r="AN9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95" s="82"/>
      <c r="AP95" s="24" t="str">
        <f aca="false">IF(Tasks[[#This Row],[Task Name]]="","",Tasks[[#This Row],[_Pred1IDText]]&amp;IF(AND(Tasks[[#This Row],[_Pred1IDText]]&lt;&gt;"",Tasks[[#This Row],[_Pred2IDText]]&lt;&gt;""),",","")&amp;Tasks[[#This Row],[_Pred2IDText]])</f>
        <v/>
      </c>
      <c r="AQ95" s="30"/>
      <c r="AR95" s="25" t="str">
        <f aca="false">IF(Tasks[[#This Row],[Task Name]]="","",Tasks[[#This Row],[Forecast Start]])</f>
        <v/>
      </c>
      <c r="AS95" s="25" t="str">
        <f aca="false">IF(Tasks[[#This Row],[Task Name]]="","",Tasks[[#This Row],[Forecast Finish]])</f>
        <v/>
      </c>
      <c r="AT95" s="28" t="str">
        <f aca="false">IF(Tasks[[#This Row],[Task Name]]="","",IF(Tasks[[#This Row],[_IsSummary]],NETWORKDAYS.INTL(Tasks[[#This Row],[Forecast Start]],Tasks[[#This Row],[Forecast Finish]],WorkWeek,Holidays),N(Tasks[[#This Row],[Duration]])))</f>
        <v/>
      </c>
      <c r="AU95" s="95" t="str">
        <f aca="false">IF(Tasks[[#This Row],[Task Name]]="","",Tasks[[#This Row],[Work]])</f>
        <v/>
      </c>
      <c r="AV95" s="96" t="str">
        <f aca="false">IF(Tasks[[#This Row],[Task Name]]="","",Tasks[[#This Row],[Cost]])</f>
        <v/>
      </c>
      <c r="AW95" s="73"/>
      <c r="AX95" s="73"/>
      <c r="AY95" s="29"/>
      <c r="AZ95" s="98"/>
      <c r="BA95" s="97"/>
      <c r="BB95" s="28" t="str">
        <f aca="false">IF(OR(Tasks[[#This Row],[Task Name]]="",Tasks[[#This Row],[Baseline Duration]]=""),"",Tasks[[#This Row],[BL Source Duration]]-N(Tasks[[#This Row],[Baseline Duration]]))</f>
        <v/>
      </c>
      <c r="BC95" s="95" t="str">
        <f aca="false">IF(OR(Tasks[[#This Row],[Task Name]]="",Tasks[[#This Row],[Baseline Work]]=""),"",Tasks[[#This Row],[Work]]-N(Tasks[[#This Row],[Baseline Work]]))</f>
        <v/>
      </c>
      <c r="BD95" s="96" t="str">
        <f aca="false">IF(OR(Tasks[[#This Row],[Task Name]]="",Tasks[[#This Row],[Baseline Cost]]=""),"",Tasks[[#This Row],[Cost]]-N(Tasks[[#This Row],[Baseline Cost]]))</f>
        <v/>
      </c>
      <c r="BE95" s="96" t="str">
        <f aca="false">IF(Tasks[[#This Row],[Task Name]]="","",IF(Tasks[[#This Row],[_IsSummary]],SUM(INDEX(Tasks[_LeafBudget],Tasks[[#This Row],[_Row]]+1):INDEX(Tasks[_LeafBudget],Tasks[[#This Row],[_Row]]+Tasks[[#This Row],[_Descendants]])),Tasks[[#This Row],[_LeafBudget]]))</f>
        <v/>
      </c>
      <c r="BF95" s="96" t="str">
        <f aca="false">IF(Tasks[[#This Row],[Task Name]]="","",IF(Tasks[[#This Row],[_IsSummary]],SUM(INDEX(Tasks[_LeafPV],Tasks[[#This Row],[_Row]]+1):INDEX(Tasks[_LeafPV],Tasks[[#This Row],[_Row]]+Tasks[[#This Row],[_Descendants]])),Tasks[[#This Row],[_LeafPV]]))</f>
        <v/>
      </c>
      <c r="BG95" s="96" t="str">
        <f aca="false">IF(Tasks[[#This Row],[Task Name]]="","",IF(Tasks[[#This Row],[_IsSummary]],SUM(INDEX(Tasks[_LeafEV],Tasks[[#This Row],[_Row]]+1):INDEX(Tasks[_LeafEV],Tasks[[#This Row],[_Row]]+Tasks[[#This Row],[_Descendants]])),Tasks[[#This Row],[_LeafEV]]))</f>
        <v/>
      </c>
      <c r="BH95" s="96" t="str">
        <f aca="false">IF(Tasks[[#This Row],[Task Name]]="","",IF(Tasks[[#This Row],[_IsSummary]],SUM(INDEX(Tasks[_LeafAC],Tasks[[#This Row],[_Row]]+1):INDEX(Tasks[_LeafAC],Tasks[[#This Row],[_Row]]+Tasks[[#This Row],[_Descendants]])),Tasks[[#This Row],[_LeafAC]]))</f>
        <v/>
      </c>
      <c r="BI95" s="41" t="str">
        <f aca="false">IF(Tasks[[#This Row],[Task Name]]="","",MAX(1,N(Tasks[[#This Row],[Level]])))</f>
        <v/>
      </c>
      <c r="BJ95" s="41" t="n">
        <f aca="false">ROW()-ROW(Tasks[[#Headers],[ID]])</f>
        <v>90</v>
      </c>
      <c r="BK95" s="41" t="n">
        <f aca="false">IF(OR(Tasks[[#This Row],[Task Name]]="",Tasks[[#This Row],[_Level]]&lt;=1),0,IFERROR(LOOKUP(2,1/(Tasks[[#Headers],[_Level]]:Tasks[[#This Row],[_Level]]=Tasks[[#This Row],[_Level]]-1),ROW(Tasks[[#Headers],[_Level]]:Tasks[[#This Row],[_Level]])),0))</f>
        <v>0</v>
      </c>
      <c r="BL95" s="41" t="n">
        <f aca="false">IFERROR(N(INDEX(Tasks[_Level],Tasks[[#This Row],[_Row]]+1)),0)</f>
        <v>0</v>
      </c>
      <c r="BM95" s="99" t="b">
        <f aca="false">AND(Tasks[[#This Row],[Task Name]]&lt;&gt;"",Tasks[[#This Row],[_NextLevel]]&gt;Tasks[[#This Row],[_Level]])</f>
        <v>0</v>
      </c>
      <c r="BN95" s="41" t="n">
        <f aca="false">IF(Tasks[[#This Row],[_IsSummary]],COUNTIF(Tasks[WBS],Tasks[[#This Row],[WBS]]&amp;".*"),0)</f>
        <v>0</v>
      </c>
      <c r="BO95" s="41" t="n">
        <f aca="false">IF(AND(Tasks[[#This Row],[Task Name]]&lt;&gt;"",NOT(Tasks[[#This Row],[_IsSummary]])),1,0)</f>
        <v>0</v>
      </c>
      <c r="BP95" s="41" t="n">
        <f aca="false">IF(N(Tasks[[#This Row],[Pred1 UID]])=0,0,IFERROR(MATCH(Tasks[[#This Row],[Pred1 UID]],Tasks[UID],0),-1))</f>
        <v>0</v>
      </c>
      <c r="BQ95" s="41" t="n">
        <f aca="false">IF(N(Tasks[[#This Row],[Pred2 UID]])=0,0,IFERROR(MATCH(Tasks[[#This Row],[Pred2 UID]],Tasks[UID],0),-1))</f>
        <v>0</v>
      </c>
      <c r="BR95"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95" s="100" t="str">
        <f aca="false">IF(NOT(Tasks[[#This Row],[_IsLeaf]]=1),"",IF(N(Tasks[[#This Row],[Duration]])&lt;=0,Tasks[[#This Row],[_LeafCalcStart]],WORKDAY.INTL(Tasks[[#This Row],[_LeafCalcStart]],Tasks[[#This Row],[Duration]]-1,WorkWeek,Holidays)))</f>
        <v/>
      </c>
      <c r="BT95"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95"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95" s="41" t="n">
        <f aca="false">IF(NOT(Tasks[[#This Row],[_IsLeaf]]=1),0,IF(N(Tasks[[#This Row],[Actual Finish]])&gt;0,1,MIN(1,N(Tasks[[#This Row],[% Complete]]))))</f>
        <v>0</v>
      </c>
      <c r="BW95" s="41" t="n">
        <f aca="false">IF(OR(NOT(Tasks[[#This Row],[_IsLeaf]]=1),Tasks[[#This Row],[Resource]]=""),0,N(Tasks[[#This Row],[Duration]])*HoursPerDay*IF(Tasks[[#This Row],[Units]]="",DefaultUnits,Tasks[[#This Row],[Units]]))</f>
        <v>0</v>
      </c>
      <c r="BX95" s="41" t="n">
        <f aca="false">IF(Tasks[[#This Row],[_LeafWork]]=0,0,Tasks[[#This Row],[_LeafWork]]*IFERROR(INDEX(res_Rate,MATCH(Tasks[[#This Row],[Resource]],res_Name,0)),0))</f>
        <v>0</v>
      </c>
      <c r="BY9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9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9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9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95" s="41" t="n">
        <f aca="false">IF(NOT(Tasks[[#This Row],[_IsLeaf]]=1),0,MAX(_xlfn.MAXIFS(Tasks[_Row],Tasks[Pred1 UID],Tasks[[#This Row],[UID]]),_xlfn.MAXIFS(Tasks[_Row],Tasks[Pred2 UID],Tasks[[#This Row],[UID]])))</f>
        <v>0</v>
      </c>
      <c r="CD95"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95" s="100" t="str">
        <f aca="false">IF(NOT(Tasks[[#This Row],[_IsLeaf]]=1),"",MIN(ProjectFinish,IF(N(Tasks[[#This Row],[Deadline]])&gt;0,Tasks[[#This Row],[Deadline]],2958465),Tasks[[#This Row],[_SuccessorFinishLimit]]))</f>
        <v/>
      </c>
      <c r="CF95" s="100" t="str">
        <f aca="false">IF(NOT(Tasks[[#This Row],[_IsLeaf]]=1),"",IF(N(Tasks[[#This Row],[Duration]])&lt;=0,Tasks[[#This Row],[_LeafLateFinish]],WORKDAY.INTL(Tasks[[#This Row],[_LeafLateFinish]],-(Tasks[[#This Row],[Duration]]-1),WorkWeek,Holidays)))</f>
        <v/>
      </c>
      <c r="CG9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95" s="99" t="b">
        <f aca="false">AND(Tasks[[#This Row],[_IsLeaf]]=1,Tasks[[#This Row],[_LeafProgress]]&lt;1,N(Tasks[[#This Row],[_LeafTotalSlack]])&lt;=CriticalSlackDays)</f>
        <v>0</v>
      </c>
      <c r="CI95" s="100" t="str">
        <f aca="false">IF(Tasks[[#This Row],[Task Name]]="","",IF(Tasks[[#This Row],[_IsSummary]],MIN(INDEX(Tasks[_LeafCalcStart],Tasks[[#This Row],[_Row]]+1):INDEX(Tasks[_LeafCalcStart],Tasks[[#This Row],[_Row]]+Tasks[[#This Row],[_Descendants]])),Tasks[[#This Row],[_LeafCalcStart]]))</f>
        <v/>
      </c>
      <c r="CJ95" s="100" t="str">
        <f aca="false">IF(Tasks[[#This Row],[Task Name]]="","",IF(Tasks[[#This Row],[_IsSummary]],MAX(INDEX(Tasks[_LeafCalcFinish],Tasks[[#This Row],[_Row]]+1):INDEX(Tasks[_LeafCalcFinish],Tasks[[#This Row],[_Row]]+Tasks[[#This Row],[_Descendants]])),Tasks[[#This Row],[_LeafCalcFinish]]))</f>
        <v/>
      </c>
      <c r="CK9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9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95"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95"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95"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95"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95" s="41" t="n">
        <f aca="false">IF(AND(Tasks[[#This Row],[_IsLeaf]]=1,Tasks[[#This Row],[_LeafWork]]&gt;0),NETWORKDAYS.INTL(ProjectStart,Tasks[[#This Row],[_LeafFcstStart]],WorkWeek,Holidays),0)</f>
        <v>0</v>
      </c>
      <c r="CR95" s="41" t="n">
        <f aca="false">IF(AND(Tasks[[#This Row],[_IsLeaf]]=1,Tasks[[#This Row],[_LeafWork]]&gt;0),MAX(Tasks[[#This Row],[_StartWorkday]],NETWORKDAYS.INTL(ProjectStart,Tasks[[#This Row],[_LeafFcstFinish]],WorkWeek,Holidays)),0)</f>
        <v>0</v>
      </c>
      <c r="CS95" s="41" t="n">
        <f aca="false">IF(AND(Tasks[[#This Row],[_IsLeaf]]=1,Tasks[[#This Row],[_LeafWork]]&gt;0),Tasks[[#This Row],[_LeafWork]]/(Tasks[[#This Row],[_FinishWorkday]]-Tasks[[#This Row],[_StartWorkday]]+1),0)</f>
        <v>0</v>
      </c>
      <c r="CT95" s="41" t="n">
        <f aca="false">Tasks[[#This Row],[_WorkPerWorkday]]*(Tasks[[#This Row],[_StartWorkday]]-1)</f>
        <v>-0</v>
      </c>
      <c r="CU95" s="41" t="n">
        <f aca="false">IF(Tasks[[#This Row],[_IsLeaf]]=1,MAX(N(Tasks[[#This Row],[Duration]]),0.1),0)</f>
        <v>0</v>
      </c>
      <c r="CV95" s="41" t="n">
        <f aca="false">Tasks[[#This Row],[_WeightDur]]*Tasks[[#This Row],[_LeafProgress]]</f>
        <v>0</v>
      </c>
      <c r="CW9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9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9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9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95" s="41" t="str">
        <f aca="false">IF(Tasks[[#This Row],[Task Name]]="","",Tasks[[#This Row],[_Pred1UIDText]]&amp;IF(AND(Tasks[[#This Row],[_Pred1UIDText]]&lt;&gt;"",Tasks[[#This Row],[_Pred2UIDText]]&lt;&gt;""),",","")&amp;Tasks[[#This Row],[_Pred2UIDText]])</f>
        <v/>
      </c>
      <c r="DB95" s="41" t="str">
        <f aca="false">IF(AND(Tasks[[#This Row],[_IsLeaf]]=1,N(Tasks[[#This Row],[Duration]])=0,Tasks[[#This Row],[_LeafProgress]]&lt;1),Tasks[[#This Row],[_LeafFcstFinish]]+Tasks[[#This Row],[_Row]]/100000,"")</f>
        <v/>
      </c>
      <c r="DC9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95" s="41" t="n">
        <f aca="false">IF(NOT(Tasks[[#This Row],[_IsLeaf]]=1),0,IF(Tasks[[#This Row],[Baseline Cost]]="",Tasks[[#This Row],[_LeafCost]],N(Tasks[[#This Row],[Baseline Cost]])))</f>
        <v>0</v>
      </c>
      <c r="DE95" s="41" t="n">
        <f aca="false">Tasks[[#This Row],[_LeafBudget]]*Tasks[[#This Row],[_PlannedPct]]</f>
        <v>0</v>
      </c>
      <c r="DF95" s="41" t="n">
        <f aca="false">Tasks[[#This Row],[_LeafBudget]]*Tasks[[#This Row],[_LeafProgress]]</f>
        <v>0</v>
      </c>
      <c r="DG95" s="41" t="n">
        <f aca="false">IF(NOT(Tasks[[#This Row],[_IsLeaf]]=1),0,IF(Tasks[[#This Row],[Actual Cost]]="",Tasks[[#This Row],[_LeafCost]]*Tasks[[#This Row],[_LeafProgress]],N(Tasks[[#This Row],[Actual Cost]])))</f>
        <v>0</v>
      </c>
      <c r="DH95" s="41" t="str">
        <f aca="false">IF(Tasks[[#This Row],[Task Name]]="","",LEFT(Tasks[[#This Row],[WBS]],FIND(".",Tasks[[#This Row],[WBS]]&amp;".")-1))</f>
        <v/>
      </c>
      <c r="DI95" s="41" t="str">
        <f aca="false">IF(AND(Tasks[[#This Row],[Task Name]]&lt;&gt;"",Tasks[[#This Row],[_Level]]=1),Tasks[[#This Row],[_Row]],"")</f>
        <v/>
      </c>
      <c r="DJ95" s="41" t="str">
        <f aca="false">IF(AND(Tasks[[#This Row],[_IsLeaf]]=1,N(Tasks[[#This Row],[Duration]])=0),Tasks[[#This Row],[Planned Finish]]+Tasks[[#This Row],[_Row]]/100000,"")</f>
        <v/>
      </c>
      <c r="DK95" s="41" t="str">
        <f aca="false">IF(AND(Tasks[[#This Row],[_IsLeaf]]=1,Tasks[[#This Row],[_LeafProgress]]&lt;1,OR(N(Tasks[[#This Row],[Finish Var]])&gt;0,Tasks[[#This Row],[Status]]="Late Start")),MAX(0,Tasks[[#This Row],[Finish Var]])+1-Tasks[[#This Row],[_Row]]/1000000,"")</f>
        <v/>
      </c>
      <c r="DL95" s="41" t="str">
        <f aca="false">IF(AND(Tasks[[#This Row],[_IsLeaf]]=1,N(Tasks[[#This Row],[Actual Start]])=0,Tasks[[#This Row],[_LeafFcstStart]]&gt;=StatusDate,Tasks[[#This Row],[_LeafFcstStart]]&lt;=LookaheadEnd),Tasks[[#This Row],[_LeafFcstStart]]+Tasks[[#This Row],[_Row]]/100000,"")</f>
        <v/>
      </c>
      <c r="DM95" s="41" t="str">
        <f aca="false">IF(AND(Tasks[[#This Row],[_IsLeaf]]=1,Tasks[[#This Row],[_LeafProgress]]&lt;1,Tasks[[#This Row],[_LeafFcstFinish]]&gt;=StatusDate,Tasks[[#This Row],[_LeafFcstFinish]]&lt;=LookaheadEnd),Tasks[[#This Row],[_LeafFcstFinish]]+Tasks[[#This Row],[_Row]]/100000,"")</f>
        <v/>
      </c>
      <c r="DN95" s="41" t="str">
        <f aca="false">IF(Tasks[[#This Row],[_LeafCritical]],Tasks[[#This Row],[_LeafFcstStart]]+Tasks[[#This Row],[_Row]]/100000,"")</f>
        <v/>
      </c>
      <c r="DO95" s="41" t="n">
        <f aca="false">Tasks[[#This Row],[_LeafWork]]*Tasks[[#This Row],[_LeafProgress]]</f>
        <v>0</v>
      </c>
      <c r="DP95" s="100" t="str">
        <f aca="false">IF(AND(Tasks[[#This Row],[_IsLeaf]]=1,Tasks[[#This Row],[_LeafProgress]]&gt;=1),IF(N(Tasks[[#This Row],[Actual Finish]])&gt;0,Tasks[[#This Row],[Actual Finish]],Tasks[[#This Row],[_LeafFcstFinish]]),"")</f>
        <v/>
      </c>
      <c r="DQ95" s="41" t="n">
        <f aca="false">IF(Tasks[[#This Row],[_IsLeaf]]=1,N(Tasks[[#This Row],[Story Points]]),0)</f>
        <v>0</v>
      </c>
      <c r="DR95" s="41" t="str">
        <f aca="false">IF(AND(Tasks[[#This Row],[_IsLeaf]]=1,CurrentSprint&lt;&gt;"",Tasks[[#This Row],[Sprint]]=CurrentSprint),Tasks[[#This Row],[_Row]],"")</f>
        <v/>
      </c>
    </row>
    <row r="96" customFormat="false" ht="15" hidden="false" customHeight="false" outlineLevel="0" collapsed="false">
      <c r="A96" s="28" t="str">
        <f aca="false">IF(Tasks[[#This Row],[Task Name]]="","",COUNTA(Tasks[[#Headers],[Task Name]]:Tasks[[#This Row],[Task Name]])-1)</f>
        <v/>
      </c>
      <c r="B96" s="29" t="n">
        <v>91</v>
      </c>
      <c r="C9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6" s="29"/>
      <c r="E96" s="30"/>
      <c r="F96" s="29"/>
      <c r="G96" s="29"/>
      <c r="H96" s="29"/>
      <c r="I96" s="29"/>
      <c r="J96" s="29"/>
      <c r="K96" s="29"/>
      <c r="L96" s="29"/>
      <c r="M96" s="29"/>
      <c r="N96" s="73"/>
      <c r="O96" s="73"/>
      <c r="P96" s="25" t="str">
        <f aca="false">IF(Tasks[[#This Row],[Task Name]]="","",IF(N(Tasks[[#This Row],[Baseline Start]])&gt;0,Tasks[[#This Row],[Baseline Start]],Tasks[[#This Row],[_CalcStart]]))</f>
        <v/>
      </c>
      <c r="Q96" s="25" t="str">
        <f aca="false">IF(Tasks[[#This Row],[Task Name]]="","",IF(N(Tasks[[#This Row],[Baseline Finish]])&gt;0,Tasks[[#This Row],[Baseline Finish]],Tasks[[#This Row],[_CalcFinish]]))</f>
        <v/>
      </c>
      <c r="R96" s="73"/>
      <c r="S96" s="73"/>
      <c r="T96" s="25" t="str">
        <f aca="false">IF(Tasks[[#This Row],[Task Name]]="","",IF(Tasks[[#This Row],[_IsSummary]],MIN(INDEX(Tasks[_LeafFcstStart],Tasks[[#This Row],[_Row]]+1):INDEX(Tasks[_LeafFcstStart],Tasks[[#This Row],[_Row]]+Tasks[[#This Row],[_Descendants]])),Tasks[[#This Row],[_LeafFcstStart]]))</f>
        <v/>
      </c>
      <c r="U96" s="25" t="str">
        <f aca="false">IF(Tasks[[#This Row],[Task Name]]="","",IF(Tasks[[#This Row],[_IsSummary]],MAX(INDEX(Tasks[_LeafFcstFinish],Tasks[[#This Row],[_Row]]+1):INDEX(Tasks[_LeafFcstFinish],Tasks[[#This Row],[_Row]]+Tasks[[#This Row],[_Descendants]])),Tasks[[#This Row],[_LeafFcstFinish]]))</f>
        <v/>
      </c>
      <c r="V9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9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6" s="25" t="str">
        <f aca="false">IF(Tasks[[#This Row],[Task Name]]="","",IF(Tasks[[#This Row],[_IsSummary]],MIN(INDEX(Tasks[_LeafLateStart],Tasks[[#This Row],[_Row]]+1):INDEX(Tasks[_LeafLateStart],Tasks[[#This Row],[_Row]]+Tasks[[#This Row],[_Descendants]])),Tasks[[#This Row],[_LeafLateStart]]))</f>
        <v/>
      </c>
      <c r="Y96" s="25" t="str">
        <f aca="false">IF(Tasks[[#This Row],[Task Name]]="","",IF(Tasks[[#This Row],[_IsSummary]],MAX(INDEX(Tasks[_LeafLateFinish],Tasks[[#This Row],[_Row]]+1):INDEX(Tasks[_LeafLateFinish],Tasks[[#This Row],[_Row]]+Tasks[[#This Row],[_Descendants]])),Tasks[[#This Row],[_LeafLateFinish]]))</f>
        <v/>
      </c>
      <c r="Z96" s="43" t="str">
        <f aca="false">IF(Tasks[[#This Row],[Task Name]]="","",IF(Tasks[[#This Row],[_IsSummary]],MIN(INDEX(Tasks[_LeafTotalSlack],Tasks[[#This Row],[_Row]]+1):INDEX(Tasks[_LeafTotalSlack],Tasks[[#This Row],[_Row]]+Tasks[[#This Row],[_Descendants]])),Tasks[[#This Row],[_LeafTotalSlack]]))</f>
        <v/>
      </c>
      <c r="AA9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6" s="28" t="str">
        <f aca="false">IF(Tasks[[#This Row],[Task Name]]="","",IF(IF(Tasks[[#This Row],[_IsSummary]],COUNTIF(INDEX(Tasks[_LeafCritical],Tasks[[#This Row],[_Row]]+1):INDEX(Tasks[_LeafCritical],Tasks[[#This Row],[_Row]]+Tasks[[#This Row],[_Descendants]]),TRUE())&gt;0,Tasks[[#This Row],[_LeafCritical]]),"Yes",""))</f>
        <v/>
      </c>
      <c r="AC9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6" s="24" t="str">
        <f aca="false">IF(Tasks[[#This Row],[Task Name]]="","",TRIM(IF(Tasks[[#This Row],[_Pred1Problem]]&lt;&gt;"","Pred 1: "&amp;Tasks[[#This Row],[_Pred1Problem]]&amp;". ","")&amp;IF(Tasks[[#This Row],[_Pred2Problem]]&lt;&gt;"","Pred 2: "&amp;Tasks[[#This Row],[_Pred2Problem]]&amp;".","")))</f>
        <v/>
      </c>
      <c r="AE96" s="88"/>
      <c r="AF96"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6" s="28" t="str">
        <f aca="false">IF(Tasks[[#This Row],[Task Name]]="","",IF(Tasks[[#This Row],[Progress]]&gt;=1,"Complete",IF(OR(N(Tasks[[#This Row],[Actual Start]])&gt;0,Tasks[[#This Row],[Progress]]&gt;0),IF(Tasks[[#This Row],[Finish Var]]&gt;0,"Behind","In Progress"),IF(Tasks[[#This Row],[Planned Start]]&lt;StatusDate,"Late Start","Not Started"))))</f>
        <v/>
      </c>
      <c r="AH96" s="30"/>
      <c r="AI96" s="88"/>
      <c r="AJ96" s="95" t="str">
        <f aca="false">IF(Tasks[[#This Row],[Task Name]]="","",IF(Tasks[[#This Row],[_IsSummary]],SUM(INDEX(Tasks[_LeafWork],Tasks[[#This Row],[_Row]]+1):INDEX(Tasks[_LeafWork],Tasks[[#This Row],[_Row]]+Tasks[[#This Row],[_Descendants]])),Tasks[[#This Row],[_LeafWork]]))</f>
        <v/>
      </c>
      <c r="AK96" s="96" t="str">
        <f aca="false">IF(Tasks[[#This Row],[Task Name]]="","",IF(Tasks[[#This Row],[_IsSummary]],SUM(INDEX(Tasks[_LeafCost],Tasks[[#This Row],[_Row]]+1):INDEX(Tasks[_LeafCost],Tasks[[#This Row],[_Row]]+Tasks[[#This Row],[_Descendants]])),Tasks[[#This Row],[_LeafCost]]))</f>
        <v/>
      </c>
      <c r="AL96" s="97"/>
      <c r="AM96" s="29"/>
      <c r="AN9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96" s="82"/>
      <c r="AP96" s="24" t="str">
        <f aca="false">IF(Tasks[[#This Row],[Task Name]]="","",Tasks[[#This Row],[_Pred1IDText]]&amp;IF(AND(Tasks[[#This Row],[_Pred1IDText]]&lt;&gt;"",Tasks[[#This Row],[_Pred2IDText]]&lt;&gt;""),",","")&amp;Tasks[[#This Row],[_Pred2IDText]])</f>
        <v/>
      </c>
      <c r="AQ96" s="30"/>
      <c r="AR96" s="25" t="str">
        <f aca="false">IF(Tasks[[#This Row],[Task Name]]="","",Tasks[[#This Row],[Forecast Start]])</f>
        <v/>
      </c>
      <c r="AS96" s="25" t="str">
        <f aca="false">IF(Tasks[[#This Row],[Task Name]]="","",Tasks[[#This Row],[Forecast Finish]])</f>
        <v/>
      </c>
      <c r="AT96" s="28" t="str">
        <f aca="false">IF(Tasks[[#This Row],[Task Name]]="","",IF(Tasks[[#This Row],[_IsSummary]],NETWORKDAYS.INTL(Tasks[[#This Row],[Forecast Start]],Tasks[[#This Row],[Forecast Finish]],WorkWeek,Holidays),N(Tasks[[#This Row],[Duration]])))</f>
        <v/>
      </c>
      <c r="AU96" s="95" t="str">
        <f aca="false">IF(Tasks[[#This Row],[Task Name]]="","",Tasks[[#This Row],[Work]])</f>
        <v/>
      </c>
      <c r="AV96" s="96" t="str">
        <f aca="false">IF(Tasks[[#This Row],[Task Name]]="","",Tasks[[#This Row],[Cost]])</f>
        <v/>
      </c>
      <c r="AW96" s="73"/>
      <c r="AX96" s="73"/>
      <c r="AY96" s="29"/>
      <c r="AZ96" s="98"/>
      <c r="BA96" s="97"/>
      <c r="BB96" s="28" t="str">
        <f aca="false">IF(OR(Tasks[[#This Row],[Task Name]]="",Tasks[[#This Row],[Baseline Duration]]=""),"",Tasks[[#This Row],[BL Source Duration]]-N(Tasks[[#This Row],[Baseline Duration]]))</f>
        <v/>
      </c>
      <c r="BC96" s="95" t="str">
        <f aca="false">IF(OR(Tasks[[#This Row],[Task Name]]="",Tasks[[#This Row],[Baseline Work]]=""),"",Tasks[[#This Row],[Work]]-N(Tasks[[#This Row],[Baseline Work]]))</f>
        <v/>
      </c>
      <c r="BD96" s="96" t="str">
        <f aca="false">IF(OR(Tasks[[#This Row],[Task Name]]="",Tasks[[#This Row],[Baseline Cost]]=""),"",Tasks[[#This Row],[Cost]]-N(Tasks[[#This Row],[Baseline Cost]]))</f>
        <v/>
      </c>
      <c r="BE96" s="96" t="str">
        <f aca="false">IF(Tasks[[#This Row],[Task Name]]="","",IF(Tasks[[#This Row],[_IsSummary]],SUM(INDEX(Tasks[_LeafBudget],Tasks[[#This Row],[_Row]]+1):INDEX(Tasks[_LeafBudget],Tasks[[#This Row],[_Row]]+Tasks[[#This Row],[_Descendants]])),Tasks[[#This Row],[_LeafBudget]]))</f>
        <v/>
      </c>
      <c r="BF96" s="96" t="str">
        <f aca="false">IF(Tasks[[#This Row],[Task Name]]="","",IF(Tasks[[#This Row],[_IsSummary]],SUM(INDEX(Tasks[_LeafPV],Tasks[[#This Row],[_Row]]+1):INDEX(Tasks[_LeafPV],Tasks[[#This Row],[_Row]]+Tasks[[#This Row],[_Descendants]])),Tasks[[#This Row],[_LeafPV]]))</f>
        <v/>
      </c>
      <c r="BG96" s="96" t="str">
        <f aca="false">IF(Tasks[[#This Row],[Task Name]]="","",IF(Tasks[[#This Row],[_IsSummary]],SUM(INDEX(Tasks[_LeafEV],Tasks[[#This Row],[_Row]]+1):INDEX(Tasks[_LeafEV],Tasks[[#This Row],[_Row]]+Tasks[[#This Row],[_Descendants]])),Tasks[[#This Row],[_LeafEV]]))</f>
        <v/>
      </c>
      <c r="BH96" s="96" t="str">
        <f aca="false">IF(Tasks[[#This Row],[Task Name]]="","",IF(Tasks[[#This Row],[_IsSummary]],SUM(INDEX(Tasks[_LeafAC],Tasks[[#This Row],[_Row]]+1):INDEX(Tasks[_LeafAC],Tasks[[#This Row],[_Row]]+Tasks[[#This Row],[_Descendants]])),Tasks[[#This Row],[_LeafAC]]))</f>
        <v/>
      </c>
      <c r="BI96" s="41" t="str">
        <f aca="false">IF(Tasks[[#This Row],[Task Name]]="","",MAX(1,N(Tasks[[#This Row],[Level]])))</f>
        <v/>
      </c>
      <c r="BJ96" s="41" t="n">
        <f aca="false">ROW()-ROW(Tasks[[#Headers],[ID]])</f>
        <v>91</v>
      </c>
      <c r="BK96" s="41" t="n">
        <f aca="false">IF(OR(Tasks[[#This Row],[Task Name]]="",Tasks[[#This Row],[_Level]]&lt;=1),0,IFERROR(LOOKUP(2,1/(Tasks[[#Headers],[_Level]]:Tasks[[#This Row],[_Level]]=Tasks[[#This Row],[_Level]]-1),ROW(Tasks[[#Headers],[_Level]]:Tasks[[#This Row],[_Level]])),0))</f>
        <v>0</v>
      </c>
      <c r="BL96" s="41" t="n">
        <f aca="false">IFERROR(N(INDEX(Tasks[_Level],Tasks[[#This Row],[_Row]]+1)),0)</f>
        <v>0</v>
      </c>
      <c r="BM96" s="99" t="b">
        <f aca="false">AND(Tasks[[#This Row],[Task Name]]&lt;&gt;"",Tasks[[#This Row],[_NextLevel]]&gt;Tasks[[#This Row],[_Level]])</f>
        <v>0</v>
      </c>
      <c r="BN96" s="41" t="n">
        <f aca="false">IF(Tasks[[#This Row],[_IsSummary]],COUNTIF(Tasks[WBS],Tasks[[#This Row],[WBS]]&amp;".*"),0)</f>
        <v>0</v>
      </c>
      <c r="BO96" s="41" t="n">
        <f aca="false">IF(AND(Tasks[[#This Row],[Task Name]]&lt;&gt;"",NOT(Tasks[[#This Row],[_IsSummary]])),1,0)</f>
        <v>0</v>
      </c>
      <c r="BP96" s="41" t="n">
        <f aca="false">IF(N(Tasks[[#This Row],[Pred1 UID]])=0,0,IFERROR(MATCH(Tasks[[#This Row],[Pred1 UID]],Tasks[UID],0),-1))</f>
        <v>0</v>
      </c>
      <c r="BQ96" s="41" t="n">
        <f aca="false">IF(N(Tasks[[#This Row],[Pred2 UID]])=0,0,IFERROR(MATCH(Tasks[[#This Row],[Pred2 UID]],Tasks[UID],0),-1))</f>
        <v>0</v>
      </c>
      <c r="BR96"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96" s="100" t="str">
        <f aca="false">IF(NOT(Tasks[[#This Row],[_IsLeaf]]=1),"",IF(N(Tasks[[#This Row],[Duration]])&lt;=0,Tasks[[#This Row],[_LeafCalcStart]],WORKDAY.INTL(Tasks[[#This Row],[_LeafCalcStart]],Tasks[[#This Row],[Duration]]-1,WorkWeek,Holidays)))</f>
        <v/>
      </c>
      <c r="BT96"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96"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96" s="41" t="n">
        <f aca="false">IF(NOT(Tasks[[#This Row],[_IsLeaf]]=1),0,IF(N(Tasks[[#This Row],[Actual Finish]])&gt;0,1,MIN(1,N(Tasks[[#This Row],[% Complete]]))))</f>
        <v>0</v>
      </c>
      <c r="BW96" s="41" t="n">
        <f aca="false">IF(OR(NOT(Tasks[[#This Row],[_IsLeaf]]=1),Tasks[[#This Row],[Resource]]=""),0,N(Tasks[[#This Row],[Duration]])*HoursPerDay*IF(Tasks[[#This Row],[Units]]="",DefaultUnits,Tasks[[#This Row],[Units]]))</f>
        <v>0</v>
      </c>
      <c r="BX96" s="41" t="n">
        <f aca="false">IF(Tasks[[#This Row],[_LeafWork]]=0,0,Tasks[[#This Row],[_LeafWork]]*IFERROR(INDEX(res_Rate,MATCH(Tasks[[#This Row],[Resource]],res_Name,0)),0))</f>
        <v>0</v>
      </c>
      <c r="BY9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9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9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9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96" s="41" t="n">
        <f aca="false">IF(NOT(Tasks[[#This Row],[_IsLeaf]]=1),0,MAX(_xlfn.MAXIFS(Tasks[_Row],Tasks[Pred1 UID],Tasks[[#This Row],[UID]]),_xlfn.MAXIFS(Tasks[_Row],Tasks[Pred2 UID],Tasks[[#This Row],[UID]])))</f>
        <v>0</v>
      </c>
      <c r="CD96"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96" s="100" t="str">
        <f aca="false">IF(NOT(Tasks[[#This Row],[_IsLeaf]]=1),"",MIN(ProjectFinish,IF(N(Tasks[[#This Row],[Deadline]])&gt;0,Tasks[[#This Row],[Deadline]],2958465),Tasks[[#This Row],[_SuccessorFinishLimit]]))</f>
        <v/>
      </c>
      <c r="CF96" s="100" t="str">
        <f aca="false">IF(NOT(Tasks[[#This Row],[_IsLeaf]]=1),"",IF(N(Tasks[[#This Row],[Duration]])&lt;=0,Tasks[[#This Row],[_LeafLateFinish]],WORKDAY.INTL(Tasks[[#This Row],[_LeafLateFinish]],-(Tasks[[#This Row],[Duration]]-1),WorkWeek,Holidays)))</f>
        <v/>
      </c>
      <c r="CG9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96" s="99" t="b">
        <f aca="false">AND(Tasks[[#This Row],[_IsLeaf]]=1,Tasks[[#This Row],[_LeafProgress]]&lt;1,N(Tasks[[#This Row],[_LeafTotalSlack]])&lt;=CriticalSlackDays)</f>
        <v>0</v>
      </c>
      <c r="CI96" s="100" t="str">
        <f aca="false">IF(Tasks[[#This Row],[Task Name]]="","",IF(Tasks[[#This Row],[_IsSummary]],MIN(INDEX(Tasks[_LeafCalcStart],Tasks[[#This Row],[_Row]]+1):INDEX(Tasks[_LeafCalcStart],Tasks[[#This Row],[_Row]]+Tasks[[#This Row],[_Descendants]])),Tasks[[#This Row],[_LeafCalcStart]]))</f>
        <v/>
      </c>
      <c r="CJ96" s="100" t="str">
        <f aca="false">IF(Tasks[[#This Row],[Task Name]]="","",IF(Tasks[[#This Row],[_IsSummary]],MAX(INDEX(Tasks[_LeafCalcFinish],Tasks[[#This Row],[_Row]]+1):INDEX(Tasks[_LeafCalcFinish],Tasks[[#This Row],[_Row]]+Tasks[[#This Row],[_Descendants]])),Tasks[[#This Row],[_LeafCalcFinish]]))</f>
        <v/>
      </c>
      <c r="CK9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9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96"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96"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96"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96"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96" s="41" t="n">
        <f aca="false">IF(AND(Tasks[[#This Row],[_IsLeaf]]=1,Tasks[[#This Row],[_LeafWork]]&gt;0),NETWORKDAYS.INTL(ProjectStart,Tasks[[#This Row],[_LeafFcstStart]],WorkWeek,Holidays),0)</f>
        <v>0</v>
      </c>
      <c r="CR96" s="41" t="n">
        <f aca="false">IF(AND(Tasks[[#This Row],[_IsLeaf]]=1,Tasks[[#This Row],[_LeafWork]]&gt;0),MAX(Tasks[[#This Row],[_StartWorkday]],NETWORKDAYS.INTL(ProjectStart,Tasks[[#This Row],[_LeafFcstFinish]],WorkWeek,Holidays)),0)</f>
        <v>0</v>
      </c>
      <c r="CS96" s="41" t="n">
        <f aca="false">IF(AND(Tasks[[#This Row],[_IsLeaf]]=1,Tasks[[#This Row],[_LeafWork]]&gt;0),Tasks[[#This Row],[_LeafWork]]/(Tasks[[#This Row],[_FinishWorkday]]-Tasks[[#This Row],[_StartWorkday]]+1),0)</f>
        <v>0</v>
      </c>
      <c r="CT96" s="41" t="n">
        <f aca="false">Tasks[[#This Row],[_WorkPerWorkday]]*(Tasks[[#This Row],[_StartWorkday]]-1)</f>
        <v>-0</v>
      </c>
      <c r="CU96" s="41" t="n">
        <f aca="false">IF(Tasks[[#This Row],[_IsLeaf]]=1,MAX(N(Tasks[[#This Row],[Duration]]),0.1),0)</f>
        <v>0</v>
      </c>
      <c r="CV96" s="41" t="n">
        <f aca="false">Tasks[[#This Row],[_WeightDur]]*Tasks[[#This Row],[_LeafProgress]]</f>
        <v>0</v>
      </c>
      <c r="CW9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9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9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9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96" s="41" t="str">
        <f aca="false">IF(Tasks[[#This Row],[Task Name]]="","",Tasks[[#This Row],[_Pred1UIDText]]&amp;IF(AND(Tasks[[#This Row],[_Pred1UIDText]]&lt;&gt;"",Tasks[[#This Row],[_Pred2UIDText]]&lt;&gt;""),",","")&amp;Tasks[[#This Row],[_Pred2UIDText]])</f>
        <v/>
      </c>
      <c r="DB96" s="41" t="str">
        <f aca="false">IF(AND(Tasks[[#This Row],[_IsLeaf]]=1,N(Tasks[[#This Row],[Duration]])=0,Tasks[[#This Row],[_LeafProgress]]&lt;1),Tasks[[#This Row],[_LeafFcstFinish]]+Tasks[[#This Row],[_Row]]/100000,"")</f>
        <v/>
      </c>
      <c r="DC9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96" s="41" t="n">
        <f aca="false">IF(NOT(Tasks[[#This Row],[_IsLeaf]]=1),0,IF(Tasks[[#This Row],[Baseline Cost]]="",Tasks[[#This Row],[_LeafCost]],N(Tasks[[#This Row],[Baseline Cost]])))</f>
        <v>0</v>
      </c>
      <c r="DE96" s="41" t="n">
        <f aca="false">Tasks[[#This Row],[_LeafBudget]]*Tasks[[#This Row],[_PlannedPct]]</f>
        <v>0</v>
      </c>
      <c r="DF96" s="41" t="n">
        <f aca="false">Tasks[[#This Row],[_LeafBudget]]*Tasks[[#This Row],[_LeafProgress]]</f>
        <v>0</v>
      </c>
      <c r="DG96" s="41" t="n">
        <f aca="false">IF(NOT(Tasks[[#This Row],[_IsLeaf]]=1),0,IF(Tasks[[#This Row],[Actual Cost]]="",Tasks[[#This Row],[_LeafCost]]*Tasks[[#This Row],[_LeafProgress]],N(Tasks[[#This Row],[Actual Cost]])))</f>
        <v>0</v>
      </c>
      <c r="DH96" s="41" t="str">
        <f aca="false">IF(Tasks[[#This Row],[Task Name]]="","",LEFT(Tasks[[#This Row],[WBS]],FIND(".",Tasks[[#This Row],[WBS]]&amp;".")-1))</f>
        <v/>
      </c>
      <c r="DI96" s="41" t="str">
        <f aca="false">IF(AND(Tasks[[#This Row],[Task Name]]&lt;&gt;"",Tasks[[#This Row],[_Level]]=1),Tasks[[#This Row],[_Row]],"")</f>
        <v/>
      </c>
      <c r="DJ96" s="41" t="str">
        <f aca="false">IF(AND(Tasks[[#This Row],[_IsLeaf]]=1,N(Tasks[[#This Row],[Duration]])=0),Tasks[[#This Row],[Planned Finish]]+Tasks[[#This Row],[_Row]]/100000,"")</f>
        <v/>
      </c>
      <c r="DK96" s="41" t="str">
        <f aca="false">IF(AND(Tasks[[#This Row],[_IsLeaf]]=1,Tasks[[#This Row],[_LeafProgress]]&lt;1,OR(N(Tasks[[#This Row],[Finish Var]])&gt;0,Tasks[[#This Row],[Status]]="Late Start")),MAX(0,Tasks[[#This Row],[Finish Var]])+1-Tasks[[#This Row],[_Row]]/1000000,"")</f>
        <v/>
      </c>
      <c r="DL96" s="41" t="str">
        <f aca="false">IF(AND(Tasks[[#This Row],[_IsLeaf]]=1,N(Tasks[[#This Row],[Actual Start]])=0,Tasks[[#This Row],[_LeafFcstStart]]&gt;=StatusDate,Tasks[[#This Row],[_LeafFcstStart]]&lt;=LookaheadEnd),Tasks[[#This Row],[_LeafFcstStart]]+Tasks[[#This Row],[_Row]]/100000,"")</f>
        <v/>
      </c>
      <c r="DM96" s="41" t="str">
        <f aca="false">IF(AND(Tasks[[#This Row],[_IsLeaf]]=1,Tasks[[#This Row],[_LeafProgress]]&lt;1,Tasks[[#This Row],[_LeafFcstFinish]]&gt;=StatusDate,Tasks[[#This Row],[_LeafFcstFinish]]&lt;=LookaheadEnd),Tasks[[#This Row],[_LeafFcstFinish]]+Tasks[[#This Row],[_Row]]/100000,"")</f>
        <v/>
      </c>
      <c r="DN96" s="41" t="str">
        <f aca="false">IF(Tasks[[#This Row],[_LeafCritical]],Tasks[[#This Row],[_LeafFcstStart]]+Tasks[[#This Row],[_Row]]/100000,"")</f>
        <v/>
      </c>
      <c r="DO96" s="41" t="n">
        <f aca="false">Tasks[[#This Row],[_LeafWork]]*Tasks[[#This Row],[_LeafProgress]]</f>
        <v>0</v>
      </c>
      <c r="DP96" s="100" t="str">
        <f aca="false">IF(AND(Tasks[[#This Row],[_IsLeaf]]=1,Tasks[[#This Row],[_LeafProgress]]&gt;=1),IF(N(Tasks[[#This Row],[Actual Finish]])&gt;0,Tasks[[#This Row],[Actual Finish]],Tasks[[#This Row],[_LeafFcstFinish]]),"")</f>
        <v/>
      </c>
      <c r="DQ96" s="41" t="n">
        <f aca="false">IF(Tasks[[#This Row],[_IsLeaf]]=1,N(Tasks[[#This Row],[Story Points]]),0)</f>
        <v>0</v>
      </c>
      <c r="DR96" s="41" t="str">
        <f aca="false">IF(AND(Tasks[[#This Row],[_IsLeaf]]=1,CurrentSprint&lt;&gt;"",Tasks[[#This Row],[Sprint]]=CurrentSprint),Tasks[[#This Row],[_Row]],"")</f>
        <v/>
      </c>
    </row>
    <row r="97" customFormat="false" ht="15" hidden="false" customHeight="false" outlineLevel="0" collapsed="false">
      <c r="A97" s="28" t="str">
        <f aca="false">IF(Tasks[[#This Row],[Task Name]]="","",COUNTA(Tasks[[#Headers],[Task Name]]:Tasks[[#This Row],[Task Name]])-1)</f>
        <v/>
      </c>
      <c r="B97" s="29" t="n">
        <v>92</v>
      </c>
      <c r="C9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7" s="29"/>
      <c r="E97" s="30"/>
      <c r="F97" s="29"/>
      <c r="G97" s="29"/>
      <c r="H97" s="29"/>
      <c r="I97" s="29"/>
      <c r="J97" s="29"/>
      <c r="K97" s="29"/>
      <c r="L97" s="29"/>
      <c r="M97" s="29"/>
      <c r="N97" s="73"/>
      <c r="O97" s="73"/>
      <c r="P97" s="25" t="str">
        <f aca="false">IF(Tasks[[#This Row],[Task Name]]="","",IF(N(Tasks[[#This Row],[Baseline Start]])&gt;0,Tasks[[#This Row],[Baseline Start]],Tasks[[#This Row],[_CalcStart]]))</f>
        <v/>
      </c>
      <c r="Q97" s="25" t="str">
        <f aca="false">IF(Tasks[[#This Row],[Task Name]]="","",IF(N(Tasks[[#This Row],[Baseline Finish]])&gt;0,Tasks[[#This Row],[Baseline Finish]],Tasks[[#This Row],[_CalcFinish]]))</f>
        <v/>
      </c>
      <c r="R97" s="73"/>
      <c r="S97" s="73"/>
      <c r="T97" s="25" t="str">
        <f aca="false">IF(Tasks[[#This Row],[Task Name]]="","",IF(Tasks[[#This Row],[_IsSummary]],MIN(INDEX(Tasks[_LeafFcstStart],Tasks[[#This Row],[_Row]]+1):INDEX(Tasks[_LeafFcstStart],Tasks[[#This Row],[_Row]]+Tasks[[#This Row],[_Descendants]])),Tasks[[#This Row],[_LeafFcstStart]]))</f>
        <v/>
      </c>
      <c r="U97" s="25" t="str">
        <f aca="false">IF(Tasks[[#This Row],[Task Name]]="","",IF(Tasks[[#This Row],[_IsSummary]],MAX(INDEX(Tasks[_LeafFcstFinish],Tasks[[#This Row],[_Row]]+1):INDEX(Tasks[_LeafFcstFinish],Tasks[[#This Row],[_Row]]+Tasks[[#This Row],[_Descendants]])),Tasks[[#This Row],[_LeafFcstFinish]]))</f>
        <v/>
      </c>
      <c r="V9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9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7" s="25" t="str">
        <f aca="false">IF(Tasks[[#This Row],[Task Name]]="","",IF(Tasks[[#This Row],[_IsSummary]],MIN(INDEX(Tasks[_LeafLateStart],Tasks[[#This Row],[_Row]]+1):INDEX(Tasks[_LeafLateStart],Tasks[[#This Row],[_Row]]+Tasks[[#This Row],[_Descendants]])),Tasks[[#This Row],[_LeafLateStart]]))</f>
        <v/>
      </c>
      <c r="Y97" s="25" t="str">
        <f aca="false">IF(Tasks[[#This Row],[Task Name]]="","",IF(Tasks[[#This Row],[_IsSummary]],MAX(INDEX(Tasks[_LeafLateFinish],Tasks[[#This Row],[_Row]]+1):INDEX(Tasks[_LeafLateFinish],Tasks[[#This Row],[_Row]]+Tasks[[#This Row],[_Descendants]])),Tasks[[#This Row],[_LeafLateFinish]]))</f>
        <v/>
      </c>
      <c r="Z97" s="43" t="str">
        <f aca="false">IF(Tasks[[#This Row],[Task Name]]="","",IF(Tasks[[#This Row],[_IsSummary]],MIN(INDEX(Tasks[_LeafTotalSlack],Tasks[[#This Row],[_Row]]+1):INDEX(Tasks[_LeafTotalSlack],Tasks[[#This Row],[_Row]]+Tasks[[#This Row],[_Descendants]])),Tasks[[#This Row],[_LeafTotalSlack]]))</f>
        <v/>
      </c>
      <c r="AA9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7" s="28" t="str">
        <f aca="false">IF(Tasks[[#This Row],[Task Name]]="","",IF(IF(Tasks[[#This Row],[_IsSummary]],COUNTIF(INDEX(Tasks[_LeafCritical],Tasks[[#This Row],[_Row]]+1):INDEX(Tasks[_LeafCritical],Tasks[[#This Row],[_Row]]+Tasks[[#This Row],[_Descendants]]),TRUE())&gt;0,Tasks[[#This Row],[_LeafCritical]]),"Yes",""))</f>
        <v/>
      </c>
      <c r="AC9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7" s="24" t="str">
        <f aca="false">IF(Tasks[[#This Row],[Task Name]]="","",TRIM(IF(Tasks[[#This Row],[_Pred1Problem]]&lt;&gt;"","Pred 1: "&amp;Tasks[[#This Row],[_Pred1Problem]]&amp;". ","")&amp;IF(Tasks[[#This Row],[_Pred2Problem]]&lt;&gt;"","Pred 2: "&amp;Tasks[[#This Row],[_Pred2Problem]]&amp;".","")))</f>
        <v/>
      </c>
      <c r="AE97" s="88"/>
      <c r="AF97"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7" s="28" t="str">
        <f aca="false">IF(Tasks[[#This Row],[Task Name]]="","",IF(Tasks[[#This Row],[Progress]]&gt;=1,"Complete",IF(OR(N(Tasks[[#This Row],[Actual Start]])&gt;0,Tasks[[#This Row],[Progress]]&gt;0),IF(Tasks[[#This Row],[Finish Var]]&gt;0,"Behind","In Progress"),IF(Tasks[[#This Row],[Planned Start]]&lt;StatusDate,"Late Start","Not Started"))))</f>
        <v/>
      </c>
      <c r="AH97" s="30"/>
      <c r="AI97" s="88"/>
      <c r="AJ97" s="95" t="str">
        <f aca="false">IF(Tasks[[#This Row],[Task Name]]="","",IF(Tasks[[#This Row],[_IsSummary]],SUM(INDEX(Tasks[_LeafWork],Tasks[[#This Row],[_Row]]+1):INDEX(Tasks[_LeafWork],Tasks[[#This Row],[_Row]]+Tasks[[#This Row],[_Descendants]])),Tasks[[#This Row],[_LeafWork]]))</f>
        <v/>
      </c>
      <c r="AK97" s="96" t="str">
        <f aca="false">IF(Tasks[[#This Row],[Task Name]]="","",IF(Tasks[[#This Row],[_IsSummary]],SUM(INDEX(Tasks[_LeafCost],Tasks[[#This Row],[_Row]]+1):INDEX(Tasks[_LeafCost],Tasks[[#This Row],[_Row]]+Tasks[[#This Row],[_Descendants]])),Tasks[[#This Row],[_LeafCost]]))</f>
        <v/>
      </c>
      <c r="AL97" s="97"/>
      <c r="AM97" s="29"/>
      <c r="AN9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97" s="82"/>
      <c r="AP97" s="24" t="str">
        <f aca="false">IF(Tasks[[#This Row],[Task Name]]="","",Tasks[[#This Row],[_Pred1IDText]]&amp;IF(AND(Tasks[[#This Row],[_Pred1IDText]]&lt;&gt;"",Tasks[[#This Row],[_Pred2IDText]]&lt;&gt;""),",","")&amp;Tasks[[#This Row],[_Pred2IDText]])</f>
        <v/>
      </c>
      <c r="AQ97" s="30"/>
      <c r="AR97" s="25" t="str">
        <f aca="false">IF(Tasks[[#This Row],[Task Name]]="","",Tasks[[#This Row],[Forecast Start]])</f>
        <v/>
      </c>
      <c r="AS97" s="25" t="str">
        <f aca="false">IF(Tasks[[#This Row],[Task Name]]="","",Tasks[[#This Row],[Forecast Finish]])</f>
        <v/>
      </c>
      <c r="AT97" s="28" t="str">
        <f aca="false">IF(Tasks[[#This Row],[Task Name]]="","",IF(Tasks[[#This Row],[_IsSummary]],NETWORKDAYS.INTL(Tasks[[#This Row],[Forecast Start]],Tasks[[#This Row],[Forecast Finish]],WorkWeek,Holidays),N(Tasks[[#This Row],[Duration]])))</f>
        <v/>
      </c>
      <c r="AU97" s="95" t="str">
        <f aca="false">IF(Tasks[[#This Row],[Task Name]]="","",Tasks[[#This Row],[Work]])</f>
        <v/>
      </c>
      <c r="AV97" s="96" t="str">
        <f aca="false">IF(Tasks[[#This Row],[Task Name]]="","",Tasks[[#This Row],[Cost]])</f>
        <v/>
      </c>
      <c r="AW97" s="73"/>
      <c r="AX97" s="73"/>
      <c r="AY97" s="29"/>
      <c r="AZ97" s="98"/>
      <c r="BA97" s="97"/>
      <c r="BB97" s="28" t="str">
        <f aca="false">IF(OR(Tasks[[#This Row],[Task Name]]="",Tasks[[#This Row],[Baseline Duration]]=""),"",Tasks[[#This Row],[BL Source Duration]]-N(Tasks[[#This Row],[Baseline Duration]]))</f>
        <v/>
      </c>
      <c r="BC97" s="95" t="str">
        <f aca="false">IF(OR(Tasks[[#This Row],[Task Name]]="",Tasks[[#This Row],[Baseline Work]]=""),"",Tasks[[#This Row],[Work]]-N(Tasks[[#This Row],[Baseline Work]]))</f>
        <v/>
      </c>
      <c r="BD97" s="96" t="str">
        <f aca="false">IF(OR(Tasks[[#This Row],[Task Name]]="",Tasks[[#This Row],[Baseline Cost]]=""),"",Tasks[[#This Row],[Cost]]-N(Tasks[[#This Row],[Baseline Cost]]))</f>
        <v/>
      </c>
      <c r="BE97" s="96" t="str">
        <f aca="false">IF(Tasks[[#This Row],[Task Name]]="","",IF(Tasks[[#This Row],[_IsSummary]],SUM(INDEX(Tasks[_LeafBudget],Tasks[[#This Row],[_Row]]+1):INDEX(Tasks[_LeafBudget],Tasks[[#This Row],[_Row]]+Tasks[[#This Row],[_Descendants]])),Tasks[[#This Row],[_LeafBudget]]))</f>
        <v/>
      </c>
      <c r="BF97" s="96" t="str">
        <f aca="false">IF(Tasks[[#This Row],[Task Name]]="","",IF(Tasks[[#This Row],[_IsSummary]],SUM(INDEX(Tasks[_LeafPV],Tasks[[#This Row],[_Row]]+1):INDEX(Tasks[_LeafPV],Tasks[[#This Row],[_Row]]+Tasks[[#This Row],[_Descendants]])),Tasks[[#This Row],[_LeafPV]]))</f>
        <v/>
      </c>
      <c r="BG97" s="96" t="str">
        <f aca="false">IF(Tasks[[#This Row],[Task Name]]="","",IF(Tasks[[#This Row],[_IsSummary]],SUM(INDEX(Tasks[_LeafEV],Tasks[[#This Row],[_Row]]+1):INDEX(Tasks[_LeafEV],Tasks[[#This Row],[_Row]]+Tasks[[#This Row],[_Descendants]])),Tasks[[#This Row],[_LeafEV]]))</f>
        <v/>
      </c>
      <c r="BH97" s="96" t="str">
        <f aca="false">IF(Tasks[[#This Row],[Task Name]]="","",IF(Tasks[[#This Row],[_IsSummary]],SUM(INDEX(Tasks[_LeafAC],Tasks[[#This Row],[_Row]]+1):INDEX(Tasks[_LeafAC],Tasks[[#This Row],[_Row]]+Tasks[[#This Row],[_Descendants]])),Tasks[[#This Row],[_LeafAC]]))</f>
        <v/>
      </c>
      <c r="BI97" s="41" t="str">
        <f aca="false">IF(Tasks[[#This Row],[Task Name]]="","",MAX(1,N(Tasks[[#This Row],[Level]])))</f>
        <v/>
      </c>
      <c r="BJ97" s="41" t="n">
        <f aca="false">ROW()-ROW(Tasks[[#Headers],[ID]])</f>
        <v>92</v>
      </c>
      <c r="BK97" s="41" t="n">
        <f aca="false">IF(OR(Tasks[[#This Row],[Task Name]]="",Tasks[[#This Row],[_Level]]&lt;=1),0,IFERROR(LOOKUP(2,1/(Tasks[[#Headers],[_Level]]:Tasks[[#This Row],[_Level]]=Tasks[[#This Row],[_Level]]-1),ROW(Tasks[[#Headers],[_Level]]:Tasks[[#This Row],[_Level]])),0))</f>
        <v>0</v>
      </c>
      <c r="BL97" s="41" t="n">
        <f aca="false">IFERROR(N(INDEX(Tasks[_Level],Tasks[[#This Row],[_Row]]+1)),0)</f>
        <v>0</v>
      </c>
      <c r="BM97" s="99" t="b">
        <f aca="false">AND(Tasks[[#This Row],[Task Name]]&lt;&gt;"",Tasks[[#This Row],[_NextLevel]]&gt;Tasks[[#This Row],[_Level]])</f>
        <v>0</v>
      </c>
      <c r="BN97" s="41" t="n">
        <f aca="false">IF(Tasks[[#This Row],[_IsSummary]],COUNTIF(Tasks[WBS],Tasks[[#This Row],[WBS]]&amp;".*"),0)</f>
        <v>0</v>
      </c>
      <c r="BO97" s="41" t="n">
        <f aca="false">IF(AND(Tasks[[#This Row],[Task Name]]&lt;&gt;"",NOT(Tasks[[#This Row],[_IsSummary]])),1,0)</f>
        <v>0</v>
      </c>
      <c r="BP97" s="41" t="n">
        <f aca="false">IF(N(Tasks[[#This Row],[Pred1 UID]])=0,0,IFERROR(MATCH(Tasks[[#This Row],[Pred1 UID]],Tasks[UID],0),-1))</f>
        <v>0</v>
      </c>
      <c r="BQ97" s="41" t="n">
        <f aca="false">IF(N(Tasks[[#This Row],[Pred2 UID]])=0,0,IFERROR(MATCH(Tasks[[#This Row],[Pred2 UID]],Tasks[UID],0),-1))</f>
        <v>0</v>
      </c>
      <c r="BR97"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97" s="100" t="str">
        <f aca="false">IF(NOT(Tasks[[#This Row],[_IsLeaf]]=1),"",IF(N(Tasks[[#This Row],[Duration]])&lt;=0,Tasks[[#This Row],[_LeafCalcStart]],WORKDAY.INTL(Tasks[[#This Row],[_LeafCalcStart]],Tasks[[#This Row],[Duration]]-1,WorkWeek,Holidays)))</f>
        <v/>
      </c>
      <c r="BT97"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97"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97" s="41" t="n">
        <f aca="false">IF(NOT(Tasks[[#This Row],[_IsLeaf]]=1),0,IF(N(Tasks[[#This Row],[Actual Finish]])&gt;0,1,MIN(1,N(Tasks[[#This Row],[% Complete]]))))</f>
        <v>0</v>
      </c>
      <c r="BW97" s="41" t="n">
        <f aca="false">IF(OR(NOT(Tasks[[#This Row],[_IsLeaf]]=1),Tasks[[#This Row],[Resource]]=""),0,N(Tasks[[#This Row],[Duration]])*HoursPerDay*IF(Tasks[[#This Row],[Units]]="",DefaultUnits,Tasks[[#This Row],[Units]]))</f>
        <v>0</v>
      </c>
      <c r="BX97" s="41" t="n">
        <f aca="false">IF(Tasks[[#This Row],[_LeafWork]]=0,0,Tasks[[#This Row],[_LeafWork]]*IFERROR(INDEX(res_Rate,MATCH(Tasks[[#This Row],[Resource]],res_Name,0)),0))</f>
        <v>0</v>
      </c>
      <c r="BY9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9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9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9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97" s="41" t="n">
        <f aca="false">IF(NOT(Tasks[[#This Row],[_IsLeaf]]=1),0,MAX(_xlfn.MAXIFS(Tasks[_Row],Tasks[Pred1 UID],Tasks[[#This Row],[UID]]),_xlfn.MAXIFS(Tasks[_Row],Tasks[Pred2 UID],Tasks[[#This Row],[UID]])))</f>
        <v>0</v>
      </c>
      <c r="CD97"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97" s="100" t="str">
        <f aca="false">IF(NOT(Tasks[[#This Row],[_IsLeaf]]=1),"",MIN(ProjectFinish,IF(N(Tasks[[#This Row],[Deadline]])&gt;0,Tasks[[#This Row],[Deadline]],2958465),Tasks[[#This Row],[_SuccessorFinishLimit]]))</f>
        <v/>
      </c>
      <c r="CF97" s="100" t="str">
        <f aca="false">IF(NOT(Tasks[[#This Row],[_IsLeaf]]=1),"",IF(N(Tasks[[#This Row],[Duration]])&lt;=0,Tasks[[#This Row],[_LeafLateFinish]],WORKDAY.INTL(Tasks[[#This Row],[_LeafLateFinish]],-(Tasks[[#This Row],[Duration]]-1),WorkWeek,Holidays)))</f>
        <v/>
      </c>
      <c r="CG9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97" s="99" t="b">
        <f aca="false">AND(Tasks[[#This Row],[_IsLeaf]]=1,Tasks[[#This Row],[_LeafProgress]]&lt;1,N(Tasks[[#This Row],[_LeafTotalSlack]])&lt;=CriticalSlackDays)</f>
        <v>0</v>
      </c>
      <c r="CI97" s="100" t="str">
        <f aca="false">IF(Tasks[[#This Row],[Task Name]]="","",IF(Tasks[[#This Row],[_IsSummary]],MIN(INDEX(Tasks[_LeafCalcStart],Tasks[[#This Row],[_Row]]+1):INDEX(Tasks[_LeafCalcStart],Tasks[[#This Row],[_Row]]+Tasks[[#This Row],[_Descendants]])),Tasks[[#This Row],[_LeafCalcStart]]))</f>
        <v/>
      </c>
      <c r="CJ97" s="100" t="str">
        <f aca="false">IF(Tasks[[#This Row],[Task Name]]="","",IF(Tasks[[#This Row],[_IsSummary]],MAX(INDEX(Tasks[_LeafCalcFinish],Tasks[[#This Row],[_Row]]+1):INDEX(Tasks[_LeafCalcFinish],Tasks[[#This Row],[_Row]]+Tasks[[#This Row],[_Descendants]])),Tasks[[#This Row],[_LeafCalcFinish]]))</f>
        <v/>
      </c>
      <c r="CK9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9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97"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97"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97"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97"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97" s="41" t="n">
        <f aca="false">IF(AND(Tasks[[#This Row],[_IsLeaf]]=1,Tasks[[#This Row],[_LeafWork]]&gt;0),NETWORKDAYS.INTL(ProjectStart,Tasks[[#This Row],[_LeafFcstStart]],WorkWeek,Holidays),0)</f>
        <v>0</v>
      </c>
      <c r="CR97" s="41" t="n">
        <f aca="false">IF(AND(Tasks[[#This Row],[_IsLeaf]]=1,Tasks[[#This Row],[_LeafWork]]&gt;0),MAX(Tasks[[#This Row],[_StartWorkday]],NETWORKDAYS.INTL(ProjectStart,Tasks[[#This Row],[_LeafFcstFinish]],WorkWeek,Holidays)),0)</f>
        <v>0</v>
      </c>
      <c r="CS97" s="41" t="n">
        <f aca="false">IF(AND(Tasks[[#This Row],[_IsLeaf]]=1,Tasks[[#This Row],[_LeafWork]]&gt;0),Tasks[[#This Row],[_LeafWork]]/(Tasks[[#This Row],[_FinishWorkday]]-Tasks[[#This Row],[_StartWorkday]]+1),0)</f>
        <v>0</v>
      </c>
      <c r="CT97" s="41" t="n">
        <f aca="false">Tasks[[#This Row],[_WorkPerWorkday]]*(Tasks[[#This Row],[_StartWorkday]]-1)</f>
        <v>-0</v>
      </c>
      <c r="CU97" s="41" t="n">
        <f aca="false">IF(Tasks[[#This Row],[_IsLeaf]]=1,MAX(N(Tasks[[#This Row],[Duration]]),0.1),0)</f>
        <v>0</v>
      </c>
      <c r="CV97" s="41" t="n">
        <f aca="false">Tasks[[#This Row],[_WeightDur]]*Tasks[[#This Row],[_LeafProgress]]</f>
        <v>0</v>
      </c>
      <c r="CW9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9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9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9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97" s="41" t="str">
        <f aca="false">IF(Tasks[[#This Row],[Task Name]]="","",Tasks[[#This Row],[_Pred1UIDText]]&amp;IF(AND(Tasks[[#This Row],[_Pred1UIDText]]&lt;&gt;"",Tasks[[#This Row],[_Pred2UIDText]]&lt;&gt;""),",","")&amp;Tasks[[#This Row],[_Pred2UIDText]])</f>
        <v/>
      </c>
      <c r="DB97" s="41" t="str">
        <f aca="false">IF(AND(Tasks[[#This Row],[_IsLeaf]]=1,N(Tasks[[#This Row],[Duration]])=0,Tasks[[#This Row],[_LeafProgress]]&lt;1),Tasks[[#This Row],[_LeafFcstFinish]]+Tasks[[#This Row],[_Row]]/100000,"")</f>
        <v/>
      </c>
      <c r="DC9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97" s="41" t="n">
        <f aca="false">IF(NOT(Tasks[[#This Row],[_IsLeaf]]=1),0,IF(Tasks[[#This Row],[Baseline Cost]]="",Tasks[[#This Row],[_LeafCost]],N(Tasks[[#This Row],[Baseline Cost]])))</f>
        <v>0</v>
      </c>
      <c r="DE97" s="41" t="n">
        <f aca="false">Tasks[[#This Row],[_LeafBudget]]*Tasks[[#This Row],[_PlannedPct]]</f>
        <v>0</v>
      </c>
      <c r="DF97" s="41" t="n">
        <f aca="false">Tasks[[#This Row],[_LeafBudget]]*Tasks[[#This Row],[_LeafProgress]]</f>
        <v>0</v>
      </c>
      <c r="DG97" s="41" t="n">
        <f aca="false">IF(NOT(Tasks[[#This Row],[_IsLeaf]]=1),0,IF(Tasks[[#This Row],[Actual Cost]]="",Tasks[[#This Row],[_LeafCost]]*Tasks[[#This Row],[_LeafProgress]],N(Tasks[[#This Row],[Actual Cost]])))</f>
        <v>0</v>
      </c>
      <c r="DH97" s="41" t="str">
        <f aca="false">IF(Tasks[[#This Row],[Task Name]]="","",LEFT(Tasks[[#This Row],[WBS]],FIND(".",Tasks[[#This Row],[WBS]]&amp;".")-1))</f>
        <v/>
      </c>
      <c r="DI97" s="41" t="str">
        <f aca="false">IF(AND(Tasks[[#This Row],[Task Name]]&lt;&gt;"",Tasks[[#This Row],[_Level]]=1),Tasks[[#This Row],[_Row]],"")</f>
        <v/>
      </c>
      <c r="DJ97" s="41" t="str">
        <f aca="false">IF(AND(Tasks[[#This Row],[_IsLeaf]]=1,N(Tasks[[#This Row],[Duration]])=0),Tasks[[#This Row],[Planned Finish]]+Tasks[[#This Row],[_Row]]/100000,"")</f>
        <v/>
      </c>
      <c r="DK97" s="41" t="str">
        <f aca="false">IF(AND(Tasks[[#This Row],[_IsLeaf]]=1,Tasks[[#This Row],[_LeafProgress]]&lt;1,OR(N(Tasks[[#This Row],[Finish Var]])&gt;0,Tasks[[#This Row],[Status]]="Late Start")),MAX(0,Tasks[[#This Row],[Finish Var]])+1-Tasks[[#This Row],[_Row]]/1000000,"")</f>
        <v/>
      </c>
      <c r="DL97" s="41" t="str">
        <f aca="false">IF(AND(Tasks[[#This Row],[_IsLeaf]]=1,N(Tasks[[#This Row],[Actual Start]])=0,Tasks[[#This Row],[_LeafFcstStart]]&gt;=StatusDate,Tasks[[#This Row],[_LeafFcstStart]]&lt;=LookaheadEnd),Tasks[[#This Row],[_LeafFcstStart]]+Tasks[[#This Row],[_Row]]/100000,"")</f>
        <v/>
      </c>
      <c r="DM97" s="41" t="str">
        <f aca="false">IF(AND(Tasks[[#This Row],[_IsLeaf]]=1,Tasks[[#This Row],[_LeafProgress]]&lt;1,Tasks[[#This Row],[_LeafFcstFinish]]&gt;=StatusDate,Tasks[[#This Row],[_LeafFcstFinish]]&lt;=LookaheadEnd),Tasks[[#This Row],[_LeafFcstFinish]]+Tasks[[#This Row],[_Row]]/100000,"")</f>
        <v/>
      </c>
      <c r="DN97" s="41" t="str">
        <f aca="false">IF(Tasks[[#This Row],[_LeafCritical]],Tasks[[#This Row],[_LeafFcstStart]]+Tasks[[#This Row],[_Row]]/100000,"")</f>
        <v/>
      </c>
      <c r="DO97" s="41" t="n">
        <f aca="false">Tasks[[#This Row],[_LeafWork]]*Tasks[[#This Row],[_LeafProgress]]</f>
        <v>0</v>
      </c>
      <c r="DP97" s="100" t="str">
        <f aca="false">IF(AND(Tasks[[#This Row],[_IsLeaf]]=1,Tasks[[#This Row],[_LeafProgress]]&gt;=1),IF(N(Tasks[[#This Row],[Actual Finish]])&gt;0,Tasks[[#This Row],[Actual Finish]],Tasks[[#This Row],[_LeafFcstFinish]]),"")</f>
        <v/>
      </c>
      <c r="DQ97" s="41" t="n">
        <f aca="false">IF(Tasks[[#This Row],[_IsLeaf]]=1,N(Tasks[[#This Row],[Story Points]]),0)</f>
        <v>0</v>
      </c>
      <c r="DR97" s="41" t="str">
        <f aca="false">IF(AND(Tasks[[#This Row],[_IsLeaf]]=1,CurrentSprint&lt;&gt;"",Tasks[[#This Row],[Sprint]]=CurrentSprint),Tasks[[#This Row],[_Row]],"")</f>
        <v/>
      </c>
    </row>
    <row r="98" customFormat="false" ht="15" hidden="false" customHeight="false" outlineLevel="0" collapsed="false">
      <c r="A98" s="28" t="str">
        <f aca="false">IF(Tasks[[#This Row],[Task Name]]="","",COUNTA(Tasks[[#Headers],[Task Name]]:Tasks[[#This Row],[Task Name]])-1)</f>
        <v/>
      </c>
      <c r="B98" s="29" t="n">
        <v>93</v>
      </c>
      <c r="C9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8" s="29"/>
      <c r="E98" s="30"/>
      <c r="F98" s="29"/>
      <c r="G98" s="29"/>
      <c r="H98" s="29"/>
      <c r="I98" s="29"/>
      <c r="J98" s="29"/>
      <c r="K98" s="29"/>
      <c r="L98" s="29"/>
      <c r="M98" s="29"/>
      <c r="N98" s="73"/>
      <c r="O98" s="73"/>
      <c r="P98" s="25" t="str">
        <f aca="false">IF(Tasks[[#This Row],[Task Name]]="","",IF(N(Tasks[[#This Row],[Baseline Start]])&gt;0,Tasks[[#This Row],[Baseline Start]],Tasks[[#This Row],[_CalcStart]]))</f>
        <v/>
      </c>
      <c r="Q98" s="25" t="str">
        <f aca="false">IF(Tasks[[#This Row],[Task Name]]="","",IF(N(Tasks[[#This Row],[Baseline Finish]])&gt;0,Tasks[[#This Row],[Baseline Finish]],Tasks[[#This Row],[_CalcFinish]]))</f>
        <v/>
      </c>
      <c r="R98" s="73"/>
      <c r="S98" s="73"/>
      <c r="T98" s="25" t="str">
        <f aca="false">IF(Tasks[[#This Row],[Task Name]]="","",IF(Tasks[[#This Row],[_IsSummary]],MIN(INDEX(Tasks[_LeafFcstStart],Tasks[[#This Row],[_Row]]+1):INDEX(Tasks[_LeafFcstStart],Tasks[[#This Row],[_Row]]+Tasks[[#This Row],[_Descendants]])),Tasks[[#This Row],[_LeafFcstStart]]))</f>
        <v/>
      </c>
      <c r="U98" s="25" t="str">
        <f aca="false">IF(Tasks[[#This Row],[Task Name]]="","",IF(Tasks[[#This Row],[_IsSummary]],MAX(INDEX(Tasks[_LeafFcstFinish],Tasks[[#This Row],[_Row]]+1):INDEX(Tasks[_LeafFcstFinish],Tasks[[#This Row],[_Row]]+Tasks[[#This Row],[_Descendants]])),Tasks[[#This Row],[_LeafFcstFinish]]))</f>
        <v/>
      </c>
      <c r="V9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9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8" s="25" t="str">
        <f aca="false">IF(Tasks[[#This Row],[Task Name]]="","",IF(Tasks[[#This Row],[_IsSummary]],MIN(INDEX(Tasks[_LeafLateStart],Tasks[[#This Row],[_Row]]+1):INDEX(Tasks[_LeafLateStart],Tasks[[#This Row],[_Row]]+Tasks[[#This Row],[_Descendants]])),Tasks[[#This Row],[_LeafLateStart]]))</f>
        <v/>
      </c>
      <c r="Y98" s="25" t="str">
        <f aca="false">IF(Tasks[[#This Row],[Task Name]]="","",IF(Tasks[[#This Row],[_IsSummary]],MAX(INDEX(Tasks[_LeafLateFinish],Tasks[[#This Row],[_Row]]+1):INDEX(Tasks[_LeafLateFinish],Tasks[[#This Row],[_Row]]+Tasks[[#This Row],[_Descendants]])),Tasks[[#This Row],[_LeafLateFinish]]))</f>
        <v/>
      </c>
      <c r="Z98" s="43" t="str">
        <f aca="false">IF(Tasks[[#This Row],[Task Name]]="","",IF(Tasks[[#This Row],[_IsSummary]],MIN(INDEX(Tasks[_LeafTotalSlack],Tasks[[#This Row],[_Row]]+1):INDEX(Tasks[_LeafTotalSlack],Tasks[[#This Row],[_Row]]+Tasks[[#This Row],[_Descendants]])),Tasks[[#This Row],[_LeafTotalSlack]]))</f>
        <v/>
      </c>
      <c r="AA9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8" s="28" t="str">
        <f aca="false">IF(Tasks[[#This Row],[Task Name]]="","",IF(IF(Tasks[[#This Row],[_IsSummary]],COUNTIF(INDEX(Tasks[_LeafCritical],Tasks[[#This Row],[_Row]]+1):INDEX(Tasks[_LeafCritical],Tasks[[#This Row],[_Row]]+Tasks[[#This Row],[_Descendants]]),TRUE())&gt;0,Tasks[[#This Row],[_LeafCritical]]),"Yes",""))</f>
        <v/>
      </c>
      <c r="AC9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8" s="24" t="str">
        <f aca="false">IF(Tasks[[#This Row],[Task Name]]="","",TRIM(IF(Tasks[[#This Row],[_Pred1Problem]]&lt;&gt;"","Pred 1: "&amp;Tasks[[#This Row],[_Pred1Problem]]&amp;". ","")&amp;IF(Tasks[[#This Row],[_Pred2Problem]]&lt;&gt;"","Pred 2: "&amp;Tasks[[#This Row],[_Pred2Problem]]&amp;".","")))</f>
        <v/>
      </c>
      <c r="AE98" s="88"/>
      <c r="AF98"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8" s="28" t="str">
        <f aca="false">IF(Tasks[[#This Row],[Task Name]]="","",IF(Tasks[[#This Row],[Progress]]&gt;=1,"Complete",IF(OR(N(Tasks[[#This Row],[Actual Start]])&gt;0,Tasks[[#This Row],[Progress]]&gt;0),IF(Tasks[[#This Row],[Finish Var]]&gt;0,"Behind","In Progress"),IF(Tasks[[#This Row],[Planned Start]]&lt;StatusDate,"Late Start","Not Started"))))</f>
        <v/>
      </c>
      <c r="AH98" s="30"/>
      <c r="AI98" s="88"/>
      <c r="AJ98" s="95" t="str">
        <f aca="false">IF(Tasks[[#This Row],[Task Name]]="","",IF(Tasks[[#This Row],[_IsSummary]],SUM(INDEX(Tasks[_LeafWork],Tasks[[#This Row],[_Row]]+1):INDEX(Tasks[_LeafWork],Tasks[[#This Row],[_Row]]+Tasks[[#This Row],[_Descendants]])),Tasks[[#This Row],[_LeafWork]]))</f>
        <v/>
      </c>
      <c r="AK98" s="96" t="str">
        <f aca="false">IF(Tasks[[#This Row],[Task Name]]="","",IF(Tasks[[#This Row],[_IsSummary]],SUM(INDEX(Tasks[_LeafCost],Tasks[[#This Row],[_Row]]+1):INDEX(Tasks[_LeafCost],Tasks[[#This Row],[_Row]]+Tasks[[#This Row],[_Descendants]])),Tasks[[#This Row],[_LeafCost]]))</f>
        <v/>
      </c>
      <c r="AL98" s="97"/>
      <c r="AM98" s="29"/>
      <c r="AN9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98" s="82"/>
      <c r="AP98" s="24" t="str">
        <f aca="false">IF(Tasks[[#This Row],[Task Name]]="","",Tasks[[#This Row],[_Pred1IDText]]&amp;IF(AND(Tasks[[#This Row],[_Pred1IDText]]&lt;&gt;"",Tasks[[#This Row],[_Pred2IDText]]&lt;&gt;""),",","")&amp;Tasks[[#This Row],[_Pred2IDText]])</f>
        <v/>
      </c>
      <c r="AQ98" s="30"/>
      <c r="AR98" s="25" t="str">
        <f aca="false">IF(Tasks[[#This Row],[Task Name]]="","",Tasks[[#This Row],[Forecast Start]])</f>
        <v/>
      </c>
      <c r="AS98" s="25" t="str">
        <f aca="false">IF(Tasks[[#This Row],[Task Name]]="","",Tasks[[#This Row],[Forecast Finish]])</f>
        <v/>
      </c>
      <c r="AT98" s="28" t="str">
        <f aca="false">IF(Tasks[[#This Row],[Task Name]]="","",IF(Tasks[[#This Row],[_IsSummary]],NETWORKDAYS.INTL(Tasks[[#This Row],[Forecast Start]],Tasks[[#This Row],[Forecast Finish]],WorkWeek,Holidays),N(Tasks[[#This Row],[Duration]])))</f>
        <v/>
      </c>
      <c r="AU98" s="95" t="str">
        <f aca="false">IF(Tasks[[#This Row],[Task Name]]="","",Tasks[[#This Row],[Work]])</f>
        <v/>
      </c>
      <c r="AV98" s="96" t="str">
        <f aca="false">IF(Tasks[[#This Row],[Task Name]]="","",Tasks[[#This Row],[Cost]])</f>
        <v/>
      </c>
      <c r="AW98" s="73"/>
      <c r="AX98" s="73"/>
      <c r="AY98" s="29"/>
      <c r="AZ98" s="98"/>
      <c r="BA98" s="97"/>
      <c r="BB98" s="28" t="str">
        <f aca="false">IF(OR(Tasks[[#This Row],[Task Name]]="",Tasks[[#This Row],[Baseline Duration]]=""),"",Tasks[[#This Row],[BL Source Duration]]-N(Tasks[[#This Row],[Baseline Duration]]))</f>
        <v/>
      </c>
      <c r="BC98" s="95" t="str">
        <f aca="false">IF(OR(Tasks[[#This Row],[Task Name]]="",Tasks[[#This Row],[Baseline Work]]=""),"",Tasks[[#This Row],[Work]]-N(Tasks[[#This Row],[Baseline Work]]))</f>
        <v/>
      </c>
      <c r="BD98" s="96" t="str">
        <f aca="false">IF(OR(Tasks[[#This Row],[Task Name]]="",Tasks[[#This Row],[Baseline Cost]]=""),"",Tasks[[#This Row],[Cost]]-N(Tasks[[#This Row],[Baseline Cost]]))</f>
        <v/>
      </c>
      <c r="BE98" s="96" t="str">
        <f aca="false">IF(Tasks[[#This Row],[Task Name]]="","",IF(Tasks[[#This Row],[_IsSummary]],SUM(INDEX(Tasks[_LeafBudget],Tasks[[#This Row],[_Row]]+1):INDEX(Tasks[_LeafBudget],Tasks[[#This Row],[_Row]]+Tasks[[#This Row],[_Descendants]])),Tasks[[#This Row],[_LeafBudget]]))</f>
        <v/>
      </c>
      <c r="BF98" s="96" t="str">
        <f aca="false">IF(Tasks[[#This Row],[Task Name]]="","",IF(Tasks[[#This Row],[_IsSummary]],SUM(INDEX(Tasks[_LeafPV],Tasks[[#This Row],[_Row]]+1):INDEX(Tasks[_LeafPV],Tasks[[#This Row],[_Row]]+Tasks[[#This Row],[_Descendants]])),Tasks[[#This Row],[_LeafPV]]))</f>
        <v/>
      </c>
      <c r="BG98" s="96" t="str">
        <f aca="false">IF(Tasks[[#This Row],[Task Name]]="","",IF(Tasks[[#This Row],[_IsSummary]],SUM(INDEX(Tasks[_LeafEV],Tasks[[#This Row],[_Row]]+1):INDEX(Tasks[_LeafEV],Tasks[[#This Row],[_Row]]+Tasks[[#This Row],[_Descendants]])),Tasks[[#This Row],[_LeafEV]]))</f>
        <v/>
      </c>
      <c r="BH98" s="96" t="str">
        <f aca="false">IF(Tasks[[#This Row],[Task Name]]="","",IF(Tasks[[#This Row],[_IsSummary]],SUM(INDEX(Tasks[_LeafAC],Tasks[[#This Row],[_Row]]+1):INDEX(Tasks[_LeafAC],Tasks[[#This Row],[_Row]]+Tasks[[#This Row],[_Descendants]])),Tasks[[#This Row],[_LeafAC]]))</f>
        <v/>
      </c>
      <c r="BI98" s="41" t="str">
        <f aca="false">IF(Tasks[[#This Row],[Task Name]]="","",MAX(1,N(Tasks[[#This Row],[Level]])))</f>
        <v/>
      </c>
      <c r="BJ98" s="41" t="n">
        <f aca="false">ROW()-ROW(Tasks[[#Headers],[ID]])</f>
        <v>93</v>
      </c>
      <c r="BK98" s="41" t="n">
        <f aca="false">IF(OR(Tasks[[#This Row],[Task Name]]="",Tasks[[#This Row],[_Level]]&lt;=1),0,IFERROR(LOOKUP(2,1/(Tasks[[#Headers],[_Level]]:Tasks[[#This Row],[_Level]]=Tasks[[#This Row],[_Level]]-1),ROW(Tasks[[#Headers],[_Level]]:Tasks[[#This Row],[_Level]])),0))</f>
        <v>0</v>
      </c>
      <c r="BL98" s="41" t="n">
        <f aca="false">IFERROR(N(INDEX(Tasks[_Level],Tasks[[#This Row],[_Row]]+1)),0)</f>
        <v>0</v>
      </c>
      <c r="BM98" s="99" t="b">
        <f aca="false">AND(Tasks[[#This Row],[Task Name]]&lt;&gt;"",Tasks[[#This Row],[_NextLevel]]&gt;Tasks[[#This Row],[_Level]])</f>
        <v>0</v>
      </c>
      <c r="BN98" s="41" t="n">
        <f aca="false">IF(Tasks[[#This Row],[_IsSummary]],COUNTIF(Tasks[WBS],Tasks[[#This Row],[WBS]]&amp;".*"),0)</f>
        <v>0</v>
      </c>
      <c r="BO98" s="41" t="n">
        <f aca="false">IF(AND(Tasks[[#This Row],[Task Name]]&lt;&gt;"",NOT(Tasks[[#This Row],[_IsSummary]])),1,0)</f>
        <v>0</v>
      </c>
      <c r="BP98" s="41" t="n">
        <f aca="false">IF(N(Tasks[[#This Row],[Pred1 UID]])=0,0,IFERROR(MATCH(Tasks[[#This Row],[Pred1 UID]],Tasks[UID],0),-1))</f>
        <v>0</v>
      </c>
      <c r="BQ98" s="41" t="n">
        <f aca="false">IF(N(Tasks[[#This Row],[Pred2 UID]])=0,0,IFERROR(MATCH(Tasks[[#This Row],[Pred2 UID]],Tasks[UID],0),-1))</f>
        <v>0</v>
      </c>
      <c r="BR98"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98" s="100" t="str">
        <f aca="false">IF(NOT(Tasks[[#This Row],[_IsLeaf]]=1),"",IF(N(Tasks[[#This Row],[Duration]])&lt;=0,Tasks[[#This Row],[_LeafCalcStart]],WORKDAY.INTL(Tasks[[#This Row],[_LeafCalcStart]],Tasks[[#This Row],[Duration]]-1,WorkWeek,Holidays)))</f>
        <v/>
      </c>
      <c r="BT98"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98"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98" s="41" t="n">
        <f aca="false">IF(NOT(Tasks[[#This Row],[_IsLeaf]]=1),0,IF(N(Tasks[[#This Row],[Actual Finish]])&gt;0,1,MIN(1,N(Tasks[[#This Row],[% Complete]]))))</f>
        <v>0</v>
      </c>
      <c r="BW98" s="41" t="n">
        <f aca="false">IF(OR(NOT(Tasks[[#This Row],[_IsLeaf]]=1),Tasks[[#This Row],[Resource]]=""),0,N(Tasks[[#This Row],[Duration]])*HoursPerDay*IF(Tasks[[#This Row],[Units]]="",DefaultUnits,Tasks[[#This Row],[Units]]))</f>
        <v>0</v>
      </c>
      <c r="BX98" s="41" t="n">
        <f aca="false">IF(Tasks[[#This Row],[_LeafWork]]=0,0,Tasks[[#This Row],[_LeafWork]]*IFERROR(INDEX(res_Rate,MATCH(Tasks[[#This Row],[Resource]],res_Name,0)),0))</f>
        <v>0</v>
      </c>
      <c r="BY9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9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9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9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98" s="41" t="n">
        <f aca="false">IF(NOT(Tasks[[#This Row],[_IsLeaf]]=1),0,MAX(_xlfn.MAXIFS(Tasks[_Row],Tasks[Pred1 UID],Tasks[[#This Row],[UID]]),_xlfn.MAXIFS(Tasks[_Row],Tasks[Pred2 UID],Tasks[[#This Row],[UID]])))</f>
        <v>0</v>
      </c>
      <c r="CD98"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98" s="100" t="str">
        <f aca="false">IF(NOT(Tasks[[#This Row],[_IsLeaf]]=1),"",MIN(ProjectFinish,IF(N(Tasks[[#This Row],[Deadline]])&gt;0,Tasks[[#This Row],[Deadline]],2958465),Tasks[[#This Row],[_SuccessorFinishLimit]]))</f>
        <v/>
      </c>
      <c r="CF98" s="100" t="str">
        <f aca="false">IF(NOT(Tasks[[#This Row],[_IsLeaf]]=1),"",IF(N(Tasks[[#This Row],[Duration]])&lt;=0,Tasks[[#This Row],[_LeafLateFinish]],WORKDAY.INTL(Tasks[[#This Row],[_LeafLateFinish]],-(Tasks[[#This Row],[Duration]]-1),WorkWeek,Holidays)))</f>
        <v/>
      </c>
      <c r="CG9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98" s="99" t="b">
        <f aca="false">AND(Tasks[[#This Row],[_IsLeaf]]=1,Tasks[[#This Row],[_LeafProgress]]&lt;1,N(Tasks[[#This Row],[_LeafTotalSlack]])&lt;=CriticalSlackDays)</f>
        <v>0</v>
      </c>
      <c r="CI98" s="100" t="str">
        <f aca="false">IF(Tasks[[#This Row],[Task Name]]="","",IF(Tasks[[#This Row],[_IsSummary]],MIN(INDEX(Tasks[_LeafCalcStart],Tasks[[#This Row],[_Row]]+1):INDEX(Tasks[_LeafCalcStart],Tasks[[#This Row],[_Row]]+Tasks[[#This Row],[_Descendants]])),Tasks[[#This Row],[_LeafCalcStart]]))</f>
        <v/>
      </c>
      <c r="CJ98" s="100" t="str">
        <f aca="false">IF(Tasks[[#This Row],[Task Name]]="","",IF(Tasks[[#This Row],[_IsSummary]],MAX(INDEX(Tasks[_LeafCalcFinish],Tasks[[#This Row],[_Row]]+1):INDEX(Tasks[_LeafCalcFinish],Tasks[[#This Row],[_Row]]+Tasks[[#This Row],[_Descendants]])),Tasks[[#This Row],[_LeafCalcFinish]]))</f>
        <v/>
      </c>
      <c r="CK9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9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98"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98"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98"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98"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98" s="41" t="n">
        <f aca="false">IF(AND(Tasks[[#This Row],[_IsLeaf]]=1,Tasks[[#This Row],[_LeafWork]]&gt;0),NETWORKDAYS.INTL(ProjectStart,Tasks[[#This Row],[_LeafFcstStart]],WorkWeek,Holidays),0)</f>
        <v>0</v>
      </c>
      <c r="CR98" s="41" t="n">
        <f aca="false">IF(AND(Tasks[[#This Row],[_IsLeaf]]=1,Tasks[[#This Row],[_LeafWork]]&gt;0),MAX(Tasks[[#This Row],[_StartWorkday]],NETWORKDAYS.INTL(ProjectStart,Tasks[[#This Row],[_LeafFcstFinish]],WorkWeek,Holidays)),0)</f>
        <v>0</v>
      </c>
      <c r="CS98" s="41" t="n">
        <f aca="false">IF(AND(Tasks[[#This Row],[_IsLeaf]]=1,Tasks[[#This Row],[_LeafWork]]&gt;0),Tasks[[#This Row],[_LeafWork]]/(Tasks[[#This Row],[_FinishWorkday]]-Tasks[[#This Row],[_StartWorkday]]+1),0)</f>
        <v>0</v>
      </c>
      <c r="CT98" s="41" t="n">
        <f aca="false">Tasks[[#This Row],[_WorkPerWorkday]]*(Tasks[[#This Row],[_StartWorkday]]-1)</f>
        <v>-0</v>
      </c>
      <c r="CU98" s="41" t="n">
        <f aca="false">IF(Tasks[[#This Row],[_IsLeaf]]=1,MAX(N(Tasks[[#This Row],[Duration]]),0.1),0)</f>
        <v>0</v>
      </c>
      <c r="CV98" s="41" t="n">
        <f aca="false">Tasks[[#This Row],[_WeightDur]]*Tasks[[#This Row],[_LeafProgress]]</f>
        <v>0</v>
      </c>
      <c r="CW9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9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9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9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98" s="41" t="str">
        <f aca="false">IF(Tasks[[#This Row],[Task Name]]="","",Tasks[[#This Row],[_Pred1UIDText]]&amp;IF(AND(Tasks[[#This Row],[_Pred1UIDText]]&lt;&gt;"",Tasks[[#This Row],[_Pred2UIDText]]&lt;&gt;""),",","")&amp;Tasks[[#This Row],[_Pred2UIDText]])</f>
        <v/>
      </c>
      <c r="DB98" s="41" t="str">
        <f aca="false">IF(AND(Tasks[[#This Row],[_IsLeaf]]=1,N(Tasks[[#This Row],[Duration]])=0,Tasks[[#This Row],[_LeafProgress]]&lt;1),Tasks[[#This Row],[_LeafFcstFinish]]+Tasks[[#This Row],[_Row]]/100000,"")</f>
        <v/>
      </c>
      <c r="DC9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98" s="41" t="n">
        <f aca="false">IF(NOT(Tasks[[#This Row],[_IsLeaf]]=1),0,IF(Tasks[[#This Row],[Baseline Cost]]="",Tasks[[#This Row],[_LeafCost]],N(Tasks[[#This Row],[Baseline Cost]])))</f>
        <v>0</v>
      </c>
      <c r="DE98" s="41" t="n">
        <f aca="false">Tasks[[#This Row],[_LeafBudget]]*Tasks[[#This Row],[_PlannedPct]]</f>
        <v>0</v>
      </c>
      <c r="DF98" s="41" t="n">
        <f aca="false">Tasks[[#This Row],[_LeafBudget]]*Tasks[[#This Row],[_LeafProgress]]</f>
        <v>0</v>
      </c>
      <c r="DG98" s="41" t="n">
        <f aca="false">IF(NOT(Tasks[[#This Row],[_IsLeaf]]=1),0,IF(Tasks[[#This Row],[Actual Cost]]="",Tasks[[#This Row],[_LeafCost]]*Tasks[[#This Row],[_LeafProgress]],N(Tasks[[#This Row],[Actual Cost]])))</f>
        <v>0</v>
      </c>
      <c r="DH98" s="41" t="str">
        <f aca="false">IF(Tasks[[#This Row],[Task Name]]="","",LEFT(Tasks[[#This Row],[WBS]],FIND(".",Tasks[[#This Row],[WBS]]&amp;".")-1))</f>
        <v/>
      </c>
      <c r="DI98" s="41" t="str">
        <f aca="false">IF(AND(Tasks[[#This Row],[Task Name]]&lt;&gt;"",Tasks[[#This Row],[_Level]]=1),Tasks[[#This Row],[_Row]],"")</f>
        <v/>
      </c>
      <c r="DJ98" s="41" t="str">
        <f aca="false">IF(AND(Tasks[[#This Row],[_IsLeaf]]=1,N(Tasks[[#This Row],[Duration]])=0),Tasks[[#This Row],[Planned Finish]]+Tasks[[#This Row],[_Row]]/100000,"")</f>
        <v/>
      </c>
      <c r="DK98" s="41" t="str">
        <f aca="false">IF(AND(Tasks[[#This Row],[_IsLeaf]]=1,Tasks[[#This Row],[_LeafProgress]]&lt;1,OR(N(Tasks[[#This Row],[Finish Var]])&gt;0,Tasks[[#This Row],[Status]]="Late Start")),MAX(0,Tasks[[#This Row],[Finish Var]])+1-Tasks[[#This Row],[_Row]]/1000000,"")</f>
        <v/>
      </c>
      <c r="DL98" s="41" t="str">
        <f aca="false">IF(AND(Tasks[[#This Row],[_IsLeaf]]=1,N(Tasks[[#This Row],[Actual Start]])=0,Tasks[[#This Row],[_LeafFcstStart]]&gt;=StatusDate,Tasks[[#This Row],[_LeafFcstStart]]&lt;=LookaheadEnd),Tasks[[#This Row],[_LeafFcstStart]]+Tasks[[#This Row],[_Row]]/100000,"")</f>
        <v/>
      </c>
      <c r="DM98" s="41" t="str">
        <f aca="false">IF(AND(Tasks[[#This Row],[_IsLeaf]]=1,Tasks[[#This Row],[_LeafProgress]]&lt;1,Tasks[[#This Row],[_LeafFcstFinish]]&gt;=StatusDate,Tasks[[#This Row],[_LeafFcstFinish]]&lt;=LookaheadEnd),Tasks[[#This Row],[_LeafFcstFinish]]+Tasks[[#This Row],[_Row]]/100000,"")</f>
        <v/>
      </c>
      <c r="DN98" s="41" t="str">
        <f aca="false">IF(Tasks[[#This Row],[_LeafCritical]],Tasks[[#This Row],[_LeafFcstStart]]+Tasks[[#This Row],[_Row]]/100000,"")</f>
        <v/>
      </c>
      <c r="DO98" s="41" t="n">
        <f aca="false">Tasks[[#This Row],[_LeafWork]]*Tasks[[#This Row],[_LeafProgress]]</f>
        <v>0</v>
      </c>
      <c r="DP98" s="100" t="str">
        <f aca="false">IF(AND(Tasks[[#This Row],[_IsLeaf]]=1,Tasks[[#This Row],[_LeafProgress]]&gt;=1),IF(N(Tasks[[#This Row],[Actual Finish]])&gt;0,Tasks[[#This Row],[Actual Finish]],Tasks[[#This Row],[_LeafFcstFinish]]),"")</f>
        <v/>
      </c>
      <c r="DQ98" s="41" t="n">
        <f aca="false">IF(Tasks[[#This Row],[_IsLeaf]]=1,N(Tasks[[#This Row],[Story Points]]),0)</f>
        <v>0</v>
      </c>
      <c r="DR98" s="41" t="str">
        <f aca="false">IF(AND(Tasks[[#This Row],[_IsLeaf]]=1,CurrentSprint&lt;&gt;"",Tasks[[#This Row],[Sprint]]=CurrentSprint),Tasks[[#This Row],[_Row]],"")</f>
        <v/>
      </c>
    </row>
    <row r="99" customFormat="false" ht="15" hidden="false" customHeight="false" outlineLevel="0" collapsed="false">
      <c r="A99" s="28" t="str">
        <f aca="false">IF(Tasks[[#This Row],[Task Name]]="","",COUNTA(Tasks[[#Headers],[Task Name]]:Tasks[[#This Row],[Task Name]])-1)</f>
        <v/>
      </c>
      <c r="B99" s="29" t="n">
        <v>94</v>
      </c>
      <c r="C9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9" s="29"/>
      <c r="E99" s="30"/>
      <c r="F99" s="29"/>
      <c r="G99" s="29"/>
      <c r="H99" s="29"/>
      <c r="I99" s="29"/>
      <c r="J99" s="29"/>
      <c r="K99" s="29"/>
      <c r="L99" s="29"/>
      <c r="M99" s="29"/>
      <c r="N99" s="73"/>
      <c r="O99" s="73"/>
      <c r="P99" s="25" t="str">
        <f aca="false">IF(Tasks[[#This Row],[Task Name]]="","",IF(N(Tasks[[#This Row],[Baseline Start]])&gt;0,Tasks[[#This Row],[Baseline Start]],Tasks[[#This Row],[_CalcStart]]))</f>
        <v/>
      </c>
      <c r="Q99" s="25" t="str">
        <f aca="false">IF(Tasks[[#This Row],[Task Name]]="","",IF(N(Tasks[[#This Row],[Baseline Finish]])&gt;0,Tasks[[#This Row],[Baseline Finish]],Tasks[[#This Row],[_CalcFinish]]))</f>
        <v/>
      </c>
      <c r="R99" s="73"/>
      <c r="S99" s="73"/>
      <c r="T99" s="25" t="str">
        <f aca="false">IF(Tasks[[#This Row],[Task Name]]="","",IF(Tasks[[#This Row],[_IsSummary]],MIN(INDEX(Tasks[_LeafFcstStart],Tasks[[#This Row],[_Row]]+1):INDEX(Tasks[_LeafFcstStart],Tasks[[#This Row],[_Row]]+Tasks[[#This Row],[_Descendants]])),Tasks[[#This Row],[_LeafFcstStart]]))</f>
        <v/>
      </c>
      <c r="U99" s="25" t="str">
        <f aca="false">IF(Tasks[[#This Row],[Task Name]]="","",IF(Tasks[[#This Row],[_IsSummary]],MAX(INDEX(Tasks[_LeafFcstFinish],Tasks[[#This Row],[_Row]]+1):INDEX(Tasks[_LeafFcstFinish],Tasks[[#This Row],[_Row]]+Tasks[[#This Row],[_Descendants]])),Tasks[[#This Row],[_LeafFcstFinish]]))</f>
        <v/>
      </c>
      <c r="V9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9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9" s="25" t="str">
        <f aca="false">IF(Tasks[[#This Row],[Task Name]]="","",IF(Tasks[[#This Row],[_IsSummary]],MIN(INDEX(Tasks[_LeafLateStart],Tasks[[#This Row],[_Row]]+1):INDEX(Tasks[_LeafLateStart],Tasks[[#This Row],[_Row]]+Tasks[[#This Row],[_Descendants]])),Tasks[[#This Row],[_LeafLateStart]]))</f>
        <v/>
      </c>
      <c r="Y99" s="25" t="str">
        <f aca="false">IF(Tasks[[#This Row],[Task Name]]="","",IF(Tasks[[#This Row],[_IsSummary]],MAX(INDEX(Tasks[_LeafLateFinish],Tasks[[#This Row],[_Row]]+1):INDEX(Tasks[_LeafLateFinish],Tasks[[#This Row],[_Row]]+Tasks[[#This Row],[_Descendants]])),Tasks[[#This Row],[_LeafLateFinish]]))</f>
        <v/>
      </c>
      <c r="Z99" s="43" t="str">
        <f aca="false">IF(Tasks[[#This Row],[Task Name]]="","",IF(Tasks[[#This Row],[_IsSummary]],MIN(INDEX(Tasks[_LeafTotalSlack],Tasks[[#This Row],[_Row]]+1):INDEX(Tasks[_LeafTotalSlack],Tasks[[#This Row],[_Row]]+Tasks[[#This Row],[_Descendants]])),Tasks[[#This Row],[_LeafTotalSlack]]))</f>
        <v/>
      </c>
      <c r="AA9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9" s="28" t="str">
        <f aca="false">IF(Tasks[[#This Row],[Task Name]]="","",IF(IF(Tasks[[#This Row],[_IsSummary]],COUNTIF(INDEX(Tasks[_LeafCritical],Tasks[[#This Row],[_Row]]+1):INDEX(Tasks[_LeafCritical],Tasks[[#This Row],[_Row]]+Tasks[[#This Row],[_Descendants]]),TRUE())&gt;0,Tasks[[#This Row],[_LeafCritical]]),"Yes",""))</f>
        <v/>
      </c>
      <c r="AC9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9" s="24" t="str">
        <f aca="false">IF(Tasks[[#This Row],[Task Name]]="","",TRIM(IF(Tasks[[#This Row],[_Pred1Problem]]&lt;&gt;"","Pred 1: "&amp;Tasks[[#This Row],[_Pred1Problem]]&amp;". ","")&amp;IF(Tasks[[#This Row],[_Pred2Problem]]&lt;&gt;"","Pred 2: "&amp;Tasks[[#This Row],[_Pred2Problem]]&amp;".","")))</f>
        <v/>
      </c>
      <c r="AE99" s="88"/>
      <c r="AF99"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9" s="28" t="str">
        <f aca="false">IF(Tasks[[#This Row],[Task Name]]="","",IF(Tasks[[#This Row],[Progress]]&gt;=1,"Complete",IF(OR(N(Tasks[[#This Row],[Actual Start]])&gt;0,Tasks[[#This Row],[Progress]]&gt;0),IF(Tasks[[#This Row],[Finish Var]]&gt;0,"Behind","In Progress"),IF(Tasks[[#This Row],[Planned Start]]&lt;StatusDate,"Late Start","Not Started"))))</f>
        <v/>
      </c>
      <c r="AH99" s="30"/>
      <c r="AI99" s="88"/>
      <c r="AJ99" s="95" t="str">
        <f aca="false">IF(Tasks[[#This Row],[Task Name]]="","",IF(Tasks[[#This Row],[_IsSummary]],SUM(INDEX(Tasks[_LeafWork],Tasks[[#This Row],[_Row]]+1):INDEX(Tasks[_LeafWork],Tasks[[#This Row],[_Row]]+Tasks[[#This Row],[_Descendants]])),Tasks[[#This Row],[_LeafWork]]))</f>
        <v/>
      </c>
      <c r="AK99" s="96" t="str">
        <f aca="false">IF(Tasks[[#This Row],[Task Name]]="","",IF(Tasks[[#This Row],[_IsSummary]],SUM(INDEX(Tasks[_LeafCost],Tasks[[#This Row],[_Row]]+1):INDEX(Tasks[_LeafCost],Tasks[[#This Row],[_Row]]+Tasks[[#This Row],[_Descendants]])),Tasks[[#This Row],[_LeafCost]]))</f>
        <v/>
      </c>
      <c r="AL99" s="97"/>
      <c r="AM99" s="29"/>
      <c r="AN9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99" s="82"/>
      <c r="AP99" s="24" t="str">
        <f aca="false">IF(Tasks[[#This Row],[Task Name]]="","",Tasks[[#This Row],[_Pred1IDText]]&amp;IF(AND(Tasks[[#This Row],[_Pred1IDText]]&lt;&gt;"",Tasks[[#This Row],[_Pred2IDText]]&lt;&gt;""),",","")&amp;Tasks[[#This Row],[_Pred2IDText]])</f>
        <v/>
      </c>
      <c r="AQ99" s="30"/>
      <c r="AR99" s="25" t="str">
        <f aca="false">IF(Tasks[[#This Row],[Task Name]]="","",Tasks[[#This Row],[Forecast Start]])</f>
        <v/>
      </c>
      <c r="AS99" s="25" t="str">
        <f aca="false">IF(Tasks[[#This Row],[Task Name]]="","",Tasks[[#This Row],[Forecast Finish]])</f>
        <v/>
      </c>
      <c r="AT99" s="28" t="str">
        <f aca="false">IF(Tasks[[#This Row],[Task Name]]="","",IF(Tasks[[#This Row],[_IsSummary]],NETWORKDAYS.INTL(Tasks[[#This Row],[Forecast Start]],Tasks[[#This Row],[Forecast Finish]],WorkWeek,Holidays),N(Tasks[[#This Row],[Duration]])))</f>
        <v/>
      </c>
      <c r="AU99" s="95" t="str">
        <f aca="false">IF(Tasks[[#This Row],[Task Name]]="","",Tasks[[#This Row],[Work]])</f>
        <v/>
      </c>
      <c r="AV99" s="96" t="str">
        <f aca="false">IF(Tasks[[#This Row],[Task Name]]="","",Tasks[[#This Row],[Cost]])</f>
        <v/>
      </c>
      <c r="AW99" s="73"/>
      <c r="AX99" s="73"/>
      <c r="AY99" s="29"/>
      <c r="AZ99" s="98"/>
      <c r="BA99" s="97"/>
      <c r="BB99" s="28" t="str">
        <f aca="false">IF(OR(Tasks[[#This Row],[Task Name]]="",Tasks[[#This Row],[Baseline Duration]]=""),"",Tasks[[#This Row],[BL Source Duration]]-N(Tasks[[#This Row],[Baseline Duration]]))</f>
        <v/>
      </c>
      <c r="BC99" s="95" t="str">
        <f aca="false">IF(OR(Tasks[[#This Row],[Task Name]]="",Tasks[[#This Row],[Baseline Work]]=""),"",Tasks[[#This Row],[Work]]-N(Tasks[[#This Row],[Baseline Work]]))</f>
        <v/>
      </c>
      <c r="BD99" s="96" t="str">
        <f aca="false">IF(OR(Tasks[[#This Row],[Task Name]]="",Tasks[[#This Row],[Baseline Cost]]=""),"",Tasks[[#This Row],[Cost]]-N(Tasks[[#This Row],[Baseline Cost]]))</f>
        <v/>
      </c>
      <c r="BE99" s="96" t="str">
        <f aca="false">IF(Tasks[[#This Row],[Task Name]]="","",IF(Tasks[[#This Row],[_IsSummary]],SUM(INDEX(Tasks[_LeafBudget],Tasks[[#This Row],[_Row]]+1):INDEX(Tasks[_LeafBudget],Tasks[[#This Row],[_Row]]+Tasks[[#This Row],[_Descendants]])),Tasks[[#This Row],[_LeafBudget]]))</f>
        <v/>
      </c>
      <c r="BF99" s="96" t="str">
        <f aca="false">IF(Tasks[[#This Row],[Task Name]]="","",IF(Tasks[[#This Row],[_IsSummary]],SUM(INDEX(Tasks[_LeafPV],Tasks[[#This Row],[_Row]]+1):INDEX(Tasks[_LeafPV],Tasks[[#This Row],[_Row]]+Tasks[[#This Row],[_Descendants]])),Tasks[[#This Row],[_LeafPV]]))</f>
        <v/>
      </c>
      <c r="BG99" s="96" t="str">
        <f aca="false">IF(Tasks[[#This Row],[Task Name]]="","",IF(Tasks[[#This Row],[_IsSummary]],SUM(INDEX(Tasks[_LeafEV],Tasks[[#This Row],[_Row]]+1):INDEX(Tasks[_LeafEV],Tasks[[#This Row],[_Row]]+Tasks[[#This Row],[_Descendants]])),Tasks[[#This Row],[_LeafEV]]))</f>
        <v/>
      </c>
      <c r="BH99" s="96" t="str">
        <f aca="false">IF(Tasks[[#This Row],[Task Name]]="","",IF(Tasks[[#This Row],[_IsSummary]],SUM(INDEX(Tasks[_LeafAC],Tasks[[#This Row],[_Row]]+1):INDEX(Tasks[_LeafAC],Tasks[[#This Row],[_Row]]+Tasks[[#This Row],[_Descendants]])),Tasks[[#This Row],[_LeafAC]]))</f>
        <v/>
      </c>
      <c r="BI99" s="41" t="str">
        <f aca="false">IF(Tasks[[#This Row],[Task Name]]="","",MAX(1,N(Tasks[[#This Row],[Level]])))</f>
        <v/>
      </c>
      <c r="BJ99" s="41" t="n">
        <f aca="false">ROW()-ROW(Tasks[[#Headers],[ID]])</f>
        <v>94</v>
      </c>
      <c r="BK99" s="41" t="n">
        <f aca="false">IF(OR(Tasks[[#This Row],[Task Name]]="",Tasks[[#This Row],[_Level]]&lt;=1),0,IFERROR(LOOKUP(2,1/(Tasks[[#Headers],[_Level]]:Tasks[[#This Row],[_Level]]=Tasks[[#This Row],[_Level]]-1),ROW(Tasks[[#Headers],[_Level]]:Tasks[[#This Row],[_Level]])),0))</f>
        <v>0</v>
      </c>
      <c r="BL99" s="41" t="n">
        <f aca="false">IFERROR(N(INDEX(Tasks[_Level],Tasks[[#This Row],[_Row]]+1)),0)</f>
        <v>0</v>
      </c>
      <c r="BM99" s="99" t="b">
        <f aca="false">AND(Tasks[[#This Row],[Task Name]]&lt;&gt;"",Tasks[[#This Row],[_NextLevel]]&gt;Tasks[[#This Row],[_Level]])</f>
        <v>0</v>
      </c>
      <c r="BN99" s="41" t="n">
        <f aca="false">IF(Tasks[[#This Row],[_IsSummary]],COUNTIF(Tasks[WBS],Tasks[[#This Row],[WBS]]&amp;".*"),0)</f>
        <v>0</v>
      </c>
      <c r="BO99" s="41" t="n">
        <f aca="false">IF(AND(Tasks[[#This Row],[Task Name]]&lt;&gt;"",NOT(Tasks[[#This Row],[_IsSummary]])),1,0)</f>
        <v>0</v>
      </c>
      <c r="BP99" s="41" t="n">
        <f aca="false">IF(N(Tasks[[#This Row],[Pred1 UID]])=0,0,IFERROR(MATCH(Tasks[[#This Row],[Pred1 UID]],Tasks[UID],0),-1))</f>
        <v>0</v>
      </c>
      <c r="BQ99" s="41" t="n">
        <f aca="false">IF(N(Tasks[[#This Row],[Pred2 UID]])=0,0,IFERROR(MATCH(Tasks[[#This Row],[Pred2 UID]],Tasks[UID],0),-1))</f>
        <v>0</v>
      </c>
      <c r="BR99"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99" s="100" t="str">
        <f aca="false">IF(NOT(Tasks[[#This Row],[_IsLeaf]]=1),"",IF(N(Tasks[[#This Row],[Duration]])&lt;=0,Tasks[[#This Row],[_LeafCalcStart]],WORKDAY.INTL(Tasks[[#This Row],[_LeafCalcStart]],Tasks[[#This Row],[Duration]]-1,WorkWeek,Holidays)))</f>
        <v/>
      </c>
      <c r="BT99"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99"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99" s="41" t="n">
        <f aca="false">IF(NOT(Tasks[[#This Row],[_IsLeaf]]=1),0,IF(N(Tasks[[#This Row],[Actual Finish]])&gt;0,1,MIN(1,N(Tasks[[#This Row],[% Complete]]))))</f>
        <v>0</v>
      </c>
      <c r="BW99" s="41" t="n">
        <f aca="false">IF(OR(NOT(Tasks[[#This Row],[_IsLeaf]]=1),Tasks[[#This Row],[Resource]]=""),0,N(Tasks[[#This Row],[Duration]])*HoursPerDay*IF(Tasks[[#This Row],[Units]]="",DefaultUnits,Tasks[[#This Row],[Units]]))</f>
        <v>0</v>
      </c>
      <c r="BX99" s="41" t="n">
        <f aca="false">IF(Tasks[[#This Row],[_LeafWork]]=0,0,Tasks[[#This Row],[_LeafWork]]*IFERROR(INDEX(res_Rate,MATCH(Tasks[[#This Row],[Resource]],res_Name,0)),0))</f>
        <v>0</v>
      </c>
      <c r="BY9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9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9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9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99" s="41" t="n">
        <f aca="false">IF(NOT(Tasks[[#This Row],[_IsLeaf]]=1),0,MAX(_xlfn.MAXIFS(Tasks[_Row],Tasks[Pred1 UID],Tasks[[#This Row],[UID]]),_xlfn.MAXIFS(Tasks[_Row],Tasks[Pred2 UID],Tasks[[#This Row],[UID]])))</f>
        <v>0</v>
      </c>
      <c r="CD99"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99" s="100" t="str">
        <f aca="false">IF(NOT(Tasks[[#This Row],[_IsLeaf]]=1),"",MIN(ProjectFinish,IF(N(Tasks[[#This Row],[Deadline]])&gt;0,Tasks[[#This Row],[Deadline]],2958465),Tasks[[#This Row],[_SuccessorFinishLimit]]))</f>
        <v/>
      </c>
      <c r="CF99" s="100" t="str">
        <f aca="false">IF(NOT(Tasks[[#This Row],[_IsLeaf]]=1),"",IF(N(Tasks[[#This Row],[Duration]])&lt;=0,Tasks[[#This Row],[_LeafLateFinish]],WORKDAY.INTL(Tasks[[#This Row],[_LeafLateFinish]],-(Tasks[[#This Row],[Duration]]-1),WorkWeek,Holidays)))</f>
        <v/>
      </c>
      <c r="CG9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99" s="99" t="b">
        <f aca="false">AND(Tasks[[#This Row],[_IsLeaf]]=1,Tasks[[#This Row],[_LeafProgress]]&lt;1,N(Tasks[[#This Row],[_LeafTotalSlack]])&lt;=CriticalSlackDays)</f>
        <v>0</v>
      </c>
      <c r="CI99" s="100" t="str">
        <f aca="false">IF(Tasks[[#This Row],[Task Name]]="","",IF(Tasks[[#This Row],[_IsSummary]],MIN(INDEX(Tasks[_LeafCalcStart],Tasks[[#This Row],[_Row]]+1):INDEX(Tasks[_LeafCalcStart],Tasks[[#This Row],[_Row]]+Tasks[[#This Row],[_Descendants]])),Tasks[[#This Row],[_LeafCalcStart]]))</f>
        <v/>
      </c>
      <c r="CJ99" s="100" t="str">
        <f aca="false">IF(Tasks[[#This Row],[Task Name]]="","",IF(Tasks[[#This Row],[_IsSummary]],MAX(INDEX(Tasks[_LeafCalcFinish],Tasks[[#This Row],[_Row]]+1):INDEX(Tasks[_LeafCalcFinish],Tasks[[#This Row],[_Row]]+Tasks[[#This Row],[_Descendants]])),Tasks[[#This Row],[_LeafCalcFinish]]))</f>
        <v/>
      </c>
      <c r="CK9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9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99"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99"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99"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99"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99" s="41" t="n">
        <f aca="false">IF(AND(Tasks[[#This Row],[_IsLeaf]]=1,Tasks[[#This Row],[_LeafWork]]&gt;0),NETWORKDAYS.INTL(ProjectStart,Tasks[[#This Row],[_LeafFcstStart]],WorkWeek,Holidays),0)</f>
        <v>0</v>
      </c>
      <c r="CR99" s="41" t="n">
        <f aca="false">IF(AND(Tasks[[#This Row],[_IsLeaf]]=1,Tasks[[#This Row],[_LeafWork]]&gt;0),MAX(Tasks[[#This Row],[_StartWorkday]],NETWORKDAYS.INTL(ProjectStart,Tasks[[#This Row],[_LeafFcstFinish]],WorkWeek,Holidays)),0)</f>
        <v>0</v>
      </c>
      <c r="CS99" s="41" t="n">
        <f aca="false">IF(AND(Tasks[[#This Row],[_IsLeaf]]=1,Tasks[[#This Row],[_LeafWork]]&gt;0),Tasks[[#This Row],[_LeafWork]]/(Tasks[[#This Row],[_FinishWorkday]]-Tasks[[#This Row],[_StartWorkday]]+1),0)</f>
        <v>0</v>
      </c>
      <c r="CT99" s="41" t="n">
        <f aca="false">Tasks[[#This Row],[_WorkPerWorkday]]*(Tasks[[#This Row],[_StartWorkday]]-1)</f>
        <v>-0</v>
      </c>
      <c r="CU99" s="41" t="n">
        <f aca="false">IF(Tasks[[#This Row],[_IsLeaf]]=1,MAX(N(Tasks[[#This Row],[Duration]]),0.1),0)</f>
        <v>0</v>
      </c>
      <c r="CV99" s="41" t="n">
        <f aca="false">Tasks[[#This Row],[_WeightDur]]*Tasks[[#This Row],[_LeafProgress]]</f>
        <v>0</v>
      </c>
      <c r="CW9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9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9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9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99" s="41" t="str">
        <f aca="false">IF(Tasks[[#This Row],[Task Name]]="","",Tasks[[#This Row],[_Pred1UIDText]]&amp;IF(AND(Tasks[[#This Row],[_Pred1UIDText]]&lt;&gt;"",Tasks[[#This Row],[_Pred2UIDText]]&lt;&gt;""),",","")&amp;Tasks[[#This Row],[_Pred2UIDText]])</f>
        <v/>
      </c>
      <c r="DB99" s="41" t="str">
        <f aca="false">IF(AND(Tasks[[#This Row],[_IsLeaf]]=1,N(Tasks[[#This Row],[Duration]])=0,Tasks[[#This Row],[_LeafProgress]]&lt;1),Tasks[[#This Row],[_LeafFcstFinish]]+Tasks[[#This Row],[_Row]]/100000,"")</f>
        <v/>
      </c>
      <c r="DC9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99" s="41" t="n">
        <f aca="false">IF(NOT(Tasks[[#This Row],[_IsLeaf]]=1),0,IF(Tasks[[#This Row],[Baseline Cost]]="",Tasks[[#This Row],[_LeafCost]],N(Tasks[[#This Row],[Baseline Cost]])))</f>
        <v>0</v>
      </c>
      <c r="DE99" s="41" t="n">
        <f aca="false">Tasks[[#This Row],[_LeafBudget]]*Tasks[[#This Row],[_PlannedPct]]</f>
        <v>0</v>
      </c>
      <c r="DF99" s="41" t="n">
        <f aca="false">Tasks[[#This Row],[_LeafBudget]]*Tasks[[#This Row],[_LeafProgress]]</f>
        <v>0</v>
      </c>
      <c r="DG99" s="41" t="n">
        <f aca="false">IF(NOT(Tasks[[#This Row],[_IsLeaf]]=1),0,IF(Tasks[[#This Row],[Actual Cost]]="",Tasks[[#This Row],[_LeafCost]]*Tasks[[#This Row],[_LeafProgress]],N(Tasks[[#This Row],[Actual Cost]])))</f>
        <v>0</v>
      </c>
      <c r="DH99" s="41" t="str">
        <f aca="false">IF(Tasks[[#This Row],[Task Name]]="","",LEFT(Tasks[[#This Row],[WBS]],FIND(".",Tasks[[#This Row],[WBS]]&amp;".")-1))</f>
        <v/>
      </c>
      <c r="DI99" s="41" t="str">
        <f aca="false">IF(AND(Tasks[[#This Row],[Task Name]]&lt;&gt;"",Tasks[[#This Row],[_Level]]=1),Tasks[[#This Row],[_Row]],"")</f>
        <v/>
      </c>
      <c r="DJ99" s="41" t="str">
        <f aca="false">IF(AND(Tasks[[#This Row],[_IsLeaf]]=1,N(Tasks[[#This Row],[Duration]])=0),Tasks[[#This Row],[Planned Finish]]+Tasks[[#This Row],[_Row]]/100000,"")</f>
        <v/>
      </c>
      <c r="DK99" s="41" t="str">
        <f aca="false">IF(AND(Tasks[[#This Row],[_IsLeaf]]=1,Tasks[[#This Row],[_LeafProgress]]&lt;1,OR(N(Tasks[[#This Row],[Finish Var]])&gt;0,Tasks[[#This Row],[Status]]="Late Start")),MAX(0,Tasks[[#This Row],[Finish Var]])+1-Tasks[[#This Row],[_Row]]/1000000,"")</f>
        <v/>
      </c>
      <c r="DL99" s="41" t="str">
        <f aca="false">IF(AND(Tasks[[#This Row],[_IsLeaf]]=1,N(Tasks[[#This Row],[Actual Start]])=0,Tasks[[#This Row],[_LeafFcstStart]]&gt;=StatusDate,Tasks[[#This Row],[_LeafFcstStart]]&lt;=LookaheadEnd),Tasks[[#This Row],[_LeafFcstStart]]+Tasks[[#This Row],[_Row]]/100000,"")</f>
        <v/>
      </c>
      <c r="DM99" s="41" t="str">
        <f aca="false">IF(AND(Tasks[[#This Row],[_IsLeaf]]=1,Tasks[[#This Row],[_LeafProgress]]&lt;1,Tasks[[#This Row],[_LeafFcstFinish]]&gt;=StatusDate,Tasks[[#This Row],[_LeafFcstFinish]]&lt;=LookaheadEnd),Tasks[[#This Row],[_LeafFcstFinish]]+Tasks[[#This Row],[_Row]]/100000,"")</f>
        <v/>
      </c>
      <c r="DN99" s="41" t="str">
        <f aca="false">IF(Tasks[[#This Row],[_LeafCritical]],Tasks[[#This Row],[_LeafFcstStart]]+Tasks[[#This Row],[_Row]]/100000,"")</f>
        <v/>
      </c>
      <c r="DO99" s="41" t="n">
        <f aca="false">Tasks[[#This Row],[_LeafWork]]*Tasks[[#This Row],[_LeafProgress]]</f>
        <v>0</v>
      </c>
      <c r="DP99" s="100" t="str">
        <f aca="false">IF(AND(Tasks[[#This Row],[_IsLeaf]]=1,Tasks[[#This Row],[_LeafProgress]]&gt;=1),IF(N(Tasks[[#This Row],[Actual Finish]])&gt;0,Tasks[[#This Row],[Actual Finish]],Tasks[[#This Row],[_LeafFcstFinish]]),"")</f>
        <v/>
      </c>
      <c r="DQ99" s="41" t="n">
        <f aca="false">IF(Tasks[[#This Row],[_IsLeaf]]=1,N(Tasks[[#This Row],[Story Points]]),0)</f>
        <v>0</v>
      </c>
      <c r="DR99" s="41" t="str">
        <f aca="false">IF(AND(Tasks[[#This Row],[_IsLeaf]]=1,CurrentSprint&lt;&gt;"",Tasks[[#This Row],[Sprint]]=CurrentSprint),Tasks[[#This Row],[_Row]],"")</f>
        <v/>
      </c>
    </row>
    <row r="100" customFormat="false" ht="15" hidden="false" customHeight="false" outlineLevel="0" collapsed="false">
      <c r="A100" s="28" t="str">
        <f aca="false">IF(Tasks[[#This Row],[Task Name]]="","",COUNTA(Tasks[[#Headers],[Task Name]]:Tasks[[#This Row],[Task Name]])-1)</f>
        <v/>
      </c>
      <c r="B100" s="29" t="n">
        <v>95</v>
      </c>
      <c r="C10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0" s="29"/>
      <c r="E100" s="30"/>
      <c r="F100" s="29"/>
      <c r="G100" s="29"/>
      <c r="H100" s="29"/>
      <c r="I100" s="29"/>
      <c r="J100" s="29"/>
      <c r="K100" s="29"/>
      <c r="L100" s="29"/>
      <c r="M100" s="29"/>
      <c r="N100" s="73"/>
      <c r="O100" s="73"/>
      <c r="P100" s="25" t="str">
        <f aca="false">IF(Tasks[[#This Row],[Task Name]]="","",IF(N(Tasks[[#This Row],[Baseline Start]])&gt;0,Tasks[[#This Row],[Baseline Start]],Tasks[[#This Row],[_CalcStart]]))</f>
        <v/>
      </c>
      <c r="Q100" s="25" t="str">
        <f aca="false">IF(Tasks[[#This Row],[Task Name]]="","",IF(N(Tasks[[#This Row],[Baseline Finish]])&gt;0,Tasks[[#This Row],[Baseline Finish]],Tasks[[#This Row],[_CalcFinish]]))</f>
        <v/>
      </c>
      <c r="R100" s="73"/>
      <c r="S100" s="73"/>
      <c r="T100" s="25" t="str">
        <f aca="false">IF(Tasks[[#This Row],[Task Name]]="","",IF(Tasks[[#This Row],[_IsSummary]],MIN(INDEX(Tasks[_LeafFcstStart],Tasks[[#This Row],[_Row]]+1):INDEX(Tasks[_LeafFcstStart],Tasks[[#This Row],[_Row]]+Tasks[[#This Row],[_Descendants]])),Tasks[[#This Row],[_LeafFcstStart]]))</f>
        <v/>
      </c>
      <c r="U100" s="25" t="str">
        <f aca="false">IF(Tasks[[#This Row],[Task Name]]="","",IF(Tasks[[#This Row],[_IsSummary]],MAX(INDEX(Tasks[_LeafFcstFinish],Tasks[[#This Row],[_Row]]+1):INDEX(Tasks[_LeafFcstFinish],Tasks[[#This Row],[_Row]]+Tasks[[#This Row],[_Descendants]])),Tasks[[#This Row],[_LeafFcstFinish]]))</f>
        <v/>
      </c>
      <c r="V10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0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0" s="25" t="str">
        <f aca="false">IF(Tasks[[#This Row],[Task Name]]="","",IF(Tasks[[#This Row],[_IsSummary]],MIN(INDEX(Tasks[_LeafLateStart],Tasks[[#This Row],[_Row]]+1):INDEX(Tasks[_LeafLateStart],Tasks[[#This Row],[_Row]]+Tasks[[#This Row],[_Descendants]])),Tasks[[#This Row],[_LeafLateStart]]))</f>
        <v/>
      </c>
      <c r="Y100" s="25" t="str">
        <f aca="false">IF(Tasks[[#This Row],[Task Name]]="","",IF(Tasks[[#This Row],[_IsSummary]],MAX(INDEX(Tasks[_LeafLateFinish],Tasks[[#This Row],[_Row]]+1):INDEX(Tasks[_LeafLateFinish],Tasks[[#This Row],[_Row]]+Tasks[[#This Row],[_Descendants]])),Tasks[[#This Row],[_LeafLateFinish]]))</f>
        <v/>
      </c>
      <c r="Z100" s="43" t="str">
        <f aca="false">IF(Tasks[[#This Row],[Task Name]]="","",IF(Tasks[[#This Row],[_IsSummary]],MIN(INDEX(Tasks[_LeafTotalSlack],Tasks[[#This Row],[_Row]]+1):INDEX(Tasks[_LeafTotalSlack],Tasks[[#This Row],[_Row]]+Tasks[[#This Row],[_Descendants]])),Tasks[[#This Row],[_LeafTotalSlack]]))</f>
        <v/>
      </c>
      <c r="AA10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0" s="28" t="str">
        <f aca="false">IF(Tasks[[#This Row],[Task Name]]="","",IF(IF(Tasks[[#This Row],[_IsSummary]],COUNTIF(INDEX(Tasks[_LeafCritical],Tasks[[#This Row],[_Row]]+1):INDEX(Tasks[_LeafCritical],Tasks[[#This Row],[_Row]]+Tasks[[#This Row],[_Descendants]]),TRUE())&gt;0,Tasks[[#This Row],[_LeafCritical]]),"Yes",""))</f>
        <v/>
      </c>
      <c r="AC10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0" s="24" t="str">
        <f aca="false">IF(Tasks[[#This Row],[Task Name]]="","",TRIM(IF(Tasks[[#This Row],[_Pred1Problem]]&lt;&gt;"","Pred 1: "&amp;Tasks[[#This Row],[_Pred1Problem]]&amp;". ","")&amp;IF(Tasks[[#This Row],[_Pred2Problem]]&lt;&gt;"","Pred 2: "&amp;Tasks[[#This Row],[_Pred2Problem]]&amp;".","")))</f>
        <v/>
      </c>
      <c r="AE100" s="88"/>
      <c r="AF100"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0" s="28" t="str">
        <f aca="false">IF(Tasks[[#This Row],[Task Name]]="","",IF(Tasks[[#This Row],[Progress]]&gt;=1,"Complete",IF(OR(N(Tasks[[#This Row],[Actual Start]])&gt;0,Tasks[[#This Row],[Progress]]&gt;0),IF(Tasks[[#This Row],[Finish Var]]&gt;0,"Behind","In Progress"),IF(Tasks[[#This Row],[Planned Start]]&lt;StatusDate,"Late Start","Not Started"))))</f>
        <v/>
      </c>
      <c r="AH100" s="30"/>
      <c r="AI100" s="88"/>
      <c r="AJ100" s="95" t="str">
        <f aca="false">IF(Tasks[[#This Row],[Task Name]]="","",IF(Tasks[[#This Row],[_IsSummary]],SUM(INDEX(Tasks[_LeafWork],Tasks[[#This Row],[_Row]]+1):INDEX(Tasks[_LeafWork],Tasks[[#This Row],[_Row]]+Tasks[[#This Row],[_Descendants]])),Tasks[[#This Row],[_LeafWork]]))</f>
        <v/>
      </c>
      <c r="AK100" s="96" t="str">
        <f aca="false">IF(Tasks[[#This Row],[Task Name]]="","",IF(Tasks[[#This Row],[_IsSummary]],SUM(INDEX(Tasks[_LeafCost],Tasks[[#This Row],[_Row]]+1):INDEX(Tasks[_LeafCost],Tasks[[#This Row],[_Row]]+Tasks[[#This Row],[_Descendants]])),Tasks[[#This Row],[_LeafCost]]))</f>
        <v/>
      </c>
      <c r="AL100" s="97"/>
      <c r="AM100" s="29"/>
      <c r="AN10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00" s="82"/>
      <c r="AP100" s="24" t="str">
        <f aca="false">IF(Tasks[[#This Row],[Task Name]]="","",Tasks[[#This Row],[_Pred1IDText]]&amp;IF(AND(Tasks[[#This Row],[_Pred1IDText]]&lt;&gt;"",Tasks[[#This Row],[_Pred2IDText]]&lt;&gt;""),",","")&amp;Tasks[[#This Row],[_Pred2IDText]])</f>
        <v/>
      </c>
      <c r="AQ100" s="30"/>
      <c r="AR100" s="25" t="str">
        <f aca="false">IF(Tasks[[#This Row],[Task Name]]="","",Tasks[[#This Row],[Forecast Start]])</f>
        <v/>
      </c>
      <c r="AS100" s="25" t="str">
        <f aca="false">IF(Tasks[[#This Row],[Task Name]]="","",Tasks[[#This Row],[Forecast Finish]])</f>
        <v/>
      </c>
      <c r="AT100" s="28" t="str">
        <f aca="false">IF(Tasks[[#This Row],[Task Name]]="","",IF(Tasks[[#This Row],[_IsSummary]],NETWORKDAYS.INTL(Tasks[[#This Row],[Forecast Start]],Tasks[[#This Row],[Forecast Finish]],WorkWeek,Holidays),N(Tasks[[#This Row],[Duration]])))</f>
        <v/>
      </c>
      <c r="AU100" s="95" t="str">
        <f aca="false">IF(Tasks[[#This Row],[Task Name]]="","",Tasks[[#This Row],[Work]])</f>
        <v/>
      </c>
      <c r="AV100" s="96" t="str">
        <f aca="false">IF(Tasks[[#This Row],[Task Name]]="","",Tasks[[#This Row],[Cost]])</f>
        <v/>
      </c>
      <c r="AW100" s="73"/>
      <c r="AX100" s="73"/>
      <c r="AY100" s="29"/>
      <c r="AZ100" s="98"/>
      <c r="BA100" s="97"/>
      <c r="BB100" s="28" t="str">
        <f aca="false">IF(OR(Tasks[[#This Row],[Task Name]]="",Tasks[[#This Row],[Baseline Duration]]=""),"",Tasks[[#This Row],[BL Source Duration]]-N(Tasks[[#This Row],[Baseline Duration]]))</f>
        <v/>
      </c>
      <c r="BC100" s="95" t="str">
        <f aca="false">IF(OR(Tasks[[#This Row],[Task Name]]="",Tasks[[#This Row],[Baseline Work]]=""),"",Tasks[[#This Row],[Work]]-N(Tasks[[#This Row],[Baseline Work]]))</f>
        <v/>
      </c>
      <c r="BD100" s="96" t="str">
        <f aca="false">IF(OR(Tasks[[#This Row],[Task Name]]="",Tasks[[#This Row],[Baseline Cost]]=""),"",Tasks[[#This Row],[Cost]]-N(Tasks[[#This Row],[Baseline Cost]]))</f>
        <v/>
      </c>
      <c r="BE100" s="96" t="str">
        <f aca="false">IF(Tasks[[#This Row],[Task Name]]="","",IF(Tasks[[#This Row],[_IsSummary]],SUM(INDEX(Tasks[_LeafBudget],Tasks[[#This Row],[_Row]]+1):INDEX(Tasks[_LeafBudget],Tasks[[#This Row],[_Row]]+Tasks[[#This Row],[_Descendants]])),Tasks[[#This Row],[_LeafBudget]]))</f>
        <v/>
      </c>
      <c r="BF100" s="96" t="str">
        <f aca="false">IF(Tasks[[#This Row],[Task Name]]="","",IF(Tasks[[#This Row],[_IsSummary]],SUM(INDEX(Tasks[_LeafPV],Tasks[[#This Row],[_Row]]+1):INDEX(Tasks[_LeafPV],Tasks[[#This Row],[_Row]]+Tasks[[#This Row],[_Descendants]])),Tasks[[#This Row],[_LeafPV]]))</f>
        <v/>
      </c>
      <c r="BG100" s="96" t="str">
        <f aca="false">IF(Tasks[[#This Row],[Task Name]]="","",IF(Tasks[[#This Row],[_IsSummary]],SUM(INDEX(Tasks[_LeafEV],Tasks[[#This Row],[_Row]]+1):INDEX(Tasks[_LeafEV],Tasks[[#This Row],[_Row]]+Tasks[[#This Row],[_Descendants]])),Tasks[[#This Row],[_LeafEV]]))</f>
        <v/>
      </c>
      <c r="BH100" s="96" t="str">
        <f aca="false">IF(Tasks[[#This Row],[Task Name]]="","",IF(Tasks[[#This Row],[_IsSummary]],SUM(INDEX(Tasks[_LeafAC],Tasks[[#This Row],[_Row]]+1):INDEX(Tasks[_LeafAC],Tasks[[#This Row],[_Row]]+Tasks[[#This Row],[_Descendants]])),Tasks[[#This Row],[_LeafAC]]))</f>
        <v/>
      </c>
      <c r="BI100" s="41" t="str">
        <f aca="false">IF(Tasks[[#This Row],[Task Name]]="","",MAX(1,N(Tasks[[#This Row],[Level]])))</f>
        <v/>
      </c>
      <c r="BJ100" s="41" t="n">
        <f aca="false">ROW()-ROW(Tasks[[#Headers],[ID]])</f>
        <v>95</v>
      </c>
      <c r="BK100" s="41" t="n">
        <f aca="false">IF(OR(Tasks[[#This Row],[Task Name]]="",Tasks[[#This Row],[_Level]]&lt;=1),0,IFERROR(LOOKUP(2,1/(Tasks[[#Headers],[_Level]]:Tasks[[#This Row],[_Level]]=Tasks[[#This Row],[_Level]]-1),ROW(Tasks[[#Headers],[_Level]]:Tasks[[#This Row],[_Level]])),0))</f>
        <v>0</v>
      </c>
      <c r="BL100" s="41" t="n">
        <f aca="false">IFERROR(N(INDEX(Tasks[_Level],Tasks[[#This Row],[_Row]]+1)),0)</f>
        <v>0</v>
      </c>
      <c r="BM100" s="99" t="b">
        <f aca="false">AND(Tasks[[#This Row],[Task Name]]&lt;&gt;"",Tasks[[#This Row],[_NextLevel]]&gt;Tasks[[#This Row],[_Level]])</f>
        <v>0</v>
      </c>
      <c r="BN100" s="41" t="n">
        <f aca="false">IF(Tasks[[#This Row],[_IsSummary]],COUNTIF(Tasks[WBS],Tasks[[#This Row],[WBS]]&amp;".*"),0)</f>
        <v>0</v>
      </c>
      <c r="BO100" s="41" t="n">
        <f aca="false">IF(AND(Tasks[[#This Row],[Task Name]]&lt;&gt;"",NOT(Tasks[[#This Row],[_IsSummary]])),1,0)</f>
        <v>0</v>
      </c>
      <c r="BP100" s="41" t="n">
        <f aca="false">IF(N(Tasks[[#This Row],[Pred1 UID]])=0,0,IFERROR(MATCH(Tasks[[#This Row],[Pred1 UID]],Tasks[UID],0),-1))</f>
        <v>0</v>
      </c>
      <c r="BQ100" s="41" t="n">
        <f aca="false">IF(N(Tasks[[#This Row],[Pred2 UID]])=0,0,IFERROR(MATCH(Tasks[[#This Row],[Pred2 UID]],Tasks[UID],0),-1))</f>
        <v>0</v>
      </c>
      <c r="BR100"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00" s="100" t="str">
        <f aca="false">IF(NOT(Tasks[[#This Row],[_IsLeaf]]=1),"",IF(N(Tasks[[#This Row],[Duration]])&lt;=0,Tasks[[#This Row],[_LeafCalcStart]],WORKDAY.INTL(Tasks[[#This Row],[_LeafCalcStart]],Tasks[[#This Row],[Duration]]-1,WorkWeek,Holidays)))</f>
        <v/>
      </c>
      <c r="BT100"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00"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00" s="41" t="n">
        <f aca="false">IF(NOT(Tasks[[#This Row],[_IsLeaf]]=1),0,IF(N(Tasks[[#This Row],[Actual Finish]])&gt;0,1,MIN(1,N(Tasks[[#This Row],[% Complete]]))))</f>
        <v>0</v>
      </c>
      <c r="BW100" s="41" t="n">
        <f aca="false">IF(OR(NOT(Tasks[[#This Row],[_IsLeaf]]=1),Tasks[[#This Row],[Resource]]=""),0,N(Tasks[[#This Row],[Duration]])*HoursPerDay*IF(Tasks[[#This Row],[Units]]="",DefaultUnits,Tasks[[#This Row],[Units]]))</f>
        <v>0</v>
      </c>
      <c r="BX100" s="41" t="n">
        <f aca="false">IF(Tasks[[#This Row],[_LeafWork]]=0,0,Tasks[[#This Row],[_LeafWork]]*IFERROR(INDEX(res_Rate,MATCH(Tasks[[#This Row],[Resource]],res_Name,0)),0))</f>
        <v>0</v>
      </c>
      <c r="BY10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0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0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0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00" s="41" t="n">
        <f aca="false">IF(NOT(Tasks[[#This Row],[_IsLeaf]]=1),0,MAX(_xlfn.MAXIFS(Tasks[_Row],Tasks[Pred1 UID],Tasks[[#This Row],[UID]]),_xlfn.MAXIFS(Tasks[_Row],Tasks[Pred2 UID],Tasks[[#This Row],[UID]])))</f>
        <v>0</v>
      </c>
      <c r="CD100"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00" s="100" t="str">
        <f aca="false">IF(NOT(Tasks[[#This Row],[_IsLeaf]]=1),"",MIN(ProjectFinish,IF(N(Tasks[[#This Row],[Deadline]])&gt;0,Tasks[[#This Row],[Deadline]],2958465),Tasks[[#This Row],[_SuccessorFinishLimit]]))</f>
        <v/>
      </c>
      <c r="CF100" s="100" t="str">
        <f aca="false">IF(NOT(Tasks[[#This Row],[_IsLeaf]]=1),"",IF(N(Tasks[[#This Row],[Duration]])&lt;=0,Tasks[[#This Row],[_LeafLateFinish]],WORKDAY.INTL(Tasks[[#This Row],[_LeafLateFinish]],-(Tasks[[#This Row],[Duration]]-1),WorkWeek,Holidays)))</f>
        <v/>
      </c>
      <c r="CG10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00" s="99" t="b">
        <f aca="false">AND(Tasks[[#This Row],[_IsLeaf]]=1,Tasks[[#This Row],[_LeafProgress]]&lt;1,N(Tasks[[#This Row],[_LeafTotalSlack]])&lt;=CriticalSlackDays)</f>
        <v>0</v>
      </c>
      <c r="CI100" s="100" t="str">
        <f aca="false">IF(Tasks[[#This Row],[Task Name]]="","",IF(Tasks[[#This Row],[_IsSummary]],MIN(INDEX(Tasks[_LeafCalcStart],Tasks[[#This Row],[_Row]]+1):INDEX(Tasks[_LeafCalcStart],Tasks[[#This Row],[_Row]]+Tasks[[#This Row],[_Descendants]])),Tasks[[#This Row],[_LeafCalcStart]]))</f>
        <v/>
      </c>
      <c r="CJ100" s="100" t="str">
        <f aca="false">IF(Tasks[[#This Row],[Task Name]]="","",IF(Tasks[[#This Row],[_IsSummary]],MAX(INDEX(Tasks[_LeafCalcFinish],Tasks[[#This Row],[_Row]]+1):INDEX(Tasks[_LeafCalcFinish],Tasks[[#This Row],[_Row]]+Tasks[[#This Row],[_Descendants]])),Tasks[[#This Row],[_LeafCalcFinish]]))</f>
        <v/>
      </c>
      <c r="CK10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0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00"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00"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00"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00"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00" s="41" t="n">
        <f aca="false">IF(AND(Tasks[[#This Row],[_IsLeaf]]=1,Tasks[[#This Row],[_LeafWork]]&gt;0),NETWORKDAYS.INTL(ProjectStart,Tasks[[#This Row],[_LeafFcstStart]],WorkWeek,Holidays),0)</f>
        <v>0</v>
      </c>
      <c r="CR100" s="41" t="n">
        <f aca="false">IF(AND(Tasks[[#This Row],[_IsLeaf]]=1,Tasks[[#This Row],[_LeafWork]]&gt;0),MAX(Tasks[[#This Row],[_StartWorkday]],NETWORKDAYS.INTL(ProjectStart,Tasks[[#This Row],[_LeafFcstFinish]],WorkWeek,Holidays)),0)</f>
        <v>0</v>
      </c>
      <c r="CS100" s="41" t="n">
        <f aca="false">IF(AND(Tasks[[#This Row],[_IsLeaf]]=1,Tasks[[#This Row],[_LeafWork]]&gt;0),Tasks[[#This Row],[_LeafWork]]/(Tasks[[#This Row],[_FinishWorkday]]-Tasks[[#This Row],[_StartWorkday]]+1),0)</f>
        <v>0</v>
      </c>
      <c r="CT100" s="41" t="n">
        <f aca="false">Tasks[[#This Row],[_WorkPerWorkday]]*(Tasks[[#This Row],[_StartWorkday]]-1)</f>
        <v>-0</v>
      </c>
      <c r="CU100" s="41" t="n">
        <f aca="false">IF(Tasks[[#This Row],[_IsLeaf]]=1,MAX(N(Tasks[[#This Row],[Duration]]),0.1),0)</f>
        <v>0</v>
      </c>
      <c r="CV100" s="41" t="n">
        <f aca="false">Tasks[[#This Row],[_WeightDur]]*Tasks[[#This Row],[_LeafProgress]]</f>
        <v>0</v>
      </c>
      <c r="CW10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0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0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0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00" s="41" t="str">
        <f aca="false">IF(Tasks[[#This Row],[Task Name]]="","",Tasks[[#This Row],[_Pred1UIDText]]&amp;IF(AND(Tasks[[#This Row],[_Pred1UIDText]]&lt;&gt;"",Tasks[[#This Row],[_Pred2UIDText]]&lt;&gt;""),",","")&amp;Tasks[[#This Row],[_Pred2UIDText]])</f>
        <v/>
      </c>
      <c r="DB100" s="41" t="str">
        <f aca="false">IF(AND(Tasks[[#This Row],[_IsLeaf]]=1,N(Tasks[[#This Row],[Duration]])=0,Tasks[[#This Row],[_LeafProgress]]&lt;1),Tasks[[#This Row],[_LeafFcstFinish]]+Tasks[[#This Row],[_Row]]/100000,"")</f>
        <v/>
      </c>
      <c r="DC10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00" s="41" t="n">
        <f aca="false">IF(NOT(Tasks[[#This Row],[_IsLeaf]]=1),0,IF(Tasks[[#This Row],[Baseline Cost]]="",Tasks[[#This Row],[_LeafCost]],N(Tasks[[#This Row],[Baseline Cost]])))</f>
        <v>0</v>
      </c>
      <c r="DE100" s="41" t="n">
        <f aca="false">Tasks[[#This Row],[_LeafBudget]]*Tasks[[#This Row],[_PlannedPct]]</f>
        <v>0</v>
      </c>
      <c r="DF100" s="41" t="n">
        <f aca="false">Tasks[[#This Row],[_LeafBudget]]*Tasks[[#This Row],[_LeafProgress]]</f>
        <v>0</v>
      </c>
      <c r="DG100" s="41" t="n">
        <f aca="false">IF(NOT(Tasks[[#This Row],[_IsLeaf]]=1),0,IF(Tasks[[#This Row],[Actual Cost]]="",Tasks[[#This Row],[_LeafCost]]*Tasks[[#This Row],[_LeafProgress]],N(Tasks[[#This Row],[Actual Cost]])))</f>
        <v>0</v>
      </c>
      <c r="DH100" s="41" t="str">
        <f aca="false">IF(Tasks[[#This Row],[Task Name]]="","",LEFT(Tasks[[#This Row],[WBS]],FIND(".",Tasks[[#This Row],[WBS]]&amp;".")-1))</f>
        <v/>
      </c>
      <c r="DI100" s="41" t="str">
        <f aca="false">IF(AND(Tasks[[#This Row],[Task Name]]&lt;&gt;"",Tasks[[#This Row],[_Level]]=1),Tasks[[#This Row],[_Row]],"")</f>
        <v/>
      </c>
      <c r="DJ100" s="41" t="str">
        <f aca="false">IF(AND(Tasks[[#This Row],[_IsLeaf]]=1,N(Tasks[[#This Row],[Duration]])=0),Tasks[[#This Row],[Planned Finish]]+Tasks[[#This Row],[_Row]]/100000,"")</f>
        <v/>
      </c>
      <c r="DK100" s="41" t="str">
        <f aca="false">IF(AND(Tasks[[#This Row],[_IsLeaf]]=1,Tasks[[#This Row],[_LeafProgress]]&lt;1,OR(N(Tasks[[#This Row],[Finish Var]])&gt;0,Tasks[[#This Row],[Status]]="Late Start")),MAX(0,Tasks[[#This Row],[Finish Var]])+1-Tasks[[#This Row],[_Row]]/1000000,"")</f>
        <v/>
      </c>
      <c r="DL100" s="41" t="str">
        <f aca="false">IF(AND(Tasks[[#This Row],[_IsLeaf]]=1,N(Tasks[[#This Row],[Actual Start]])=0,Tasks[[#This Row],[_LeafFcstStart]]&gt;=StatusDate,Tasks[[#This Row],[_LeafFcstStart]]&lt;=LookaheadEnd),Tasks[[#This Row],[_LeafFcstStart]]+Tasks[[#This Row],[_Row]]/100000,"")</f>
        <v/>
      </c>
      <c r="DM100" s="41" t="str">
        <f aca="false">IF(AND(Tasks[[#This Row],[_IsLeaf]]=1,Tasks[[#This Row],[_LeafProgress]]&lt;1,Tasks[[#This Row],[_LeafFcstFinish]]&gt;=StatusDate,Tasks[[#This Row],[_LeafFcstFinish]]&lt;=LookaheadEnd),Tasks[[#This Row],[_LeafFcstFinish]]+Tasks[[#This Row],[_Row]]/100000,"")</f>
        <v/>
      </c>
      <c r="DN100" s="41" t="str">
        <f aca="false">IF(Tasks[[#This Row],[_LeafCritical]],Tasks[[#This Row],[_LeafFcstStart]]+Tasks[[#This Row],[_Row]]/100000,"")</f>
        <v/>
      </c>
      <c r="DO100" s="41" t="n">
        <f aca="false">Tasks[[#This Row],[_LeafWork]]*Tasks[[#This Row],[_LeafProgress]]</f>
        <v>0</v>
      </c>
      <c r="DP100" s="100" t="str">
        <f aca="false">IF(AND(Tasks[[#This Row],[_IsLeaf]]=1,Tasks[[#This Row],[_LeafProgress]]&gt;=1),IF(N(Tasks[[#This Row],[Actual Finish]])&gt;0,Tasks[[#This Row],[Actual Finish]],Tasks[[#This Row],[_LeafFcstFinish]]),"")</f>
        <v/>
      </c>
      <c r="DQ100" s="41" t="n">
        <f aca="false">IF(Tasks[[#This Row],[_IsLeaf]]=1,N(Tasks[[#This Row],[Story Points]]),0)</f>
        <v>0</v>
      </c>
      <c r="DR100" s="41" t="str">
        <f aca="false">IF(AND(Tasks[[#This Row],[_IsLeaf]]=1,CurrentSprint&lt;&gt;"",Tasks[[#This Row],[Sprint]]=CurrentSprint),Tasks[[#This Row],[_Row]],"")</f>
        <v/>
      </c>
    </row>
    <row r="101" customFormat="false" ht="15" hidden="false" customHeight="false" outlineLevel="0" collapsed="false">
      <c r="A101" s="28" t="str">
        <f aca="false">IF(Tasks[[#This Row],[Task Name]]="","",COUNTA(Tasks[[#Headers],[Task Name]]:Tasks[[#This Row],[Task Name]])-1)</f>
        <v/>
      </c>
      <c r="B101" s="29" t="n">
        <v>96</v>
      </c>
      <c r="C10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1" s="29"/>
      <c r="E101" s="30"/>
      <c r="F101" s="29"/>
      <c r="G101" s="29"/>
      <c r="H101" s="29"/>
      <c r="I101" s="29"/>
      <c r="J101" s="29"/>
      <c r="K101" s="29"/>
      <c r="L101" s="29"/>
      <c r="M101" s="29"/>
      <c r="N101" s="73"/>
      <c r="O101" s="73"/>
      <c r="P101" s="25" t="str">
        <f aca="false">IF(Tasks[[#This Row],[Task Name]]="","",IF(N(Tasks[[#This Row],[Baseline Start]])&gt;0,Tasks[[#This Row],[Baseline Start]],Tasks[[#This Row],[_CalcStart]]))</f>
        <v/>
      </c>
      <c r="Q101" s="25" t="str">
        <f aca="false">IF(Tasks[[#This Row],[Task Name]]="","",IF(N(Tasks[[#This Row],[Baseline Finish]])&gt;0,Tasks[[#This Row],[Baseline Finish]],Tasks[[#This Row],[_CalcFinish]]))</f>
        <v/>
      </c>
      <c r="R101" s="73"/>
      <c r="S101" s="73"/>
      <c r="T101" s="25" t="str">
        <f aca="false">IF(Tasks[[#This Row],[Task Name]]="","",IF(Tasks[[#This Row],[_IsSummary]],MIN(INDEX(Tasks[_LeafFcstStart],Tasks[[#This Row],[_Row]]+1):INDEX(Tasks[_LeafFcstStart],Tasks[[#This Row],[_Row]]+Tasks[[#This Row],[_Descendants]])),Tasks[[#This Row],[_LeafFcstStart]]))</f>
        <v/>
      </c>
      <c r="U101" s="25" t="str">
        <f aca="false">IF(Tasks[[#This Row],[Task Name]]="","",IF(Tasks[[#This Row],[_IsSummary]],MAX(INDEX(Tasks[_LeafFcstFinish],Tasks[[#This Row],[_Row]]+1):INDEX(Tasks[_LeafFcstFinish],Tasks[[#This Row],[_Row]]+Tasks[[#This Row],[_Descendants]])),Tasks[[#This Row],[_LeafFcstFinish]]))</f>
        <v/>
      </c>
      <c r="V10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0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1" s="25" t="str">
        <f aca="false">IF(Tasks[[#This Row],[Task Name]]="","",IF(Tasks[[#This Row],[_IsSummary]],MIN(INDEX(Tasks[_LeafLateStart],Tasks[[#This Row],[_Row]]+1):INDEX(Tasks[_LeafLateStart],Tasks[[#This Row],[_Row]]+Tasks[[#This Row],[_Descendants]])),Tasks[[#This Row],[_LeafLateStart]]))</f>
        <v/>
      </c>
      <c r="Y101" s="25" t="str">
        <f aca="false">IF(Tasks[[#This Row],[Task Name]]="","",IF(Tasks[[#This Row],[_IsSummary]],MAX(INDEX(Tasks[_LeafLateFinish],Tasks[[#This Row],[_Row]]+1):INDEX(Tasks[_LeafLateFinish],Tasks[[#This Row],[_Row]]+Tasks[[#This Row],[_Descendants]])),Tasks[[#This Row],[_LeafLateFinish]]))</f>
        <v/>
      </c>
      <c r="Z101" s="43" t="str">
        <f aca="false">IF(Tasks[[#This Row],[Task Name]]="","",IF(Tasks[[#This Row],[_IsSummary]],MIN(INDEX(Tasks[_LeafTotalSlack],Tasks[[#This Row],[_Row]]+1):INDEX(Tasks[_LeafTotalSlack],Tasks[[#This Row],[_Row]]+Tasks[[#This Row],[_Descendants]])),Tasks[[#This Row],[_LeafTotalSlack]]))</f>
        <v/>
      </c>
      <c r="AA10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1" s="28" t="str">
        <f aca="false">IF(Tasks[[#This Row],[Task Name]]="","",IF(IF(Tasks[[#This Row],[_IsSummary]],COUNTIF(INDEX(Tasks[_LeafCritical],Tasks[[#This Row],[_Row]]+1):INDEX(Tasks[_LeafCritical],Tasks[[#This Row],[_Row]]+Tasks[[#This Row],[_Descendants]]),TRUE())&gt;0,Tasks[[#This Row],[_LeafCritical]]),"Yes",""))</f>
        <v/>
      </c>
      <c r="AC10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1" s="24" t="str">
        <f aca="false">IF(Tasks[[#This Row],[Task Name]]="","",TRIM(IF(Tasks[[#This Row],[_Pred1Problem]]&lt;&gt;"","Pred 1: "&amp;Tasks[[#This Row],[_Pred1Problem]]&amp;". ","")&amp;IF(Tasks[[#This Row],[_Pred2Problem]]&lt;&gt;"","Pred 2: "&amp;Tasks[[#This Row],[_Pred2Problem]]&amp;".","")))</f>
        <v/>
      </c>
      <c r="AE101" s="88"/>
      <c r="AF101"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1" s="28" t="str">
        <f aca="false">IF(Tasks[[#This Row],[Task Name]]="","",IF(Tasks[[#This Row],[Progress]]&gt;=1,"Complete",IF(OR(N(Tasks[[#This Row],[Actual Start]])&gt;0,Tasks[[#This Row],[Progress]]&gt;0),IF(Tasks[[#This Row],[Finish Var]]&gt;0,"Behind","In Progress"),IF(Tasks[[#This Row],[Planned Start]]&lt;StatusDate,"Late Start","Not Started"))))</f>
        <v/>
      </c>
      <c r="AH101" s="30"/>
      <c r="AI101" s="88"/>
      <c r="AJ101" s="95" t="str">
        <f aca="false">IF(Tasks[[#This Row],[Task Name]]="","",IF(Tasks[[#This Row],[_IsSummary]],SUM(INDEX(Tasks[_LeafWork],Tasks[[#This Row],[_Row]]+1):INDEX(Tasks[_LeafWork],Tasks[[#This Row],[_Row]]+Tasks[[#This Row],[_Descendants]])),Tasks[[#This Row],[_LeafWork]]))</f>
        <v/>
      </c>
      <c r="AK101" s="96" t="str">
        <f aca="false">IF(Tasks[[#This Row],[Task Name]]="","",IF(Tasks[[#This Row],[_IsSummary]],SUM(INDEX(Tasks[_LeafCost],Tasks[[#This Row],[_Row]]+1):INDEX(Tasks[_LeafCost],Tasks[[#This Row],[_Row]]+Tasks[[#This Row],[_Descendants]])),Tasks[[#This Row],[_LeafCost]]))</f>
        <v/>
      </c>
      <c r="AL101" s="97"/>
      <c r="AM101" s="29"/>
      <c r="AN10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01" s="82"/>
      <c r="AP101" s="24" t="str">
        <f aca="false">IF(Tasks[[#This Row],[Task Name]]="","",Tasks[[#This Row],[_Pred1IDText]]&amp;IF(AND(Tasks[[#This Row],[_Pred1IDText]]&lt;&gt;"",Tasks[[#This Row],[_Pred2IDText]]&lt;&gt;""),",","")&amp;Tasks[[#This Row],[_Pred2IDText]])</f>
        <v/>
      </c>
      <c r="AQ101" s="30"/>
      <c r="AR101" s="25" t="str">
        <f aca="false">IF(Tasks[[#This Row],[Task Name]]="","",Tasks[[#This Row],[Forecast Start]])</f>
        <v/>
      </c>
      <c r="AS101" s="25" t="str">
        <f aca="false">IF(Tasks[[#This Row],[Task Name]]="","",Tasks[[#This Row],[Forecast Finish]])</f>
        <v/>
      </c>
      <c r="AT101" s="28" t="str">
        <f aca="false">IF(Tasks[[#This Row],[Task Name]]="","",IF(Tasks[[#This Row],[_IsSummary]],NETWORKDAYS.INTL(Tasks[[#This Row],[Forecast Start]],Tasks[[#This Row],[Forecast Finish]],WorkWeek,Holidays),N(Tasks[[#This Row],[Duration]])))</f>
        <v/>
      </c>
      <c r="AU101" s="95" t="str">
        <f aca="false">IF(Tasks[[#This Row],[Task Name]]="","",Tasks[[#This Row],[Work]])</f>
        <v/>
      </c>
      <c r="AV101" s="96" t="str">
        <f aca="false">IF(Tasks[[#This Row],[Task Name]]="","",Tasks[[#This Row],[Cost]])</f>
        <v/>
      </c>
      <c r="AW101" s="73"/>
      <c r="AX101" s="73"/>
      <c r="AY101" s="29"/>
      <c r="AZ101" s="98"/>
      <c r="BA101" s="97"/>
      <c r="BB101" s="28" t="str">
        <f aca="false">IF(OR(Tasks[[#This Row],[Task Name]]="",Tasks[[#This Row],[Baseline Duration]]=""),"",Tasks[[#This Row],[BL Source Duration]]-N(Tasks[[#This Row],[Baseline Duration]]))</f>
        <v/>
      </c>
      <c r="BC101" s="95" t="str">
        <f aca="false">IF(OR(Tasks[[#This Row],[Task Name]]="",Tasks[[#This Row],[Baseline Work]]=""),"",Tasks[[#This Row],[Work]]-N(Tasks[[#This Row],[Baseline Work]]))</f>
        <v/>
      </c>
      <c r="BD101" s="96" t="str">
        <f aca="false">IF(OR(Tasks[[#This Row],[Task Name]]="",Tasks[[#This Row],[Baseline Cost]]=""),"",Tasks[[#This Row],[Cost]]-N(Tasks[[#This Row],[Baseline Cost]]))</f>
        <v/>
      </c>
      <c r="BE101" s="96" t="str">
        <f aca="false">IF(Tasks[[#This Row],[Task Name]]="","",IF(Tasks[[#This Row],[_IsSummary]],SUM(INDEX(Tasks[_LeafBudget],Tasks[[#This Row],[_Row]]+1):INDEX(Tasks[_LeafBudget],Tasks[[#This Row],[_Row]]+Tasks[[#This Row],[_Descendants]])),Tasks[[#This Row],[_LeafBudget]]))</f>
        <v/>
      </c>
      <c r="BF101" s="96" t="str">
        <f aca="false">IF(Tasks[[#This Row],[Task Name]]="","",IF(Tasks[[#This Row],[_IsSummary]],SUM(INDEX(Tasks[_LeafPV],Tasks[[#This Row],[_Row]]+1):INDEX(Tasks[_LeafPV],Tasks[[#This Row],[_Row]]+Tasks[[#This Row],[_Descendants]])),Tasks[[#This Row],[_LeafPV]]))</f>
        <v/>
      </c>
      <c r="BG101" s="96" t="str">
        <f aca="false">IF(Tasks[[#This Row],[Task Name]]="","",IF(Tasks[[#This Row],[_IsSummary]],SUM(INDEX(Tasks[_LeafEV],Tasks[[#This Row],[_Row]]+1):INDEX(Tasks[_LeafEV],Tasks[[#This Row],[_Row]]+Tasks[[#This Row],[_Descendants]])),Tasks[[#This Row],[_LeafEV]]))</f>
        <v/>
      </c>
      <c r="BH101" s="96" t="str">
        <f aca="false">IF(Tasks[[#This Row],[Task Name]]="","",IF(Tasks[[#This Row],[_IsSummary]],SUM(INDEX(Tasks[_LeafAC],Tasks[[#This Row],[_Row]]+1):INDEX(Tasks[_LeafAC],Tasks[[#This Row],[_Row]]+Tasks[[#This Row],[_Descendants]])),Tasks[[#This Row],[_LeafAC]]))</f>
        <v/>
      </c>
      <c r="BI101" s="41" t="str">
        <f aca="false">IF(Tasks[[#This Row],[Task Name]]="","",MAX(1,N(Tasks[[#This Row],[Level]])))</f>
        <v/>
      </c>
      <c r="BJ101" s="41" t="n">
        <f aca="false">ROW()-ROW(Tasks[[#Headers],[ID]])</f>
        <v>96</v>
      </c>
      <c r="BK101" s="41" t="n">
        <f aca="false">IF(OR(Tasks[[#This Row],[Task Name]]="",Tasks[[#This Row],[_Level]]&lt;=1),0,IFERROR(LOOKUP(2,1/(Tasks[[#Headers],[_Level]]:Tasks[[#This Row],[_Level]]=Tasks[[#This Row],[_Level]]-1),ROW(Tasks[[#Headers],[_Level]]:Tasks[[#This Row],[_Level]])),0))</f>
        <v>0</v>
      </c>
      <c r="BL101" s="41" t="n">
        <f aca="false">IFERROR(N(INDEX(Tasks[_Level],Tasks[[#This Row],[_Row]]+1)),0)</f>
        <v>0</v>
      </c>
      <c r="BM101" s="99" t="b">
        <f aca="false">AND(Tasks[[#This Row],[Task Name]]&lt;&gt;"",Tasks[[#This Row],[_NextLevel]]&gt;Tasks[[#This Row],[_Level]])</f>
        <v>0</v>
      </c>
      <c r="BN101" s="41" t="n">
        <f aca="false">IF(Tasks[[#This Row],[_IsSummary]],COUNTIF(Tasks[WBS],Tasks[[#This Row],[WBS]]&amp;".*"),0)</f>
        <v>0</v>
      </c>
      <c r="BO101" s="41" t="n">
        <f aca="false">IF(AND(Tasks[[#This Row],[Task Name]]&lt;&gt;"",NOT(Tasks[[#This Row],[_IsSummary]])),1,0)</f>
        <v>0</v>
      </c>
      <c r="BP101" s="41" t="n">
        <f aca="false">IF(N(Tasks[[#This Row],[Pred1 UID]])=0,0,IFERROR(MATCH(Tasks[[#This Row],[Pred1 UID]],Tasks[UID],0),-1))</f>
        <v>0</v>
      </c>
      <c r="BQ101" s="41" t="n">
        <f aca="false">IF(N(Tasks[[#This Row],[Pred2 UID]])=0,0,IFERROR(MATCH(Tasks[[#This Row],[Pred2 UID]],Tasks[UID],0),-1))</f>
        <v>0</v>
      </c>
      <c r="BR101"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01" s="100" t="str">
        <f aca="false">IF(NOT(Tasks[[#This Row],[_IsLeaf]]=1),"",IF(N(Tasks[[#This Row],[Duration]])&lt;=0,Tasks[[#This Row],[_LeafCalcStart]],WORKDAY.INTL(Tasks[[#This Row],[_LeafCalcStart]],Tasks[[#This Row],[Duration]]-1,WorkWeek,Holidays)))</f>
        <v/>
      </c>
      <c r="BT101"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01"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01" s="41" t="n">
        <f aca="false">IF(NOT(Tasks[[#This Row],[_IsLeaf]]=1),0,IF(N(Tasks[[#This Row],[Actual Finish]])&gt;0,1,MIN(1,N(Tasks[[#This Row],[% Complete]]))))</f>
        <v>0</v>
      </c>
      <c r="BW101" s="41" t="n">
        <f aca="false">IF(OR(NOT(Tasks[[#This Row],[_IsLeaf]]=1),Tasks[[#This Row],[Resource]]=""),0,N(Tasks[[#This Row],[Duration]])*HoursPerDay*IF(Tasks[[#This Row],[Units]]="",DefaultUnits,Tasks[[#This Row],[Units]]))</f>
        <v>0</v>
      </c>
      <c r="BX101" s="41" t="n">
        <f aca="false">IF(Tasks[[#This Row],[_LeafWork]]=0,0,Tasks[[#This Row],[_LeafWork]]*IFERROR(INDEX(res_Rate,MATCH(Tasks[[#This Row],[Resource]],res_Name,0)),0))</f>
        <v>0</v>
      </c>
      <c r="BY10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0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0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0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01" s="41" t="n">
        <f aca="false">IF(NOT(Tasks[[#This Row],[_IsLeaf]]=1),0,MAX(_xlfn.MAXIFS(Tasks[_Row],Tasks[Pred1 UID],Tasks[[#This Row],[UID]]),_xlfn.MAXIFS(Tasks[_Row],Tasks[Pred2 UID],Tasks[[#This Row],[UID]])))</f>
        <v>0</v>
      </c>
      <c r="CD101"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01" s="100" t="str">
        <f aca="false">IF(NOT(Tasks[[#This Row],[_IsLeaf]]=1),"",MIN(ProjectFinish,IF(N(Tasks[[#This Row],[Deadline]])&gt;0,Tasks[[#This Row],[Deadline]],2958465),Tasks[[#This Row],[_SuccessorFinishLimit]]))</f>
        <v/>
      </c>
      <c r="CF101" s="100" t="str">
        <f aca="false">IF(NOT(Tasks[[#This Row],[_IsLeaf]]=1),"",IF(N(Tasks[[#This Row],[Duration]])&lt;=0,Tasks[[#This Row],[_LeafLateFinish]],WORKDAY.INTL(Tasks[[#This Row],[_LeafLateFinish]],-(Tasks[[#This Row],[Duration]]-1),WorkWeek,Holidays)))</f>
        <v/>
      </c>
      <c r="CG10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01" s="99" t="b">
        <f aca="false">AND(Tasks[[#This Row],[_IsLeaf]]=1,Tasks[[#This Row],[_LeafProgress]]&lt;1,N(Tasks[[#This Row],[_LeafTotalSlack]])&lt;=CriticalSlackDays)</f>
        <v>0</v>
      </c>
      <c r="CI101" s="100" t="str">
        <f aca="false">IF(Tasks[[#This Row],[Task Name]]="","",IF(Tasks[[#This Row],[_IsSummary]],MIN(INDEX(Tasks[_LeafCalcStart],Tasks[[#This Row],[_Row]]+1):INDEX(Tasks[_LeafCalcStart],Tasks[[#This Row],[_Row]]+Tasks[[#This Row],[_Descendants]])),Tasks[[#This Row],[_LeafCalcStart]]))</f>
        <v/>
      </c>
      <c r="CJ101" s="100" t="str">
        <f aca="false">IF(Tasks[[#This Row],[Task Name]]="","",IF(Tasks[[#This Row],[_IsSummary]],MAX(INDEX(Tasks[_LeafCalcFinish],Tasks[[#This Row],[_Row]]+1):INDEX(Tasks[_LeafCalcFinish],Tasks[[#This Row],[_Row]]+Tasks[[#This Row],[_Descendants]])),Tasks[[#This Row],[_LeafCalcFinish]]))</f>
        <v/>
      </c>
      <c r="CK10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0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01"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01"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01"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01"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01" s="41" t="n">
        <f aca="false">IF(AND(Tasks[[#This Row],[_IsLeaf]]=1,Tasks[[#This Row],[_LeafWork]]&gt;0),NETWORKDAYS.INTL(ProjectStart,Tasks[[#This Row],[_LeafFcstStart]],WorkWeek,Holidays),0)</f>
        <v>0</v>
      </c>
      <c r="CR101" s="41" t="n">
        <f aca="false">IF(AND(Tasks[[#This Row],[_IsLeaf]]=1,Tasks[[#This Row],[_LeafWork]]&gt;0),MAX(Tasks[[#This Row],[_StartWorkday]],NETWORKDAYS.INTL(ProjectStart,Tasks[[#This Row],[_LeafFcstFinish]],WorkWeek,Holidays)),0)</f>
        <v>0</v>
      </c>
      <c r="CS101" s="41" t="n">
        <f aca="false">IF(AND(Tasks[[#This Row],[_IsLeaf]]=1,Tasks[[#This Row],[_LeafWork]]&gt;0),Tasks[[#This Row],[_LeafWork]]/(Tasks[[#This Row],[_FinishWorkday]]-Tasks[[#This Row],[_StartWorkday]]+1),0)</f>
        <v>0</v>
      </c>
      <c r="CT101" s="41" t="n">
        <f aca="false">Tasks[[#This Row],[_WorkPerWorkday]]*(Tasks[[#This Row],[_StartWorkday]]-1)</f>
        <v>-0</v>
      </c>
      <c r="CU101" s="41" t="n">
        <f aca="false">IF(Tasks[[#This Row],[_IsLeaf]]=1,MAX(N(Tasks[[#This Row],[Duration]]),0.1),0)</f>
        <v>0</v>
      </c>
      <c r="CV101" s="41" t="n">
        <f aca="false">Tasks[[#This Row],[_WeightDur]]*Tasks[[#This Row],[_LeafProgress]]</f>
        <v>0</v>
      </c>
      <c r="CW10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0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0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0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01" s="41" t="str">
        <f aca="false">IF(Tasks[[#This Row],[Task Name]]="","",Tasks[[#This Row],[_Pred1UIDText]]&amp;IF(AND(Tasks[[#This Row],[_Pred1UIDText]]&lt;&gt;"",Tasks[[#This Row],[_Pred2UIDText]]&lt;&gt;""),",","")&amp;Tasks[[#This Row],[_Pred2UIDText]])</f>
        <v/>
      </c>
      <c r="DB101" s="41" t="str">
        <f aca="false">IF(AND(Tasks[[#This Row],[_IsLeaf]]=1,N(Tasks[[#This Row],[Duration]])=0,Tasks[[#This Row],[_LeafProgress]]&lt;1),Tasks[[#This Row],[_LeafFcstFinish]]+Tasks[[#This Row],[_Row]]/100000,"")</f>
        <v/>
      </c>
      <c r="DC10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01" s="41" t="n">
        <f aca="false">IF(NOT(Tasks[[#This Row],[_IsLeaf]]=1),0,IF(Tasks[[#This Row],[Baseline Cost]]="",Tasks[[#This Row],[_LeafCost]],N(Tasks[[#This Row],[Baseline Cost]])))</f>
        <v>0</v>
      </c>
      <c r="DE101" s="41" t="n">
        <f aca="false">Tasks[[#This Row],[_LeafBudget]]*Tasks[[#This Row],[_PlannedPct]]</f>
        <v>0</v>
      </c>
      <c r="DF101" s="41" t="n">
        <f aca="false">Tasks[[#This Row],[_LeafBudget]]*Tasks[[#This Row],[_LeafProgress]]</f>
        <v>0</v>
      </c>
      <c r="DG101" s="41" t="n">
        <f aca="false">IF(NOT(Tasks[[#This Row],[_IsLeaf]]=1),0,IF(Tasks[[#This Row],[Actual Cost]]="",Tasks[[#This Row],[_LeafCost]]*Tasks[[#This Row],[_LeafProgress]],N(Tasks[[#This Row],[Actual Cost]])))</f>
        <v>0</v>
      </c>
      <c r="DH101" s="41" t="str">
        <f aca="false">IF(Tasks[[#This Row],[Task Name]]="","",LEFT(Tasks[[#This Row],[WBS]],FIND(".",Tasks[[#This Row],[WBS]]&amp;".")-1))</f>
        <v/>
      </c>
      <c r="DI101" s="41" t="str">
        <f aca="false">IF(AND(Tasks[[#This Row],[Task Name]]&lt;&gt;"",Tasks[[#This Row],[_Level]]=1),Tasks[[#This Row],[_Row]],"")</f>
        <v/>
      </c>
      <c r="DJ101" s="41" t="str">
        <f aca="false">IF(AND(Tasks[[#This Row],[_IsLeaf]]=1,N(Tasks[[#This Row],[Duration]])=0),Tasks[[#This Row],[Planned Finish]]+Tasks[[#This Row],[_Row]]/100000,"")</f>
        <v/>
      </c>
      <c r="DK101" s="41" t="str">
        <f aca="false">IF(AND(Tasks[[#This Row],[_IsLeaf]]=1,Tasks[[#This Row],[_LeafProgress]]&lt;1,OR(N(Tasks[[#This Row],[Finish Var]])&gt;0,Tasks[[#This Row],[Status]]="Late Start")),MAX(0,Tasks[[#This Row],[Finish Var]])+1-Tasks[[#This Row],[_Row]]/1000000,"")</f>
        <v/>
      </c>
      <c r="DL101" s="41" t="str">
        <f aca="false">IF(AND(Tasks[[#This Row],[_IsLeaf]]=1,N(Tasks[[#This Row],[Actual Start]])=0,Tasks[[#This Row],[_LeafFcstStart]]&gt;=StatusDate,Tasks[[#This Row],[_LeafFcstStart]]&lt;=LookaheadEnd),Tasks[[#This Row],[_LeafFcstStart]]+Tasks[[#This Row],[_Row]]/100000,"")</f>
        <v/>
      </c>
      <c r="DM101" s="41" t="str">
        <f aca="false">IF(AND(Tasks[[#This Row],[_IsLeaf]]=1,Tasks[[#This Row],[_LeafProgress]]&lt;1,Tasks[[#This Row],[_LeafFcstFinish]]&gt;=StatusDate,Tasks[[#This Row],[_LeafFcstFinish]]&lt;=LookaheadEnd),Tasks[[#This Row],[_LeafFcstFinish]]+Tasks[[#This Row],[_Row]]/100000,"")</f>
        <v/>
      </c>
      <c r="DN101" s="41" t="str">
        <f aca="false">IF(Tasks[[#This Row],[_LeafCritical]],Tasks[[#This Row],[_LeafFcstStart]]+Tasks[[#This Row],[_Row]]/100000,"")</f>
        <v/>
      </c>
      <c r="DO101" s="41" t="n">
        <f aca="false">Tasks[[#This Row],[_LeafWork]]*Tasks[[#This Row],[_LeafProgress]]</f>
        <v>0</v>
      </c>
      <c r="DP101" s="100" t="str">
        <f aca="false">IF(AND(Tasks[[#This Row],[_IsLeaf]]=1,Tasks[[#This Row],[_LeafProgress]]&gt;=1),IF(N(Tasks[[#This Row],[Actual Finish]])&gt;0,Tasks[[#This Row],[Actual Finish]],Tasks[[#This Row],[_LeafFcstFinish]]),"")</f>
        <v/>
      </c>
      <c r="DQ101" s="41" t="n">
        <f aca="false">IF(Tasks[[#This Row],[_IsLeaf]]=1,N(Tasks[[#This Row],[Story Points]]),0)</f>
        <v>0</v>
      </c>
      <c r="DR101" s="41" t="str">
        <f aca="false">IF(AND(Tasks[[#This Row],[_IsLeaf]]=1,CurrentSprint&lt;&gt;"",Tasks[[#This Row],[Sprint]]=CurrentSprint),Tasks[[#This Row],[_Row]],"")</f>
        <v/>
      </c>
    </row>
    <row r="102" customFormat="false" ht="15" hidden="false" customHeight="false" outlineLevel="0" collapsed="false">
      <c r="A102" s="28" t="str">
        <f aca="false">IF(Tasks[[#This Row],[Task Name]]="","",COUNTA(Tasks[[#Headers],[Task Name]]:Tasks[[#This Row],[Task Name]])-1)</f>
        <v/>
      </c>
      <c r="B102" s="29" t="n">
        <v>97</v>
      </c>
      <c r="C10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2" s="29"/>
      <c r="E102" s="30"/>
      <c r="F102" s="29"/>
      <c r="G102" s="29"/>
      <c r="H102" s="29"/>
      <c r="I102" s="29"/>
      <c r="J102" s="29"/>
      <c r="K102" s="29"/>
      <c r="L102" s="29"/>
      <c r="M102" s="29"/>
      <c r="N102" s="73"/>
      <c r="O102" s="73"/>
      <c r="P102" s="25" t="str">
        <f aca="false">IF(Tasks[[#This Row],[Task Name]]="","",IF(N(Tasks[[#This Row],[Baseline Start]])&gt;0,Tasks[[#This Row],[Baseline Start]],Tasks[[#This Row],[_CalcStart]]))</f>
        <v/>
      </c>
      <c r="Q102" s="25" t="str">
        <f aca="false">IF(Tasks[[#This Row],[Task Name]]="","",IF(N(Tasks[[#This Row],[Baseline Finish]])&gt;0,Tasks[[#This Row],[Baseline Finish]],Tasks[[#This Row],[_CalcFinish]]))</f>
        <v/>
      </c>
      <c r="R102" s="73"/>
      <c r="S102" s="73"/>
      <c r="T102" s="25" t="str">
        <f aca="false">IF(Tasks[[#This Row],[Task Name]]="","",IF(Tasks[[#This Row],[_IsSummary]],MIN(INDEX(Tasks[_LeafFcstStart],Tasks[[#This Row],[_Row]]+1):INDEX(Tasks[_LeafFcstStart],Tasks[[#This Row],[_Row]]+Tasks[[#This Row],[_Descendants]])),Tasks[[#This Row],[_LeafFcstStart]]))</f>
        <v/>
      </c>
      <c r="U102" s="25" t="str">
        <f aca="false">IF(Tasks[[#This Row],[Task Name]]="","",IF(Tasks[[#This Row],[_IsSummary]],MAX(INDEX(Tasks[_LeafFcstFinish],Tasks[[#This Row],[_Row]]+1):INDEX(Tasks[_LeafFcstFinish],Tasks[[#This Row],[_Row]]+Tasks[[#This Row],[_Descendants]])),Tasks[[#This Row],[_LeafFcstFinish]]))</f>
        <v/>
      </c>
      <c r="V10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0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2" s="25" t="str">
        <f aca="false">IF(Tasks[[#This Row],[Task Name]]="","",IF(Tasks[[#This Row],[_IsSummary]],MIN(INDEX(Tasks[_LeafLateStart],Tasks[[#This Row],[_Row]]+1):INDEX(Tasks[_LeafLateStart],Tasks[[#This Row],[_Row]]+Tasks[[#This Row],[_Descendants]])),Tasks[[#This Row],[_LeafLateStart]]))</f>
        <v/>
      </c>
      <c r="Y102" s="25" t="str">
        <f aca="false">IF(Tasks[[#This Row],[Task Name]]="","",IF(Tasks[[#This Row],[_IsSummary]],MAX(INDEX(Tasks[_LeafLateFinish],Tasks[[#This Row],[_Row]]+1):INDEX(Tasks[_LeafLateFinish],Tasks[[#This Row],[_Row]]+Tasks[[#This Row],[_Descendants]])),Tasks[[#This Row],[_LeafLateFinish]]))</f>
        <v/>
      </c>
      <c r="Z102" s="43" t="str">
        <f aca="false">IF(Tasks[[#This Row],[Task Name]]="","",IF(Tasks[[#This Row],[_IsSummary]],MIN(INDEX(Tasks[_LeafTotalSlack],Tasks[[#This Row],[_Row]]+1):INDEX(Tasks[_LeafTotalSlack],Tasks[[#This Row],[_Row]]+Tasks[[#This Row],[_Descendants]])),Tasks[[#This Row],[_LeafTotalSlack]]))</f>
        <v/>
      </c>
      <c r="AA10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2" s="28" t="str">
        <f aca="false">IF(Tasks[[#This Row],[Task Name]]="","",IF(IF(Tasks[[#This Row],[_IsSummary]],COUNTIF(INDEX(Tasks[_LeafCritical],Tasks[[#This Row],[_Row]]+1):INDEX(Tasks[_LeafCritical],Tasks[[#This Row],[_Row]]+Tasks[[#This Row],[_Descendants]]),TRUE())&gt;0,Tasks[[#This Row],[_LeafCritical]]),"Yes",""))</f>
        <v/>
      </c>
      <c r="AC10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2" s="24" t="str">
        <f aca="false">IF(Tasks[[#This Row],[Task Name]]="","",TRIM(IF(Tasks[[#This Row],[_Pred1Problem]]&lt;&gt;"","Pred 1: "&amp;Tasks[[#This Row],[_Pred1Problem]]&amp;". ","")&amp;IF(Tasks[[#This Row],[_Pred2Problem]]&lt;&gt;"","Pred 2: "&amp;Tasks[[#This Row],[_Pred2Problem]]&amp;".","")))</f>
        <v/>
      </c>
      <c r="AE102" s="88"/>
      <c r="AF102"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2" s="28" t="str">
        <f aca="false">IF(Tasks[[#This Row],[Task Name]]="","",IF(Tasks[[#This Row],[Progress]]&gt;=1,"Complete",IF(OR(N(Tasks[[#This Row],[Actual Start]])&gt;0,Tasks[[#This Row],[Progress]]&gt;0),IF(Tasks[[#This Row],[Finish Var]]&gt;0,"Behind","In Progress"),IF(Tasks[[#This Row],[Planned Start]]&lt;StatusDate,"Late Start","Not Started"))))</f>
        <v/>
      </c>
      <c r="AH102" s="30"/>
      <c r="AI102" s="88"/>
      <c r="AJ102" s="95" t="str">
        <f aca="false">IF(Tasks[[#This Row],[Task Name]]="","",IF(Tasks[[#This Row],[_IsSummary]],SUM(INDEX(Tasks[_LeafWork],Tasks[[#This Row],[_Row]]+1):INDEX(Tasks[_LeafWork],Tasks[[#This Row],[_Row]]+Tasks[[#This Row],[_Descendants]])),Tasks[[#This Row],[_LeafWork]]))</f>
        <v/>
      </c>
      <c r="AK102" s="96" t="str">
        <f aca="false">IF(Tasks[[#This Row],[Task Name]]="","",IF(Tasks[[#This Row],[_IsSummary]],SUM(INDEX(Tasks[_LeafCost],Tasks[[#This Row],[_Row]]+1):INDEX(Tasks[_LeafCost],Tasks[[#This Row],[_Row]]+Tasks[[#This Row],[_Descendants]])),Tasks[[#This Row],[_LeafCost]]))</f>
        <v/>
      </c>
      <c r="AL102" s="97"/>
      <c r="AM102" s="29"/>
      <c r="AN10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02" s="82"/>
      <c r="AP102" s="24" t="str">
        <f aca="false">IF(Tasks[[#This Row],[Task Name]]="","",Tasks[[#This Row],[_Pred1IDText]]&amp;IF(AND(Tasks[[#This Row],[_Pred1IDText]]&lt;&gt;"",Tasks[[#This Row],[_Pred2IDText]]&lt;&gt;""),",","")&amp;Tasks[[#This Row],[_Pred2IDText]])</f>
        <v/>
      </c>
      <c r="AQ102" s="30"/>
      <c r="AR102" s="25" t="str">
        <f aca="false">IF(Tasks[[#This Row],[Task Name]]="","",Tasks[[#This Row],[Forecast Start]])</f>
        <v/>
      </c>
      <c r="AS102" s="25" t="str">
        <f aca="false">IF(Tasks[[#This Row],[Task Name]]="","",Tasks[[#This Row],[Forecast Finish]])</f>
        <v/>
      </c>
      <c r="AT102" s="28" t="str">
        <f aca="false">IF(Tasks[[#This Row],[Task Name]]="","",IF(Tasks[[#This Row],[_IsSummary]],NETWORKDAYS.INTL(Tasks[[#This Row],[Forecast Start]],Tasks[[#This Row],[Forecast Finish]],WorkWeek,Holidays),N(Tasks[[#This Row],[Duration]])))</f>
        <v/>
      </c>
      <c r="AU102" s="95" t="str">
        <f aca="false">IF(Tasks[[#This Row],[Task Name]]="","",Tasks[[#This Row],[Work]])</f>
        <v/>
      </c>
      <c r="AV102" s="96" t="str">
        <f aca="false">IF(Tasks[[#This Row],[Task Name]]="","",Tasks[[#This Row],[Cost]])</f>
        <v/>
      </c>
      <c r="AW102" s="73"/>
      <c r="AX102" s="73"/>
      <c r="AY102" s="29"/>
      <c r="AZ102" s="98"/>
      <c r="BA102" s="97"/>
      <c r="BB102" s="28" t="str">
        <f aca="false">IF(OR(Tasks[[#This Row],[Task Name]]="",Tasks[[#This Row],[Baseline Duration]]=""),"",Tasks[[#This Row],[BL Source Duration]]-N(Tasks[[#This Row],[Baseline Duration]]))</f>
        <v/>
      </c>
      <c r="BC102" s="95" t="str">
        <f aca="false">IF(OR(Tasks[[#This Row],[Task Name]]="",Tasks[[#This Row],[Baseline Work]]=""),"",Tasks[[#This Row],[Work]]-N(Tasks[[#This Row],[Baseline Work]]))</f>
        <v/>
      </c>
      <c r="BD102" s="96" t="str">
        <f aca="false">IF(OR(Tasks[[#This Row],[Task Name]]="",Tasks[[#This Row],[Baseline Cost]]=""),"",Tasks[[#This Row],[Cost]]-N(Tasks[[#This Row],[Baseline Cost]]))</f>
        <v/>
      </c>
      <c r="BE102" s="96" t="str">
        <f aca="false">IF(Tasks[[#This Row],[Task Name]]="","",IF(Tasks[[#This Row],[_IsSummary]],SUM(INDEX(Tasks[_LeafBudget],Tasks[[#This Row],[_Row]]+1):INDEX(Tasks[_LeafBudget],Tasks[[#This Row],[_Row]]+Tasks[[#This Row],[_Descendants]])),Tasks[[#This Row],[_LeafBudget]]))</f>
        <v/>
      </c>
      <c r="BF102" s="96" t="str">
        <f aca="false">IF(Tasks[[#This Row],[Task Name]]="","",IF(Tasks[[#This Row],[_IsSummary]],SUM(INDEX(Tasks[_LeafPV],Tasks[[#This Row],[_Row]]+1):INDEX(Tasks[_LeafPV],Tasks[[#This Row],[_Row]]+Tasks[[#This Row],[_Descendants]])),Tasks[[#This Row],[_LeafPV]]))</f>
        <v/>
      </c>
      <c r="BG102" s="96" t="str">
        <f aca="false">IF(Tasks[[#This Row],[Task Name]]="","",IF(Tasks[[#This Row],[_IsSummary]],SUM(INDEX(Tasks[_LeafEV],Tasks[[#This Row],[_Row]]+1):INDEX(Tasks[_LeafEV],Tasks[[#This Row],[_Row]]+Tasks[[#This Row],[_Descendants]])),Tasks[[#This Row],[_LeafEV]]))</f>
        <v/>
      </c>
      <c r="BH102" s="96" t="str">
        <f aca="false">IF(Tasks[[#This Row],[Task Name]]="","",IF(Tasks[[#This Row],[_IsSummary]],SUM(INDEX(Tasks[_LeafAC],Tasks[[#This Row],[_Row]]+1):INDEX(Tasks[_LeafAC],Tasks[[#This Row],[_Row]]+Tasks[[#This Row],[_Descendants]])),Tasks[[#This Row],[_LeafAC]]))</f>
        <v/>
      </c>
      <c r="BI102" s="41" t="str">
        <f aca="false">IF(Tasks[[#This Row],[Task Name]]="","",MAX(1,N(Tasks[[#This Row],[Level]])))</f>
        <v/>
      </c>
      <c r="BJ102" s="41" t="n">
        <f aca="false">ROW()-ROW(Tasks[[#Headers],[ID]])</f>
        <v>97</v>
      </c>
      <c r="BK102" s="41" t="n">
        <f aca="false">IF(OR(Tasks[[#This Row],[Task Name]]="",Tasks[[#This Row],[_Level]]&lt;=1),0,IFERROR(LOOKUP(2,1/(Tasks[[#Headers],[_Level]]:Tasks[[#This Row],[_Level]]=Tasks[[#This Row],[_Level]]-1),ROW(Tasks[[#Headers],[_Level]]:Tasks[[#This Row],[_Level]])),0))</f>
        <v>0</v>
      </c>
      <c r="BL102" s="41" t="n">
        <f aca="false">IFERROR(N(INDEX(Tasks[_Level],Tasks[[#This Row],[_Row]]+1)),0)</f>
        <v>0</v>
      </c>
      <c r="BM102" s="99" t="b">
        <f aca="false">AND(Tasks[[#This Row],[Task Name]]&lt;&gt;"",Tasks[[#This Row],[_NextLevel]]&gt;Tasks[[#This Row],[_Level]])</f>
        <v>0</v>
      </c>
      <c r="BN102" s="41" t="n">
        <f aca="false">IF(Tasks[[#This Row],[_IsSummary]],COUNTIF(Tasks[WBS],Tasks[[#This Row],[WBS]]&amp;".*"),0)</f>
        <v>0</v>
      </c>
      <c r="BO102" s="41" t="n">
        <f aca="false">IF(AND(Tasks[[#This Row],[Task Name]]&lt;&gt;"",NOT(Tasks[[#This Row],[_IsSummary]])),1,0)</f>
        <v>0</v>
      </c>
      <c r="BP102" s="41" t="n">
        <f aca="false">IF(N(Tasks[[#This Row],[Pred1 UID]])=0,0,IFERROR(MATCH(Tasks[[#This Row],[Pred1 UID]],Tasks[UID],0),-1))</f>
        <v>0</v>
      </c>
      <c r="BQ102" s="41" t="n">
        <f aca="false">IF(N(Tasks[[#This Row],[Pred2 UID]])=0,0,IFERROR(MATCH(Tasks[[#This Row],[Pred2 UID]],Tasks[UID],0),-1))</f>
        <v>0</v>
      </c>
      <c r="BR102"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02" s="100" t="str">
        <f aca="false">IF(NOT(Tasks[[#This Row],[_IsLeaf]]=1),"",IF(N(Tasks[[#This Row],[Duration]])&lt;=0,Tasks[[#This Row],[_LeafCalcStart]],WORKDAY.INTL(Tasks[[#This Row],[_LeafCalcStart]],Tasks[[#This Row],[Duration]]-1,WorkWeek,Holidays)))</f>
        <v/>
      </c>
      <c r="BT102"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02"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02" s="41" t="n">
        <f aca="false">IF(NOT(Tasks[[#This Row],[_IsLeaf]]=1),0,IF(N(Tasks[[#This Row],[Actual Finish]])&gt;0,1,MIN(1,N(Tasks[[#This Row],[% Complete]]))))</f>
        <v>0</v>
      </c>
      <c r="BW102" s="41" t="n">
        <f aca="false">IF(OR(NOT(Tasks[[#This Row],[_IsLeaf]]=1),Tasks[[#This Row],[Resource]]=""),0,N(Tasks[[#This Row],[Duration]])*HoursPerDay*IF(Tasks[[#This Row],[Units]]="",DefaultUnits,Tasks[[#This Row],[Units]]))</f>
        <v>0</v>
      </c>
      <c r="BX102" s="41" t="n">
        <f aca="false">IF(Tasks[[#This Row],[_LeafWork]]=0,0,Tasks[[#This Row],[_LeafWork]]*IFERROR(INDEX(res_Rate,MATCH(Tasks[[#This Row],[Resource]],res_Name,0)),0))</f>
        <v>0</v>
      </c>
      <c r="BY10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0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0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0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02" s="41" t="n">
        <f aca="false">IF(NOT(Tasks[[#This Row],[_IsLeaf]]=1),0,MAX(_xlfn.MAXIFS(Tasks[_Row],Tasks[Pred1 UID],Tasks[[#This Row],[UID]]),_xlfn.MAXIFS(Tasks[_Row],Tasks[Pred2 UID],Tasks[[#This Row],[UID]])))</f>
        <v>0</v>
      </c>
      <c r="CD102"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02" s="100" t="str">
        <f aca="false">IF(NOT(Tasks[[#This Row],[_IsLeaf]]=1),"",MIN(ProjectFinish,IF(N(Tasks[[#This Row],[Deadline]])&gt;0,Tasks[[#This Row],[Deadline]],2958465),Tasks[[#This Row],[_SuccessorFinishLimit]]))</f>
        <v/>
      </c>
      <c r="CF102" s="100" t="str">
        <f aca="false">IF(NOT(Tasks[[#This Row],[_IsLeaf]]=1),"",IF(N(Tasks[[#This Row],[Duration]])&lt;=0,Tasks[[#This Row],[_LeafLateFinish]],WORKDAY.INTL(Tasks[[#This Row],[_LeafLateFinish]],-(Tasks[[#This Row],[Duration]]-1),WorkWeek,Holidays)))</f>
        <v/>
      </c>
      <c r="CG10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02" s="99" t="b">
        <f aca="false">AND(Tasks[[#This Row],[_IsLeaf]]=1,Tasks[[#This Row],[_LeafProgress]]&lt;1,N(Tasks[[#This Row],[_LeafTotalSlack]])&lt;=CriticalSlackDays)</f>
        <v>0</v>
      </c>
      <c r="CI102" s="100" t="str">
        <f aca="false">IF(Tasks[[#This Row],[Task Name]]="","",IF(Tasks[[#This Row],[_IsSummary]],MIN(INDEX(Tasks[_LeafCalcStart],Tasks[[#This Row],[_Row]]+1):INDEX(Tasks[_LeafCalcStart],Tasks[[#This Row],[_Row]]+Tasks[[#This Row],[_Descendants]])),Tasks[[#This Row],[_LeafCalcStart]]))</f>
        <v/>
      </c>
      <c r="CJ102" s="100" t="str">
        <f aca="false">IF(Tasks[[#This Row],[Task Name]]="","",IF(Tasks[[#This Row],[_IsSummary]],MAX(INDEX(Tasks[_LeafCalcFinish],Tasks[[#This Row],[_Row]]+1):INDEX(Tasks[_LeafCalcFinish],Tasks[[#This Row],[_Row]]+Tasks[[#This Row],[_Descendants]])),Tasks[[#This Row],[_LeafCalcFinish]]))</f>
        <v/>
      </c>
      <c r="CK10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0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02"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02"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02"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02"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02" s="41" t="n">
        <f aca="false">IF(AND(Tasks[[#This Row],[_IsLeaf]]=1,Tasks[[#This Row],[_LeafWork]]&gt;0),NETWORKDAYS.INTL(ProjectStart,Tasks[[#This Row],[_LeafFcstStart]],WorkWeek,Holidays),0)</f>
        <v>0</v>
      </c>
      <c r="CR102" s="41" t="n">
        <f aca="false">IF(AND(Tasks[[#This Row],[_IsLeaf]]=1,Tasks[[#This Row],[_LeafWork]]&gt;0),MAX(Tasks[[#This Row],[_StartWorkday]],NETWORKDAYS.INTL(ProjectStart,Tasks[[#This Row],[_LeafFcstFinish]],WorkWeek,Holidays)),0)</f>
        <v>0</v>
      </c>
      <c r="CS102" s="41" t="n">
        <f aca="false">IF(AND(Tasks[[#This Row],[_IsLeaf]]=1,Tasks[[#This Row],[_LeafWork]]&gt;0),Tasks[[#This Row],[_LeafWork]]/(Tasks[[#This Row],[_FinishWorkday]]-Tasks[[#This Row],[_StartWorkday]]+1),0)</f>
        <v>0</v>
      </c>
      <c r="CT102" s="41" t="n">
        <f aca="false">Tasks[[#This Row],[_WorkPerWorkday]]*(Tasks[[#This Row],[_StartWorkday]]-1)</f>
        <v>-0</v>
      </c>
      <c r="CU102" s="41" t="n">
        <f aca="false">IF(Tasks[[#This Row],[_IsLeaf]]=1,MAX(N(Tasks[[#This Row],[Duration]]),0.1),0)</f>
        <v>0</v>
      </c>
      <c r="CV102" s="41" t="n">
        <f aca="false">Tasks[[#This Row],[_WeightDur]]*Tasks[[#This Row],[_LeafProgress]]</f>
        <v>0</v>
      </c>
      <c r="CW10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0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0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0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02" s="41" t="str">
        <f aca="false">IF(Tasks[[#This Row],[Task Name]]="","",Tasks[[#This Row],[_Pred1UIDText]]&amp;IF(AND(Tasks[[#This Row],[_Pred1UIDText]]&lt;&gt;"",Tasks[[#This Row],[_Pred2UIDText]]&lt;&gt;""),",","")&amp;Tasks[[#This Row],[_Pred2UIDText]])</f>
        <v/>
      </c>
      <c r="DB102" s="41" t="str">
        <f aca="false">IF(AND(Tasks[[#This Row],[_IsLeaf]]=1,N(Tasks[[#This Row],[Duration]])=0,Tasks[[#This Row],[_LeafProgress]]&lt;1),Tasks[[#This Row],[_LeafFcstFinish]]+Tasks[[#This Row],[_Row]]/100000,"")</f>
        <v/>
      </c>
      <c r="DC10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02" s="41" t="n">
        <f aca="false">IF(NOT(Tasks[[#This Row],[_IsLeaf]]=1),0,IF(Tasks[[#This Row],[Baseline Cost]]="",Tasks[[#This Row],[_LeafCost]],N(Tasks[[#This Row],[Baseline Cost]])))</f>
        <v>0</v>
      </c>
      <c r="DE102" s="41" t="n">
        <f aca="false">Tasks[[#This Row],[_LeafBudget]]*Tasks[[#This Row],[_PlannedPct]]</f>
        <v>0</v>
      </c>
      <c r="DF102" s="41" t="n">
        <f aca="false">Tasks[[#This Row],[_LeafBudget]]*Tasks[[#This Row],[_LeafProgress]]</f>
        <v>0</v>
      </c>
      <c r="DG102" s="41" t="n">
        <f aca="false">IF(NOT(Tasks[[#This Row],[_IsLeaf]]=1),0,IF(Tasks[[#This Row],[Actual Cost]]="",Tasks[[#This Row],[_LeafCost]]*Tasks[[#This Row],[_LeafProgress]],N(Tasks[[#This Row],[Actual Cost]])))</f>
        <v>0</v>
      </c>
      <c r="DH102" s="41" t="str">
        <f aca="false">IF(Tasks[[#This Row],[Task Name]]="","",LEFT(Tasks[[#This Row],[WBS]],FIND(".",Tasks[[#This Row],[WBS]]&amp;".")-1))</f>
        <v/>
      </c>
      <c r="DI102" s="41" t="str">
        <f aca="false">IF(AND(Tasks[[#This Row],[Task Name]]&lt;&gt;"",Tasks[[#This Row],[_Level]]=1),Tasks[[#This Row],[_Row]],"")</f>
        <v/>
      </c>
      <c r="DJ102" s="41" t="str">
        <f aca="false">IF(AND(Tasks[[#This Row],[_IsLeaf]]=1,N(Tasks[[#This Row],[Duration]])=0),Tasks[[#This Row],[Planned Finish]]+Tasks[[#This Row],[_Row]]/100000,"")</f>
        <v/>
      </c>
      <c r="DK102" s="41" t="str">
        <f aca="false">IF(AND(Tasks[[#This Row],[_IsLeaf]]=1,Tasks[[#This Row],[_LeafProgress]]&lt;1,OR(N(Tasks[[#This Row],[Finish Var]])&gt;0,Tasks[[#This Row],[Status]]="Late Start")),MAX(0,Tasks[[#This Row],[Finish Var]])+1-Tasks[[#This Row],[_Row]]/1000000,"")</f>
        <v/>
      </c>
      <c r="DL102" s="41" t="str">
        <f aca="false">IF(AND(Tasks[[#This Row],[_IsLeaf]]=1,N(Tasks[[#This Row],[Actual Start]])=0,Tasks[[#This Row],[_LeafFcstStart]]&gt;=StatusDate,Tasks[[#This Row],[_LeafFcstStart]]&lt;=LookaheadEnd),Tasks[[#This Row],[_LeafFcstStart]]+Tasks[[#This Row],[_Row]]/100000,"")</f>
        <v/>
      </c>
      <c r="DM102" s="41" t="str">
        <f aca="false">IF(AND(Tasks[[#This Row],[_IsLeaf]]=1,Tasks[[#This Row],[_LeafProgress]]&lt;1,Tasks[[#This Row],[_LeafFcstFinish]]&gt;=StatusDate,Tasks[[#This Row],[_LeafFcstFinish]]&lt;=LookaheadEnd),Tasks[[#This Row],[_LeafFcstFinish]]+Tasks[[#This Row],[_Row]]/100000,"")</f>
        <v/>
      </c>
      <c r="DN102" s="41" t="str">
        <f aca="false">IF(Tasks[[#This Row],[_LeafCritical]],Tasks[[#This Row],[_LeafFcstStart]]+Tasks[[#This Row],[_Row]]/100000,"")</f>
        <v/>
      </c>
      <c r="DO102" s="41" t="n">
        <f aca="false">Tasks[[#This Row],[_LeafWork]]*Tasks[[#This Row],[_LeafProgress]]</f>
        <v>0</v>
      </c>
      <c r="DP102" s="100" t="str">
        <f aca="false">IF(AND(Tasks[[#This Row],[_IsLeaf]]=1,Tasks[[#This Row],[_LeafProgress]]&gt;=1),IF(N(Tasks[[#This Row],[Actual Finish]])&gt;0,Tasks[[#This Row],[Actual Finish]],Tasks[[#This Row],[_LeafFcstFinish]]),"")</f>
        <v/>
      </c>
      <c r="DQ102" s="41" t="n">
        <f aca="false">IF(Tasks[[#This Row],[_IsLeaf]]=1,N(Tasks[[#This Row],[Story Points]]),0)</f>
        <v>0</v>
      </c>
      <c r="DR102" s="41" t="str">
        <f aca="false">IF(AND(Tasks[[#This Row],[_IsLeaf]]=1,CurrentSprint&lt;&gt;"",Tasks[[#This Row],[Sprint]]=CurrentSprint),Tasks[[#This Row],[_Row]],"")</f>
        <v/>
      </c>
    </row>
    <row r="103" customFormat="false" ht="15" hidden="false" customHeight="false" outlineLevel="0" collapsed="false">
      <c r="A103" s="28" t="str">
        <f aca="false">IF(Tasks[[#This Row],[Task Name]]="","",COUNTA(Tasks[[#Headers],[Task Name]]:Tasks[[#This Row],[Task Name]])-1)</f>
        <v/>
      </c>
      <c r="B103" s="29" t="n">
        <v>98</v>
      </c>
      <c r="C10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3" s="29"/>
      <c r="E103" s="30"/>
      <c r="F103" s="29"/>
      <c r="G103" s="29"/>
      <c r="H103" s="29"/>
      <c r="I103" s="29"/>
      <c r="J103" s="29"/>
      <c r="K103" s="29"/>
      <c r="L103" s="29"/>
      <c r="M103" s="29"/>
      <c r="N103" s="73"/>
      <c r="O103" s="73"/>
      <c r="P103" s="25" t="str">
        <f aca="false">IF(Tasks[[#This Row],[Task Name]]="","",IF(N(Tasks[[#This Row],[Baseline Start]])&gt;0,Tasks[[#This Row],[Baseline Start]],Tasks[[#This Row],[_CalcStart]]))</f>
        <v/>
      </c>
      <c r="Q103" s="25" t="str">
        <f aca="false">IF(Tasks[[#This Row],[Task Name]]="","",IF(N(Tasks[[#This Row],[Baseline Finish]])&gt;0,Tasks[[#This Row],[Baseline Finish]],Tasks[[#This Row],[_CalcFinish]]))</f>
        <v/>
      </c>
      <c r="R103" s="73"/>
      <c r="S103" s="73"/>
      <c r="T103" s="25" t="str">
        <f aca="false">IF(Tasks[[#This Row],[Task Name]]="","",IF(Tasks[[#This Row],[_IsSummary]],MIN(INDEX(Tasks[_LeafFcstStart],Tasks[[#This Row],[_Row]]+1):INDEX(Tasks[_LeafFcstStart],Tasks[[#This Row],[_Row]]+Tasks[[#This Row],[_Descendants]])),Tasks[[#This Row],[_LeafFcstStart]]))</f>
        <v/>
      </c>
      <c r="U103" s="25" t="str">
        <f aca="false">IF(Tasks[[#This Row],[Task Name]]="","",IF(Tasks[[#This Row],[_IsSummary]],MAX(INDEX(Tasks[_LeafFcstFinish],Tasks[[#This Row],[_Row]]+1):INDEX(Tasks[_LeafFcstFinish],Tasks[[#This Row],[_Row]]+Tasks[[#This Row],[_Descendants]])),Tasks[[#This Row],[_LeafFcstFinish]]))</f>
        <v/>
      </c>
      <c r="V10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0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3" s="25" t="str">
        <f aca="false">IF(Tasks[[#This Row],[Task Name]]="","",IF(Tasks[[#This Row],[_IsSummary]],MIN(INDEX(Tasks[_LeafLateStart],Tasks[[#This Row],[_Row]]+1):INDEX(Tasks[_LeafLateStart],Tasks[[#This Row],[_Row]]+Tasks[[#This Row],[_Descendants]])),Tasks[[#This Row],[_LeafLateStart]]))</f>
        <v/>
      </c>
      <c r="Y103" s="25" t="str">
        <f aca="false">IF(Tasks[[#This Row],[Task Name]]="","",IF(Tasks[[#This Row],[_IsSummary]],MAX(INDEX(Tasks[_LeafLateFinish],Tasks[[#This Row],[_Row]]+1):INDEX(Tasks[_LeafLateFinish],Tasks[[#This Row],[_Row]]+Tasks[[#This Row],[_Descendants]])),Tasks[[#This Row],[_LeafLateFinish]]))</f>
        <v/>
      </c>
      <c r="Z103" s="43" t="str">
        <f aca="false">IF(Tasks[[#This Row],[Task Name]]="","",IF(Tasks[[#This Row],[_IsSummary]],MIN(INDEX(Tasks[_LeafTotalSlack],Tasks[[#This Row],[_Row]]+1):INDEX(Tasks[_LeafTotalSlack],Tasks[[#This Row],[_Row]]+Tasks[[#This Row],[_Descendants]])),Tasks[[#This Row],[_LeafTotalSlack]]))</f>
        <v/>
      </c>
      <c r="AA10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3" s="28" t="str">
        <f aca="false">IF(Tasks[[#This Row],[Task Name]]="","",IF(IF(Tasks[[#This Row],[_IsSummary]],COUNTIF(INDEX(Tasks[_LeafCritical],Tasks[[#This Row],[_Row]]+1):INDEX(Tasks[_LeafCritical],Tasks[[#This Row],[_Row]]+Tasks[[#This Row],[_Descendants]]),TRUE())&gt;0,Tasks[[#This Row],[_LeafCritical]]),"Yes",""))</f>
        <v/>
      </c>
      <c r="AC10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3" s="24" t="str">
        <f aca="false">IF(Tasks[[#This Row],[Task Name]]="","",TRIM(IF(Tasks[[#This Row],[_Pred1Problem]]&lt;&gt;"","Pred 1: "&amp;Tasks[[#This Row],[_Pred1Problem]]&amp;". ","")&amp;IF(Tasks[[#This Row],[_Pred2Problem]]&lt;&gt;"","Pred 2: "&amp;Tasks[[#This Row],[_Pred2Problem]]&amp;".","")))</f>
        <v/>
      </c>
      <c r="AE103" s="88"/>
      <c r="AF103"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3" s="28" t="str">
        <f aca="false">IF(Tasks[[#This Row],[Task Name]]="","",IF(Tasks[[#This Row],[Progress]]&gt;=1,"Complete",IF(OR(N(Tasks[[#This Row],[Actual Start]])&gt;0,Tasks[[#This Row],[Progress]]&gt;0),IF(Tasks[[#This Row],[Finish Var]]&gt;0,"Behind","In Progress"),IF(Tasks[[#This Row],[Planned Start]]&lt;StatusDate,"Late Start","Not Started"))))</f>
        <v/>
      </c>
      <c r="AH103" s="30"/>
      <c r="AI103" s="88"/>
      <c r="AJ103" s="95" t="str">
        <f aca="false">IF(Tasks[[#This Row],[Task Name]]="","",IF(Tasks[[#This Row],[_IsSummary]],SUM(INDEX(Tasks[_LeafWork],Tasks[[#This Row],[_Row]]+1):INDEX(Tasks[_LeafWork],Tasks[[#This Row],[_Row]]+Tasks[[#This Row],[_Descendants]])),Tasks[[#This Row],[_LeafWork]]))</f>
        <v/>
      </c>
      <c r="AK103" s="96" t="str">
        <f aca="false">IF(Tasks[[#This Row],[Task Name]]="","",IF(Tasks[[#This Row],[_IsSummary]],SUM(INDEX(Tasks[_LeafCost],Tasks[[#This Row],[_Row]]+1):INDEX(Tasks[_LeafCost],Tasks[[#This Row],[_Row]]+Tasks[[#This Row],[_Descendants]])),Tasks[[#This Row],[_LeafCost]]))</f>
        <v/>
      </c>
      <c r="AL103" s="97"/>
      <c r="AM103" s="29"/>
      <c r="AN10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03" s="82"/>
      <c r="AP103" s="24" t="str">
        <f aca="false">IF(Tasks[[#This Row],[Task Name]]="","",Tasks[[#This Row],[_Pred1IDText]]&amp;IF(AND(Tasks[[#This Row],[_Pred1IDText]]&lt;&gt;"",Tasks[[#This Row],[_Pred2IDText]]&lt;&gt;""),",","")&amp;Tasks[[#This Row],[_Pred2IDText]])</f>
        <v/>
      </c>
      <c r="AQ103" s="30"/>
      <c r="AR103" s="25" t="str">
        <f aca="false">IF(Tasks[[#This Row],[Task Name]]="","",Tasks[[#This Row],[Forecast Start]])</f>
        <v/>
      </c>
      <c r="AS103" s="25" t="str">
        <f aca="false">IF(Tasks[[#This Row],[Task Name]]="","",Tasks[[#This Row],[Forecast Finish]])</f>
        <v/>
      </c>
      <c r="AT103" s="28" t="str">
        <f aca="false">IF(Tasks[[#This Row],[Task Name]]="","",IF(Tasks[[#This Row],[_IsSummary]],NETWORKDAYS.INTL(Tasks[[#This Row],[Forecast Start]],Tasks[[#This Row],[Forecast Finish]],WorkWeek,Holidays),N(Tasks[[#This Row],[Duration]])))</f>
        <v/>
      </c>
      <c r="AU103" s="95" t="str">
        <f aca="false">IF(Tasks[[#This Row],[Task Name]]="","",Tasks[[#This Row],[Work]])</f>
        <v/>
      </c>
      <c r="AV103" s="96" t="str">
        <f aca="false">IF(Tasks[[#This Row],[Task Name]]="","",Tasks[[#This Row],[Cost]])</f>
        <v/>
      </c>
      <c r="AW103" s="73"/>
      <c r="AX103" s="73"/>
      <c r="AY103" s="29"/>
      <c r="AZ103" s="98"/>
      <c r="BA103" s="97"/>
      <c r="BB103" s="28" t="str">
        <f aca="false">IF(OR(Tasks[[#This Row],[Task Name]]="",Tasks[[#This Row],[Baseline Duration]]=""),"",Tasks[[#This Row],[BL Source Duration]]-N(Tasks[[#This Row],[Baseline Duration]]))</f>
        <v/>
      </c>
      <c r="BC103" s="95" t="str">
        <f aca="false">IF(OR(Tasks[[#This Row],[Task Name]]="",Tasks[[#This Row],[Baseline Work]]=""),"",Tasks[[#This Row],[Work]]-N(Tasks[[#This Row],[Baseline Work]]))</f>
        <v/>
      </c>
      <c r="BD103" s="96" t="str">
        <f aca="false">IF(OR(Tasks[[#This Row],[Task Name]]="",Tasks[[#This Row],[Baseline Cost]]=""),"",Tasks[[#This Row],[Cost]]-N(Tasks[[#This Row],[Baseline Cost]]))</f>
        <v/>
      </c>
      <c r="BE103" s="96" t="str">
        <f aca="false">IF(Tasks[[#This Row],[Task Name]]="","",IF(Tasks[[#This Row],[_IsSummary]],SUM(INDEX(Tasks[_LeafBudget],Tasks[[#This Row],[_Row]]+1):INDEX(Tasks[_LeafBudget],Tasks[[#This Row],[_Row]]+Tasks[[#This Row],[_Descendants]])),Tasks[[#This Row],[_LeafBudget]]))</f>
        <v/>
      </c>
      <c r="BF103" s="96" t="str">
        <f aca="false">IF(Tasks[[#This Row],[Task Name]]="","",IF(Tasks[[#This Row],[_IsSummary]],SUM(INDEX(Tasks[_LeafPV],Tasks[[#This Row],[_Row]]+1):INDEX(Tasks[_LeafPV],Tasks[[#This Row],[_Row]]+Tasks[[#This Row],[_Descendants]])),Tasks[[#This Row],[_LeafPV]]))</f>
        <v/>
      </c>
      <c r="BG103" s="96" t="str">
        <f aca="false">IF(Tasks[[#This Row],[Task Name]]="","",IF(Tasks[[#This Row],[_IsSummary]],SUM(INDEX(Tasks[_LeafEV],Tasks[[#This Row],[_Row]]+1):INDEX(Tasks[_LeafEV],Tasks[[#This Row],[_Row]]+Tasks[[#This Row],[_Descendants]])),Tasks[[#This Row],[_LeafEV]]))</f>
        <v/>
      </c>
      <c r="BH103" s="96" t="str">
        <f aca="false">IF(Tasks[[#This Row],[Task Name]]="","",IF(Tasks[[#This Row],[_IsSummary]],SUM(INDEX(Tasks[_LeafAC],Tasks[[#This Row],[_Row]]+1):INDEX(Tasks[_LeafAC],Tasks[[#This Row],[_Row]]+Tasks[[#This Row],[_Descendants]])),Tasks[[#This Row],[_LeafAC]]))</f>
        <v/>
      </c>
      <c r="BI103" s="41" t="str">
        <f aca="false">IF(Tasks[[#This Row],[Task Name]]="","",MAX(1,N(Tasks[[#This Row],[Level]])))</f>
        <v/>
      </c>
      <c r="BJ103" s="41" t="n">
        <f aca="false">ROW()-ROW(Tasks[[#Headers],[ID]])</f>
        <v>98</v>
      </c>
      <c r="BK103" s="41" t="n">
        <f aca="false">IF(OR(Tasks[[#This Row],[Task Name]]="",Tasks[[#This Row],[_Level]]&lt;=1),0,IFERROR(LOOKUP(2,1/(Tasks[[#Headers],[_Level]]:Tasks[[#This Row],[_Level]]=Tasks[[#This Row],[_Level]]-1),ROW(Tasks[[#Headers],[_Level]]:Tasks[[#This Row],[_Level]])),0))</f>
        <v>0</v>
      </c>
      <c r="BL103" s="41" t="n">
        <f aca="false">IFERROR(N(INDEX(Tasks[_Level],Tasks[[#This Row],[_Row]]+1)),0)</f>
        <v>0</v>
      </c>
      <c r="BM103" s="99" t="b">
        <f aca="false">AND(Tasks[[#This Row],[Task Name]]&lt;&gt;"",Tasks[[#This Row],[_NextLevel]]&gt;Tasks[[#This Row],[_Level]])</f>
        <v>0</v>
      </c>
      <c r="BN103" s="41" t="n">
        <f aca="false">IF(Tasks[[#This Row],[_IsSummary]],COUNTIF(Tasks[WBS],Tasks[[#This Row],[WBS]]&amp;".*"),0)</f>
        <v>0</v>
      </c>
      <c r="BO103" s="41" t="n">
        <f aca="false">IF(AND(Tasks[[#This Row],[Task Name]]&lt;&gt;"",NOT(Tasks[[#This Row],[_IsSummary]])),1,0)</f>
        <v>0</v>
      </c>
      <c r="BP103" s="41" t="n">
        <f aca="false">IF(N(Tasks[[#This Row],[Pred1 UID]])=0,0,IFERROR(MATCH(Tasks[[#This Row],[Pred1 UID]],Tasks[UID],0),-1))</f>
        <v>0</v>
      </c>
      <c r="BQ103" s="41" t="n">
        <f aca="false">IF(N(Tasks[[#This Row],[Pred2 UID]])=0,0,IFERROR(MATCH(Tasks[[#This Row],[Pred2 UID]],Tasks[UID],0),-1))</f>
        <v>0</v>
      </c>
      <c r="BR103"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03" s="100" t="str">
        <f aca="false">IF(NOT(Tasks[[#This Row],[_IsLeaf]]=1),"",IF(N(Tasks[[#This Row],[Duration]])&lt;=0,Tasks[[#This Row],[_LeafCalcStart]],WORKDAY.INTL(Tasks[[#This Row],[_LeafCalcStart]],Tasks[[#This Row],[Duration]]-1,WorkWeek,Holidays)))</f>
        <v/>
      </c>
      <c r="BT103"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03"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03" s="41" t="n">
        <f aca="false">IF(NOT(Tasks[[#This Row],[_IsLeaf]]=1),0,IF(N(Tasks[[#This Row],[Actual Finish]])&gt;0,1,MIN(1,N(Tasks[[#This Row],[% Complete]]))))</f>
        <v>0</v>
      </c>
      <c r="BW103" s="41" t="n">
        <f aca="false">IF(OR(NOT(Tasks[[#This Row],[_IsLeaf]]=1),Tasks[[#This Row],[Resource]]=""),0,N(Tasks[[#This Row],[Duration]])*HoursPerDay*IF(Tasks[[#This Row],[Units]]="",DefaultUnits,Tasks[[#This Row],[Units]]))</f>
        <v>0</v>
      </c>
      <c r="BX103" s="41" t="n">
        <f aca="false">IF(Tasks[[#This Row],[_LeafWork]]=0,0,Tasks[[#This Row],[_LeafWork]]*IFERROR(INDEX(res_Rate,MATCH(Tasks[[#This Row],[Resource]],res_Name,0)),0))</f>
        <v>0</v>
      </c>
      <c r="BY10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0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0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0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03" s="41" t="n">
        <f aca="false">IF(NOT(Tasks[[#This Row],[_IsLeaf]]=1),0,MAX(_xlfn.MAXIFS(Tasks[_Row],Tasks[Pred1 UID],Tasks[[#This Row],[UID]]),_xlfn.MAXIFS(Tasks[_Row],Tasks[Pred2 UID],Tasks[[#This Row],[UID]])))</f>
        <v>0</v>
      </c>
      <c r="CD103"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03" s="100" t="str">
        <f aca="false">IF(NOT(Tasks[[#This Row],[_IsLeaf]]=1),"",MIN(ProjectFinish,IF(N(Tasks[[#This Row],[Deadline]])&gt;0,Tasks[[#This Row],[Deadline]],2958465),Tasks[[#This Row],[_SuccessorFinishLimit]]))</f>
        <v/>
      </c>
      <c r="CF103" s="100" t="str">
        <f aca="false">IF(NOT(Tasks[[#This Row],[_IsLeaf]]=1),"",IF(N(Tasks[[#This Row],[Duration]])&lt;=0,Tasks[[#This Row],[_LeafLateFinish]],WORKDAY.INTL(Tasks[[#This Row],[_LeafLateFinish]],-(Tasks[[#This Row],[Duration]]-1),WorkWeek,Holidays)))</f>
        <v/>
      </c>
      <c r="CG10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03" s="99" t="b">
        <f aca="false">AND(Tasks[[#This Row],[_IsLeaf]]=1,Tasks[[#This Row],[_LeafProgress]]&lt;1,N(Tasks[[#This Row],[_LeafTotalSlack]])&lt;=CriticalSlackDays)</f>
        <v>0</v>
      </c>
      <c r="CI103" s="100" t="str">
        <f aca="false">IF(Tasks[[#This Row],[Task Name]]="","",IF(Tasks[[#This Row],[_IsSummary]],MIN(INDEX(Tasks[_LeafCalcStart],Tasks[[#This Row],[_Row]]+1):INDEX(Tasks[_LeafCalcStart],Tasks[[#This Row],[_Row]]+Tasks[[#This Row],[_Descendants]])),Tasks[[#This Row],[_LeafCalcStart]]))</f>
        <v/>
      </c>
      <c r="CJ103" s="100" t="str">
        <f aca="false">IF(Tasks[[#This Row],[Task Name]]="","",IF(Tasks[[#This Row],[_IsSummary]],MAX(INDEX(Tasks[_LeafCalcFinish],Tasks[[#This Row],[_Row]]+1):INDEX(Tasks[_LeafCalcFinish],Tasks[[#This Row],[_Row]]+Tasks[[#This Row],[_Descendants]])),Tasks[[#This Row],[_LeafCalcFinish]]))</f>
        <v/>
      </c>
      <c r="CK10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0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03"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03"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03"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03"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03" s="41" t="n">
        <f aca="false">IF(AND(Tasks[[#This Row],[_IsLeaf]]=1,Tasks[[#This Row],[_LeafWork]]&gt;0),NETWORKDAYS.INTL(ProjectStart,Tasks[[#This Row],[_LeafFcstStart]],WorkWeek,Holidays),0)</f>
        <v>0</v>
      </c>
      <c r="CR103" s="41" t="n">
        <f aca="false">IF(AND(Tasks[[#This Row],[_IsLeaf]]=1,Tasks[[#This Row],[_LeafWork]]&gt;0),MAX(Tasks[[#This Row],[_StartWorkday]],NETWORKDAYS.INTL(ProjectStart,Tasks[[#This Row],[_LeafFcstFinish]],WorkWeek,Holidays)),0)</f>
        <v>0</v>
      </c>
      <c r="CS103" s="41" t="n">
        <f aca="false">IF(AND(Tasks[[#This Row],[_IsLeaf]]=1,Tasks[[#This Row],[_LeafWork]]&gt;0),Tasks[[#This Row],[_LeafWork]]/(Tasks[[#This Row],[_FinishWorkday]]-Tasks[[#This Row],[_StartWorkday]]+1),0)</f>
        <v>0</v>
      </c>
      <c r="CT103" s="41" t="n">
        <f aca="false">Tasks[[#This Row],[_WorkPerWorkday]]*(Tasks[[#This Row],[_StartWorkday]]-1)</f>
        <v>-0</v>
      </c>
      <c r="CU103" s="41" t="n">
        <f aca="false">IF(Tasks[[#This Row],[_IsLeaf]]=1,MAX(N(Tasks[[#This Row],[Duration]]),0.1),0)</f>
        <v>0</v>
      </c>
      <c r="CV103" s="41" t="n">
        <f aca="false">Tasks[[#This Row],[_WeightDur]]*Tasks[[#This Row],[_LeafProgress]]</f>
        <v>0</v>
      </c>
      <c r="CW10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0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0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0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03" s="41" t="str">
        <f aca="false">IF(Tasks[[#This Row],[Task Name]]="","",Tasks[[#This Row],[_Pred1UIDText]]&amp;IF(AND(Tasks[[#This Row],[_Pred1UIDText]]&lt;&gt;"",Tasks[[#This Row],[_Pred2UIDText]]&lt;&gt;""),",","")&amp;Tasks[[#This Row],[_Pred2UIDText]])</f>
        <v/>
      </c>
      <c r="DB103" s="41" t="str">
        <f aca="false">IF(AND(Tasks[[#This Row],[_IsLeaf]]=1,N(Tasks[[#This Row],[Duration]])=0,Tasks[[#This Row],[_LeafProgress]]&lt;1),Tasks[[#This Row],[_LeafFcstFinish]]+Tasks[[#This Row],[_Row]]/100000,"")</f>
        <v/>
      </c>
      <c r="DC10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03" s="41" t="n">
        <f aca="false">IF(NOT(Tasks[[#This Row],[_IsLeaf]]=1),0,IF(Tasks[[#This Row],[Baseline Cost]]="",Tasks[[#This Row],[_LeafCost]],N(Tasks[[#This Row],[Baseline Cost]])))</f>
        <v>0</v>
      </c>
      <c r="DE103" s="41" t="n">
        <f aca="false">Tasks[[#This Row],[_LeafBudget]]*Tasks[[#This Row],[_PlannedPct]]</f>
        <v>0</v>
      </c>
      <c r="DF103" s="41" t="n">
        <f aca="false">Tasks[[#This Row],[_LeafBudget]]*Tasks[[#This Row],[_LeafProgress]]</f>
        <v>0</v>
      </c>
      <c r="DG103" s="41" t="n">
        <f aca="false">IF(NOT(Tasks[[#This Row],[_IsLeaf]]=1),0,IF(Tasks[[#This Row],[Actual Cost]]="",Tasks[[#This Row],[_LeafCost]]*Tasks[[#This Row],[_LeafProgress]],N(Tasks[[#This Row],[Actual Cost]])))</f>
        <v>0</v>
      </c>
      <c r="DH103" s="41" t="str">
        <f aca="false">IF(Tasks[[#This Row],[Task Name]]="","",LEFT(Tasks[[#This Row],[WBS]],FIND(".",Tasks[[#This Row],[WBS]]&amp;".")-1))</f>
        <v/>
      </c>
      <c r="DI103" s="41" t="str">
        <f aca="false">IF(AND(Tasks[[#This Row],[Task Name]]&lt;&gt;"",Tasks[[#This Row],[_Level]]=1),Tasks[[#This Row],[_Row]],"")</f>
        <v/>
      </c>
      <c r="DJ103" s="41" t="str">
        <f aca="false">IF(AND(Tasks[[#This Row],[_IsLeaf]]=1,N(Tasks[[#This Row],[Duration]])=0),Tasks[[#This Row],[Planned Finish]]+Tasks[[#This Row],[_Row]]/100000,"")</f>
        <v/>
      </c>
      <c r="DK103" s="41" t="str">
        <f aca="false">IF(AND(Tasks[[#This Row],[_IsLeaf]]=1,Tasks[[#This Row],[_LeafProgress]]&lt;1,OR(N(Tasks[[#This Row],[Finish Var]])&gt;0,Tasks[[#This Row],[Status]]="Late Start")),MAX(0,Tasks[[#This Row],[Finish Var]])+1-Tasks[[#This Row],[_Row]]/1000000,"")</f>
        <v/>
      </c>
      <c r="DL103" s="41" t="str">
        <f aca="false">IF(AND(Tasks[[#This Row],[_IsLeaf]]=1,N(Tasks[[#This Row],[Actual Start]])=0,Tasks[[#This Row],[_LeafFcstStart]]&gt;=StatusDate,Tasks[[#This Row],[_LeafFcstStart]]&lt;=LookaheadEnd),Tasks[[#This Row],[_LeafFcstStart]]+Tasks[[#This Row],[_Row]]/100000,"")</f>
        <v/>
      </c>
      <c r="DM103" s="41" t="str">
        <f aca="false">IF(AND(Tasks[[#This Row],[_IsLeaf]]=1,Tasks[[#This Row],[_LeafProgress]]&lt;1,Tasks[[#This Row],[_LeafFcstFinish]]&gt;=StatusDate,Tasks[[#This Row],[_LeafFcstFinish]]&lt;=LookaheadEnd),Tasks[[#This Row],[_LeafFcstFinish]]+Tasks[[#This Row],[_Row]]/100000,"")</f>
        <v/>
      </c>
      <c r="DN103" s="41" t="str">
        <f aca="false">IF(Tasks[[#This Row],[_LeafCritical]],Tasks[[#This Row],[_LeafFcstStart]]+Tasks[[#This Row],[_Row]]/100000,"")</f>
        <v/>
      </c>
      <c r="DO103" s="41" t="n">
        <f aca="false">Tasks[[#This Row],[_LeafWork]]*Tasks[[#This Row],[_LeafProgress]]</f>
        <v>0</v>
      </c>
      <c r="DP103" s="100" t="str">
        <f aca="false">IF(AND(Tasks[[#This Row],[_IsLeaf]]=1,Tasks[[#This Row],[_LeafProgress]]&gt;=1),IF(N(Tasks[[#This Row],[Actual Finish]])&gt;0,Tasks[[#This Row],[Actual Finish]],Tasks[[#This Row],[_LeafFcstFinish]]),"")</f>
        <v/>
      </c>
      <c r="DQ103" s="41" t="n">
        <f aca="false">IF(Tasks[[#This Row],[_IsLeaf]]=1,N(Tasks[[#This Row],[Story Points]]),0)</f>
        <v>0</v>
      </c>
      <c r="DR103" s="41" t="str">
        <f aca="false">IF(AND(Tasks[[#This Row],[_IsLeaf]]=1,CurrentSprint&lt;&gt;"",Tasks[[#This Row],[Sprint]]=CurrentSprint),Tasks[[#This Row],[_Row]],"")</f>
        <v/>
      </c>
    </row>
    <row r="104" customFormat="false" ht="15" hidden="false" customHeight="false" outlineLevel="0" collapsed="false">
      <c r="A104" s="28" t="str">
        <f aca="false">IF(Tasks[[#This Row],[Task Name]]="","",COUNTA(Tasks[[#Headers],[Task Name]]:Tasks[[#This Row],[Task Name]])-1)</f>
        <v/>
      </c>
      <c r="B104" s="29" t="n">
        <v>99</v>
      </c>
      <c r="C10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4" s="29"/>
      <c r="E104" s="30"/>
      <c r="F104" s="29"/>
      <c r="G104" s="29"/>
      <c r="H104" s="29"/>
      <c r="I104" s="29"/>
      <c r="J104" s="29"/>
      <c r="K104" s="29"/>
      <c r="L104" s="29"/>
      <c r="M104" s="29"/>
      <c r="N104" s="73"/>
      <c r="O104" s="73"/>
      <c r="P104" s="25" t="str">
        <f aca="false">IF(Tasks[[#This Row],[Task Name]]="","",IF(N(Tasks[[#This Row],[Baseline Start]])&gt;0,Tasks[[#This Row],[Baseline Start]],Tasks[[#This Row],[_CalcStart]]))</f>
        <v/>
      </c>
      <c r="Q104" s="25" t="str">
        <f aca="false">IF(Tasks[[#This Row],[Task Name]]="","",IF(N(Tasks[[#This Row],[Baseline Finish]])&gt;0,Tasks[[#This Row],[Baseline Finish]],Tasks[[#This Row],[_CalcFinish]]))</f>
        <v/>
      </c>
      <c r="R104" s="73"/>
      <c r="S104" s="73"/>
      <c r="T104" s="25" t="str">
        <f aca="false">IF(Tasks[[#This Row],[Task Name]]="","",IF(Tasks[[#This Row],[_IsSummary]],MIN(INDEX(Tasks[_LeafFcstStart],Tasks[[#This Row],[_Row]]+1):INDEX(Tasks[_LeafFcstStart],Tasks[[#This Row],[_Row]]+Tasks[[#This Row],[_Descendants]])),Tasks[[#This Row],[_LeafFcstStart]]))</f>
        <v/>
      </c>
      <c r="U104" s="25" t="str">
        <f aca="false">IF(Tasks[[#This Row],[Task Name]]="","",IF(Tasks[[#This Row],[_IsSummary]],MAX(INDEX(Tasks[_LeafFcstFinish],Tasks[[#This Row],[_Row]]+1):INDEX(Tasks[_LeafFcstFinish],Tasks[[#This Row],[_Row]]+Tasks[[#This Row],[_Descendants]])),Tasks[[#This Row],[_LeafFcstFinish]]))</f>
        <v/>
      </c>
      <c r="V10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0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4" s="25" t="str">
        <f aca="false">IF(Tasks[[#This Row],[Task Name]]="","",IF(Tasks[[#This Row],[_IsSummary]],MIN(INDEX(Tasks[_LeafLateStart],Tasks[[#This Row],[_Row]]+1):INDEX(Tasks[_LeafLateStart],Tasks[[#This Row],[_Row]]+Tasks[[#This Row],[_Descendants]])),Tasks[[#This Row],[_LeafLateStart]]))</f>
        <v/>
      </c>
      <c r="Y104" s="25" t="str">
        <f aca="false">IF(Tasks[[#This Row],[Task Name]]="","",IF(Tasks[[#This Row],[_IsSummary]],MAX(INDEX(Tasks[_LeafLateFinish],Tasks[[#This Row],[_Row]]+1):INDEX(Tasks[_LeafLateFinish],Tasks[[#This Row],[_Row]]+Tasks[[#This Row],[_Descendants]])),Tasks[[#This Row],[_LeafLateFinish]]))</f>
        <v/>
      </c>
      <c r="Z104" s="43" t="str">
        <f aca="false">IF(Tasks[[#This Row],[Task Name]]="","",IF(Tasks[[#This Row],[_IsSummary]],MIN(INDEX(Tasks[_LeafTotalSlack],Tasks[[#This Row],[_Row]]+1):INDEX(Tasks[_LeafTotalSlack],Tasks[[#This Row],[_Row]]+Tasks[[#This Row],[_Descendants]])),Tasks[[#This Row],[_LeafTotalSlack]]))</f>
        <v/>
      </c>
      <c r="AA10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4" s="28" t="str">
        <f aca="false">IF(Tasks[[#This Row],[Task Name]]="","",IF(IF(Tasks[[#This Row],[_IsSummary]],COUNTIF(INDEX(Tasks[_LeafCritical],Tasks[[#This Row],[_Row]]+1):INDEX(Tasks[_LeafCritical],Tasks[[#This Row],[_Row]]+Tasks[[#This Row],[_Descendants]]),TRUE())&gt;0,Tasks[[#This Row],[_LeafCritical]]),"Yes",""))</f>
        <v/>
      </c>
      <c r="AC10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4" s="24" t="str">
        <f aca="false">IF(Tasks[[#This Row],[Task Name]]="","",TRIM(IF(Tasks[[#This Row],[_Pred1Problem]]&lt;&gt;"","Pred 1: "&amp;Tasks[[#This Row],[_Pred1Problem]]&amp;". ","")&amp;IF(Tasks[[#This Row],[_Pred2Problem]]&lt;&gt;"","Pred 2: "&amp;Tasks[[#This Row],[_Pred2Problem]]&amp;".","")))</f>
        <v/>
      </c>
      <c r="AE104" s="88"/>
      <c r="AF104"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4" s="28" t="str">
        <f aca="false">IF(Tasks[[#This Row],[Task Name]]="","",IF(Tasks[[#This Row],[Progress]]&gt;=1,"Complete",IF(OR(N(Tasks[[#This Row],[Actual Start]])&gt;0,Tasks[[#This Row],[Progress]]&gt;0),IF(Tasks[[#This Row],[Finish Var]]&gt;0,"Behind","In Progress"),IF(Tasks[[#This Row],[Planned Start]]&lt;StatusDate,"Late Start","Not Started"))))</f>
        <v/>
      </c>
      <c r="AH104" s="30"/>
      <c r="AI104" s="88"/>
      <c r="AJ104" s="95" t="str">
        <f aca="false">IF(Tasks[[#This Row],[Task Name]]="","",IF(Tasks[[#This Row],[_IsSummary]],SUM(INDEX(Tasks[_LeafWork],Tasks[[#This Row],[_Row]]+1):INDEX(Tasks[_LeafWork],Tasks[[#This Row],[_Row]]+Tasks[[#This Row],[_Descendants]])),Tasks[[#This Row],[_LeafWork]]))</f>
        <v/>
      </c>
      <c r="AK104" s="96" t="str">
        <f aca="false">IF(Tasks[[#This Row],[Task Name]]="","",IF(Tasks[[#This Row],[_IsSummary]],SUM(INDEX(Tasks[_LeafCost],Tasks[[#This Row],[_Row]]+1):INDEX(Tasks[_LeafCost],Tasks[[#This Row],[_Row]]+Tasks[[#This Row],[_Descendants]])),Tasks[[#This Row],[_LeafCost]]))</f>
        <v/>
      </c>
      <c r="AL104" s="97"/>
      <c r="AM104" s="29"/>
      <c r="AN10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04" s="82"/>
      <c r="AP104" s="24" t="str">
        <f aca="false">IF(Tasks[[#This Row],[Task Name]]="","",Tasks[[#This Row],[_Pred1IDText]]&amp;IF(AND(Tasks[[#This Row],[_Pred1IDText]]&lt;&gt;"",Tasks[[#This Row],[_Pred2IDText]]&lt;&gt;""),",","")&amp;Tasks[[#This Row],[_Pred2IDText]])</f>
        <v/>
      </c>
      <c r="AQ104" s="30"/>
      <c r="AR104" s="25" t="str">
        <f aca="false">IF(Tasks[[#This Row],[Task Name]]="","",Tasks[[#This Row],[Forecast Start]])</f>
        <v/>
      </c>
      <c r="AS104" s="25" t="str">
        <f aca="false">IF(Tasks[[#This Row],[Task Name]]="","",Tasks[[#This Row],[Forecast Finish]])</f>
        <v/>
      </c>
      <c r="AT104" s="28" t="str">
        <f aca="false">IF(Tasks[[#This Row],[Task Name]]="","",IF(Tasks[[#This Row],[_IsSummary]],NETWORKDAYS.INTL(Tasks[[#This Row],[Forecast Start]],Tasks[[#This Row],[Forecast Finish]],WorkWeek,Holidays),N(Tasks[[#This Row],[Duration]])))</f>
        <v/>
      </c>
      <c r="AU104" s="95" t="str">
        <f aca="false">IF(Tasks[[#This Row],[Task Name]]="","",Tasks[[#This Row],[Work]])</f>
        <v/>
      </c>
      <c r="AV104" s="96" t="str">
        <f aca="false">IF(Tasks[[#This Row],[Task Name]]="","",Tasks[[#This Row],[Cost]])</f>
        <v/>
      </c>
      <c r="AW104" s="73"/>
      <c r="AX104" s="73"/>
      <c r="AY104" s="29"/>
      <c r="AZ104" s="98"/>
      <c r="BA104" s="97"/>
      <c r="BB104" s="28" t="str">
        <f aca="false">IF(OR(Tasks[[#This Row],[Task Name]]="",Tasks[[#This Row],[Baseline Duration]]=""),"",Tasks[[#This Row],[BL Source Duration]]-N(Tasks[[#This Row],[Baseline Duration]]))</f>
        <v/>
      </c>
      <c r="BC104" s="95" t="str">
        <f aca="false">IF(OR(Tasks[[#This Row],[Task Name]]="",Tasks[[#This Row],[Baseline Work]]=""),"",Tasks[[#This Row],[Work]]-N(Tasks[[#This Row],[Baseline Work]]))</f>
        <v/>
      </c>
      <c r="BD104" s="96" t="str">
        <f aca="false">IF(OR(Tasks[[#This Row],[Task Name]]="",Tasks[[#This Row],[Baseline Cost]]=""),"",Tasks[[#This Row],[Cost]]-N(Tasks[[#This Row],[Baseline Cost]]))</f>
        <v/>
      </c>
      <c r="BE104" s="96" t="str">
        <f aca="false">IF(Tasks[[#This Row],[Task Name]]="","",IF(Tasks[[#This Row],[_IsSummary]],SUM(INDEX(Tasks[_LeafBudget],Tasks[[#This Row],[_Row]]+1):INDEX(Tasks[_LeafBudget],Tasks[[#This Row],[_Row]]+Tasks[[#This Row],[_Descendants]])),Tasks[[#This Row],[_LeafBudget]]))</f>
        <v/>
      </c>
      <c r="BF104" s="96" t="str">
        <f aca="false">IF(Tasks[[#This Row],[Task Name]]="","",IF(Tasks[[#This Row],[_IsSummary]],SUM(INDEX(Tasks[_LeafPV],Tasks[[#This Row],[_Row]]+1):INDEX(Tasks[_LeafPV],Tasks[[#This Row],[_Row]]+Tasks[[#This Row],[_Descendants]])),Tasks[[#This Row],[_LeafPV]]))</f>
        <v/>
      </c>
      <c r="BG104" s="96" t="str">
        <f aca="false">IF(Tasks[[#This Row],[Task Name]]="","",IF(Tasks[[#This Row],[_IsSummary]],SUM(INDEX(Tasks[_LeafEV],Tasks[[#This Row],[_Row]]+1):INDEX(Tasks[_LeafEV],Tasks[[#This Row],[_Row]]+Tasks[[#This Row],[_Descendants]])),Tasks[[#This Row],[_LeafEV]]))</f>
        <v/>
      </c>
      <c r="BH104" s="96" t="str">
        <f aca="false">IF(Tasks[[#This Row],[Task Name]]="","",IF(Tasks[[#This Row],[_IsSummary]],SUM(INDEX(Tasks[_LeafAC],Tasks[[#This Row],[_Row]]+1):INDEX(Tasks[_LeafAC],Tasks[[#This Row],[_Row]]+Tasks[[#This Row],[_Descendants]])),Tasks[[#This Row],[_LeafAC]]))</f>
        <v/>
      </c>
      <c r="BI104" s="41" t="str">
        <f aca="false">IF(Tasks[[#This Row],[Task Name]]="","",MAX(1,N(Tasks[[#This Row],[Level]])))</f>
        <v/>
      </c>
      <c r="BJ104" s="41" t="n">
        <f aca="false">ROW()-ROW(Tasks[[#Headers],[ID]])</f>
        <v>99</v>
      </c>
      <c r="BK104" s="41" t="n">
        <f aca="false">IF(OR(Tasks[[#This Row],[Task Name]]="",Tasks[[#This Row],[_Level]]&lt;=1),0,IFERROR(LOOKUP(2,1/(Tasks[[#Headers],[_Level]]:Tasks[[#This Row],[_Level]]=Tasks[[#This Row],[_Level]]-1),ROW(Tasks[[#Headers],[_Level]]:Tasks[[#This Row],[_Level]])),0))</f>
        <v>0</v>
      </c>
      <c r="BL104" s="41" t="n">
        <f aca="false">IFERROR(N(INDEX(Tasks[_Level],Tasks[[#This Row],[_Row]]+1)),0)</f>
        <v>0</v>
      </c>
      <c r="BM104" s="99" t="b">
        <f aca="false">AND(Tasks[[#This Row],[Task Name]]&lt;&gt;"",Tasks[[#This Row],[_NextLevel]]&gt;Tasks[[#This Row],[_Level]])</f>
        <v>0</v>
      </c>
      <c r="BN104" s="41" t="n">
        <f aca="false">IF(Tasks[[#This Row],[_IsSummary]],COUNTIF(Tasks[WBS],Tasks[[#This Row],[WBS]]&amp;".*"),0)</f>
        <v>0</v>
      </c>
      <c r="BO104" s="41" t="n">
        <f aca="false">IF(AND(Tasks[[#This Row],[Task Name]]&lt;&gt;"",NOT(Tasks[[#This Row],[_IsSummary]])),1,0)</f>
        <v>0</v>
      </c>
      <c r="BP104" s="41" t="n">
        <f aca="false">IF(N(Tasks[[#This Row],[Pred1 UID]])=0,0,IFERROR(MATCH(Tasks[[#This Row],[Pred1 UID]],Tasks[UID],0),-1))</f>
        <v>0</v>
      </c>
      <c r="BQ104" s="41" t="n">
        <f aca="false">IF(N(Tasks[[#This Row],[Pred2 UID]])=0,0,IFERROR(MATCH(Tasks[[#This Row],[Pred2 UID]],Tasks[UID],0),-1))</f>
        <v>0</v>
      </c>
      <c r="BR104"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04" s="100" t="str">
        <f aca="false">IF(NOT(Tasks[[#This Row],[_IsLeaf]]=1),"",IF(N(Tasks[[#This Row],[Duration]])&lt;=0,Tasks[[#This Row],[_LeafCalcStart]],WORKDAY.INTL(Tasks[[#This Row],[_LeafCalcStart]],Tasks[[#This Row],[Duration]]-1,WorkWeek,Holidays)))</f>
        <v/>
      </c>
      <c r="BT104"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04"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04" s="41" t="n">
        <f aca="false">IF(NOT(Tasks[[#This Row],[_IsLeaf]]=1),0,IF(N(Tasks[[#This Row],[Actual Finish]])&gt;0,1,MIN(1,N(Tasks[[#This Row],[% Complete]]))))</f>
        <v>0</v>
      </c>
      <c r="BW104" s="41" t="n">
        <f aca="false">IF(OR(NOT(Tasks[[#This Row],[_IsLeaf]]=1),Tasks[[#This Row],[Resource]]=""),0,N(Tasks[[#This Row],[Duration]])*HoursPerDay*IF(Tasks[[#This Row],[Units]]="",DefaultUnits,Tasks[[#This Row],[Units]]))</f>
        <v>0</v>
      </c>
      <c r="BX104" s="41" t="n">
        <f aca="false">IF(Tasks[[#This Row],[_LeafWork]]=0,0,Tasks[[#This Row],[_LeafWork]]*IFERROR(INDEX(res_Rate,MATCH(Tasks[[#This Row],[Resource]],res_Name,0)),0))</f>
        <v>0</v>
      </c>
      <c r="BY10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0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0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0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04" s="41" t="n">
        <f aca="false">IF(NOT(Tasks[[#This Row],[_IsLeaf]]=1),0,MAX(_xlfn.MAXIFS(Tasks[_Row],Tasks[Pred1 UID],Tasks[[#This Row],[UID]]),_xlfn.MAXIFS(Tasks[_Row],Tasks[Pred2 UID],Tasks[[#This Row],[UID]])))</f>
        <v>0</v>
      </c>
      <c r="CD104"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04" s="100" t="str">
        <f aca="false">IF(NOT(Tasks[[#This Row],[_IsLeaf]]=1),"",MIN(ProjectFinish,IF(N(Tasks[[#This Row],[Deadline]])&gt;0,Tasks[[#This Row],[Deadline]],2958465),Tasks[[#This Row],[_SuccessorFinishLimit]]))</f>
        <v/>
      </c>
      <c r="CF104" s="100" t="str">
        <f aca="false">IF(NOT(Tasks[[#This Row],[_IsLeaf]]=1),"",IF(N(Tasks[[#This Row],[Duration]])&lt;=0,Tasks[[#This Row],[_LeafLateFinish]],WORKDAY.INTL(Tasks[[#This Row],[_LeafLateFinish]],-(Tasks[[#This Row],[Duration]]-1),WorkWeek,Holidays)))</f>
        <v/>
      </c>
      <c r="CG10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04" s="99" t="b">
        <f aca="false">AND(Tasks[[#This Row],[_IsLeaf]]=1,Tasks[[#This Row],[_LeafProgress]]&lt;1,N(Tasks[[#This Row],[_LeafTotalSlack]])&lt;=CriticalSlackDays)</f>
        <v>0</v>
      </c>
      <c r="CI104" s="100" t="str">
        <f aca="false">IF(Tasks[[#This Row],[Task Name]]="","",IF(Tasks[[#This Row],[_IsSummary]],MIN(INDEX(Tasks[_LeafCalcStart],Tasks[[#This Row],[_Row]]+1):INDEX(Tasks[_LeafCalcStart],Tasks[[#This Row],[_Row]]+Tasks[[#This Row],[_Descendants]])),Tasks[[#This Row],[_LeafCalcStart]]))</f>
        <v/>
      </c>
      <c r="CJ104" s="100" t="str">
        <f aca="false">IF(Tasks[[#This Row],[Task Name]]="","",IF(Tasks[[#This Row],[_IsSummary]],MAX(INDEX(Tasks[_LeafCalcFinish],Tasks[[#This Row],[_Row]]+1):INDEX(Tasks[_LeafCalcFinish],Tasks[[#This Row],[_Row]]+Tasks[[#This Row],[_Descendants]])),Tasks[[#This Row],[_LeafCalcFinish]]))</f>
        <v/>
      </c>
      <c r="CK10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0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04"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04"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04"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04"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04" s="41" t="n">
        <f aca="false">IF(AND(Tasks[[#This Row],[_IsLeaf]]=1,Tasks[[#This Row],[_LeafWork]]&gt;0),NETWORKDAYS.INTL(ProjectStart,Tasks[[#This Row],[_LeafFcstStart]],WorkWeek,Holidays),0)</f>
        <v>0</v>
      </c>
      <c r="CR104" s="41" t="n">
        <f aca="false">IF(AND(Tasks[[#This Row],[_IsLeaf]]=1,Tasks[[#This Row],[_LeafWork]]&gt;0),MAX(Tasks[[#This Row],[_StartWorkday]],NETWORKDAYS.INTL(ProjectStart,Tasks[[#This Row],[_LeafFcstFinish]],WorkWeek,Holidays)),0)</f>
        <v>0</v>
      </c>
      <c r="CS104" s="41" t="n">
        <f aca="false">IF(AND(Tasks[[#This Row],[_IsLeaf]]=1,Tasks[[#This Row],[_LeafWork]]&gt;0),Tasks[[#This Row],[_LeafWork]]/(Tasks[[#This Row],[_FinishWorkday]]-Tasks[[#This Row],[_StartWorkday]]+1),0)</f>
        <v>0</v>
      </c>
      <c r="CT104" s="41" t="n">
        <f aca="false">Tasks[[#This Row],[_WorkPerWorkday]]*(Tasks[[#This Row],[_StartWorkday]]-1)</f>
        <v>-0</v>
      </c>
      <c r="CU104" s="41" t="n">
        <f aca="false">IF(Tasks[[#This Row],[_IsLeaf]]=1,MAX(N(Tasks[[#This Row],[Duration]]),0.1),0)</f>
        <v>0</v>
      </c>
      <c r="CV104" s="41" t="n">
        <f aca="false">Tasks[[#This Row],[_WeightDur]]*Tasks[[#This Row],[_LeafProgress]]</f>
        <v>0</v>
      </c>
      <c r="CW10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0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0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0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04" s="41" t="str">
        <f aca="false">IF(Tasks[[#This Row],[Task Name]]="","",Tasks[[#This Row],[_Pred1UIDText]]&amp;IF(AND(Tasks[[#This Row],[_Pred1UIDText]]&lt;&gt;"",Tasks[[#This Row],[_Pred2UIDText]]&lt;&gt;""),",","")&amp;Tasks[[#This Row],[_Pred2UIDText]])</f>
        <v/>
      </c>
      <c r="DB104" s="41" t="str">
        <f aca="false">IF(AND(Tasks[[#This Row],[_IsLeaf]]=1,N(Tasks[[#This Row],[Duration]])=0,Tasks[[#This Row],[_LeafProgress]]&lt;1),Tasks[[#This Row],[_LeafFcstFinish]]+Tasks[[#This Row],[_Row]]/100000,"")</f>
        <v/>
      </c>
      <c r="DC10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04" s="41" t="n">
        <f aca="false">IF(NOT(Tasks[[#This Row],[_IsLeaf]]=1),0,IF(Tasks[[#This Row],[Baseline Cost]]="",Tasks[[#This Row],[_LeafCost]],N(Tasks[[#This Row],[Baseline Cost]])))</f>
        <v>0</v>
      </c>
      <c r="DE104" s="41" t="n">
        <f aca="false">Tasks[[#This Row],[_LeafBudget]]*Tasks[[#This Row],[_PlannedPct]]</f>
        <v>0</v>
      </c>
      <c r="DF104" s="41" t="n">
        <f aca="false">Tasks[[#This Row],[_LeafBudget]]*Tasks[[#This Row],[_LeafProgress]]</f>
        <v>0</v>
      </c>
      <c r="DG104" s="41" t="n">
        <f aca="false">IF(NOT(Tasks[[#This Row],[_IsLeaf]]=1),0,IF(Tasks[[#This Row],[Actual Cost]]="",Tasks[[#This Row],[_LeafCost]]*Tasks[[#This Row],[_LeafProgress]],N(Tasks[[#This Row],[Actual Cost]])))</f>
        <v>0</v>
      </c>
      <c r="DH104" s="41" t="str">
        <f aca="false">IF(Tasks[[#This Row],[Task Name]]="","",LEFT(Tasks[[#This Row],[WBS]],FIND(".",Tasks[[#This Row],[WBS]]&amp;".")-1))</f>
        <v/>
      </c>
      <c r="DI104" s="41" t="str">
        <f aca="false">IF(AND(Tasks[[#This Row],[Task Name]]&lt;&gt;"",Tasks[[#This Row],[_Level]]=1),Tasks[[#This Row],[_Row]],"")</f>
        <v/>
      </c>
      <c r="DJ104" s="41" t="str">
        <f aca="false">IF(AND(Tasks[[#This Row],[_IsLeaf]]=1,N(Tasks[[#This Row],[Duration]])=0),Tasks[[#This Row],[Planned Finish]]+Tasks[[#This Row],[_Row]]/100000,"")</f>
        <v/>
      </c>
      <c r="DK104" s="41" t="str">
        <f aca="false">IF(AND(Tasks[[#This Row],[_IsLeaf]]=1,Tasks[[#This Row],[_LeafProgress]]&lt;1,OR(N(Tasks[[#This Row],[Finish Var]])&gt;0,Tasks[[#This Row],[Status]]="Late Start")),MAX(0,Tasks[[#This Row],[Finish Var]])+1-Tasks[[#This Row],[_Row]]/1000000,"")</f>
        <v/>
      </c>
      <c r="DL104" s="41" t="str">
        <f aca="false">IF(AND(Tasks[[#This Row],[_IsLeaf]]=1,N(Tasks[[#This Row],[Actual Start]])=0,Tasks[[#This Row],[_LeafFcstStart]]&gt;=StatusDate,Tasks[[#This Row],[_LeafFcstStart]]&lt;=LookaheadEnd),Tasks[[#This Row],[_LeafFcstStart]]+Tasks[[#This Row],[_Row]]/100000,"")</f>
        <v/>
      </c>
      <c r="DM104" s="41" t="str">
        <f aca="false">IF(AND(Tasks[[#This Row],[_IsLeaf]]=1,Tasks[[#This Row],[_LeafProgress]]&lt;1,Tasks[[#This Row],[_LeafFcstFinish]]&gt;=StatusDate,Tasks[[#This Row],[_LeafFcstFinish]]&lt;=LookaheadEnd),Tasks[[#This Row],[_LeafFcstFinish]]+Tasks[[#This Row],[_Row]]/100000,"")</f>
        <v/>
      </c>
      <c r="DN104" s="41" t="str">
        <f aca="false">IF(Tasks[[#This Row],[_LeafCritical]],Tasks[[#This Row],[_LeafFcstStart]]+Tasks[[#This Row],[_Row]]/100000,"")</f>
        <v/>
      </c>
      <c r="DO104" s="41" t="n">
        <f aca="false">Tasks[[#This Row],[_LeafWork]]*Tasks[[#This Row],[_LeafProgress]]</f>
        <v>0</v>
      </c>
      <c r="DP104" s="100" t="str">
        <f aca="false">IF(AND(Tasks[[#This Row],[_IsLeaf]]=1,Tasks[[#This Row],[_LeafProgress]]&gt;=1),IF(N(Tasks[[#This Row],[Actual Finish]])&gt;0,Tasks[[#This Row],[Actual Finish]],Tasks[[#This Row],[_LeafFcstFinish]]),"")</f>
        <v/>
      </c>
      <c r="DQ104" s="41" t="n">
        <f aca="false">IF(Tasks[[#This Row],[_IsLeaf]]=1,N(Tasks[[#This Row],[Story Points]]),0)</f>
        <v>0</v>
      </c>
      <c r="DR104" s="41" t="str">
        <f aca="false">IF(AND(Tasks[[#This Row],[_IsLeaf]]=1,CurrentSprint&lt;&gt;"",Tasks[[#This Row],[Sprint]]=CurrentSprint),Tasks[[#This Row],[_Row]],"")</f>
        <v/>
      </c>
    </row>
    <row r="105" customFormat="false" ht="15" hidden="false" customHeight="false" outlineLevel="0" collapsed="false">
      <c r="A105" s="28" t="str">
        <f aca="false">IF(Tasks[[#This Row],[Task Name]]="","",COUNTA(Tasks[[#Headers],[Task Name]]:Tasks[[#This Row],[Task Name]])-1)</f>
        <v/>
      </c>
      <c r="B105" s="29" t="n">
        <v>100</v>
      </c>
      <c r="C10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5" s="29"/>
      <c r="E105" s="30"/>
      <c r="F105" s="29"/>
      <c r="G105" s="29"/>
      <c r="H105" s="29"/>
      <c r="I105" s="29"/>
      <c r="J105" s="29"/>
      <c r="K105" s="29"/>
      <c r="L105" s="29"/>
      <c r="M105" s="29"/>
      <c r="N105" s="73"/>
      <c r="O105" s="73"/>
      <c r="P105" s="25" t="str">
        <f aca="false">IF(Tasks[[#This Row],[Task Name]]="","",IF(N(Tasks[[#This Row],[Baseline Start]])&gt;0,Tasks[[#This Row],[Baseline Start]],Tasks[[#This Row],[_CalcStart]]))</f>
        <v/>
      </c>
      <c r="Q105" s="25" t="str">
        <f aca="false">IF(Tasks[[#This Row],[Task Name]]="","",IF(N(Tasks[[#This Row],[Baseline Finish]])&gt;0,Tasks[[#This Row],[Baseline Finish]],Tasks[[#This Row],[_CalcFinish]]))</f>
        <v/>
      </c>
      <c r="R105" s="73"/>
      <c r="S105" s="73"/>
      <c r="T105" s="25" t="str">
        <f aca="false">IF(Tasks[[#This Row],[Task Name]]="","",IF(Tasks[[#This Row],[_IsSummary]],MIN(INDEX(Tasks[_LeafFcstStart],Tasks[[#This Row],[_Row]]+1):INDEX(Tasks[_LeafFcstStart],Tasks[[#This Row],[_Row]]+Tasks[[#This Row],[_Descendants]])),Tasks[[#This Row],[_LeafFcstStart]]))</f>
        <v/>
      </c>
      <c r="U105" s="25" t="str">
        <f aca="false">IF(Tasks[[#This Row],[Task Name]]="","",IF(Tasks[[#This Row],[_IsSummary]],MAX(INDEX(Tasks[_LeafFcstFinish],Tasks[[#This Row],[_Row]]+1):INDEX(Tasks[_LeafFcstFinish],Tasks[[#This Row],[_Row]]+Tasks[[#This Row],[_Descendants]])),Tasks[[#This Row],[_LeafFcstFinish]]))</f>
        <v/>
      </c>
      <c r="V10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0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5" s="25" t="str">
        <f aca="false">IF(Tasks[[#This Row],[Task Name]]="","",IF(Tasks[[#This Row],[_IsSummary]],MIN(INDEX(Tasks[_LeafLateStart],Tasks[[#This Row],[_Row]]+1):INDEX(Tasks[_LeafLateStart],Tasks[[#This Row],[_Row]]+Tasks[[#This Row],[_Descendants]])),Tasks[[#This Row],[_LeafLateStart]]))</f>
        <v/>
      </c>
      <c r="Y105" s="25" t="str">
        <f aca="false">IF(Tasks[[#This Row],[Task Name]]="","",IF(Tasks[[#This Row],[_IsSummary]],MAX(INDEX(Tasks[_LeafLateFinish],Tasks[[#This Row],[_Row]]+1):INDEX(Tasks[_LeafLateFinish],Tasks[[#This Row],[_Row]]+Tasks[[#This Row],[_Descendants]])),Tasks[[#This Row],[_LeafLateFinish]]))</f>
        <v/>
      </c>
      <c r="Z105" s="43" t="str">
        <f aca="false">IF(Tasks[[#This Row],[Task Name]]="","",IF(Tasks[[#This Row],[_IsSummary]],MIN(INDEX(Tasks[_LeafTotalSlack],Tasks[[#This Row],[_Row]]+1):INDEX(Tasks[_LeafTotalSlack],Tasks[[#This Row],[_Row]]+Tasks[[#This Row],[_Descendants]])),Tasks[[#This Row],[_LeafTotalSlack]]))</f>
        <v/>
      </c>
      <c r="AA10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5" s="28" t="str">
        <f aca="false">IF(Tasks[[#This Row],[Task Name]]="","",IF(IF(Tasks[[#This Row],[_IsSummary]],COUNTIF(INDEX(Tasks[_LeafCritical],Tasks[[#This Row],[_Row]]+1):INDEX(Tasks[_LeafCritical],Tasks[[#This Row],[_Row]]+Tasks[[#This Row],[_Descendants]]),TRUE())&gt;0,Tasks[[#This Row],[_LeafCritical]]),"Yes",""))</f>
        <v/>
      </c>
      <c r="AC10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5" s="24" t="str">
        <f aca="false">IF(Tasks[[#This Row],[Task Name]]="","",TRIM(IF(Tasks[[#This Row],[_Pred1Problem]]&lt;&gt;"","Pred 1: "&amp;Tasks[[#This Row],[_Pred1Problem]]&amp;". ","")&amp;IF(Tasks[[#This Row],[_Pred2Problem]]&lt;&gt;"","Pred 2: "&amp;Tasks[[#This Row],[_Pred2Problem]]&amp;".","")))</f>
        <v/>
      </c>
      <c r="AE105" s="88"/>
      <c r="AF105"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5" s="28" t="str">
        <f aca="false">IF(Tasks[[#This Row],[Task Name]]="","",IF(Tasks[[#This Row],[Progress]]&gt;=1,"Complete",IF(OR(N(Tasks[[#This Row],[Actual Start]])&gt;0,Tasks[[#This Row],[Progress]]&gt;0),IF(Tasks[[#This Row],[Finish Var]]&gt;0,"Behind","In Progress"),IF(Tasks[[#This Row],[Planned Start]]&lt;StatusDate,"Late Start","Not Started"))))</f>
        <v/>
      </c>
      <c r="AH105" s="30"/>
      <c r="AI105" s="88"/>
      <c r="AJ105" s="95" t="str">
        <f aca="false">IF(Tasks[[#This Row],[Task Name]]="","",IF(Tasks[[#This Row],[_IsSummary]],SUM(INDEX(Tasks[_LeafWork],Tasks[[#This Row],[_Row]]+1):INDEX(Tasks[_LeafWork],Tasks[[#This Row],[_Row]]+Tasks[[#This Row],[_Descendants]])),Tasks[[#This Row],[_LeafWork]]))</f>
        <v/>
      </c>
      <c r="AK105" s="96" t="str">
        <f aca="false">IF(Tasks[[#This Row],[Task Name]]="","",IF(Tasks[[#This Row],[_IsSummary]],SUM(INDEX(Tasks[_LeafCost],Tasks[[#This Row],[_Row]]+1):INDEX(Tasks[_LeafCost],Tasks[[#This Row],[_Row]]+Tasks[[#This Row],[_Descendants]])),Tasks[[#This Row],[_LeafCost]]))</f>
        <v/>
      </c>
      <c r="AL105" s="97"/>
      <c r="AM105" s="29"/>
      <c r="AN10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05" s="82"/>
      <c r="AP105" s="24" t="str">
        <f aca="false">IF(Tasks[[#This Row],[Task Name]]="","",Tasks[[#This Row],[_Pred1IDText]]&amp;IF(AND(Tasks[[#This Row],[_Pred1IDText]]&lt;&gt;"",Tasks[[#This Row],[_Pred2IDText]]&lt;&gt;""),",","")&amp;Tasks[[#This Row],[_Pred2IDText]])</f>
        <v/>
      </c>
      <c r="AQ105" s="30"/>
      <c r="AR105" s="25" t="str">
        <f aca="false">IF(Tasks[[#This Row],[Task Name]]="","",Tasks[[#This Row],[Forecast Start]])</f>
        <v/>
      </c>
      <c r="AS105" s="25" t="str">
        <f aca="false">IF(Tasks[[#This Row],[Task Name]]="","",Tasks[[#This Row],[Forecast Finish]])</f>
        <v/>
      </c>
      <c r="AT105" s="28" t="str">
        <f aca="false">IF(Tasks[[#This Row],[Task Name]]="","",IF(Tasks[[#This Row],[_IsSummary]],NETWORKDAYS.INTL(Tasks[[#This Row],[Forecast Start]],Tasks[[#This Row],[Forecast Finish]],WorkWeek,Holidays),N(Tasks[[#This Row],[Duration]])))</f>
        <v/>
      </c>
      <c r="AU105" s="95" t="str">
        <f aca="false">IF(Tasks[[#This Row],[Task Name]]="","",Tasks[[#This Row],[Work]])</f>
        <v/>
      </c>
      <c r="AV105" s="96" t="str">
        <f aca="false">IF(Tasks[[#This Row],[Task Name]]="","",Tasks[[#This Row],[Cost]])</f>
        <v/>
      </c>
      <c r="AW105" s="73"/>
      <c r="AX105" s="73"/>
      <c r="AY105" s="29"/>
      <c r="AZ105" s="98"/>
      <c r="BA105" s="97"/>
      <c r="BB105" s="28" t="str">
        <f aca="false">IF(OR(Tasks[[#This Row],[Task Name]]="",Tasks[[#This Row],[Baseline Duration]]=""),"",Tasks[[#This Row],[BL Source Duration]]-N(Tasks[[#This Row],[Baseline Duration]]))</f>
        <v/>
      </c>
      <c r="BC105" s="95" t="str">
        <f aca="false">IF(OR(Tasks[[#This Row],[Task Name]]="",Tasks[[#This Row],[Baseline Work]]=""),"",Tasks[[#This Row],[Work]]-N(Tasks[[#This Row],[Baseline Work]]))</f>
        <v/>
      </c>
      <c r="BD105" s="96" t="str">
        <f aca="false">IF(OR(Tasks[[#This Row],[Task Name]]="",Tasks[[#This Row],[Baseline Cost]]=""),"",Tasks[[#This Row],[Cost]]-N(Tasks[[#This Row],[Baseline Cost]]))</f>
        <v/>
      </c>
      <c r="BE105" s="96" t="str">
        <f aca="false">IF(Tasks[[#This Row],[Task Name]]="","",IF(Tasks[[#This Row],[_IsSummary]],SUM(INDEX(Tasks[_LeafBudget],Tasks[[#This Row],[_Row]]+1):INDEX(Tasks[_LeafBudget],Tasks[[#This Row],[_Row]]+Tasks[[#This Row],[_Descendants]])),Tasks[[#This Row],[_LeafBudget]]))</f>
        <v/>
      </c>
      <c r="BF105" s="96" t="str">
        <f aca="false">IF(Tasks[[#This Row],[Task Name]]="","",IF(Tasks[[#This Row],[_IsSummary]],SUM(INDEX(Tasks[_LeafPV],Tasks[[#This Row],[_Row]]+1):INDEX(Tasks[_LeafPV],Tasks[[#This Row],[_Row]]+Tasks[[#This Row],[_Descendants]])),Tasks[[#This Row],[_LeafPV]]))</f>
        <v/>
      </c>
      <c r="BG105" s="96" t="str">
        <f aca="false">IF(Tasks[[#This Row],[Task Name]]="","",IF(Tasks[[#This Row],[_IsSummary]],SUM(INDEX(Tasks[_LeafEV],Tasks[[#This Row],[_Row]]+1):INDEX(Tasks[_LeafEV],Tasks[[#This Row],[_Row]]+Tasks[[#This Row],[_Descendants]])),Tasks[[#This Row],[_LeafEV]]))</f>
        <v/>
      </c>
      <c r="BH105" s="96" t="str">
        <f aca="false">IF(Tasks[[#This Row],[Task Name]]="","",IF(Tasks[[#This Row],[_IsSummary]],SUM(INDEX(Tasks[_LeafAC],Tasks[[#This Row],[_Row]]+1):INDEX(Tasks[_LeafAC],Tasks[[#This Row],[_Row]]+Tasks[[#This Row],[_Descendants]])),Tasks[[#This Row],[_LeafAC]]))</f>
        <v/>
      </c>
      <c r="BI105" s="41" t="str">
        <f aca="false">IF(Tasks[[#This Row],[Task Name]]="","",MAX(1,N(Tasks[[#This Row],[Level]])))</f>
        <v/>
      </c>
      <c r="BJ105" s="41" t="n">
        <f aca="false">ROW()-ROW(Tasks[[#Headers],[ID]])</f>
        <v>100</v>
      </c>
      <c r="BK105" s="41" t="n">
        <f aca="false">IF(OR(Tasks[[#This Row],[Task Name]]="",Tasks[[#This Row],[_Level]]&lt;=1),0,IFERROR(LOOKUP(2,1/(Tasks[[#Headers],[_Level]]:Tasks[[#This Row],[_Level]]=Tasks[[#This Row],[_Level]]-1),ROW(Tasks[[#Headers],[_Level]]:Tasks[[#This Row],[_Level]])),0))</f>
        <v>0</v>
      </c>
      <c r="BL105" s="41" t="n">
        <f aca="false">IFERROR(N(INDEX(Tasks[_Level],Tasks[[#This Row],[_Row]]+1)),0)</f>
        <v>0</v>
      </c>
      <c r="BM105" s="99" t="b">
        <f aca="false">AND(Tasks[[#This Row],[Task Name]]&lt;&gt;"",Tasks[[#This Row],[_NextLevel]]&gt;Tasks[[#This Row],[_Level]])</f>
        <v>0</v>
      </c>
      <c r="BN105" s="41" t="n">
        <f aca="false">IF(Tasks[[#This Row],[_IsSummary]],COUNTIF(Tasks[WBS],Tasks[[#This Row],[WBS]]&amp;".*"),0)</f>
        <v>0</v>
      </c>
      <c r="BO105" s="41" t="n">
        <f aca="false">IF(AND(Tasks[[#This Row],[Task Name]]&lt;&gt;"",NOT(Tasks[[#This Row],[_IsSummary]])),1,0)</f>
        <v>0</v>
      </c>
      <c r="BP105" s="41" t="n">
        <f aca="false">IF(N(Tasks[[#This Row],[Pred1 UID]])=0,0,IFERROR(MATCH(Tasks[[#This Row],[Pred1 UID]],Tasks[UID],0),-1))</f>
        <v>0</v>
      </c>
      <c r="BQ105" s="41" t="n">
        <f aca="false">IF(N(Tasks[[#This Row],[Pred2 UID]])=0,0,IFERROR(MATCH(Tasks[[#This Row],[Pred2 UID]],Tasks[UID],0),-1))</f>
        <v>0</v>
      </c>
      <c r="BR105"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05" s="100" t="str">
        <f aca="false">IF(NOT(Tasks[[#This Row],[_IsLeaf]]=1),"",IF(N(Tasks[[#This Row],[Duration]])&lt;=0,Tasks[[#This Row],[_LeafCalcStart]],WORKDAY.INTL(Tasks[[#This Row],[_LeafCalcStart]],Tasks[[#This Row],[Duration]]-1,WorkWeek,Holidays)))</f>
        <v/>
      </c>
      <c r="BT105"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05"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05" s="41" t="n">
        <f aca="false">IF(NOT(Tasks[[#This Row],[_IsLeaf]]=1),0,IF(N(Tasks[[#This Row],[Actual Finish]])&gt;0,1,MIN(1,N(Tasks[[#This Row],[% Complete]]))))</f>
        <v>0</v>
      </c>
      <c r="BW105" s="41" t="n">
        <f aca="false">IF(OR(NOT(Tasks[[#This Row],[_IsLeaf]]=1),Tasks[[#This Row],[Resource]]=""),0,N(Tasks[[#This Row],[Duration]])*HoursPerDay*IF(Tasks[[#This Row],[Units]]="",DefaultUnits,Tasks[[#This Row],[Units]]))</f>
        <v>0</v>
      </c>
      <c r="BX105" s="41" t="n">
        <f aca="false">IF(Tasks[[#This Row],[_LeafWork]]=0,0,Tasks[[#This Row],[_LeafWork]]*IFERROR(INDEX(res_Rate,MATCH(Tasks[[#This Row],[Resource]],res_Name,0)),0))</f>
        <v>0</v>
      </c>
      <c r="BY10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0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0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0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05" s="41" t="n">
        <f aca="false">IF(NOT(Tasks[[#This Row],[_IsLeaf]]=1),0,MAX(_xlfn.MAXIFS(Tasks[_Row],Tasks[Pred1 UID],Tasks[[#This Row],[UID]]),_xlfn.MAXIFS(Tasks[_Row],Tasks[Pred2 UID],Tasks[[#This Row],[UID]])))</f>
        <v>0</v>
      </c>
      <c r="CD105"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05" s="100" t="str">
        <f aca="false">IF(NOT(Tasks[[#This Row],[_IsLeaf]]=1),"",MIN(ProjectFinish,IF(N(Tasks[[#This Row],[Deadline]])&gt;0,Tasks[[#This Row],[Deadline]],2958465),Tasks[[#This Row],[_SuccessorFinishLimit]]))</f>
        <v/>
      </c>
      <c r="CF105" s="100" t="str">
        <f aca="false">IF(NOT(Tasks[[#This Row],[_IsLeaf]]=1),"",IF(N(Tasks[[#This Row],[Duration]])&lt;=0,Tasks[[#This Row],[_LeafLateFinish]],WORKDAY.INTL(Tasks[[#This Row],[_LeafLateFinish]],-(Tasks[[#This Row],[Duration]]-1),WorkWeek,Holidays)))</f>
        <v/>
      </c>
      <c r="CG10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05" s="99" t="b">
        <f aca="false">AND(Tasks[[#This Row],[_IsLeaf]]=1,Tasks[[#This Row],[_LeafProgress]]&lt;1,N(Tasks[[#This Row],[_LeafTotalSlack]])&lt;=CriticalSlackDays)</f>
        <v>0</v>
      </c>
      <c r="CI105" s="100" t="str">
        <f aca="false">IF(Tasks[[#This Row],[Task Name]]="","",IF(Tasks[[#This Row],[_IsSummary]],MIN(INDEX(Tasks[_LeafCalcStart],Tasks[[#This Row],[_Row]]+1):INDEX(Tasks[_LeafCalcStart],Tasks[[#This Row],[_Row]]+Tasks[[#This Row],[_Descendants]])),Tasks[[#This Row],[_LeafCalcStart]]))</f>
        <v/>
      </c>
      <c r="CJ105" s="100" t="str">
        <f aca="false">IF(Tasks[[#This Row],[Task Name]]="","",IF(Tasks[[#This Row],[_IsSummary]],MAX(INDEX(Tasks[_LeafCalcFinish],Tasks[[#This Row],[_Row]]+1):INDEX(Tasks[_LeafCalcFinish],Tasks[[#This Row],[_Row]]+Tasks[[#This Row],[_Descendants]])),Tasks[[#This Row],[_LeafCalcFinish]]))</f>
        <v/>
      </c>
      <c r="CK10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0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05"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05"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05"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05"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05" s="41" t="n">
        <f aca="false">IF(AND(Tasks[[#This Row],[_IsLeaf]]=1,Tasks[[#This Row],[_LeafWork]]&gt;0),NETWORKDAYS.INTL(ProjectStart,Tasks[[#This Row],[_LeafFcstStart]],WorkWeek,Holidays),0)</f>
        <v>0</v>
      </c>
      <c r="CR105" s="41" t="n">
        <f aca="false">IF(AND(Tasks[[#This Row],[_IsLeaf]]=1,Tasks[[#This Row],[_LeafWork]]&gt;0),MAX(Tasks[[#This Row],[_StartWorkday]],NETWORKDAYS.INTL(ProjectStart,Tasks[[#This Row],[_LeafFcstFinish]],WorkWeek,Holidays)),0)</f>
        <v>0</v>
      </c>
      <c r="CS105" s="41" t="n">
        <f aca="false">IF(AND(Tasks[[#This Row],[_IsLeaf]]=1,Tasks[[#This Row],[_LeafWork]]&gt;0),Tasks[[#This Row],[_LeafWork]]/(Tasks[[#This Row],[_FinishWorkday]]-Tasks[[#This Row],[_StartWorkday]]+1),0)</f>
        <v>0</v>
      </c>
      <c r="CT105" s="41" t="n">
        <f aca="false">Tasks[[#This Row],[_WorkPerWorkday]]*(Tasks[[#This Row],[_StartWorkday]]-1)</f>
        <v>-0</v>
      </c>
      <c r="CU105" s="41" t="n">
        <f aca="false">IF(Tasks[[#This Row],[_IsLeaf]]=1,MAX(N(Tasks[[#This Row],[Duration]]),0.1),0)</f>
        <v>0</v>
      </c>
      <c r="CV105" s="41" t="n">
        <f aca="false">Tasks[[#This Row],[_WeightDur]]*Tasks[[#This Row],[_LeafProgress]]</f>
        <v>0</v>
      </c>
      <c r="CW10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0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0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0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05" s="41" t="str">
        <f aca="false">IF(Tasks[[#This Row],[Task Name]]="","",Tasks[[#This Row],[_Pred1UIDText]]&amp;IF(AND(Tasks[[#This Row],[_Pred1UIDText]]&lt;&gt;"",Tasks[[#This Row],[_Pred2UIDText]]&lt;&gt;""),",","")&amp;Tasks[[#This Row],[_Pred2UIDText]])</f>
        <v/>
      </c>
      <c r="DB105" s="41" t="str">
        <f aca="false">IF(AND(Tasks[[#This Row],[_IsLeaf]]=1,N(Tasks[[#This Row],[Duration]])=0,Tasks[[#This Row],[_LeafProgress]]&lt;1),Tasks[[#This Row],[_LeafFcstFinish]]+Tasks[[#This Row],[_Row]]/100000,"")</f>
        <v/>
      </c>
      <c r="DC10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05" s="41" t="n">
        <f aca="false">IF(NOT(Tasks[[#This Row],[_IsLeaf]]=1),0,IF(Tasks[[#This Row],[Baseline Cost]]="",Tasks[[#This Row],[_LeafCost]],N(Tasks[[#This Row],[Baseline Cost]])))</f>
        <v>0</v>
      </c>
      <c r="DE105" s="41" t="n">
        <f aca="false">Tasks[[#This Row],[_LeafBudget]]*Tasks[[#This Row],[_PlannedPct]]</f>
        <v>0</v>
      </c>
      <c r="DF105" s="41" t="n">
        <f aca="false">Tasks[[#This Row],[_LeafBudget]]*Tasks[[#This Row],[_LeafProgress]]</f>
        <v>0</v>
      </c>
      <c r="DG105" s="41" t="n">
        <f aca="false">IF(NOT(Tasks[[#This Row],[_IsLeaf]]=1),0,IF(Tasks[[#This Row],[Actual Cost]]="",Tasks[[#This Row],[_LeafCost]]*Tasks[[#This Row],[_LeafProgress]],N(Tasks[[#This Row],[Actual Cost]])))</f>
        <v>0</v>
      </c>
      <c r="DH105" s="41" t="str">
        <f aca="false">IF(Tasks[[#This Row],[Task Name]]="","",LEFT(Tasks[[#This Row],[WBS]],FIND(".",Tasks[[#This Row],[WBS]]&amp;".")-1))</f>
        <v/>
      </c>
      <c r="DI105" s="41" t="str">
        <f aca="false">IF(AND(Tasks[[#This Row],[Task Name]]&lt;&gt;"",Tasks[[#This Row],[_Level]]=1),Tasks[[#This Row],[_Row]],"")</f>
        <v/>
      </c>
      <c r="DJ105" s="41" t="str">
        <f aca="false">IF(AND(Tasks[[#This Row],[_IsLeaf]]=1,N(Tasks[[#This Row],[Duration]])=0),Tasks[[#This Row],[Planned Finish]]+Tasks[[#This Row],[_Row]]/100000,"")</f>
        <v/>
      </c>
      <c r="DK105" s="41" t="str">
        <f aca="false">IF(AND(Tasks[[#This Row],[_IsLeaf]]=1,Tasks[[#This Row],[_LeafProgress]]&lt;1,OR(N(Tasks[[#This Row],[Finish Var]])&gt;0,Tasks[[#This Row],[Status]]="Late Start")),MAX(0,Tasks[[#This Row],[Finish Var]])+1-Tasks[[#This Row],[_Row]]/1000000,"")</f>
        <v/>
      </c>
      <c r="DL105" s="41" t="str">
        <f aca="false">IF(AND(Tasks[[#This Row],[_IsLeaf]]=1,N(Tasks[[#This Row],[Actual Start]])=0,Tasks[[#This Row],[_LeafFcstStart]]&gt;=StatusDate,Tasks[[#This Row],[_LeafFcstStart]]&lt;=LookaheadEnd),Tasks[[#This Row],[_LeafFcstStart]]+Tasks[[#This Row],[_Row]]/100000,"")</f>
        <v/>
      </c>
      <c r="DM105" s="41" t="str">
        <f aca="false">IF(AND(Tasks[[#This Row],[_IsLeaf]]=1,Tasks[[#This Row],[_LeafProgress]]&lt;1,Tasks[[#This Row],[_LeafFcstFinish]]&gt;=StatusDate,Tasks[[#This Row],[_LeafFcstFinish]]&lt;=LookaheadEnd),Tasks[[#This Row],[_LeafFcstFinish]]+Tasks[[#This Row],[_Row]]/100000,"")</f>
        <v/>
      </c>
      <c r="DN105" s="41" t="str">
        <f aca="false">IF(Tasks[[#This Row],[_LeafCritical]],Tasks[[#This Row],[_LeafFcstStart]]+Tasks[[#This Row],[_Row]]/100000,"")</f>
        <v/>
      </c>
      <c r="DO105" s="41" t="n">
        <f aca="false">Tasks[[#This Row],[_LeafWork]]*Tasks[[#This Row],[_LeafProgress]]</f>
        <v>0</v>
      </c>
      <c r="DP105" s="100" t="str">
        <f aca="false">IF(AND(Tasks[[#This Row],[_IsLeaf]]=1,Tasks[[#This Row],[_LeafProgress]]&gt;=1),IF(N(Tasks[[#This Row],[Actual Finish]])&gt;0,Tasks[[#This Row],[Actual Finish]],Tasks[[#This Row],[_LeafFcstFinish]]),"")</f>
        <v/>
      </c>
      <c r="DQ105" s="41" t="n">
        <f aca="false">IF(Tasks[[#This Row],[_IsLeaf]]=1,N(Tasks[[#This Row],[Story Points]]),0)</f>
        <v>0</v>
      </c>
      <c r="DR105" s="41" t="str">
        <f aca="false">IF(AND(Tasks[[#This Row],[_IsLeaf]]=1,CurrentSprint&lt;&gt;"",Tasks[[#This Row],[Sprint]]=CurrentSprint),Tasks[[#This Row],[_Row]],"")</f>
        <v/>
      </c>
    </row>
    <row r="106" customFormat="false" ht="15" hidden="false" customHeight="false" outlineLevel="0" collapsed="false">
      <c r="A106" s="28" t="str">
        <f aca="false">IF(Tasks[[#This Row],[Task Name]]="","",COUNTA(Tasks[[#Headers],[Task Name]]:Tasks[[#This Row],[Task Name]])-1)</f>
        <v/>
      </c>
      <c r="B106" s="29" t="n">
        <v>101</v>
      </c>
      <c r="C10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6" s="29"/>
      <c r="E106" s="30"/>
      <c r="F106" s="29"/>
      <c r="G106" s="29"/>
      <c r="H106" s="29"/>
      <c r="I106" s="29"/>
      <c r="J106" s="29"/>
      <c r="K106" s="29"/>
      <c r="L106" s="29"/>
      <c r="M106" s="29"/>
      <c r="N106" s="73"/>
      <c r="O106" s="73"/>
      <c r="P106" s="25" t="str">
        <f aca="false">IF(Tasks[[#This Row],[Task Name]]="","",IF(N(Tasks[[#This Row],[Baseline Start]])&gt;0,Tasks[[#This Row],[Baseline Start]],Tasks[[#This Row],[_CalcStart]]))</f>
        <v/>
      </c>
      <c r="Q106" s="25" t="str">
        <f aca="false">IF(Tasks[[#This Row],[Task Name]]="","",IF(N(Tasks[[#This Row],[Baseline Finish]])&gt;0,Tasks[[#This Row],[Baseline Finish]],Tasks[[#This Row],[_CalcFinish]]))</f>
        <v/>
      </c>
      <c r="R106" s="73"/>
      <c r="S106" s="73"/>
      <c r="T106" s="25" t="str">
        <f aca="false">IF(Tasks[[#This Row],[Task Name]]="","",IF(Tasks[[#This Row],[_IsSummary]],MIN(INDEX(Tasks[_LeafFcstStart],Tasks[[#This Row],[_Row]]+1):INDEX(Tasks[_LeafFcstStart],Tasks[[#This Row],[_Row]]+Tasks[[#This Row],[_Descendants]])),Tasks[[#This Row],[_LeafFcstStart]]))</f>
        <v/>
      </c>
      <c r="U106" s="25" t="str">
        <f aca="false">IF(Tasks[[#This Row],[Task Name]]="","",IF(Tasks[[#This Row],[_IsSummary]],MAX(INDEX(Tasks[_LeafFcstFinish],Tasks[[#This Row],[_Row]]+1):INDEX(Tasks[_LeafFcstFinish],Tasks[[#This Row],[_Row]]+Tasks[[#This Row],[_Descendants]])),Tasks[[#This Row],[_LeafFcstFinish]]))</f>
        <v/>
      </c>
      <c r="V10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0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6" s="25" t="str">
        <f aca="false">IF(Tasks[[#This Row],[Task Name]]="","",IF(Tasks[[#This Row],[_IsSummary]],MIN(INDEX(Tasks[_LeafLateStart],Tasks[[#This Row],[_Row]]+1):INDEX(Tasks[_LeafLateStart],Tasks[[#This Row],[_Row]]+Tasks[[#This Row],[_Descendants]])),Tasks[[#This Row],[_LeafLateStart]]))</f>
        <v/>
      </c>
      <c r="Y106" s="25" t="str">
        <f aca="false">IF(Tasks[[#This Row],[Task Name]]="","",IF(Tasks[[#This Row],[_IsSummary]],MAX(INDEX(Tasks[_LeafLateFinish],Tasks[[#This Row],[_Row]]+1):INDEX(Tasks[_LeafLateFinish],Tasks[[#This Row],[_Row]]+Tasks[[#This Row],[_Descendants]])),Tasks[[#This Row],[_LeafLateFinish]]))</f>
        <v/>
      </c>
      <c r="Z106" s="43" t="str">
        <f aca="false">IF(Tasks[[#This Row],[Task Name]]="","",IF(Tasks[[#This Row],[_IsSummary]],MIN(INDEX(Tasks[_LeafTotalSlack],Tasks[[#This Row],[_Row]]+1):INDEX(Tasks[_LeafTotalSlack],Tasks[[#This Row],[_Row]]+Tasks[[#This Row],[_Descendants]])),Tasks[[#This Row],[_LeafTotalSlack]]))</f>
        <v/>
      </c>
      <c r="AA10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6" s="28" t="str">
        <f aca="false">IF(Tasks[[#This Row],[Task Name]]="","",IF(IF(Tasks[[#This Row],[_IsSummary]],COUNTIF(INDEX(Tasks[_LeafCritical],Tasks[[#This Row],[_Row]]+1):INDEX(Tasks[_LeafCritical],Tasks[[#This Row],[_Row]]+Tasks[[#This Row],[_Descendants]]),TRUE())&gt;0,Tasks[[#This Row],[_LeafCritical]]),"Yes",""))</f>
        <v/>
      </c>
      <c r="AC10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6" s="24" t="str">
        <f aca="false">IF(Tasks[[#This Row],[Task Name]]="","",TRIM(IF(Tasks[[#This Row],[_Pred1Problem]]&lt;&gt;"","Pred 1: "&amp;Tasks[[#This Row],[_Pred1Problem]]&amp;". ","")&amp;IF(Tasks[[#This Row],[_Pred2Problem]]&lt;&gt;"","Pred 2: "&amp;Tasks[[#This Row],[_Pred2Problem]]&amp;".","")))</f>
        <v/>
      </c>
      <c r="AE106" s="88"/>
      <c r="AF106"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6" s="28" t="str">
        <f aca="false">IF(Tasks[[#This Row],[Task Name]]="","",IF(Tasks[[#This Row],[Progress]]&gt;=1,"Complete",IF(OR(N(Tasks[[#This Row],[Actual Start]])&gt;0,Tasks[[#This Row],[Progress]]&gt;0),IF(Tasks[[#This Row],[Finish Var]]&gt;0,"Behind","In Progress"),IF(Tasks[[#This Row],[Planned Start]]&lt;StatusDate,"Late Start","Not Started"))))</f>
        <v/>
      </c>
      <c r="AH106" s="30"/>
      <c r="AI106" s="88"/>
      <c r="AJ106" s="95" t="str">
        <f aca="false">IF(Tasks[[#This Row],[Task Name]]="","",IF(Tasks[[#This Row],[_IsSummary]],SUM(INDEX(Tasks[_LeafWork],Tasks[[#This Row],[_Row]]+1):INDEX(Tasks[_LeafWork],Tasks[[#This Row],[_Row]]+Tasks[[#This Row],[_Descendants]])),Tasks[[#This Row],[_LeafWork]]))</f>
        <v/>
      </c>
      <c r="AK106" s="96" t="str">
        <f aca="false">IF(Tasks[[#This Row],[Task Name]]="","",IF(Tasks[[#This Row],[_IsSummary]],SUM(INDEX(Tasks[_LeafCost],Tasks[[#This Row],[_Row]]+1):INDEX(Tasks[_LeafCost],Tasks[[#This Row],[_Row]]+Tasks[[#This Row],[_Descendants]])),Tasks[[#This Row],[_LeafCost]]))</f>
        <v/>
      </c>
      <c r="AL106" s="97"/>
      <c r="AM106" s="29"/>
      <c r="AN10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06" s="82"/>
      <c r="AP106" s="24" t="str">
        <f aca="false">IF(Tasks[[#This Row],[Task Name]]="","",Tasks[[#This Row],[_Pred1IDText]]&amp;IF(AND(Tasks[[#This Row],[_Pred1IDText]]&lt;&gt;"",Tasks[[#This Row],[_Pred2IDText]]&lt;&gt;""),",","")&amp;Tasks[[#This Row],[_Pred2IDText]])</f>
        <v/>
      </c>
      <c r="AQ106" s="30"/>
      <c r="AR106" s="25" t="str">
        <f aca="false">IF(Tasks[[#This Row],[Task Name]]="","",Tasks[[#This Row],[Forecast Start]])</f>
        <v/>
      </c>
      <c r="AS106" s="25" t="str">
        <f aca="false">IF(Tasks[[#This Row],[Task Name]]="","",Tasks[[#This Row],[Forecast Finish]])</f>
        <v/>
      </c>
      <c r="AT106" s="28" t="str">
        <f aca="false">IF(Tasks[[#This Row],[Task Name]]="","",IF(Tasks[[#This Row],[_IsSummary]],NETWORKDAYS.INTL(Tasks[[#This Row],[Forecast Start]],Tasks[[#This Row],[Forecast Finish]],WorkWeek,Holidays),N(Tasks[[#This Row],[Duration]])))</f>
        <v/>
      </c>
      <c r="AU106" s="95" t="str">
        <f aca="false">IF(Tasks[[#This Row],[Task Name]]="","",Tasks[[#This Row],[Work]])</f>
        <v/>
      </c>
      <c r="AV106" s="96" t="str">
        <f aca="false">IF(Tasks[[#This Row],[Task Name]]="","",Tasks[[#This Row],[Cost]])</f>
        <v/>
      </c>
      <c r="AW106" s="73"/>
      <c r="AX106" s="73"/>
      <c r="AY106" s="29"/>
      <c r="AZ106" s="98"/>
      <c r="BA106" s="97"/>
      <c r="BB106" s="28" t="str">
        <f aca="false">IF(OR(Tasks[[#This Row],[Task Name]]="",Tasks[[#This Row],[Baseline Duration]]=""),"",Tasks[[#This Row],[BL Source Duration]]-N(Tasks[[#This Row],[Baseline Duration]]))</f>
        <v/>
      </c>
      <c r="BC106" s="95" t="str">
        <f aca="false">IF(OR(Tasks[[#This Row],[Task Name]]="",Tasks[[#This Row],[Baseline Work]]=""),"",Tasks[[#This Row],[Work]]-N(Tasks[[#This Row],[Baseline Work]]))</f>
        <v/>
      </c>
      <c r="BD106" s="96" t="str">
        <f aca="false">IF(OR(Tasks[[#This Row],[Task Name]]="",Tasks[[#This Row],[Baseline Cost]]=""),"",Tasks[[#This Row],[Cost]]-N(Tasks[[#This Row],[Baseline Cost]]))</f>
        <v/>
      </c>
      <c r="BE106" s="96" t="str">
        <f aca="false">IF(Tasks[[#This Row],[Task Name]]="","",IF(Tasks[[#This Row],[_IsSummary]],SUM(INDEX(Tasks[_LeafBudget],Tasks[[#This Row],[_Row]]+1):INDEX(Tasks[_LeafBudget],Tasks[[#This Row],[_Row]]+Tasks[[#This Row],[_Descendants]])),Tasks[[#This Row],[_LeafBudget]]))</f>
        <v/>
      </c>
      <c r="BF106" s="96" t="str">
        <f aca="false">IF(Tasks[[#This Row],[Task Name]]="","",IF(Tasks[[#This Row],[_IsSummary]],SUM(INDEX(Tasks[_LeafPV],Tasks[[#This Row],[_Row]]+1):INDEX(Tasks[_LeafPV],Tasks[[#This Row],[_Row]]+Tasks[[#This Row],[_Descendants]])),Tasks[[#This Row],[_LeafPV]]))</f>
        <v/>
      </c>
      <c r="BG106" s="96" t="str">
        <f aca="false">IF(Tasks[[#This Row],[Task Name]]="","",IF(Tasks[[#This Row],[_IsSummary]],SUM(INDEX(Tasks[_LeafEV],Tasks[[#This Row],[_Row]]+1):INDEX(Tasks[_LeafEV],Tasks[[#This Row],[_Row]]+Tasks[[#This Row],[_Descendants]])),Tasks[[#This Row],[_LeafEV]]))</f>
        <v/>
      </c>
      <c r="BH106" s="96" t="str">
        <f aca="false">IF(Tasks[[#This Row],[Task Name]]="","",IF(Tasks[[#This Row],[_IsSummary]],SUM(INDEX(Tasks[_LeafAC],Tasks[[#This Row],[_Row]]+1):INDEX(Tasks[_LeafAC],Tasks[[#This Row],[_Row]]+Tasks[[#This Row],[_Descendants]])),Tasks[[#This Row],[_LeafAC]]))</f>
        <v/>
      </c>
      <c r="BI106" s="41" t="str">
        <f aca="false">IF(Tasks[[#This Row],[Task Name]]="","",MAX(1,N(Tasks[[#This Row],[Level]])))</f>
        <v/>
      </c>
      <c r="BJ106" s="41" t="n">
        <f aca="false">ROW()-ROW(Tasks[[#Headers],[ID]])</f>
        <v>101</v>
      </c>
      <c r="BK106" s="41" t="n">
        <f aca="false">IF(OR(Tasks[[#This Row],[Task Name]]="",Tasks[[#This Row],[_Level]]&lt;=1),0,IFERROR(LOOKUP(2,1/(Tasks[[#Headers],[_Level]]:Tasks[[#This Row],[_Level]]=Tasks[[#This Row],[_Level]]-1),ROW(Tasks[[#Headers],[_Level]]:Tasks[[#This Row],[_Level]])),0))</f>
        <v>0</v>
      </c>
      <c r="BL106" s="41" t="n">
        <f aca="false">IFERROR(N(INDEX(Tasks[_Level],Tasks[[#This Row],[_Row]]+1)),0)</f>
        <v>0</v>
      </c>
      <c r="BM106" s="99" t="b">
        <f aca="false">AND(Tasks[[#This Row],[Task Name]]&lt;&gt;"",Tasks[[#This Row],[_NextLevel]]&gt;Tasks[[#This Row],[_Level]])</f>
        <v>0</v>
      </c>
      <c r="BN106" s="41" t="n">
        <f aca="false">IF(Tasks[[#This Row],[_IsSummary]],COUNTIF(Tasks[WBS],Tasks[[#This Row],[WBS]]&amp;".*"),0)</f>
        <v>0</v>
      </c>
      <c r="BO106" s="41" t="n">
        <f aca="false">IF(AND(Tasks[[#This Row],[Task Name]]&lt;&gt;"",NOT(Tasks[[#This Row],[_IsSummary]])),1,0)</f>
        <v>0</v>
      </c>
      <c r="BP106" s="41" t="n">
        <f aca="false">IF(N(Tasks[[#This Row],[Pred1 UID]])=0,0,IFERROR(MATCH(Tasks[[#This Row],[Pred1 UID]],Tasks[UID],0),-1))</f>
        <v>0</v>
      </c>
      <c r="BQ106" s="41" t="n">
        <f aca="false">IF(N(Tasks[[#This Row],[Pred2 UID]])=0,0,IFERROR(MATCH(Tasks[[#This Row],[Pred2 UID]],Tasks[UID],0),-1))</f>
        <v>0</v>
      </c>
      <c r="BR106"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06" s="100" t="str">
        <f aca="false">IF(NOT(Tasks[[#This Row],[_IsLeaf]]=1),"",IF(N(Tasks[[#This Row],[Duration]])&lt;=0,Tasks[[#This Row],[_LeafCalcStart]],WORKDAY.INTL(Tasks[[#This Row],[_LeafCalcStart]],Tasks[[#This Row],[Duration]]-1,WorkWeek,Holidays)))</f>
        <v/>
      </c>
      <c r="BT106"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06"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06" s="41" t="n">
        <f aca="false">IF(NOT(Tasks[[#This Row],[_IsLeaf]]=1),0,IF(N(Tasks[[#This Row],[Actual Finish]])&gt;0,1,MIN(1,N(Tasks[[#This Row],[% Complete]]))))</f>
        <v>0</v>
      </c>
      <c r="BW106" s="41" t="n">
        <f aca="false">IF(OR(NOT(Tasks[[#This Row],[_IsLeaf]]=1),Tasks[[#This Row],[Resource]]=""),0,N(Tasks[[#This Row],[Duration]])*HoursPerDay*IF(Tasks[[#This Row],[Units]]="",DefaultUnits,Tasks[[#This Row],[Units]]))</f>
        <v>0</v>
      </c>
      <c r="BX106" s="41" t="n">
        <f aca="false">IF(Tasks[[#This Row],[_LeafWork]]=0,0,Tasks[[#This Row],[_LeafWork]]*IFERROR(INDEX(res_Rate,MATCH(Tasks[[#This Row],[Resource]],res_Name,0)),0))</f>
        <v>0</v>
      </c>
      <c r="BY10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0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0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0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06" s="41" t="n">
        <f aca="false">IF(NOT(Tasks[[#This Row],[_IsLeaf]]=1),0,MAX(_xlfn.MAXIFS(Tasks[_Row],Tasks[Pred1 UID],Tasks[[#This Row],[UID]]),_xlfn.MAXIFS(Tasks[_Row],Tasks[Pred2 UID],Tasks[[#This Row],[UID]])))</f>
        <v>0</v>
      </c>
      <c r="CD106"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06" s="100" t="str">
        <f aca="false">IF(NOT(Tasks[[#This Row],[_IsLeaf]]=1),"",MIN(ProjectFinish,IF(N(Tasks[[#This Row],[Deadline]])&gt;0,Tasks[[#This Row],[Deadline]],2958465),Tasks[[#This Row],[_SuccessorFinishLimit]]))</f>
        <v/>
      </c>
      <c r="CF106" s="100" t="str">
        <f aca="false">IF(NOT(Tasks[[#This Row],[_IsLeaf]]=1),"",IF(N(Tasks[[#This Row],[Duration]])&lt;=0,Tasks[[#This Row],[_LeafLateFinish]],WORKDAY.INTL(Tasks[[#This Row],[_LeafLateFinish]],-(Tasks[[#This Row],[Duration]]-1),WorkWeek,Holidays)))</f>
        <v/>
      </c>
      <c r="CG10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06" s="99" t="b">
        <f aca="false">AND(Tasks[[#This Row],[_IsLeaf]]=1,Tasks[[#This Row],[_LeafProgress]]&lt;1,N(Tasks[[#This Row],[_LeafTotalSlack]])&lt;=CriticalSlackDays)</f>
        <v>0</v>
      </c>
      <c r="CI106" s="100" t="str">
        <f aca="false">IF(Tasks[[#This Row],[Task Name]]="","",IF(Tasks[[#This Row],[_IsSummary]],MIN(INDEX(Tasks[_LeafCalcStart],Tasks[[#This Row],[_Row]]+1):INDEX(Tasks[_LeafCalcStart],Tasks[[#This Row],[_Row]]+Tasks[[#This Row],[_Descendants]])),Tasks[[#This Row],[_LeafCalcStart]]))</f>
        <v/>
      </c>
      <c r="CJ106" s="100" t="str">
        <f aca="false">IF(Tasks[[#This Row],[Task Name]]="","",IF(Tasks[[#This Row],[_IsSummary]],MAX(INDEX(Tasks[_LeafCalcFinish],Tasks[[#This Row],[_Row]]+1):INDEX(Tasks[_LeafCalcFinish],Tasks[[#This Row],[_Row]]+Tasks[[#This Row],[_Descendants]])),Tasks[[#This Row],[_LeafCalcFinish]]))</f>
        <v/>
      </c>
      <c r="CK10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0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06"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06"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06"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06"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06" s="41" t="n">
        <f aca="false">IF(AND(Tasks[[#This Row],[_IsLeaf]]=1,Tasks[[#This Row],[_LeafWork]]&gt;0),NETWORKDAYS.INTL(ProjectStart,Tasks[[#This Row],[_LeafFcstStart]],WorkWeek,Holidays),0)</f>
        <v>0</v>
      </c>
      <c r="CR106" s="41" t="n">
        <f aca="false">IF(AND(Tasks[[#This Row],[_IsLeaf]]=1,Tasks[[#This Row],[_LeafWork]]&gt;0),MAX(Tasks[[#This Row],[_StartWorkday]],NETWORKDAYS.INTL(ProjectStart,Tasks[[#This Row],[_LeafFcstFinish]],WorkWeek,Holidays)),0)</f>
        <v>0</v>
      </c>
      <c r="CS106" s="41" t="n">
        <f aca="false">IF(AND(Tasks[[#This Row],[_IsLeaf]]=1,Tasks[[#This Row],[_LeafWork]]&gt;0),Tasks[[#This Row],[_LeafWork]]/(Tasks[[#This Row],[_FinishWorkday]]-Tasks[[#This Row],[_StartWorkday]]+1),0)</f>
        <v>0</v>
      </c>
      <c r="CT106" s="41" t="n">
        <f aca="false">Tasks[[#This Row],[_WorkPerWorkday]]*(Tasks[[#This Row],[_StartWorkday]]-1)</f>
        <v>-0</v>
      </c>
      <c r="CU106" s="41" t="n">
        <f aca="false">IF(Tasks[[#This Row],[_IsLeaf]]=1,MAX(N(Tasks[[#This Row],[Duration]]),0.1),0)</f>
        <v>0</v>
      </c>
      <c r="CV106" s="41" t="n">
        <f aca="false">Tasks[[#This Row],[_WeightDur]]*Tasks[[#This Row],[_LeafProgress]]</f>
        <v>0</v>
      </c>
      <c r="CW10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0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0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0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06" s="41" t="str">
        <f aca="false">IF(Tasks[[#This Row],[Task Name]]="","",Tasks[[#This Row],[_Pred1UIDText]]&amp;IF(AND(Tasks[[#This Row],[_Pred1UIDText]]&lt;&gt;"",Tasks[[#This Row],[_Pred2UIDText]]&lt;&gt;""),",","")&amp;Tasks[[#This Row],[_Pred2UIDText]])</f>
        <v/>
      </c>
      <c r="DB106" s="41" t="str">
        <f aca="false">IF(AND(Tasks[[#This Row],[_IsLeaf]]=1,N(Tasks[[#This Row],[Duration]])=0,Tasks[[#This Row],[_LeafProgress]]&lt;1),Tasks[[#This Row],[_LeafFcstFinish]]+Tasks[[#This Row],[_Row]]/100000,"")</f>
        <v/>
      </c>
      <c r="DC10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06" s="41" t="n">
        <f aca="false">IF(NOT(Tasks[[#This Row],[_IsLeaf]]=1),0,IF(Tasks[[#This Row],[Baseline Cost]]="",Tasks[[#This Row],[_LeafCost]],N(Tasks[[#This Row],[Baseline Cost]])))</f>
        <v>0</v>
      </c>
      <c r="DE106" s="41" t="n">
        <f aca="false">Tasks[[#This Row],[_LeafBudget]]*Tasks[[#This Row],[_PlannedPct]]</f>
        <v>0</v>
      </c>
      <c r="DF106" s="41" t="n">
        <f aca="false">Tasks[[#This Row],[_LeafBudget]]*Tasks[[#This Row],[_LeafProgress]]</f>
        <v>0</v>
      </c>
      <c r="DG106" s="41" t="n">
        <f aca="false">IF(NOT(Tasks[[#This Row],[_IsLeaf]]=1),0,IF(Tasks[[#This Row],[Actual Cost]]="",Tasks[[#This Row],[_LeafCost]]*Tasks[[#This Row],[_LeafProgress]],N(Tasks[[#This Row],[Actual Cost]])))</f>
        <v>0</v>
      </c>
      <c r="DH106" s="41" t="str">
        <f aca="false">IF(Tasks[[#This Row],[Task Name]]="","",LEFT(Tasks[[#This Row],[WBS]],FIND(".",Tasks[[#This Row],[WBS]]&amp;".")-1))</f>
        <v/>
      </c>
      <c r="DI106" s="41" t="str">
        <f aca="false">IF(AND(Tasks[[#This Row],[Task Name]]&lt;&gt;"",Tasks[[#This Row],[_Level]]=1),Tasks[[#This Row],[_Row]],"")</f>
        <v/>
      </c>
      <c r="DJ106" s="41" t="str">
        <f aca="false">IF(AND(Tasks[[#This Row],[_IsLeaf]]=1,N(Tasks[[#This Row],[Duration]])=0),Tasks[[#This Row],[Planned Finish]]+Tasks[[#This Row],[_Row]]/100000,"")</f>
        <v/>
      </c>
      <c r="DK106" s="41" t="str">
        <f aca="false">IF(AND(Tasks[[#This Row],[_IsLeaf]]=1,Tasks[[#This Row],[_LeafProgress]]&lt;1,OR(N(Tasks[[#This Row],[Finish Var]])&gt;0,Tasks[[#This Row],[Status]]="Late Start")),MAX(0,Tasks[[#This Row],[Finish Var]])+1-Tasks[[#This Row],[_Row]]/1000000,"")</f>
        <v/>
      </c>
      <c r="DL106" s="41" t="str">
        <f aca="false">IF(AND(Tasks[[#This Row],[_IsLeaf]]=1,N(Tasks[[#This Row],[Actual Start]])=0,Tasks[[#This Row],[_LeafFcstStart]]&gt;=StatusDate,Tasks[[#This Row],[_LeafFcstStart]]&lt;=LookaheadEnd),Tasks[[#This Row],[_LeafFcstStart]]+Tasks[[#This Row],[_Row]]/100000,"")</f>
        <v/>
      </c>
      <c r="DM106" s="41" t="str">
        <f aca="false">IF(AND(Tasks[[#This Row],[_IsLeaf]]=1,Tasks[[#This Row],[_LeafProgress]]&lt;1,Tasks[[#This Row],[_LeafFcstFinish]]&gt;=StatusDate,Tasks[[#This Row],[_LeafFcstFinish]]&lt;=LookaheadEnd),Tasks[[#This Row],[_LeafFcstFinish]]+Tasks[[#This Row],[_Row]]/100000,"")</f>
        <v/>
      </c>
      <c r="DN106" s="41" t="str">
        <f aca="false">IF(Tasks[[#This Row],[_LeafCritical]],Tasks[[#This Row],[_LeafFcstStart]]+Tasks[[#This Row],[_Row]]/100000,"")</f>
        <v/>
      </c>
      <c r="DO106" s="41" t="n">
        <f aca="false">Tasks[[#This Row],[_LeafWork]]*Tasks[[#This Row],[_LeafProgress]]</f>
        <v>0</v>
      </c>
      <c r="DP106" s="100" t="str">
        <f aca="false">IF(AND(Tasks[[#This Row],[_IsLeaf]]=1,Tasks[[#This Row],[_LeafProgress]]&gt;=1),IF(N(Tasks[[#This Row],[Actual Finish]])&gt;0,Tasks[[#This Row],[Actual Finish]],Tasks[[#This Row],[_LeafFcstFinish]]),"")</f>
        <v/>
      </c>
      <c r="DQ106" s="41" t="n">
        <f aca="false">IF(Tasks[[#This Row],[_IsLeaf]]=1,N(Tasks[[#This Row],[Story Points]]),0)</f>
        <v>0</v>
      </c>
      <c r="DR106" s="41" t="str">
        <f aca="false">IF(AND(Tasks[[#This Row],[_IsLeaf]]=1,CurrentSprint&lt;&gt;"",Tasks[[#This Row],[Sprint]]=CurrentSprint),Tasks[[#This Row],[_Row]],"")</f>
        <v/>
      </c>
    </row>
    <row r="107" customFormat="false" ht="15" hidden="false" customHeight="false" outlineLevel="0" collapsed="false">
      <c r="A107" s="28" t="str">
        <f aca="false">IF(Tasks[[#This Row],[Task Name]]="","",COUNTA(Tasks[[#Headers],[Task Name]]:Tasks[[#This Row],[Task Name]])-1)</f>
        <v/>
      </c>
      <c r="B107" s="29" t="n">
        <v>102</v>
      </c>
      <c r="C10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7" s="29"/>
      <c r="E107" s="30"/>
      <c r="F107" s="29"/>
      <c r="G107" s="29"/>
      <c r="H107" s="29"/>
      <c r="I107" s="29"/>
      <c r="J107" s="29"/>
      <c r="K107" s="29"/>
      <c r="L107" s="29"/>
      <c r="M107" s="29"/>
      <c r="N107" s="73"/>
      <c r="O107" s="73"/>
      <c r="P107" s="25" t="str">
        <f aca="false">IF(Tasks[[#This Row],[Task Name]]="","",IF(N(Tasks[[#This Row],[Baseline Start]])&gt;0,Tasks[[#This Row],[Baseline Start]],Tasks[[#This Row],[_CalcStart]]))</f>
        <v/>
      </c>
      <c r="Q107" s="25" t="str">
        <f aca="false">IF(Tasks[[#This Row],[Task Name]]="","",IF(N(Tasks[[#This Row],[Baseline Finish]])&gt;0,Tasks[[#This Row],[Baseline Finish]],Tasks[[#This Row],[_CalcFinish]]))</f>
        <v/>
      </c>
      <c r="R107" s="73"/>
      <c r="S107" s="73"/>
      <c r="T107" s="25" t="str">
        <f aca="false">IF(Tasks[[#This Row],[Task Name]]="","",IF(Tasks[[#This Row],[_IsSummary]],MIN(INDEX(Tasks[_LeafFcstStart],Tasks[[#This Row],[_Row]]+1):INDEX(Tasks[_LeafFcstStart],Tasks[[#This Row],[_Row]]+Tasks[[#This Row],[_Descendants]])),Tasks[[#This Row],[_LeafFcstStart]]))</f>
        <v/>
      </c>
      <c r="U107" s="25" t="str">
        <f aca="false">IF(Tasks[[#This Row],[Task Name]]="","",IF(Tasks[[#This Row],[_IsSummary]],MAX(INDEX(Tasks[_LeafFcstFinish],Tasks[[#This Row],[_Row]]+1):INDEX(Tasks[_LeafFcstFinish],Tasks[[#This Row],[_Row]]+Tasks[[#This Row],[_Descendants]])),Tasks[[#This Row],[_LeafFcstFinish]]))</f>
        <v/>
      </c>
      <c r="V10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0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7" s="25" t="str">
        <f aca="false">IF(Tasks[[#This Row],[Task Name]]="","",IF(Tasks[[#This Row],[_IsSummary]],MIN(INDEX(Tasks[_LeafLateStart],Tasks[[#This Row],[_Row]]+1):INDEX(Tasks[_LeafLateStart],Tasks[[#This Row],[_Row]]+Tasks[[#This Row],[_Descendants]])),Tasks[[#This Row],[_LeafLateStart]]))</f>
        <v/>
      </c>
      <c r="Y107" s="25" t="str">
        <f aca="false">IF(Tasks[[#This Row],[Task Name]]="","",IF(Tasks[[#This Row],[_IsSummary]],MAX(INDEX(Tasks[_LeafLateFinish],Tasks[[#This Row],[_Row]]+1):INDEX(Tasks[_LeafLateFinish],Tasks[[#This Row],[_Row]]+Tasks[[#This Row],[_Descendants]])),Tasks[[#This Row],[_LeafLateFinish]]))</f>
        <v/>
      </c>
      <c r="Z107" s="43" t="str">
        <f aca="false">IF(Tasks[[#This Row],[Task Name]]="","",IF(Tasks[[#This Row],[_IsSummary]],MIN(INDEX(Tasks[_LeafTotalSlack],Tasks[[#This Row],[_Row]]+1):INDEX(Tasks[_LeafTotalSlack],Tasks[[#This Row],[_Row]]+Tasks[[#This Row],[_Descendants]])),Tasks[[#This Row],[_LeafTotalSlack]]))</f>
        <v/>
      </c>
      <c r="AA10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7" s="28" t="str">
        <f aca="false">IF(Tasks[[#This Row],[Task Name]]="","",IF(IF(Tasks[[#This Row],[_IsSummary]],COUNTIF(INDEX(Tasks[_LeafCritical],Tasks[[#This Row],[_Row]]+1):INDEX(Tasks[_LeafCritical],Tasks[[#This Row],[_Row]]+Tasks[[#This Row],[_Descendants]]),TRUE())&gt;0,Tasks[[#This Row],[_LeafCritical]]),"Yes",""))</f>
        <v/>
      </c>
      <c r="AC10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7" s="24" t="str">
        <f aca="false">IF(Tasks[[#This Row],[Task Name]]="","",TRIM(IF(Tasks[[#This Row],[_Pred1Problem]]&lt;&gt;"","Pred 1: "&amp;Tasks[[#This Row],[_Pred1Problem]]&amp;". ","")&amp;IF(Tasks[[#This Row],[_Pred2Problem]]&lt;&gt;"","Pred 2: "&amp;Tasks[[#This Row],[_Pred2Problem]]&amp;".","")))</f>
        <v/>
      </c>
      <c r="AE107" s="88"/>
      <c r="AF107"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7" s="28" t="str">
        <f aca="false">IF(Tasks[[#This Row],[Task Name]]="","",IF(Tasks[[#This Row],[Progress]]&gt;=1,"Complete",IF(OR(N(Tasks[[#This Row],[Actual Start]])&gt;0,Tasks[[#This Row],[Progress]]&gt;0),IF(Tasks[[#This Row],[Finish Var]]&gt;0,"Behind","In Progress"),IF(Tasks[[#This Row],[Planned Start]]&lt;StatusDate,"Late Start","Not Started"))))</f>
        <v/>
      </c>
      <c r="AH107" s="30"/>
      <c r="AI107" s="88"/>
      <c r="AJ107" s="95" t="str">
        <f aca="false">IF(Tasks[[#This Row],[Task Name]]="","",IF(Tasks[[#This Row],[_IsSummary]],SUM(INDEX(Tasks[_LeafWork],Tasks[[#This Row],[_Row]]+1):INDEX(Tasks[_LeafWork],Tasks[[#This Row],[_Row]]+Tasks[[#This Row],[_Descendants]])),Tasks[[#This Row],[_LeafWork]]))</f>
        <v/>
      </c>
      <c r="AK107" s="96" t="str">
        <f aca="false">IF(Tasks[[#This Row],[Task Name]]="","",IF(Tasks[[#This Row],[_IsSummary]],SUM(INDEX(Tasks[_LeafCost],Tasks[[#This Row],[_Row]]+1):INDEX(Tasks[_LeafCost],Tasks[[#This Row],[_Row]]+Tasks[[#This Row],[_Descendants]])),Tasks[[#This Row],[_LeafCost]]))</f>
        <v/>
      </c>
      <c r="AL107" s="97"/>
      <c r="AM107" s="29"/>
      <c r="AN10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07" s="82"/>
      <c r="AP107" s="24" t="str">
        <f aca="false">IF(Tasks[[#This Row],[Task Name]]="","",Tasks[[#This Row],[_Pred1IDText]]&amp;IF(AND(Tasks[[#This Row],[_Pred1IDText]]&lt;&gt;"",Tasks[[#This Row],[_Pred2IDText]]&lt;&gt;""),",","")&amp;Tasks[[#This Row],[_Pred2IDText]])</f>
        <v/>
      </c>
      <c r="AQ107" s="30"/>
      <c r="AR107" s="25" t="str">
        <f aca="false">IF(Tasks[[#This Row],[Task Name]]="","",Tasks[[#This Row],[Forecast Start]])</f>
        <v/>
      </c>
      <c r="AS107" s="25" t="str">
        <f aca="false">IF(Tasks[[#This Row],[Task Name]]="","",Tasks[[#This Row],[Forecast Finish]])</f>
        <v/>
      </c>
      <c r="AT107" s="28" t="str">
        <f aca="false">IF(Tasks[[#This Row],[Task Name]]="","",IF(Tasks[[#This Row],[_IsSummary]],NETWORKDAYS.INTL(Tasks[[#This Row],[Forecast Start]],Tasks[[#This Row],[Forecast Finish]],WorkWeek,Holidays),N(Tasks[[#This Row],[Duration]])))</f>
        <v/>
      </c>
      <c r="AU107" s="95" t="str">
        <f aca="false">IF(Tasks[[#This Row],[Task Name]]="","",Tasks[[#This Row],[Work]])</f>
        <v/>
      </c>
      <c r="AV107" s="96" t="str">
        <f aca="false">IF(Tasks[[#This Row],[Task Name]]="","",Tasks[[#This Row],[Cost]])</f>
        <v/>
      </c>
      <c r="AW107" s="73"/>
      <c r="AX107" s="73"/>
      <c r="AY107" s="29"/>
      <c r="AZ107" s="98"/>
      <c r="BA107" s="97"/>
      <c r="BB107" s="28" t="str">
        <f aca="false">IF(OR(Tasks[[#This Row],[Task Name]]="",Tasks[[#This Row],[Baseline Duration]]=""),"",Tasks[[#This Row],[BL Source Duration]]-N(Tasks[[#This Row],[Baseline Duration]]))</f>
        <v/>
      </c>
      <c r="BC107" s="95" t="str">
        <f aca="false">IF(OR(Tasks[[#This Row],[Task Name]]="",Tasks[[#This Row],[Baseline Work]]=""),"",Tasks[[#This Row],[Work]]-N(Tasks[[#This Row],[Baseline Work]]))</f>
        <v/>
      </c>
      <c r="BD107" s="96" t="str">
        <f aca="false">IF(OR(Tasks[[#This Row],[Task Name]]="",Tasks[[#This Row],[Baseline Cost]]=""),"",Tasks[[#This Row],[Cost]]-N(Tasks[[#This Row],[Baseline Cost]]))</f>
        <v/>
      </c>
      <c r="BE107" s="96" t="str">
        <f aca="false">IF(Tasks[[#This Row],[Task Name]]="","",IF(Tasks[[#This Row],[_IsSummary]],SUM(INDEX(Tasks[_LeafBudget],Tasks[[#This Row],[_Row]]+1):INDEX(Tasks[_LeafBudget],Tasks[[#This Row],[_Row]]+Tasks[[#This Row],[_Descendants]])),Tasks[[#This Row],[_LeafBudget]]))</f>
        <v/>
      </c>
      <c r="BF107" s="96" t="str">
        <f aca="false">IF(Tasks[[#This Row],[Task Name]]="","",IF(Tasks[[#This Row],[_IsSummary]],SUM(INDEX(Tasks[_LeafPV],Tasks[[#This Row],[_Row]]+1):INDEX(Tasks[_LeafPV],Tasks[[#This Row],[_Row]]+Tasks[[#This Row],[_Descendants]])),Tasks[[#This Row],[_LeafPV]]))</f>
        <v/>
      </c>
      <c r="BG107" s="96" t="str">
        <f aca="false">IF(Tasks[[#This Row],[Task Name]]="","",IF(Tasks[[#This Row],[_IsSummary]],SUM(INDEX(Tasks[_LeafEV],Tasks[[#This Row],[_Row]]+1):INDEX(Tasks[_LeafEV],Tasks[[#This Row],[_Row]]+Tasks[[#This Row],[_Descendants]])),Tasks[[#This Row],[_LeafEV]]))</f>
        <v/>
      </c>
      <c r="BH107" s="96" t="str">
        <f aca="false">IF(Tasks[[#This Row],[Task Name]]="","",IF(Tasks[[#This Row],[_IsSummary]],SUM(INDEX(Tasks[_LeafAC],Tasks[[#This Row],[_Row]]+1):INDEX(Tasks[_LeafAC],Tasks[[#This Row],[_Row]]+Tasks[[#This Row],[_Descendants]])),Tasks[[#This Row],[_LeafAC]]))</f>
        <v/>
      </c>
      <c r="BI107" s="41" t="str">
        <f aca="false">IF(Tasks[[#This Row],[Task Name]]="","",MAX(1,N(Tasks[[#This Row],[Level]])))</f>
        <v/>
      </c>
      <c r="BJ107" s="41" t="n">
        <f aca="false">ROW()-ROW(Tasks[[#Headers],[ID]])</f>
        <v>102</v>
      </c>
      <c r="BK107" s="41" t="n">
        <f aca="false">IF(OR(Tasks[[#This Row],[Task Name]]="",Tasks[[#This Row],[_Level]]&lt;=1),0,IFERROR(LOOKUP(2,1/(Tasks[[#Headers],[_Level]]:Tasks[[#This Row],[_Level]]=Tasks[[#This Row],[_Level]]-1),ROW(Tasks[[#Headers],[_Level]]:Tasks[[#This Row],[_Level]])),0))</f>
        <v>0</v>
      </c>
      <c r="BL107" s="41" t="n">
        <f aca="false">IFERROR(N(INDEX(Tasks[_Level],Tasks[[#This Row],[_Row]]+1)),0)</f>
        <v>0</v>
      </c>
      <c r="BM107" s="99" t="b">
        <f aca="false">AND(Tasks[[#This Row],[Task Name]]&lt;&gt;"",Tasks[[#This Row],[_NextLevel]]&gt;Tasks[[#This Row],[_Level]])</f>
        <v>0</v>
      </c>
      <c r="BN107" s="41" t="n">
        <f aca="false">IF(Tasks[[#This Row],[_IsSummary]],COUNTIF(Tasks[WBS],Tasks[[#This Row],[WBS]]&amp;".*"),0)</f>
        <v>0</v>
      </c>
      <c r="BO107" s="41" t="n">
        <f aca="false">IF(AND(Tasks[[#This Row],[Task Name]]&lt;&gt;"",NOT(Tasks[[#This Row],[_IsSummary]])),1,0)</f>
        <v>0</v>
      </c>
      <c r="BP107" s="41" t="n">
        <f aca="false">IF(N(Tasks[[#This Row],[Pred1 UID]])=0,0,IFERROR(MATCH(Tasks[[#This Row],[Pred1 UID]],Tasks[UID],0),-1))</f>
        <v>0</v>
      </c>
      <c r="BQ107" s="41" t="n">
        <f aca="false">IF(N(Tasks[[#This Row],[Pred2 UID]])=0,0,IFERROR(MATCH(Tasks[[#This Row],[Pred2 UID]],Tasks[UID],0),-1))</f>
        <v>0</v>
      </c>
      <c r="BR107"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07" s="100" t="str">
        <f aca="false">IF(NOT(Tasks[[#This Row],[_IsLeaf]]=1),"",IF(N(Tasks[[#This Row],[Duration]])&lt;=0,Tasks[[#This Row],[_LeafCalcStart]],WORKDAY.INTL(Tasks[[#This Row],[_LeafCalcStart]],Tasks[[#This Row],[Duration]]-1,WorkWeek,Holidays)))</f>
        <v/>
      </c>
      <c r="BT107"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07"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07" s="41" t="n">
        <f aca="false">IF(NOT(Tasks[[#This Row],[_IsLeaf]]=1),0,IF(N(Tasks[[#This Row],[Actual Finish]])&gt;0,1,MIN(1,N(Tasks[[#This Row],[% Complete]]))))</f>
        <v>0</v>
      </c>
      <c r="BW107" s="41" t="n">
        <f aca="false">IF(OR(NOT(Tasks[[#This Row],[_IsLeaf]]=1),Tasks[[#This Row],[Resource]]=""),0,N(Tasks[[#This Row],[Duration]])*HoursPerDay*IF(Tasks[[#This Row],[Units]]="",DefaultUnits,Tasks[[#This Row],[Units]]))</f>
        <v>0</v>
      </c>
      <c r="BX107" s="41" t="n">
        <f aca="false">IF(Tasks[[#This Row],[_LeafWork]]=0,0,Tasks[[#This Row],[_LeafWork]]*IFERROR(INDEX(res_Rate,MATCH(Tasks[[#This Row],[Resource]],res_Name,0)),0))</f>
        <v>0</v>
      </c>
      <c r="BY10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0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0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0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07" s="41" t="n">
        <f aca="false">IF(NOT(Tasks[[#This Row],[_IsLeaf]]=1),0,MAX(_xlfn.MAXIFS(Tasks[_Row],Tasks[Pred1 UID],Tasks[[#This Row],[UID]]),_xlfn.MAXIFS(Tasks[_Row],Tasks[Pred2 UID],Tasks[[#This Row],[UID]])))</f>
        <v>0</v>
      </c>
      <c r="CD107"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07" s="100" t="str">
        <f aca="false">IF(NOT(Tasks[[#This Row],[_IsLeaf]]=1),"",MIN(ProjectFinish,IF(N(Tasks[[#This Row],[Deadline]])&gt;0,Tasks[[#This Row],[Deadline]],2958465),Tasks[[#This Row],[_SuccessorFinishLimit]]))</f>
        <v/>
      </c>
      <c r="CF107" s="100" t="str">
        <f aca="false">IF(NOT(Tasks[[#This Row],[_IsLeaf]]=1),"",IF(N(Tasks[[#This Row],[Duration]])&lt;=0,Tasks[[#This Row],[_LeafLateFinish]],WORKDAY.INTL(Tasks[[#This Row],[_LeafLateFinish]],-(Tasks[[#This Row],[Duration]]-1),WorkWeek,Holidays)))</f>
        <v/>
      </c>
      <c r="CG10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07" s="99" t="b">
        <f aca="false">AND(Tasks[[#This Row],[_IsLeaf]]=1,Tasks[[#This Row],[_LeafProgress]]&lt;1,N(Tasks[[#This Row],[_LeafTotalSlack]])&lt;=CriticalSlackDays)</f>
        <v>0</v>
      </c>
      <c r="CI107" s="100" t="str">
        <f aca="false">IF(Tasks[[#This Row],[Task Name]]="","",IF(Tasks[[#This Row],[_IsSummary]],MIN(INDEX(Tasks[_LeafCalcStart],Tasks[[#This Row],[_Row]]+1):INDEX(Tasks[_LeafCalcStart],Tasks[[#This Row],[_Row]]+Tasks[[#This Row],[_Descendants]])),Tasks[[#This Row],[_LeafCalcStart]]))</f>
        <v/>
      </c>
      <c r="CJ107" s="100" t="str">
        <f aca="false">IF(Tasks[[#This Row],[Task Name]]="","",IF(Tasks[[#This Row],[_IsSummary]],MAX(INDEX(Tasks[_LeafCalcFinish],Tasks[[#This Row],[_Row]]+1):INDEX(Tasks[_LeafCalcFinish],Tasks[[#This Row],[_Row]]+Tasks[[#This Row],[_Descendants]])),Tasks[[#This Row],[_LeafCalcFinish]]))</f>
        <v/>
      </c>
      <c r="CK10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0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07"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07"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07"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07"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07" s="41" t="n">
        <f aca="false">IF(AND(Tasks[[#This Row],[_IsLeaf]]=1,Tasks[[#This Row],[_LeafWork]]&gt;0),NETWORKDAYS.INTL(ProjectStart,Tasks[[#This Row],[_LeafFcstStart]],WorkWeek,Holidays),0)</f>
        <v>0</v>
      </c>
      <c r="CR107" s="41" t="n">
        <f aca="false">IF(AND(Tasks[[#This Row],[_IsLeaf]]=1,Tasks[[#This Row],[_LeafWork]]&gt;0),MAX(Tasks[[#This Row],[_StartWorkday]],NETWORKDAYS.INTL(ProjectStart,Tasks[[#This Row],[_LeafFcstFinish]],WorkWeek,Holidays)),0)</f>
        <v>0</v>
      </c>
      <c r="CS107" s="41" t="n">
        <f aca="false">IF(AND(Tasks[[#This Row],[_IsLeaf]]=1,Tasks[[#This Row],[_LeafWork]]&gt;0),Tasks[[#This Row],[_LeafWork]]/(Tasks[[#This Row],[_FinishWorkday]]-Tasks[[#This Row],[_StartWorkday]]+1),0)</f>
        <v>0</v>
      </c>
      <c r="CT107" s="41" t="n">
        <f aca="false">Tasks[[#This Row],[_WorkPerWorkday]]*(Tasks[[#This Row],[_StartWorkday]]-1)</f>
        <v>-0</v>
      </c>
      <c r="CU107" s="41" t="n">
        <f aca="false">IF(Tasks[[#This Row],[_IsLeaf]]=1,MAX(N(Tasks[[#This Row],[Duration]]),0.1),0)</f>
        <v>0</v>
      </c>
      <c r="CV107" s="41" t="n">
        <f aca="false">Tasks[[#This Row],[_WeightDur]]*Tasks[[#This Row],[_LeafProgress]]</f>
        <v>0</v>
      </c>
      <c r="CW10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0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0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0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07" s="41" t="str">
        <f aca="false">IF(Tasks[[#This Row],[Task Name]]="","",Tasks[[#This Row],[_Pred1UIDText]]&amp;IF(AND(Tasks[[#This Row],[_Pred1UIDText]]&lt;&gt;"",Tasks[[#This Row],[_Pred2UIDText]]&lt;&gt;""),",","")&amp;Tasks[[#This Row],[_Pred2UIDText]])</f>
        <v/>
      </c>
      <c r="DB107" s="41" t="str">
        <f aca="false">IF(AND(Tasks[[#This Row],[_IsLeaf]]=1,N(Tasks[[#This Row],[Duration]])=0,Tasks[[#This Row],[_LeafProgress]]&lt;1),Tasks[[#This Row],[_LeafFcstFinish]]+Tasks[[#This Row],[_Row]]/100000,"")</f>
        <v/>
      </c>
      <c r="DC10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07" s="41" t="n">
        <f aca="false">IF(NOT(Tasks[[#This Row],[_IsLeaf]]=1),0,IF(Tasks[[#This Row],[Baseline Cost]]="",Tasks[[#This Row],[_LeafCost]],N(Tasks[[#This Row],[Baseline Cost]])))</f>
        <v>0</v>
      </c>
      <c r="DE107" s="41" t="n">
        <f aca="false">Tasks[[#This Row],[_LeafBudget]]*Tasks[[#This Row],[_PlannedPct]]</f>
        <v>0</v>
      </c>
      <c r="DF107" s="41" t="n">
        <f aca="false">Tasks[[#This Row],[_LeafBudget]]*Tasks[[#This Row],[_LeafProgress]]</f>
        <v>0</v>
      </c>
      <c r="DG107" s="41" t="n">
        <f aca="false">IF(NOT(Tasks[[#This Row],[_IsLeaf]]=1),0,IF(Tasks[[#This Row],[Actual Cost]]="",Tasks[[#This Row],[_LeafCost]]*Tasks[[#This Row],[_LeafProgress]],N(Tasks[[#This Row],[Actual Cost]])))</f>
        <v>0</v>
      </c>
      <c r="DH107" s="41" t="str">
        <f aca="false">IF(Tasks[[#This Row],[Task Name]]="","",LEFT(Tasks[[#This Row],[WBS]],FIND(".",Tasks[[#This Row],[WBS]]&amp;".")-1))</f>
        <v/>
      </c>
      <c r="DI107" s="41" t="str">
        <f aca="false">IF(AND(Tasks[[#This Row],[Task Name]]&lt;&gt;"",Tasks[[#This Row],[_Level]]=1),Tasks[[#This Row],[_Row]],"")</f>
        <v/>
      </c>
      <c r="DJ107" s="41" t="str">
        <f aca="false">IF(AND(Tasks[[#This Row],[_IsLeaf]]=1,N(Tasks[[#This Row],[Duration]])=0),Tasks[[#This Row],[Planned Finish]]+Tasks[[#This Row],[_Row]]/100000,"")</f>
        <v/>
      </c>
      <c r="DK107" s="41" t="str">
        <f aca="false">IF(AND(Tasks[[#This Row],[_IsLeaf]]=1,Tasks[[#This Row],[_LeafProgress]]&lt;1,OR(N(Tasks[[#This Row],[Finish Var]])&gt;0,Tasks[[#This Row],[Status]]="Late Start")),MAX(0,Tasks[[#This Row],[Finish Var]])+1-Tasks[[#This Row],[_Row]]/1000000,"")</f>
        <v/>
      </c>
      <c r="DL107" s="41" t="str">
        <f aca="false">IF(AND(Tasks[[#This Row],[_IsLeaf]]=1,N(Tasks[[#This Row],[Actual Start]])=0,Tasks[[#This Row],[_LeafFcstStart]]&gt;=StatusDate,Tasks[[#This Row],[_LeafFcstStart]]&lt;=LookaheadEnd),Tasks[[#This Row],[_LeafFcstStart]]+Tasks[[#This Row],[_Row]]/100000,"")</f>
        <v/>
      </c>
      <c r="DM107" s="41" t="str">
        <f aca="false">IF(AND(Tasks[[#This Row],[_IsLeaf]]=1,Tasks[[#This Row],[_LeafProgress]]&lt;1,Tasks[[#This Row],[_LeafFcstFinish]]&gt;=StatusDate,Tasks[[#This Row],[_LeafFcstFinish]]&lt;=LookaheadEnd),Tasks[[#This Row],[_LeafFcstFinish]]+Tasks[[#This Row],[_Row]]/100000,"")</f>
        <v/>
      </c>
      <c r="DN107" s="41" t="str">
        <f aca="false">IF(Tasks[[#This Row],[_LeafCritical]],Tasks[[#This Row],[_LeafFcstStart]]+Tasks[[#This Row],[_Row]]/100000,"")</f>
        <v/>
      </c>
      <c r="DO107" s="41" t="n">
        <f aca="false">Tasks[[#This Row],[_LeafWork]]*Tasks[[#This Row],[_LeafProgress]]</f>
        <v>0</v>
      </c>
      <c r="DP107" s="100" t="str">
        <f aca="false">IF(AND(Tasks[[#This Row],[_IsLeaf]]=1,Tasks[[#This Row],[_LeafProgress]]&gt;=1),IF(N(Tasks[[#This Row],[Actual Finish]])&gt;0,Tasks[[#This Row],[Actual Finish]],Tasks[[#This Row],[_LeafFcstFinish]]),"")</f>
        <v/>
      </c>
      <c r="DQ107" s="41" t="n">
        <f aca="false">IF(Tasks[[#This Row],[_IsLeaf]]=1,N(Tasks[[#This Row],[Story Points]]),0)</f>
        <v>0</v>
      </c>
      <c r="DR107" s="41" t="str">
        <f aca="false">IF(AND(Tasks[[#This Row],[_IsLeaf]]=1,CurrentSprint&lt;&gt;"",Tasks[[#This Row],[Sprint]]=CurrentSprint),Tasks[[#This Row],[_Row]],"")</f>
        <v/>
      </c>
    </row>
    <row r="108" customFormat="false" ht="15" hidden="false" customHeight="false" outlineLevel="0" collapsed="false">
      <c r="A108" s="28" t="str">
        <f aca="false">IF(Tasks[[#This Row],[Task Name]]="","",COUNTA(Tasks[[#Headers],[Task Name]]:Tasks[[#This Row],[Task Name]])-1)</f>
        <v/>
      </c>
      <c r="B108" s="29" t="n">
        <v>103</v>
      </c>
      <c r="C10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8" s="29"/>
      <c r="E108" s="30"/>
      <c r="F108" s="29"/>
      <c r="G108" s="29"/>
      <c r="H108" s="29"/>
      <c r="I108" s="29"/>
      <c r="J108" s="29"/>
      <c r="K108" s="29"/>
      <c r="L108" s="29"/>
      <c r="M108" s="29"/>
      <c r="N108" s="73"/>
      <c r="O108" s="73"/>
      <c r="P108" s="25" t="str">
        <f aca="false">IF(Tasks[[#This Row],[Task Name]]="","",IF(N(Tasks[[#This Row],[Baseline Start]])&gt;0,Tasks[[#This Row],[Baseline Start]],Tasks[[#This Row],[_CalcStart]]))</f>
        <v/>
      </c>
      <c r="Q108" s="25" t="str">
        <f aca="false">IF(Tasks[[#This Row],[Task Name]]="","",IF(N(Tasks[[#This Row],[Baseline Finish]])&gt;0,Tasks[[#This Row],[Baseline Finish]],Tasks[[#This Row],[_CalcFinish]]))</f>
        <v/>
      </c>
      <c r="R108" s="73"/>
      <c r="S108" s="73"/>
      <c r="T108" s="25" t="str">
        <f aca="false">IF(Tasks[[#This Row],[Task Name]]="","",IF(Tasks[[#This Row],[_IsSummary]],MIN(INDEX(Tasks[_LeafFcstStart],Tasks[[#This Row],[_Row]]+1):INDEX(Tasks[_LeafFcstStart],Tasks[[#This Row],[_Row]]+Tasks[[#This Row],[_Descendants]])),Tasks[[#This Row],[_LeafFcstStart]]))</f>
        <v/>
      </c>
      <c r="U108" s="25" t="str">
        <f aca="false">IF(Tasks[[#This Row],[Task Name]]="","",IF(Tasks[[#This Row],[_IsSummary]],MAX(INDEX(Tasks[_LeafFcstFinish],Tasks[[#This Row],[_Row]]+1):INDEX(Tasks[_LeafFcstFinish],Tasks[[#This Row],[_Row]]+Tasks[[#This Row],[_Descendants]])),Tasks[[#This Row],[_LeafFcstFinish]]))</f>
        <v/>
      </c>
      <c r="V10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0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8" s="25" t="str">
        <f aca="false">IF(Tasks[[#This Row],[Task Name]]="","",IF(Tasks[[#This Row],[_IsSummary]],MIN(INDEX(Tasks[_LeafLateStart],Tasks[[#This Row],[_Row]]+1):INDEX(Tasks[_LeafLateStart],Tasks[[#This Row],[_Row]]+Tasks[[#This Row],[_Descendants]])),Tasks[[#This Row],[_LeafLateStart]]))</f>
        <v/>
      </c>
      <c r="Y108" s="25" t="str">
        <f aca="false">IF(Tasks[[#This Row],[Task Name]]="","",IF(Tasks[[#This Row],[_IsSummary]],MAX(INDEX(Tasks[_LeafLateFinish],Tasks[[#This Row],[_Row]]+1):INDEX(Tasks[_LeafLateFinish],Tasks[[#This Row],[_Row]]+Tasks[[#This Row],[_Descendants]])),Tasks[[#This Row],[_LeafLateFinish]]))</f>
        <v/>
      </c>
      <c r="Z108" s="43" t="str">
        <f aca="false">IF(Tasks[[#This Row],[Task Name]]="","",IF(Tasks[[#This Row],[_IsSummary]],MIN(INDEX(Tasks[_LeafTotalSlack],Tasks[[#This Row],[_Row]]+1):INDEX(Tasks[_LeafTotalSlack],Tasks[[#This Row],[_Row]]+Tasks[[#This Row],[_Descendants]])),Tasks[[#This Row],[_LeafTotalSlack]]))</f>
        <v/>
      </c>
      <c r="AA10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8" s="28" t="str">
        <f aca="false">IF(Tasks[[#This Row],[Task Name]]="","",IF(IF(Tasks[[#This Row],[_IsSummary]],COUNTIF(INDEX(Tasks[_LeafCritical],Tasks[[#This Row],[_Row]]+1):INDEX(Tasks[_LeafCritical],Tasks[[#This Row],[_Row]]+Tasks[[#This Row],[_Descendants]]),TRUE())&gt;0,Tasks[[#This Row],[_LeafCritical]]),"Yes",""))</f>
        <v/>
      </c>
      <c r="AC10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8" s="24" t="str">
        <f aca="false">IF(Tasks[[#This Row],[Task Name]]="","",TRIM(IF(Tasks[[#This Row],[_Pred1Problem]]&lt;&gt;"","Pred 1: "&amp;Tasks[[#This Row],[_Pred1Problem]]&amp;". ","")&amp;IF(Tasks[[#This Row],[_Pred2Problem]]&lt;&gt;"","Pred 2: "&amp;Tasks[[#This Row],[_Pred2Problem]]&amp;".","")))</f>
        <v/>
      </c>
      <c r="AE108" s="88"/>
      <c r="AF108"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8" s="28" t="str">
        <f aca="false">IF(Tasks[[#This Row],[Task Name]]="","",IF(Tasks[[#This Row],[Progress]]&gt;=1,"Complete",IF(OR(N(Tasks[[#This Row],[Actual Start]])&gt;0,Tasks[[#This Row],[Progress]]&gt;0),IF(Tasks[[#This Row],[Finish Var]]&gt;0,"Behind","In Progress"),IF(Tasks[[#This Row],[Planned Start]]&lt;StatusDate,"Late Start","Not Started"))))</f>
        <v/>
      </c>
      <c r="AH108" s="30"/>
      <c r="AI108" s="88"/>
      <c r="AJ108" s="95" t="str">
        <f aca="false">IF(Tasks[[#This Row],[Task Name]]="","",IF(Tasks[[#This Row],[_IsSummary]],SUM(INDEX(Tasks[_LeafWork],Tasks[[#This Row],[_Row]]+1):INDEX(Tasks[_LeafWork],Tasks[[#This Row],[_Row]]+Tasks[[#This Row],[_Descendants]])),Tasks[[#This Row],[_LeafWork]]))</f>
        <v/>
      </c>
      <c r="AK108" s="96" t="str">
        <f aca="false">IF(Tasks[[#This Row],[Task Name]]="","",IF(Tasks[[#This Row],[_IsSummary]],SUM(INDEX(Tasks[_LeafCost],Tasks[[#This Row],[_Row]]+1):INDEX(Tasks[_LeafCost],Tasks[[#This Row],[_Row]]+Tasks[[#This Row],[_Descendants]])),Tasks[[#This Row],[_LeafCost]]))</f>
        <v/>
      </c>
      <c r="AL108" s="97"/>
      <c r="AM108" s="29"/>
      <c r="AN10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08" s="82"/>
      <c r="AP108" s="24" t="str">
        <f aca="false">IF(Tasks[[#This Row],[Task Name]]="","",Tasks[[#This Row],[_Pred1IDText]]&amp;IF(AND(Tasks[[#This Row],[_Pred1IDText]]&lt;&gt;"",Tasks[[#This Row],[_Pred2IDText]]&lt;&gt;""),",","")&amp;Tasks[[#This Row],[_Pred2IDText]])</f>
        <v/>
      </c>
      <c r="AQ108" s="30"/>
      <c r="AR108" s="25" t="str">
        <f aca="false">IF(Tasks[[#This Row],[Task Name]]="","",Tasks[[#This Row],[Forecast Start]])</f>
        <v/>
      </c>
      <c r="AS108" s="25" t="str">
        <f aca="false">IF(Tasks[[#This Row],[Task Name]]="","",Tasks[[#This Row],[Forecast Finish]])</f>
        <v/>
      </c>
      <c r="AT108" s="28" t="str">
        <f aca="false">IF(Tasks[[#This Row],[Task Name]]="","",IF(Tasks[[#This Row],[_IsSummary]],NETWORKDAYS.INTL(Tasks[[#This Row],[Forecast Start]],Tasks[[#This Row],[Forecast Finish]],WorkWeek,Holidays),N(Tasks[[#This Row],[Duration]])))</f>
        <v/>
      </c>
      <c r="AU108" s="95" t="str">
        <f aca="false">IF(Tasks[[#This Row],[Task Name]]="","",Tasks[[#This Row],[Work]])</f>
        <v/>
      </c>
      <c r="AV108" s="96" t="str">
        <f aca="false">IF(Tasks[[#This Row],[Task Name]]="","",Tasks[[#This Row],[Cost]])</f>
        <v/>
      </c>
      <c r="AW108" s="73"/>
      <c r="AX108" s="73"/>
      <c r="AY108" s="29"/>
      <c r="AZ108" s="98"/>
      <c r="BA108" s="97"/>
      <c r="BB108" s="28" t="str">
        <f aca="false">IF(OR(Tasks[[#This Row],[Task Name]]="",Tasks[[#This Row],[Baseline Duration]]=""),"",Tasks[[#This Row],[BL Source Duration]]-N(Tasks[[#This Row],[Baseline Duration]]))</f>
        <v/>
      </c>
      <c r="BC108" s="95" t="str">
        <f aca="false">IF(OR(Tasks[[#This Row],[Task Name]]="",Tasks[[#This Row],[Baseline Work]]=""),"",Tasks[[#This Row],[Work]]-N(Tasks[[#This Row],[Baseline Work]]))</f>
        <v/>
      </c>
      <c r="BD108" s="96" t="str">
        <f aca="false">IF(OR(Tasks[[#This Row],[Task Name]]="",Tasks[[#This Row],[Baseline Cost]]=""),"",Tasks[[#This Row],[Cost]]-N(Tasks[[#This Row],[Baseline Cost]]))</f>
        <v/>
      </c>
      <c r="BE108" s="96" t="str">
        <f aca="false">IF(Tasks[[#This Row],[Task Name]]="","",IF(Tasks[[#This Row],[_IsSummary]],SUM(INDEX(Tasks[_LeafBudget],Tasks[[#This Row],[_Row]]+1):INDEX(Tasks[_LeafBudget],Tasks[[#This Row],[_Row]]+Tasks[[#This Row],[_Descendants]])),Tasks[[#This Row],[_LeafBudget]]))</f>
        <v/>
      </c>
      <c r="BF108" s="96" t="str">
        <f aca="false">IF(Tasks[[#This Row],[Task Name]]="","",IF(Tasks[[#This Row],[_IsSummary]],SUM(INDEX(Tasks[_LeafPV],Tasks[[#This Row],[_Row]]+1):INDEX(Tasks[_LeafPV],Tasks[[#This Row],[_Row]]+Tasks[[#This Row],[_Descendants]])),Tasks[[#This Row],[_LeafPV]]))</f>
        <v/>
      </c>
      <c r="BG108" s="96" t="str">
        <f aca="false">IF(Tasks[[#This Row],[Task Name]]="","",IF(Tasks[[#This Row],[_IsSummary]],SUM(INDEX(Tasks[_LeafEV],Tasks[[#This Row],[_Row]]+1):INDEX(Tasks[_LeafEV],Tasks[[#This Row],[_Row]]+Tasks[[#This Row],[_Descendants]])),Tasks[[#This Row],[_LeafEV]]))</f>
        <v/>
      </c>
      <c r="BH108" s="96" t="str">
        <f aca="false">IF(Tasks[[#This Row],[Task Name]]="","",IF(Tasks[[#This Row],[_IsSummary]],SUM(INDEX(Tasks[_LeafAC],Tasks[[#This Row],[_Row]]+1):INDEX(Tasks[_LeafAC],Tasks[[#This Row],[_Row]]+Tasks[[#This Row],[_Descendants]])),Tasks[[#This Row],[_LeafAC]]))</f>
        <v/>
      </c>
      <c r="BI108" s="41" t="str">
        <f aca="false">IF(Tasks[[#This Row],[Task Name]]="","",MAX(1,N(Tasks[[#This Row],[Level]])))</f>
        <v/>
      </c>
      <c r="BJ108" s="41" t="n">
        <f aca="false">ROW()-ROW(Tasks[[#Headers],[ID]])</f>
        <v>103</v>
      </c>
      <c r="BK108" s="41" t="n">
        <f aca="false">IF(OR(Tasks[[#This Row],[Task Name]]="",Tasks[[#This Row],[_Level]]&lt;=1),0,IFERROR(LOOKUP(2,1/(Tasks[[#Headers],[_Level]]:Tasks[[#This Row],[_Level]]=Tasks[[#This Row],[_Level]]-1),ROW(Tasks[[#Headers],[_Level]]:Tasks[[#This Row],[_Level]])),0))</f>
        <v>0</v>
      </c>
      <c r="BL108" s="41" t="n">
        <f aca="false">IFERROR(N(INDEX(Tasks[_Level],Tasks[[#This Row],[_Row]]+1)),0)</f>
        <v>0</v>
      </c>
      <c r="BM108" s="99" t="b">
        <f aca="false">AND(Tasks[[#This Row],[Task Name]]&lt;&gt;"",Tasks[[#This Row],[_NextLevel]]&gt;Tasks[[#This Row],[_Level]])</f>
        <v>0</v>
      </c>
      <c r="BN108" s="41" t="n">
        <f aca="false">IF(Tasks[[#This Row],[_IsSummary]],COUNTIF(Tasks[WBS],Tasks[[#This Row],[WBS]]&amp;".*"),0)</f>
        <v>0</v>
      </c>
      <c r="BO108" s="41" t="n">
        <f aca="false">IF(AND(Tasks[[#This Row],[Task Name]]&lt;&gt;"",NOT(Tasks[[#This Row],[_IsSummary]])),1,0)</f>
        <v>0</v>
      </c>
      <c r="BP108" s="41" t="n">
        <f aca="false">IF(N(Tasks[[#This Row],[Pred1 UID]])=0,0,IFERROR(MATCH(Tasks[[#This Row],[Pred1 UID]],Tasks[UID],0),-1))</f>
        <v>0</v>
      </c>
      <c r="BQ108" s="41" t="n">
        <f aca="false">IF(N(Tasks[[#This Row],[Pred2 UID]])=0,0,IFERROR(MATCH(Tasks[[#This Row],[Pred2 UID]],Tasks[UID],0),-1))</f>
        <v>0</v>
      </c>
      <c r="BR108"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08" s="100" t="str">
        <f aca="false">IF(NOT(Tasks[[#This Row],[_IsLeaf]]=1),"",IF(N(Tasks[[#This Row],[Duration]])&lt;=0,Tasks[[#This Row],[_LeafCalcStart]],WORKDAY.INTL(Tasks[[#This Row],[_LeafCalcStart]],Tasks[[#This Row],[Duration]]-1,WorkWeek,Holidays)))</f>
        <v/>
      </c>
      <c r="BT108"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08"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08" s="41" t="n">
        <f aca="false">IF(NOT(Tasks[[#This Row],[_IsLeaf]]=1),0,IF(N(Tasks[[#This Row],[Actual Finish]])&gt;0,1,MIN(1,N(Tasks[[#This Row],[% Complete]]))))</f>
        <v>0</v>
      </c>
      <c r="BW108" s="41" t="n">
        <f aca="false">IF(OR(NOT(Tasks[[#This Row],[_IsLeaf]]=1),Tasks[[#This Row],[Resource]]=""),0,N(Tasks[[#This Row],[Duration]])*HoursPerDay*IF(Tasks[[#This Row],[Units]]="",DefaultUnits,Tasks[[#This Row],[Units]]))</f>
        <v>0</v>
      </c>
      <c r="BX108" s="41" t="n">
        <f aca="false">IF(Tasks[[#This Row],[_LeafWork]]=0,0,Tasks[[#This Row],[_LeafWork]]*IFERROR(INDEX(res_Rate,MATCH(Tasks[[#This Row],[Resource]],res_Name,0)),0))</f>
        <v>0</v>
      </c>
      <c r="BY10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0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0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0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08" s="41" t="n">
        <f aca="false">IF(NOT(Tasks[[#This Row],[_IsLeaf]]=1),0,MAX(_xlfn.MAXIFS(Tasks[_Row],Tasks[Pred1 UID],Tasks[[#This Row],[UID]]),_xlfn.MAXIFS(Tasks[_Row],Tasks[Pred2 UID],Tasks[[#This Row],[UID]])))</f>
        <v>0</v>
      </c>
      <c r="CD108"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08" s="100" t="str">
        <f aca="false">IF(NOT(Tasks[[#This Row],[_IsLeaf]]=1),"",MIN(ProjectFinish,IF(N(Tasks[[#This Row],[Deadline]])&gt;0,Tasks[[#This Row],[Deadline]],2958465),Tasks[[#This Row],[_SuccessorFinishLimit]]))</f>
        <v/>
      </c>
      <c r="CF108" s="100" t="str">
        <f aca="false">IF(NOT(Tasks[[#This Row],[_IsLeaf]]=1),"",IF(N(Tasks[[#This Row],[Duration]])&lt;=0,Tasks[[#This Row],[_LeafLateFinish]],WORKDAY.INTL(Tasks[[#This Row],[_LeafLateFinish]],-(Tasks[[#This Row],[Duration]]-1),WorkWeek,Holidays)))</f>
        <v/>
      </c>
      <c r="CG10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08" s="99" t="b">
        <f aca="false">AND(Tasks[[#This Row],[_IsLeaf]]=1,Tasks[[#This Row],[_LeafProgress]]&lt;1,N(Tasks[[#This Row],[_LeafTotalSlack]])&lt;=CriticalSlackDays)</f>
        <v>0</v>
      </c>
      <c r="CI108" s="100" t="str">
        <f aca="false">IF(Tasks[[#This Row],[Task Name]]="","",IF(Tasks[[#This Row],[_IsSummary]],MIN(INDEX(Tasks[_LeafCalcStart],Tasks[[#This Row],[_Row]]+1):INDEX(Tasks[_LeafCalcStart],Tasks[[#This Row],[_Row]]+Tasks[[#This Row],[_Descendants]])),Tasks[[#This Row],[_LeafCalcStart]]))</f>
        <v/>
      </c>
      <c r="CJ108" s="100" t="str">
        <f aca="false">IF(Tasks[[#This Row],[Task Name]]="","",IF(Tasks[[#This Row],[_IsSummary]],MAX(INDEX(Tasks[_LeafCalcFinish],Tasks[[#This Row],[_Row]]+1):INDEX(Tasks[_LeafCalcFinish],Tasks[[#This Row],[_Row]]+Tasks[[#This Row],[_Descendants]])),Tasks[[#This Row],[_LeafCalcFinish]]))</f>
        <v/>
      </c>
      <c r="CK10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0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08"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08"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08"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08"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08" s="41" t="n">
        <f aca="false">IF(AND(Tasks[[#This Row],[_IsLeaf]]=1,Tasks[[#This Row],[_LeafWork]]&gt;0),NETWORKDAYS.INTL(ProjectStart,Tasks[[#This Row],[_LeafFcstStart]],WorkWeek,Holidays),0)</f>
        <v>0</v>
      </c>
      <c r="CR108" s="41" t="n">
        <f aca="false">IF(AND(Tasks[[#This Row],[_IsLeaf]]=1,Tasks[[#This Row],[_LeafWork]]&gt;0),MAX(Tasks[[#This Row],[_StartWorkday]],NETWORKDAYS.INTL(ProjectStart,Tasks[[#This Row],[_LeafFcstFinish]],WorkWeek,Holidays)),0)</f>
        <v>0</v>
      </c>
      <c r="CS108" s="41" t="n">
        <f aca="false">IF(AND(Tasks[[#This Row],[_IsLeaf]]=1,Tasks[[#This Row],[_LeafWork]]&gt;0),Tasks[[#This Row],[_LeafWork]]/(Tasks[[#This Row],[_FinishWorkday]]-Tasks[[#This Row],[_StartWorkday]]+1),0)</f>
        <v>0</v>
      </c>
      <c r="CT108" s="41" t="n">
        <f aca="false">Tasks[[#This Row],[_WorkPerWorkday]]*(Tasks[[#This Row],[_StartWorkday]]-1)</f>
        <v>-0</v>
      </c>
      <c r="CU108" s="41" t="n">
        <f aca="false">IF(Tasks[[#This Row],[_IsLeaf]]=1,MAX(N(Tasks[[#This Row],[Duration]]),0.1),0)</f>
        <v>0</v>
      </c>
      <c r="CV108" s="41" t="n">
        <f aca="false">Tasks[[#This Row],[_WeightDur]]*Tasks[[#This Row],[_LeafProgress]]</f>
        <v>0</v>
      </c>
      <c r="CW10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0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0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0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08" s="41" t="str">
        <f aca="false">IF(Tasks[[#This Row],[Task Name]]="","",Tasks[[#This Row],[_Pred1UIDText]]&amp;IF(AND(Tasks[[#This Row],[_Pred1UIDText]]&lt;&gt;"",Tasks[[#This Row],[_Pred2UIDText]]&lt;&gt;""),",","")&amp;Tasks[[#This Row],[_Pred2UIDText]])</f>
        <v/>
      </c>
      <c r="DB108" s="41" t="str">
        <f aca="false">IF(AND(Tasks[[#This Row],[_IsLeaf]]=1,N(Tasks[[#This Row],[Duration]])=0,Tasks[[#This Row],[_LeafProgress]]&lt;1),Tasks[[#This Row],[_LeafFcstFinish]]+Tasks[[#This Row],[_Row]]/100000,"")</f>
        <v/>
      </c>
      <c r="DC10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08" s="41" t="n">
        <f aca="false">IF(NOT(Tasks[[#This Row],[_IsLeaf]]=1),0,IF(Tasks[[#This Row],[Baseline Cost]]="",Tasks[[#This Row],[_LeafCost]],N(Tasks[[#This Row],[Baseline Cost]])))</f>
        <v>0</v>
      </c>
      <c r="DE108" s="41" t="n">
        <f aca="false">Tasks[[#This Row],[_LeafBudget]]*Tasks[[#This Row],[_PlannedPct]]</f>
        <v>0</v>
      </c>
      <c r="DF108" s="41" t="n">
        <f aca="false">Tasks[[#This Row],[_LeafBudget]]*Tasks[[#This Row],[_LeafProgress]]</f>
        <v>0</v>
      </c>
      <c r="DG108" s="41" t="n">
        <f aca="false">IF(NOT(Tasks[[#This Row],[_IsLeaf]]=1),0,IF(Tasks[[#This Row],[Actual Cost]]="",Tasks[[#This Row],[_LeafCost]]*Tasks[[#This Row],[_LeafProgress]],N(Tasks[[#This Row],[Actual Cost]])))</f>
        <v>0</v>
      </c>
      <c r="DH108" s="41" t="str">
        <f aca="false">IF(Tasks[[#This Row],[Task Name]]="","",LEFT(Tasks[[#This Row],[WBS]],FIND(".",Tasks[[#This Row],[WBS]]&amp;".")-1))</f>
        <v/>
      </c>
      <c r="DI108" s="41" t="str">
        <f aca="false">IF(AND(Tasks[[#This Row],[Task Name]]&lt;&gt;"",Tasks[[#This Row],[_Level]]=1),Tasks[[#This Row],[_Row]],"")</f>
        <v/>
      </c>
      <c r="DJ108" s="41" t="str">
        <f aca="false">IF(AND(Tasks[[#This Row],[_IsLeaf]]=1,N(Tasks[[#This Row],[Duration]])=0),Tasks[[#This Row],[Planned Finish]]+Tasks[[#This Row],[_Row]]/100000,"")</f>
        <v/>
      </c>
      <c r="DK108" s="41" t="str">
        <f aca="false">IF(AND(Tasks[[#This Row],[_IsLeaf]]=1,Tasks[[#This Row],[_LeafProgress]]&lt;1,OR(N(Tasks[[#This Row],[Finish Var]])&gt;0,Tasks[[#This Row],[Status]]="Late Start")),MAX(0,Tasks[[#This Row],[Finish Var]])+1-Tasks[[#This Row],[_Row]]/1000000,"")</f>
        <v/>
      </c>
      <c r="DL108" s="41" t="str">
        <f aca="false">IF(AND(Tasks[[#This Row],[_IsLeaf]]=1,N(Tasks[[#This Row],[Actual Start]])=0,Tasks[[#This Row],[_LeafFcstStart]]&gt;=StatusDate,Tasks[[#This Row],[_LeafFcstStart]]&lt;=LookaheadEnd),Tasks[[#This Row],[_LeafFcstStart]]+Tasks[[#This Row],[_Row]]/100000,"")</f>
        <v/>
      </c>
      <c r="DM108" s="41" t="str">
        <f aca="false">IF(AND(Tasks[[#This Row],[_IsLeaf]]=1,Tasks[[#This Row],[_LeafProgress]]&lt;1,Tasks[[#This Row],[_LeafFcstFinish]]&gt;=StatusDate,Tasks[[#This Row],[_LeafFcstFinish]]&lt;=LookaheadEnd),Tasks[[#This Row],[_LeafFcstFinish]]+Tasks[[#This Row],[_Row]]/100000,"")</f>
        <v/>
      </c>
      <c r="DN108" s="41" t="str">
        <f aca="false">IF(Tasks[[#This Row],[_LeafCritical]],Tasks[[#This Row],[_LeafFcstStart]]+Tasks[[#This Row],[_Row]]/100000,"")</f>
        <v/>
      </c>
      <c r="DO108" s="41" t="n">
        <f aca="false">Tasks[[#This Row],[_LeafWork]]*Tasks[[#This Row],[_LeafProgress]]</f>
        <v>0</v>
      </c>
      <c r="DP108" s="100" t="str">
        <f aca="false">IF(AND(Tasks[[#This Row],[_IsLeaf]]=1,Tasks[[#This Row],[_LeafProgress]]&gt;=1),IF(N(Tasks[[#This Row],[Actual Finish]])&gt;0,Tasks[[#This Row],[Actual Finish]],Tasks[[#This Row],[_LeafFcstFinish]]),"")</f>
        <v/>
      </c>
      <c r="DQ108" s="41" t="n">
        <f aca="false">IF(Tasks[[#This Row],[_IsLeaf]]=1,N(Tasks[[#This Row],[Story Points]]),0)</f>
        <v>0</v>
      </c>
      <c r="DR108" s="41" t="str">
        <f aca="false">IF(AND(Tasks[[#This Row],[_IsLeaf]]=1,CurrentSprint&lt;&gt;"",Tasks[[#This Row],[Sprint]]=CurrentSprint),Tasks[[#This Row],[_Row]],"")</f>
        <v/>
      </c>
    </row>
    <row r="109" customFormat="false" ht="15" hidden="false" customHeight="false" outlineLevel="0" collapsed="false">
      <c r="A109" s="28" t="str">
        <f aca="false">IF(Tasks[[#This Row],[Task Name]]="","",COUNTA(Tasks[[#Headers],[Task Name]]:Tasks[[#This Row],[Task Name]])-1)</f>
        <v/>
      </c>
      <c r="B109" s="29" t="n">
        <v>104</v>
      </c>
      <c r="C10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9" s="29"/>
      <c r="E109" s="30"/>
      <c r="F109" s="29"/>
      <c r="G109" s="29"/>
      <c r="H109" s="29"/>
      <c r="I109" s="29"/>
      <c r="J109" s="29"/>
      <c r="K109" s="29"/>
      <c r="L109" s="29"/>
      <c r="M109" s="29"/>
      <c r="N109" s="73"/>
      <c r="O109" s="73"/>
      <c r="P109" s="25" t="str">
        <f aca="false">IF(Tasks[[#This Row],[Task Name]]="","",IF(N(Tasks[[#This Row],[Baseline Start]])&gt;0,Tasks[[#This Row],[Baseline Start]],Tasks[[#This Row],[_CalcStart]]))</f>
        <v/>
      </c>
      <c r="Q109" s="25" t="str">
        <f aca="false">IF(Tasks[[#This Row],[Task Name]]="","",IF(N(Tasks[[#This Row],[Baseline Finish]])&gt;0,Tasks[[#This Row],[Baseline Finish]],Tasks[[#This Row],[_CalcFinish]]))</f>
        <v/>
      </c>
      <c r="R109" s="73"/>
      <c r="S109" s="73"/>
      <c r="T109" s="25" t="str">
        <f aca="false">IF(Tasks[[#This Row],[Task Name]]="","",IF(Tasks[[#This Row],[_IsSummary]],MIN(INDEX(Tasks[_LeafFcstStart],Tasks[[#This Row],[_Row]]+1):INDEX(Tasks[_LeafFcstStart],Tasks[[#This Row],[_Row]]+Tasks[[#This Row],[_Descendants]])),Tasks[[#This Row],[_LeafFcstStart]]))</f>
        <v/>
      </c>
      <c r="U109" s="25" t="str">
        <f aca="false">IF(Tasks[[#This Row],[Task Name]]="","",IF(Tasks[[#This Row],[_IsSummary]],MAX(INDEX(Tasks[_LeafFcstFinish],Tasks[[#This Row],[_Row]]+1):INDEX(Tasks[_LeafFcstFinish],Tasks[[#This Row],[_Row]]+Tasks[[#This Row],[_Descendants]])),Tasks[[#This Row],[_LeafFcstFinish]]))</f>
        <v/>
      </c>
      <c r="V10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0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9" s="25" t="str">
        <f aca="false">IF(Tasks[[#This Row],[Task Name]]="","",IF(Tasks[[#This Row],[_IsSummary]],MIN(INDEX(Tasks[_LeafLateStart],Tasks[[#This Row],[_Row]]+1):INDEX(Tasks[_LeafLateStart],Tasks[[#This Row],[_Row]]+Tasks[[#This Row],[_Descendants]])),Tasks[[#This Row],[_LeafLateStart]]))</f>
        <v/>
      </c>
      <c r="Y109" s="25" t="str">
        <f aca="false">IF(Tasks[[#This Row],[Task Name]]="","",IF(Tasks[[#This Row],[_IsSummary]],MAX(INDEX(Tasks[_LeafLateFinish],Tasks[[#This Row],[_Row]]+1):INDEX(Tasks[_LeafLateFinish],Tasks[[#This Row],[_Row]]+Tasks[[#This Row],[_Descendants]])),Tasks[[#This Row],[_LeafLateFinish]]))</f>
        <v/>
      </c>
      <c r="Z109" s="43" t="str">
        <f aca="false">IF(Tasks[[#This Row],[Task Name]]="","",IF(Tasks[[#This Row],[_IsSummary]],MIN(INDEX(Tasks[_LeafTotalSlack],Tasks[[#This Row],[_Row]]+1):INDEX(Tasks[_LeafTotalSlack],Tasks[[#This Row],[_Row]]+Tasks[[#This Row],[_Descendants]])),Tasks[[#This Row],[_LeafTotalSlack]]))</f>
        <v/>
      </c>
      <c r="AA10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9" s="28" t="str">
        <f aca="false">IF(Tasks[[#This Row],[Task Name]]="","",IF(IF(Tasks[[#This Row],[_IsSummary]],COUNTIF(INDEX(Tasks[_LeafCritical],Tasks[[#This Row],[_Row]]+1):INDEX(Tasks[_LeafCritical],Tasks[[#This Row],[_Row]]+Tasks[[#This Row],[_Descendants]]),TRUE())&gt;0,Tasks[[#This Row],[_LeafCritical]]),"Yes",""))</f>
        <v/>
      </c>
      <c r="AC10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9" s="24" t="str">
        <f aca="false">IF(Tasks[[#This Row],[Task Name]]="","",TRIM(IF(Tasks[[#This Row],[_Pred1Problem]]&lt;&gt;"","Pred 1: "&amp;Tasks[[#This Row],[_Pred1Problem]]&amp;". ","")&amp;IF(Tasks[[#This Row],[_Pred2Problem]]&lt;&gt;"","Pred 2: "&amp;Tasks[[#This Row],[_Pred2Problem]]&amp;".","")))</f>
        <v/>
      </c>
      <c r="AE109" s="88"/>
      <c r="AF109"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9" s="28" t="str">
        <f aca="false">IF(Tasks[[#This Row],[Task Name]]="","",IF(Tasks[[#This Row],[Progress]]&gt;=1,"Complete",IF(OR(N(Tasks[[#This Row],[Actual Start]])&gt;0,Tasks[[#This Row],[Progress]]&gt;0),IF(Tasks[[#This Row],[Finish Var]]&gt;0,"Behind","In Progress"),IF(Tasks[[#This Row],[Planned Start]]&lt;StatusDate,"Late Start","Not Started"))))</f>
        <v/>
      </c>
      <c r="AH109" s="30"/>
      <c r="AI109" s="88"/>
      <c r="AJ109" s="95" t="str">
        <f aca="false">IF(Tasks[[#This Row],[Task Name]]="","",IF(Tasks[[#This Row],[_IsSummary]],SUM(INDEX(Tasks[_LeafWork],Tasks[[#This Row],[_Row]]+1):INDEX(Tasks[_LeafWork],Tasks[[#This Row],[_Row]]+Tasks[[#This Row],[_Descendants]])),Tasks[[#This Row],[_LeafWork]]))</f>
        <v/>
      </c>
      <c r="AK109" s="96" t="str">
        <f aca="false">IF(Tasks[[#This Row],[Task Name]]="","",IF(Tasks[[#This Row],[_IsSummary]],SUM(INDEX(Tasks[_LeafCost],Tasks[[#This Row],[_Row]]+1):INDEX(Tasks[_LeafCost],Tasks[[#This Row],[_Row]]+Tasks[[#This Row],[_Descendants]])),Tasks[[#This Row],[_LeafCost]]))</f>
        <v/>
      </c>
      <c r="AL109" s="97"/>
      <c r="AM109" s="29"/>
      <c r="AN10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09" s="82"/>
      <c r="AP109" s="24" t="str">
        <f aca="false">IF(Tasks[[#This Row],[Task Name]]="","",Tasks[[#This Row],[_Pred1IDText]]&amp;IF(AND(Tasks[[#This Row],[_Pred1IDText]]&lt;&gt;"",Tasks[[#This Row],[_Pred2IDText]]&lt;&gt;""),",","")&amp;Tasks[[#This Row],[_Pred2IDText]])</f>
        <v/>
      </c>
      <c r="AQ109" s="30"/>
      <c r="AR109" s="25" t="str">
        <f aca="false">IF(Tasks[[#This Row],[Task Name]]="","",Tasks[[#This Row],[Forecast Start]])</f>
        <v/>
      </c>
      <c r="AS109" s="25" t="str">
        <f aca="false">IF(Tasks[[#This Row],[Task Name]]="","",Tasks[[#This Row],[Forecast Finish]])</f>
        <v/>
      </c>
      <c r="AT109" s="28" t="str">
        <f aca="false">IF(Tasks[[#This Row],[Task Name]]="","",IF(Tasks[[#This Row],[_IsSummary]],NETWORKDAYS.INTL(Tasks[[#This Row],[Forecast Start]],Tasks[[#This Row],[Forecast Finish]],WorkWeek,Holidays),N(Tasks[[#This Row],[Duration]])))</f>
        <v/>
      </c>
      <c r="AU109" s="95" t="str">
        <f aca="false">IF(Tasks[[#This Row],[Task Name]]="","",Tasks[[#This Row],[Work]])</f>
        <v/>
      </c>
      <c r="AV109" s="96" t="str">
        <f aca="false">IF(Tasks[[#This Row],[Task Name]]="","",Tasks[[#This Row],[Cost]])</f>
        <v/>
      </c>
      <c r="AW109" s="73"/>
      <c r="AX109" s="73"/>
      <c r="AY109" s="29"/>
      <c r="AZ109" s="98"/>
      <c r="BA109" s="97"/>
      <c r="BB109" s="28" t="str">
        <f aca="false">IF(OR(Tasks[[#This Row],[Task Name]]="",Tasks[[#This Row],[Baseline Duration]]=""),"",Tasks[[#This Row],[BL Source Duration]]-N(Tasks[[#This Row],[Baseline Duration]]))</f>
        <v/>
      </c>
      <c r="BC109" s="95" t="str">
        <f aca="false">IF(OR(Tasks[[#This Row],[Task Name]]="",Tasks[[#This Row],[Baseline Work]]=""),"",Tasks[[#This Row],[Work]]-N(Tasks[[#This Row],[Baseline Work]]))</f>
        <v/>
      </c>
      <c r="BD109" s="96" t="str">
        <f aca="false">IF(OR(Tasks[[#This Row],[Task Name]]="",Tasks[[#This Row],[Baseline Cost]]=""),"",Tasks[[#This Row],[Cost]]-N(Tasks[[#This Row],[Baseline Cost]]))</f>
        <v/>
      </c>
      <c r="BE109" s="96" t="str">
        <f aca="false">IF(Tasks[[#This Row],[Task Name]]="","",IF(Tasks[[#This Row],[_IsSummary]],SUM(INDEX(Tasks[_LeafBudget],Tasks[[#This Row],[_Row]]+1):INDEX(Tasks[_LeafBudget],Tasks[[#This Row],[_Row]]+Tasks[[#This Row],[_Descendants]])),Tasks[[#This Row],[_LeafBudget]]))</f>
        <v/>
      </c>
      <c r="BF109" s="96" t="str">
        <f aca="false">IF(Tasks[[#This Row],[Task Name]]="","",IF(Tasks[[#This Row],[_IsSummary]],SUM(INDEX(Tasks[_LeafPV],Tasks[[#This Row],[_Row]]+1):INDEX(Tasks[_LeafPV],Tasks[[#This Row],[_Row]]+Tasks[[#This Row],[_Descendants]])),Tasks[[#This Row],[_LeafPV]]))</f>
        <v/>
      </c>
      <c r="BG109" s="96" t="str">
        <f aca="false">IF(Tasks[[#This Row],[Task Name]]="","",IF(Tasks[[#This Row],[_IsSummary]],SUM(INDEX(Tasks[_LeafEV],Tasks[[#This Row],[_Row]]+1):INDEX(Tasks[_LeafEV],Tasks[[#This Row],[_Row]]+Tasks[[#This Row],[_Descendants]])),Tasks[[#This Row],[_LeafEV]]))</f>
        <v/>
      </c>
      <c r="BH109" s="96" t="str">
        <f aca="false">IF(Tasks[[#This Row],[Task Name]]="","",IF(Tasks[[#This Row],[_IsSummary]],SUM(INDEX(Tasks[_LeafAC],Tasks[[#This Row],[_Row]]+1):INDEX(Tasks[_LeafAC],Tasks[[#This Row],[_Row]]+Tasks[[#This Row],[_Descendants]])),Tasks[[#This Row],[_LeafAC]]))</f>
        <v/>
      </c>
      <c r="BI109" s="41" t="str">
        <f aca="false">IF(Tasks[[#This Row],[Task Name]]="","",MAX(1,N(Tasks[[#This Row],[Level]])))</f>
        <v/>
      </c>
      <c r="BJ109" s="41" t="n">
        <f aca="false">ROW()-ROW(Tasks[[#Headers],[ID]])</f>
        <v>104</v>
      </c>
      <c r="BK109" s="41" t="n">
        <f aca="false">IF(OR(Tasks[[#This Row],[Task Name]]="",Tasks[[#This Row],[_Level]]&lt;=1),0,IFERROR(LOOKUP(2,1/(Tasks[[#Headers],[_Level]]:Tasks[[#This Row],[_Level]]=Tasks[[#This Row],[_Level]]-1),ROW(Tasks[[#Headers],[_Level]]:Tasks[[#This Row],[_Level]])),0))</f>
        <v>0</v>
      </c>
      <c r="BL109" s="41" t="n">
        <f aca="false">IFERROR(N(INDEX(Tasks[_Level],Tasks[[#This Row],[_Row]]+1)),0)</f>
        <v>0</v>
      </c>
      <c r="BM109" s="99" t="b">
        <f aca="false">AND(Tasks[[#This Row],[Task Name]]&lt;&gt;"",Tasks[[#This Row],[_NextLevel]]&gt;Tasks[[#This Row],[_Level]])</f>
        <v>0</v>
      </c>
      <c r="BN109" s="41" t="n">
        <f aca="false">IF(Tasks[[#This Row],[_IsSummary]],COUNTIF(Tasks[WBS],Tasks[[#This Row],[WBS]]&amp;".*"),0)</f>
        <v>0</v>
      </c>
      <c r="BO109" s="41" t="n">
        <f aca="false">IF(AND(Tasks[[#This Row],[Task Name]]&lt;&gt;"",NOT(Tasks[[#This Row],[_IsSummary]])),1,0)</f>
        <v>0</v>
      </c>
      <c r="BP109" s="41" t="n">
        <f aca="false">IF(N(Tasks[[#This Row],[Pred1 UID]])=0,0,IFERROR(MATCH(Tasks[[#This Row],[Pred1 UID]],Tasks[UID],0),-1))</f>
        <v>0</v>
      </c>
      <c r="BQ109" s="41" t="n">
        <f aca="false">IF(N(Tasks[[#This Row],[Pred2 UID]])=0,0,IFERROR(MATCH(Tasks[[#This Row],[Pred2 UID]],Tasks[UID],0),-1))</f>
        <v>0</v>
      </c>
      <c r="BR109"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09" s="100" t="str">
        <f aca="false">IF(NOT(Tasks[[#This Row],[_IsLeaf]]=1),"",IF(N(Tasks[[#This Row],[Duration]])&lt;=0,Tasks[[#This Row],[_LeafCalcStart]],WORKDAY.INTL(Tasks[[#This Row],[_LeafCalcStart]],Tasks[[#This Row],[Duration]]-1,WorkWeek,Holidays)))</f>
        <v/>
      </c>
      <c r="BT109"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09"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09" s="41" t="n">
        <f aca="false">IF(NOT(Tasks[[#This Row],[_IsLeaf]]=1),0,IF(N(Tasks[[#This Row],[Actual Finish]])&gt;0,1,MIN(1,N(Tasks[[#This Row],[% Complete]]))))</f>
        <v>0</v>
      </c>
      <c r="BW109" s="41" t="n">
        <f aca="false">IF(OR(NOT(Tasks[[#This Row],[_IsLeaf]]=1),Tasks[[#This Row],[Resource]]=""),0,N(Tasks[[#This Row],[Duration]])*HoursPerDay*IF(Tasks[[#This Row],[Units]]="",DefaultUnits,Tasks[[#This Row],[Units]]))</f>
        <v>0</v>
      </c>
      <c r="BX109" s="41" t="n">
        <f aca="false">IF(Tasks[[#This Row],[_LeafWork]]=0,0,Tasks[[#This Row],[_LeafWork]]*IFERROR(INDEX(res_Rate,MATCH(Tasks[[#This Row],[Resource]],res_Name,0)),0))</f>
        <v>0</v>
      </c>
      <c r="BY10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0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0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0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09" s="41" t="n">
        <f aca="false">IF(NOT(Tasks[[#This Row],[_IsLeaf]]=1),0,MAX(_xlfn.MAXIFS(Tasks[_Row],Tasks[Pred1 UID],Tasks[[#This Row],[UID]]),_xlfn.MAXIFS(Tasks[_Row],Tasks[Pred2 UID],Tasks[[#This Row],[UID]])))</f>
        <v>0</v>
      </c>
      <c r="CD109"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09" s="100" t="str">
        <f aca="false">IF(NOT(Tasks[[#This Row],[_IsLeaf]]=1),"",MIN(ProjectFinish,IF(N(Tasks[[#This Row],[Deadline]])&gt;0,Tasks[[#This Row],[Deadline]],2958465),Tasks[[#This Row],[_SuccessorFinishLimit]]))</f>
        <v/>
      </c>
      <c r="CF109" s="100" t="str">
        <f aca="false">IF(NOT(Tasks[[#This Row],[_IsLeaf]]=1),"",IF(N(Tasks[[#This Row],[Duration]])&lt;=0,Tasks[[#This Row],[_LeafLateFinish]],WORKDAY.INTL(Tasks[[#This Row],[_LeafLateFinish]],-(Tasks[[#This Row],[Duration]]-1),WorkWeek,Holidays)))</f>
        <v/>
      </c>
      <c r="CG10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09" s="99" t="b">
        <f aca="false">AND(Tasks[[#This Row],[_IsLeaf]]=1,Tasks[[#This Row],[_LeafProgress]]&lt;1,N(Tasks[[#This Row],[_LeafTotalSlack]])&lt;=CriticalSlackDays)</f>
        <v>0</v>
      </c>
      <c r="CI109" s="100" t="str">
        <f aca="false">IF(Tasks[[#This Row],[Task Name]]="","",IF(Tasks[[#This Row],[_IsSummary]],MIN(INDEX(Tasks[_LeafCalcStart],Tasks[[#This Row],[_Row]]+1):INDEX(Tasks[_LeafCalcStart],Tasks[[#This Row],[_Row]]+Tasks[[#This Row],[_Descendants]])),Tasks[[#This Row],[_LeafCalcStart]]))</f>
        <v/>
      </c>
      <c r="CJ109" s="100" t="str">
        <f aca="false">IF(Tasks[[#This Row],[Task Name]]="","",IF(Tasks[[#This Row],[_IsSummary]],MAX(INDEX(Tasks[_LeafCalcFinish],Tasks[[#This Row],[_Row]]+1):INDEX(Tasks[_LeafCalcFinish],Tasks[[#This Row],[_Row]]+Tasks[[#This Row],[_Descendants]])),Tasks[[#This Row],[_LeafCalcFinish]]))</f>
        <v/>
      </c>
      <c r="CK10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0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09"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09"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09"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09"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09" s="41" t="n">
        <f aca="false">IF(AND(Tasks[[#This Row],[_IsLeaf]]=1,Tasks[[#This Row],[_LeafWork]]&gt;0),NETWORKDAYS.INTL(ProjectStart,Tasks[[#This Row],[_LeafFcstStart]],WorkWeek,Holidays),0)</f>
        <v>0</v>
      </c>
      <c r="CR109" s="41" t="n">
        <f aca="false">IF(AND(Tasks[[#This Row],[_IsLeaf]]=1,Tasks[[#This Row],[_LeafWork]]&gt;0),MAX(Tasks[[#This Row],[_StartWorkday]],NETWORKDAYS.INTL(ProjectStart,Tasks[[#This Row],[_LeafFcstFinish]],WorkWeek,Holidays)),0)</f>
        <v>0</v>
      </c>
      <c r="CS109" s="41" t="n">
        <f aca="false">IF(AND(Tasks[[#This Row],[_IsLeaf]]=1,Tasks[[#This Row],[_LeafWork]]&gt;0),Tasks[[#This Row],[_LeafWork]]/(Tasks[[#This Row],[_FinishWorkday]]-Tasks[[#This Row],[_StartWorkday]]+1),0)</f>
        <v>0</v>
      </c>
      <c r="CT109" s="41" t="n">
        <f aca="false">Tasks[[#This Row],[_WorkPerWorkday]]*(Tasks[[#This Row],[_StartWorkday]]-1)</f>
        <v>-0</v>
      </c>
      <c r="CU109" s="41" t="n">
        <f aca="false">IF(Tasks[[#This Row],[_IsLeaf]]=1,MAX(N(Tasks[[#This Row],[Duration]]),0.1),0)</f>
        <v>0</v>
      </c>
      <c r="CV109" s="41" t="n">
        <f aca="false">Tasks[[#This Row],[_WeightDur]]*Tasks[[#This Row],[_LeafProgress]]</f>
        <v>0</v>
      </c>
      <c r="CW10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0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0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0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09" s="41" t="str">
        <f aca="false">IF(Tasks[[#This Row],[Task Name]]="","",Tasks[[#This Row],[_Pred1UIDText]]&amp;IF(AND(Tasks[[#This Row],[_Pred1UIDText]]&lt;&gt;"",Tasks[[#This Row],[_Pred2UIDText]]&lt;&gt;""),",","")&amp;Tasks[[#This Row],[_Pred2UIDText]])</f>
        <v/>
      </c>
      <c r="DB109" s="41" t="str">
        <f aca="false">IF(AND(Tasks[[#This Row],[_IsLeaf]]=1,N(Tasks[[#This Row],[Duration]])=0,Tasks[[#This Row],[_LeafProgress]]&lt;1),Tasks[[#This Row],[_LeafFcstFinish]]+Tasks[[#This Row],[_Row]]/100000,"")</f>
        <v/>
      </c>
      <c r="DC10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09" s="41" t="n">
        <f aca="false">IF(NOT(Tasks[[#This Row],[_IsLeaf]]=1),0,IF(Tasks[[#This Row],[Baseline Cost]]="",Tasks[[#This Row],[_LeafCost]],N(Tasks[[#This Row],[Baseline Cost]])))</f>
        <v>0</v>
      </c>
      <c r="DE109" s="41" t="n">
        <f aca="false">Tasks[[#This Row],[_LeafBudget]]*Tasks[[#This Row],[_PlannedPct]]</f>
        <v>0</v>
      </c>
      <c r="DF109" s="41" t="n">
        <f aca="false">Tasks[[#This Row],[_LeafBudget]]*Tasks[[#This Row],[_LeafProgress]]</f>
        <v>0</v>
      </c>
      <c r="DG109" s="41" t="n">
        <f aca="false">IF(NOT(Tasks[[#This Row],[_IsLeaf]]=1),0,IF(Tasks[[#This Row],[Actual Cost]]="",Tasks[[#This Row],[_LeafCost]]*Tasks[[#This Row],[_LeafProgress]],N(Tasks[[#This Row],[Actual Cost]])))</f>
        <v>0</v>
      </c>
      <c r="DH109" s="41" t="str">
        <f aca="false">IF(Tasks[[#This Row],[Task Name]]="","",LEFT(Tasks[[#This Row],[WBS]],FIND(".",Tasks[[#This Row],[WBS]]&amp;".")-1))</f>
        <v/>
      </c>
      <c r="DI109" s="41" t="str">
        <f aca="false">IF(AND(Tasks[[#This Row],[Task Name]]&lt;&gt;"",Tasks[[#This Row],[_Level]]=1),Tasks[[#This Row],[_Row]],"")</f>
        <v/>
      </c>
      <c r="DJ109" s="41" t="str">
        <f aca="false">IF(AND(Tasks[[#This Row],[_IsLeaf]]=1,N(Tasks[[#This Row],[Duration]])=0),Tasks[[#This Row],[Planned Finish]]+Tasks[[#This Row],[_Row]]/100000,"")</f>
        <v/>
      </c>
      <c r="DK109" s="41" t="str">
        <f aca="false">IF(AND(Tasks[[#This Row],[_IsLeaf]]=1,Tasks[[#This Row],[_LeafProgress]]&lt;1,OR(N(Tasks[[#This Row],[Finish Var]])&gt;0,Tasks[[#This Row],[Status]]="Late Start")),MAX(0,Tasks[[#This Row],[Finish Var]])+1-Tasks[[#This Row],[_Row]]/1000000,"")</f>
        <v/>
      </c>
      <c r="DL109" s="41" t="str">
        <f aca="false">IF(AND(Tasks[[#This Row],[_IsLeaf]]=1,N(Tasks[[#This Row],[Actual Start]])=0,Tasks[[#This Row],[_LeafFcstStart]]&gt;=StatusDate,Tasks[[#This Row],[_LeafFcstStart]]&lt;=LookaheadEnd),Tasks[[#This Row],[_LeafFcstStart]]+Tasks[[#This Row],[_Row]]/100000,"")</f>
        <v/>
      </c>
      <c r="DM109" s="41" t="str">
        <f aca="false">IF(AND(Tasks[[#This Row],[_IsLeaf]]=1,Tasks[[#This Row],[_LeafProgress]]&lt;1,Tasks[[#This Row],[_LeafFcstFinish]]&gt;=StatusDate,Tasks[[#This Row],[_LeafFcstFinish]]&lt;=LookaheadEnd),Tasks[[#This Row],[_LeafFcstFinish]]+Tasks[[#This Row],[_Row]]/100000,"")</f>
        <v/>
      </c>
      <c r="DN109" s="41" t="str">
        <f aca="false">IF(Tasks[[#This Row],[_LeafCritical]],Tasks[[#This Row],[_LeafFcstStart]]+Tasks[[#This Row],[_Row]]/100000,"")</f>
        <v/>
      </c>
      <c r="DO109" s="41" t="n">
        <f aca="false">Tasks[[#This Row],[_LeafWork]]*Tasks[[#This Row],[_LeafProgress]]</f>
        <v>0</v>
      </c>
      <c r="DP109" s="100" t="str">
        <f aca="false">IF(AND(Tasks[[#This Row],[_IsLeaf]]=1,Tasks[[#This Row],[_LeafProgress]]&gt;=1),IF(N(Tasks[[#This Row],[Actual Finish]])&gt;0,Tasks[[#This Row],[Actual Finish]],Tasks[[#This Row],[_LeafFcstFinish]]),"")</f>
        <v/>
      </c>
      <c r="DQ109" s="41" t="n">
        <f aca="false">IF(Tasks[[#This Row],[_IsLeaf]]=1,N(Tasks[[#This Row],[Story Points]]),0)</f>
        <v>0</v>
      </c>
      <c r="DR109" s="41" t="str">
        <f aca="false">IF(AND(Tasks[[#This Row],[_IsLeaf]]=1,CurrentSprint&lt;&gt;"",Tasks[[#This Row],[Sprint]]=CurrentSprint),Tasks[[#This Row],[_Row]],"")</f>
        <v/>
      </c>
    </row>
    <row r="110" customFormat="false" ht="15" hidden="false" customHeight="false" outlineLevel="0" collapsed="false">
      <c r="A110" s="28" t="str">
        <f aca="false">IF(Tasks[[#This Row],[Task Name]]="","",COUNTA(Tasks[[#Headers],[Task Name]]:Tasks[[#This Row],[Task Name]])-1)</f>
        <v/>
      </c>
      <c r="B110" s="29" t="n">
        <v>105</v>
      </c>
      <c r="C11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0" s="29"/>
      <c r="E110" s="30"/>
      <c r="F110" s="29"/>
      <c r="G110" s="29"/>
      <c r="H110" s="29"/>
      <c r="I110" s="29"/>
      <c r="J110" s="29"/>
      <c r="K110" s="29"/>
      <c r="L110" s="29"/>
      <c r="M110" s="29"/>
      <c r="N110" s="73"/>
      <c r="O110" s="73"/>
      <c r="P110" s="25" t="str">
        <f aca="false">IF(Tasks[[#This Row],[Task Name]]="","",IF(N(Tasks[[#This Row],[Baseline Start]])&gt;0,Tasks[[#This Row],[Baseline Start]],Tasks[[#This Row],[_CalcStart]]))</f>
        <v/>
      </c>
      <c r="Q110" s="25" t="str">
        <f aca="false">IF(Tasks[[#This Row],[Task Name]]="","",IF(N(Tasks[[#This Row],[Baseline Finish]])&gt;0,Tasks[[#This Row],[Baseline Finish]],Tasks[[#This Row],[_CalcFinish]]))</f>
        <v/>
      </c>
      <c r="R110" s="73"/>
      <c r="S110" s="73"/>
      <c r="T110" s="25" t="str">
        <f aca="false">IF(Tasks[[#This Row],[Task Name]]="","",IF(Tasks[[#This Row],[_IsSummary]],MIN(INDEX(Tasks[_LeafFcstStart],Tasks[[#This Row],[_Row]]+1):INDEX(Tasks[_LeafFcstStart],Tasks[[#This Row],[_Row]]+Tasks[[#This Row],[_Descendants]])),Tasks[[#This Row],[_LeafFcstStart]]))</f>
        <v/>
      </c>
      <c r="U110" s="25" t="str">
        <f aca="false">IF(Tasks[[#This Row],[Task Name]]="","",IF(Tasks[[#This Row],[_IsSummary]],MAX(INDEX(Tasks[_LeafFcstFinish],Tasks[[#This Row],[_Row]]+1):INDEX(Tasks[_LeafFcstFinish],Tasks[[#This Row],[_Row]]+Tasks[[#This Row],[_Descendants]])),Tasks[[#This Row],[_LeafFcstFinish]]))</f>
        <v/>
      </c>
      <c r="V11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1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0" s="25" t="str">
        <f aca="false">IF(Tasks[[#This Row],[Task Name]]="","",IF(Tasks[[#This Row],[_IsSummary]],MIN(INDEX(Tasks[_LeafLateStart],Tasks[[#This Row],[_Row]]+1):INDEX(Tasks[_LeafLateStart],Tasks[[#This Row],[_Row]]+Tasks[[#This Row],[_Descendants]])),Tasks[[#This Row],[_LeafLateStart]]))</f>
        <v/>
      </c>
      <c r="Y110" s="25" t="str">
        <f aca="false">IF(Tasks[[#This Row],[Task Name]]="","",IF(Tasks[[#This Row],[_IsSummary]],MAX(INDEX(Tasks[_LeafLateFinish],Tasks[[#This Row],[_Row]]+1):INDEX(Tasks[_LeafLateFinish],Tasks[[#This Row],[_Row]]+Tasks[[#This Row],[_Descendants]])),Tasks[[#This Row],[_LeafLateFinish]]))</f>
        <v/>
      </c>
      <c r="Z110" s="43" t="str">
        <f aca="false">IF(Tasks[[#This Row],[Task Name]]="","",IF(Tasks[[#This Row],[_IsSummary]],MIN(INDEX(Tasks[_LeafTotalSlack],Tasks[[#This Row],[_Row]]+1):INDEX(Tasks[_LeafTotalSlack],Tasks[[#This Row],[_Row]]+Tasks[[#This Row],[_Descendants]])),Tasks[[#This Row],[_LeafTotalSlack]]))</f>
        <v/>
      </c>
      <c r="AA11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0" s="28" t="str">
        <f aca="false">IF(Tasks[[#This Row],[Task Name]]="","",IF(IF(Tasks[[#This Row],[_IsSummary]],COUNTIF(INDEX(Tasks[_LeafCritical],Tasks[[#This Row],[_Row]]+1):INDEX(Tasks[_LeafCritical],Tasks[[#This Row],[_Row]]+Tasks[[#This Row],[_Descendants]]),TRUE())&gt;0,Tasks[[#This Row],[_LeafCritical]]),"Yes",""))</f>
        <v/>
      </c>
      <c r="AC11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0" s="24" t="str">
        <f aca="false">IF(Tasks[[#This Row],[Task Name]]="","",TRIM(IF(Tasks[[#This Row],[_Pred1Problem]]&lt;&gt;"","Pred 1: "&amp;Tasks[[#This Row],[_Pred1Problem]]&amp;". ","")&amp;IF(Tasks[[#This Row],[_Pred2Problem]]&lt;&gt;"","Pred 2: "&amp;Tasks[[#This Row],[_Pred2Problem]]&amp;".","")))</f>
        <v/>
      </c>
      <c r="AE110" s="88"/>
      <c r="AF110"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0" s="28" t="str">
        <f aca="false">IF(Tasks[[#This Row],[Task Name]]="","",IF(Tasks[[#This Row],[Progress]]&gt;=1,"Complete",IF(OR(N(Tasks[[#This Row],[Actual Start]])&gt;0,Tasks[[#This Row],[Progress]]&gt;0),IF(Tasks[[#This Row],[Finish Var]]&gt;0,"Behind","In Progress"),IF(Tasks[[#This Row],[Planned Start]]&lt;StatusDate,"Late Start","Not Started"))))</f>
        <v/>
      </c>
      <c r="AH110" s="30"/>
      <c r="AI110" s="88"/>
      <c r="AJ110" s="95" t="str">
        <f aca="false">IF(Tasks[[#This Row],[Task Name]]="","",IF(Tasks[[#This Row],[_IsSummary]],SUM(INDEX(Tasks[_LeafWork],Tasks[[#This Row],[_Row]]+1):INDEX(Tasks[_LeafWork],Tasks[[#This Row],[_Row]]+Tasks[[#This Row],[_Descendants]])),Tasks[[#This Row],[_LeafWork]]))</f>
        <v/>
      </c>
      <c r="AK110" s="96" t="str">
        <f aca="false">IF(Tasks[[#This Row],[Task Name]]="","",IF(Tasks[[#This Row],[_IsSummary]],SUM(INDEX(Tasks[_LeafCost],Tasks[[#This Row],[_Row]]+1):INDEX(Tasks[_LeafCost],Tasks[[#This Row],[_Row]]+Tasks[[#This Row],[_Descendants]])),Tasks[[#This Row],[_LeafCost]]))</f>
        <v/>
      </c>
      <c r="AL110" s="97"/>
      <c r="AM110" s="29"/>
      <c r="AN11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10" s="82"/>
      <c r="AP110" s="24" t="str">
        <f aca="false">IF(Tasks[[#This Row],[Task Name]]="","",Tasks[[#This Row],[_Pred1IDText]]&amp;IF(AND(Tasks[[#This Row],[_Pred1IDText]]&lt;&gt;"",Tasks[[#This Row],[_Pred2IDText]]&lt;&gt;""),",","")&amp;Tasks[[#This Row],[_Pred2IDText]])</f>
        <v/>
      </c>
      <c r="AQ110" s="30"/>
      <c r="AR110" s="25" t="str">
        <f aca="false">IF(Tasks[[#This Row],[Task Name]]="","",Tasks[[#This Row],[Forecast Start]])</f>
        <v/>
      </c>
      <c r="AS110" s="25" t="str">
        <f aca="false">IF(Tasks[[#This Row],[Task Name]]="","",Tasks[[#This Row],[Forecast Finish]])</f>
        <v/>
      </c>
      <c r="AT110" s="28" t="str">
        <f aca="false">IF(Tasks[[#This Row],[Task Name]]="","",IF(Tasks[[#This Row],[_IsSummary]],NETWORKDAYS.INTL(Tasks[[#This Row],[Forecast Start]],Tasks[[#This Row],[Forecast Finish]],WorkWeek,Holidays),N(Tasks[[#This Row],[Duration]])))</f>
        <v/>
      </c>
      <c r="AU110" s="95" t="str">
        <f aca="false">IF(Tasks[[#This Row],[Task Name]]="","",Tasks[[#This Row],[Work]])</f>
        <v/>
      </c>
      <c r="AV110" s="96" t="str">
        <f aca="false">IF(Tasks[[#This Row],[Task Name]]="","",Tasks[[#This Row],[Cost]])</f>
        <v/>
      </c>
      <c r="AW110" s="73"/>
      <c r="AX110" s="73"/>
      <c r="AY110" s="29"/>
      <c r="AZ110" s="98"/>
      <c r="BA110" s="97"/>
      <c r="BB110" s="28" t="str">
        <f aca="false">IF(OR(Tasks[[#This Row],[Task Name]]="",Tasks[[#This Row],[Baseline Duration]]=""),"",Tasks[[#This Row],[BL Source Duration]]-N(Tasks[[#This Row],[Baseline Duration]]))</f>
        <v/>
      </c>
      <c r="BC110" s="95" t="str">
        <f aca="false">IF(OR(Tasks[[#This Row],[Task Name]]="",Tasks[[#This Row],[Baseline Work]]=""),"",Tasks[[#This Row],[Work]]-N(Tasks[[#This Row],[Baseline Work]]))</f>
        <v/>
      </c>
      <c r="BD110" s="96" t="str">
        <f aca="false">IF(OR(Tasks[[#This Row],[Task Name]]="",Tasks[[#This Row],[Baseline Cost]]=""),"",Tasks[[#This Row],[Cost]]-N(Tasks[[#This Row],[Baseline Cost]]))</f>
        <v/>
      </c>
      <c r="BE110" s="96" t="str">
        <f aca="false">IF(Tasks[[#This Row],[Task Name]]="","",IF(Tasks[[#This Row],[_IsSummary]],SUM(INDEX(Tasks[_LeafBudget],Tasks[[#This Row],[_Row]]+1):INDEX(Tasks[_LeafBudget],Tasks[[#This Row],[_Row]]+Tasks[[#This Row],[_Descendants]])),Tasks[[#This Row],[_LeafBudget]]))</f>
        <v/>
      </c>
      <c r="BF110" s="96" t="str">
        <f aca="false">IF(Tasks[[#This Row],[Task Name]]="","",IF(Tasks[[#This Row],[_IsSummary]],SUM(INDEX(Tasks[_LeafPV],Tasks[[#This Row],[_Row]]+1):INDEX(Tasks[_LeafPV],Tasks[[#This Row],[_Row]]+Tasks[[#This Row],[_Descendants]])),Tasks[[#This Row],[_LeafPV]]))</f>
        <v/>
      </c>
      <c r="BG110" s="96" t="str">
        <f aca="false">IF(Tasks[[#This Row],[Task Name]]="","",IF(Tasks[[#This Row],[_IsSummary]],SUM(INDEX(Tasks[_LeafEV],Tasks[[#This Row],[_Row]]+1):INDEX(Tasks[_LeafEV],Tasks[[#This Row],[_Row]]+Tasks[[#This Row],[_Descendants]])),Tasks[[#This Row],[_LeafEV]]))</f>
        <v/>
      </c>
      <c r="BH110" s="96" t="str">
        <f aca="false">IF(Tasks[[#This Row],[Task Name]]="","",IF(Tasks[[#This Row],[_IsSummary]],SUM(INDEX(Tasks[_LeafAC],Tasks[[#This Row],[_Row]]+1):INDEX(Tasks[_LeafAC],Tasks[[#This Row],[_Row]]+Tasks[[#This Row],[_Descendants]])),Tasks[[#This Row],[_LeafAC]]))</f>
        <v/>
      </c>
      <c r="BI110" s="41" t="str">
        <f aca="false">IF(Tasks[[#This Row],[Task Name]]="","",MAX(1,N(Tasks[[#This Row],[Level]])))</f>
        <v/>
      </c>
      <c r="BJ110" s="41" t="n">
        <f aca="false">ROW()-ROW(Tasks[[#Headers],[ID]])</f>
        <v>105</v>
      </c>
      <c r="BK110" s="41" t="n">
        <f aca="false">IF(OR(Tasks[[#This Row],[Task Name]]="",Tasks[[#This Row],[_Level]]&lt;=1),0,IFERROR(LOOKUP(2,1/(Tasks[[#Headers],[_Level]]:Tasks[[#This Row],[_Level]]=Tasks[[#This Row],[_Level]]-1),ROW(Tasks[[#Headers],[_Level]]:Tasks[[#This Row],[_Level]])),0))</f>
        <v>0</v>
      </c>
      <c r="BL110" s="41" t="n">
        <f aca="false">IFERROR(N(INDEX(Tasks[_Level],Tasks[[#This Row],[_Row]]+1)),0)</f>
        <v>0</v>
      </c>
      <c r="BM110" s="99" t="b">
        <f aca="false">AND(Tasks[[#This Row],[Task Name]]&lt;&gt;"",Tasks[[#This Row],[_NextLevel]]&gt;Tasks[[#This Row],[_Level]])</f>
        <v>0</v>
      </c>
      <c r="BN110" s="41" t="n">
        <f aca="false">IF(Tasks[[#This Row],[_IsSummary]],COUNTIF(Tasks[WBS],Tasks[[#This Row],[WBS]]&amp;".*"),0)</f>
        <v>0</v>
      </c>
      <c r="BO110" s="41" t="n">
        <f aca="false">IF(AND(Tasks[[#This Row],[Task Name]]&lt;&gt;"",NOT(Tasks[[#This Row],[_IsSummary]])),1,0)</f>
        <v>0</v>
      </c>
      <c r="BP110" s="41" t="n">
        <f aca="false">IF(N(Tasks[[#This Row],[Pred1 UID]])=0,0,IFERROR(MATCH(Tasks[[#This Row],[Pred1 UID]],Tasks[UID],0),-1))</f>
        <v>0</v>
      </c>
      <c r="BQ110" s="41" t="n">
        <f aca="false">IF(N(Tasks[[#This Row],[Pred2 UID]])=0,0,IFERROR(MATCH(Tasks[[#This Row],[Pred2 UID]],Tasks[UID],0),-1))</f>
        <v>0</v>
      </c>
      <c r="BR110"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10" s="100" t="str">
        <f aca="false">IF(NOT(Tasks[[#This Row],[_IsLeaf]]=1),"",IF(N(Tasks[[#This Row],[Duration]])&lt;=0,Tasks[[#This Row],[_LeafCalcStart]],WORKDAY.INTL(Tasks[[#This Row],[_LeafCalcStart]],Tasks[[#This Row],[Duration]]-1,WorkWeek,Holidays)))</f>
        <v/>
      </c>
      <c r="BT110"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10"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10" s="41" t="n">
        <f aca="false">IF(NOT(Tasks[[#This Row],[_IsLeaf]]=1),0,IF(N(Tasks[[#This Row],[Actual Finish]])&gt;0,1,MIN(1,N(Tasks[[#This Row],[% Complete]]))))</f>
        <v>0</v>
      </c>
      <c r="BW110" s="41" t="n">
        <f aca="false">IF(OR(NOT(Tasks[[#This Row],[_IsLeaf]]=1),Tasks[[#This Row],[Resource]]=""),0,N(Tasks[[#This Row],[Duration]])*HoursPerDay*IF(Tasks[[#This Row],[Units]]="",DefaultUnits,Tasks[[#This Row],[Units]]))</f>
        <v>0</v>
      </c>
      <c r="BX110" s="41" t="n">
        <f aca="false">IF(Tasks[[#This Row],[_LeafWork]]=0,0,Tasks[[#This Row],[_LeafWork]]*IFERROR(INDEX(res_Rate,MATCH(Tasks[[#This Row],[Resource]],res_Name,0)),0))</f>
        <v>0</v>
      </c>
      <c r="BY11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1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1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1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10" s="41" t="n">
        <f aca="false">IF(NOT(Tasks[[#This Row],[_IsLeaf]]=1),0,MAX(_xlfn.MAXIFS(Tasks[_Row],Tasks[Pred1 UID],Tasks[[#This Row],[UID]]),_xlfn.MAXIFS(Tasks[_Row],Tasks[Pred2 UID],Tasks[[#This Row],[UID]])))</f>
        <v>0</v>
      </c>
      <c r="CD110"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10" s="100" t="str">
        <f aca="false">IF(NOT(Tasks[[#This Row],[_IsLeaf]]=1),"",MIN(ProjectFinish,IF(N(Tasks[[#This Row],[Deadline]])&gt;0,Tasks[[#This Row],[Deadline]],2958465),Tasks[[#This Row],[_SuccessorFinishLimit]]))</f>
        <v/>
      </c>
      <c r="CF110" s="100" t="str">
        <f aca="false">IF(NOT(Tasks[[#This Row],[_IsLeaf]]=1),"",IF(N(Tasks[[#This Row],[Duration]])&lt;=0,Tasks[[#This Row],[_LeafLateFinish]],WORKDAY.INTL(Tasks[[#This Row],[_LeafLateFinish]],-(Tasks[[#This Row],[Duration]]-1),WorkWeek,Holidays)))</f>
        <v/>
      </c>
      <c r="CG11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10" s="99" t="b">
        <f aca="false">AND(Tasks[[#This Row],[_IsLeaf]]=1,Tasks[[#This Row],[_LeafProgress]]&lt;1,N(Tasks[[#This Row],[_LeafTotalSlack]])&lt;=CriticalSlackDays)</f>
        <v>0</v>
      </c>
      <c r="CI110" s="100" t="str">
        <f aca="false">IF(Tasks[[#This Row],[Task Name]]="","",IF(Tasks[[#This Row],[_IsSummary]],MIN(INDEX(Tasks[_LeafCalcStart],Tasks[[#This Row],[_Row]]+1):INDEX(Tasks[_LeafCalcStart],Tasks[[#This Row],[_Row]]+Tasks[[#This Row],[_Descendants]])),Tasks[[#This Row],[_LeafCalcStart]]))</f>
        <v/>
      </c>
      <c r="CJ110" s="100" t="str">
        <f aca="false">IF(Tasks[[#This Row],[Task Name]]="","",IF(Tasks[[#This Row],[_IsSummary]],MAX(INDEX(Tasks[_LeafCalcFinish],Tasks[[#This Row],[_Row]]+1):INDEX(Tasks[_LeafCalcFinish],Tasks[[#This Row],[_Row]]+Tasks[[#This Row],[_Descendants]])),Tasks[[#This Row],[_LeafCalcFinish]]))</f>
        <v/>
      </c>
      <c r="CK11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1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10"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10"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10"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10"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10" s="41" t="n">
        <f aca="false">IF(AND(Tasks[[#This Row],[_IsLeaf]]=1,Tasks[[#This Row],[_LeafWork]]&gt;0),NETWORKDAYS.INTL(ProjectStart,Tasks[[#This Row],[_LeafFcstStart]],WorkWeek,Holidays),0)</f>
        <v>0</v>
      </c>
      <c r="CR110" s="41" t="n">
        <f aca="false">IF(AND(Tasks[[#This Row],[_IsLeaf]]=1,Tasks[[#This Row],[_LeafWork]]&gt;0),MAX(Tasks[[#This Row],[_StartWorkday]],NETWORKDAYS.INTL(ProjectStart,Tasks[[#This Row],[_LeafFcstFinish]],WorkWeek,Holidays)),0)</f>
        <v>0</v>
      </c>
      <c r="CS110" s="41" t="n">
        <f aca="false">IF(AND(Tasks[[#This Row],[_IsLeaf]]=1,Tasks[[#This Row],[_LeafWork]]&gt;0),Tasks[[#This Row],[_LeafWork]]/(Tasks[[#This Row],[_FinishWorkday]]-Tasks[[#This Row],[_StartWorkday]]+1),0)</f>
        <v>0</v>
      </c>
      <c r="CT110" s="41" t="n">
        <f aca="false">Tasks[[#This Row],[_WorkPerWorkday]]*(Tasks[[#This Row],[_StartWorkday]]-1)</f>
        <v>-0</v>
      </c>
      <c r="CU110" s="41" t="n">
        <f aca="false">IF(Tasks[[#This Row],[_IsLeaf]]=1,MAX(N(Tasks[[#This Row],[Duration]]),0.1),0)</f>
        <v>0</v>
      </c>
      <c r="CV110" s="41" t="n">
        <f aca="false">Tasks[[#This Row],[_WeightDur]]*Tasks[[#This Row],[_LeafProgress]]</f>
        <v>0</v>
      </c>
      <c r="CW11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1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1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1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10" s="41" t="str">
        <f aca="false">IF(Tasks[[#This Row],[Task Name]]="","",Tasks[[#This Row],[_Pred1UIDText]]&amp;IF(AND(Tasks[[#This Row],[_Pred1UIDText]]&lt;&gt;"",Tasks[[#This Row],[_Pred2UIDText]]&lt;&gt;""),",","")&amp;Tasks[[#This Row],[_Pred2UIDText]])</f>
        <v/>
      </c>
      <c r="DB110" s="41" t="str">
        <f aca="false">IF(AND(Tasks[[#This Row],[_IsLeaf]]=1,N(Tasks[[#This Row],[Duration]])=0,Tasks[[#This Row],[_LeafProgress]]&lt;1),Tasks[[#This Row],[_LeafFcstFinish]]+Tasks[[#This Row],[_Row]]/100000,"")</f>
        <v/>
      </c>
      <c r="DC11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10" s="41" t="n">
        <f aca="false">IF(NOT(Tasks[[#This Row],[_IsLeaf]]=1),0,IF(Tasks[[#This Row],[Baseline Cost]]="",Tasks[[#This Row],[_LeafCost]],N(Tasks[[#This Row],[Baseline Cost]])))</f>
        <v>0</v>
      </c>
      <c r="DE110" s="41" t="n">
        <f aca="false">Tasks[[#This Row],[_LeafBudget]]*Tasks[[#This Row],[_PlannedPct]]</f>
        <v>0</v>
      </c>
      <c r="DF110" s="41" t="n">
        <f aca="false">Tasks[[#This Row],[_LeafBudget]]*Tasks[[#This Row],[_LeafProgress]]</f>
        <v>0</v>
      </c>
      <c r="DG110" s="41" t="n">
        <f aca="false">IF(NOT(Tasks[[#This Row],[_IsLeaf]]=1),0,IF(Tasks[[#This Row],[Actual Cost]]="",Tasks[[#This Row],[_LeafCost]]*Tasks[[#This Row],[_LeafProgress]],N(Tasks[[#This Row],[Actual Cost]])))</f>
        <v>0</v>
      </c>
      <c r="DH110" s="41" t="str">
        <f aca="false">IF(Tasks[[#This Row],[Task Name]]="","",LEFT(Tasks[[#This Row],[WBS]],FIND(".",Tasks[[#This Row],[WBS]]&amp;".")-1))</f>
        <v/>
      </c>
      <c r="DI110" s="41" t="str">
        <f aca="false">IF(AND(Tasks[[#This Row],[Task Name]]&lt;&gt;"",Tasks[[#This Row],[_Level]]=1),Tasks[[#This Row],[_Row]],"")</f>
        <v/>
      </c>
      <c r="DJ110" s="41" t="str">
        <f aca="false">IF(AND(Tasks[[#This Row],[_IsLeaf]]=1,N(Tasks[[#This Row],[Duration]])=0),Tasks[[#This Row],[Planned Finish]]+Tasks[[#This Row],[_Row]]/100000,"")</f>
        <v/>
      </c>
      <c r="DK110" s="41" t="str">
        <f aca="false">IF(AND(Tasks[[#This Row],[_IsLeaf]]=1,Tasks[[#This Row],[_LeafProgress]]&lt;1,OR(N(Tasks[[#This Row],[Finish Var]])&gt;0,Tasks[[#This Row],[Status]]="Late Start")),MAX(0,Tasks[[#This Row],[Finish Var]])+1-Tasks[[#This Row],[_Row]]/1000000,"")</f>
        <v/>
      </c>
      <c r="DL110" s="41" t="str">
        <f aca="false">IF(AND(Tasks[[#This Row],[_IsLeaf]]=1,N(Tasks[[#This Row],[Actual Start]])=0,Tasks[[#This Row],[_LeafFcstStart]]&gt;=StatusDate,Tasks[[#This Row],[_LeafFcstStart]]&lt;=LookaheadEnd),Tasks[[#This Row],[_LeafFcstStart]]+Tasks[[#This Row],[_Row]]/100000,"")</f>
        <v/>
      </c>
      <c r="DM110" s="41" t="str">
        <f aca="false">IF(AND(Tasks[[#This Row],[_IsLeaf]]=1,Tasks[[#This Row],[_LeafProgress]]&lt;1,Tasks[[#This Row],[_LeafFcstFinish]]&gt;=StatusDate,Tasks[[#This Row],[_LeafFcstFinish]]&lt;=LookaheadEnd),Tasks[[#This Row],[_LeafFcstFinish]]+Tasks[[#This Row],[_Row]]/100000,"")</f>
        <v/>
      </c>
      <c r="DN110" s="41" t="str">
        <f aca="false">IF(Tasks[[#This Row],[_LeafCritical]],Tasks[[#This Row],[_LeafFcstStart]]+Tasks[[#This Row],[_Row]]/100000,"")</f>
        <v/>
      </c>
      <c r="DO110" s="41" t="n">
        <f aca="false">Tasks[[#This Row],[_LeafWork]]*Tasks[[#This Row],[_LeafProgress]]</f>
        <v>0</v>
      </c>
      <c r="DP110" s="100" t="str">
        <f aca="false">IF(AND(Tasks[[#This Row],[_IsLeaf]]=1,Tasks[[#This Row],[_LeafProgress]]&gt;=1),IF(N(Tasks[[#This Row],[Actual Finish]])&gt;0,Tasks[[#This Row],[Actual Finish]],Tasks[[#This Row],[_LeafFcstFinish]]),"")</f>
        <v/>
      </c>
      <c r="DQ110" s="41" t="n">
        <f aca="false">IF(Tasks[[#This Row],[_IsLeaf]]=1,N(Tasks[[#This Row],[Story Points]]),0)</f>
        <v>0</v>
      </c>
      <c r="DR110" s="41" t="str">
        <f aca="false">IF(AND(Tasks[[#This Row],[_IsLeaf]]=1,CurrentSprint&lt;&gt;"",Tasks[[#This Row],[Sprint]]=CurrentSprint),Tasks[[#This Row],[_Row]],"")</f>
        <v/>
      </c>
    </row>
    <row r="111" customFormat="false" ht="15" hidden="false" customHeight="false" outlineLevel="0" collapsed="false">
      <c r="A111" s="28" t="str">
        <f aca="false">IF(Tasks[[#This Row],[Task Name]]="","",COUNTA(Tasks[[#Headers],[Task Name]]:Tasks[[#This Row],[Task Name]])-1)</f>
        <v/>
      </c>
      <c r="B111" s="29" t="n">
        <v>106</v>
      </c>
      <c r="C11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1" s="29"/>
      <c r="E111" s="30"/>
      <c r="F111" s="29"/>
      <c r="G111" s="29"/>
      <c r="H111" s="29"/>
      <c r="I111" s="29"/>
      <c r="J111" s="29"/>
      <c r="K111" s="29"/>
      <c r="L111" s="29"/>
      <c r="M111" s="29"/>
      <c r="N111" s="73"/>
      <c r="O111" s="73"/>
      <c r="P111" s="25" t="str">
        <f aca="false">IF(Tasks[[#This Row],[Task Name]]="","",IF(N(Tasks[[#This Row],[Baseline Start]])&gt;0,Tasks[[#This Row],[Baseline Start]],Tasks[[#This Row],[_CalcStart]]))</f>
        <v/>
      </c>
      <c r="Q111" s="25" t="str">
        <f aca="false">IF(Tasks[[#This Row],[Task Name]]="","",IF(N(Tasks[[#This Row],[Baseline Finish]])&gt;0,Tasks[[#This Row],[Baseline Finish]],Tasks[[#This Row],[_CalcFinish]]))</f>
        <v/>
      </c>
      <c r="R111" s="73"/>
      <c r="S111" s="73"/>
      <c r="T111" s="25" t="str">
        <f aca="false">IF(Tasks[[#This Row],[Task Name]]="","",IF(Tasks[[#This Row],[_IsSummary]],MIN(INDEX(Tasks[_LeafFcstStart],Tasks[[#This Row],[_Row]]+1):INDEX(Tasks[_LeafFcstStart],Tasks[[#This Row],[_Row]]+Tasks[[#This Row],[_Descendants]])),Tasks[[#This Row],[_LeafFcstStart]]))</f>
        <v/>
      </c>
      <c r="U111" s="25" t="str">
        <f aca="false">IF(Tasks[[#This Row],[Task Name]]="","",IF(Tasks[[#This Row],[_IsSummary]],MAX(INDEX(Tasks[_LeafFcstFinish],Tasks[[#This Row],[_Row]]+1):INDEX(Tasks[_LeafFcstFinish],Tasks[[#This Row],[_Row]]+Tasks[[#This Row],[_Descendants]])),Tasks[[#This Row],[_LeafFcstFinish]]))</f>
        <v/>
      </c>
      <c r="V11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1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1" s="25" t="str">
        <f aca="false">IF(Tasks[[#This Row],[Task Name]]="","",IF(Tasks[[#This Row],[_IsSummary]],MIN(INDEX(Tasks[_LeafLateStart],Tasks[[#This Row],[_Row]]+1):INDEX(Tasks[_LeafLateStart],Tasks[[#This Row],[_Row]]+Tasks[[#This Row],[_Descendants]])),Tasks[[#This Row],[_LeafLateStart]]))</f>
        <v/>
      </c>
      <c r="Y111" s="25" t="str">
        <f aca="false">IF(Tasks[[#This Row],[Task Name]]="","",IF(Tasks[[#This Row],[_IsSummary]],MAX(INDEX(Tasks[_LeafLateFinish],Tasks[[#This Row],[_Row]]+1):INDEX(Tasks[_LeafLateFinish],Tasks[[#This Row],[_Row]]+Tasks[[#This Row],[_Descendants]])),Tasks[[#This Row],[_LeafLateFinish]]))</f>
        <v/>
      </c>
      <c r="Z111" s="43" t="str">
        <f aca="false">IF(Tasks[[#This Row],[Task Name]]="","",IF(Tasks[[#This Row],[_IsSummary]],MIN(INDEX(Tasks[_LeafTotalSlack],Tasks[[#This Row],[_Row]]+1):INDEX(Tasks[_LeafTotalSlack],Tasks[[#This Row],[_Row]]+Tasks[[#This Row],[_Descendants]])),Tasks[[#This Row],[_LeafTotalSlack]]))</f>
        <v/>
      </c>
      <c r="AA11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1" s="28" t="str">
        <f aca="false">IF(Tasks[[#This Row],[Task Name]]="","",IF(IF(Tasks[[#This Row],[_IsSummary]],COUNTIF(INDEX(Tasks[_LeafCritical],Tasks[[#This Row],[_Row]]+1):INDEX(Tasks[_LeafCritical],Tasks[[#This Row],[_Row]]+Tasks[[#This Row],[_Descendants]]),TRUE())&gt;0,Tasks[[#This Row],[_LeafCritical]]),"Yes",""))</f>
        <v/>
      </c>
      <c r="AC11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1" s="24" t="str">
        <f aca="false">IF(Tasks[[#This Row],[Task Name]]="","",TRIM(IF(Tasks[[#This Row],[_Pred1Problem]]&lt;&gt;"","Pred 1: "&amp;Tasks[[#This Row],[_Pred1Problem]]&amp;". ","")&amp;IF(Tasks[[#This Row],[_Pred2Problem]]&lt;&gt;"","Pred 2: "&amp;Tasks[[#This Row],[_Pred2Problem]]&amp;".","")))</f>
        <v/>
      </c>
      <c r="AE111" s="88"/>
      <c r="AF111"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1" s="28" t="str">
        <f aca="false">IF(Tasks[[#This Row],[Task Name]]="","",IF(Tasks[[#This Row],[Progress]]&gt;=1,"Complete",IF(OR(N(Tasks[[#This Row],[Actual Start]])&gt;0,Tasks[[#This Row],[Progress]]&gt;0),IF(Tasks[[#This Row],[Finish Var]]&gt;0,"Behind","In Progress"),IF(Tasks[[#This Row],[Planned Start]]&lt;StatusDate,"Late Start","Not Started"))))</f>
        <v/>
      </c>
      <c r="AH111" s="30"/>
      <c r="AI111" s="88"/>
      <c r="AJ111" s="95" t="str">
        <f aca="false">IF(Tasks[[#This Row],[Task Name]]="","",IF(Tasks[[#This Row],[_IsSummary]],SUM(INDEX(Tasks[_LeafWork],Tasks[[#This Row],[_Row]]+1):INDEX(Tasks[_LeafWork],Tasks[[#This Row],[_Row]]+Tasks[[#This Row],[_Descendants]])),Tasks[[#This Row],[_LeafWork]]))</f>
        <v/>
      </c>
      <c r="AK111" s="96" t="str">
        <f aca="false">IF(Tasks[[#This Row],[Task Name]]="","",IF(Tasks[[#This Row],[_IsSummary]],SUM(INDEX(Tasks[_LeafCost],Tasks[[#This Row],[_Row]]+1):INDEX(Tasks[_LeafCost],Tasks[[#This Row],[_Row]]+Tasks[[#This Row],[_Descendants]])),Tasks[[#This Row],[_LeafCost]]))</f>
        <v/>
      </c>
      <c r="AL111" s="97"/>
      <c r="AM111" s="29"/>
      <c r="AN11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11" s="82"/>
      <c r="AP111" s="24" t="str">
        <f aca="false">IF(Tasks[[#This Row],[Task Name]]="","",Tasks[[#This Row],[_Pred1IDText]]&amp;IF(AND(Tasks[[#This Row],[_Pred1IDText]]&lt;&gt;"",Tasks[[#This Row],[_Pred2IDText]]&lt;&gt;""),",","")&amp;Tasks[[#This Row],[_Pred2IDText]])</f>
        <v/>
      </c>
      <c r="AQ111" s="30"/>
      <c r="AR111" s="25" t="str">
        <f aca="false">IF(Tasks[[#This Row],[Task Name]]="","",Tasks[[#This Row],[Forecast Start]])</f>
        <v/>
      </c>
      <c r="AS111" s="25" t="str">
        <f aca="false">IF(Tasks[[#This Row],[Task Name]]="","",Tasks[[#This Row],[Forecast Finish]])</f>
        <v/>
      </c>
      <c r="AT111" s="28" t="str">
        <f aca="false">IF(Tasks[[#This Row],[Task Name]]="","",IF(Tasks[[#This Row],[_IsSummary]],NETWORKDAYS.INTL(Tasks[[#This Row],[Forecast Start]],Tasks[[#This Row],[Forecast Finish]],WorkWeek,Holidays),N(Tasks[[#This Row],[Duration]])))</f>
        <v/>
      </c>
      <c r="AU111" s="95" t="str">
        <f aca="false">IF(Tasks[[#This Row],[Task Name]]="","",Tasks[[#This Row],[Work]])</f>
        <v/>
      </c>
      <c r="AV111" s="96" t="str">
        <f aca="false">IF(Tasks[[#This Row],[Task Name]]="","",Tasks[[#This Row],[Cost]])</f>
        <v/>
      </c>
      <c r="AW111" s="73"/>
      <c r="AX111" s="73"/>
      <c r="AY111" s="29"/>
      <c r="AZ111" s="98"/>
      <c r="BA111" s="97"/>
      <c r="BB111" s="28" t="str">
        <f aca="false">IF(OR(Tasks[[#This Row],[Task Name]]="",Tasks[[#This Row],[Baseline Duration]]=""),"",Tasks[[#This Row],[BL Source Duration]]-N(Tasks[[#This Row],[Baseline Duration]]))</f>
        <v/>
      </c>
      <c r="BC111" s="95" t="str">
        <f aca="false">IF(OR(Tasks[[#This Row],[Task Name]]="",Tasks[[#This Row],[Baseline Work]]=""),"",Tasks[[#This Row],[Work]]-N(Tasks[[#This Row],[Baseline Work]]))</f>
        <v/>
      </c>
      <c r="BD111" s="96" t="str">
        <f aca="false">IF(OR(Tasks[[#This Row],[Task Name]]="",Tasks[[#This Row],[Baseline Cost]]=""),"",Tasks[[#This Row],[Cost]]-N(Tasks[[#This Row],[Baseline Cost]]))</f>
        <v/>
      </c>
      <c r="BE111" s="96" t="str">
        <f aca="false">IF(Tasks[[#This Row],[Task Name]]="","",IF(Tasks[[#This Row],[_IsSummary]],SUM(INDEX(Tasks[_LeafBudget],Tasks[[#This Row],[_Row]]+1):INDEX(Tasks[_LeafBudget],Tasks[[#This Row],[_Row]]+Tasks[[#This Row],[_Descendants]])),Tasks[[#This Row],[_LeafBudget]]))</f>
        <v/>
      </c>
      <c r="BF111" s="96" t="str">
        <f aca="false">IF(Tasks[[#This Row],[Task Name]]="","",IF(Tasks[[#This Row],[_IsSummary]],SUM(INDEX(Tasks[_LeafPV],Tasks[[#This Row],[_Row]]+1):INDEX(Tasks[_LeafPV],Tasks[[#This Row],[_Row]]+Tasks[[#This Row],[_Descendants]])),Tasks[[#This Row],[_LeafPV]]))</f>
        <v/>
      </c>
      <c r="BG111" s="96" t="str">
        <f aca="false">IF(Tasks[[#This Row],[Task Name]]="","",IF(Tasks[[#This Row],[_IsSummary]],SUM(INDEX(Tasks[_LeafEV],Tasks[[#This Row],[_Row]]+1):INDEX(Tasks[_LeafEV],Tasks[[#This Row],[_Row]]+Tasks[[#This Row],[_Descendants]])),Tasks[[#This Row],[_LeafEV]]))</f>
        <v/>
      </c>
      <c r="BH111" s="96" t="str">
        <f aca="false">IF(Tasks[[#This Row],[Task Name]]="","",IF(Tasks[[#This Row],[_IsSummary]],SUM(INDEX(Tasks[_LeafAC],Tasks[[#This Row],[_Row]]+1):INDEX(Tasks[_LeafAC],Tasks[[#This Row],[_Row]]+Tasks[[#This Row],[_Descendants]])),Tasks[[#This Row],[_LeafAC]]))</f>
        <v/>
      </c>
      <c r="BI111" s="41" t="str">
        <f aca="false">IF(Tasks[[#This Row],[Task Name]]="","",MAX(1,N(Tasks[[#This Row],[Level]])))</f>
        <v/>
      </c>
      <c r="BJ111" s="41" t="n">
        <f aca="false">ROW()-ROW(Tasks[[#Headers],[ID]])</f>
        <v>106</v>
      </c>
      <c r="BK111" s="41" t="n">
        <f aca="false">IF(OR(Tasks[[#This Row],[Task Name]]="",Tasks[[#This Row],[_Level]]&lt;=1),0,IFERROR(LOOKUP(2,1/(Tasks[[#Headers],[_Level]]:Tasks[[#This Row],[_Level]]=Tasks[[#This Row],[_Level]]-1),ROW(Tasks[[#Headers],[_Level]]:Tasks[[#This Row],[_Level]])),0))</f>
        <v>0</v>
      </c>
      <c r="BL111" s="41" t="n">
        <f aca="false">IFERROR(N(INDEX(Tasks[_Level],Tasks[[#This Row],[_Row]]+1)),0)</f>
        <v>0</v>
      </c>
      <c r="BM111" s="99" t="b">
        <f aca="false">AND(Tasks[[#This Row],[Task Name]]&lt;&gt;"",Tasks[[#This Row],[_NextLevel]]&gt;Tasks[[#This Row],[_Level]])</f>
        <v>0</v>
      </c>
      <c r="BN111" s="41" t="n">
        <f aca="false">IF(Tasks[[#This Row],[_IsSummary]],COUNTIF(Tasks[WBS],Tasks[[#This Row],[WBS]]&amp;".*"),0)</f>
        <v>0</v>
      </c>
      <c r="BO111" s="41" t="n">
        <f aca="false">IF(AND(Tasks[[#This Row],[Task Name]]&lt;&gt;"",NOT(Tasks[[#This Row],[_IsSummary]])),1,0)</f>
        <v>0</v>
      </c>
      <c r="BP111" s="41" t="n">
        <f aca="false">IF(N(Tasks[[#This Row],[Pred1 UID]])=0,0,IFERROR(MATCH(Tasks[[#This Row],[Pred1 UID]],Tasks[UID],0),-1))</f>
        <v>0</v>
      </c>
      <c r="BQ111" s="41" t="n">
        <f aca="false">IF(N(Tasks[[#This Row],[Pred2 UID]])=0,0,IFERROR(MATCH(Tasks[[#This Row],[Pred2 UID]],Tasks[UID],0),-1))</f>
        <v>0</v>
      </c>
      <c r="BR111"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11" s="100" t="str">
        <f aca="false">IF(NOT(Tasks[[#This Row],[_IsLeaf]]=1),"",IF(N(Tasks[[#This Row],[Duration]])&lt;=0,Tasks[[#This Row],[_LeafCalcStart]],WORKDAY.INTL(Tasks[[#This Row],[_LeafCalcStart]],Tasks[[#This Row],[Duration]]-1,WorkWeek,Holidays)))</f>
        <v/>
      </c>
      <c r="BT111"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11"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11" s="41" t="n">
        <f aca="false">IF(NOT(Tasks[[#This Row],[_IsLeaf]]=1),0,IF(N(Tasks[[#This Row],[Actual Finish]])&gt;0,1,MIN(1,N(Tasks[[#This Row],[% Complete]]))))</f>
        <v>0</v>
      </c>
      <c r="BW111" s="41" t="n">
        <f aca="false">IF(OR(NOT(Tasks[[#This Row],[_IsLeaf]]=1),Tasks[[#This Row],[Resource]]=""),0,N(Tasks[[#This Row],[Duration]])*HoursPerDay*IF(Tasks[[#This Row],[Units]]="",DefaultUnits,Tasks[[#This Row],[Units]]))</f>
        <v>0</v>
      </c>
      <c r="BX111" s="41" t="n">
        <f aca="false">IF(Tasks[[#This Row],[_LeafWork]]=0,0,Tasks[[#This Row],[_LeafWork]]*IFERROR(INDEX(res_Rate,MATCH(Tasks[[#This Row],[Resource]],res_Name,0)),0))</f>
        <v>0</v>
      </c>
      <c r="BY11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1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1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1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11" s="41" t="n">
        <f aca="false">IF(NOT(Tasks[[#This Row],[_IsLeaf]]=1),0,MAX(_xlfn.MAXIFS(Tasks[_Row],Tasks[Pred1 UID],Tasks[[#This Row],[UID]]),_xlfn.MAXIFS(Tasks[_Row],Tasks[Pred2 UID],Tasks[[#This Row],[UID]])))</f>
        <v>0</v>
      </c>
      <c r="CD111"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11" s="100" t="str">
        <f aca="false">IF(NOT(Tasks[[#This Row],[_IsLeaf]]=1),"",MIN(ProjectFinish,IF(N(Tasks[[#This Row],[Deadline]])&gt;0,Tasks[[#This Row],[Deadline]],2958465),Tasks[[#This Row],[_SuccessorFinishLimit]]))</f>
        <v/>
      </c>
      <c r="CF111" s="100" t="str">
        <f aca="false">IF(NOT(Tasks[[#This Row],[_IsLeaf]]=1),"",IF(N(Tasks[[#This Row],[Duration]])&lt;=0,Tasks[[#This Row],[_LeafLateFinish]],WORKDAY.INTL(Tasks[[#This Row],[_LeafLateFinish]],-(Tasks[[#This Row],[Duration]]-1),WorkWeek,Holidays)))</f>
        <v/>
      </c>
      <c r="CG11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11" s="99" t="b">
        <f aca="false">AND(Tasks[[#This Row],[_IsLeaf]]=1,Tasks[[#This Row],[_LeafProgress]]&lt;1,N(Tasks[[#This Row],[_LeafTotalSlack]])&lt;=CriticalSlackDays)</f>
        <v>0</v>
      </c>
      <c r="CI111" s="100" t="str">
        <f aca="false">IF(Tasks[[#This Row],[Task Name]]="","",IF(Tasks[[#This Row],[_IsSummary]],MIN(INDEX(Tasks[_LeafCalcStart],Tasks[[#This Row],[_Row]]+1):INDEX(Tasks[_LeafCalcStart],Tasks[[#This Row],[_Row]]+Tasks[[#This Row],[_Descendants]])),Tasks[[#This Row],[_LeafCalcStart]]))</f>
        <v/>
      </c>
      <c r="CJ111" s="100" t="str">
        <f aca="false">IF(Tasks[[#This Row],[Task Name]]="","",IF(Tasks[[#This Row],[_IsSummary]],MAX(INDEX(Tasks[_LeafCalcFinish],Tasks[[#This Row],[_Row]]+1):INDEX(Tasks[_LeafCalcFinish],Tasks[[#This Row],[_Row]]+Tasks[[#This Row],[_Descendants]])),Tasks[[#This Row],[_LeafCalcFinish]]))</f>
        <v/>
      </c>
      <c r="CK11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1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11"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11"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11"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11"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11" s="41" t="n">
        <f aca="false">IF(AND(Tasks[[#This Row],[_IsLeaf]]=1,Tasks[[#This Row],[_LeafWork]]&gt;0),NETWORKDAYS.INTL(ProjectStart,Tasks[[#This Row],[_LeafFcstStart]],WorkWeek,Holidays),0)</f>
        <v>0</v>
      </c>
      <c r="CR111" s="41" t="n">
        <f aca="false">IF(AND(Tasks[[#This Row],[_IsLeaf]]=1,Tasks[[#This Row],[_LeafWork]]&gt;0),MAX(Tasks[[#This Row],[_StartWorkday]],NETWORKDAYS.INTL(ProjectStart,Tasks[[#This Row],[_LeafFcstFinish]],WorkWeek,Holidays)),0)</f>
        <v>0</v>
      </c>
      <c r="CS111" s="41" t="n">
        <f aca="false">IF(AND(Tasks[[#This Row],[_IsLeaf]]=1,Tasks[[#This Row],[_LeafWork]]&gt;0),Tasks[[#This Row],[_LeafWork]]/(Tasks[[#This Row],[_FinishWorkday]]-Tasks[[#This Row],[_StartWorkday]]+1),0)</f>
        <v>0</v>
      </c>
      <c r="CT111" s="41" t="n">
        <f aca="false">Tasks[[#This Row],[_WorkPerWorkday]]*(Tasks[[#This Row],[_StartWorkday]]-1)</f>
        <v>-0</v>
      </c>
      <c r="CU111" s="41" t="n">
        <f aca="false">IF(Tasks[[#This Row],[_IsLeaf]]=1,MAX(N(Tasks[[#This Row],[Duration]]),0.1),0)</f>
        <v>0</v>
      </c>
      <c r="CV111" s="41" t="n">
        <f aca="false">Tasks[[#This Row],[_WeightDur]]*Tasks[[#This Row],[_LeafProgress]]</f>
        <v>0</v>
      </c>
      <c r="CW11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1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1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1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11" s="41" t="str">
        <f aca="false">IF(Tasks[[#This Row],[Task Name]]="","",Tasks[[#This Row],[_Pred1UIDText]]&amp;IF(AND(Tasks[[#This Row],[_Pred1UIDText]]&lt;&gt;"",Tasks[[#This Row],[_Pred2UIDText]]&lt;&gt;""),",","")&amp;Tasks[[#This Row],[_Pred2UIDText]])</f>
        <v/>
      </c>
      <c r="DB111" s="41" t="str">
        <f aca="false">IF(AND(Tasks[[#This Row],[_IsLeaf]]=1,N(Tasks[[#This Row],[Duration]])=0,Tasks[[#This Row],[_LeafProgress]]&lt;1),Tasks[[#This Row],[_LeafFcstFinish]]+Tasks[[#This Row],[_Row]]/100000,"")</f>
        <v/>
      </c>
      <c r="DC11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11" s="41" t="n">
        <f aca="false">IF(NOT(Tasks[[#This Row],[_IsLeaf]]=1),0,IF(Tasks[[#This Row],[Baseline Cost]]="",Tasks[[#This Row],[_LeafCost]],N(Tasks[[#This Row],[Baseline Cost]])))</f>
        <v>0</v>
      </c>
      <c r="DE111" s="41" t="n">
        <f aca="false">Tasks[[#This Row],[_LeafBudget]]*Tasks[[#This Row],[_PlannedPct]]</f>
        <v>0</v>
      </c>
      <c r="DF111" s="41" t="n">
        <f aca="false">Tasks[[#This Row],[_LeafBudget]]*Tasks[[#This Row],[_LeafProgress]]</f>
        <v>0</v>
      </c>
      <c r="DG111" s="41" t="n">
        <f aca="false">IF(NOT(Tasks[[#This Row],[_IsLeaf]]=1),0,IF(Tasks[[#This Row],[Actual Cost]]="",Tasks[[#This Row],[_LeafCost]]*Tasks[[#This Row],[_LeafProgress]],N(Tasks[[#This Row],[Actual Cost]])))</f>
        <v>0</v>
      </c>
      <c r="DH111" s="41" t="str">
        <f aca="false">IF(Tasks[[#This Row],[Task Name]]="","",LEFT(Tasks[[#This Row],[WBS]],FIND(".",Tasks[[#This Row],[WBS]]&amp;".")-1))</f>
        <v/>
      </c>
      <c r="DI111" s="41" t="str">
        <f aca="false">IF(AND(Tasks[[#This Row],[Task Name]]&lt;&gt;"",Tasks[[#This Row],[_Level]]=1),Tasks[[#This Row],[_Row]],"")</f>
        <v/>
      </c>
      <c r="DJ111" s="41" t="str">
        <f aca="false">IF(AND(Tasks[[#This Row],[_IsLeaf]]=1,N(Tasks[[#This Row],[Duration]])=0),Tasks[[#This Row],[Planned Finish]]+Tasks[[#This Row],[_Row]]/100000,"")</f>
        <v/>
      </c>
      <c r="DK111" s="41" t="str">
        <f aca="false">IF(AND(Tasks[[#This Row],[_IsLeaf]]=1,Tasks[[#This Row],[_LeafProgress]]&lt;1,OR(N(Tasks[[#This Row],[Finish Var]])&gt;0,Tasks[[#This Row],[Status]]="Late Start")),MAX(0,Tasks[[#This Row],[Finish Var]])+1-Tasks[[#This Row],[_Row]]/1000000,"")</f>
        <v/>
      </c>
      <c r="DL111" s="41" t="str">
        <f aca="false">IF(AND(Tasks[[#This Row],[_IsLeaf]]=1,N(Tasks[[#This Row],[Actual Start]])=0,Tasks[[#This Row],[_LeafFcstStart]]&gt;=StatusDate,Tasks[[#This Row],[_LeafFcstStart]]&lt;=LookaheadEnd),Tasks[[#This Row],[_LeafFcstStart]]+Tasks[[#This Row],[_Row]]/100000,"")</f>
        <v/>
      </c>
      <c r="DM111" s="41" t="str">
        <f aca="false">IF(AND(Tasks[[#This Row],[_IsLeaf]]=1,Tasks[[#This Row],[_LeafProgress]]&lt;1,Tasks[[#This Row],[_LeafFcstFinish]]&gt;=StatusDate,Tasks[[#This Row],[_LeafFcstFinish]]&lt;=LookaheadEnd),Tasks[[#This Row],[_LeafFcstFinish]]+Tasks[[#This Row],[_Row]]/100000,"")</f>
        <v/>
      </c>
      <c r="DN111" s="41" t="str">
        <f aca="false">IF(Tasks[[#This Row],[_LeafCritical]],Tasks[[#This Row],[_LeafFcstStart]]+Tasks[[#This Row],[_Row]]/100000,"")</f>
        <v/>
      </c>
      <c r="DO111" s="41" t="n">
        <f aca="false">Tasks[[#This Row],[_LeafWork]]*Tasks[[#This Row],[_LeafProgress]]</f>
        <v>0</v>
      </c>
      <c r="DP111" s="100" t="str">
        <f aca="false">IF(AND(Tasks[[#This Row],[_IsLeaf]]=1,Tasks[[#This Row],[_LeafProgress]]&gt;=1),IF(N(Tasks[[#This Row],[Actual Finish]])&gt;0,Tasks[[#This Row],[Actual Finish]],Tasks[[#This Row],[_LeafFcstFinish]]),"")</f>
        <v/>
      </c>
      <c r="DQ111" s="41" t="n">
        <f aca="false">IF(Tasks[[#This Row],[_IsLeaf]]=1,N(Tasks[[#This Row],[Story Points]]),0)</f>
        <v>0</v>
      </c>
      <c r="DR111" s="41" t="str">
        <f aca="false">IF(AND(Tasks[[#This Row],[_IsLeaf]]=1,CurrentSprint&lt;&gt;"",Tasks[[#This Row],[Sprint]]=CurrentSprint),Tasks[[#This Row],[_Row]],"")</f>
        <v/>
      </c>
    </row>
    <row r="112" customFormat="false" ht="15" hidden="false" customHeight="false" outlineLevel="0" collapsed="false">
      <c r="A112" s="28" t="str">
        <f aca="false">IF(Tasks[[#This Row],[Task Name]]="","",COUNTA(Tasks[[#Headers],[Task Name]]:Tasks[[#This Row],[Task Name]])-1)</f>
        <v/>
      </c>
      <c r="B112" s="29" t="n">
        <v>107</v>
      </c>
      <c r="C11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2" s="29"/>
      <c r="E112" s="30"/>
      <c r="F112" s="29"/>
      <c r="G112" s="29"/>
      <c r="H112" s="29"/>
      <c r="I112" s="29"/>
      <c r="J112" s="29"/>
      <c r="K112" s="29"/>
      <c r="L112" s="29"/>
      <c r="M112" s="29"/>
      <c r="N112" s="73"/>
      <c r="O112" s="73"/>
      <c r="P112" s="25" t="str">
        <f aca="false">IF(Tasks[[#This Row],[Task Name]]="","",IF(N(Tasks[[#This Row],[Baseline Start]])&gt;0,Tasks[[#This Row],[Baseline Start]],Tasks[[#This Row],[_CalcStart]]))</f>
        <v/>
      </c>
      <c r="Q112" s="25" t="str">
        <f aca="false">IF(Tasks[[#This Row],[Task Name]]="","",IF(N(Tasks[[#This Row],[Baseline Finish]])&gt;0,Tasks[[#This Row],[Baseline Finish]],Tasks[[#This Row],[_CalcFinish]]))</f>
        <v/>
      </c>
      <c r="R112" s="73"/>
      <c r="S112" s="73"/>
      <c r="T112" s="25" t="str">
        <f aca="false">IF(Tasks[[#This Row],[Task Name]]="","",IF(Tasks[[#This Row],[_IsSummary]],MIN(INDEX(Tasks[_LeafFcstStart],Tasks[[#This Row],[_Row]]+1):INDEX(Tasks[_LeafFcstStart],Tasks[[#This Row],[_Row]]+Tasks[[#This Row],[_Descendants]])),Tasks[[#This Row],[_LeafFcstStart]]))</f>
        <v/>
      </c>
      <c r="U112" s="25" t="str">
        <f aca="false">IF(Tasks[[#This Row],[Task Name]]="","",IF(Tasks[[#This Row],[_IsSummary]],MAX(INDEX(Tasks[_LeafFcstFinish],Tasks[[#This Row],[_Row]]+1):INDEX(Tasks[_LeafFcstFinish],Tasks[[#This Row],[_Row]]+Tasks[[#This Row],[_Descendants]])),Tasks[[#This Row],[_LeafFcstFinish]]))</f>
        <v/>
      </c>
      <c r="V11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1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2" s="25" t="str">
        <f aca="false">IF(Tasks[[#This Row],[Task Name]]="","",IF(Tasks[[#This Row],[_IsSummary]],MIN(INDEX(Tasks[_LeafLateStart],Tasks[[#This Row],[_Row]]+1):INDEX(Tasks[_LeafLateStart],Tasks[[#This Row],[_Row]]+Tasks[[#This Row],[_Descendants]])),Tasks[[#This Row],[_LeafLateStart]]))</f>
        <v/>
      </c>
      <c r="Y112" s="25" t="str">
        <f aca="false">IF(Tasks[[#This Row],[Task Name]]="","",IF(Tasks[[#This Row],[_IsSummary]],MAX(INDEX(Tasks[_LeafLateFinish],Tasks[[#This Row],[_Row]]+1):INDEX(Tasks[_LeafLateFinish],Tasks[[#This Row],[_Row]]+Tasks[[#This Row],[_Descendants]])),Tasks[[#This Row],[_LeafLateFinish]]))</f>
        <v/>
      </c>
      <c r="Z112" s="43" t="str">
        <f aca="false">IF(Tasks[[#This Row],[Task Name]]="","",IF(Tasks[[#This Row],[_IsSummary]],MIN(INDEX(Tasks[_LeafTotalSlack],Tasks[[#This Row],[_Row]]+1):INDEX(Tasks[_LeafTotalSlack],Tasks[[#This Row],[_Row]]+Tasks[[#This Row],[_Descendants]])),Tasks[[#This Row],[_LeafTotalSlack]]))</f>
        <v/>
      </c>
      <c r="AA11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2" s="28" t="str">
        <f aca="false">IF(Tasks[[#This Row],[Task Name]]="","",IF(IF(Tasks[[#This Row],[_IsSummary]],COUNTIF(INDEX(Tasks[_LeafCritical],Tasks[[#This Row],[_Row]]+1):INDEX(Tasks[_LeafCritical],Tasks[[#This Row],[_Row]]+Tasks[[#This Row],[_Descendants]]),TRUE())&gt;0,Tasks[[#This Row],[_LeafCritical]]),"Yes",""))</f>
        <v/>
      </c>
      <c r="AC11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2" s="24" t="str">
        <f aca="false">IF(Tasks[[#This Row],[Task Name]]="","",TRIM(IF(Tasks[[#This Row],[_Pred1Problem]]&lt;&gt;"","Pred 1: "&amp;Tasks[[#This Row],[_Pred1Problem]]&amp;". ","")&amp;IF(Tasks[[#This Row],[_Pred2Problem]]&lt;&gt;"","Pred 2: "&amp;Tasks[[#This Row],[_Pred2Problem]]&amp;".","")))</f>
        <v/>
      </c>
      <c r="AE112" s="88"/>
      <c r="AF112"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2" s="28" t="str">
        <f aca="false">IF(Tasks[[#This Row],[Task Name]]="","",IF(Tasks[[#This Row],[Progress]]&gt;=1,"Complete",IF(OR(N(Tasks[[#This Row],[Actual Start]])&gt;0,Tasks[[#This Row],[Progress]]&gt;0),IF(Tasks[[#This Row],[Finish Var]]&gt;0,"Behind","In Progress"),IF(Tasks[[#This Row],[Planned Start]]&lt;StatusDate,"Late Start","Not Started"))))</f>
        <v/>
      </c>
      <c r="AH112" s="30"/>
      <c r="AI112" s="88"/>
      <c r="AJ112" s="95" t="str">
        <f aca="false">IF(Tasks[[#This Row],[Task Name]]="","",IF(Tasks[[#This Row],[_IsSummary]],SUM(INDEX(Tasks[_LeafWork],Tasks[[#This Row],[_Row]]+1):INDEX(Tasks[_LeafWork],Tasks[[#This Row],[_Row]]+Tasks[[#This Row],[_Descendants]])),Tasks[[#This Row],[_LeafWork]]))</f>
        <v/>
      </c>
      <c r="AK112" s="96" t="str">
        <f aca="false">IF(Tasks[[#This Row],[Task Name]]="","",IF(Tasks[[#This Row],[_IsSummary]],SUM(INDEX(Tasks[_LeafCost],Tasks[[#This Row],[_Row]]+1):INDEX(Tasks[_LeafCost],Tasks[[#This Row],[_Row]]+Tasks[[#This Row],[_Descendants]])),Tasks[[#This Row],[_LeafCost]]))</f>
        <v/>
      </c>
      <c r="AL112" s="97"/>
      <c r="AM112" s="29"/>
      <c r="AN11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12" s="82"/>
      <c r="AP112" s="24" t="str">
        <f aca="false">IF(Tasks[[#This Row],[Task Name]]="","",Tasks[[#This Row],[_Pred1IDText]]&amp;IF(AND(Tasks[[#This Row],[_Pred1IDText]]&lt;&gt;"",Tasks[[#This Row],[_Pred2IDText]]&lt;&gt;""),",","")&amp;Tasks[[#This Row],[_Pred2IDText]])</f>
        <v/>
      </c>
      <c r="AQ112" s="30"/>
      <c r="AR112" s="25" t="str">
        <f aca="false">IF(Tasks[[#This Row],[Task Name]]="","",Tasks[[#This Row],[Forecast Start]])</f>
        <v/>
      </c>
      <c r="AS112" s="25" t="str">
        <f aca="false">IF(Tasks[[#This Row],[Task Name]]="","",Tasks[[#This Row],[Forecast Finish]])</f>
        <v/>
      </c>
      <c r="AT112" s="28" t="str">
        <f aca="false">IF(Tasks[[#This Row],[Task Name]]="","",IF(Tasks[[#This Row],[_IsSummary]],NETWORKDAYS.INTL(Tasks[[#This Row],[Forecast Start]],Tasks[[#This Row],[Forecast Finish]],WorkWeek,Holidays),N(Tasks[[#This Row],[Duration]])))</f>
        <v/>
      </c>
      <c r="AU112" s="95" t="str">
        <f aca="false">IF(Tasks[[#This Row],[Task Name]]="","",Tasks[[#This Row],[Work]])</f>
        <v/>
      </c>
      <c r="AV112" s="96" t="str">
        <f aca="false">IF(Tasks[[#This Row],[Task Name]]="","",Tasks[[#This Row],[Cost]])</f>
        <v/>
      </c>
      <c r="AW112" s="73"/>
      <c r="AX112" s="73"/>
      <c r="AY112" s="29"/>
      <c r="AZ112" s="98"/>
      <c r="BA112" s="97"/>
      <c r="BB112" s="28" t="str">
        <f aca="false">IF(OR(Tasks[[#This Row],[Task Name]]="",Tasks[[#This Row],[Baseline Duration]]=""),"",Tasks[[#This Row],[BL Source Duration]]-N(Tasks[[#This Row],[Baseline Duration]]))</f>
        <v/>
      </c>
      <c r="BC112" s="95" t="str">
        <f aca="false">IF(OR(Tasks[[#This Row],[Task Name]]="",Tasks[[#This Row],[Baseline Work]]=""),"",Tasks[[#This Row],[Work]]-N(Tasks[[#This Row],[Baseline Work]]))</f>
        <v/>
      </c>
      <c r="BD112" s="96" t="str">
        <f aca="false">IF(OR(Tasks[[#This Row],[Task Name]]="",Tasks[[#This Row],[Baseline Cost]]=""),"",Tasks[[#This Row],[Cost]]-N(Tasks[[#This Row],[Baseline Cost]]))</f>
        <v/>
      </c>
      <c r="BE112" s="96" t="str">
        <f aca="false">IF(Tasks[[#This Row],[Task Name]]="","",IF(Tasks[[#This Row],[_IsSummary]],SUM(INDEX(Tasks[_LeafBudget],Tasks[[#This Row],[_Row]]+1):INDEX(Tasks[_LeafBudget],Tasks[[#This Row],[_Row]]+Tasks[[#This Row],[_Descendants]])),Tasks[[#This Row],[_LeafBudget]]))</f>
        <v/>
      </c>
      <c r="BF112" s="96" t="str">
        <f aca="false">IF(Tasks[[#This Row],[Task Name]]="","",IF(Tasks[[#This Row],[_IsSummary]],SUM(INDEX(Tasks[_LeafPV],Tasks[[#This Row],[_Row]]+1):INDEX(Tasks[_LeafPV],Tasks[[#This Row],[_Row]]+Tasks[[#This Row],[_Descendants]])),Tasks[[#This Row],[_LeafPV]]))</f>
        <v/>
      </c>
      <c r="BG112" s="96" t="str">
        <f aca="false">IF(Tasks[[#This Row],[Task Name]]="","",IF(Tasks[[#This Row],[_IsSummary]],SUM(INDEX(Tasks[_LeafEV],Tasks[[#This Row],[_Row]]+1):INDEX(Tasks[_LeafEV],Tasks[[#This Row],[_Row]]+Tasks[[#This Row],[_Descendants]])),Tasks[[#This Row],[_LeafEV]]))</f>
        <v/>
      </c>
      <c r="BH112" s="96" t="str">
        <f aca="false">IF(Tasks[[#This Row],[Task Name]]="","",IF(Tasks[[#This Row],[_IsSummary]],SUM(INDEX(Tasks[_LeafAC],Tasks[[#This Row],[_Row]]+1):INDEX(Tasks[_LeafAC],Tasks[[#This Row],[_Row]]+Tasks[[#This Row],[_Descendants]])),Tasks[[#This Row],[_LeafAC]]))</f>
        <v/>
      </c>
      <c r="BI112" s="41" t="str">
        <f aca="false">IF(Tasks[[#This Row],[Task Name]]="","",MAX(1,N(Tasks[[#This Row],[Level]])))</f>
        <v/>
      </c>
      <c r="BJ112" s="41" t="n">
        <f aca="false">ROW()-ROW(Tasks[[#Headers],[ID]])</f>
        <v>107</v>
      </c>
      <c r="BK112" s="41" t="n">
        <f aca="false">IF(OR(Tasks[[#This Row],[Task Name]]="",Tasks[[#This Row],[_Level]]&lt;=1),0,IFERROR(LOOKUP(2,1/(Tasks[[#Headers],[_Level]]:Tasks[[#This Row],[_Level]]=Tasks[[#This Row],[_Level]]-1),ROW(Tasks[[#Headers],[_Level]]:Tasks[[#This Row],[_Level]])),0))</f>
        <v>0</v>
      </c>
      <c r="BL112" s="41" t="n">
        <f aca="false">IFERROR(N(INDEX(Tasks[_Level],Tasks[[#This Row],[_Row]]+1)),0)</f>
        <v>0</v>
      </c>
      <c r="BM112" s="99" t="b">
        <f aca="false">AND(Tasks[[#This Row],[Task Name]]&lt;&gt;"",Tasks[[#This Row],[_NextLevel]]&gt;Tasks[[#This Row],[_Level]])</f>
        <v>0</v>
      </c>
      <c r="BN112" s="41" t="n">
        <f aca="false">IF(Tasks[[#This Row],[_IsSummary]],COUNTIF(Tasks[WBS],Tasks[[#This Row],[WBS]]&amp;".*"),0)</f>
        <v>0</v>
      </c>
      <c r="BO112" s="41" t="n">
        <f aca="false">IF(AND(Tasks[[#This Row],[Task Name]]&lt;&gt;"",NOT(Tasks[[#This Row],[_IsSummary]])),1,0)</f>
        <v>0</v>
      </c>
      <c r="BP112" s="41" t="n">
        <f aca="false">IF(N(Tasks[[#This Row],[Pred1 UID]])=0,0,IFERROR(MATCH(Tasks[[#This Row],[Pred1 UID]],Tasks[UID],0),-1))</f>
        <v>0</v>
      </c>
      <c r="BQ112" s="41" t="n">
        <f aca="false">IF(N(Tasks[[#This Row],[Pred2 UID]])=0,0,IFERROR(MATCH(Tasks[[#This Row],[Pred2 UID]],Tasks[UID],0),-1))</f>
        <v>0</v>
      </c>
      <c r="BR112"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12" s="100" t="str">
        <f aca="false">IF(NOT(Tasks[[#This Row],[_IsLeaf]]=1),"",IF(N(Tasks[[#This Row],[Duration]])&lt;=0,Tasks[[#This Row],[_LeafCalcStart]],WORKDAY.INTL(Tasks[[#This Row],[_LeafCalcStart]],Tasks[[#This Row],[Duration]]-1,WorkWeek,Holidays)))</f>
        <v/>
      </c>
      <c r="BT112"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12"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12" s="41" t="n">
        <f aca="false">IF(NOT(Tasks[[#This Row],[_IsLeaf]]=1),0,IF(N(Tasks[[#This Row],[Actual Finish]])&gt;0,1,MIN(1,N(Tasks[[#This Row],[% Complete]]))))</f>
        <v>0</v>
      </c>
      <c r="BW112" s="41" t="n">
        <f aca="false">IF(OR(NOT(Tasks[[#This Row],[_IsLeaf]]=1),Tasks[[#This Row],[Resource]]=""),0,N(Tasks[[#This Row],[Duration]])*HoursPerDay*IF(Tasks[[#This Row],[Units]]="",DefaultUnits,Tasks[[#This Row],[Units]]))</f>
        <v>0</v>
      </c>
      <c r="BX112" s="41" t="n">
        <f aca="false">IF(Tasks[[#This Row],[_LeafWork]]=0,0,Tasks[[#This Row],[_LeafWork]]*IFERROR(INDEX(res_Rate,MATCH(Tasks[[#This Row],[Resource]],res_Name,0)),0))</f>
        <v>0</v>
      </c>
      <c r="BY11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1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1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1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12" s="41" t="n">
        <f aca="false">IF(NOT(Tasks[[#This Row],[_IsLeaf]]=1),0,MAX(_xlfn.MAXIFS(Tasks[_Row],Tasks[Pred1 UID],Tasks[[#This Row],[UID]]),_xlfn.MAXIFS(Tasks[_Row],Tasks[Pred2 UID],Tasks[[#This Row],[UID]])))</f>
        <v>0</v>
      </c>
      <c r="CD112"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12" s="100" t="str">
        <f aca="false">IF(NOT(Tasks[[#This Row],[_IsLeaf]]=1),"",MIN(ProjectFinish,IF(N(Tasks[[#This Row],[Deadline]])&gt;0,Tasks[[#This Row],[Deadline]],2958465),Tasks[[#This Row],[_SuccessorFinishLimit]]))</f>
        <v/>
      </c>
      <c r="CF112" s="100" t="str">
        <f aca="false">IF(NOT(Tasks[[#This Row],[_IsLeaf]]=1),"",IF(N(Tasks[[#This Row],[Duration]])&lt;=0,Tasks[[#This Row],[_LeafLateFinish]],WORKDAY.INTL(Tasks[[#This Row],[_LeafLateFinish]],-(Tasks[[#This Row],[Duration]]-1),WorkWeek,Holidays)))</f>
        <v/>
      </c>
      <c r="CG11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12" s="99" t="b">
        <f aca="false">AND(Tasks[[#This Row],[_IsLeaf]]=1,Tasks[[#This Row],[_LeafProgress]]&lt;1,N(Tasks[[#This Row],[_LeafTotalSlack]])&lt;=CriticalSlackDays)</f>
        <v>0</v>
      </c>
      <c r="CI112" s="100" t="str">
        <f aca="false">IF(Tasks[[#This Row],[Task Name]]="","",IF(Tasks[[#This Row],[_IsSummary]],MIN(INDEX(Tasks[_LeafCalcStart],Tasks[[#This Row],[_Row]]+1):INDEX(Tasks[_LeafCalcStart],Tasks[[#This Row],[_Row]]+Tasks[[#This Row],[_Descendants]])),Tasks[[#This Row],[_LeafCalcStart]]))</f>
        <v/>
      </c>
      <c r="CJ112" s="100" t="str">
        <f aca="false">IF(Tasks[[#This Row],[Task Name]]="","",IF(Tasks[[#This Row],[_IsSummary]],MAX(INDEX(Tasks[_LeafCalcFinish],Tasks[[#This Row],[_Row]]+1):INDEX(Tasks[_LeafCalcFinish],Tasks[[#This Row],[_Row]]+Tasks[[#This Row],[_Descendants]])),Tasks[[#This Row],[_LeafCalcFinish]]))</f>
        <v/>
      </c>
      <c r="CK11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1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12"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12"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12"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12"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12" s="41" t="n">
        <f aca="false">IF(AND(Tasks[[#This Row],[_IsLeaf]]=1,Tasks[[#This Row],[_LeafWork]]&gt;0),NETWORKDAYS.INTL(ProjectStart,Tasks[[#This Row],[_LeafFcstStart]],WorkWeek,Holidays),0)</f>
        <v>0</v>
      </c>
      <c r="CR112" s="41" t="n">
        <f aca="false">IF(AND(Tasks[[#This Row],[_IsLeaf]]=1,Tasks[[#This Row],[_LeafWork]]&gt;0),MAX(Tasks[[#This Row],[_StartWorkday]],NETWORKDAYS.INTL(ProjectStart,Tasks[[#This Row],[_LeafFcstFinish]],WorkWeek,Holidays)),0)</f>
        <v>0</v>
      </c>
      <c r="CS112" s="41" t="n">
        <f aca="false">IF(AND(Tasks[[#This Row],[_IsLeaf]]=1,Tasks[[#This Row],[_LeafWork]]&gt;0),Tasks[[#This Row],[_LeafWork]]/(Tasks[[#This Row],[_FinishWorkday]]-Tasks[[#This Row],[_StartWorkday]]+1),0)</f>
        <v>0</v>
      </c>
      <c r="CT112" s="41" t="n">
        <f aca="false">Tasks[[#This Row],[_WorkPerWorkday]]*(Tasks[[#This Row],[_StartWorkday]]-1)</f>
        <v>-0</v>
      </c>
      <c r="CU112" s="41" t="n">
        <f aca="false">IF(Tasks[[#This Row],[_IsLeaf]]=1,MAX(N(Tasks[[#This Row],[Duration]]),0.1),0)</f>
        <v>0</v>
      </c>
      <c r="CV112" s="41" t="n">
        <f aca="false">Tasks[[#This Row],[_WeightDur]]*Tasks[[#This Row],[_LeafProgress]]</f>
        <v>0</v>
      </c>
      <c r="CW11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1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1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1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12" s="41" t="str">
        <f aca="false">IF(Tasks[[#This Row],[Task Name]]="","",Tasks[[#This Row],[_Pred1UIDText]]&amp;IF(AND(Tasks[[#This Row],[_Pred1UIDText]]&lt;&gt;"",Tasks[[#This Row],[_Pred2UIDText]]&lt;&gt;""),",","")&amp;Tasks[[#This Row],[_Pred2UIDText]])</f>
        <v/>
      </c>
      <c r="DB112" s="41" t="str">
        <f aca="false">IF(AND(Tasks[[#This Row],[_IsLeaf]]=1,N(Tasks[[#This Row],[Duration]])=0,Tasks[[#This Row],[_LeafProgress]]&lt;1),Tasks[[#This Row],[_LeafFcstFinish]]+Tasks[[#This Row],[_Row]]/100000,"")</f>
        <v/>
      </c>
      <c r="DC11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12" s="41" t="n">
        <f aca="false">IF(NOT(Tasks[[#This Row],[_IsLeaf]]=1),0,IF(Tasks[[#This Row],[Baseline Cost]]="",Tasks[[#This Row],[_LeafCost]],N(Tasks[[#This Row],[Baseline Cost]])))</f>
        <v>0</v>
      </c>
      <c r="DE112" s="41" t="n">
        <f aca="false">Tasks[[#This Row],[_LeafBudget]]*Tasks[[#This Row],[_PlannedPct]]</f>
        <v>0</v>
      </c>
      <c r="DF112" s="41" t="n">
        <f aca="false">Tasks[[#This Row],[_LeafBudget]]*Tasks[[#This Row],[_LeafProgress]]</f>
        <v>0</v>
      </c>
      <c r="DG112" s="41" t="n">
        <f aca="false">IF(NOT(Tasks[[#This Row],[_IsLeaf]]=1),0,IF(Tasks[[#This Row],[Actual Cost]]="",Tasks[[#This Row],[_LeafCost]]*Tasks[[#This Row],[_LeafProgress]],N(Tasks[[#This Row],[Actual Cost]])))</f>
        <v>0</v>
      </c>
      <c r="DH112" s="41" t="str">
        <f aca="false">IF(Tasks[[#This Row],[Task Name]]="","",LEFT(Tasks[[#This Row],[WBS]],FIND(".",Tasks[[#This Row],[WBS]]&amp;".")-1))</f>
        <v/>
      </c>
      <c r="DI112" s="41" t="str">
        <f aca="false">IF(AND(Tasks[[#This Row],[Task Name]]&lt;&gt;"",Tasks[[#This Row],[_Level]]=1),Tasks[[#This Row],[_Row]],"")</f>
        <v/>
      </c>
      <c r="DJ112" s="41" t="str">
        <f aca="false">IF(AND(Tasks[[#This Row],[_IsLeaf]]=1,N(Tasks[[#This Row],[Duration]])=0),Tasks[[#This Row],[Planned Finish]]+Tasks[[#This Row],[_Row]]/100000,"")</f>
        <v/>
      </c>
      <c r="DK112" s="41" t="str">
        <f aca="false">IF(AND(Tasks[[#This Row],[_IsLeaf]]=1,Tasks[[#This Row],[_LeafProgress]]&lt;1,OR(N(Tasks[[#This Row],[Finish Var]])&gt;0,Tasks[[#This Row],[Status]]="Late Start")),MAX(0,Tasks[[#This Row],[Finish Var]])+1-Tasks[[#This Row],[_Row]]/1000000,"")</f>
        <v/>
      </c>
      <c r="DL112" s="41" t="str">
        <f aca="false">IF(AND(Tasks[[#This Row],[_IsLeaf]]=1,N(Tasks[[#This Row],[Actual Start]])=0,Tasks[[#This Row],[_LeafFcstStart]]&gt;=StatusDate,Tasks[[#This Row],[_LeafFcstStart]]&lt;=LookaheadEnd),Tasks[[#This Row],[_LeafFcstStart]]+Tasks[[#This Row],[_Row]]/100000,"")</f>
        <v/>
      </c>
      <c r="DM112" s="41" t="str">
        <f aca="false">IF(AND(Tasks[[#This Row],[_IsLeaf]]=1,Tasks[[#This Row],[_LeafProgress]]&lt;1,Tasks[[#This Row],[_LeafFcstFinish]]&gt;=StatusDate,Tasks[[#This Row],[_LeafFcstFinish]]&lt;=LookaheadEnd),Tasks[[#This Row],[_LeafFcstFinish]]+Tasks[[#This Row],[_Row]]/100000,"")</f>
        <v/>
      </c>
      <c r="DN112" s="41" t="str">
        <f aca="false">IF(Tasks[[#This Row],[_LeafCritical]],Tasks[[#This Row],[_LeafFcstStart]]+Tasks[[#This Row],[_Row]]/100000,"")</f>
        <v/>
      </c>
      <c r="DO112" s="41" t="n">
        <f aca="false">Tasks[[#This Row],[_LeafWork]]*Tasks[[#This Row],[_LeafProgress]]</f>
        <v>0</v>
      </c>
      <c r="DP112" s="100" t="str">
        <f aca="false">IF(AND(Tasks[[#This Row],[_IsLeaf]]=1,Tasks[[#This Row],[_LeafProgress]]&gt;=1),IF(N(Tasks[[#This Row],[Actual Finish]])&gt;0,Tasks[[#This Row],[Actual Finish]],Tasks[[#This Row],[_LeafFcstFinish]]),"")</f>
        <v/>
      </c>
      <c r="DQ112" s="41" t="n">
        <f aca="false">IF(Tasks[[#This Row],[_IsLeaf]]=1,N(Tasks[[#This Row],[Story Points]]),0)</f>
        <v>0</v>
      </c>
      <c r="DR112" s="41" t="str">
        <f aca="false">IF(AND(Tasks[[#This Row],[_IsLeaf]]=1,CurrentSprint&lt;&gt;"",Tasks[[#This Row],[Sprint]]=CurrentSprint),Tasks[[#This Row],[_Row]],"")</f>
        <v/>
      </c>
    </row>
    <row r="113" customFormat="false" ht="15" hidden="false" customHeight="false" outlineLevel="0" collapsed="false">
      <c r="A113" s="28" t="str">
        <f aca="false">IF(Tasks[[#This Row],[Task Name]]="","",COUNTA(Tasks[[#Headers],[Task Name]]:Tasks[[#This Row],[Task Name]])-1)</f>
        <v/>
      </c>
      <c r="B113" s="29" t="n">
        <v>108</v>
      </c>
      <c r="C11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3" s="29"/>
      <c r="E113" s="30"/>
      <c r="F113" s="29"/>
      <c r="G113" s="29"/>
      <c r="H113" s="29"/>
      <c r="I113" s="29"/>
      <c r="J113" s="29"/>
      <c r="K113" s="29"/>
      <c r="L113" s="29"/>
      <c r="M113" s="29"/>
      <c r="N113" s="73"/>
      <c r="O113" s="73"/>
      <c r="P113" s="25" t="str">
        <f aca="false">IF(Tasks[[#This Row],[Task Name]]="","",IF(N(Tasks[[#This Row],[Baseline Start]])&gt;0,Tasks[[#This Row],[Baseline Start]],Tasks[[#This Row],[_CalcStart]]))</f>
        <v/>
      </c>
      <c r="Q113" s="25" t="str">
        <f aca="false">IF(Tasks[[#This Row],[Task Name]]="","",IF(N(Tasks[[#This Row],[Baseline Finish]])&gt;0,Tasks[[#This Row],[Baseline Finish]],Tasks[[#This Row],[_CalcFinish]]))</f>
        <v/>
      </c>
      <c r="R113" s="73"/>
      <c r="S113" s="73"/>
      <c r="T113" s="25" t="str">
        <f aca="false">IF(Tasks[[#This Row],[Task Name]]="","",IF(Tasks[[#This Row],[_IsSummary]],MIN(INDEX(Tasks[_LeafFcstStart],Tasks[[#This Row],[_Row]]+1):INDEX(Tasks[_LeafFcstStart],Tasks[[#This Row],[_Row]]+Tasks[[#This Row],[_Descendants]])),Tasks[[#This Row],[_LeafFcstStart]]))</f>
        <v/>
      </c>
      <c r="U113" s="25" t="str">
        <f aca="false">IF(Tasks[[#This Row],[Task Name]]="","",IF(Tasks[[#This Row],[_IsSummary]],MAX(INDEX(Tasks[_LeafFcstFinish],Tasks[[#This Row],[_Row]]+1):INDEX(Tasks[_LeafFcstFinish],Tasks[[#This Row],[_Row]]+Tasks[[#This Row],[_Descendants]])),Tasks[[#This Row],[_LeafFcstFinish]]))</f>
        <v/>
      </c>
      <c r="V11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1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3" s="25" t="str">
        <f aca="false">IF(Tasks[[#This Row],[Task Name]]="","",IF(Tasks[[#This Row],[_IsSummary]],MIN(INDEX(Tasks[_LeafLateStart],Tasks[[#This Row],[_Row]]+1):INDEX(Tasks[_LeafLateStart],Tasks[[#This Row],[_Row]]+Tasks[[#This Row],[_Descendants]])),Tasks[[#This Row],[_LeafLateStart]]))</f>
        <v/>
      </c>
      <c r="Y113" s="25" t="str">
        <f aca="false">IF(Tasks[[#This Row],[Task Name]]="","",IF(Tasks[[#This Row],[_IsSummary]],MAX(INDEX(Tasks[_LeafLateFinish],Tasks[[#This Row],[_Row]]+1):INDEX(Tasks[_LeafLateFinish],Tasks[[#This Row],[_Row]]+Tasks[[#This Row],[_Descendants]])),Tasks[[#This Row],[_LeafLateFinish]]))</f>
        <v/>
      </c>
      <c r="Z113" s="43" t="str">
        <f aca="false">IF(Tasks[[#This Row],[Task Name]]="","",IF(Tasks[[#This Row],[_IsSummary]],MIN(INDEX(Tasks[_LeafTotalSlack],Tasks[[#This Row],[_Row]]+1):INDEX(Tasks[_LeafTotalSlack],Tasks[[#This Row],[_Row]]+Tasks[[#This Row],[_Descendants]])),Tasks[[#This Row],[_LeafTotalSlack]]))</f>
        <v/>
      </c>
      <c r="AA11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3" s="28" t="str">
        <f aca="false">IF(Tasks[[#This Row],[Task Name]]="","",IF(IF(Tasks[[#This Row],[_IsSummary]],COUNTIF(INDEX(Tasks[_LeafCritical],Tasks[[#This Row],[_Row]]+1):INDEX(Tasks[_LeafCritical],Tasks[[#This Row],[_Row]]+Tasks[[#This Row],[_Descendants]]),TRUE())&gt;0,Tasks[[#This Row],[_LeafCritical]]),"Yes",""))</f>
        <v/>
      </c>
      <c r="AC11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3" s="24" t="str">
        <f aca="false">IF(Tasks[[#This Row],[Task Name]]="","",TRIM(IF(Tasks[[#This Row],[_Pred1Problem]]&lt;&gt;"","Pred 1: "&amp;Tasks[[#This Row],[_Pred1Problem]]&amp;". ","")&amp;IF(Tasks[[#This Row],[_Pred2Problem]]&lt;&gt;"","Pred 2: "&amp;Tasks[[#This Row],[_Pred2Problem]]&amp;".","")))</f>
        <v/>
      </c>
      <c r="AE113" s="88"/>
      <c r="AF113"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3" s="28" t="str">
        <f aca="false">IF(Tasks[[#This Row],[Task Name]]="","",IF(Tasks[[#This Row],[Progress]]&gt;=1,"Complete",IF(OR(N(Tasks[[#This Row],[Actual Start]])&gt;0,Tasks[[#This Row],[Progress]]&gt;0),IF(Tasks[[#This Row],[Finish Var]]&gt;0,"Behind","In Progress"),IF(Tasks[[#This Row],[Planned Start]]&lt;StatusDate,"Late Start","Not Started"))))</f>
        <v/>
      </c>
      <c r="AH113" s="30"/>
      <c r="AI113" s="88"/>
      <c r="AJ113" s="95" t="str">
        <f aca="false">IF(Tasks[[#This Row],[Task Name]]="","",IF(Tasks[[#This Row],[_IsSummary]],SUM(INDEX(Tasks[_LeafWork],Tasks[[#This Row],[_Row]]+1):INDEX(Tasks[_LeafWork],Tasks[[#This Row],[_Row]]+Tasks[[#This Row],[_Descendants]])),Tasks[[#This Row],[_LeafWork]]))</f>
        <v/>
      </c>
      <c r="AK113" s="96" t="str">
        <f aca="false">IF(Tasks[[#This Row],[Task Name]]="","",IF(Tasks[[#This Row],[_IsSummary]],SUM(INDEX(Tasks[_LeafCost],Tasks[[#This Row],[_Row]]+1):INDEX(Tasks[_LeafCost],Tasks[[#This Row],[_Row]]+Tasks[[#This Row],[_Descendants]])),Tasks[[#This Row],[_LeafCost]]))</f>
        <v/>
      </c>
      <c r="AL113" s="97"/>
      <c r="AM113" s="29"/>
      <c r="AN11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13" s="82"/>
      <c r="AP113" s="24" t="str">
        <f aca="false">IF(Tasks[[#This Row],[Task Name]]="","",Tasks[[#This Row],[_Pred1IDText]]&amp;IF(AND(Tasks[[#This Row],[_Pred1IDText]]&lt;&gt;"",Tasks[[#This Row],[_Pred2IDText]]&lt;&gt;""),",","")&amp;Tasks[[#This Row],[_Pred2IDText]])</f>
        <v/>
      </c>
      <c r="AQ113" s="30"/>
      <c r="AR113" s="25" t="str">
        <f aca="false">IF(Tasks[[#This Row],[Task Name]]="","",Tasks[[#This Row],[Forecast Start]])</f>
        <v/>
      </c>
      <c r="AS113" s="25" t="str">
        <f aca="false">IF(Tasks[[#This Row],[Task Name]]="","",Tasks[[#This Row],[Forecast Finish]])</f>
        <v/>
      </c>
      <c r="AT113" s="28" t="str">
        <f aca="false">IF(Tasks[[#This Row],[Task Name]]="","",IF(Tasks[[#This Row],[_IsSummary]],NETWORKDAYS.INTL(Tasks[[#This Row],[Forecast Start]],Tasks[[#This Row],[Forecast Finish]],WorkWeek,Holidays),N(Tasks[[#This Row],[Duration]])))</f>
        <v/>
      </c>
      <c r="AU113" s="95" t="str">
        <f aca="false">IF(Tasks[[#This Row],[Task Name]]="","",Tasks[[#This Row],[Work]])</f>
        <v/>
      </c>
      <c r="AV113" s="96" t="str">
        <f aca="false">IF(Tasks[[#This Row],[Task Name]]="","",Tasks[[#This Row],[Cost]])</f>
        <v/>
      </c>
      <c r="AW113" s="73"/>
      <c r="AX113" s="73"/>
      <c r="AY113" s="29"/>
      <c r="AZ113" s="98"/>
      <c r="BA113" s="97"/>
      <c r="BB113" s="28" t="str">
        <f aca="false">IF(OR(Tasks[[#This Row],[Task Name]]="",Tasks[[#This Row],[Baseline Duration]]=""),"",Tasks[[#This Row],[BL Source Duration]]-N(Tasks[[#This Row],[Baseline Duration]]))</f>
        <v/>
      </c>
      <c r="BC113" s="95" t="str">
        <f aca="false">IF(OR(Tasks[[#This Row],[Task Name]]="",Tasks[[#This Row],[Baseline Work]]=""),"",Tasks[[#This Row],[Work]]-N(Tasks[[#This Row],[Baseline Work]]))</f>
        <v/>
      </c>
      <c r="BD113" s="96" t="str">
        <f aca="false">IF(OR(Tasks[[#This Row],[Task Name]]="",Tasks[[#This Row],[Baseline Cost]]=""),"",Tasks[[#This Row],[Cost]]-N(Tasks[[#This Row],[Baseline Cost]]))</f>
        <v/>
      </c>
      <c r="BE113" s="96" t="str">
        <f aca="false">IF(Tasks[[#This Row],[Task Name]]="","",IF(Tasks[[#This Row],[_IsSummary]],SUM(INDEX(Tasks[_LeafBudget],Tasks[[#This Row],[_Row]]+1):INDEX(Tasks[_LeafBudget],Tasks[[#This Row],[_Row]]+Tasks[[#This Row],[_Descendants]])),Tasks[[#This Row],[_LeafBudget]]))</f>
        <v/>
      </c>
      <c r="BF113" s="96" t="str">
        <f aca="false">IF(Tasks[[#This Row],[Task Name]]="","",IF(Tasks[[#This Row],[_IsSummary]],SUM(INDEX(Tasks[_LeafPV],Tasks[[#This Row],[_Row]]+1):INDEX(Tasks[_LeafPV],Tasks[[#This Row],[_Row]]+Tasks[[#This Row],[_Descendants]])),Tasks[[#This Row],[_LeafPV]]))</f>
        <v/>
      </c>
      <c r="BG113" s="96" t="str">
        <f aca="false">IF(Tasks[[#This Row],[Task Name]]="","",IF(Tasks[[#This Row],[_IsSummary]],SUM(INDEX(Tasks[_LeafEV],Tasks[[#This Row],[_Row]]+1):INDEX(Tasks[_LeafEV],Tasks[[#This Row],[_Row]]+Tasks[[#This Row],[_Descendants]])),Tasks[[#This Row],[_LeafEV]]))</f>
        <v/>
      </c>
      <c r="BH113" s="96" t="str">
        <f aca="false">IF(Tasks[[#This Row],[Task Name]]="","",IF(Tasks[[#This Row],[_IsSummary]],SUM(INDEX(Tasks[_LeafAC],Tasks[[#This Row],[_Row]]+1):INDEX(Tasks[_LeafAC],Tasks[[#This Row],[_Row]]+Tasks[[#This Row],[_Descendants]])),Tasks[[#This Row],[_LeafAC]]))</f>
        <v/>
      </c>
      <c r="BI113" s="41" t="str">
        <f aca="false">IF(Tasks[[#This Row],[Task Name]]="","",MAX(1,N(Tasks[[#This Row],[Level]])))</f>
        <v/>
      </c>
      <c r="BJ113" s="41" t="n">
        <f aca="false">ROW()-ROW(Tasks[[#Headers],[ID]])</f>
        <v>108</v>
      </c>
      <c r="BK113" s="41" t="n">
        <f aca="false">IF(OR(Tasks[[#This Row],[Task Name]]="",Tasks[[#This Row],[_Level]]&lt;=1),0,IFERROR(LOOKUP(2,1/(Tasks[[#Headers],[_Level]]:Tasks[[#This Row],[_Level]]=Tasks[[#This Row],[_Level]]-1),ROW(Tasks[[#Headers],[_Level]]:Tasks[[#This Row],[_Level]])),0))</f>
        <v>0</v>
      </c>
      <c r="BL113" s="41" t="n">
        <f aca="false">IFERROR(N(INDEX(Tasks[_Level],Tasks[[#This Row],[_Row]]+1)),0)</f>
        <v>0</v>
      </c>
      <c r="BM113" s="99" t="b">
        <f aca="false">AND(Tasks[[#This Row],[Task Name]]&lt;&gt;"",Tasks[[#This Row],[_NextLevel]]&gt;Tasks[[#This Row],[_Level]])</f>
        <v>0</v>
      </c>
      <c r="BN113" s="41" t="n">
        <f aca="false">IF(Tasks[[#This Row],[_IsSummary]],COUNTIF(Tasks[WBS],Tasks[[#This Row],[WBS]]&amp;".*"),0)</f>
        <v>0</v>
      </c>
      <c r="BO113" s="41" t="n">
        <f aca="false">IF(AND(Tasks[[#This Row],[Task Name]]&lt;&gt;"",NOT(Tasks[[#This Row],[_IsSummary]])),1,0)</f>
        <v>0</v>
      </c>
      <c r="BP113" s="41" t="n">
        <f aca="false">IF(N(Tasks[[#This Row],[Pred1 UID]])=0,0,IFERROR(MATCH(Tasks[[#This Row],[Pred1 UID]],Tasks[UID],0),-1))</f>
        <v>0</v>
      </c>
      <c r="BQ113" s="41" t="n">
        <f aca="false">IF(N(Tasks[[#This Row],[Pred2 UID]])=0,0,IFERROR(MATCH(Tasks[[#This Row],[Pred2 UID]],Tasks[UID],0),-1))</f>
        <v>0</v>
      </c>
      <c r="BR113"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13" s="100" t="str">
        <f aca="false">IF(NOT(Tasks[[#This Row],[_IsLeaf]]=1),"",IF(N(Tasks[[#This Row],[Duration]])&lt;=0,Tasks[[#This Row],[_LeafCalcStart]],WORKDAY.INTL(Tasks[[#This Row],[_LeafCalcStart]],Tasks[[#This Row],[Duration]]-1,WorkWeek,Holidays)))</f>
        <v/>
      </c>
      <c r="BT113"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13"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13" s="41" t="n">
        <f aca="false">IF(NOT(Tasks[[#This Row],[_IsLeaf]]=1),0,IF(N(Tasks[[#This Row],[Actual Finish]])&gt;0,1,MIN(1,N(Tasks[[#This Row],[% Complete]]))))</f>
        <v>0</v>
      </c>
      <c r="BW113" s="41" t="n">
        <f aca="false">IF(OR(NOT(Tasks[[#This Row],[_IsLeaf]]=1),Tasks[[#This Row],[Resource]]=""),0,N(Tasks[[#This Row],[Duration]])*HoursPerDay*IF(Tasks[[#This Row],[Units]]="",DefaultUnits,Tasks[[#This Row],[Units]]))</f>
        <v>0</v>
      </c>
      <c r="BX113" s="41" t="n">
        <f aca="false">IF(Tasks[[#This Row],[_LeafWork]]=0,0,Tasks[[#This Row],[_LeafWork]]*IFERROR(INDEX(res_Rate,MATCH(Tasks[[#This Row],[Resource]],res_Name,0)),0))</f>
        <v>0</v>
      </c>
      <c r="BY11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1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1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1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13" s="41" t="n">
        <f aca="false">IF(NOT(Tasks[[#This Row],[_IsLeaf]]=1),0,MAX(_xlfn.MAXIFS(Tasks[_Row],Tasks[Pred1 UID],Tasks[[#This Row],[UID]]),_xlfn.MAXIFS(Tasks[_Row],Tasks[Pred2 UID],Tasks[[#This Row],[UID]])))</f>
        <v>0</v>
      </c>
      <c r="CD113"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13" s="100" t="str">
        <f aca="false">IF(NOT(Tasks[[#This Row],[_IsLeaf]]=1),"",MIN(ProjectFinish,IF(N(Tasks[[#This Row],[Deadline]])&gt;0,Tasks[[#This Row],[Deadline]],2958465),Tasks[[#This Row],[_SuccessorFinishLimit]]))</f>
        <v/>
      </c>
      <c r="CF113" s="100" t="str">
        <f aca="false">IF(NOT(Tasks[[#This Row],[_IsLeaf]]=1),"",IF(N(Tasks[[#This Row],[Duration]])&lt;=0,Tasks[[#This Row],[_LeafLateFinish]],WORKDAY.INTL(Tasks[[#This Row],[_LeafLateFinish]],-(Tasks[[#This Row],[Duration]]-1),WorkWeek,Holidays)))</f>
        <v/>
      </c>
      <c r="CG11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13" s="99" t="b">
        <f aca="false">AND(Tasks[[#This Row],[_IsLeaf]]=1,Tasks[[#This Row],[_LeafProgress]]&lt;1,N(Tasks[[#This Row],[_LeafTotalSlack]])&lt;=CriticalSlackDays)</f>
        <v>0</v>
      </c>
      <c r="CI113" s="100" t="str">
        <f aca="false">IF(Tasks[[#This Row],[Task Name]]="","",IF(Tasks[[#This Row],[_IsSummary]],MIN(INDEX(Tasks[_LeafCalcStart],Tasks[[#This Row],[_Row]]+1):INDEX(Tasks[_LeafCalcStart],Tasks[[#This Row],[_Row]]+Tasks[[#This Row],[_Descendants]])),Tasks[[#This Row],[_LeafCalcStart]]))</f>
        <v/>
      </c>
      <c r="CJ113" s="100" t="str">
        <f aca="false">IF(Tasks[[#This Row],[Task Name]]="","",IF(Tasks[[#This Row],[_IsSummary]],MAX(INDEX(Tasks[_LeafCalcFinish],Tasks[[#This Row],[_Row]]+1):INDEX(Tasks[_LeafCalcFinish],Tasks[[#This Row],[_Row]]+Tasks[[#This Row],[_Descendants]])),Tasks[[#This Row],[_LeafCalcFinish]]))</f>
        <v/>
      </c>
      <c r="CK11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1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13"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13"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13"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13"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13" s="41" t="n">
        <f aca="false">IF(AND(Tasks[[#This Row],[_IsLeaf]]=1,Tasks[[#This Row],[_LeafWork]]&gt;0),NETWORKDAYS.INTL(ProjectStart,Tasks[[#This Row],[_LeafFcstStart]],WorkWeek,Holidays),0)</f>
        <v>0</v>
      </c>
      <c r="CR113" s="41" t="n">
        <f aca="false">IF(AND(Tasks[[#This Row],[_IsLeaf]]=1,Tasks[[#This Row],[_LeafWork]]&gt;0),MAX(Tasks[[#This Row],[_StartWorkday]],NETWORKDAYS.INTL(ProjectStart,Tasks[[#This Row],[_LeafFcstFinish]],WorkWeek,Holidays)),0)</f>
        <v>0</v>
      </c>
      <c r="CS113" s="41" t="n">
        <f aca="false">IF(AND(Tasks[[#This Row],[_IsLeaf]]=1,Tasks[[#This Row],[_LeafWork]]&gt;0),Tasks[[#This Row],[_LeafWork]]/(Tasks[[#This Row],[_FinishWorkday]]-Tasks[[#This Row],[_StartWorkday]]+1),0)</f>
        <v>0</v>
      </c>
      <c r="CT113" s="41" t="n">
        <f aca="false">Tasks[[#This Row],[_WorkPerWorkday]]*(Tasks[[#This Row],[_StartWorkday]]-1)</f>
        <v>-0</v>
      </c>
      <c r="CU113" s="41" t="n">
        <f aca="false">IF(Tasks[[#This Row],[_IsLeaf]]=1,MAX(N(Tasks[[#This Row],[Duration]]),0.1),0)</f>
        <v>0</v>
      </c>
      <c r="CV113" s="41" t="n">
        <f aca="false">Tasks[[#This Row],[_WeightDur]]*Tasks[[#This Row],[_LeafProgress]]</f>
        <v>0</v>
      </c>
      <c r="CW11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1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1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1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13" s="41" t="str">
        <f aca="false">IF(Tasks[[#This Row],[Task Name]]="","",Tasks[[#This Row],[_Pred1UIDText]]&amp;IF(AND(Tasks[[#This Row],[_Pred1UIDText]]&lt;&gt;"",Tasks[[#This Row],[_Pred2UIDText]]&lt;&gt;""),",","")&amp;Tasks[[#This Row],[_Pred2UIDText]])</f>
        <v/>
      </c>
      <c r="DB113" s="41" t="str">
        <f aca="false">IF(AND(Tasks[[#This Row],[_IsLeaf]]=1,N(Tasks[[#This Row],[Duration]])=0,Tasks[[#This Row],[_LeafProgress]]&lt;1),Tasks[[#This Row],[_LeafFcstFinish]]+Tasks[[#This Row],[_Row]]/100000,"")</f>
        <v/>
      </c>
      <c r="DC11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13" s="41" t="n">
        <f aca="false">IF(NOT(Tasks[[#This Row],[_IsLeaf]]=1),0,IF(Tasks[[#This Row],[Baseline Cost]]="",Tasks[[#This Row],[_LeafCost]],N(Tasks[[#This Row],[Baseline Cost]])))</f>
        <v>0</v>
      </c>
      <c r="DE113" s="41" t="n">
        <f aca="false">Tasks[[#This Row],[_LeafBudget]]*Tasks[[#This Row],[_PlannedPct]]</f>
        <v>0</v>
      </c>
      <c r="DF113" s="41" t="n">
        <f aca="false">Tasks[[#This Row],[_LeafBudget]]*Tasks[[#This Row],[_LeafProgress]]</f>
        <v>0</v>
      </c>
      <c r="DG113" s="41" t="n">
        <f aca="false">IF(NOT(Tasks[[#This Row],[_IsLeaf]]=1),0,IF(Tasks[[#This Row],[Actual Cost]]="",Tasks[[#This Row],[_LeafCost]]*Tasks[[#This Row],[_LeafProgress]],N(Tasks[[#This Row],[Actual Cost]])))</f>
        <v>0</v>
      </c>
      <c r="DH113" s="41" t="str">
        <f aca="false">IF(Tasks[[#This Row],[Task Name]]="","",LEFT(Tasks[[#This Row],[WBS]],FIND(".",Tasks[[#This Row],[WBS]]&amp;".")-1))</f>
        <v/>
      </c>
      <c r="DI113" s="41" t="str">
        <f aca="false">IF(AND(Tasks[[#This Row],[Task Name]]&lt;&gt;"",Tasks[[#This Row],[_Level]]=1),Tasks[[#This Row],[_Row]],"")</f>
        <v/>
      </c>
      <c r="DJ113" s="41" t="str">
        <f aca="false">IF(AND(Tasks[[#This Row],[_IsLeaf]]=1,N(Tasks[[#This Row],[Duration]])=0),Tasks[[#This Row],[Planned Finish]]+Tasks[[#This Row],[_Row]]/100000,"")</f>
        <v/>
      </c>
      <c r="DK113" s="41" t="str">
        <f aca="false">IF(AND(Tasks[[#This Row],[_IsLeaf]]=1,Tasks[[#This Row],[_LeafProgress]]&lt;1,OR(N(Tasks[[#This Row],[Finish Var]])&gt;0,Tasks[[#This Row],[Status]]="Late Start")),MAX(0,Tasks[[#This Row],[Finish Var]])+1-Tasks[[#This Row],[_Row]]/1000000,"")</f>
        <v/>
      </c>
      <c r="DL113" s="41" t="str">
        <f aca="false">IF(AND(Tasks[[#This Row],[_IsLeaf]]=1,N(Tasks[[#This Row],[Actual Start]])=0,Tasks[[#This Row],[_LeafFcstStart]]&gt;=StatusDate,Tasks[[#This Row],[_LeafFcstStart]]&lt;=LookaheadEnd),Tasks[[#This Row],[_LeafFcstStart]]+Tasks[[#This Row],[_Row]]/100000,"")</f>
        <v/>
      </c>
      <c r="DM113" s="41" t="str">
        <f aca="false">IF(AND(Tasks[[#This Row],[_IsLeaf]]=1,Tasks[[#This Row],[_LeafProgress]]&lt;1,Tasks[[#This Row],[_LeafFcstFinish]]&gt;=StatusDate,Tasks[[#This Row],[_LeafFcstFinish]]&lt;=LookaheadEnd),Tasks[[#This Row],[_LeafFcstFinish]]+Tasks[[#This Row],[_Row]]/100000,"")</f>
        <v/>
      </c>
      <c r="DN113" s="41" t="str">
        <f aca="false">IF(Tasks[[#This Row],[_LeafCritical]],Tasks[[#This Row],[_LeafFcstStart]]+Tasks[[#This Row],[_Row]]/100000,"")</f>
        <v/>
      </c>
      <c r="DO113" s="41" t="n">
        <f aca="false">Tasks[[#This Row],[_LeafWork]]*Tasks[[#This Row],[_LeafProgress]]</f>
        <v>0</v>
      </c>
      <c r="DP113" s="100" t="str">
        <f aca="false">IF(AND(Tasks[[#This Row],[_IsLeaf]]=1,Tasks[[#This Row],[_LeafProgress]]&gt;=1),IF(N(Tasks[[#This Row],[Actual Finish]])&gt;0,Tasks[[#This Row],[Actual Finish]],Tasks[[#This Row],[_LeafFcstFinish]]),"")</f>
        <v/>
      </c>
      <c r="DQ113" s="41" t="n">
        <f aca="false">IF(Tasks[[#This Row],[_IsLeaf]]=1,N(Tasks[[#This Row],[Story Points]]),0)</f>
        <v>0</v>
      </c>
      <c r="DR113" s="41" t="str">
        <f aca="false">IF(AND(Tasks[[#This Row],[_IsLeaf]]=1,CurrentSprint&lt;&gt;"",Tasks[[#This Row],[Sprint]]=CurrentSprint),Tasks[[#This Row],[_Row]],"")</f>
        <v/>
      </c>
    </row>
    <row r="114" customFormat="false" ht="15" hidden="false" customHeight="false" outlineLevel="0" collapsed="false">
      <c r="A114" s="28" t="str">
        <f aca="false">IF(Tasks[[#This Row],[Task Name]]="","",COUNTA(Tasks[[#Headers],[Task Name]]:Tasks[[#This Row],[Task Name]])-1)</f>
        <v/>
      </c>
      <c r="B114" s="29" t="n">
        <v>109</v>
      </c>
      <c r="C11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4" s="29"/>
      <c r="E114" s="30"/>
      <c r="F114" s="29"/>
      <c r="G114" s="29"/>
      <c r="H114" s="29"/>
      <c r="I114" s="29"/>
      <c r="J114" s="29"/>
      <c r="K114" s="29"/>
      <c r="L114" s="29"/>
      <c r="M114" s="29"/>
      <c r="N114" s="73"/>
      <c r="O114" s="73"/>
      <c r="P114" s="25" t="str">
        <f aca="false">IF(Tasks[[#This Row],[Task Name]]="","",IF(N(Tasks[[#This Row],[Baseline Start]])&gt;0,Tasks[[#This Row],[Baseline Start]],Tasks[[#This Row],[_CalcStart]]))</f>
        <v/>
      </c>
      <c r="Q114" s="25" t="str">
        <f aca="false">IF(Tasks[[#This Row],[Task Name]]="","",IF(N(Tasks[[#This Row],[Baseline Finish]])&gt;0,Tasks[[#This Row],[Baseline Finish]],Tasks[[#This Row],[_CalcFinish]]))</f>
        <v/>
      </c>
      <c r="R114" s="73"/>
      <c r="S114" s="73"/>
      <c r="T114" s="25" t="str">
        <f aca="false">IF(Tasks[[#This Row],[Task Name]]="","",IF(Tasks[[#This Row],[_IsSummary]],MIN(INDEX(Tasks[_LeafFcstStart],Tasks[[#This Row],[_Row]]+1):INDEX(Tasks[_LeafFcstStart],Tasks[[#This Row],[_Row]]+Tasks[[#This Row],[_Descendants]])),Tasks[[#This Row],[_LeafFcstStart]]))</f>
        <v/>
      </c>
      <c r="U114" s="25" t="str">
        <f aca="false">IF(Tasks[[#This Row],[Task Name]]="","",IF(Tasks[[#This Row],[_IsSummary]],MAX(INDEX(Tasks[_LeafFcstFinish],Tasks[[#This Row],[_Row]]+1):INDEX(Tasks[_LeafFcstFinish],Tasks[[#This Row],[_Row]]+Tasks[[#This Row],[_Descendants]])),Tasks[[#This Row],[_LeafFcstFinish]]))</f>
        <v/>
      </c>
      <c r="V11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1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4" s="25" t="str">
        <f aca="false">IF(Tasks[[#This Row],[Task Name]]="","",IF(Tasks[[#This Row],[_IsSummary]],MIN(INDEX(Tasks[_LeafLateStart],Tasks[[#This Row],[_Row]]+1):INDEX(Tasks[_LeafLateStart],Tasks[[#This Row],[_Row]]+Tasks[[#This Row],[_Descendants]])),Tasks[[#This Row],[_LeafLateStart]]))</f>
        <v/>
      </c>
      <c r="Y114" s="25" t="str">
        <f aca="false">IF(Tasks[[#This Row],[Task Name]]="","",IF(Tasks[[#This Row],[_IsSummary]],MAX(INDEX(Tasks[_LeafLateFinish],Tasks[[#This Row],[_Row]]+1):INDEX(Tasks[_LeafLateFinish],Tasks[[#This Row],[_Row]]+Tasks[[#This Row],[_Descendants]])),Tasks[[#This Row],[_LeafLateFinish]]))</f>
        <v/>
      </c>
      <c r="Z114" s="43" t="str">
        <f aca="false">IF(Tasks[[#This Row],[Task Name]]="","",IF(Tasks[[#This Row],[_IsSummary]],MIN(INDEX(Tasks[_LeafTotalSlack],Tasks[[#This Row],[_Row]]+1):INDEX(Tasks[_LeafTotalSlack],Tasks[[#This Row],[_Row]]+Tasks[[#This Row],[_Descendants]])),Tasks[[#This Row],[_LeafTotalSlack]]))</f>
        <v/>
      </c>
      <c r="AA11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4" s="28" t="str">
        <f aca="false">IF(Tasks[[#This Row],[Task Name]]="","",IF(IF(Tasks[[#This Row],[_IsSummary]],COUNTIF(INDEX(Tasks[_LeafCritical],Tasks[[#This Row],[_Row]]+1):INDEX(Tasks[_LeafCritical],Tasks[[#This Row],[_Row]]+Tasks[[#This Row],[_Descendants]]),TRUE())&gt;0,Tasks[[#This Row],[_LeafCritical]]),"Yes",""))</f>
        <v/>
      </c>
      <c r="AC11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4" s="24" t="str">
        <f aca="false">IF(Tasks[[#This Row],[Task Name]]="","",TRIM(IF(Tasks[[#This Row],[_Pred1Problem]]&lt;&gt;"","Pred 1: "&amp;Tasks[[#This Row],[_Pred1Problem]]&amp;". ","")&amp;IF(Tasks[[#This Row],[_Pred2Problem]]&lt;&gt;"","Pred 2: "&amp;Tasks[[#This Row],[_Pred2Problem]]&amp;".","")))</f>
        <v/>
      </c>
      <c r="AE114" s="88"/>
      <c r="AF114"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4" s="28" t="str">
        <f aca="false">IF(Tasks[[#This Row],[Task Name]]="","",IF(Tasks[[#This Row],[Progress]]&gt;=1,"Complete",IF(OR(N(Tasks[[#This Row],[Actual Start]])&gt;0,Tasks[[#This Row],[Progress]]&gt;0),IF(Tasks[[#This Row],[Finish Var]]&gt;0,"Behind","In Progress"),IF(Tasks[[#This Row],[Planned Start]]&lt;StatusDate,"Late Start","Not Started"))))</f>
        <v/>
      </c>
      <c r="AH114" s="30"/>
      <c r="AI114" s="88"/>
      <c r="AJ114" s="95" t="str">
        <f aca="false">IF(Tasks[[#This Row],[Task Name]]="","",IF(Tasks[[#This Row],[_IsSummary]],SUM(INDEX(Tasks[_LeafWork],Tasks[[#This Row],[_Row]]+1):INDEX(Tasks[_LeafWork],Tasks[[#This Row],[_Row]]+Tasks[[#This Row],[_Descendants]])),Tasks[[#This Row],[_LeafWork]]))</f>
        <v/>
      </c>
      <c r="AK114" s="96" t="str">
        <f aca="false">IF(Tasks[[#This Row],[Task Name]]="","",IF(Tasks[[#This Row],[_IsSummary]],SUM(INDEX(Tasks[_LeafCost],Tasks[[#This Row],[_Row]]+1):INDEX(Tasks[_LeafCost],Tasks[[#This Row],[_Row]]+Tasks[[#This Row],[_Descendants]])),Tasks[[#This Row],[_LeafCost]]))</f>
        <v/>
      </c>
      <c r="AL114" s="97"/>
      <c r="AM114" s="29"/>
      <c r="AN11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14" s="82"/>
      <c r="AP114" s="24" t="str">
        <f aca="false">IF(Tasks[[#This Row],[Task Name]]="","",Tasks[[#This Row],[_Pred1IDText]]&amp;IF(AND(Tasks[[#This Row],[_Pred1IDText]]&lt;&gt;"",Tasks[[#This Row],[_Pred2IDText]]&lt;&gt;""),",","")&amp;Tasks[[#This Row],[_Pred2IDText]])</f>
        <v/>
      </c>
      <c r="AQ114" s="30"/>
      <c r="AR114" s="25" t="str">
        <f aca="false">IF(Tasks[[#This Row],[Task Name]]="","",Tasks[[#This Row],[Forecast Start]])</f>
        <v/>
      </c>
      <c r="AS114" s="25" t="str">
        <f aca="false">IF(Tasks[[#This Row],[Task Name]]="","",Tasks[[#This Row],[Forecast Finish]])</f>
        <v/>
      </c>
      <c r="AT114" s="28" t="str">
        <f aca="false">IF(Tasks[[#This Row],[Task Name]]="","",IF(Tasks[[#This Row],[_IsSummary]],NETWORKDAYS.INTL(Tasks[[#This Row],[Forecast Start]],Tasks[[#This Row],[Forecast Finish]],WorkWeek,Holidays),N(Tasks[[#This Row],[Duration]])))</f>
        <v/>
      </c>
      <c r="AU114" s="95" t="str">
        <f aca="false">IF(Tasks[[#This Row],[Task Name]]="","",Tasks[[#This Row],[Work]])</f>
        <v/>
      </c>
      <c r="AV114" s="96" t="str">
        <f aca="false">IF(Tasks[[#This Row],[Task Name]]="","",Tasks[[#This Row],[Cost]])</f>
        <v/>
      </c>
      <c r="AW114" s="73"/>
      <c r="AX114" s="73"/>
      <c r="AY114" s="29"/>
      <c r="AZ114" s="98"/>
      <c r="BA114" s="97"/>
      <c r="BB114" s="28" t="str">
        <f aca="false">IF(OR(Tasks[[#This Row],[Task Name]]="",Tasks[[#This Row],[Baseline Duration]]=""),"",Tasks[[#This Row],[BL Source Duration]]-N(Tasks[[#This Row],[Baseline Duration]]))</f>
        <v/>
      </c>
      <c r="BC114" s="95" t="str">
        <f aca="false">IF(OR(Tasks[[#This Row],[Task Name]]="",Tasks[[#This Row],[Baseline Work]]=""),"",Tasks[[#This Row],[Work]]-N(Tasks[[#This Row],[Baseline Work]]))</f>
        <v/>
      </c>
      <c r="BD114" s="96" t="str">
        <f aca="false">IF(OR(Tasks[[#This Row],[Task Name]]="",Tasks[[#This Row],[Baseline Cost]]=""),"",Tasks[[#This Row],[Cost]]-N(Tasks[[#This Row],[Baseline Cost]]))</f>
        <v/>
      </c>
      <c r="BE114" s="96" t="str">
        <f aca="false">IF(Tasks[[#This Row],[Task Name]]="","",IF(Tasks[[#This Row],[_IsSummary]],SUM(INDEX(Tasks[_LeafBudget],Tasks[[#This Row],[_Row]]+1):INDEX(Tasks[_LeafBudget],Tasks[[#This Row],[_Row]]+Tasks[[#This Row],[_Descendants]])),Tasks[[#This Row],[_LeafBudget]]))</f>
        <v/>
      </c>
      <c r="BF114" s="96" t="str">
        <f aca="false">IF(Tasks[[#This Row],[Task Name]]="","",IF(Tasks[[#This Row],[_IsSummary]],SUM(INDEX(Tasks[_LeafPV],Tasks[[#This Row],[_Row]]+1):INDEX(Tasks[_LeafPV],Tasks[[#This Row],[_Row]]+Tasks[[#This Row],[_Descendants]])),Tasks[[#This Row],[_LeafPV]]))</f>
        <v/>
      </c>
      <c r="BG114" s="96" t="str">
        <f aca="false">IF(Tasks[[#This Row],[Task Name]]="","",IF(Tasks[[#This Row],[_IsSummary]],SUM(INDEX(Tasks[_LeafEV],Tasks[[#This Row],[_Row]]+1):INDEX(Tasks[_LeafEV],Tasks[[#This Row],[_Row]]+Tasks[[#This Row],[_Descendants]])),Tasks[[#This Row],[_LeafEV]]))</f>
        <v/>
      </c>
      <c r="BH114" s="96" t="str">
        <f aca="false">IF(Tasks[[#This Row],[Task Name]]="","",IF(Tasks[[#This Row],[_IsSummary]],SUM(INDEX(Tasks[_LeafAC],Tasks[[#This Row],[_Row]]+1):INDEX(Tasks[_LeafAC],Tasks[[#This Row],[_Row]]+Tasks[[#This Row],[_Descendants]])),Tasks[[#This Row],[_LeafAC]]))</f>
        <v/>
      </c>
      <c r="BI114" s="41" t="str">
        <f aca="false">IF(Tasks[[#This Row],[Task Name]]="","",MAX(1,N(Tasks[[#This Row],[Level]])))</f>
        <v/>
      </c>
      <c r="BJ114" s="41" t="n">
        <f aca="false">ROW()-ROW(Tasks[[#Headers],[ID]])</f>
        <v>109</v>
      </c>
      <c r="BK114" s="41" t="n">
        <f aca="false">IF(OR(Tasks[[#This Row],[Task Name]]="",Tasks[[#This Row],[_Level]]&lt;=1),0,IFERROR(LOOKUP(2,1/(Tasks[[#Headers],[_Level]]:Tasks[[#This Row],[_Level]]=Tasks[[#This Row],[_Level]]-1),ROW(Tasks[[#Headers],[_Level]]:Tasks[[#This Row],[_Level]])),0))</f>
        <v>0</v>
      </c>
      <c r="BL114" s="41" t="n">
        <f aca="false">IFERROR(N(INDEX(Tasks[_Level],Tasks[[#This Row],[_Row]]+1)),0)</f>
        <v>0</v>
      </c>
      <c r="BM114" s="99" t="b">
        <f aca="false">AND(Tasks[[#This Row],[Task Name]]&lt;&gt;"",Tasks[[#This Row],[_NextLevel]]&gt;Tasks[[#This Row],[_Level]])</f>
        <v>0</v>
      </c>
      <c r="BN114" s="41" t="n">
        <f aca="false">IF(Tasks[[#This Row],[_IsSummary]],COUNTIF(Tasks[WBS],Tasks[[#This Row],[WBS]]&amp;".*"),0)</f>
        <v>0</v>
      </c>
      <c r="BO114" s="41" t="n">
        <f aca="false">IF(AND(Tasks[[#This Row],[Task Name]]&lt;&gt;"",NOT(Tasks[[#This Row],[_IsSummary]])),1,0)</f>
        <v>0</v>
      </c>
      <c r="BP114" s="41" t="n">
        <f aca="false">IF(N(Tasks[[#This Row],[Pred1 UID]])=0,0,IFERROR(MATCH(Tasks[[#This Row],[Pred1 UID]],Tasks[UID],0),-1))</f>
        <v>0</v>
      </c>
      <c r="BQ114" s="41" t="n">
        <f aca="false">IF(N(Tasks[[#This Row],[Pred2 UID]])=0,0,IFERROR(MATCH(Tasks[[#This Row],[Pred2 UID]],Tasks[UID],0),-1))</f>
        <v>0</v>
      </c>
      <c r="BR114"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14" s="100" t="str">
        <f aca="false">IF(NOT(Tasks[[#This Row],[_IsLeaf]]=1),"",IF(N(Tasks[[#This Row],[Duration]])&lt;=0,Tasks[[#This Row],[_LeafCalcStart]],WORKDAY.INTL(Tasks[[#This Row],[_LeafCalcStart]],Tasks[[#This Row],[Duration]]-1,WorkWeek,Holidays)))</f>
        <v/>
      </c>
      <c r="BT114"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14"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14" s="41" t="n">
        <f aca="false">IF(NOT(Tasks[[#This Row],[_IsLeaf]]=1),0,IF(N(Tasks[[#This Row],[Actual Finish]])&gt;0,1,MIN(1,N(Tasks[[#This Row],[% Complete]]))))</f>
        <v>0</v>
      </c>
      <c r="BW114" s="41" t="n">
        <f aca="false">IF(OR(NOT(Tasks[[#This Row],[_IsLeaf]]=1),Tasks[[#This Row],[Resource]]=""),0,N(Tasks[[#This Row],[Duration]])*HoursPerDay*IF(Tasks[[#This Row],[Units]]="",DefaultUnits,Tasks[[#This Row],[Units]]))</f>
        <v>0</v>
      </c>
      <c r="BX114" s="41" t="n">
        <f aca="false">IF(Tasks[[#This Row],[_LeafWork]]=0,0,Tasks[[#This Row],[_LeafWork]]*IFERROR(INDEX(res_Rate,MATCH(Tasks[[#This Row],[Resource]],res_Name,0)),0))</f>
        <v>0</v>
      </c>
      <c r="BY11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1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1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1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14" s="41" t="n">
        <f aca="false">IF(NOT(Tasks[[#This Row],[_IsLeaf]]=1),0,MAX(_xlfn.MAXIFS(Tasks[_Row],Tasks[Pred1 UID],Tasks[[#This Row],[UID]]),_xlfn.MAXIFS(Tasks[_Row],Tasks[Pred2 UID],Tasks[[#This Row],[UID]])))</f>
        <v>0</v>
      </c>
      <c r="CD114"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14" s="100" t="str">
        <f aca="false">IF(NOT(Tasks[[#This Row],[_IsLeaf]]=1),"",MIN(ProjectFinish,IF(N(Tasks[[#This Row],[Deadline]])&gt;0,Tasks[[#This Row],[Deadline]],2958465),Tasks[[#This Row],[_SuccessorFinishLimit]]))</f>
        <v/>
      </c>
      <c r="CF114" s="100" t="str">
        <f aca="false">IF(NOT(Tasks[[#This Row],[_IsLeaf]]=1),"",IF(N(Tasks[[#This Row],[Duration]])&lt;=0,Tasks[[#This Row],[_LeafLateFinish]],WORKDAY.INTL(Tasks[[#This Row],[_LeafLateFinish]],-(Tasks[[#This Row],[Duration]]-1),WorkWeek,Holidays)))</f>
        <v/>
      </c>
      <c r="CG11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14" s="99" t="b">
        <f aca="false">AND(Tasks[[#This Row],[_IsLeaf]]=1,Tasks[[#This Row],[_LeafProgress]]&lt;1,N(Tasks[[#This Row],[_LeafTotalSlack]])&lt;=CriticalSlackDays)</f>
        <v>0</v>
      </c>
      <c r="CI114" s="100" t="str">
        <f aca="false">IF(Tasks[[#This Row],[Task Name]]="","",IF(Tasks[[#This Row],[_IsSummary]],MIN(INDEX(Tasks[_LeafCalcStart],Tasks[[#This Row],[_Row]]+1):INDEX(Tasks[_LeafCalcStart],Tasks[[#This Row],[_Row]]+Tasks[[#This Row],[_Descendants]])),Tasks[[#This Row],[_LeafCalcStart]]))</f>
        <v/>
      </c>
      <c r="CJ114" s="100" t="str">
        <f aca="false">IF(Tasks[[#This Row],[Task Name]]="","",IF(Tasks[[#This Row],[_IsSummary]],MAX(INDEX(Tasks[_LeafCalcFinish],Tasks[[#This Row],[_Row]]+1):INDEX(Tasks[_LeafCalcFinish],Tasks[[#This Row],[_Row]]+Tasks[[#This Row],[_Descendants]])),Tasks[[#This Row],[_LeafCalcFinish]]))</f>
        <v/>
      </c>
      <c r="CK11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1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14"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14"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14"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14"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14" s="41" t="n">
        <f aca="false">IF(AND(Tasks[[#This Row],[_IsLeaf]]=1,Tasks[[#This Row],[_LeafWork]]&gt;0),NETWORKDAYS.INTL(ProjectStart,Tasks[[#This Row],[_LeafFcstStart]],WorkWeek,Holidays),0)</f>
        <v>0</v>
      </c>
      <c r="CR114" s="41" t="n">
        <f aca="false">IF(AND(Tasks[[#This Row],[_IsLeaf]]=1,Tasks[[#This Row],[_LeafWork]]&gt;0),MAX(Tasks[[#This Row],[_StartWorkday]],NETWORKDAYS.INTL(ProjectStart,Tasks[[#This Row],[_LeafFcstFinish]],WorkWeek,Holidays)),0)</f>
        <v>0</v>
      </c>
      <c r="CS114" s="41" t="n">
        <f aca="false">IF(AND(Tasks[[#This Row],[_IsLeaf]]=1,Tasks[[#This Row],[_LeafWork]]&gt;0),Tasks[[#This Row],[_LeafWork]]/(Tasks[[#This Row],[_FinishWorkday]]-Tasks[[#This Row],[_StartWorkday]]+1),0)</f>
        <v>0</v>
      </c>
      <c r="CT114" s="41" t="n">
        <f aca="false">Tasks[[#This Row],[_WorkPerWorkday]]*(Tasks[[#This Row],[_StartWorkday]]-1)</f>
        <v>-0</v>
      </c>
      <c r="CU114" s="41" t="n">
        <f aca="false">IF(Tasks[[#This Row],[_IsLeaf]]=1,MAX(N(Tasks[[#This Row],[Duration]]),0.1),0)</f>
        <v>0</v>
      </c>
      <c r="CV114" s="41" t="n">
        <f aca="false">Tasks[[#This Row],[_WeightDur]]*Tasks[[#This Row],[_LeafProgress]]</f>
        <v>0</v>
      </c>
      <c r="CW11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1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1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1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14" s="41" t="str">
        <f aca="false">IF(Tasks[[#This Row],[Task Name]]="","",Tasks[[#This Row],[_Pred1UIDText]]&amp;IF(AND(Tasks[[#This Row],[_Pred1UIDText]]&lt;&gt;"",Tasks[[#This Row],[_Pred2UIDText]]&lt;&gt;""),",","")&amp;Tasks[[#This Row],[_Pred2UIDText]])</f>
        <v/>
      </c>
      <c r="DB114" s="41" t="str">
        <f aca="false">IF(AND(Tasks[[#This Row],[_IsLeaf]]=1,N(Tasks[[#This Row],[Duration]])=0,Tasks[[#This Row],[_LeafProgress]]&lt;1),Tasks[[#This Row],[_LeafFcstFinish]]+Tasks[[#This Row],[_Row]]/100000,"")</f>
        <v/>
      </c>
      <c r="DC11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14" s="41" t="n">
        <f aca="false">IF(NOT(Tasks[[#This Row],[_IsLeaf]]=1),0,IF(Tasks[[#This Row],[Baseline Cost]]="",Tasks[[#This Row],[_LeafCost]],N(Tasks[[#This Row],[Baseline Cost]])))</f>
        <v>0</v>
      </c>
      <c r="DE114" s="41" t="n">
        <f aca="false">Tasks[[#This Row],[_LeafBudget]]*Tasks[[#This Row],[_PlannedPct]]</f>
        <v>0</v>
      </c>
      <c r="DF114" s="41" t="n">
        <f aca="false">Tasks[[#This Row],[_LeafBudget]]*Tasks[[#This Row],[_LeafProgress]]</f>
        <v>0</v>
      </c>
      <c r="DG114" s="41" t="n">
        <f aca="false">IF(NOT(Tasks[[#This Row],[_IsLeaf]]=1),0,IF(Tasks[[#This Row],[Actual Cost]]="",Tasks[[#This Row],[_LeafCost]]*Tasks[[#This Row],[_LeafProgress]],N(Tasks[[#This Row],[Actual Cost]])))</f>
        <v>0</v>
      </c>
      <c r="DH114" s="41" t="str">
        <f aca="false">IF(Tasks[[#This Row],[Task Name]]="","",LEFT(Tasks[[#This Row],[WBS]],FIND(".",Tasks[[#This Row],[WBS]]&amp;".")-1))</f>
        <v/>
      </c>
      <c r="DI114" s="41" t="str">
        <f aca="false">IF(AND(Tasks[[#This Row],[Task Name]]&lt;&gt;"",Tasks[[#This Row],[_Level]]=1),Tasks[[#This Row],[_Row]],"")</f>
        <v/>
      </c>
      <c r="DJ114" s="41" t="str">
        <f aca="false">IF(AND(Tasks[[#This Row],[_IsLeaf]]=1,N(Tasks[[#This Row],[Duration]])=0),Tasks[[#This Row],[Planned Finish]]+Tasks[[#This Row],[_Row]]/100000,"")</f>
        <v/>
      </c>
      <c r="DK114" s="41" t="str">
        <f aca="false">IF(AND(Tasks[[#This Row],[_IsLeaf]]=1,Tasks[[#This Row],[_LeafProgress]]&lt;1,OR(N(Tasks[[#This Row],[Finish Var]])&gt;0,Tasks[[#This Row],[Status]]="Late Start")),MAX(0,Tasks[[#This Row],[Finish Var]])+1-Tasks[[#This Row],[_Row]]/1000000,"")</f>
        <v/>
      </c>
      <c r="DL114" s="41" t="str">
        <f aca="false">IF(AND(Tasks[[#This Row],[_IsLeaf]]=1,N(Tasks[[#This Row],[Actual Start]])=0,Tasks[[#This Row],[_LeafFcstStart]]&gt;=StatusDate,Tasks[[#This Row],[_LeafFcstStart]]&lt;=LookaheadEnd),Tasks[[#This Row],[_LeafFcstStart]]+Tasks[[#This Row],[_Row]]/100000,"")</f>
        <v/>
      </c>
      <c r="DM114" s="41" t="str">
        <f aca="false">IF(AND(Tasks[[#This Row],[_IsLeaf]]=1,Tasks[[#This Row],[_LeafProgress]]&lt;1,Tasks[[#This Row],[_LeafFcstFinish]]&gt;=StatusDate,Tasks[[#This Row],[_LeafFcstFinish]]&lt;=LookaheadEnd),Tasks[[#This Row],[_LeafFcstFinish]]+Tasks[[#This Row],[_Row]]/100000,"")</f>
        <v/>
      </c>
      <c r="DN114" s="41" t="str">
        <f aca="false">IF(Tasks[[#This Row],[_LeafCritical]],Tasks[[#This Row],[_LeafFcstStart]]+Tasks[[#This Row],[_Row]]/100000,"")</f>
        <v/>
      </c>
      <c r="DO114" s="41" t="n">
        <f aca="false">Tasks[[#This Row],[_LeafWork]]*Tasks[[#This Row],[_LeafProgress]]</f>
        <v>0</v>
      </c>
      <c r="DP114" s="100" t="str">
        <f aca="false">IF(AND(Tasks[[#This Row],[_IsLeaf]]=1,Tasks[[#This Row],[_LeafProgress]]&gt;=1),IF(N(Tasks[[#This Row],[Actual Finish]])&gt;0,Tasks[[#This Row],[Actual Finish]],Tasks[[#This Row],[_LeafFcstFinish]]),"")</f>
        <v/>
      </c>
      <c r="DQ114" s="41" t="n">
        <f aca="false">IF(Tasks[[#This Row],[_IsLeaf]]=1,N(Tasks[[#This Row],[Story Points]]),0)</f>
        <v>0</v>
      </c>
      <c r="DR114" s="41" t="str">
        <f aca="false">IF(AND(Tasks[[#This Row],[_IsLeaf]]=1,CurrentSprint&lt;&gt;"",Tasks[[#This Row],[Sprint]]=CurrentSprint),Tasks[[#This Row],[_Row]],"")</f>
        <v/>
      </c>
    </row>
    <row r="115" customFormat="false" ht="15" hidden="false" customHeight="false" outlineLevel="0" collapsed="false">
      <c r="A115" s="28" t="str">
        <f aca="false">IF(Tasks[[#This Row],[Task Name]]="","",COUNTA(Tasks[[#Headers],[Task Name]]:Tasks[[#This Row],[Task Name]])-1)</f>
        <v/>
      </c>
      <c r="B115" s="29" t="n">
        <v>110</v>
      </c>
      <c r="C11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5" s="29"/>
      <c r="E115" s="30"/>
      <c r="F115" s="29"/>
      <c r="G115" s="29"/>
      <c r="H115" s="29"/>
      <c r="I115" s="29"/>
      <c r="J115" s="29"/>
      <c r="K115" s="29"/>
      <c r="L115" s="29"/>
      <c r="M115" s="29"/>
      <c r="N115" s="73"/>
      <c r="O115" s="73"/>
      <c r="P115" s="25" t="str">
        <f aca="false">IF(Tasks[[#This Row],[Task Name]]="","",IF(N(Tasks[[#This Row],[Baseline Start]])&gt;0,Tasks[[#This Row],[Baseline Start]],Tasks[[#This Row],[_CalcStart]]))</f>
        <v/>
      </c>
      <c r="Q115" s="25" t="str">
        <f aca="false">IF(Tasks[[#This Row],[Task Name]]="","",IF(N(Tasks[[#This Row],[Baseline Finish]])&gt;0,Tasks[[#This Row],[Baseline Finish]],Tasks[[#This Row],[_CalcFinish]]))</f>
        <v/>
      </c>
      <c r="R115" s="73"/>
      <c r="S115" s="73"/>
      <c r="T115" s="25" t="str">
        <f aca="false">IF(Tasks[[#This Row],[Task Name]]="","",IF(Tasks[[#This Row],[_IsSummary]],MIN(INDEX(Tasks[_LeafFcstStart],Tasks[[#This Row],[_Row]]+1):INDEX(Tasks[_LeafFcstStart],Tasks[[#This Row],[_Row]]+Tasks[[#This Row],[_Descendants]])),Tasks[[#This Row],[_LeafFcstStart]]))</f>
        <v/>
      </c>
      <c r="U115" s="25" t="str">
        <f aca="false">IF(Tasks[[#This Row],[Task Name]]="","",IF(Tasks[[#This Row],[_IsSummary]],MAX(INDEX(Tasks[_LeafFcstFinish],Tasks[[#This Row],[_Row]]+1):INDEX(Tasks[_LeafFcstFinish],Tasks[[#This Row],[_Row]]+Tasks[[#This Row],[_Descendants]])),Tasks[[#This Row],[_LeafFcstFinish]]))</f>
        <v/>
      </c>
      <c r="V11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1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5" s="25" t="str">
        <f aca="false">IF(Tasks[[#This Row],[Task Name]]="","",IF(Tasks[[#This Row],[_IsSummary]],MIN(INDEX(Tasks[_LeafLateStart],Tasks[[#This Row],[_Row]]+1):INDEX(Tasks[_LeafLateStart],Tasks[[#This Row],[_Row]]+Tasks[[#This Row],[_Descendants]])),Tasks[[#This Row],[_LeafLateStart]]))</f>
        <v/>
      </c>
      <c r="Y115" s="25" t="str">
        <f aca="false">IF(Tasks[[#This Row],[Task Name]]="","",IF(Tasks[[#This Row],[_IsSummary]],MAX(INDEX(Tasks[_LeafLateFinish],Tasks[[#This Row],[_Row]]+1):INDEX(Tasks[_LeafLateFinish],Tasks[[#This Row],[_Row]]+Tasks[[#This Row],[_Descendants]])),Tasks[[#This Row],[_LeafLateFinish]]))</f>
        <v/>
      </c>
      <c r="Z115" s="43" t="str">
        <f aca="false">IF(Tasks[[#This Row],[Task Name]]="","",IF(Tasks[[#This Row],[_IsSummary]],MIN(INDEX(Tasks[_LeafTotalSlack],Tasks[[#This Row],[_Row]]+1):INDEX(Tasks[_LeafTotalSlack],Tasks[[#This Row],[_Row]]+Tasks[[#This Row],[_Descendants]])),Tasks[[#This Row],[_LeafTotalSlack]]))</f>
        <v/>
      </c>
      <c r="AA11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5" s="28" t="str">
        <f aca="false">IF(Tasks[[#This Row],[Task Name]]="","",IF(IF(Tasks[[#This Row],[_IsSummary]],COUNTIF(INDEX(Tasks[_LeafCritical],Tasks[[#This Row],[_Row]]+1):INDEX(Tasks[_LeafCritical],Tasks[[#This Row],[_Row]]+Tasks[[#This Row],[_Descendants]]),TRUE())&gt;0,Tasks[[#This Row],[_LeafCritical]]),"Yes",""))</f>
        <v/>
      </c>
      <c r="AC11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5" s="24" t="str">
        <f aca="false">IF(Tasks[[#This Row],[Task Name]]="","",TRIM(IF(Tasks[[#This Row],[_Pred1Problem]]&lt;&gt;"","Pred 1: "&amp;Tasks[[#This Row],[_Pred1Problem]]&amp;". ","")&amp;IF(Tasks[[#This Row],[_Pred2Problem]]&lt;&gt;"","Pred 2: "&amp;Tasks[[#This Row],[_Pred2Problem]]&amp;".","")))</f>
        <v/>
      </c>
      <c r="AE115" s="88"/>
      <c r="AF115"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5" s="28" t="str">
        <f aca="false">IF(Tasks[[#This Row],[Task Name]]="","",IF(Tasks[[#This Row],[Progress]]&gt;=1,"Complete",IF(OR(N(Tasks[[#This Row],[Actual Start]])&gt;0,Tasks[[#This Row],[Progress]]&gt;0),IF(Tasks[[#This Row],[Finish Var]]&gt;0,"Behind","In Progress"),IF(Tasks[[#This Row],[Planned Start]]&lt;StatusDate,"Late Start","Not Started"))))</f>
        <v/>
      </c>
      <c r="AH115" s="30"/>
      <c r="AI115" s="88"/>
      <c r="AJ115" s="95" t="str">
        <f aca="false">IF(Tasks[[#This Row],[Task Name]]="","",IF(Tasks[[#This Row],[_IsSummary]],SUM(INDEX(Tasks[_LeafWork],Tasks[[#This Row],[_Row]]+1):INDEX(Tasks[_LeafWork],Tasks[[#This Row],[_Row]]+Tasks[[#This Row],[_Descendants]])),Tasks[[#This Row],[_LeafWork]]))</f>
        <v/>
      </c>
      <c r="AK115" s="96" t="str">
        <f aca="false">IF(Tasks[[#This Row],[Task Name]]="","",IF(Tasks[[#This Row],[_IsSummary]],SUM(INDEX(Tasks[_LeafCost],Tasks[[#This Row],[_Row]]+1):INDEX(Tasks[_LeafCost],Tasks[[#This Row],[_Row]]+Tasks[[#This Row],[_Descendants]])),Tasks[[#This Row],[_LeafCost]]))</f>
        <v/>
      </c>
      <c r="AL115" s="97"/>
      <c r="AM115" s="29"/>
      <c r="AN11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15" s="82"/>
      <c r="AP115" s="24" t="str">
        <f aca="false">IF(Tasks[[#This Row],[Task Name]]="","",Tasks[[#This Row],[_Pred1IDText]]&amp;IF(AND(Tasks[[#This Row],[_Pred1IDText]]&lt;&gt;"",Tasks[[#This Row],[_Pred2IDText]]&lt;&gt;""),",","")&amp;Tasks[[#This Row],[_Pred2IDText]])</f>
        <v/>
      </c>
      <c r="AQ115" s="30"/>
      <c r="AR115" s="25" t="str">
        <f aca="false">IF(Tasks[[#This Row],[Task Name]]="","",Tasks[[#This Row],[Forecast Start]])</f>
        <v/>
      </c>
      <c r="AS115" s="25" t="str">
        <f aca="false">IF(Tasks[[#This Row],[Task Name]]="","",Tasks[[#This Row],[Forecast Finish]])</f>
        <v/>
      </c>
      <c r="AT115" s="28" t="str">
        <f aca="false">IF(Tasks[[#This Row],[Task Name]]="","",IF(Tasks[[#This Row],[_IsSummary]],NETWORKDAYS.INTL(Tasks[[#This Row],[Forecast Start]],Tasks[[#This Row],[Forecast Finish]],WorkWeek,Holidays),N(Tasks[[#This Row],[Duration]])))</f>
        <v/>
      </c>
      <c r="AU115" s="95" t="str">
        <f aca="false">IF(Tasks[[#This Row],[Task Name]]="","",Tasks[[#This Row],[Work]])</f>
        <v/>
      </c>
      <c r="AV115" s="96" t="str">
        <f aca="false">IF(Tasks[[#This Row],[Task Name]]="","",Tasks[[#This Row],[Cost]])</f>
        <v/>
      </c>
      <c r="AW115" s="73"/>
      <c r="AX115" s="73"/>
      <c r="AY115" s="29"/>
      <c r="AZ115" s="98"/>
      <c r="BA115" s="97"/>
      <c r="BB115" s="28" t="str">
        <f aca="false">IF(OR(Tasks[[#This Row],[Task Name]]="",Tasks[[#This Row],[Baseline Duration]]=""),"",Tasks[[#This Row],[BL Source Duration]]-N(Tasks[[#This Row],[Baseline Duration]]))</f>
        <v/>
      </c>
      <c r="BC115" s="95" t="str">
        <f aca="false">IF(OR(Tasks[[#This Row],[Task Name]]="",Tasks[[#This Row],[Baseline Work]]=""),"",Tasks[[#This Row],[Work]]-N(Tasks[[#This Row],[Baseline Work]]))</f>
        <v/>
      </c>
      <c r="BD115" s="96" t="str">
        <f aca="false">IF(OR(Tasks[[#This Row],[Task Name]]="",Tasks[[#This Row],[Baseline Cost]]=""),"",Tasks[[#This Row],[Cost]]-N(Tasks[[#This Row],[Baseline Cost]]))</f>
        <v/>
      </c>
      <c r="BE115" s="96" t="str">
        <f aca="false">IF(Tasks[[#This Row],[Task Name]]="","",IF(Tasks[[#This Row],[_IsSummary]],SUM(INDEX(Tasks[_LeafBudget],Tasks[[#This Row],[_Row]]+1):INDEX(Tasks[_LeafBudget],Tasks[[#This Row],[_Row]]+Tasks[[#This Row],[_Descendants]])),Tasks[[#This Row],[_LeafBudget]]))</f>
        <v/>
      </c>
      <c r="BF115" s="96" t="str">
        <f aca="false">IF(Tasks[[#This Row],[Task Name]]="","",IF(Tasks[[#This Row],[_IsSummary]],SUM(INDEX(Tasks[_LeafPV],Tasks[[#This Row],[_Row]]+1):INDEX(Tasks[_LeafPV],Tasks[[#This Row],[_Row]]+Tasks[[#This Row],[_Descendants]])),Tasks[[#This Row],[_LeafPV]]))</f>
        <v/>
      </c>
      <c r="BG115" s="96" t="str">
        <f aca="false">IF(Tasks[[#This Row],[Task Name]]="","",IF(Tasks[[#This Row],[_IsSummary]],SUM(INDEX(Tasks[_LeafEV],Tasks[[#This Row],[_Row]]+1):INDEX(Tasks[_LeafEV],Tasks[[#This Row],[_Row]]+Tasks[[#This Row],[_Descendants]])),Tasks[[#This Row],[_LeafEV]]))</f>
        <v/>
      </c>
      <c r="BH115" s="96" t="str">
        <f aca="false">IF(Tasks[[#This Row],[Task Name]]="","",IF(Tasks[[#This Row],[_IsSummary]],SUM(INDEX(Tasks[_LeafAC],Tasks[[#This Row],[_Row]]+1):INDEX(Tasks[_LeafAC],Tasks[[#This Row],[_Row]]+Tasks[[#This Row],[_Descendants]])),Tasks[[#This Row],[_LeafAC]]))</f>
        <v/>
      </c>
      <c r="BI115" s="41" t="str">
        <f aca="false">IF(Tasks[[#This Row],[Task Name]]="","",MAX(1,N(Tasks[[#This Row],[Level]])))</f>
        <v/>
      </c>
      <c r="BJ115" s="41" t="n">
        <f aca="false">ROW()-ROW(Tasks[[#Headers],[ID]])</f>
        <v>110</v>
      </c>
      <c r="BK115" s="41" t="n">
        <f aca="false">IF(OR(Tasks[[#This Row],[Task Name]]="",Tasks[[#This Row],[_Level]]&lt;=1),0,IFERROR(LOOKUP(2,1/(Tasks[[#Headers],[_Level]]:Tasks[[#This Row],[_Level]]=Tasks[[#This Row],[_Level]]-1),ROW(Tasks[[#Headers],[_Level]]:Tasks[[#This Row],[_Level]])),0))</f>
        <v>0</v>
      </c>
      <c r="BL115" s="41" t="n">
        <f aca="false">IFERROR(N(INDEX(Tasks[_Level],Tasks[[#This Row],[_Row]]+1)),0)</f>
        <v>0</v>
      </c>
      <c r="BM115" s="99" t="b">
        <f aca="false">AND(Tasks[[#This Row],[Task Name]]&lt;&gt;"",Tasks[[#This Row],[_NextLevel]]&gt;Tasks[[#This Row],[_Level]])</f>
        <v>0</v>
      </c>
      <c r="BN115" s="41" t="n">
        <f aca="false">IF(Tasks[[#This Row],[_IsSummary]],COUNTIF(Tasks[WBS],Tasks[[#This Row],[WBS]]&amp;".*"),0)</f>
        <v>0</v>
      </c>
      <c r="BO115" s="41" t="n">
        <f aca="false">IF(AND(Tasks[[#This Row],[Task Name]]&lt;&gt;"",NOT(Tasks[[#This Row],[_IsSummary]])),1,0)</f>
        <v>0</v>
      </c>
      <c r="BP115" s="41" t="n">
        <f aca="false">IF(N(Tasks[[#This Row],[Pred1 UID]])=0,0,IFERROR(MATCH(Tasks[[#This Row],[Pred1 UID]],Tasks[UID],0),-1))</f>
        <v>0</v>
      </c>
      <c r="BQ115" s="41" t="n">
        <f aca="false">IF(N(Tasks[[#This Row],[Pred2 UID]])=0,0,IFERROR(MATCH(Tasks[[#This Row],[Pred2 UID]],Tasks[UID],0),-1))</f>
        <v>0</v>
      </c>
      <c r="BR115"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15" s="100" t="str">
        <f aca="false">IF(NOT(Tasks[[#This Row],[_IsLeaf]]=1),"",IF(N(Tasks[[#This Row],[Duration]])&lt;=0,Tasks[[#This Row],[_LeafCalcStart]],WORKDAY.INTL(Tasks[[#This Row],[_LeafCalcStart]],Tasks[[#This Row],[Duration]]-1,WorkWeek,Holidays)))</f>
        <v/>
      </c>
      <c r="BT115"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15"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15" s="41" t="n">
        <f aca="false">IF(NOT(Tasks[[#This Row],[_IsLeaf]]=1),0,IF(N(Tasks[[#This Row],[Actual Finish]])&gt;0,1,MIN(1,N(Tasks[[#This Row],[% Complete]]))))</f>
        <v>0</v>
      </c>
      <c r="BW115" s="41" t="n">
        <f aca="false">IF(OR(NOT(Tasks[[#This Row],[_IsLeaf]]=1),Tasks[[#This Row],[Resource]]=""),0,N(Tasks[[#This Row],[Duration]])*HoursPerDay*IF(Tasks[[#This Row],[Units]]="",DefaultUnits,Tasks[[#This Row],[Units]]))</f>
        <v>0</v>
      </c>
      <c r="BX115" s="41" t="n">
        <f aca="false">IF(Tasks[[#This Row],[_LeafWork]]=0,0,Tasks[[#This Row],[_LeafWork]]*IFERROR(INDEX(res_Rate,MATCH(Tasks[[#This Row],[Resource]],res_Name,0)),0))</f>
        <v>0</v>
      </c>
      <c r="BY11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1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1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1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15" s="41" t="n">
        <f aca="false">IF(NOT(Tasks[[#This Row],[_IsLeaf]]=1),0,MAX(_xlfn.MAXIFS(Tasks[_Row],Tasks[Pred1 UID],Tasks[[#This Row],[UID]]),_xlfn.MAXIFS(Tasks[_Row],Tasks[Pred2 UID],Tasks[[#This Row],[UID]])))</f>
        <v>0</v>
      </c>
      <c r="CD115"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15" s="100" t="str">
        <f aca="false">IF(NOT(Tasks[[#This Row],[_IsLeaf]]=1),"",MIN(ProjectFinish,IF(N(Tasks[[#This Row],[Deadline]])&gt;0,Tasks[[#This Row],[Deadline]],2958465),Tasks[[#This Row],[_SuccessorFinishLimit]]))</f>
        <v/>
      </c>
      <c r="CF115" s="100" t="str">
        <f aca="false">IF(NOT(Tasks[[#This Row],[_IsLeaf]]=1),"",IF(N(Tasks[[#This Row],[Duration]])&lt;=0,Tasks[[#This Row],[_LeafLateFinish]],WORKDAY.INTL(Tasks[[#This Row],[_LeafLateFinish]],-(Tasks[[#This Row],[Duration]]-1),WorkWeek,Holidays)))</f>
        <v/>
      </c>
      <c r="CG11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15" s="99" t="b">
        <f aca="false">AND(Tasks[[#This Row],[_IsLeaf]]=1,Tasks[[#This Row],[_LeafProgress]]&lt;1,N(Tasks[[#This Row],[_LeafTotalSlack]])&lt;=CriticalSlackDays)</f>
        <v>0</v>
      </c>
      <c r="CI115" s="100" t="str">
        <f aca="false">IF(Tasks[[#This Row],[Task Name]]="","",IF(Tasks[[#This Row],[_IsSummary]],MIN(INDEX(Tasks[_LeafCalcStart],Tasks[[#This Row],[_Row]]+1):INDEX(Tasks[_LeafCalcStart],Tasks[[#This Row],[_Row]]+Tasks[[#This Row],[_Descendants]])),Tasks[[#This Row],[_LeafCalcStart]]))</f>
        <v/>
      </c>
      <c r="CJ115" s="100" t="str">
        <f aca="false">IF(Tasks[[#This Row],[Task Name]]="","",IF(Tasks[[#This Row],[_IsSummary]],MAX(INDEX(Tasks[_LeafCalcFinish],Tasks[[#This Row],[_Row]]+1):INDEX(Tasks[_LeafCalcFinish],Tasks[[#This Row],[_Row]]+Tasks[[#This Row],[_Descendants]])),Tasks[[#This Row],[_LeafCalcFinish]]))</f>
        <v/>
      </c>
      <c r="CK11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1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15"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15"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15"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15"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15" s="41" t="n">
        <f aca="false">IF(AND(Tasks[[#This Row],[_IsLeaf]]=1,Tasks[[#This Row],[_LeafWork]]&gt;0),NETWORKDAYS.INTL(ProjectStart,Tasks[[#This Row],[_LeafFcstStart]],WorkWeek,Holidays),0)</f>
        <v>0</v>
      </c>
      <c r="CR115" s="41" t="n">
        <f aca="false">IF(AND(Tasks[[#This Row],[_IsLeaf]]=1,Tasks[[#This Row],[_LeafWork]]&gt;0),MAX(Tasks[[#This Row],[_StartWorkday]],NETWORKDAYS.INTL(ProjectStart,Tasks[[#This Row],[_LeafFcstFinish]],WorkWeek,Holidays)),0)</f>
        <v>0</v>
      </c>
      <c r="CS115" s="41" t="n">
        <f aca="false">IF(AND(Tasks[[#This Row],[_IsLeaf]]=1,Tasks[[#This Row],[_LeafWork]]&gt;0),Tasks[[#This Row],[_LeafWork]]/(Tasks[[#This Row],[_FinishWorkday]]-Tasks[[#This Row],[_StartWorkday]]+1),0)</f>
        <v>0</v>
      </c>
      <c r="CT115" s="41" t="n">
        <f aca="false">Tasks[[#This Row],[_WorkPerWorkday]]*(Tasks[[#This Row],[_StartWorkday]]-1)</f>
        <v>-0</v>
      </c>
      <c r="CU115" s="41" t="n">
        <f aca="false">IF(Tasks[[#This Row],[_IsLeaf]]=1,MAX(N(Tasks[[#This Row],[Duration]]),0.1),0)</f>
        <v>0</v>
      </c>
      <c r="CV115" s="41" t="n">
        <f aca="false">Tasks[[#This Row],[_WeightDur]]*Tasks[[#This Row],[_LeafProgress]]</f>
        <v>0</v>
      </c>
      <c r="CW11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1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1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1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15" s="41" t="str">
        <f aca="false">IF(Tasks[[#This Row],[Task Name]]="","",Tasks[[#This Row],[_Pred1UIDText]]&amp;IF(AND(Tasks[[#This Row],[_Pred1UIDText]]&lt;&gt;"",Tasks[[#This Row],[_Pred2UIDText]]&lt;&gt;""),",","")&amp;Tasks[[#This Row],[_Pred2UIDText]])</f>
        <v/>
      </c>
      <c r="DB115" s="41" t="str">
        <f aca="false">IF(AND(Tasks[[#This Row],[_IsLeaf]]=1,N(Tasks[[#This Row],[Duration]])=0,Tasks[[#This Row],[_LeafProgress]]&lt;1),Tasks[[#This Row],[_LeafFcstFinish]]+Tasks[[#This Row],[_Row]]/100000,"")</f>
        <v/>
      </c>
      <c r="DC11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15" s="41" t="n">
        <f aca="false">IF(NOT(Tasks[[#This Row],[_IsLeaf]]=1),0,IF(Tasks[[#This Row],[Baseline Cost]]="",Tasks[[#This Row],[_LeafCost]],N(Tasks[[#This Row],[Baseline Cost]])))</f>
        <v>0</v>
      </c>
      <c r="DE115" s="41" t="n">
        <f aca="false">Tasks[[#This Row],[_LeafBudget]]*Tasks[[#This Row],[_PlannedPct]]</f>
        <v>0</v>
      </c>
      <c r="DF115" s="41" t="n">
        <f aca="false">Tasks[[#This Row],[_LeafBudget]]*Tasks[[#This Row],[_LeafProgress]]</f>
        <v>0</v>
      </c>
      <c r="DG115" s="41" t="n">
        <f aca="false">IF(NOT(Tasks[[#This Row],[_IsLeaf]]=1),0,IF(Tasks[[#This Row],[Actual Cost]]="",Tasks[[#This Row],[_LeafCost]]*Tasks[[#This Row],[_LeafProgress]],N(Tasks[[#This Row],[Actual Cost]])))</f>
        <v>0</v>
      </c>
      <c r="DH115" s="41" t="str">
        <f aca="false">IF(Tasks[[#This Row],[Task Name]]="","",LEFT(Tasks[[#This Row],[WBS]],FIND(".",Tasks[[#This Row],[WBS]]&amp;".")-1))</f>
        <v/>
      </c>
      <c r="DI115" s="41" t="str">
        <f aca="false">IF(AND(Tasks[[#This Row],[Task Name]]&lt;&gt;"",Tasks[[#This Row],[_Level]]=1),Tasks[[#This Row],[_Row]],"")</f>
        <v/>
      </c>
      <c r="DJ115" s="41" t="str">
        <f aca="false">IF(AND(Tasks[[#This Row],[_IsLeaf]]=1,N(Tasks[[#This Row],[Duration]])=0),Tasks[[#This Row],[Planned Finish]]+Tasks[[#This Row],[_Row]]/100000,"")</f>
        <v/>
      </c>
      <c r="DK115" s="41" t="str">
        <f aca="false">IF(AND(Tasks[[#This Row],[_IsLeaf]]=1,Tasks[[#This Row],[_LeafProgress]]&lt;1,OR(N(Tasks[[#This Row],[Finish Var]])&gt;0,Tasks[[#This Row],[Status]]="Late Start")),MAX(0,Tasks[[#This Row],[Finish Var]])+1-Tasks[[#This Row],[_Row]]/1000000,"")</f>
        <v/>
      </c>
      <c r="DL115" s="41" t="str">
        <f aca="false">IF(AND(Tasks[[#This Row],[_IsLeaf]]=1,N(Tasks[[#This Row],[Actual Start]])=0,Tasks[[#This Row],[_LeafFcstStart]]&gt;=StatusDate,Tasks[[#This Row],[_LeafFcstStart]]&lt;=LookaheadEnd),Tasks[[#This Row],[_LeafFcstStart]]+Tasks[[#This Row],[_Row]]/100000,"")</f>
        <v/>
      </c>
      <c r="DM115" s="41" t="str">
        <f aca="false">IF(AND(Tasks[[#This Row],[_IsLeaf]]=1,Tasks[[#This Row],[_LeafProgress]]&lt;1,Tasks[[#This Row],[_LeafFcstFinish]]&gt;=StatusDate,Tasks[[#This Row],[_LeafFcstFinish]]&lt;=LookaheadEnd),Tasks[[#This Row],[_LeafFcstFinish]]+Tasks[[#This Row],[_Row]]/100000,"")</f>
        <v/>
      </c>
      <c r="DN115" s="41" t="str">
        <f aca="false">IF(Tasks[[#This Row],[_LeafCritical]],Tasks[[#This Row],[_LeafFcstStart]]+Tasks[[#This Row],[_Row]]/100000,"")</f>
        <v/>
      </c>
      <c r="DO115" s="41" t="n">
        <f aca="false">Tasks[[#This Row],[_LeafWork]]*Tasks[[#This Row],[_LeafProgress]]</f>
        <v>0</v>
      </c>
      <c r="DP115" s="100" t="str">
        <f aca="false">IF(AND(Tasks[[#This Row],[_IsLeaf]]=1,Tasks[[#This Row],[_LeafProgress]]&gt;=1),IF(N(Tasks[[#This Row],[Actual Finish]])&gt;0,Tasks[[#This Row],[Actual Finish]],Tasks[[#This Row],[_LeafFcstFinish]]),"")</f>
        <v/>
      </c>
      <c r="DQ115" s="41" t="n">
        <f aca="false">IF(Tasks[[#This Row],[_IsLeaf]]=1,N(Tasks[[#This Row],[Story Points]]),0)</f>
        <v>0</v>
      </c>
      <c r="DR115" s="41" t="str">
        <f aca="false">IF(AND(Tasks[[#This Row],[_IsLeaf]]=1,CurrentSprint&lt;&gt;"",Tasks[[#This Row],[Sprint]]=CurrentSprint),Tasks[[#This Row],[_Row]],"")</f>
        <v/>
      </c>
    </row>
    <row r="116" customFormat="false" ht="15" hidden="false" customHeight="false" outlineLevel="0" collapsed="false">
      <c r="A116" s="28" t="str">
        <f aca="false">IF(Tasks[[#This Row],[Task Name]]="","",COUNTA(Tasks[[#Headers],[Task Name]]:Tasks[[#This Row],[Task Name]])-1)</f>
        <v/>
      </c>
      <c r="B116" s="29" t="n">
        <v>111</v>
      </c>
      <c r="C11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6" s="29"/>
      <c r="E116" s="30"/>
      <c r="F116" s="29"/>
      <c r="G116" s="29"/>
      <c r="H116" s="29"/>
      <c r="I116" s="29"/>
      <c r="J116" s="29"/>
      <c r="K116" s="29"/>
      <c r="L116" s="29"/>
      <c r="M116" s="29"/>
      <c r="N116" s="73"/>
      <c r="O116" s="73"/>
      <c r="P116" s="25" t="str">
        <f aca="false">IF(Tasks[[#This Row],[Task Name]]="","",IF(N(Tasks[[#This Row],[Baseline Start]])&gt;0,Tasks[[#This Row],[Baseline Start]],Tasks[[#This Row],[_CalcStart]]))</f>
        <v/>
      </c>
      <c r="Q116" s="25" t="str">
        <f aca="false">IF(Tasks[[#This Row],[Task Name]]="","",IF(N(Tasks[[#This Row],[Baseline Finish]])&gt;0,Tasks[[#This Row],[Baseline Finish]],Tasks[[#This Row],[_CalcFinish]]))</f>
        <v/>
      </c>
      <c r="R116" s="73"/>
      <c r="S116" s="73"/>
      <c r="T116" s="25" t="str">
        <f aca="false">IF(Tasks[[#This Row],[Task Name]]="","",IF(Tasks[[#This Row],[_IsSummary]],MIN(INDEX(Tasks[_LeafFcstStart],Tasks[[#This Row],[_Row]]+1):INDEX(Tasks[_LeafFcstStart],Tasks[[#This Row],[_Row]]+Tasks[[#This Row],[_Descendants]])),Tasks[[#This Row],[_LeafFcstStart]]))</f>
        <v/>
      </c>
      <c r="U116" s="25" t="str">
        <f aca="false">IF(Tasks[[#This Row],[Task Name]]="","",IF(Tasks[[#This Row],[_IsSummary]],MAX(INDEX(Tasks[_LeafFcstFinish],Tasks[[#This Row],[_Row]]+1):INDEX(Tasks[_LeafFcstFinish],Tasks[[#This Row],[_Row]]+Tasks[[#This Row],[_Descendants]])),Tasks[[#This Row],[_LeafFcstFinish]]))</f>
        <v/>
      </c>
      <c r="V11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1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6" s="25" t="str">
        <f aca="false">IF(Tasks[[#This Row],[Task Name]]="","",IF(Tasks[[#This Row],[_IsSummary]],MIN(INDEX(Tasks[_LeafLateStart],Tasks[[#This Row],[_Row]]+1):INDEX(Tasks[_LeafLateStart],Tasks[[#This Row],[_Row]]+Tasks[[#This Row],[_Descendants]])),Tasks[[#This Row],[_LeafLateStart]]))</f>
        <v/>
      </c>
      <c r="Y116" s="25" t="str">
        <f aca="false">IF(Tasks[[#This Row],[Task Name]]="","",IF(Tasks[[#This Row],[_IsSummary]],MAX(INDEX(Tasks[_LeafLateFinish],Tasks[[#This Row],[_Row]]+1):INDEX(Tasks[_LeafLateFinish],Tasks[[#This Row],[_Row]]+Tasks[[#This Row],[_Descendants]])),Tasks[[#This Row],[_LeafLateFinish]]))</f>
        <v/>
      </c>
      <c r="Z116" s="43" t="str">
        <f aca="false">IF(Tasks[[#This Row],[Task Name]]="","",IF(Tasks[[#This Row],[_IsSummary]],MIN(INDEX(Tasks[_LeafTotalSlack],Tasks[[#This Row],[_Row]]+1):INDEX(Tasks[_LeafTotalSlack],Tasks[[#This Row],[_Row]]+Tasks[[#This Row],[_Descendants]])),Tasks[[#This Row],[_LeafTotalSlack]]))</f>
        <v/>
      </c>
      <c r="AA11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6" s="28" t="str">
        <f aca="false">IF(Tasks[[#This Row],[Task Name]]="","",IF(IF(Tasks[[#This Row],[_IsSummary]],COUNTIF(INDEX(Tasks[_LeafCritical],Tasks[[#This Row],[_Row]]+1):INDEX(Tasks[_LeafCritical],Tasks[[#This Row],[_Row]]+Tasks[[#This Row],[_Descendants]]),TRUE())&gt;0,Tasks[[#This Row],[_LeafCritical]]),"Yes",""))</f>
        <v/>
      </c>
      <c r="AC11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6" s="24" t="str">
        <f aca="false">IF(Tasks[[#This Row],[Task Name]]="","",TRIM(IF(Tasks[[#This Row],[_Pred1Problem]]&lt;&gt;"","Pred 1: "&amp;Tasks[[#This Row],[_Pred1Problem]]&amp;". ","")&amp;IF(Tasks[[#This Row],[_Pred2Problem]]&lt;&gt;"","Pred 2: "&amp;Tasks[[#This Row],[_Pred2Problem]]&amp;".","")))</f>
        <v/>
      </c>
      <c r="AE116" s="88"/>
      <c r="AF116"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6" s="28" t="str">
        <f aca="false">IF(Tasks[[#This Row],[Task Name]]="","",IF(Tasks[[#This Row],[Progress]]&gt;=1,"Complete",IF(OR(N(Tasks[[#This Row],[Actual Start]])&gt;0,Tasks[[#This Row],[Progress]]&gt;0),IF(Tasks[[#This Row],[Finish Var]]&gt;0,"Behind","In Progress"),IF(Tasks[[#This Row],[Planned Start]]&lt;StatusDate,"Late Start","Not Started"))))</f>
        <v/>
      </c>
      <c r="AH116" s="30"/>
      <c r="AI116" s="88"/>
      <c r="AJ116" s="95" t="str">
        <f aca="false">IF(Tasks[[#This Row],[Task Name]]="","",IF(Tasks[[#This Row],[_IsSummary]],SUM(INDEX(Tasks[_LeafWork],Tasks[[#This Row],[_Row]]+1):INDEX(Tasks[_LeafWork],Tasks[[#This Row],[_Row]]+Tasks[[#This Row],[_Descendants]])),Tasks[[#This Row],[_LeafWork]]))</f>
        <v/>
      </c>
      <c r="AK116" s="96" t="str">
        <f aca="false">IF(Tasks[[#This Row],[Task Name]]="","",IF(Tasks[[#This Row],[_IsSummary]],SUM(INDEX(Tasks[_LeafCost],Tasks[[#This Row],[_Row]]+1):INDEX(Tasks[_LeafCost],Tasks[[#This Row],[_Row]]+Tasks[[#This Row],[_Descendants]])),Tasks[[#This Row],[_LeafCost]]))</f>
        <v/>
      </c>
      <c r="AL116" s="97"/>
      <c r="AM116" s="29"/>
      <c r="AN11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16" s="82"/>
      <c r="AP116" s="24" t="str">
        <f aca="false">IF(Tasks[[#This Row],[Task Name]]="","",Tasks[[#This Row],[_Pred1IDText]]&amp;IF(AND(Tasks[[#This Row],[_Pred1IDText]]&lt;&gt;"",Tasks[[#This Row],[_Pred2IDText]]&lt;&gt;""),",","")&amp;Tasks[[#This Row],[_Pred2IDText]])</f>
        <v/>
      </c>
      <c r="AQ116" s="30"/>
      <c r="AR116" s="25" t="str">
        <f aca="false">IF(Tasks[[#This Row],[Task Name]]="","",Tasks[[#This Row],[Forecast Start]])</f>
        <v/>
      </c>
      <c r="AS116" s="25" t="str">
        <f aca="false">IF(Tasks[[#This Row],[Task Name]]="","",Tasks[[#This Row],[Forecast Finish]])</f>
        <v/>
      </c>
      <c r="AT116" s="28" t="str">
        <f aca="false">IF(Tasks[[#This Row],[Task Name]]="","",IF(Tasks[[#This Row],[_IsSummary]],NETWORKDAYS.INTL(Tasks[[#This Row],[Forecast Start]],Tasks[[#This Row],[Forecast Finish]],WorkWeek,Holidays),N(Tasks[[#This Row],[Duration]])))</f>
        <v/>
      </c>
      <c r="AU116" s="95" t="str">
        <f aca="false">IF(Tasks[[#This Row],[Task Name]]="","",Tasks[[#This Row],[Work]])</f>
        <v/>
      </c>
      <c r="AV116" s="96" t="str">
        <f aca="false">IF(Tasks[[#This Row],[Task Name]]="","",Tasks[[#This Row],[Cost]])</f>
        <v/>
      </c>
      <c r="AW116" s="73"/>
      <c r="AX116" s="73"/>
      <c r="AY116" s="29"/>
      <c r="AZ116" s="98"/>
      <c r="BA116" s="97"/>
      <c r="BB116" s="28" t="str">
        <f aca="false">IF(OR(Tasks[[#This Row],[Task Name]]="",Tasks[[#This Row],[Baseline Duration]]=""),"",Tasks[[#This Row],[BL Source Duration]]-N(Tasks[[#This Row],[Baseline Duration]]))</f>
        <v/>
      </c>
      <c r="BC116" s="95" t="str">
        <f aca="false">IF(OR(Tasks[[#This Row],[Task Name]]="",Tasks[[#This Row],[Baseline Work]]=""),"",Tasks[[#This Row],[Work]]-N(Tasks[[#This Row],[Baseline Work]]))</f>
        <v/>
      </c>
      <c r="BD116" s="96" t="str">
        <f aca="false">IF(OR(Tasks[[#This Row],[Task Name]]="",Tasks[[#This Row],[Baseline Cost]]=""),"",Tasks[[#This Row],[Cost]]-N(Tasks[[#This Row],[Baseline Cost]]))</f>
        <v/>
      </c>
      <c r="BE116" s="96" t="str">
        <f aca="false">IF(Tasks[[#This Row],[Task Name]]="","",IF(Tasks[[#This Row],[_IsSummary]],SUM(INDEX(Tasks[_LeafBudget],Tasks[[#This Row],[_Row]]+1):INDEX(Tasks[_LeafBudget],Tasks[[#This Row],[_Row]]+Tasks[[#This Row],[_Descendants]])),Tasks[[#This Row],[_LeafBudget]]))</f>
        <v/>
      </c>
      <c r="BF116" s="96" t="str">
        <f aca="false">IF(Tasks[[#This Row],[Task Name]]="","",IF(Tasks[[#This Row],[_IsSummary]],SUM(INDEX(Tasks[_LeafPV],Tasks[[#This Row],[_Row]]+1):INDEX(Tasks[_LeafPV],Tasks[[#This Row],[_Row]]+Tasks[[#This Row],[_Descendants]])),Tasks[[#This Row],[_LeafPV]]))</f>
        <v/>
      </c>
      <c r="BG116" s="96" t="str">
        <f aca="false">IF(Tasks[[#This Row],[Task Name]]="","",IF(Tasks[[#This Row],[_IsSummary]],SUM(INDEX(Tasks[_LeafEV],Tasks[[#This Row],[_Row]]+1):INDEX(Tasks[_LeafEV],Tasks[[#This Row],[_Row]]+Tasks[[#This Row],[_Descendants]])),Tasks[[#This Row],[_LeafEV]]))</f>
        <v/>
      </c>
      <c r="BH116" s="96" t="str">
        <f aca="false">IF(Tasks[[#This Row],[Task Name]]="","",IF(Tasks[[#This Row],[_IsSummary]],SUM(INDEX(Tasks[_LeafAC],Tasks[[#This Row],[_Row]]+1):INDEX(Tasks[_LeafAC],Tasks[[#This Row],[_Row]]+Tasks[[#This Row],[_Descendants]])),Tasks[[#This Row],[_LeafAC]]))</f>
        <v/>
      </c>
      <c r="BI116" s="41" t="str">
        <f aca="false">IF(Tasks[[#This Row],[Task Name]]="","",MAX(1,N(Tasks[[#This Row],[Level]])))</f>
        <v/>
      </c>
      <c r="BJ116" s="41" t="n">
        <f aca="false">ROW()-ROW(Tasks[[#Headers],[ID]])</f>
        <v>111</v>
      </c>
      <c r="BK116" s="41" t="n">
        <f aca="false">IF(OR(Tasks[[#This Row],[Task Name]]="",Tasks[[#This Row],[_Level]]&lt;=1),0,IFERROR(LOOKUP(2,1/(Tasks[[#Headers],[_Level]]:Tasks[[#This Row],[_Level]]=Tasks[[#This Row],[_Level]]-1),ROW(Tasks[[#Headers],[_Level]]:Tasks[[#This Row],[_Level]])),0))</f>
        <v>0</v>
      </c>
      <c r="BL116" s="41" t="n">
        <f aca="false">IFERROR(N(INDEX(Tasks[_Level],Tasks[[#This Row],[_Row]]+1)),0)</f>
        <v>0</v>
      </c>
      <c r="BM116" s="99" t="b">
        <f aca="false">AND(Tasks[[#This Row],[Task Name]]&lt;&gt;"",Tasks[[#This Row],[_NextLevel]]&gt;Tasks[[#This Row],[_Level]])</f>
        <v>0</v>
      </c>
      <c r="BN116" s="41" t="n">
        <f aca="false">IF(Tasks[[#This Row],[_IsSummary]],COUNTIF(Tasks[WBS],Tasks[[#This Row],[WBS]]&amp;".*"),0)</f>
        <v>0</v>
      </c>
      <c r="BO116" s="41" t="n">
        <f aca="false">IF(AND(Tasks[[#This Row],[Task Name]]&lt;&gt;"",NOT(Tasks[[#This Row],[_IsSummary]])),1,0)</f>
        <v>0</v>
      </c>
      <c r="BP116" s="41" t="n">
        <f aca="false">IF(N(Tasks[[#This Row],[Pred1 UID]])=0,0,IFERROR(MATCH(Tasks[[#This Row],[Pred1 UID]],Tasks[UID],0),-1))</f>
        <v>0</v>
      </c>
      <c r="BQ116" s="41" t="n">
        <f aca="false">IF(N(Tasks[[#This Row],[Pred2 UID]])=0,0,IFERROR(MATCH(Tasks[[#This Row],[Pred2 UID]],Tasks[UID],0),-1))</f>
        <v>0</v>
      </c>
      <c r="BR116"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16" s="100" t="str">
        <f aca="false">IF(NOT(Tasks[[#This Row],[_IsLeaf]]=1),"",IF(N(Tasks[[#This Row],[Duration]])&lt;=0,Tasks[[#This Row],[_LeafCalcStart]],WORKDAY.INTL(Tasks[[#This Row],[_LeafCalcStart]],Tasks[[#This Row],[Duration]]-1,WorkWeek,Holidays)))</f>
        <v/>
      </c>
      <c r="BT116"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16"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16" s="41" t="n">
        <f aca="false">IF(NOT(Tasks[[#This Row],[_IsLeaf]]=1),0,IF(N(Tasks[[#This Row],[Actual Finish]])&gt;0,1,MIN(1,N(Tasks[[#This Row],[% Complete]]))))</f>
        <v>0</v>
      </c>
      <c r="BW116" s="41" t="n">
        <f aca="false">IF(OR(NOT(Tasks[[#This Row],[_IsLeaf]]=1),Tasks[[#This Row],[Resource]]=""),0,N(Tasks[[#This Row],[Duration]])*HoursPerDay*IF(Tasks[[#This Row],[Units]]="",DefaultUnits,Tasks[[#This Row],[Units]]))</f>
        <v>0</v>
      </c>
      <c r="BX116" s="41" t="n">
        <f aca="false">IF(Tasks[[#This Row],[_LeafWork]]=0,0,Tasks[[#This Row],[_LeafWork]]*IFERROR(INDEX(res_Rate,MATCH(Tasks[[#This Row],[Resource]],res_Name,0)),0))</f>
        <v>0</v>
      </c>
      <c r="BY11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1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1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1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16" s="41" t="n">
        <f aca="false">IF(NOT(Tasks[[#This Row],[_IsLeaf]]=1),0,MAX(_xlfn.MAXIFS(Tasks[_Row],Tasks[Pred1 UID],Tasks[[#This Row],[UID]]),_xlfn.MAXIFS(Tasks[_Row],Tasks[Pred2 UID],Tasks[[#This Row],[UID]])))</f>
        <v>0</v>
      </c>
      <c r="CD116"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16" s="100" t="str">
        <f aca="false">IF(NOT(Tasks[[#This Row],[_IsLeaf]]=1),"",MIN(ProjectFinish,IF(N(Tasks[[#This Row],[Deadline]])&gt;0,Tasks[[#This Row],[Deadline]],2958465),Tasks[[#This Row],[_SuccessorFinishLimit]]))</f>
        <v/>
      </c>
      <c r="CF116" s="100" t="str">
        <f aca="false">IF(NOT(Tasks[[#This Row],[_IsLeaf]]=1),"",IF(N(Tasks[[#This Row],[Duration]])&lt;=0,Tasks[[#This Row],[_LeafLateFinish]],WORKDAY.INTL(Tasks[[#This Row],[_LeafLateFinish]],-(Tasks[[#This Row],[Duration]]-1),WorkWeek,Holidays)))</f>
        <v/>
      </c>
      <c r="CG11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16" s="99" t="b">
        <f aca="false">AND(Tasks[[#This Row],[_IsLeaf]]=1,Tasks[[#This Row],[_LeafProgress]]&lt;1,N(Tasks[[#This Row],[_LeafTotalSlack]])&lt;=CriticalSlackDays)</f>
        <v>0</v>
      </c>
      <c r="CI116" s="100" t="str">
        <f aca="false">IF(Tasks[[#This Row],[Task Name]]="","",IF(Tasks[[#This Row],[_IsSummary]],MIN(INDEX(Tasks[_LeafCalcStart],Tasks[[#This Row],[_Row]]+1):INDEX(Tasks[_LeafCalcStart],Tasks[[#This Row],[_Row]]+Tasks[[#This Row],[_Descendants]])),Tasks[[#This Row],[_LeafCalcStart]]))</f>
        <v/>
      </c>
      <c r="CJ116" s="100" t="str">
        <f aca="false">IF(Tasks[[#This Row],[Task Name]]="","",IF(Tasks[[#This Row],[_IsSummary]],MAX(INDEX(Tasks[_LeafCalcFinish],Tasks[[#This Row],[_Row]]+1):INDEX(Tasks[_LeafCalcFinish],Tasks[[#This Row],[_Row]]+Tasks[[#This Row],[_Descendants]])),Tasks[[#This Row],[_LeafCalcFinish]]))</f>
        <v/>
      </c>
      <c r="CK11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1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16"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16"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16"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16"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16" s="41" t="n">
        <f aca="false">IF(AND(Tasks[[#This Row],[_IsLeaf]]=1,Tasks[[#This Row],[_LeafWork]]&gt;0),NETWORKDAYS.INTL(ProjectStart,Tasks[[#This Row],[_LeafFcstStart]],WorkWeek,Holidays),0)</f>
        <v>0</v>
      </c>
      <c r="CR116" s="41" t="n">
        <f aca="false">IF(AND(Tasks[[#This Row],[_IsLeaf]]=1,Tasks[[#This Row],[_LeafWork]]&gt;0),MAX(Tasks[[#This Row],[_StartWorkday]],NETWORKDAYS.INTL(ProjectStart,Tasks[[#This Row],[_LeafFcstFinish]],WorkWeek,Holidays)),0)</f>
        <v>0</v>
      </c>
      <c r="CS116" s="41" t="n">
        <f aca="false">IF(AND(Tasks[[#This Row],[_IsLeaf]]=1,Tasks[[#This Row],[_LeafWork]]&gt;0),Tasks[[#This Row],[_LeafWork]]/(Tasks[[#This Row],[_FinishWorkday]]-Tasks[[#This Row],[_StartWorkday]]+1),0)</f>
        <v>0</v>
      </c>
      <c r="CT116" s="41" t="n">
        <f aca="false">Tasks[[#This Row],[_WorkPerWorkday]]*(Tasks[[#This Row],[_StartWorkday]]-1)</f>
        <v>-0</v>
      </c>
      <c r="CU116" s="41" t="n">
        <f aca="false">IF(Tasks[[#This Row],[_IsLeaf]]=1,MAX(N(Tasks[[#This Row],[Duration]]),0.1),0)</f>
        <v>0</v>
      </c>
      <c r="CV116" s="41" t="n">
        <f aca="false">Tasks[[#This Row],[_WeightDur]]*Tasks[[#This Row],[_LeafProgress]]</f>
        <v>0</v>
      </c>
      <c r="CW11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1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1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1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16" s="41" t="str">
        <f aca="false">IF(Tasks[[#This Row],[Task Name]]="","",Tasks[[#This Row],[_Pred1UIDText]]&amp;IF(AND(Tasks[[#This Row],[_Pred1UIDText]]&lt;&gt;"",Tasks[[#This Row],[_Pred2UIDText]]&lt;&gt;""),",","")&amp;Tasks[[#This Row],[_Pred2UIDText]])</f>
        <v/>
      </c>
      <c r="DB116" s="41" t="str">
        <f aca="false">IF(AND(Tasks[[#This Row],[_IsLeaf]]=1,N(Tasks[[#This Row],[Duration]])=0,Tasks[[#This Row],[_LeafProgress]]&lt;1),Tasks[[#This Row],[_LeafFcstFinish]]+Tasks[[#This Row],[_Row]]/100000,"")</f>
        <v/>
      </c>
      <c r="DC11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16" s="41" t="n">
        <f aca="false">IF(NOT(Tasks[[#This Row],[_IsLeaf]]=1),0,IF(Tasks[[#This Row],[Baseline Cost]]="",Tasks[[#This Row],[_LeafCost]],N(Tasks[[#This Row],[Baseline Cost]])))</f>
        <v>0</v>
      </c>
      <c r="DE116" s="41" t="n">
        <f aca="false">Tasks[[#This Row],[_LeafBudget]]*Tasks[[#This Row],[_PlannedPct]]</f>
        <v>0</v>
      </c>
      <c r="DF116" s="41" t="n">
        <f aca="false">Tasks[[#This Row],[_LeafBudget]]*Tasks[[#This Row],[_LeafProgress]]</f>
        <v>0</v>
      </c>
      <c r="DG116" s="41" t="n">
        <f aca="false">IF(NOT(Tasks[[#This Row],[_IsLeaf]]=1),0,IF(Tasks[[#This Row],[Actual Cost]]="",Tasks[[#This Row],[_LeafCost]]*Tasks[[#This Row],[_LeafProgress]],N(Tasks[[#This Row],[Actual Cost]])))</f>
        <v>0</v>
      </c>
      <c r="DH116" s="41" t="str">
        <f aca="false">IF(Tasks[[#This Row],[Task Name]]="","",LEFT(Tasks[[#This Row],[WBS]],FIND(".",Tasks[[#This Row],[WBS]]&amp;".")-1))</f>
        <v/>
      </c>
      <c r="DI116" s="41" t="str">
        <f aca="false">IF(AND(Tasks[[#This Row],[Task Name]]&lt;&gt;"",Tasks[[#This Row],[_Level]]=1),Tasks[[#This Row],[_Row]],"")</f>
        <v/>
      </c>
      <c r="DJ116" s="41" t="str">
        <f aca="false">IF(AND(Tasks[[#This Row],[_IsLeaf]]=1,N(Tasks[[#This Row],[Duration]])=0),Tasks[[#This Row],[Planned Finish]]+Tasks[[#This Row],[_Row]]/100000,"")</f>
        <v/>
      </c>
      <c r="DK116" s="41" t="str">
        <f aca="false">IF(AND(Tasks[[#This Row],[_IsLeaf]]=1,Tasks[[#This Row],[_LeafProgress]]&lt;1,OR(N(Tasks[[#This Row],[Finish Var]])&gt;0,Tasks[[#This Row],[Status]]="Late Start")),MAX(0,Tasks[[#This Row],[Finish Var]])+1-Tasks[[#This Row],[_Row]]/1000000,"")</f>
        <v/>
      </c>
      <c r="DL116" s="41" t="str">
        <f aca="false">IF(AND(Tasks[[#This Row],[_IsLeaf]]=1,N(Tasks[[#This Row],[Actual Start]])=0,Tasks[[#This Row],[_LeafFcstStart]]&gt;=StatusDate,Tasks[[#This Row],[_LeafFcstStart]]&lt;=LookaheadEnd),Tasks[[#This Row],[_LeafFcstStart]]+Tasks[[#This Row],[_Row]]/100000,"")</f>
        <v/>
      </c>
      <c r="DM116" s="41" t="str">
        <f aca="false">IF(AND(Tasks[[#This Row],[_IsLeaf]]=1,Tasks[[#This Row],[_LeafProgress]]&lt;1,Tasks[[#This Row],[_LeafFcstFinish]]&gt;=StatusDate,Tasks[[#This Row],[_LeafFcstFinish]]&lt;=LookaheadEnd),Tasks[[#This Row],[_LeafFcstFinish]]+Tasks[[#This Row],[_Row]]/100000,"")</f>
        <v/>
      </c>
      <c r="DN116" s="41" t="str">
        <f aca="false">IF(Tasks[[#This Row],[_LeafCritical]],Tasks[[#This Row],[_LeafFcstStart]]+Tasks[[#This Row],[_Row]]/100000,"")</f>
        <v/>
      </c>
      <c r="DO116" s="41" t="n">
        <f aca="false">Tasks[[#This Row],[_LeafWork]]*Tasks[[#This Row],[_LeafProgress]]</f>
        <v>0</v>
      </c>
      <c r="DP116" s="100" t="str">
        <f aca="false">IF(AND(Tasks[[#This Row],[_IsLeaf]]=1,Tasks[[#This Row],[_LeafProgress]]&gt;=1),IF(N(Tasks[[#This Row],[Actual Finish]])&gt;0,Tasks[[#This Row],[Actual Finish]],Tasks[[#This Row],[_LeafFcstFinish]]),"")</f>
        <v/>
      </c>
      <c r="DQ116" s="41" t="n">
        <f aca="false">IF(Tasks[[#This Row],[_IsLeaf]]=1,N(Tasks[[#This Row],[Story Points]]),0)</f>
        <v>0</v>
      </c>
      <c r="DR116" s="41" t="str">
        <f aca="false">IF(AND(Tasks[[#This Row],[_IsLeaf]]=1,CurrentSprint&lt;&gt;"",Tasks[[#This Row],[Sprint]]=CurrentSprint),Tasks[[#This Row],[_Row]],"")</f>
        <v/>
      </c>
    </row>
    <row r="117" customFormat="false" ht="15" hidden="false" customHeight="false" outlineLevel="0" collapsed="false">
      <c r="A117" s="28" t="str">
        <f aca="false">IF(Tasks[[#This Row],[Task Name]]="","",COUNTA(Tasks[[#Headers],[Task Name]]:Tasks[[#This Row],[Task Name]])-1)</f>
        <v/>
      </c>
      <c r="B117" s="29" t="n">
        <v>112</v>
      </c>
      <c r="C11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7" s="29"/>
      <c r="E117" s="30"/>
      <c r="F117" s="29"/>
      <c r="G117" s="29"/>
      <c r="H117" s="29"/>
      <c r="I117" s="29"/>
      <c r="J117" s="29"/>
      <c r="K117" s="29"/>
      <c r="L117" s="29"/>
      <c r="M117" s="29"/>
      <c r="N117" s="73"/>
      <c r="O117" s="73"/>
      <c r="P117" s="25" t="str">
        <f aca="false">IF(Tasks[[#This Row],[Task Name]]="","",IF(N(Tasks[[#This Row],[Baseline Start]])&gt;0,Tasks[[#This Row],[Baseline Start]],Tasks[[#This Row],[_CalcStart]]))</f>
        <v/>
      </c>
      <c r="Q117" s="25" t="str">
        <f aca="false">IF(Tasks[[#This Row],[Task Name]]="","",IF(N(Tasks[[#This Row],[Baseline Finish]])&gt;0,Tasks[[#This Row],[Baseline Finish]],Tasks[[#This Row],[_CalcFinish]]))</f>
        <v/>
      </c>
      <c r="R117" s="73"/>
      <c r="S117" s="73"/>
      <c r="T117" s="25" t="str">
        <f aca="false">IF(Tasks[[#This Row],[Task Name]]="","",IF(Tasks[[#This Row],[_IsSummary]],MIN(INDEX(Tasks[_LeafFcstStart],Tasks[[#This Row],[_Row]]+1):INDEX(Tasks[_LeafFcstStart],Tasks[[#This Row],[_Row]]+Tasks[[#This Row],[_Descendants]])),Tasks[[#This Row],[_LeafFcstStart]]))</f>
        <v/>
      </c>
      <c r="U117" s="25" t="str">
        <f aca="false">IF(Tasks[[#This Row],[Task Name]]="","",IF(Tasks[[#This Row],[_IsSummary]],MAX(INDEX(Tasks[_LeafFcstFinish],Tasks[[#This Row],[_Row]]+1):INDEX(Tasks[_LeafFcstFinish],Tasks[[#This Row],[_Row]]+Tasks[[#This Row],[_Descendants]])),Tasks[[#This Row],[_LeafFcstFinish]]))</f>
        <v/>
      </c>
      <c r="V11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1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7" s="25" t="str">
        <f aca="false">IF(Tasks[[#This Row],[Task Name]]="","",IF(Tasks[[#This Row],[_IsSummary]],MIN(INDEX(Tasks[_LeafLateStart],Tasks[[#This Row],[_Row]]+1):INDEX(Tasks[_LeafLateStart],Tasks[[#This Row],[_Row]]+Tasks[[#This Row],[_Descendants]])),Tasks[[#This Row],[_LeafLateStart]]))</f>
        <v/>
      </c>
      <c r="Y117" s="25" t="str">
        <f aca="false">IF(Tasks[[#This Row],[Task Name]]="","",IF(Tasks[[#This Row],[_IsSummary]],MAX(INDEX(Tasks[_LeafLateFinish],Tasks[[#This Row],[_Row]]+1):INDEX(Tasks[_LeafLateFinish],Tasks[[#This Row],[_Row]]+Tasks[[#This Row],[_Descendants]])),Tasks[[#This Row],[_LeafLateFinish]]))</f>
        <v/>
      </c>
      <c r="Z117" s="43" t="str">
        <f aca="false">IF(Tasks[[#This Row],[Task Name]]="","",IF(Tasks[[#This Row],[_IsSummary]],MIN(INDEX(Tasks[_LeafTotalSlack],Tasks[[#This Row],[_Row]]+1):INDEX(Tasks[_LeafTotalSlack],Tasks[[#This Row],[_Row]]+Tasks[[#This Row],[_Descendants]])),Tasks[[#This Row],[_LeafTotalSlack]]))</f>
        <v/>
      </c>
      <c r="AA11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7" s="28" t="str">
        <f aca="false">IF(Tasks[[#This Row],[Task Name]]="","",IF(IF(Tasks[[#This Row],[_IsSummary]],COUNTIF(INDEX(Tasks[_LeafCritical],Tasks[[#This Row],[_Row]]+1):INDEX(Tasks[_LeafCritical],Tasks[[#This Row],[_Row]]+Tasks[[#This Row],[_Descendants]]),TRUE())&gt;0,Tasks[[#This Row],[_LeafCritical]]),"Yes",""))</f>
        <v/>
      </c>
      <c r="AC11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7" s="24" t="str">
        <f aca="false">IF(Tasks[[#This Row],[Task Name]]="","",TRIM(IF(Tasks[[#This Row],[_Pred1Problem]]&lt;&gt;"","Pred 1: "&amp;Tasks[[#This Row],[_Pred1Problem]]&amp;". ","")&amp;IF(Tasks[[#This Row],[_Pred2Problem]]&lt;&gt;"","Pred 2: "&amp;Tasks[[#This Row],[_Pred2Problem]]&amp;".","")))</f>
        <v/>
      </c>
      <c r="AE117" s="88"/>
      <c r="AF117"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7" s="28" t="str">
        <f aca="false">IF(Tasks[[#This Row],[Task Name]]="","",IF(Tasks[[#This Row],[Progress]]&gt;=1,"Complete",IF(OR(N(Tasks[[#This Row],[Actual Start]])&gt;0,Tasks[[#This Row],[Progress]]&gt;0),IF(Tasks[[#This Row],[Finish Var]]&gt;0,"Behind","In Progress"),IF(Tasks[[#This Row],[Planned Start]]&lt;StatusDate,"Late Start","Not Started"))))</f>
        <v/>
      </c>
      <c r="AH117" s="30"/>
      <c r="AI117" s="88"/>
      <c r="AJ117" s="95" t="str">
        <f aca="false">IF(Tasks[[#This Row],[Task Name]]="","",IF(Tasks[[#This Row],[_IsSummary]],SUM(INDEX(Tasks[_LeafWork],Tasks[[#This Row],[_Row]]+1):INDEX(Tasks[_LeafWork],Tasks[[#This Row],[_Row]]+Tasks[[#This Row],[_Descendants]])),Tasks[[#This Row],[_LeafWork]]))</f>
        <v/>
      </c>
      <c r="AK117" s="96" t="str">
        <f aca="false">IF(Tasks[[#This Row],[Task Name]]="","",IF(Tasks[[#This Row],[_IsSummary]],SUM(INDEX(Tasks[_LeafCost],Tasks[[#This Row],[_Row]]+1):INDEX(Tasks[_LeafCost],Tasks[[#This Row],[_Row]]+Tasks[[#This Row],[_Descendants]])),Tasks[[#This Row],[_LeafCost]]))</f>
        <v/>
      </c>
      <c r="AL117" s="97"/>
      <c r="AM117" s="29"/>
      <c r="AN11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17" s="82"/>
      <c r="AP117" s="24" t="str">
        <f aca="false">IF(Tasks[[#This Row],[Task Name]]="","",Tasks[[#This Row],[_Pred1IDText]]&amp;IF(AND(Tasks[[#This Row],[_Pred1IDText]]&lt;&gt;"",Tasks[[#This Row],[_Pred2IDText]]&lt;&gt;""),",","")&amp;Tasks[[#This Row],[_Pred2IDText]])</f>
        <v/>
      </c>
      <c r="AQ117" s="30"/>
      <c r="AR117" s="25" t="str">
        <f aca="false">IF(Tasks[[#This Row],[Task Name]]="","",Tasks[[#This Row],[Forecast Start]])</f>
        <v/>
      </c>
      <c r="AS117" s="25" t="str">
        <f aca="false">IF(Tasks[[#This Row],[Task Name]]="","",Tasks[[#This Row],[Forecast Finish]])</f>
        <v/>
      </c>
      <c r="AT117" s="28" t="str">
        <f aca="false">IF(Tasks[[#This Row],[Task Name]]="","",IF(Tasks[[#This Row],[_IsSummary]],NETWORKDAYS.INTL(Tasks[[#This Row],[Forecast Start]],Tasks[[#This Row],[Forecast Finish]],WorkWeek,Holidays),N(Tasks[[#This Row],[Duration]])))</f>
        <v/>
      </c>
      <c r="AU117" s="95" t="str">
        <f aca="false">IF(Tasks[[#This Row],[Task Name]]="","",Tasks[[#This Row],[Work]])</f>
        <v/>
      </c>
      <c r="AV117" s="96" t="str">
        <f aca="false">IF(Tasks[[#This Row],[Task Name]]="","",Tasks[[#This Row],[Cost]])</f>
        <v/>
      </c>
      <c r="AW117" s="73"/>
      <c r="AX117" s="73"/>
      <c r="AY117" s="29"/>
      <c r="AZ117" s="98"/>
      <c r="BA117" s="97"/>
      <c r="BB117" s="28" t="str">
        <f aca="false">IF(OR(Tasks[[#This Row],[Task Name]]="",Tasks[[#This Row],[Baseline Duration]]=""),"",Tasks[[#This Row],[BL Source Duration]]-N(Tasks[[#This Row],[Baseline Duration]]))</f>
        <v/>
      </c>
      <c r="BC117" s="95" t="str">
        <f aca="false">IF(OR(Tasks[[#This Row],[Task Name]]="",Tasks[[#This Row],[Baseline Work]]=""),"",Tasks[[#This Row],[Work]]-N(Tasks[[#This Row],[Baseline Work]]))</f>
        <v/>
      </c>
      <c r="BD117" s="96" t="str">
        <f aca="false">IF(OR(Tasks[[#This Row],[Task Name]]="",Tasks[[#This Row],[Baseline Cost]]=""),"",Tasks[[#This Row],[Cost]]-N(Tasks[[#This Row],[Baseline Cost]]))</f>
        <v/>
      </c>
      <c r="BE117" s="96" t="str">
        <f aca="false">IF(Tasks[[#This Row],[Task Name]]="","",IF(Tasks[[#This Row],[_IsSummary]],SUM(INDEX(Tasks[_LeafBudget],Tasks[[#This Row],[_Row]]+1):INDEX(Tasks[_LeafBudget],Tasks[[#This Row],[_Row]]+Tasks[[#This Row],[_Descendants]])),Tasks[[#This Row],[_LeafBudget]]))</f>
        <v/>
      </c>
      <c r="BF117" s="96" t="str">
        <f aca="false">IF(Tasks[[#This Row],[Task Name]]="","",IF(Tasks[[#This Row],[_IsSummary]],SUM(INDEX(Tasks[_LeafPV],Tasks[[#This Row],[_Row]]+1):INDEX(Tasks[_LeafPV],Tasks[[#This Row],[_Row]]+Tasks[[#This Row],[_Descendants]])),Tasks[[#This Row],[_LeafPV]]))</f>
        <v/>
      </c>
      <c r="BG117" s="96" t="str">
        <f aca="false">IF(Tasks[[#This Row],[Task Name]]="","",IF(Tasks[[#This Row],[_IsSummary]],SUM(INDEX(Tasks[_LeafEV],Tasks[[#This Row],[_Row]]+1):INDEX(Tasks[_LeafEV],Tasks[[#This Row],[_Row]]+Tasks[[#This Row],[_Descendants]])),Tasks[[#This Row],[_LeafEV]]))</f>
        <v/>
      </c>
      <c r="BH117" s="96" t="str">
        <f aca="false">IF(Tasks[[#This Row],[Task Name]]="","",IF(Tasks[[#This Row],[_IsSummary]],SUM(INDEX(Tasks[_LeafAC],Tasks[[#This Row],[_Row]]+1):INDEX(Tasks[_LeafAC],Tasks[[#This Row],[_Row]]+Tasks[[#This Row],[_Descendants]])),Tasks[[#This Row],[_LeafAC]]))</f>
        <v/>
      </c>
      <c r="BI117" s="41" t="str">
        <f aca="false">IF(Tasks[[#This Row],[Task Name]]="","",MAX(1,N(Tasks[[#This Row],[Level]])))</f>
        <v/>
      </c>
      <c r="BJ117" s="41" t="n">
        <f aca="false">ROW()-ROW(Tasks[[#Headers],[ID]])</f>
        <v>112</v>
      </c>
      <c r="BK117" s="41" t="n">
        <f aca="false">IF(OR(Tasks[[#This Row],[Task Name]]="",Tasks[[#This Row],[_Level]]&lt;=1),0,IFERROR(LOOKUP(2,1/(Tasks[[#Headers],[_Level]]:Tasks[[#This Row],[_Level]]=Tasks[[#This Row],[_Level]]-1),ROW(Tasks[[#Headers],[_Level]]:Tasks[[#This Row],[_Level]])),0))</f>
        <v>0</v>
      </c>
      <c r="BL117" s="41" t="n">
        <f aca="false">IFERROR(N(INDEX(Tasks[_Level],Tasks[[#This Row],[_Row]]+1)),0)</f>
        <v>0</v>
      </c>
      <c r="BM117" s="99" t="b">
        <f aca="false">AND(Tasks[[#This Row],[Task Name]]&lt;&gt;"",Tasks[[#This Row],[_NextLevel]]&gt;Tasks[[#This Row],[_Level]])</f>
        <v>0</v>
      </c>
      <c r="BN117" s="41" t="n">
        <f aca="false">IF(Tasks[[#This Row],[_IsSummary]],COUNTIF(Tasks[WBS],Tasks[[#This Row],[WBS]]&amp;".*"),0)</f>
        <v>0</v>
      </c>
      <c r="BO117" s="41" t="n">
        <f aca="false">IF(AND(Tasks[[#This Row],[Task Name]]&lt;&gt;"",NOT(Tasks[[#This Row],[_IsSummary]])),1,0)</f>
        <v>0</v>
      </c>
      <c r="BP117" s="41" t="n">
        <f aca="false">IF(N(Tasks[[#This Row],[Pred1 UID]])=0,0,IFERROR(MATCH(Tasks[[#This Row],[Pred1 UID]],Tasks[UID],0),-1))</f>
        <v>0</v>
      </c>
      <c r="BQ117" s="41" t="n">
        <f aca="false">IF(N(Tasks[[#This Row],[Pred2 UID]])=0,0,IFERROR(MATCH(Tasks[[#This Row],[Pred2 UID]],Tasks[UID],0),-1))</f>
        <v>0</v>
      </c>
      <c r="BR117"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17" s="100" t="str">
        <f aca="false">IF(NOT(Tasks[[#This Row],[_IsLeaf]]=1),"",IF(N(Tasks[[#This Row],[Duration]])&lt;=0,Tasks[[#This Row],[_LeafCalcStart]],WORKDAY.INTL(Tasks[[#This Row],[_LeafCalcStart]],Tasks[[#This Row],[Duration]]-1,WorkWeek,Holidays)))</f>
        <v/>
      </c>
      <c r="BT117"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17"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17" s="41" t="n">
        <f aca="false">IF(NOT(Tasks[[#This Row],[_IsLeaf]]=1),0,IF(N(Tasks[[#This Row],[Actual Finish]])&gt;0,1,MIN(1,N(Tasks[[#This Row],[% Complete]]))))</f>
        <v>0</v>
      </c>
      <c r="BW117" s="41" t="n">
        <f aca="false">IF(OR(NOT(Tasks[[#This Row],[_IsLeaf]]=1),Tasks[[#This Row],[Resource]]=""),0,N(Tasks[[#This Row],[Duration]])*HoursPerDay*IF(Tasks[[#This Row],[Units]]="",DefaultUnits,Tasks[[#This Row],[Units]]))</f>
        <v>0</v>
      </c>
      <c r="BX117" s="41" t="n">
        <f aca="false">IF(Tasks[[#This Row],[_LeafWork]]=0,0,Tasks[[#This Row],[_LeafWork]]*IFERROR(INDEX(res_Rate,MATCH(Tasks[[#This Row],[Resource]],res_Name,0)),0))</f>
        <v>0</v>
      </c>
      <c r="BY11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1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1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1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17" s="41" t="n">
        <f aca="false">IF(NOT(Tasks[[#This Row],[_IsLeaf]]=1),0,MAX(_xlfn.MAXIFS(Tasks[_Row],Tasks[Pred1 UID],Tasks[[#This Row],[UID]]),_xlfn.MAXIFS(Tasks[_Row],Tasks[Pred2 UID],Tasks[[#This Row],[UID]])))</f>
        <v>0</v>
      </c>
      <c r="CD117"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17" s="100" t="str">
        <f aca="false">IF(NOT(Tasks[[#This Row],[_IsLeaf]]=1),"",MIN(ProjectFinish,IF(N(Tasks[[#This Row],[Deadline]])&gt;0,Tasks[[#This Row],[Deadline]],2958465),Tasks[[#This Row],[_SuccessorFinishLimit]]))</f>
        <v/>
      </c>
      <c r="CF117" s="100" t="str">
        <f aca="false">IF(NOT(Tasks[[#This Row],[_IsLeaf]]=1),"",IF(N(Tasks[[#This Row],[Duration]])&lt;=0,Tasks[[#This Row],[_LeafLateFinish]],WORKDAY.INTL(Tasks[[#This Row],[_LeafLateFinish]],-(Tasks[[#This Row],[Duration]]-1),WorkWeek,Holidays)))</f>
        <v/>
      </c>
      <c r="CG11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17" s="99" t="b">
        <f aca="false">AND(Tasks[[#This Row],[_IsLeaf]]=1,Tasks[[#This Row],[_LeafProgress]]&lt;1,N(Tasks[[#This Row],[_LeafTotalSlack]])&lt;=CriticalSlackDays)</f>
        <v>0</v>
      </c>
      <c r="CI117" s="100" t="str">
        <f aca="false">IF(Tasks[[#This Row],[Task Name]]="","",IF(Tasks[[#This Row],[_IsSummary]],MIN(INDEX(Tasks[_LeafCalcStart],Tasks[[#This Row],[_Row]]+1):INDEX(Tasks[_LeafCalcStart],Tasks[[#This Row],[_Row]]+Tasks[[#This Row],[_Descendants]])),Tasks[[#This Row],[_LeafCalcStart]]))</f>
        <v/>
      </c>
      <c r="CJ117" s="100" t="str">
        <f aca="false">IF(Tasks[[#This Row],[Task Name]]="","",IF(Tasks[[#This Row],[_IsSummary]],MAX(INDEX(Tasks[_LeafCalcFinish],Tasks[[#This Row],[_Row]]+1):INDEX(Tasks[_LeafCalcFinish],Tasks[[#This Row],[_Row]]+Tasks[[#This Row],[_Descendants]])),Tasks[[#This Row],[_LeafCalcFinish]]))</f>
        <v/>
      </c>
      <c r="CK11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1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17"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17"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17"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17"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17" s="41" t="n">
        <f aca="false">IF(AND(Tasks[[#This Row],[_IsLeaf]]=1,Tasks[[#This Row],[_LeafWork]]&gt;0),NETWORKDAYS.INTL(ProjectStart,Tasks[[#This Row],[_LeafFcstStart]],WorkWeek,Holidays),0)</f>
        <v>0</v>
      </c>
      <c r="CR117" s="41" t="n">
        <f aca="false">IF(AND(Tasks[[#This Row],[_IsLeaf]]=1,Tasks[[#This Row],[_LeafWork]]&gt;0),MAX(Tasks[[#This Row],[_StartWorkday]],NETWORKDAYS.INTL(ProjectStart,Tasks[[#This Row],[_LeafFcstFinish]],WorkWeek,Holidays)),0)</f>
        <v>0</v>
      </c>
      <c r="CS117" s="41" t="n">
        <f aca="false">IF(AND(Tasks[[#This Row],[_IsLeaf]]=1,Tasks[[#This Row],[_LeafWork]]&gt;0),Tasks[[#This Row],[_LeafWork]]/(Tasks[[#This Row],[_FinishWorkday]]-Tasks[[#This Row],[_StartWorkday]]+1),0)</f>
        <v>0</v>
      </c>
      <c r="CT117" s="41" t="n">
        <f aca="false">Tasks[[#This Row],[_WorkPerWorkday]]*(Tasks[[#This Row],[_StartWorkday]]-1)</f>
        <v>-0</v>
      </c>
      <c r="CU117" s="41" t="n">
        <f aca="false">IF(Tasks[[#This Row],[_IsLeaf]]=1,MAX(N(Tasks[[#This Row],[Duration]]),0.1),0)</f>
        <v>0</v>
      </c>
      <c r="CV117" s="41" t="n">
        <f aca="false">Tasks[[#This Row],[_WeightDur]]*Tasks[[#This Row],[_LeafProgress]]</f>
        <v>0</v>
      </c>
      <c r="CW11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1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1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1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17" s="41" t="str">
        <f aca="false">IF(Tasks[[#This Row],[Task Name]]="","",Tasks[[#This Row],[_Pred1UIDText]]&amp;IF(AND(Tasks[[#This Row],[_Pred1UIDText]]&lt;&gt;"",Tasks[[#This Row],[_Pred2UIDText]]&lt;&gt;""),",","")&amp;Tasks[[#This Row],[_Pred2UIDText]])</f>
        <v/>
      </c>
      <c r="DB117" s="41" t="str">
        <f aca="false">IF(AND(Tasks[[#This Row],[_IsLeaf]]=1,N(Tasks[[#This Row],[Duration]])=0,Tasks[[#This Row],[_LeafProgress]]&lt;1),Tasks[[#This Row],[_LeafFcstFinish]]+Tasks[[#This Row],[_Row]]/100000,"")</f>
        <v/>
      </c>
      <c r="DC11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17" s="41" t="n">
        <f aca="false">IF(NOT(Tasks[[#This Row],[_IsLeaf]]=1),0,IF(Tasks[[#This Row],[Baseline Cost]]="",Tasks[[#This Row],[_LeafCost]],N(Tasks[[#This Row],[Baseline Cost]])))</f>
        <v>0</v>
      </c>
      <c r="DE117" s="41" t="n">
        <f aca="false">Tasks[[#This Row],[_LeafBudget]]*Tasks[[#This Row],[_PlannedPct]]</f>
        <v>0</v>
      </c>
      <c r="DF117" s="41" t="n">
        <f aca="false">Tasks[[#This Row],[_LeafBudget]]*Tasks[[#This Row],[_LeafProgress]]</f>
        <v>0</v>
      </c>
      <c r="DG117" s="41" t="n">
        <f aca="false">IF(NOT(Tasks[[#This Row],[_IsLeaf]]=1),0,IF(Tasks[[#This Row],[Actual Cost]]="",Tasks[[#This Row],[_LeafCost]]*Tasks[[#This Row],[_LeafProgress]],N(Tasks[[#This Row],[Actual Cost]])))</f>
        <v>0</v>
      </c>
      <c r="DH117" s="41" t="str">
        <f aca="false">IF(Tasks[[#This Row],[Task Name]]="","",LEFT(Tasks[[#This Row],[WBS]],FIND(".",Tasks[[#This Row],[WBS]]&amp;".")-1))</f>
        <v/>
      </c>
      <c r="DI117" s="41" t="str">
        <f aca="false">IF(AND(Tasks[[#This Row],[Task Name]]&lt;&gt;"",Tasks[[#This Row],[_Level]]=1),Tasks[[#This Row],[_Row]],"")</f>
        <v/>
      </c>
      <c r="DJ117" s="41" t="str">
        <f aca="false">IF(AND(Tasks[[#This Row],[_IsLeaf]]=1,N(Tasks[[#This Row],[Duration]])=0),Tasks[[#This Row],[Planned Finish]]+Tasks[[#This Row],[_Row]]/100000,"")</f>
        <v/>
      </c>
      <c r="DK117" s="41" t="str">
        <f aca="false">IF(AND(Tasks[[#This Row],[_IsLeaf]]=1,Tasks[[#This Row],[_LeafProgress]]&lt;1,OR(N(Tasks[[#This Row],[Finish Var]])&gt;0,Tasks[[#This Row],[Status]]="Late Start")),MAX(0,Tasks[[#This Row],[Finish Var]])+1-Tasks[[#This Row],[_Row]]/1000000,"")</f>
        <v/>
      </c>
      <c r="DL117" s="41" t="str">
        <f aca="false">IF(AND(Tasks[[#This Row],[_IsLeaf]]=1,N(Tasks[[#This Row],[Actual Start]])=0,Tasks[[#This Row],[_LeafFcstStart]]&gt;=StatusDate,Tasks[[#This Row],[_LeafFcstStart]]&lt;=LookaheadEnd),Tasks[[#This Row],[_LeafFcstStart]]+Tasks[[#This Row],[_Row]]/100000,"")</f>
        <v/>
      </c>
      <c r="DM117" s="41" t="str">
        <f aca="false">IF(AND(Tasks[[#This Row],[_IsLeaf]]=1,Tasks[[#This Row],[_LeafProgress]]&lt;1,Tasks[[#This Row],[_LeafFcstFinish]]&gt;=StatusDate,Tasks[[#This Row],[_LeafFcstFinish]]&lt;=LookaheadEnd),Tasks[[#This Row],[_LeafFcstFinish]]+Tasks[[#This Row],[_Row]]/100000,"")</f>
        <v/>
      </c>
      <c r="DN117" s="41" t="str">
        <f aca="false">IF(Tasks[[#This Row],[_LeafCritical]],Tasks[[#This Row],[_LeafFcstStart]]+Tasks[[#This Row],[_Row]]/100000,"")</f>
        <v/>
      </c>
      <c r="DO117" s="41" t="n">
        <f aca="false">Tasks[[#This Row],[_LeafWork]]*Tasks[[#This Row],[_LeafProgress]]</f>
        <v>0</v>
      </c>
      <c r="DP117" s="100" t="str">
        <f aca="false">IF(AND(Tasks[[#This Row],[_IsLeaf]]=1,Tasks[[#This Row],[_LeafProgress]]&gt;=1),IF(N(Tasks[[#This Row],[Actual Finish]])&gt;0,Tasks[[#This Row],[Actual Finish]],Tasks[[#This Row],[_LeafFcstFinish]]),"")</f>
        <v/>
      </c>
      <c r="DQ117" s="41" t="n">
        <f aca="false">IF(Tasks[[#This Row],[_IsLeaf]]=1,N(Tasks[[#This Row],[Story Points]]),0)</f>
        <v>0</v>
      </c>
      <c r="DR117" s="41" t="str">
        <f aca="false">IF(AND(Tasks[[#This Row],[_IsLeaf]]=1,CurrentSprint&lt;&gt;"",Tasks[[#This Row],[Sprint]]=CurrentSprint),Tasks[[#This Row],[_Row]],"")</f>
        <v/>
      </c>
    </row>
    <row r="118" customFormat="false" ht="15" hidden="false" customHeight="false" outlineLevel="0" collapsed="false">
      <c r="A118" s="28" t="str">
        <f aca="false">IF(Tasks[[#This Row],[Task Name]]="","",COUNTA(Tasks[[#Headers],[Task Name]]:Tasks[[#This Row],[Task Name]])-1)</f>
        <v/>
      </c>
      <c r="B118" s="29" t="n">
        <v>113</v>
      </c>
      <c r="C11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8" s="29"/>
      <c r="E118" s="30"/>
      <c r="F118" s="29"/>
      <c r="G118" s="29"/>
      <c r="H118" s="29"/>
      <c r="I118" s="29"/>
      <c r="J118" s="29"/>
      <c r="K118" s="29"/>
      <c r="L118" s="29"/>
      <c r="M118" s="29"/>
      <c r="N118" s="73"/>
      <c r="O118" s="73"/>
      <c r="P118" s="25" t="str">
        <f aca="false">IF(Tasks[[#This Row],[Task Name]]="","",IF(N(Tasks[[#This Row],[Baseline Start]])&gt;0,Tasks[[#This Row],[Baseline Start]],Tasks[[#This Row],[_CalcStart]]))</f>
        <v/>
      </c>
      <c r="Q118" s="25" t="str">
        <f aca="false">IF(Tasks[[#This Row],[Task Name]]="","",IF(N(Tasks[[#This Row],[Baseline Finish]])&gt;0,Tasks[[#This Row],[Baseline Finish]],Tasks[[#This Row],[_CalcFinish]]))</f>
        <v/>
      </c>
      <c r="R118" s="73"/>
      <c r="S118" s="73"/>
      <c r="T118" s="25" t="str">
        <f aca="false">IF(Tasks[[#This Row],[Task Name]]="","",IF(Tasks[[#This Row],[_IsSummary]],MIN(INDEX(Tasks[_LeafFcstStart],Tasks[[#This Row],[_Row]]+1):INDEX(Tasks[_LeafFcstStart],Tasks[[#This Row],[_Row]]+Tasks[[#This Row],[_Descendants]])),Tasks[[#This Row],[_LeafFcstStart]]))</f>
        <v/>
      </c>
      <c r="U118" s="25" t="str">
        <f aca="false">IF(Tasks[[#This Row],[Task Name]]="","",IF(Tasks[[#This Row],[_IsSummary]],MAX(INDEX(Tasks[_LeafFcstFinish],Tasks[[#This Row],[_Row]]+1):INDEX(Tasks[_LeafFcstFinish],Tasks[[#This Row],[_Row]]+Tasks[[#This Row],[_Descendants]])),Tasks[[#This Row],[_LeafFcstFinish]]))</f>
        <v/>
      </c>
      <c r="V11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1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8" s="25" t="str">
        <f aca="false">IF(Tasks[[#This Row],[Task Name]]="","",IF(Tasks[[#This Row],[_IsSummary]],MIN(INDEX(Tasks[_LeafLateStart],Tasks[[#This Row],[_Row]]+1):INDEX(Tasks[_LeafLateStart],Tasks[[#This Row],[_Row]]+Tasks[[#This Row],[_Descendants]])),Tasks[[#This Row],[_LeafLateStart]]))</f>
        <v/>
      </c>
      <c r="Y118" s="25" t="str">
        <f aca="false">IF(Tasks[[#This Row],[Task Name]]="","",IF(Tasks[[#This Row],[_IsSummary]],MAX(INDEX(Tasks[_LeafLateFinish],Tasks[[#This Row],[_Row]]+1):INDEX(Tasks[_LeafLateFinish],Tasks[[#This Row],[_Row]]+Tasks[[#This Row],[_Descendants]])),Tasks[[#This Row],[_LeafLateFinish]]))</f>
        <v/>
      </c>
      <c r="Z118" s="43" t="str">
        <f aca="false">IF(Tasks[[#This Row],[Task Name]]="","",IF(Tasks[[#This Row],[_IsSummary]],MIN(INDEX(Tasks[_LeafTotalSlack],Tasks[[#This Row],[_Row]]+1):INDEX(Tasks[_LeafTotalSlack],Tasks[[#This Row],[_Row]]+Tasks[[#This Row],[_Descendants]])),Tasks[[#This Row],[_LeafTotalSlack]]))</f>
        <v/>
      </c>
      <c r="AA11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8" s="28" t="str">
        <f aca="false">IF(Tasks[[#This Row],[Task Name]]="","",IF(IF(Tasks[[#This Row],[_IsSummary]],COUNTIF(INDEX(Tasks[_LeafCritical],Tasks[[#This Row],[_Row]]+1):INDEX(Tasks[_LeafCritical],Tasks[[#This Row],[_Row]]+Tasks[[#This Row],[_Descendants]]),TRUE())&gt;0,Tasks[[#This Row],[_LeafCritical]]),"Yes",""))</f>
        <v/>
      </c>
      <c r="AC11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8" s="24" t="str">
        <f aca="false">IF(Tasks[[#This Row],[Task Name]]="","",TRIM(IF(Tasks[[#This Row],[_Pred1Problem]]&lt;&gt;"","Pred 1: "&amp;Tasks[[#This Row],[_Pred1Problem]]&amp;". ","")&amp;IF(Tasks[[#This Row],[_Pred2Problem]]&lt;&gt;"","Pred 2: "&amp;Tasks[[#This Row],[_Pred2Problem]]&amp;".","")))</f>
        <v/>
      </c>
      <c r="AE118" s="88"/>
      <c r="AF118"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8" s="28" t="str">
        <f aca="false">IF(Tasks[[#This Row],[Task Name]]="","",IF(Tasks[[#This Row],[Progress]]&gt;=1,"Complete",IF(OR(N(Tasks[[#This Row],[Actual Start]])&gt;0,Tasks[[#This Row],[Progress]]&gt;0),IF(Tasks[[#This Row],[Finish Var]]&gt;0,"Behind","In Progress"),IF(Tasks[[#This Row],[Planned Start]]&lt;StatusDate,"Late Start","Not Started"))))</f>
        <v/>
      </c>
      <c r="AH118" s="30"/>
      <c r="AI118" s="88"/>
      <c r="AJ118" s="95" t="str">
        <f aca="false">IF(Tasks[[#This Row],[Task Name]]="","",IF(Tasks[[#This Row],[_IsSummary]],SUM(INDEX(Tasks[_LeafWork],Tasks[[#This Row],[_Row]]+1):INDEX(Tasks[_LeafWork],Tasks[[#This Row],[_Row]]+Tasks[[#This Row],[_Descendants]])),Tasks[[#This Row],[_LeafWork]]))</f>
        <v/>
      </c>
      <c r="AK118" s="96" t="str">
        <f aca="false">IF(Tasks[[#This Row],[Task Name]]="","",IF(Tasks[[#This Row],[_IsSummary]],SUM(INDEX(Tasks[_LeafCost],Tasks[[#This Row],[_Row]]+1):INDEX(Tasks[_LeafCost],Tasks[[#This Row],[_Row]]+Tasks[[#This Row],[_Descendants]])),Tasks[[#This Row],[_LeafCost]]))</f>
        <v/>
      </c>
      <c r="AL118" s="97"/>
      <c r="AM118" s="29"/>
      <c r="AN11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18" s="82"/>
      <c r="AP118" s="24" t="str">
        <f aca="false">IF(Tasks[[#This Row],[Task Name]]="","",Tasks[[#This Row],[_Pred1IDText]]&amp;IF(AND(Tasks[[#This Row],[_Pred1IDText]]&lt;&gt;"",Tasks[[#This Row],[_Pred2IDText]]&lt;&gt;""),",","")&amp;Tasks[[#This Row],[_Pred2IDText]])</f>
        <v/>
      </c>
      <c r="AQ118" s="30"/>
      <c r="AR118" s="25" t="str">
        <f aca="false">IF(Tasks[[#This Row],[Task Name]]="","",Tasks[[#This Row],[Forecast Start]])</f>
        <v/>
      </c>
      <c r="AS118" s="25" t="str">
        <f aca="false">IF(Tasks[[#This Row],[Task Name]]="","",Tasks[[#This Row],[Forecast Finish]])</f>
        <v/>
      </c>
      <c r="AT118" s="28" t="str">
        <f aca="false">IF(Tasks[[#This Row],[Task Name]]="","",IF(Tasks[[#This Row],[_IsSummary]],NETWORKDAYS.INTL(Tasks[[#This Row],[Forecast Start]],Tasks[[#This Row],[Forecast Finish]],WorkWeek,Holidays),N(Tasks[[#This Row],[Duration]])))</f>
        <v/>
      </c>
      <c r="AU118" s="95" t="str">
        <f aca="false">IF(Tasks[[#This Row],[Task Name]]="","",Tasks[[#This Row],[Work]])</f>
        <v/>
      </c>
      <c r="AV118" s="96" t="str">
        <f aca="false">IF(Tasks[[#This Row],[Task Name]]="","",Tasks[[#This Row],[Cost]])</f>
        <v/>
      </c>
      <c r="AW118" s="73"/>
      <c r="AX118" s="73"/>
      <c r="AY118" s="29"/>
      <c r="AZ118" s="98"/>
      <c r="BA118" s="97"/>
      <c r="BB118" s="28" t="str">
        <f aca="false">IF(OR(Tasks[[#This Row],[Task Name]]="",Tasks[[#This Row],[Baseline Duration]]=""),"",Tasks[[#This Row],[BL Source Duration]]-N(Tasks[[#This Row],[Baseline Duration]]))</f>
        <v/>
      </c>
      <c r="BC118" s="95" t="str">
        <f aca="false">IF(OR(Tasks[[#This Row],[Task Name]]="",Tasks[[#This Row],[Baseline Work]]=""),"",Tasks[[#This Row],[Work]]-N(Tasks[[#This Row],[Baseline Work]]))</f>
        <v/>
      </c>
      <c r="BD118" s="96" t="str">
        <f aca="false">IF(OR(Tasks[[#This Row],[Task Name]]="",Tasks[[#This Row],[Baseline Cost]]=""),"",Tasks[[#This Row],[Cost]]-N(Tasks[[#This Row],[Baseline Cost]]))</f>
        <v/>
      </c>
      <c r="BE118" s="96" t="str">
        <f aca="false">IF(Tasks[[#This Row],[Task Name]]="","",IF(Tasks[[#This Row],[_IsSummary]],SUM(INDEX(Tasks[_LeafBudget],Tasks[[#This Row],[_Row]]+1):INDEX(Tasks[_LeafBudget],Tasks[[#This Row],[_Row]]+Tasks[[#This Row],[_Descendants]])),Tasks[[#This Row],[_LeafBudget]]))</f>
        <v/>
      </c>
      <c r="BF118" s="96" t="str">
        <f aca="false">IF(Tasks[[#This Row],[Task Name]]="","",IF(Tasks[[#This Row],[_IsSummary]],SUM(INDEX(Tasks[_LeafPV],Tasks[[#This Row],[_Row]]+1):INDEX(Tasks[_LeafPV],Tasks[[#This Row],[_Row]]+Tasks[[#This Row],[_Descendants]])),Tasks[[#This Row],[_LeafPV]]))</f>
        <v/>
      </c>
      <c r="BG118" s="96" t="str">
        <f aca="false">IF(Tasks[[#This Row],[Task Name]]="","",IF(Tasks[[#This Row],[_IsSummary]],SUM(INDEX(Tasks[_LeafEV],Tasks[[#This Row],[_Row]]+1):INDEX(Tasks[_LeafEV],Tasks[[#This Row],[_Row]]+Tasks[[#This Row],[_Descendants]])),Tasks[[#This Row],[_LeafEV]]))</f>
        <v/>
      </c>
      <c r="BH118" s="96" t="str">
        <f aca="false">IF(Tasks[[#This Row],[Task Name]]="","",IF(Tasks[[#This Row],[_IsSummary]],SUM(INDEX(Tasks[_LeafAC],Tasks[[#This Row],[_Row]]+1):INDEX(Tasks[_LeafAC],Tasks[[#This Row],[_Row]]+Tasks[[#This Row],[_Descendants]])),Tasks[[#This Row],[_LeafAC]]))</f>
        <v/>
      </c>
      <c r="BI118" s="41" t="str">
        <f aca="false">IF(Tasks[[#This Row],[Task Name]]="","",MAX(1,N(Tasks[[#This Row],[Level]])))</f>
        <v/>
      </c>
      <c r="BJ118" s="41" t="n">
        <f aca="false">ROW()-ROW(Tasks[[#Headers],[ID]])</f>
        <v>113</v>
      </c>
      <c r="BK118" s="41" t="n">
        <f aca="false">IF(OR(Tasks[[#This Row],[Task Name]]="",Tasks[[#This Row],[_Level]]&lt;=1),0,IFERROR(LOOKUP(2,1/(Tasks[[#Headers],[_Level]]:Tasks[[#This Row],[_Level]]=Tasks[[#This Row],[_Level]]-1),ROW(Tasks[[#Headers],[_Level]]:Tasks[[#This Row],[_Level]])),0))</f>
        <v>0</v>
      </c>
      <c r="BL118" s="41" t="n">
        <f aca="false">IFERROR(N(INDEX(Tasks[_Level],Tasks[[#This Row],[_Row]]+1)),0)</f>
        <v>0</v>
      </c>
      <c r="BM118" s="99" t="b">
        <f aca="false">AND(Tasks[[#This Row],[Task Name]]&lt;&gt;"",Tasks[[#This Row],[_NextLevel]]&gt;Tasks[[#This Row],[_Level]])</f>
        <v>0</v>
      </c>
      <c r="BN118" s="41" t="n">
        <f aca="false">IF(Tasks[[#This Row],[_IsSummary]],COUNTIF(Tasks[WBS],Tasks[[#This Row],[WBS]]&amp;".*"),0)</f>
        <v>0</v>
      </c>
      <c r="BO118" s="41" t="n">
        <f aca="false">IF(AND(Tasks[[#This Row],[Task Name]]&lt;&gt;"",NOT(Tasks[[#This Row],[_IsSummary]])),1,0)</f>
        <v>0</v>
      </c>
      <c r="BP118" s="41" t="n">
        <f aca="false">IF(N(Tasks[[#This Row],[Pred1 UID]])=0,0,IFERROR(MATCH(Tasks[[#This Row],[Pred1 UID]],Tasks[UID],0),-1))</f>
        <v>0</v>
      </c>
      <c r="BQ118" s="41" t="n">
        <f aca="false">IF(N(Tasks[[#This Row],[Pred2 UID]])=0,0,IFERROR(MATCH(Tasks[[#This Row],[Pred2 UID]],Tasks[UID],0),-1))</f>
        <v>0</v>
      </c>
      <c r="BR118"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18" s="100" t="str">
        <f aca="false">IF(NOT(Tasks[[#This Row],[_IsLeaf]]=1),"",IF(N(Tasks[[#This Row],[Duration]])&lt;=0,Tasks[[#This Row],[_LeafCalcStart]],WORKDAY.INTL(Tasks[[#This Row],[_LeafCalcStart]],Tasks[[#This Row],[Duration]]-1,WorkWeek,Holidays)))</f>
        <v/>
      </c>
      <c r="BT118"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18"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18" s="41" t="n">
        <f aca="false">IF(NOT(Tasks[[#This Row],[_IsLeaf]]=1),0,IF(N(Tasks[[#This Row],[Actual Finish]])&gt;0,1,MIN(1,N(Tasks[[#This Row],[% Complete]]))))</f>
        <v>0</v>
      </c>
      <c r="BW118" s="41" t="n">
        <f aca="false">IF(OR(NOT(Tasks[[#This Row],[_IsLeaf]]=1),Tasks[[#This Row],[Resource]]=""),0,N(Tasks[[#This Row],[Duration]])*HoursPerDay*IF(Tasks[[#This Row],[Units]]="",DefaultUnits,Tasks[[#This Row],[Units]]))</f>
        <v>0</v>
      </c>
      <c r="BX118" s="41" t="n">
        <f aca="false">IF(Tasks[[#This Row],[_LeafWork]]=0,0,Tasks[[#This Row],[_LeafWork]]*IFERROR(INDEX(res_Rate,MATCH(Tasks[[#This Row],[Resource]],res_Name,0)),0))</f>
        <v>0</v>
      </c>
      <c r="BY11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1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1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1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18" s="41" t="n">
        <f aca="false">IF(NOT(Tasks[[#This Row],[_IsLeaf]]=1),0,MAX(_xlfn.MAXIFS(Tasks[_Row],Tasks[Pred1 UID],Tasks[[#This Row],[UID]]),_xlfn.MAXIFS(Tasks[_Row],Tasks[Pred2 UID],Tasks[[#This Row],[UID]])))</f>
        <v>0</v>
      </c>
      <c r="CD118"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18" s="100" t="str">
        <f aca="false">IF(NOT(Tasks[[#This Row],[_IsLeaf]]=1),"",MIN(ProjectFinish,IF(N(Tasks[[#This Row],[Deadline]])&gt;0,Tasks[[#This Row],[Deadline]],2958465),Tasks[[#This Row],[_SuccessorFinishLimit]]))</f>
        <v/>
      </c>
      <c r="CF118" s="100" t="str">
        <f aca="false">IF(NOT(Tasks[[#This Row],[_IsLeaf]]=1),"",IF(N(Tasks[[#This Row],[Duration]])&lt;=0,Tasks[[#This Row],[_LeafLateFinish]],WORKDAY.INTL(Tasks[[#This Row],[_LeafLateFinish]],-(Tasks[[#This Row],[Duration]]-1),WorkWeek,Holidays)))</f>
        <v/>
      </c>
      <c r="CG11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18" s="99" t="b">
        <f aca="false">AND(Tasks[[#This Row],[_IsLeaf]]=1,Tasks[[#This Row],[_LeafProgress]]&lt;1,N(Tasks[[#This Row],[_LeafTotalSlack]])&lt;=CriticalSlackDays)</f>
        <v>0</v>
      </c>
      <c r="CI118" s="100" t="str">
        <f aca="false">IF(Tasks[[#This Row],[Task Name]]="","",IF(Tasks[[#This Row],[_IsSummary]],MIN(INDEX(Tasks[_LeafCalcStart],Tasks[[#This Row],[_Row]]+1):INDEX(Tasks[_LeafCalcStart],Tasks[[#This Row],[_Row]]+Tasks[[#This Row],[_Descendants]])),Tasks[[#This Row],[_LeafCalcStart]]))</f>
        <v/>
      </c>
      <c r="CJ118" s="100" t="str">
        <f aca="false">IF(Tasks[[#This Row],[Task Name]]="","",IF(Tasks[[#This Row],[_IsSummary]],MAX(INDEX(Tasks[_LeafCalcFinish],Tasks[[#This Row],[_Row]]+1):INDEX(Tasks[_LeafCalcFinish],Tasks[[#This Row],[_Row]]+Tasks[[#This Row],[_Descendants]])),Tasks[[#This Row],[_LeafCalcFinish]]))</f>
        <v/>
      </c>
      <c r="CK11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1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18"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18"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18"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18"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18" s="41" t="n">
        <f aca="false">IF(AND(Tasks[[#This Row],[_IsLeaf]]=1,Tasks[[#This Row],[_LeafWork]]&gt;0),NETWORKDAYS.INTL(ProjectStart,Tasks[[#This Row],[_LeafFcstStart]],WorkWeek,Holidays),0)</f>
        <v>0</v>
      </c>
      <c r="CR118" s="41" t="n">
        <f aca="false">IF(AND(Tasks[[#This Row],[_IsLeaf]]=1,Tasks[[#This Row],[_LeafWork]]&gt;0),MAX(Tasks[[#This Row],[_StartWorkday]],NETWORKDAYS.INTL(ProjectStart,Tasks[[#This Row],[_LeafFcstFinish]],WorkWeek,Holidays)),0)</f>
        <v>0</v>
      </c>
      <c r="CS118" s="41" t="n">
        <f aca="false">IF(AND(Tasks[[#This Row],[_IsLeaf]]=1,Tasks[[#This Row],[_LeafWork]]&gt;0),Tasks[[#This Row],[_LeafWork]]/(Tasks[[#This Row],[_FinishWorkday]]-Tasks[[#This Row],[_StartWorkday]]+1),0)</f>
        <v>0</v>
      </c>
      <c r="CT118" s="41" t="n">
        <f aca="false">Tasks[[#This Row],[_WorkPerWorkday]]*(Tasks[[#This Row],[_StartWorkday]]-1)</f>
        <v>-0</v>
      </c>
      <c r="CU118" s="41" t="n">
        <f aca="false">IF(Tasks[[#This Row],[_IsLeaf]]=1,MAX(N(Tasks[[#This Row],[Duration]]),0.1),0)</f>
        <v>0</v>
      </c>
      <c r="CV118" s="41" t="n">
        <f aca="false">Tasks[[#This Row],[_WeightDur]]*Tasks[[#This Row],[_LeafProgress]]</f>
        <v>0</v>
      </c>
      <c r="CW11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1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1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1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18" s="41" t="str">
        <f aca="false">IF(Tasks[[#This Row],[Task Name]]="","",Tasks[[#This Row],[_Pred1UIDText]]&amp;IF(AND(Tasks[[#This Row],[_Pred1UIDText]]&lt;&gt;"",Tasks[[#This Row],[_Pred2UIDText]]&lt;&gt;""),",","")&amp;Tasks[[#This Row],[_Pred2UIDText]])</f>
        <v/>
      </c>
      <c r="DB118" s="41" t="str">
        <f aca="false">IF(AND(Tasks[[#This Row],[_IsLeaf]]=1,N(Tasks[[#This Row],[Duration]])=0,Tasks[[#This Row],[_LeafProgress]]&lt;1),Tasks[[#This Row],[_LeafFcstFinish]]+Tasks[[#This Row],[_Row]]/100000,"")</f>
        <v/>
      </c>
      <c r="DC11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18" s="41" t="n">
        <f aca="false">IF(NOT(Tasks[[#This Row],[_IsLeaf]]=1),0,IF(Tasks[[#This Row],[Baseline Cost]]="",Tasks[[#This Row],[_LeafCost]],N(Tasks[[#This Row],[Baseline Cost]])))</f>
        <v>0</v>
      </c>
      <c r="DE118" s="41" t="n">
        <f aca="false">Tasks[[#This Row],[_LeafBudget]]*Tasks[[#This Row],[_PlannedPct]]</f>
        <v>0</v>
      </c>
      <c r="DF118" s="41" t="n">
        <f aca="false">Tasks[[#This Row],[_LeafBudget]]*Tasks[[#This Row],[_LeafProgress]]</f>
        <v>0</v>
      </c>
      <c r="DG118" s="41" t="n">
        <f aca="false">IF(NOT(Tasks[[#This Row],[_IsLeaf]]=1),0,IF(Tasks[[#This Row],[Actual Cost]]="",Tasks[[#This Row],[_LeafCost]]*Tasks[[#This Row],[_LeafProgress]],N(Tasks[[#This Row],[Actual Cost]])))</f>
        <v>0</v>
      </c>
      <c r="DH118" s="41" t="str">
        <f aca="false">IF(Tasks[[#This Row],[Task Name]]="","",LEFT(Tasks[[#This Row],[WBS]],FIND(".",Tasks[[#This Row],[WBS]]&amp;".")-1))</f>
        <v/>
      </c>
      <c r="DI118" s="41" t="str">
        <f aca="false">IF(AND(Tasks[[#This Row],[Task Name]]&lt;&gt;"",Tasks[[#This Row],[_Level]]=1),Tasks[[#This Row],[_Row]],"")</f>
        <v/>
      </c>
      <c r="DJ118" s="41" t="str">
        <f aca="false">IF(AND(Tasks[[#This Row],[_IsLeaf]]=1,N(Tasks[[#This Row],[Duration]])=0),Tasks[[#This Row],[Planned Finish]]+Tasks[[#This Row],[_Row]]/100000,"")</f>
        <v/>
      </c>
      <c r="DK118" s="41" t="str">
        <f aca="false">IF(AND(Tasks[[#This Row],[_IsLeaf]]=1,Tasks[[#This Row],[_LeafProgress]]&lt;1,OR(N(Tasks[[#This Row],[Finish Var]])&gt;0,Tasks[[#This Row],[Status]]="Late Start")),MAX(0,Tasks[[#This Row],[Finish Var]])+1-Tasks[[#This Row],[_Row]]/1000000,"")</f>
        <v/>
      </c>
      <c r="DL118" s="41" t="str">
        <f aca="false">IF(AND(Tasks[[#This Row],[_IsLeaf]]=1,N(Tasks[[#This Row],[Actual Start]])=0,Tasks[[#This Row],[_LeafFcstStart]]&gt;=StatusDate,Tasks[[#This Row],[_LeafFcstStart]]&lt;=LookaheadEnd),Tasks[[#This Row],[_LeafFcstStart]]+Tasks[[#This Row],[_Row]]/100000,"")</f>
        <v/>
      </c>
      <c r="DM118" s="41" t="str">
        <f aca="false">IF(AND(Tasks[[#This Row],[_IsLeaf]]=1,Tasks[[#This Row],[_LeafProgress]]&lt;1,Tasks[[#This Row],[_LeafFcstFinish]]&gt;=StatusDate,Tasks[[#This Row],[_LeafFcstFinish]]&lt;=LookaheadEnd),Tasks[[#This Row],[_LeafFcstFinish]]+Tasks[[#This Row],[_Row]]/100000,"")</f>
        <v/>
      </c>
      <c r="DN118" s="41" t="str">
        <f aca="false">IF(Tasks[[#This Row],[_LeafCritical]],Tasks[[#This Row],[_LeafFcstStart]]+Tasks[[#This Row],[_Row]]/100000,"")</f>
        <v/>
      </c>
      <c r="DO118" s="41" t="n">
        <f aca="false">Tasks[[#This Row],[_LeafWork]]*Tasks[[#This Row],[_LeafProgress]]</f>
        <v>0</v>
      </c>
      <c r="DP118" s="100" t="str">
        <f aca="false">IF(AND(Tasks[[#This Row],[_IsLeaf]]=1,Tasks[[#This Row],[_LeafProgress]]&gt;=1),IF(N(Tasks[[#This Row],[Actual Finish]])&gt;0,Tasks[[#This Row],[Actual Finish]],Tasks[[#This Row],[_LeafFcstFinish]]),"")</f>
        <v/>
      </c>
      <c r="DQ118" s="41" t="n">
        <f aca="false">IF(Tasks[[#This Row],[_IsLeaf]]=1,N(Tasks[[#This Row],[Story Points]]),0)</f>
        <v>0</v>
      </c>
      <c r="DR118" s="41" t="str">
        <f aca="false">IF(AND(Tasks[[#This Row],[_IsLeaf]]=1,CurrentSprint&lt;&gt;"",Tasks[[#This Row],[Sprint]]=CurrentSprint),Tasks[[#This Row],[_Row]],"")</f>
        <v/>
      </c>
    </row>
    <row r="119" customFormat="false" ht="15" hidden="false" customHeight="false" outlineLevel="0" collapsed="false">
      <c r="A119" s="28" t="str">
        <f aca="false">IF(Tasks[[#This Row],[Task Name]]="","",COUNTA(Tasks[[#Headers],[Task Name]]:Tasks[[#This Row],[Task Name]])-1)</f>
        <v/>
      </c>
      <c r="B119" s="29" t="n">
        <v>114</v>
      </c>
      <c r="C11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9" s="29"/>
      <c r="E119" s="30"/>
      <c r="F119" s="29"/>
      <c r="G119" s="29"/>
      <c r="H119" s="29"/>
      <c r="I119" s="29"/>
      <c r="J119" s="29"/>
      <c r="K119" s="29"/>
      <c r="L119" s="29"/>
      <c r="M119" s="29"/>
      <c r="N119" s="73"/>
      <c r="O119" s="73"/>
      <c r="P119" s="25" t="str">
        <f aca="false">IF(Tasks[[#This Row],[Task Name]]="","",IF(N(Tasks[[#This Row],[Baseline Start]])&gt;0,Tasks[[#This Row],[Baseline Start]],Tasks[[#This Row],[_CalcStart]]))</f>
        <v/>
      </c>
      <c r="Q119" s="25" t="str">
        <f aca="false">IF(Tasks[[#This Row],[Task Name]]="","",IF(N(Tasks[[#This Row],[Baseline Finish]])&gt;0,Tasks[[#This Row],[Baseline Finish]],Tasks[[#This Row],[_CalcFinish]]))</f>
        <v/>
      </c>
      <c r="R119" s="73"/>
      <c r="S119" s="73"/>
      <c r="T119" s="25" t="str">
        <f aca="false">IF(Tasks[[#This Row],[Task Name]]="","",IF(Tasks[[#This Row],[_IsSummary]],MIN(INDEX(Tasks[_LeafFcstStart],Tasks[[#This Row],[_Row]]+1):INDEX(Tasks[_LeafFcstStart],Tasks[[#This Row],[_Row]]+Tasks[[#This Row],[_Descendants]])),Tasks[[#This Row],[_LeafFcstStart]]))</f>
        <v/>
      </c>
      <c r="U119" s="25" t="str">
        <f aca="false">IF(Tasks[[#This Row],[Task Name]]="","",IF(Tasks[[#This Row],[_IsSummary]],MAX(INDEX(Tasks[_LeafFcstFinish],Tasks[[#This Row],[_Row]]+1):INDEX(Tasks[_LeafFcstFinish],Tasks[[#This Row],[_Row]]+Tasks[[#This Row],[_Descendants]])),Tasks[[#This Row],[_LeafFcstFinish]]))</f>
        <v/>
      </c>
      <c r="V11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1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9" s="25" t="str">
        <f aca="false">IF(Tasks[[#This Row],[Task Name]]="","",IF(Tasks[[#This Row],[_IsSummary]],MIN(INDEX(Tasks[_LeafLateStart],Tasks[[#This Row],[_Row]]+1):INDEX(Tasks[_LeafLateStart],Tasks[[#This Row],[_Row]]+Tasks[[#This Row],[_Descendants]])),Tasks[[#This Row],[_LeafLateStart]]))</f>
        <v/>
      </c>
      <c r="Y119" s="25" t="str">
        <f aca="false">IF(Tasks[[#This Row],[Task Name]]="","",IF(Tasks[[#This Row],[_IsSummary]],MAX(INDEX(Tasks[_LeafLateFinish],Tasks[[#This Row],[_Row]]+1):INDEX(Tasks[_LeafLateFinish],Tasks[[#This Row],[_Row]]+Tasks[[#This Row],[_Descendants]])),Tasks[[#This Row],[_LeafLateFinish]]))</f>
        <v/>
      </c>
      <c r="Z119" s="43" t="str">
        <f aca="false">IF(Tasks[[#This Row],[Task Name]]="","",IF(Tasks[[#This Row],[_IsSummary]],MIN(INDEX(Tasks[_LeafTotalSlack],Tasks[[#This Row],[_Row]]+1):INDEX(Tasks[_LeafTotalSlack],Tasks[[#This Row],[_Row]]+Tasks[[#This Row],[_Descendants]])),Tasks[[#This Row],[_LeafTotalSlack]]))</f>
        <v/>
      </c>
      <c r="AA11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9" s="28" t="str">
        <f aca="false">IF(Tasks[[#This Row],[Task Name]]="","",IF(IF(Tasks[[#This Row],[_IsSummary]],COUNTIF(INDEX(Tasks[_LeafCritical],Tasks[[#This Row],[_Row]]+1):INDEX(Tasks[_LeafCritical],Tasks[[#This Row],[_Row]]+Tasks[[#This Row],[_Descendants]]),TRUE())&gt;0,Tasks[[#This Row],[_LeafCritical]]),"Yes",""))</f>
        <v/>
      </c>
      <c r="AC11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9" s="24" t="str">
        <f aca="false">IF(Tasks[[#This Row],[Task Name]]="","",TRIM(IF(Tasks[[#This Row],[_Pred1Problem]]&lt;&gt;"","Pred 1: "&amp;Tasks[[#This Row],[_Pred1Problem]]&amp;". ","")&amp;IF(Tasks[[#This Row],[_Pred2Problem]]&lt;&gt;"","Pred 2: "&amp;Tasks[[#This Row],[_Pred2Problem]]&amp;".","")))</f>
        <v/>
      </c>
      <c r="AE119" s="88"/>
      <c r="AF119"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9" s="28" t="str">
        <f aca="false">IF(Tasks[[#This Row],[Task Name]]="","",IF(Tasks[[#This Row],[Progress]]&gt;=1,"Complete",IF(OR(N(Tasks[[#This Row],[Actual Start]])&gt;0,Tasks[[#This Row],[Progress]]&gt;0),IF(Tasks[[#This Row],[Finish Var]]&gt;0,"Behind","In Progress"),IF(Tasks[[#This Row],[Planned Start]]&lt;StatusDate,"Late Start","Not Started"))))</f>
        <v/>
      </c>
      <c r="AH119" s="30"/>
      <c r="AI119" s="88"/>
      <c r="AJ119" s="95" t="str">
        <f aca="false">IF(Tasks[[#This Row],[Task Name]]="","",IF(Tasks[[#This Row],[_IsSummary]],SUM(INDEX(Tasks[_LeafWork],Tasks[[#This Row],[_Row]]+1):INDEX(Tasks[_LeafWork],Tasks[[#This Row],[_Row]]+Tasks[[#This Row],[_Descendants]])),Tasks[[#This Row],[_LeafWork]]))</f>
        <v/>
      </c>
      <c r="AK119" s="96" t="str">
        <f aca="false">IF(Tasks[[#This Row],[Task Name]]="","",IF(Tasks[[#This Row],[_IsSummary]],SUM(INDEX(Tasks[_LeafCost],Tasks[[#This Row],[_Row]]+1):INDEX(Tasks[_LeafCost],Tasks[[#This Row],[_Row]]+Tasks[[#This Row],[_Descendants]])),Tasks[[#This Row],[_LeafCost]]))</f>
        <v/>
      </c>
      <c r="AL119" s="97"/>
      <c r="AM119" s="29"/>
      <c r="AN11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19" s="82"/>
      <c r="AP119" s="24" t="str">
        <f aca="false">IF(Tasks[[#This Row],[Task Name]]="","",Tasks[[#This Row],[_Pred1IDText]]&amp;IF(AND(Tasks[[#This Row],[_Pred1IDText]]&lt;&gt;"",Tasks[[#This Row],[_Pred2IDText]]&lt;&gt;""),",","")&amp;Tasks[[#This Row],[_Pred2IDText]])</f>
        <v/>
      </c>
      <c r="AQ119" s="30"/>
      <c r="AR119" s="25" t="str">
        <f aca="false">IF(Tasks[[#This Row],[Task Name]]="","",Tasks[[#This Row],[Forecast Start]])</f>
        <v/>
      </c>
      <c r="AS119" s="25" t="str">
        <f aca="false">IF(Tasks[[#This Row],[Task Name]]="","",Tasks[[#This Row],[Forecast Finish]])</f>
        <v/>
      </c>
      <c r="AT119" s="28" t="str">
        <f aca="false">IF(Tasks[[#This Row],[Task Name]]="","",IF(Tasks[[#This Row],[_IsSummary]],NETWORKDAYS.INTL(Tasks[[#This Row],[Forecast Start]],Tasks[[#This Row],[Forecast Finish]],WorkWeek,Holidays),N(Tasks[[#This Row],[Duration]])))</f>
        <v/>
      </c>
      <c r="AU119" s="95" t="str">
        <f aca="false">IF(Tasks[[#This Row],[Task Name]]="","",Tasks[[#This Row],[Work]])</f>
        <v/>
      </c>
      <c r="AV119" s="96" t="str">
        <f aca="false">IF(Tasks[[#This Row],[Task Name]]="","",Tasks[[#This Row],[Cost]])</f>
        <v/>
      </c>
      <c r="AW119" s="73"/>
      <c r="AX119" s="73"/>
      <c r="AY119" s="29"/>
      <c r="AZ119" s="98"/>
      <c r="BA119" s="97"/>
      <c r="BB119" s="28" t="str">
        <f aca="false">IF(OR(Tasks[[#This Row],[Task Name]]="",Tasks[[#This Row],[Baseline Duration]]=""),"",Tasks[[#This Row],[BL Source Duration]]-N(Tasks[[#This Row],[Baseline Duration]]))</f>
        <v/>
      </c>
      <c r="BC119" s="95" t="str">
        <f aca="false">IF(OR(Tasks[[#This Row],[Task Name]]="",Tasks[[#This Row],[Baseline Work]]=""),"",Tasks[[#This Row],[Work]]-N(Tasks[[#This Row],[Baseline Work]]))</f>
        <v/>
      </c>
      <c r="BD119" s="96" t="str">
        <f aca="false">IF(OR(Tasks[[#This Row],[Task Name]]="",Tasks[[#This Row],[Baseline Cost]]=""),"",Tasks[[#This Row],[Cost]]-N(Tasks[[#This Row],[Baseline Cost]]))</f>
        <v/>
      </c>
      <c r="BE119" s="96" t="str">
        <f aca="false">IF(Tasks[[#This Row],[Task Name]]="","",IF(Tasks[[#This Row],[_IsSummary]],SUM(INDEX(Tasks[_LeafBudget],Tasks[[#This Row],[_Row]]+1):INDEX(Tasks[_LeafBudget],Tasks[[#This Row],[_Row]]+Tasks[[#This Row],[_Descendants]])),Tasks[[#This Row],[_LeafBudget]]))</f>
        <v/>
      </c>
      <c r="BF119" s="96" t="str">
        <f aca="false">IF(Tasks[[#This Row],[Task Name]]="","",IF(Tasks[[#This Row],[_IsSummary]],SUM(INDEX(Tasks[_LeafPV],Tasks[[#This Row],[_Row]]+1):INDEX(Tasks[_LeafPV],Tasks[[#This Row],[_Row]]+Tasks[[#This Row],[_Descendants]])),Tasks[[#This Row],[_LeafPV]]))</f>
        <v/>
      </c>
      <c r="BG119" s="96" t="str">
        <f aca="false">IF(Tasks[[#This Row],[Task Name]]="","",IF(Tasks[[#This Row],[_IsSummary]],SUM(INDEX(Tasks[_LeafEV],Tasks[[#This Row],[_Row]]+1):INDEX(Tasks[_LeafEV],Tasks[[#This Row],[_Row]]+Tasks[[#This Row],[_Descendants]])),Tasks[[#This Row],[_LeafEV]]))</f>
        <v/>
      </c>
      <c r="BH119" s="96" t="str">
        <f aca="false">IF(Tasks[[#This Row],[Task Name]]="","",IF(Tasks[[#This Row],[_IsSummary]],SUM(INDEX(Tasks[_LeafAC],Tasks[[#This Row],[_Row]]+1):INDEX(Tasks[_LeafAC],Tasks[[#This Row],[_Row]]+Tasks[[#This Row],[_Descendants]])),Tasks[[#This Row],[_LeafAC]]))</f>
        <v/>
      </c>
      <c r="BI119" s="41" t="str">
        <f aca="false">IF(Tasks[[#This Row],[Task Name]]="","",MAX(1,N(Tasks[[#This Row],[Level]])))</f>
        <v/>
      </c>
      <c r="BJ119" s="41" t="n">
        <f aca="false">ROW()-ROW(Tasks[[#Headers],[ID]])</f>
        <v>114</v>
      </c>
      <c r="BK119" s="41" t="n">
        <f aca="false">IF(OR(Tasks[[#This Row],[Task Name]]="",Tasks[[#This Row],[_Level]]&lt;=1),0,IFERROR(LOOKUP(2,1/(Tasks[[#Headers],[_Level]]:Tasks[[#This Row],[_Level]]=Tasks[[#This Row],[_Level]]-1),ROW(Tasks[[#Headers],[_Level]]:Tasks[[#This Row],[_Level]])),0))</f>
        <v>0</v>
      </c>
      <c r="BL119" s="41" t="n">
        <f aca="false">IFERROR(N(INDEX(Tasks[_Level],Tasks[[#This Row],[_Row]]+1)),0)</f>
        <v>0</v>
      </c>
      <c r="BM119" s="99" t="b">
        <f aca="false">AND(Tasks[[#This Row],[Task Name]]&lt;&gt;"",Tasks[[#This Row],[_NextLevel]]&gt;Tasks[[#This Row],[_Level]])</f>
        <v>0</v>
      </c>
      <c r="BN119" s="41" t="n">
        <f aca="false">IF(Tasks[[#This Row],[_IsSummary]],COUNTIF(Tasks[WBS],Tasks[[#This Row],[WBS]]&amp;".*"),0)</f>
        <v>0</v>
      </c>
      <c r="BO119" s="41" t="n">
        <f aca="false">IF(AND(Tasks[[#This Row],[Task Name]]&lt;&gt;"",NOT(Tasks[[#This Row],[_IsSummary]])),1,0)</f>
        <v>0</v>
      </c>
      <c r="BP119" s="41" t="n">
        <f aca="false">IF(N(Tasks[[#This Row],[Pred1 UID]])=0,0,IFERROR(MATCH(Tasks[[#This Row],[Pred1 UID]],Tasks[UID],0),-1))</f>
        <v>0</v>
      </c>
      <c r="BQ119" s="41" t="n">
        <f aca="false">IF(N(Tasks[[#This Row],[Pred2 UID]])=0,0,IFERROR(MATCH(Tasks[[#This Row],[Pred2 UID]],Tasks[UID],0),-1))</f>
        <v>0</v>
      </c>
      <c r="BR119"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19" s="100" t="str">
        <f aca="false">IF(NOT(Tasks[[#This Row],[_IsLeaf]]=1),"",IF(N(Tasks[[#This Row],[Duration]])&lt;=0,Tasks[[#This Row],[_LeafCalcStart]],WORKDAY.INTL(Tasks[[#This Row],[_LeafCalcStart]],Tasks[[#This Row],[Duration]]-1,WorkWeek,Holidays)))</f>
        <v/>
      </c>
      <c r="BT119"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19"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19" s="41" t="n">
        <f aca="false">IF(NOT(Tasks[[#This Row],[_IsLeaf]]=1),0,IF(N(Tasks[[#This Row],[Actual Finish]])&gt;0,1,MIN(1,N(Tasks[[#This Row],[% Complete]]))))</f>
        <v>0</v>
      </c>
      <c r="BW119" s="41" t="n">
        <f aca="false">IF(OR(NOT(Tasks[[#This Row],[_IsLeaf]]=1),Tasks[[#This Row],[Resource]]=""),0,N(Tasks[[#This Row],[Duration]])*HoursPerDay*IF(Tasks[[#This Row],[Units]]="",DefaultUnits,Tasks[[#This Row],[Units]]))</f>
        <v>0</v>
      </c>
      <c r="BX119" s="41" t="n">
        <f aca="false">IF(Tasks[[#This Row],[_LeafWork]]=0,0,Tasks[[#This Row],[_LeafWork]]*IFERROR(INDEX(res_Rate,MATCH(Tasks[[#This Row],[Resource]],res_Name,0)),0))</f>
        <v>0</v>
      </c>
      <c r="BY11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1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1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1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19" s="41" t="n">
        <f aca="false">IF(NOT(Tasks[[#This Row],[_IsLeaf]]=1),0,MAX(_xlfn.MAXIFS(Tasks[_Row],Tasks[Pred1 UID],Tasks[[#This Row],[UID]]),_xlfn.MAXIFS(Tasks[_Row],Tasks[Pred2 UID],Tasks[[#This Row],[UID]])))</f>
        <v>0</v>
      </c>
      <c r="CD119"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19" s="100" t="str">
        <f aca="false">IF(NOT(Tasks[[#This Row],[_IsLeaf]]=1),"",MIN(ProjectFinish,IF(N(Tasks[[#This Row],[Deadline]])&gt;0,Tasks[[#This Row],[Deadline]],2958465),Tasks[[#This Row],[_SuccessorFinishLimit]]))</f>
        <v/>
      </c>
      <c r="CF119" s="100" t="str">
        <f aca="false">IF(NOT(Tasks[[#This Row],[_IsLeaf]]=1),"",IF(N(Tasks[[#This Row],[Duration]])&lt;=0,Tasks[[#This Row],[_LeafLateFinish]],WORKDAY.INTL(Tasks[[#This Row],[_LeafLateFinish]],-(Tasks[[#This Row],[Duration]]-1),WorkWeek,Holidays)))</f>
        <v/>
      </c>
      <c r="CG11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19" s="99" t="b">
        <f aca="false">AND(Tasks[[#This Row],[_IsLeaf]]=1,Tasks[[#This Row],[_LeafProgress]]&lt;1,N(Tasks[[#This Row],[_LeafTotalSlack]])&lt;=CriticalSlackDays)</f>
        <v>0</v>
      </c>
      <c r="CI119" s="100" t="str">
        <f aca="false">IF(Tasks[[#This Row],[Task Name]]="","",IF(Tasks[[#This Row],[_IsSummary]],MIN(INDEX(Tasks[_LeafCalcStart],Tasks[[#This Row],[_Row]]+1):INDEX(Tasks[_LeafCalcStart],Tasks[[#This Row],[_Row]]+Tasks[[#This Row],[_Descendants]])),Tasks[[#This Row],[_LeafCalcStart]]))</f>
        <v/>
      </c>
      <c r="CJ119" s="100" t="str">
        <f aca="false">IF(Tasks[[#This Row],[Task Name]]="","",IF(Tasks[[#This Row],[_IsSummary]],MAX(INDEX(Tasks[_LeafCalcFinish],Tasks[[#This Row],[_Row]]+1):INDEX(Tasks[_LeafCalcFinish],Tasks[[#This Row],[_Row]]+Tasks[[#This Row],[_Descendants]])),Tasks[[#This Row],[_LeafCalcFinish]]))</f>
        <v/>
      </c>
      <c r="CK11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1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19"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19"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19"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19"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19" s="41" t="n">
        <f aca="false">IF(AND(Tasks[[#This Row],[_IsLeaf]]=1,Tasks[[#This Row],[_LeafWork]]&gt;0),NETWORKDAYS.INTL(ProjectStart,Tasks[[#This Row],[_LeafFcstStart]],WorkWeek,Holidays),0)</f>
        <v>0</v>
      </c>
      <c r="CR119" s="41" t="n">
        <f aca="false">IF(AND(Tasks[[#This Row],[_IsLeaf]]=1,Tasks[[#This Row],[_LeafWork]]&gt;0),MAX(Tasks[[#This Row],[_StartWorkday]],NETWORKDAYS.INTL(ProjectStart,Tasks[[#This Row],[_LeafFcstFinish]],WorkWeek,Holidays)),0)</f>
        <v>0</v>
      </c>
      <c r="CS119" s="41" t="n">
        <f aca="false">IF(AND(Tasks[[#This Row],[_IsLeaf]]=1,Tasks[[#This Row],[_LeafWork]]&gt;0),Tasks[[#This Row],[_LeafWork]]/(Tasks[[#This Row],[_FinishWorkday]]-Tasks[[#This Row],[_StartWorkday]]+1),0)</f>
        <v>0</v>
      </c>
      <c r="CT119" s="41" t="n">
        <f aca="false">Tasks[[#This Row],[_WorkPerWorkday]]*(Tasks[[#This Row],[_StartWorkday]]-1)</f>
        <v>-0</v>
      </c>
      <c r="CU119" s="41" t="n">
        <f aca="false">IF(Tasks[[#This Row],[_IsLeaf]]=1,MAX(N(Tasks[[#This Row],[Duration]]),0.1),0)</f>
        <v>0</v>
      </c>
      <c r="CV119" s="41" t="n">
        <f aca="false">Tasks[[#This Row],[_WeightDur]]*Tasks[[#This Row],[_LeafProgress]]</f>
        <v>0</v>
      </c>
      <c r="CW11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1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1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1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19" s="41" t="str">
        <f aca="false">IF(Tasks[[#This Row],[Task Name]]="","",Tasks[[#This Row],[_Pred1UIDText]]&amp;IF(AND(Tasks[[#This Row],[_Pred1UIDText]]&lt;&gt;"",Tasks[[#This Row],[_Pred2UIDText]]&lt;&gt;""),",","")&amp;Tasks[[#This Row],[_Pred2UIDText]])</f>
        <v/>
      </c>
      <c r="DB119" s="41" t="str">
        <f aca="false">IF(AND(Tasks[[#This Row],[_IsLeaf]]=1,N(Tasks[[#This Row],[Duration]])=0,Tasks[[#This Row],[_LeafProgress]]&lt;1),Tasks[[#This Row],[_LeafFcstFinish]]+Tasks[[#This Row],[_Row]]/100000,"")</f>
        <v/>
      </c>
      <c r="DC11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19" s="41" t="n">
        <f aca="false">IF(NOT(Tasks[[#This Row],[_IsLeaf]]=1),0,IF(Tasks[[#This Row],[Baseline Cost]]="",Tasks[[#This Row],[_LeafCost]],N(Tasks[[#This Row],[Baseline Cost]])))</f>
        <v>0</v>
      </c>
      <c r="DE119" s="41" t="n">
        <f aca="false">Tasks[[#This Row],[_LeafBudget]]*Tasks[[#This Row],[_PlannedPct]]</f>
        <v>0</v>
      </c>
      <c r="DF119" s="41" t="n">
        <f aca="false">Tasks[[#This Row],[_LeafBudget]]*Tasks[[#This Row],[_LeafProgress]]</f>
        <v>0</v>
      </c>
      <c r="DG119" s="41" t="n">
        <f aca="false">IF(NOT(Tasks[[#This Row],[_IsLeaf]]=1),0,IF(Tasks[[#This Row],[Actual Cost]]="",Tasks[[#This Row],[_LeafCost]]*Tasks[[#This Row],[_LeafProgress]],N(Tasks[[#This Row],[Actual Cost]])))</f>
        <v>0</v>
      </c>
      <c r="DH119" s="41" t="str">
        <f aca="false">IF(Tasks[[#This Row],[Task Name]]="","",LEFT(Tasks[[#This Row],[WBS]],FIND(".",Tasks[[#This Row],[WBS]]&amp;".")-1))</f>
        <v/>
      </c>
      <c r="DI119" s="41" t="str">
        <f aca="false">IF(AND(Tasks[[#This Row],[Task Name]]&lt;&gt;"",Tasks[[#This Row],[_Level]]=1),Tasks[[#This Row],[_Row]],"")</f>
        <v/>
      </c>
      <c r="DJ119" s="41" t="str">
        <f aca="false">IF(AND(Tasks[[#This Row],[_IsLeaf]]=1,N(Tasks[[#This Row],[Duration]])=0),Tasks[[#This Row],[Planned Finish]]+Tasks[[#This Row],[_Row]]/100000,"")</f>
        <v/>
      </c>
      <c r="DK119" s="41" t="str">
        <f aca="false">IF(AND(Tasks[[#This Row],[_IsLeaf]]=1,Tasks[[#This Row],[_LeafProgress]]&lt;1,OR(N(Tasks[[#This Row],[Finish Var]])&gt;0,Tasks[[#This Row],[Status]]="Late Start")),MAX(0,Tasks[[#This Row],[Finish Var]])+1-Tasks[[#This Row],[_Row]]/1000000,"")</f>
        <v/>
      </c>
      <c r="DL119" s="41" t="str">
        <f aca="false">IF(AND(Tasks[[#This Row],[_IsLeaf]]=1,N(Tasks[[#This Row],[Actual Start]])=0,Tasks[[#This Row],[_LeafFcstStart]]&gt;=StatusDate,Tasks[[#This Row],[_LeafFcstStart]]&lt;=LookaheadEnd),Tasks[[#This Row],[_LeafFcstStart]]+Tasks[[#This Row],[_Row]]/100000,"")</f>
        <v/>
      </c>
      <c r="DM119" s="41" t="str">
        <f aca="false">IF(AND(Tasks[[#This Row],[_IsLeaf]]=1,Tasks[[#This Row],[_LeafProgress]]&lt;1,Tasks[[#This Row],[_LeafFcstFinish]]&gt;=StatusDate,Tasks[[#This Row],[_LeafFcstFinish]]&lt;=LookaheadEnd),Tasks[[#This Row],[_LeafFcstFinish]]+Tasks[[#This Row],[_Row]]/100000,"")</f>
        <v/>
      </c>
      <c r="DN119" s="41" t="str">
        <f aca="false">IF(Tasks[[#This Row],[_LeafCritical]],Tasks[[#This Row],[_LeafFcstStart]]+Tasks[[#This Row],[_Row]]/100000,"")</f>
        <v/>
      </c>
      <c r="DO119" s="41" t="n">
        <f aca="false">Tasks[[#This Row],[_LeafWork]]*Tasks[[#This Row],[_LeafProgress]]</f>
        <v>0</v>
      </c>
      <c r="DP119" s="100" t="str">
        <f aca="false">IF(AND(Tasks[[#This Row],[_IsLeaf]]=1,Tasks[[#This Row],[_LeafProgress]]&gt;=1),IF(N(Tasks[[#This Row],[Actual Finish]])&gt;0,Tasks[[#This Row],[Actual Finish]],Tasks[[#This Row],[_LeafFcstFinish]]),"")</f>
        <v/>
      </c>
      <c r="DQ119" s="41" t="n">
        <f aca="false">IF(Tasks[[#This Row],[_IsLeaf]]=1,N(Tasks[[#This Row],[Story Points]]),0)</f>
        <v>0</v>
      </c>
      <c r="DR119" s="41" t="str">
        <f aca="false">IF(AND(Tasks[[#This Row],[_IsLeaf]]=1,CurrentSprint&lt;&gt;"",Tasks[[#This Row],[Sprint]]=CurrentSprint),Tasks[[#This Row],[_Row]],"")</f>
        <v/>
      </c>
    </row>
    <row r="120" customFormat="false" ht="15" hidden="false" customHeight="false" outlineLevel="0" collapsed="false">
      <c r="A120" s="28" t="str">
        <f aca="false">IF(Tasks[[#This Row],[Task Name]]="","",COUNTA(Tasks[[#Headers],[Task Name]]:Tasks[[#This Row],[Task Name]])-1)</f>
        <v/>
      </c>
      <c r="B120" s="29" t="n">
        <v>115</v>
      </c>
      <c r="C12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0" s="29"/>
      <c r="E120" s="30"/>
      <c r="F120" s="29"/>
      <c r="G120" s="29"/>
      <c r="H120" s="29"/>
      <c r="I120" s="29"/>
      <c r="J120" s="29"/>
      <c r="K120" s="29"/>
      <c r="L120" s="29"/>
      <c r="M120" s="29"/>
      <c r="N120" s="73"/>
      <c r="O120" s="73"/>
      <c r="P120" s="25" t="str">
        <f aca="false">IF(Tasks[[#This Row],[Task Name]]="","",IF(N(Tasks[[#This Row],[Baseline Start]])&gt;0,Tasks[[#This Row],[Baseline Start]],Tasks[[#This Row],[_CalcStart]]))</f>
        <v/>
      </c>
      <c r="Q120" s="25" t="str">
        <f aca="false">IF(Tasks[[#This Row],[Task Name]]="","",IF(N(Tasks[[#This Row],[Baseline Finish]])&gt;0,Tasks[[#This Row],[Baseline Finish]],Tasks[[#This Row],[_CalcFinish]]))</f>
        <v/>
      </c>
      <c r="R120" s="73"/>
      <c r="S120" s="73"/>
      <c r="T120" s="25" t="str">
        <f aca="false">IF(Tasks[[#This Row],[Task Name]]="","",IF(Tasks[[#This Row],[_IsSummary]],MIN(INDEX(Tasks[_LeafFcstStart],Tasks[[#This Row],[_Row]]+1):INDEX(Tasks[_LeafFcstStart],Tasks[[#This Row],[_Row]]+Tasks[[#This Row],[_Descendants]])),Tasks[[#This Row],[_LeafFcstStart]]))</f>
        <v/>
      </c>
      <c r="U120" s="25" t="str">
        <f aca="false">IF(Tasks[[#This Row],[Task Name]]="","",IF(Tasks[[#This Row],[_IsSummary]],MAX(INDEX(Tasks[_LeafFcstFinish],Tasks[[#This Row],[_Row]]+1):INDEX(Tasks[_LeafFcstFinish],Tasks[[#This Row],[_Row]]+Tasks[[#This Row],[_Descendants]])),Tasks[[#This Row],[_LeafFcstFinish]]))</f>
        <v/>
      </c>
      <c r="V12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2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0" s="25" t="str">
        <f aca="false">IF(Tasks[[#This Row],[Task Name]]="","",IF(Tasks[[#This Row],[_IsSummary]],MIN(INDEX(Tasks[_LeafLateStart],Tasks[[#This Row],[_Row]]+1):INDEX(Tasks[_LeafLateStart],Tasks[[#This Row],[_Row]]+Tasks[[#This Row],[_Descendants]])),Tasks[[#This Row],[_LeafLateStart]]))</f>
        <v/>
      </c>
      <c r="Y120" s="25" t="str">
        <f aca="false">IF(Tasks[[#This Row],[Task Name]]="","",IF(Tasks[[#This Row],[_IsSummary]],MAX(INDEX(Tasks[_LeafLateFinish],Tasks[[#This Row],[_Row]]+1):INDEX(Tasks[_LeafLateFinish],Tasks[[#This Row],[_Row]]+Tasks[[#This Row],[_Descendants]])),Tasks[[#This Row],[_LeafLateFinish]]))</f>
        <v/>
      </c>
      <c r="Z120" s="43" t="str">
        <f aca="false">IF(Tasks[[#This Row],[Task Name]]="","",IF(Tasks[[#This Row],[_IsSummary]],MIN(INDEX(Tasks[_LeafTotalSlack],Tasks[[#This Row],[_Row]]+1):INDEX(Tasks[_LeafTotalSlack],Tasks[[#This Row],[_Row]]+Tasks[[#This Row],[_Descendants]])),Tasks[[#This Row],[_LeafTotalSlack]]))</f>
        <v/>
      </c>
      <c r="AA12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0" s="28" t="str">
        <f aca="false">IF(Tasks[[#This Row],[Task Name]]="","",IF(IF(Tasks[[#This Row],[_IsSummary]],COUNTIF(INDEX(Tasks[_LeafCritical],Tasks[[#This Row],[_Row]]+1):INDEX(Tasks[_LeafCritical],Tasks[[#This Row],[_Row]]+Tasks[[#This Row],[_Descendants]]),TRUE())&gt;0,Tasks[[#This Row],[_LeafCritical]]),"Yes",""))</f>
        <v/>
      </c>
      <c r="AC12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0" s="24" t="str">
        <f aca="false">IF(Tasks[[#This Row],[Task Name]]="","",TRIM(IF(Tasks[[#This Row],[_Pred1Problem]]&lt;&gt;"","Pred 1: "&amp;Tasks[[#This Row],[_Pred1Problem]]&amp;". ","")&amp;IF(Tasks[[#This Row],[_Pred2Problem]]&lt;&gt;"","Pred 2: "&amp;Tasks[[#This Row],[_Pred2Problem]]&amp;".","")))</f>
        <v/>
      </c>
      <c r="AE120" s="88"/>
      <c r="AF120"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0" s="28" t="str">
        <f aca="false">IF(Tasks[[#This Row],[Task Name]]="","",IF(Tasks[[#This Row],[Progress]]&gt;=1,"Complete",IF(OR(N(Tasks[[#This Row],[Actual Start]])&gt;0,Tasks[[#This Row],[Progress]]&gt;0),IF(Tasks[[#This Row],[Finish Var]]&gt;0,"Behind","In Progress"),IF(Tasks[[#This Row],[Planned Start]]&lt;StatusDate,"Late Start","Not Started"))))</f>
        <v/>
      </c>
      <c r="AH120" s="30"/>
      <c r="AI120" s="88"/>
      <c r="AJ120" s="95" t="str">
        <f aca="false">IF(Tasks[[#This Row],[Task Name]]="","",IF(Tasks[[#This Row],[_IsSummary]],SUM(INDEX(Tasks[_LeafWork],Tasks[[#This Row],[_Row]]+1):INDEX(Tasks[_LeafWork],Tasks[[#This Row],[_Row]]+Tasks[[#This Row],[_Descendants]])),Tasks[[#This Row],[_LeafWork]]))</f>
        <v/>
      </c>
      <c r="AK120" s="96" t="str">
        <f aca="false">IF(Tasks[[#This Row],[Task Name]]="","",IF(Tasks[[#This Row],[_IsSummary]],SUM(INDEX(Tasks[_LeafCost],Tasks[[#This Row],[_Row]]+1):INDEX(Tasks[_LeafCost],Tasks[[#This Row],[_Row]]+Tasks[[#This Row],[_Descendants]])),Tasks[[#This Row],[_LeafCost]]))</f>
        <v/>
      </c>
      <c r="AL120" s="97"/>
      <c r="AM120" s="29"/>
      <c r="AN12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20" s="82"/>
      <c r="AP120" s="24" t="str">
        <f aca="false">IF(Tasks[[#This Row],[Task Name]]="","",Tasks[[#This Row],[_Pred1IDText]]&amp;IF(AND(Tasks[[#This Row],[_Pred1IDText]]&lt;&gt;"",Tasks[[#This Row],[_Pred2IDText]]&lt;&gt;""),",","")&amp;Tasks[[#This Row],[_Pred2IDText]])</f>
        <v/>
      </c>
      <c r="AQ120" s="30"/>
      <c r="AR120" s="25" t="str">
        <f aca="false">IF(Tasks[[#This Row],[Task Name]]="","",Tasks[[#This Row],[Forecast Start]])</f>
        <v/>
      </c>
      <c r="AS120" s="25" t="str">
        <f aca="false">IF(Tasks[[#This Row],[Task Name]]="","",Tasks[[#This Row],[Forecast Finish]])</f>
        <v/>
      </c>
      <c r="AT120" s="28" t="str">
        <f aca="false">IF(Tasks[[#This Row],[Task Name]]="","",IF(Tasks[[#This Row],[_IsSummary]],NETWORKDAYS.INTL(Tasks[[#This Row],[Forecast Start]],Tasks[[#This Row],[Forecast Finish]],WorkWeek,Holidays),N(Tasks[[#This Row],[Duration]])))</f>
        <v/>
      </c>
      <c r="AU120" s="95" t="str">
        <f aca="false">IF(Tasks[[#This Row],[Task Name]]="","",Tasks[[#This Row],[Work]])</f>
        <v/>
      </c>
      <c r="AV120" s="96" t="str">
        <f aca="false">IF(Tasks[[#This Row],[Task Name]]="","",Tasks[[#This Row],[Cost]])</f>
        <v/>
      </c>
      <c r="AW120" s="73"/>
      <c r="AX120" s="73"/>
      <c r="AY120" s="29"/>
      <c r="AZ120" s="98"/>
      <c r="BA120" s="97"/>
      <c r="BB120" s="28" t="str">
        <f aca="false">IF(OR(Tasks[[#This Row],[Task Name]]="",Tasks[[#This Row],[Baseline Duration]]=""),"",Tasks[[#This Row],[BL Source Duration]]-N(Tasks[[#This Row],[Baseline Duration]]))</f>
        <v/>
      </c>
      <c r="BC120" s="95" t="str">
        <f aca="false">IF(OR(Tasks[[#This Row],[Task Name]]="",Tasks[[#This Row],[Baseline Work]]=""),"",Tasks[[#This Row],[Work]]-N(Tasks[[#This Row],[Baseline Work]]))</f>
        <v/>
      </c>
      <c r="BD120" s="96" t="str">
        <f aca="false">IF(OR(Tasks[[#This Row],[Task Name]]="",Tasks[[#This Row],[Baseline Cost]]=""),"",Tasks[[#This Row],[Cost]]-N(Tasks[[#This Row],[Baseline Cost]]))</f>
        <v/>
      </c>
      <c r="BE120" s="96" t="str">
        <f aca="false">IF(Tasks[[#This Row],[Task Name]]="","",IF(Tasks[[#This Row],[_IsSummary]],SUM(INDEX(Tasks[_LeafBudget],Tasks[[#This Row],[_Row]]+1):INDEX(Tasks[_LeafBudget],Tasks[[#This Row],[_Row]]+Tasks[[#This Row],[_Descendants]])),Tasks[[#This Row],[_LeafBudget]]))</f>
        <v/>
      </c>
      <c r="BF120" s="96" t="str">
        <f aca="false">IF(Tasks[[#This Row],[Task Name]]="","",IF(Tasks[[#This Row],[_IsSummary]],SUM(INDEX(Tasks[_LeafPV],Tasks[[#This Row],[_Row]]+1):INDEX(Tasks[_LeafPV],Tasks[[#This Row],[_Row]]+Tasks[[#This Row],[_Descendants]])),Tasks[[#This Row],[_LeafPV]]))</f>
        <v/>
      </c>
      <c r="BG120" s="96" t="str">
        <f aca="false">IF(Tasks[[#This Row],[Task Name]]="","",IF(Tasks[[#This Row],[_IsSummary]],SUM(INDEX(Tasks[_LeafEV],Tasks[[#This Row],[_Row]]+1):INDEX(Tasks[_LeafEV],Tasks[[#This Row],[_Row]]+Tasks[[#This Row],[_Descendants]])),Tasks[[#This Row],[_LeafEV]]))</f>
        <v/>
      </c>
      <c r="BH120" s="96" t="str">
        <f aca="false">IF(Tasks[[#This Row],[Task Name]]="","",IF(Tasks[[#This Row],[_IsSummary]],SUM(INDEX(Tasks[_LeafAC],Tasks[[#This Row],[_Row]]+1):INDEX(Tasks[_LeafAC],Tasks[[#This Row],[_Row]]+Tasks[[#This Row],[_Descendants]])),Tasks[[#This Row],[_LeafAC]]))</f>
        <v/>
      </c>
      <c r="BI120" s="41" t="str">
        <f aca="false">IF(Tasks[[#This Row],[Task Name]]="","",MAX(1,N(Tasks[[#This Row],[Level]])))</f>
        <v/>
      </c>
      <c r="BJ120" s="41" t="n">
        <f aca="false">ROW()-ROW(Tasks[[#Headers],[ID]])</f>
        <v>115</v>
      </c>
      <c r="BK120" s="41" t="n">
        <f aca="false">IF(OR(Tasks[[#This Row],[Task Name]]="",Tasks[[#This Row],[_Level]]&lt;=1),0,IFERROR(LOOKUP(2,1/(Tasks[[#Headers],[_Level]]:Tasks[[#This Row],[_Level]]=Tasks[[#This Row],[_Level]]-1),ROW(Tasks[[#Headers],[_Level]]:Tasks[[#This Row],[_Level]])),0))</f>
        <v>0</v>
      </c>
      <c r="BL120" s="41" t="n">
        <f aca="false">IFERROR(N(INDEX(Tasks[_Level],Tasks[[#This Row],[_Row]]+1)),0)</f>
        <v>0</v>
      </c>
      <c r="BM120" s="99" t="b">
        <f aca="false">AND(Tasks[[#This Row],[Task Name]]&lt;&gt;"",Tasks[[#This Row],[_NextLevel]]&gt;Tasks[[#This Row],[_Level]])</f>
        <v>0</v>
      </c>
      <c r="BN120" s="41" t="n">
        <f aca="false">IF(Tasks[[#This Row],[_IsSummary]],COUNTIF(Tasks[WBS],Tasks[[#This Row],[WBS]]&amp;".*"),0)</f>
        <v>0</v>
      </c>
      <c r="BO120" s="41" t="n">
        <f aca="false">IF(AND(Tasks[[#This Row],[Task Name]]&lt;&gt;"",NOT(Tasks[[#This Row],[_IsSummary]])),1,0)</f>
        <v>0</v>
      </c>
      <c r="BP120" s="41" t="n">
        <f aca="false">IF(N(Tasks[[#This Row],[Pred1 UID]])=0,0,IFERROR(MATCH(Tasks[[#This Row],[Pred1 UID]],Tasks[UID],0),-1))</f>
        <v>0</v>
      </c>
      <c r="BQ120" s="41" t="n">
        <f aca="false">IF(N(Tasks[[#This Row],[Pred2 UID]])=0,0,IFERROR(MATCH(Tasks[[#This Row],[Pred2 UID]],Tasks[UID],0),-1))</f>
        <v>0</v>
      </c>
      <c r="BR120"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20" s="100" t="str">
        <f aca="false">IF(NOT(Tasks[[#This Row],[_IsLeaf]]=1),"",IF(N(Tasks[[#This Row],[Duration]])&lt;=0,Tasks[[#This Row],[_LeafCalcStart]],WORKDAY.INTL(Tasks[[#This Row],[_LeafCalcStart]],Tasks[[#This Row],[Duration]]-1,WorkWeek,Holidays)))</f>
        <v/>
      </c>
      <c r="BT120"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20"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20" s="41" t="n">
        <f aca="false">IF(NOT(Tasks[[#This Row],[_IsLeaf]]=1),0,IF(N(Tasks[[#This Row],[Actual Finish]])&gt;0,1,MIN(1,N(Tasks[[#This Row],[% Complete]]))))</f>
        <v>0</v>
      </c>
      <c r="BW120" s="41" t="n">
        <f aca="false">IF(OR(NOT(Tasks[[#This Row],[_IsLeaf]]=1),Tasks[[#This Row],[Resource]]=""),0,N(Tasks[[#This Row],[Duration]])*HoursPerDay*IF(Tasks[[#This Row],[Units]]="",DefaultUnits,Tasks[[#This Row],[Units]]))</f>
        <v>0</v>
      </c>
      <c r="BX120" s="41" t="n">
        <f aca="false">IF(Tasks[[#This Row],[_LeafWork]]=0,0,Tasks[[#This Row],[_LeafWork]]*IFERROR(INDEX(res_Rate,MATCH(Tasks[[#This Row],[Resource]],res_Name,0)),0))</f>
        <v>0</v>
      </c>
      <c r="BY12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2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2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2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20" s="41" t="n">
        <f aca="false">IF(NOT(Tasks[[#This Row],[_IsLeaf]]=1),0,MAX(_xlfn.MAXIFS(Tasks[_Row],Tasks[Pred1 UID],Tasks[[#This Row],[UID]]),_xlfn.MAXIFS(Tasks[_Row],Tasks[Pred2 UID],Tasks[[#This Row],[UID]])))</f>
        <v>0</v>
      </c>
      <c r="CD120"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20" s="100" t="str">
        <f aca="false">IF(NOT(Tasks[[#This Row],[_IsLeaf]]=1),"",MIN(ProjectFinish,IF(N(Tasks[[#This Row],[Deadline]])&gt;0,Tasks[[#This Row],[Deadline]],2958465),Tasks[[#This Row],[_SuccessorFinishLimit]]))</f>
        <v/>
      </c>
      <c r="CF120" s="100" t="str">
        <f aca="false">IF(NOT(Tasks[[#This Row],[_IsLeaf]]=1),"",IF(N(Tasks[[#This Row],[Duration]])&lt;=0,Tasks[[#This Row],[_LeafLateFinish]],WORKDAY.INTL(Tasks[[#This Row],[_LeafLateFinish]],-(Tasks[[#This Row],[Duration]]-1),WorkWeek,Holidays)))</f>
        <v/>
      </c>
      <c r="CG12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20" s="99" t="b">
        <f aca="false">AND(Tasks[[#This Row],[_IsLeaf]]=1,Tasks[[#This Row],[_LeafProgress]]&lt;1,N(Tasks[[#This Row],[_LeafTotalSlack]])&lt;=CriticalSlackDays)</f>
        <v>0</v>
      </c>
      <c r="CI120" s="100" t="str">
        <f aca="false">IF(Tasks[[#This Row],[Task Name]]="","",IF(Tasks[[#This Row],[_IsSummary]],MIN(INDEX(Tasks[_LeafCalcStart],Tasks[[#This Row],[_Row]]+1):INDEX(Tasks[_LeafCalcStart],Tasks[[#This Row],[_Row]]+Tasks[[#This Row],[_Descendants]])),Tasks[[#This Row],[_LeafCalcStart]]))</f>
        <v/>
      </c>
      <c r="CJ120" s="100" t="str">
        <f aca="false">IF(Tasks[[#This Row],[Task Name]]="","",IF(Tasks[[#This Row],[_IsSummary]],MAX(INDEX(Tasks[_LeafCalcFinish],Tasks[[#This Row],[_Row]]+1):INDEX(Tasks[_LeafCalcFinish],Tasks[[#This Row],[_Row]]+Tasks[[#This Row],[_Descendants]])),Tasks[[#This Row],[_LeafCalcFinish]]))</f>
        <v/>
      </c>
      <c r="CK12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2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20"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20"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20"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20"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20" s="41" t="n">
        <f aca="false">IF(AND(Tasks[[#This Row],[_IsLeaf]]=1,Tasks[[#This Row],[_LeafWork]]&gt;0),NETWORKDAYS.INTL(ProjectStart,Tasks[[#This Row],[_LeafFcstStart]],WorkWeek,Holidays),0)</f>
        <v>0</v>
      </c>
      <c r="CR120" s="41" t="n">
        <f aca="false">IF(AND(Tasks[[#This Row],[_IsLeaf]]=1,Tasks[[#This Row],[_LeafWork]]&gt;0),MAX(Tasks[[#This Row],[_StartWorkday]],NETWORKDAYS.INTL(ProjectStart,Tasks[[#This Row],[_LeafFcstFinish]],WorkWeek,Holidays)),0)</f>
        <v>0</v>
      </c>
      <c r="CS120" s="41" t="n">
        <f aca="false">IF(AND(Tasks[[#This Row],[_IsLeaf]]=1,Tasks[[#This Row],[_LeafWork]]&gt;0),Tasks[[#This Row],[_LeafWork]]/(Tasks[[#This Row],[_FinishWorkday]]-Tasks[[#This Row],[_StartWorkday]]+1),0)</f>
        <v>0</v>
      </c>
      <c r="CT120" s="41" t="n">
        <f aca="false">Tasks[[#This Row],[_WorkPerWorkday]]*(Tasks[[#This Row],[_StartWorkday]]-1)</f>
        <v>-0</v>
      </c>
      <c r="CU120" s="41" t="n">
        <f aca="false">IF(Tasks[[#This Row],[_IsLeaf]]=1,MAX(N(Tasks[[#This Row],[Duration]]),0.1),0)</f>
        <v>0</v>
      </c>
      <c r="CV120" s="41" t="n">
        <f aca="false">Tasks[[#This Row],[_WeightDur]]*Tasks[[#This Row],[_LeafProgress]]</f>
        <v>0</v>
      </c>
      <c r="CW12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2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2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2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20" s="41" t="str">
        <f aca="false">IF(Tasks[[#This Row],[Task Name]]="","",Tasks[[#This Row],[_Pred1UIDText]]&amp;IF(AND(Tasks[[#This Row],[_Pred1UIDText]]&lt;&gt;"",Tasks[[#This Row],[_Pred2UIDText]]&lt;&gt;""),",","")&amp;Tasks[[#This Row],[_Pred2UIDText]])</f>
        <v/>
      </c>
      <c r="DB120" s="41" t="str">
        <f aca="false">IF(AND(Tasks[[#This Row],[_IsLeaf]]=1,N(Tasks[[#This Row],[Duration]])=0,Tasks[[#This Row],[_LeafProgress]]&lt;1),Tasks[[#This Row],[_LeafFcstFinish]]+Tasks[[#This Row],[_Row]]/100000,"")</f>
        <v/>
      </c>
      <c r="DC12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20" s="41" t="n">
        <f aca="false">IF(NOT(Tasks[[#This Row],[_IsLeaf]]=1),0,IF(Tasks[[#This Row],[Baseline Cost]]="",Tasks[[#This Row],[_LeafCost]],N(Tasks[[#This Row],[Baseline Cost]])))</f>
        <v>0</v>
      </c>
      <c r="DE120" s="41" t="n">
        <f aca="false">Tasks[[#This Row],[_LeafBudget]]*Tasks[[#This Row],[_PlannedPct]]</f>
        <v>0</v>
      </c>
      <c r="DF120" s="41" t="n">
        <f aca="false">Tasks[[#This Row],[_LeafBudget]]*Tasks[[#This Row],[_LeafProgress]]</f>
        <v>0</v>
      </c>
      <c r="DG120" s="41" t="n">
        <f aca="false">IF(NOT(Tasks[[#This Row],[_IsLeaf]]=1),0,IF(Tasks[[#This Row],[Actual Cost]]="",Tasks[[#This Row],[_LeafCost]]*Tasks[[#This Row],[_LeafProgress]],N(Tasks[[#This Row],[Actual Cost]])))</f>
        <v>0</v>
      </c>
      <c r="DH120" s="41" t="str">
        <f aca="false">IF(Tasks[[#This Row],[Task Name]]="","",LEFT(Tasks[[#This Row],[WBS]],FIND(".",Tasks[[#This Row],[WBS]]&amp;".")-1))</f>
        <v/>
      </c>
      <c r="DI120" s="41" t="str">
        <f aca="false">IF(AND(Tasks[[#This Row],[Task Name]]&lt;&gt;"",Tasks[[#This Row],[_Level]]=1),Tasks[[#This Row],[_Row]],"")</f>
        <v/>
      </c>
      <c r="DJ120" s="41" t="str">
        <f aca="false">IF(AND(Tasks[[#This Row],[_IsLeaf]]=1,N(Tasks[[#This Row],[Duration]])=0),Tasks[[#This Row],[Planned Finish]]+Tasks[[#This Row],[_Row]]/100000,"")</f>
        <v/>
      </c>
      <c r="DK120" s="41" t="str">
        <f aca="false">IF(AND(Tasks[[#This Row],[_IsLeaf]]=1,Tasks[[#This Row],[_LeafProgress]]&lt;1,OR(N(Tasks[[#This Row],[Finish Var]])&gt;0,Tasks[[#This Row],[Status]]="Late Start")),MAX(0,Tasks[[#This Row],[Finish Var]])+1-Tasks[[#This Row],[_Row]]/1000000,"")</f>
        <v/>
      </c>
      <c r="DL120" s="41" t="str">
        <f aca="false">IF(AND(Tasks[[#This Row],[_IsLeaf]]=1,N(Tasks[[#This Row],[Actual Start]])=0,Tasks[[#This Row],[_LeafFcstStart]]&gt;=StatusDate,Tasks[[#This Row],[_LeafFcstStart]]&lt;=LookaheadEnd),Tasks[[#This Row],[_LeafFcstStart]]+Tasks[[#This Row],[_Row]]/100000,"")</f>
        <v/>
      </c>
      <c r="DM120" s="41" t="str">
        <f aca="false">IF(AND(Tasks[[#This Row],[_IsLeaf]]=1,Tasks[[#This Row],[_LeafProgress]]&lt;1,Tasks[[#This Row],[_LeafFcstFinish]]&gt;=StatusDate,Tasks[[#This Row],[_LeafFcstFinish]]&lt;=LookaheadEnd),Tasks[[#This Row],[_LeafFcstFinish]]+Tasks[[#This Row],[_Row]]/100000,"")</f>
        <v/>
      </c>
      <c r="DN120" s="41" t="str">
        <f aca="false">IF(Tasks[[#This Row],[_LeafCritical]],Tasks[[#This Row],[_LeafFcstStart]]+Tasks[[#This Row],[_Row]]/100000,"")</f>
        <v/>
      </c>
      <c r="DO120" s="41" t="n">
        <f aca="false">Tasks[[#This Row],[_LeafWork]]*Tasks[[#This Row],[_LeafProgress]]</f>
        <v>0</v>
      </c>
      <c r="DP120" s="100" t="str">
        <f aca="false">IF(AND(Tasks[[#This Row],[_IsLeaf]]=1,Tasks[[#This Row],[_LeafProgress]]&gt;=1),IF(N(Tasks[[#This Row],[Actual Finish]])&gt;0,Tasks[[#This Row],[Actual Finish]],Tasks[[#This Row],[_LeafFcstFinish]]),"")</f>
        <v/>
      </c>
      <c r="DQ120" s="41" t="n">
        <f aca="false">IF(Tasks[[#This Row],[_IsLeaf]]=1,N(Tasks[[#This Row],[Story Points]]),0)</f>
        <v>0</v>
      </c>
      <c r="DR120" s="41" t="str">
        <f aca="false">IF(AND(Tasks[[#This Row],[_IsLeaf]]=1,CurrentSprint&lt;&gt;"",Tasks[[#This Row],[Sprint]]=CurrentSprint),Tasks[[#This Row],[_Row]],"")</f>
        <v/>
      </c>
    </row>
    <row r="121" customFormat="false" ht="15" hidden="false" customHeight="false" outlineLevel="0" collapsed="false">
      <c r="A121" s="28" t="str">
        <f aca="false">IF(Tasks[[#This Row],[Task Name]]="","",COUNTA(Tasks[[#Headers],[Task Name]]:Tasks[[#This Row],[Task Name]])-1)</f>
        <v/>
      </c>
      <c r="B121" s="29" t="n">
        <v>116</v>
      </c>
      <c r="C12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1" s="29"/>
      <c r="E121" s="30"/>
      <c r="F121" s="29"/>
      <c r="G121" s="29"/>
      <c r="H121" s="29"/>
      <c r="I121" s="29"/>
      <c r="J121" s="29"/>
      <c r="K121" s="29"/>
      <c r="L121" s="29"/>
      <c r="M121" s="29"/>
      <c r="N121" s="73"/>
      <c r="O121" s="73"/>
      <c r="P121" s="25" t="str">
        <f aca="false">IF(Tasks[[#This Row],[Task Name]]="","",IF(N(Tasks[[#This Row],[Baseline Start]])&gt;0,Tasks[[#This Row],[Baseline Start]],Tasks[[#This Row],[_CalcStart]]))</f>
        <v/>
      </c>
      <c r="Q121" s="25" t="str">
        <f aca="false">IF(Tasks[[#This Row],[Task Name]]="","",IF(N(Tasks[[#This Row],[Baseline Finish]])&gt;0,Tasks[[#This Row],[Baseline Finish]],Tasks[[#This Row],[_CalcFinish]]))</f>
        <v/>
      </c>
      <c r="R121" s="73"/>
      <c r="S121" s="73"/>
      <c r="T121" s="25" t="str">
        <f aca="false">IF(Tasks[[#This Row],[Task Name]]="","",IF(Tasks[[#This Row],[_IsSummary]],MIN(INDEX(Tasks[_LeafFcstStart],Tasks[[#This Row],[_Row]]+1):INDEX(Tasks[_LeafFcstStart],Tasks[[#This Row],[_Row]]+Tasks[[#This Row],[_Descendants]])),Tasks[[#This Row],[_LeafFcstStart]]))</f>
        <v/>
      </c>
      <c r="U121" s="25" t="str">
        <f aca="false">IF(Tasks[[#This Row],[Task Name]]="","",IF(Tasks[[#This Row],[_IsSummary]],MAX(INDEX(Tasks[_LeafFcstFinish],Tasks[[#This Row],[_Row]]+1):INDEX(Tasks[_LeafFcstFinish],Tasks[[#This Row],[_Row]]+Tasks[[#This Row],[_Descendants]])),Tasks[[#This Row],[_LeafFcstFinish]]))</f>
        <v/>
      </c>
      <c r="V12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2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1" s="25" t="str">
        <f aca="false">IF(Tasks[[#This Row],[Task Name]]="","",IF(Tasks[[#This Row],[_IsSummary]],MIN(INDEX(Tasks[_LeafLateStart],Tasks[[#This Row],[_Row]]+1):INDEX(Tasks[_LeafLateStart],Tasks[[#This Row],[_Row]]+Tasks[[#This Row],[_Descendants]])),Tasks[[#This Row],[_LeafLateStart]]))</f>
        <v/>
      </c>
      <c r="Y121" s="25" t="str">
        <f aca="false">IF(Tasks[[#This Row],[Task Name]]="","",IF(Tasks[[#This Row],[_IsSummary]],MAX(INDEX(Tasks[_LeafLateFinish],Tasks[[#This Row],[_Row]]+1):INDEX(Tasks[_LeafLateFinish],Tasks[[#This Row],[_Row]]+Tasks[[#This Row],[_Descendants]])),Tasks[[#This Row],[_LeafLateFinish]]))</f>
        <v/>
      </c>
      <c r="Z121" s="43" t="str">
        <f aca="false">IF(Tasks[[#This Row],[Task Name]]="","",IF(Tasks[[#This Row],[_IsSummary]],MIN(INDEX(Tasks[_LeafTotalSlack],Tasks[[#This Row],[_Row]]+1):INDEX(Tasks[_LeafTotalSlack],Tasks[[#This Row],[_Row]]+Tasks[[#This Row],[_Descendants]])),Tasks[[#This Row],[_LeafTotalSlack]]))</f>
        <v/>
      </c>
      <c r="AA12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1" s="28" t="str">
        <f aca="false">IF(Tasks[[#This Row],[Task Name]]="","",IF(IF(Tasks[[#This Row],[_IsSummary]],COUNTIF(INDEX(Tasks[_LeafCritical],Tasks[[#This Row],[_Row]]+1):INDEX(Tasks[_LeafCritical],Tasks[[#This Row],[_Row]]+Tasks[[#This Row],[_Descendants]]),TRUE())&gt;0,Tasks[[#This Row],[_LeafCritical]]),"Yes",""))</f>
        <v/>
      </c>
      <c r="AC12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1" s="24" t="str">
        <f aca="false">IF(Tasks[[#This Row],[Task Name]]="","",TRIM(IF(Tasks[[#This Row],[_Pred1Problem]]&lt;&gt;"","Pred 1: "&amp;Tasks[[#This Row],[_Pred1Problem]]&amp;". ","")&amp;IF(Tasks[[#This Row],[_Pred2Problem]]&lt;&gt;"","Pred 2: "&amp;Tasks[[#This Row],[_Pred2Problem]]&amp;".","")))</f>
        <v/>
      </c>
      <c r="AE121" s="88"/>
      <c r="AF121"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1" s="28" t="str">
        <f aca="false">IF(Tasks[[#This Row],[Task Name]]="","",IF(Tasks[[#This Row],[Progress]]&gt;=1,"Complete",IF(OR(N(Tasks[[#This Row],[Actual Start]])&gt;0,Tasks[[#This Row],[Progress]]&gt;0),IF(Tasks[[#This Row],[Finish Var]]&gt;0,"Behind","In Progress"),IF(Tasks[[#This Row],[Planned Start]]&lt;StatusDate,"Late Start","Not Started"))))</f>
        <v/>
      </c>
      <c r="AH121" s="30"/>
      <c r="AI121" s="88"/>
      <c r="AJ121" s="95" t="str">
        <f aca="false">IF(Tasks[[#This Row],[Task Name]]="","",IF(Tasks[[#This Row],[_IsSummary]],SUM(INDEX(Tasks[_LeafWork],Tasks[[#This Row],[_Row]]+1):INDEX(Tasks[_LeafWork],Tasks[[#This Row],[_Row]]+Tasks[[#This Row],[_Descendants]])),Tasks[[#This Row],[_LeafWork]]))</f>
        <v/>
      </c>
      <c r="AK121" s="96" t="str">
        <f aca="false">IF(Tasks[[#This Row],[Task Name]]="","",IF(Tasks[[#This Row],[_IsSummary]],SUM(INDEX(Tasks[_LeafCost],Tasks[[#This Row],[_Row]]+1):INDEX(Tasks[_LeafCost],Tasks[[#This Row],[_Row]]+Tasks[[#This Row],[_Descendants]])),Tasks[[#This Row],[_LeafCost]]))</f>
        <v/>
      </c>
      <c r="AL121" s="97"/>
      <c r="AM121" s="29"/>
      <c r="AN12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21" s="82"/>
      <c r="AP121" s="24" t="str">
        <f aca="false">IF(Tasks[[#This Row],[Task Name]]="","",Tasks[[#This Row],[_Pred1IDText]]&amp;IF(AND(Tasks[[#This Row],[_Pred1IDText]]&lt;&gt;"",Tasks[[#This Row],[_Pred2IDText]]&lt;&gt;""),",","")&amp;Tasks[[#This Row],[_Pred2IDText]])</f>
        <v/>
      </c>
      <c r="AQ121" s="30"/>
      <c r="AR121" s="25" t="str">
        <f aca="false">IF(Tasks[[#This Row],[Task Name]]="","",Tasks[[#This Row],[Forecast Start]])</f>
        <v/>
      </c>
      <c r="AS121" s="25" t="str">
        <f aca="false">IF(Tasks[[#This Row],[Task Name]]="","",Tasks[[#This Row],[Forecast Finish]])</f>
        <v/>
      </c>
      <c r="AT121" s="28" t="str">
        <f aca="false">IF(Tasks[[#This Row],[Task Name]]="","",IF(Tasks[[#This Row],[_IsSummary]],NETWORKDAYS.INTL(Tasks[[#This Row],[Forecast Start]],Tasks[[#This Row],[Forecast Finish]],WorkWeek,Holidays),N(Tasks[[#This Row],[Duration]])))</f>
        <v/>
      </c>
      <c r="AU121" s="95" t="str">
        <f aca="false">IF(Tasks[[#This Row],[Task Name]]="","",Tasks[[#This Row],[Work]])</f>
        <v/>
      </c>
      <c r="AV121" s="96" t="str">
        <f aca="false">IF(Tasks[[#This Row],[Task Name]]="","",Tasks[[#This Row],[Cost]])</f>
        <v/>
      </c>
      <c r="AW121" s="73"/>
      <c r="AX121" s="73"/>
      <c r="AY121" s="29"/>
      <c r="AZ121" s="98"/>
      <c r="BA121" s="97"/>
      <c r="BB121" s="28" t="str">
        <f aca="false">IF(OR(Tasks[[#This Row],[Task Name]]="",Tasks[[#This Row],[Baseline Duration]]=""),"",Tasks[[#This Row],[BL Source Duration]]-N(Tasks[[#This Row],[Baseline Duration]]))</f>
        <v/>
      </c>
      <c r="BC121" s="95" t="str">
        <f aca="false">IF(OR(Tasks[[#This Row],[Task Name]]="",Tasks[[#This Row],[Baseline Work]]=""),"",Tasks[[#This Row],[Work]]-N(Tasks[[#This Row],[Baseline Work]]))</f>
        <v/>
      </c>
      <c r="BD121" s="96" t="str">
        <f aca="false">IF(OR(Tasks[[#This Row],[Task Name]]="",Tasks[[#This Row],[Baseline Cost]]=""),"",Tasks[[#This Row],[Cost]]-N(Tasks[[#This Row],[Baseline Cost]]))</f>
        <v/>
      </c>
      <c r="BE121" s="96" t="str">
        <f aca="false">IF(Tasks[[#This Row],[Task Name]]="","",IF(Tasks[[#This Row],[_IsSummary]],SUM(INDEX(Tasks[_LeafBudget],Tasks[[#This Row],[_Row]]+1):INDEX(Tasks[_LeafBudget],Tasks[[#This Row],[_Row]]+Tasks[[#This Row],[_Descendants]])),Tasks[[#This Row],[_LeafBudget]]))</f>
        <v/>
      </c>
      <c r="BF121" s="96" t="str">
        <f aca="false">IF(Tasks[[#This Row],[Task Name]]="","",IF(Tasks[[#This Row],[_IsSummary]],SUM(INDEX(Tasks[_LeafPV],Tasks[[#This Row],[_Row]]+1):INDEX(Tasks[_LeafPV],Tasks[[#This Row],[_Row]]+Tasks[[#This Row],[_Descendants]])),Tasks[[#This Row],[_LeafPV]]))</f>
        <v/>
      </c>
      <c r="BG121" s="96" t="str">
        <f aca="false">IF(Tasks[[#This Row],[Task Name]]="","",IF(Tasks[[#This Row],[_IsSummary]],SUM(INDEX(Tasks[_LeafEV],Tasks[[#This Row],[_Row]]+1):INDEX(Tasks[_LeafEV],Tasks[[#This Row],[_Row]]+Tasks[[#This Row],[_Descendants]])),Tasks[[#This Row],[_LeafEV]]))</f>
        <v/>
      </c>
      <c r="BH121" s="96" t="str">
        <f aca="false">IF(Tasks[[#This Row],[Task Name]]="","",IF(Tasks[[#This Row],[_IsSummary]],SUM(INDEX(Tasks[_LeafAC],Tasks[[#This Row],[_Row]]+1):INDEX(Tasks[_LeafAC],Tasks[[#This Row],[_Row]]+Tasks[[#This Row],[_Descendants]])),Tasks[[#This Row],[_LeafAC]]))</f>
        <v/>
      </c>
      <c r="BI121" s="41" t="str">
        <f aca="false">IF(Tasks[[#This Row],[Task Name]]="","",MAX(1,N(Tasks[[#This Row],[Level]])))</f>
        <v/>
      </c>
      <c r="BJ121" s="41" t="n">
        <f aca="false">ROW()-ROW(Tasks[[#Headers],[ID]])</f>
        <v>116</v>
      </c>
      <c r="BK121" s="41" t="n">
        <f aca="false">IF(OR(Tasks[[#This Row],[Task Name]]="",Tasks[[#This Row],[_Level]]&lt;=1),0,IFERROR(LOOKUP(2,1/(Tasks[[#Headers],[_Level]]:Tasks[[#This Row],[_Level]]=Tasks[[#This Row],[_Level]]-1),ROW(Tasks[[#Headers],[_Level]]:Tasks[[#This Row],[_Level]])),0))</f>
        <v>0</v>
      </c>
      <c r="BL121" s="41" t="n">
        <f aca="false">IFERROR(N(INDEX(Tasks[_Level],Tasks[[#This Row],[_Row]]+1)),0)</f>
        <v>0</v>
      </c>
      <c r="BM121" s="99" t="b">
        <f aca="false">AND(Tasks[[#This Row],[Task Name]]&lt;&gt;"",Tasks[[#This Row],[_NextLevel]]&gt;Tasks[[#This Row],[_Level]])</f>
        <v>0</v>
      </c>
      <c r="BN121" s="41" t="n">
        <f aca="false">IF(Tasks[[#This Row],[_IsSummary]],COUNTIF(Tasks[WBS],Tasks[[#This Row],[WBS]]&amp;".*"),0)</f>
        <v>0</v>
      </c>
      <c r="BO121" s="41" t="n">
        <f aca="false">IF(AND(Tasks[[#This Row],[Task Name]]&lt;&gt;"",NOT(Tasks[[#This Row],[_IsSummary]])),1,0)</f>
        <v>0</v>
      </c>
      <c r="BP121" s="41" t="n">
        <f aca="false">IF(N(Tasks[[#This Row],[Pred1 UID]])=0,0,IFERROR(MATCH(Tasks[[#This Row],[Pred1 UID]],Tasks[UID],0),-1))</f>
        <v>0</v>
      </c>
      <c r="BQ121" s="41" t="n">
        <f aca="false">IF(N(Tasks[[#This Row],[Pred2 UID]])=0,0,IFERROR(MATCH(Tasks[[#This Row],[Pred2 UID]],Tasks[UID],0),-1))</f>
        <v>0</v>
      </c>
      <c r="BR121"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21" s="100" t="str">
        <f aca="false">IF(NOT(Tasks[[#This Row],[_IsLeaf]]=1),"",IF(N(Tasks[[#This Row],[Duration]])&lt;=0,Tasks[[#This Row],[_LeafCalcStart]],WORKDAY.INTL(Tasks[[#This Row],[_LeafCalcStart]],Tasks[[#This Row],[Duration]]-1,WorkWeek,Holidays)))</f>
        <v/>
      </c>
      <c r="BT121"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21"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21" s="41" t="n">
        <f aca="false">IF(NOT(Tasks[[#This Row],[_IsLeaf]]=1),0,IF(N(Tasks[[#This Row],[Actual Finish]])&gt;0,1,MIN(1,N(Tasks[[#This Row],[% Complete]]))))</f>
        <v>0</v>
      </c>
      <c r="BW121" s="41" t="n">
        <f aca="false">IF(OR(NOT(Tasks[[#This Row],[_IsLeaf]]=1),Tasks[[#This Row],[Resource]]=""),0,N(Tasks[[#This Row],[Duration]])*HoursPerDay*IF(Tasks[[#This Row],[Units]]="",DefaultUnits,Tasks[[#This Row],[Units]]))</f>
        <v>0</v>
      </c>
      <c r="BX121" s="41" t="n">
        <f aca="false">IF(Tasks[[#This Row],[_LeafWork]]=0,0,Tasks[[#This Row],[_LeafWork]]*IFERROR(INDEX(res_Rate,MATCH(Tasks[[#This Row],[Resource]],res_Name,0)),0))</f>
        <v>0</v>
      </c>
      <c r="BY12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2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2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2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21" s="41" t="n">
        <f aca="false">IF(NOT(Tasks[[#This Row],[_IsLeaf]]=1),0,MAX(_xlfn.MAXIFS(Tasks[_Row],Tasks[Pred1 UID],Tasks[[#This Row],[UID]]),_xlfn.MAXIFS(Tasks[_Row],Tasks[Pred2 UID],Tasks[[#This Row],[UID]])))</f>
        <v>0</v>
      </c>
      <c r="CD121"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21" s="100" t="str">
        <f aca="false">IF(NOT(Tasks[[#This Row],[_IsLeaf]]=1),"",MIN(ProjectFinish,IF(N(Tasks[[#This Row],[Deadline]])&gt;0,Tasks[[#This Row],[Deadline]],2958465),Tasks[[#This Row],[_SuccessorFinishLimit]]))</f>
        <v/>
      </c>
      <c r="CF121" s="100" t="str">
        <f aca="false">IF(NOT(Tasks[[#This Row],[_IsLeaf]]=1),"",IF(N(Tasks[[#This Row],[Duration]])&lt;=0,Tasks[[#This Row],[_LeafLateFinish]],WORKDAY.INTL(Tasks[[#This Row],[_LeafLateFinish]],-(Tasks[[#This Row],[Duration]]-1),WorkWeek,Holidays)))</f>
        <v/>
      </c>
      <c r="CG12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21" s="99" t="b">
        <f aca="false">AND(Tasks[[#This Row],[_IsLeaf]]=1,Tasks[[#This Row],[_LeafProgress]]&lt;1,N(Tasks[[#This Row],[_LeafTotalSlack]])&lt;=CriticalSlackDays)</f>
        <v>0</v>
      </c>
      <c r="CI121" s="100" t="str">
        <f aca="false">IF(Tasks[[#This Row],[Task Name]]="","",IF(Tasks[[#This Row],[_IsSummary]],MIN(INDEX(Tasks[_LeafCalcStart],Tasks[[#This Row],[_Row]]+1):INDEX(Tasks[_LeafCalcStart],Tasks[[#This Row],[_Row]]+Tasks[[#This Row],[_Descendants]])),Tasks[[#This Row],[_LeafCalcStart]]))</f>
        <v/>
      </c>
      <c r="CJ121" s="100" t="str">
        <f aca="false">IF(Tasks[[#This Row],[Task Name]]="","",IF(Tasks[[#This Row],[_IsSummary]],MAX(INDEX(Tasks[_LeafCalcFinish],Tasks[[#This Row],[_Row]]+1):INDEX(Tasks[_LeafCalcFinish],Tasks[[#This Row],[_Row]]+Tasks[[#This Row],[_Descendants]])),Tasks[[#This Row],[_LeafCalcFinish]]))</f>
        <v/>
      </c>
      <c r="CK12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2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21"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21"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21"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21"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21" s="41" t="n">
        <f aca="false">IF(AND(Tasks[[#This Row],[_IsLeaf]]=1,Tasks[[#This Row],[_LeafWork]]&gt;0),NETWORKDAYS.INTL(ProjectStart,Tasks[[#This Row],[_LeafFcstStart]],WorkWeek,Holidays),0)</f>
        <v>0</v>
      </c>
      <c r="CR121" s="41" t="n">
        <f aca="false">IF(AND(Tasks[[#This Row],[_IsLeaf]]=1,Tasks[[#This Row],[_LeafWork]]&gt;0),MAX(Tasks[[#This Row],[_StartWorkday]],NETWORKDAYS.INTL(ProjectStart,Tasks[[#This Row],[_LeafFcstFinish]],WorkWeek,Holidays)),0)</f>
        <v>0</v>
      </c>
      <c r="CS121" s="41" t="n">
        <f aca="false">IF(AND(Tasks[[#This Row],[_IsLeaf]]=1,Tasks[[#This Row],[_LeafWork]]&gt;0),Tasks[[#This Row],[_LeafWork]]/(Tasks[[#This Row],[_FinishWorkday]]-Tasks[[#This Row],[_StartWorkday]]+1),0)</f>
        <v>0</v>
      </c>
      <c r="CT121" s="41" t="n">
        <f aca="false">Tasks[[#This Row],[_WorkPerWorkday]]*(Tasks[[#This Row],[_StartWorkday]]-1)</f>
        <v>-0</v>
      </c>
      <c r="CU121" s="41" t="n">
        <f aca="false">IF(Tasks[[#This Row],[_IsLeaf]]=1,MAX(N(Tasks[[#This Row],[Duration]]),0.1),0)</f>
        <v>0</v>
      </c>
      <c r="CV121" s="41" t="n">
        <f aca="false">Tasks[[#This Row],[_WeightDur]]*Tasks[[#This Row],[_LeafProgress]]</f>
        <v>0</v>
      </c>
      <c r="CW12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2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2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2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21" s="41" t="str">
        <f aca="false">IF(Tasks[[#This Row],[Task Name]]="","",Tasks[[#This Row],[_Pred1UIDText]]&amp;IF(AND(Tasks[[#This Row],[_Pred1UIDText]]&lt;&gt;"",Tasks[[#This Row],[_Pred2UIDText]]&lt;&gt;""),",","")&amp;Tasks[[#This Row],[_Pred2UIDText]])</f>
        <v/>
      </c>
      <c r="DB121" s="41" t="str">
        <f aca="false">IF(AND(Tasks[[#This Row],[_IsLeaf]]=1,N(Tasks[[#This Row],[Duration]])=0,Tasks[[#This Row],[_LeafProgress]]&lt;1),Tasks[[#This Row],[_LeafFcstFinish]]+Tasks[[#This Row],[_Row]]/100000,"")</f>
        <v/>
      </c>
      <c r="DC12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21" s="41" t="n">
        <f aca="false">IF(NOT(Tasks[[#This Row],[_IsLeaf]]=1),0,IF(Tasks[[#This Row],[Baseline Cost]]="",Tasks[[#This Row],[_LeafCost]],N(Tasks[[#This Row],[Baseline Cost]])))</f>
        <v>0</v>
      </c>
      <c r="DE121" s="41" t="n">
        <f aca="false">Tasks[[#This Row],[_LeafBudget]]*Tasks[[#This Row],[_PlannedPct]]</f>
        <v>0</v>
      </c>
      <c r="DF121" s="41" t="n">
        <f aca="false">Tasks[[#This Row],[_LeafBudget]]*Tasks[[#This Row],[_LeafProgress]]</f>
        <v>0</v>
      </c>
      <c r="DG121" s="41" t="n">
        <f aca="false">IF(NOT(Tasks[[#This Row],[_IsLeaf]]=1),0,IF(Tasks[[#This Row],[Actual Cost]]="",Tasks[[#This Row],[_LeafCost]]*Tasks[[#This Row],[_LeafProgress]],N(Tasks[[#This Row],[Actual Cost]])))</f>
        <v>0</v>
      </c>
      <c r="DH121" s="41" t="str">
        <f aca="false">IF(Tasks[[#This Row],[Task Name]]="","",LEFT(Tasks[[#This Row],[WBS]],FIND(".",Tasks[[#This Row],[WBS]]&amp;".")-1))</f>
        <v/>
      </c>
      <c r="DI121" s="41" t="str">
        <f aca="false">IF(AND(Tasks[[#This Row],[Task Name]]&lt;&gt;"",Tasks[[#This Row],[_Level]]=1),Tasks[[#This Row],[_Row]],"")</f>
        <v/>
      </c>
      <c r="DJ121" s="41" t="str">
        <f aca="false">IF(AND(Tasks[[#This Row],[_IsLeaf]]=1,N(Tasks[[#This Row],[Duration]])=0),Tasks[[#This Row],[Planned Finish]]+Tasks[[#This Row],[_Row]]/100000,"")</f>
        <v/>
      </c>
      <c r="DK121" s="41" t="str">
        <f aca="false">IF(AND(Tasks[[#This Row],[_IsLeaf]]=1,Tasks[[#This Row],[_LeafProgress]]&lt;1,OR(N(Tasks[[#This Row],[Finish Var]])&gt;0,Tasks[[#This Row],[Status]]="Late Start")),MAX(0,Tasks[[#This Row],[Finish Var]])+1-Tasks[[#This Row],[_Row]]/1000000,"")</f>
        <v/>
      </c>
      <c r="DL121" s="41" t="str">
        <f aca="false">IF(AND(Tasks[[#This Row],[_IsLeaf]]=1,N(Tasks[[#This Row],[Actual Start]])=0,Tasks[[#This Row],[_LeafFcstStart]]&gt;=StatusDate,Tasks[[#This Row],[_LeafFcstStart]]&lt;=LookaheadEnd),Tasks[[#This Row],[_LeafFcstStart]]+Tasks[[#This Row],[_Row]]/100000,"")</f>
        <v/>
      </c>
      <c r="DM121" s="41" t="str">
        <f aca="false">IF(AND(Tasks[[#This Row],[_IsLeaf]]=1,Tasks[[#This Row],[_LeafProgress]]&lt;1,Tasks[[#This Row],[_LeafFcstFinish]]&gt;=StatusDate,Tasks[[#This Row],[_LeafFcstFinish]]&lt;=LookaheadEnd),Tasks[[#This Row],[_LeafFcstFinish]]+Tasks[[#This Row],[_Row]]/100000,"")</f>
        <v/>
      </c>
      <c r="DN121" s="41" t="str">
        <f aca="false">IF(Tasks[[#This Row],[_LeafCritical]],Tasks[[#This Row],[_LeafFcstStart]]+Tasks[[#This Row],[_Row]]/100000,"")</f>
        <v/>
      </c>
      <c r="DO121" s="41" t="n">
        <f aca="false">Tasks[[#This Row],[_LeafWork]]*Tasks[[#This Row],[_LeafProgress]]</f>
        <v>0</v>
      </c>
      <c r="DP121" s="100" t="str">
        <f aca="false">IF(AND(Tasks[[#This Row],[_IsLeaf]]=1,Tasks[[#This Row],[_LeafProgress]]&gt;=1),IF(N(Tasks[[#This Row],[Actual Finish]])&gt;0,Tasks[[#This Row],[Actual Finish]],Tasks[[#This Row],[_LeafFcstFinish]]),"")</f>
        <v/>
      </c>
      <c r="DQ121" s="41" t="n">
        <f aca="false">IF(Tasks[[#This Row],[_IsLeaf]]=1,N(Tasks[[#This Row],[Story Points]]),0)</f>
        <v>0</v>
      </c>
      <c r="DR121" s="41" t="str">
        <f aca="false">IF(AND(Tasks[[#This Row],[_IsLeaf]]=1,CurrentSprint&lt;&gt;"",Tasks[[#This Row],[Sprint]]=CurrentSprint),Tasks[[#This Row],[_Row]],"")</f>
        <v/>
      </c>
    </row>
    <row r="122" customFormat="false" ht="15" hidden="false" customHeight="false" outlineLevel="0" collapsed="false">
      <c r="A122" s="28" t="str">
        <f aca="false">IF(Tasks[[#This Row],[Task Name]]="","",COUNTA(Tasks[[#Headers],[Task Name]]:Tasks[[#This Row],[Task Name]])-1)</f>
        <v/>
      </c>
      <c r="B122" s="29" t="n">
        <v>117</v>
      </c>
      <c r="C12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2" s="29"/>
      <c r="E122" s="30"/>
      <c r="F122" s="29"/>
      <c r="G122" s="29"/>
      <c r="H122" s="29"/>
      <c r="I122" s="29"/>
      <c r="J122" s="29"/>
      <c r="K122" s="29"/>
      <c r="L122" s="29"/>
      <c r="M122" s="29"/>
      <c r="N122" s="73"/>
      <c r="O122" s="73"/>
      <c r="P122" s="25" t="str">
        <f aca="false">IF(Tasks[[#This Row],[Task Name]]="","",IF(N(Tasks[[#This Row],[Baseline Start]])&gt;0,Tasks[[#This Row],[Baseline Start]],Tasks[[#This Row],[_CalcStart]]))</f>
        <v/>
      </c>
      <c r="Q122" s="25" t="str">
        <f aca="false">IF(Tasks[[#This Row],[Task Name]]="","",IF(N(Tasks[[#This Row],[Baseline Finish]])&gt;0,Tasks[[#This Row],[Baseline Finish]],Tasks[[#This Row],[_CalcFinish]]))</f>
        <v/>
      </c>
      <c r="R122" s="73"/>
      <c r="S122" s="73"/>
      <c r="T122" s="25" t="str">
        <f aca="false">IF(Tasks[[#This Row],[Task Name]]="","",IF(Tasks[[#This Row],[_IsSummary]],MIN(INDEX(Tasks[_LeafFcstStart],Tasks[[#This Row],[_Row]]+1):INDEX(Tasks[_LeafFcstStart],Tasks[[#This Row],[_Row]]+Tasks[[#This Row],[_Descendants]])),Tasks[[#This Row],[_LeafFcstStart]]))</f>
        <v/>
      </c>
      <c r="U122" s="25" t="str">
        <f aca="false">IF(Tasks[[#This Row],[Task Name]]="","",IF(Tasks[[#This Row],[_IsSummary]],MAX(INDEX(Tasks[_LeafFcstFinish],Tasks[[#This Row],[_Row]]+1):INDEX(Tasks[_LeafFcstFinish],Tasks[[#This Row],[_Row]]+Tasks[[#This Row],[_Descendants]])),Tasks[[#This Row],[_LeafFcstFinish]]))</f>
        <v/>
      </c>
      <c r="V12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2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2" s="25" t="str">
        <f aca="false">IF(Tasks[[#This Row],[Task Name]]="","",IF(Tasks[[#This Row],[_IsSummary]],MIN(INDEX(Tasks[_LeafLateStart],Tasks[[#This Row],[_Row]]+1):INDEX(Tasks[_LeafLateStart],Tasks[[#This Row],[_Row]]+Tasks[[#This Row],[_Descendants]])),Tasks[[#This Row],[_LeafLateStart]]))</f>
        <v/>
      </c>
      <c r="Y122" s="25" t="str">
        <f aca="false">IF(Tasks[[#This Row],[Task Name]]="","",IF(Tasks[[#This Row],[_IsSummary]],MAX(INDEX(Tasks[_LeafLateFinish],Tasks[[#This Row],[_Row]]+1):INDEX(Tasks[_LeafLateFinish],Tasks[[#This Row],[_Row]]+Tasks[[#This Row],[_Descendants]])),Tasks[[#This Row],[_LeafLateFinish]]))</f>
        <v/>
      </c>
      <c r="Z122" s="43" t="str">
        <f aca="false">IF(Tasks[[#This Row],[Task Name]]="","",IF(Tasks[[#This Row],[_IsSummary]],MIN(INDEX(Tasks[_LeafTotalSlack],Tasks[[#This Row],[_Row]]+1):INDEX(Tasks[_LeafTotalSlack],Tasks[[#This Row],[_Row]]+Tasks[[#This Row],[_Descendants]])),Tasks[[#This Row],[_LeafTotalSlack]]))</f>
        <v/>
      </c>
      <c r="AA12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2" s="28" t="str">
        <f aca="false">IF(Tasks[[#This Row],[Task Name]]="","",IF(IF(Tasks[[#This Row],[_IsSummary]],COUNTIF(INDEX(Tasks[_LeafCritical],Tasks[[#This Row],[_Row]]+1):INDEX(Tasks[_LeafCritical],Tasks[[#This Row],[_Row]]+Tasks[[#This Row],[_Descendants]]),TRUE())&gt;0,Tasks[[#This Row],[_LeafCritical]]),"Yes",""))</f>
        <v/>
      </c>
      <c r="AC12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2" s="24" t="str">
        <f aca="false">IF(Tasks[[#This Row],[Task Name]]="","",TRIM(IF(Tasks[[#This Row],[_Pred1Problem]]&lt;&gt;"","Pred 1: "&amp;Tasks[[#This Row],[_Pred1Problem]]&amp;". ","")&amp;IF(Tasks[[#This Row],[_Pred2Problem]]&lt;&gt;"","Pred 2: "&amp;Tasks[[#This Row],[_Pred2Problem]]&amp;".","")))</f>
        <v/>
      </c>
      <c r="AE122" s="88"/>
      <c r="AF122"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2" s="28" t="str">
        <f aca="false">IF(Tasks[[#This Row],[Task Name]]="","",IF(Tasks[[#This Row],[Progress]]&gt;=1,"Complete",IF(OR(N(Tasks[[#This Row],[Actual Start]])&gt;0,Tasks[[#This Row],[Progress]]&gt;0),IF(Tasks[[#This Row],[Finish Var]]&gt;0,"Behind","In Progress"),IF(Tasks[[#This Row],[Planned Start]]&lt;StatusDate,"Late Start","Not Started"))))</f>
        <v/>
      </c>
      <c r="AH122" s="30"/>
      <c r="AI122" s="88"/>
      <c r="AJ122" s="95" t="str">
        <f aca="false">IF(Tasks[[#This Row],[Task Name]]="","",IF(Tasks[[#This Row],[_IsSummary]],SUM(INDEX(Tasks[_LeafWork],Tasks[[#This Row],[_Row]]+1):INDEX(Tasks[_LeafWork],Tasks[[#This Row],[_Row]]+Tasks[[#This Row],[_Descendants]])),Tasks[[#This Row],[_LeafWork]]))</f>
        <v/>
      </c>
      <c r="AK122" s="96" t="str">
        <f aca="false">IF(Tasks[[#This Row],[Task Name]]="","",IF(Tasks[[#This Row],[_IsSummary]],SUM(INDEX(Tasks[_LeafCost],Tasks[[#This Row],[_Row]]+1):INDEX(Tasks[_LeafCost],Tasks[[#This Row],[_Row]]+Tasks[[#This Row],[_Descendants]])),Tasks[[#This Row],[_LeafCost]]))</f>
        <v/>
      </c>
      <c r="AL122" s="97"/>
      <c r="AM122" s="29"/>
      <c r="AN12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22" s="82"/>
      <c r="AP122" s="24" t="str">
        <f aca="false">IF(Tasks[[#This Row],[Task Name]]="","",Tasks[[#This Row],[_Pred1IDText]]&amp;IF(AND(Tasks[[#This Row],[_Pred1IDText]]&lt;&gt;"",Tasks[[#This Row],[_Pred2IDText]]&lt;&gt;""),",","")&amp;Tasks[[#This Row],[_Pred2IDText]])</f>
        <v/>
      </c>
      <c r="AQ122" s="30"/>
      <c r="AR122" s="25" t="str">
        <f aca="false">IF(Tasks[[#This Row],[Task Name]]="","",Tasks[[#This Row],[Forecast Start]])</f>
        <v/>
      </c>
      <c r="AS122" s="25" t="str">
        <f aca="false">IF(Tasks[[#This Row],[Task Name]]="","",Tasks[[#This Row],[Forecast Finish]])</f>
        <v/>
      </c>
      <c r="AT122" s="28" t="str">
        <f aca="false">IF(Tasks[[#This Row],[Task Name]]="","",IF(Tasks[[#This Row],[_IsSummary]],NETWORKDAYS.INTL(Tasks[[#This Row],[Forecast Start]],Tasks[[#This Row],[Forecast Finish]],WorkWeek,Holidays),N(Tasks[[#This Row],[Duration]])))</f>
        <v/>
      </c>
      <c r="AU122" s="95" t="str">
        <f aca="false">IF(Tasks[[#This Row],[Task Name]]="","",Tasks[[#This Row],[Work]])</f>
        <v/>
      </c>
      <c r="AV122" s="96" t="str">
        <f aca="false">IF(Tasks[[#This Row],[Task Name]]="","",Tasks[[#This Row],[Cost]])</f>
        <v/>
      </c>
      <c r="AW122" s="73"/>
      <c r="AX122" s="73"/>
      <c r="AY122" s="29"/>
      <c r="AZ122" s="98"/>
      <c r="BA122" s="97"/>
      <c r="BB122" s="28" t="str">
        <f aca="false">IF(OR(Tasks[[#This Row],[Task Name]]="",Tasks[[#This Row],[Baseline Duration]]=""),"",Tasks[[#This Row],[BL Source Duration]]-N(Tasks[[#This Row],[Baseline Duration]]))</f>
        <v/>
      </c>
      <c r="BC122" s="95" t="str">
        <f aca="false">IF(OR(Tasks[[#This Row],[Task Name]]="",Tasks[[#This Row],[Baseline Work]]=""),"",Tasks[[#This Row],[Work]]-N(Tasks[[#This Row],[Baseline Work]]))</f>
        <v/>
      </c>
      <c r="BD122" s="96" t="str">
        <f aca="false">IF(OR(Tasks[[#This Row],[Task Name]]="",Tasks[[#This Row],[Baseline Cost]]=""),"",Tasks[[#This Row],[Cost]]-N(Tasks[[#This Row],[Baseline Cost]]))</f>
        <v/>
      </c>
      <c r="BE122" s="96" t="str">
        <f aca="false">IF(Tasks[[#This Row],[Task Name]]="","",IF(Tasks[[#This Row],[_IsSummary]],SUM(INDEX(Tasks[_LeafBudget],Tasks[[#This Row],[_Row]]+1):INDEX(Tasks[_LeafBudget],Tasks[[#This Row],[_Row]]+Tasks[[#This Row],[_Descendants]])),Tasks[[#This Row],[_LeafBudget]]))</f>
        <v/>
      </c>
      <c r="BF122" s="96" t="str">
        <f aca="false">IF(Tasks[[#This Row],[Task Name]]="","",IF(Tasks[[#This Row],[_IsSummary]],SUM(INDEX(Tasks[_LeafPV],Tasks[[#This Row],[_Row]]+1):INDEX(Tasks[_LeafPV],Tasks[[#This Row],[_Row]]+Tasks[[#This Row],[_Descendants]])),Tasks[[#This Row],[_LeafPV]]))</f>
        <v/>
      </c>
      <c r="BG122" s="96" t="str">
        <f aca="false">IF(Tasks[[#This Row],[Task Name]]="","",IF(Tasks[[#This Row],[_IsSummary]],SUM(INDEX(Tasks[_LeafEV],Tasks[[#This Row],[_Row]]+1):INDEX(Tasks[_LeafEV],Tasks[[#This Row],[_Row]]+Tasks[[#This Row],[_Descendants]])),Tasks[[#This Row],[_LeafEV]]))</f>
        <v/>
      </c>
      <c r="BH122" s="96" t="str">
        <f aca="false">IF(Tasks[[#This Row],[Task Name]]="","",IF(Tasks[[#This Row],[_IsSummary]],SUM(INDEX(Tasks[_LeafAC],Tasks[[#This Row],[_Row]]+1):INDEX(Tasks[_LeafAC],Tasks[[#This Row],[_Row]]+Tasks[[#This Row],[_Descendants]])),Tasks[[#This Row],[_LeafAC]]))</f>
        <v/>
      </c>
      <c r="BI122" s="41" t="str">
        <f aca="false">IF(Tasks[[#This Row],[Task Name]]="","",MAX(1,N(Tasks[[#This Row],[Level]])))</f>
        <v/>
      </c>
      <c r="BJ122" s="41" t="n">
        <f aca="false">ROW()-ROW(Tasks[[#Headers],[ID]])</f>
        <v>117</v>
      </c>
      <c r="BK122" s="41" t="n">
        <f aca="false">IF(OR(Tasks[[#This Row],[Task Name]]="",Tasks[[#This Row],[_Level]]&lt;=1),0,IFERROR(LOOKUP(2,1/(Tasks[[#Headers],[_Level]]:Tasks[[#This Row],[_Level]]=Tasks[[#This Row],[_Level]]-1),ROW(Tasks[[#Headers],[_Level]]:Tasks[[#This Row],[_Level]])),0))</f>
        <v>0</v>
      </c>
      <c r="BL122" s="41" t="n">
        <f aca="false">IFERROR(N(INDEX(Tasks[_Level],Tasks[[#This Row],[_Row]]+1)),0)</f>
        <v>0</v>
      </c>
      <c r="BM122" s="99" t="b">
        <f aca="false">AND(Tasks[[#This Row],[Task Name]]&lt;&gt;"",Tasks[[#This Row],[_NextLevel]]&gt;Tasks[[#This Row],[_Level]])</f>
        <v>0</v>
      </c>
      <c r="BN122" s="41" t="n">
        <f aca="false">IF(Tasks[[#This Row],[_IsSummary]],COUNTIF(Tasks[WBS],Tasks[[#This Row],[WBS]]&amp;".*"),0)</f>
        <v>0</v>
      </c>
      <c r="BO122" s="41" t="n">
        <f aca="false">IF(AND(Tasks[[#This Row],[Task Name]]&lt;&gt;"",NOT(Tasks[[#This Row],[_IsSummary]])),1,0)</f>
        <v>0</v>
      </c>
      <c r="BP122" s="41" t="n">
        <f aca="false">IF(N(Tasks[[#This Row],[Pred1 UID]])=0,0,IFERROR(MATCH(Tasks[[#This Row],[Pred1 UID]],Tasks[UID],0),-1))</f>
        <v>0</v>
      </c>
      <c r="BQ122" s="41" t="n">
        <f aca="false">IF(N(Tasks[[#This Row],[Pred2 UID]])=0,0,IFERROR(MATCH(Tasks[[#This Row],[Pred2 UID]],Tasks[UID],0),-1))</f>
        <v>0</v>
      </c>
      <c r="BR122"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22" s="100" t="str">
        <f aca="false">IF(NOT(Tasks[[#This Row],[_IsLeaf]]=1),"",IF(N(Tasks[[#This Row],[Duration]])&lt;=0,Tasks[[#This Row],[_LeafCalcStart]],WORKDAY.INTL(Tasks[[#This Row],[_LeafCalcStart]],Tasks[[#This Row],[Duration]]-1,WorkWeek,Holidays)))</f>
        <v/>
      </c>
      <c r="BT122"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22"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22" s="41" t="n">
        <f aca="false">IF(NOT(Tasks[[#This Row],[_IsLeaf]]=1),0,IF(N(Tasks[[#This Row],[Actual Finish]])&gt;0,1,MIN(1,N(Tasks[[#This Row],[% Complete]]))))</f>
        <v>0</v>
      </c>
      <c r="BW122" s="41" t="n">
        <f aca="false">IF(OR(NOT(Tasks[[#This Row],[_IsLeaf]]=1),Tasks[[#This Row],[Resource]]=""),0,N(Tasks[[#This Row],[Duration]])*HoursPerDay*IF(Tasks[[#This Row],[Units]]="",DefaultUnits,Tasks[[#This Row],[Units]]))</f>
        <v>0</v>
      </c>
      <c r="BX122" s="41" t="n">
        <f aca="false">IF(Tasks[[#This Row],[_LeafWork]]=0,0,Tasks[[#This Row],[_LeafWork]]*IFERROR(INDEX(res_Rate,MATCH(Tasks[[#This Row],[Resource]],res_Name,0)),0))</f>
        <v>0</v>
      </c>
      <c r="BY12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2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2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2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22" s="41" t="n">
        <f aca="false">IF(NOT(Tasks[[#This Row],[_IsLeaf]]=1),0,MAX(_xlfn.MAXIFS(Tasks[_Row],Tasks[Pred1 UID],Tasks[[#This Row],[UID]]),_xlfn.MAXIFS(Tasks[_Row],Tasks[Pred2 UID],Tasks[[#This Row],[UID]])))</f>
        <v>0</v>
      </c>
      <c r="CD122"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22" s="100" t="str">
        <f aca="false">IF(NOT(Tasks[[#This Row],[_IsLeaf]]=1),"",MIN(ProjectFinish,IF(N(Tasks[[#This Row],[Deadline]])&gt;0,Tasks[[#This Row],[Deadline]],2958465),Tasks[[#This Row],[_SuccessorFinishLimit]]))</f>
        <v/>
      </c>
      <c r="CF122" s="100" t="str">
        <f aca="false">IF(NOT(Tasks[[#This Row],[_IsLeaf]]=1),"",IF(N(Tasks[[#This Row],[Duration]])&lt;=0,Tasks[[#This Row],[_LeafLateFinish]],WORKDAY.INTL(Tasks[[#This Row],[_LeafLateFinish]],-(Tasks[[#This Row],[Duration]]-1),WorkWeek,Holidays)))</f>
        <v/>
      </c>
      <c r="CG12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22" s="99" t="b">
        <f aca="false">AND(Tasks[[#This Row],[_IsLeaf]]=1,Tasks[[#This Row],[_LeafProgress]]&lt;1,N(Tasks[[#This Row],[_LeafTotalSlack]])&lt;=CriticalSlackDays)</f>
        <v>0</v>
      </c>
      <c r="CI122" s="100" t="str">
        <f aca="false">IF(Tasks[[#This Row],[Task Name]]="","",IF(Tasks[[#This Row],[_IsSummary]],MIN(INDEX(Tasks[_LeafCalcStart],Tasks[[#This Row],[_Row]]+1):INDEX(Tasks[_LeafCalcStart],Tasks[[#This Row],[_Row]]+Tasks[[#This Row],[_Descendants]])),Tasks[[#This Row],[_LeafCalcStart]]))</f>
        <v/>
      </c>
      <c r="CJ122" s="100" t="str">
        <f aca="false">IF(Tasks[[#This Row],[Task Name]]="","",IF(Tasks[[#This Row],[_IsSummary]],MAX(INDEX(Tasks[_LeafCalcFinish],Tasks[[#This Row],[_Row]]+1):INDEX(Tasks[_LeafCalcFinish],Tasks[[#This Row],[_Row]]+Tasks[[#This Row],[_Descendants]])),Tasks[[#This Row],[_LeafCalcFinish]]))</f>
        <v/>
      </c>
      <c r="CK12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2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22"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22"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22"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22"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22" s="41" t="n">
        <f aca="false">IF(AND(Tasks[[#This Row],[_IsLeaf]]=1,Tasks[[#This Row],[_LeafWork]]&gt;0),NETWORKDAYS.INTL(ProjectStart,Tasks[[#This Row],[_LeafFcstStart]],WorkWeek,Holidays),0)</f>
        <v>0</v>
      </c>
      <c r="CR122" s="41" t="n">
        <f aca="false">IF(AND(Tasks[[#This Row],[_IsLeaf]]=1,Tasks[[#This Row],[_LeafWork]]&gt;0),MAX(Tasks[[#This Row],[_StartWorkday]],NETWORKDAYS.INTL(ProjectStart,Tasks[[#This Row],[_LeafFcstFinish]],WorkWeek,Holidays)),0)</f>
        <v>0</v>
      </c>
      <c r="CS122" s="41" t="n">
        <f aca="false">IF(AND(Tasks[[#This Row],[_IsLeaf]]=1,Tasks[[#This Row],[_LeafWork]]&gt;0),Tasks[[#This Row],[_LeafWork]]/(Tasks[[#This Row],[_FinishWorkday]]-Tasks[[#This Row],[_StartWorkday]]+1),0)</f>
        <v>0</v>
      </c>
      <c r="CT122" s="41" t="n">
        <f aca="false">Tasks[[#This Row],[_WorkPerWorkday]]*(Tasks[[#This Row],[_StartWorkday]]-1)</f>
        <v>-0</v>
      </c>
      <c r="CU122" s="41" t="n">
        <f aca="false">IF(Tasks[[#This Row],[_IsLeaf]]=1,MAX(N(Tasks[[#This Row],[Duration]]),0.1),0)</f>
        <v>0</v>
      </c>
      <c r="CV122" s="41" t="n">
        <f aca="false">Tasks[[#This Row],[_WeightDur]]*Tasks[[#This Row],[_LeafProgress]]</f>
        <v>0</v>
      </c>
      <c r="CW12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2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2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2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22" s="41" t="str">
        <f aca="false">IF(Tasks[[#This Row],[Task Name]]="","",Tasks[[#This Row],[_Pred1UIDText]]&amp;IF(AND(Tasks[[#This Row],[_Pred1UIDText]]&lt;&gt;"",Tasks[[#This Row],[_Pred2UIDText]]&lt;&gt;""),",","")&amp;Tasks[[#This Row],[_Pred2UIDText]])</f>
        <v/>
      </c>
      <c r="DB122" s="41" t="str">
        <f aca="false">IF(AND(Tasks[[#This Row],[_IsLeaf]]=1,N(Tasks[[#This Row],[Duration]])=0,Tasks[[#This Row],[_LeafProgress]]&lt;1),Tasks[[#This Row],[_LeafFcstFinish]]+Tasks[[#This Row],[_Row]]/100000,"")</f>
        <v/>
      </c>
      <c r="DC12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22" s="41" t="n">
        <f aca="false">IF(NOT(Tasks[[#This Row],[_IsLeaf]]=1),0,IF(Tasks[[#This Row],[Baseline Cost]]="",Tasks[[#This Row],[_LeafCost]],N(Tasks[[#This Row],[Baseline Cost]])))</f>
        <v>0</v>
      </c>
      <c r="DE122" s="41" t="n">
        <f aca="false">Tasks[[#This Row],[_LeafBudget]]*Tasks[[#This Row],[_PlannedPct]]</f>
        <v>0</v>
      </c>
      <c r="DF122" s="41" t="n">
        <f aca="false">Tasks[[#This Row],[_LeafBudget]]*Tasks[[#This Row],[_LeafProgress]]</f>
        <v>0</v>
      </c>
      <c r="DG122" s="41" t="n">
        <f aca="false">IF(NOT(Tasks[[#This Row],[_IsLeaf]]=1),0,IF(Tasks[[#This Row],[Actual Cost]]="",Tasks[[#This Row],[_LeafCost]]*Tasks[[#This Row],[_LeafProgress]],N(Tasks[[#This Row],[Actual Cost]])))</f>
        <v>0</v>
      </c>
      <c r="DH122" s="41" t="str">
        <f aca="false">IF(Tasks[[#This Row],[Task Name]]="","",LEFT(Tasks[[#This Row],[WBS]],FIND(".",Tasks[[#This Row],[WBS]]&amp;".")-1))</f>
        <v/>
      </c>
      <c r="DI122" s="41" t="str">
        <f aca="false">IF(AND(Tasks[[#This Row],[Task Name]]&lt;&gt;"",Tasks[[#This Row],[_Level]]=1),Tasks[[#This Row],[_Row]],"")</f>
        <v/>
      </c>
      <c r="DJ122" s="41" t="str">
        <f aca="false">IF(AND(Tasks[[#This Row],[_IsLeaf]]=1,N(Tasks[[#This Row],[Duration]])=0),Tasks[[#This Row],[Planned Finish]]+Tasks[[#This Row],[_Row]]/100000,"")</f>
        <v/>
      </c>
      <c r="DK122" s="41" t="str">
        <f aca="false">IF(AND(Tasks[[#This Row],[_IsLeaf]]=1,Tasks[[#This Row],[_LeafProgress]]&lt;1,OR(N(Tasks[[#This Row],[Finish Var]])&gt;0,Tasks[[#This Row],[Status]]="Late Start")),MAX(0,Tasks[[#This Row],[Finish Var]])+1-Tasks[[#This Row],[_Row]]/1000000,"")</f>
        <v/>
      </c>
      <c r="DL122" s="41" t="str">
        <f aca="false">IF(AND(Tasks[[#This Row],[_IsLeaf]]=1,N(Tasks[[#This Row],[Actual Start]])=0,Tasks[[#This Row],[_LeafFcstStart]]&gt;=StatusDate,Tasks[[#This Row],[_LeafFcstStart]]&lt;=LookaheadEnd),Tasks[[#This Row],[_LeafFcstStart]]+Tasks[[#This Row],[_Row]]/100000,"")</f>
        <v/>
      </c>
      <c r="DM122" s="41" t="str">
        <f aca="false">IF(AND(Tasks[[#This Row],[_IsLeaf]]=1,Tasks[[#This Row],[_LeafProgress]]&lt;1,Tasks[[#This Row],[_LeafFcstFinish]]&gt;=StatusDate,Tasks[[#This Row],[_LeafFcstFinish]]&lt;=LookaheadEnd),Tasks[[#This Row],[_LeafFcstFinish]]+Tasks[[#This Row],[_Row]]/100000,"")</f>
        <v/>
      </c>
      <c r="DN122" s="41" t="str">
        <f aca="false">IF(Tasks[[#This Row],[_LeafCritical]],Tasks[[#This Row],[_LeafFcstStart]]+Tasks[[#This Row],[_Row]]/100000,"")</f>
        <v/>
      </c>
      <c r="DO122" s="41" t="n">
        <f aca="false">Tasks[[#This Row],[_LeafWork]]*Tasks[[#This Row],[_LeafProgress]]</f>
        <v>0</v>
      </c>
      <c r="DP122" s="100" t="str">
        <f aca="false">IF(AND(Tasks[[#This Row],[_IsLeaf]]=1,Tasks[[#This Row],[_LeafProgress]]&gt;=1),IF(N(Tasks[[#This Row],[Actual Finish]])&gt;0,Tasks[[#This Row],[Actual Finish]],Tasks[[#This Row],[_LeafFcstFinish]]),"")</f>
        <v/>
      </c>
      <c r="DQ122" s="41" t="n">
        <f aca="false">IF(Tasks[[#This Row],[_IsLeaf]]=1,N(Tasks[[#This Row],[Story Points]]),0)</f>
        <v>0</v>
      </c>
      <c r="DR122" s="41" t="str">
        <f aca="false">IF(AND(Tasks[[#This Row],[_IsLeaf]]=1,CurrentSprint&lt;&gt;"",Tasks[[#This Row],[Sprint]]=CurrentSprint),Tasks[[#This Row],[_Row]],"")</f>
        <v/>
      </c>
    </row>
    <row r="123" customFormat="false" ht="15" hidden="false" customHeight="false" outlineLevel="0" collapsed="false">
      <c r="A123" s="28" t="str">
        <f aca="false">IF(Tasks[[#This Row],[Task Name]]="","",COUNTA(Tasks[[#Headers],[Task Name]]:Tasks[[#This Row],[Task Name]])-1)</f>
        <v/>
      </c>
      <c r="B123" s="29" t="n">
        <v>118</v>
      </c>
      <c r="C12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3" s="29"/>
      <c r="E123" s="30"/>
      <c r="F123" s="29"/>
      <c r="G123" s="29"/>
      <c r="H123" s="29"/>
      <c r="I123" s="29"/>
      <c r="J123" s="29"/>
      <c r="K123" s="29"/>
      <c r="L123" s="29"/>
      <c r="M123" s="29"/>
      <c r="N123" s="73"/>
      <c r="O123" s="73"/>
      <c r="P123" s="25" t="str">
        <f aca="false">IF(Tasks[[#This Row],[Task Name]]="","",IF(N(Tasks[[#This Row],[Baseline Start]])&gt;0,Tasks[[#This Row],[Baseline Start]],Tasks[[#This Row],[_CalcStart]]))</f>
        <v/>
      </c>
      <c r="Q123" s="25" t="str">
        <f aca="false">IF(Tasks[[#This Row],[Task Name]]="","",IF(N(Tasks[[#This Row],[Baseline Finish]])&gt;0,Tasks[[#This Row],[Baseline Finish]],Tasks[[#This Row],[_CalcFinish]]))</f>
        <v/>
      </c>
      <c r="R123" s="73"/>
      <c r="S123" s="73"/>
      <c r="T123" s="25" t="str">
        <f aca="false">IF(Tasks[[#This Row],[Task Name]]="","",IF(Tasks[[#This Row],[_IsSummary]],MIN(INDEX(Tasks[_LeafFcstStart],Tasks[[#This Row],[_Row]]+1):INDEX(Tasks[_LeafFcstStart],Tasks[[#This Row],[_Row]]+Tasks[[#This Row],[_Descendants]])),Tasks[[#This Row],[_LeafFcstStart]]))</f>
        <v/>
      </c>
      <c r="U123" s="25" t="str">
        <f aca="false">IF(Tasks[[#This Row],[Task Name]]="","",IF(Tasks[[#This Row],[_IsSummary]],MAX(INDEX(Tasks[_LeafFcstFinish],Tasks[[#This Row],[_Row]]+1):INDEX(Tasks[_LeafFcstFinish],Tasks[[#This Row],[_Row]]+Tasks[[#This Row],[_Descendants]])),Tasks[[#This Row],[_LeafFcstFinish]]))</f>
        <v/>
      </c>
      <c r="V12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2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3" s="25" t="str">
        <f aca="false">IF(Tasks[[#This Row],[Task Name]]="","",IF(Tasks[[#This Row],[_IsSummary]],MIN(INDEX(Tasks[_LeafLateStart],Tasks[[#This Row],[_Row]]+1):INDEX(Tasks[_LeafLateStart],Tasks[[#This Row],[_Row]]+Tasks[[#This Row],[_Descendants]])),Tasks[[#This Row],[_LeafLateStart]]))</f>
        <v/>
      </c>
      <c r="Y123" s="25" t="str">
        <f aca="false">IF(Tasks[[#This Row],[Task Name]]="","",IF(Tasks[[#This Row],[_IsSummary]],MAX(INDEX(Tasks[_LeafLateFinish],Tasks[[#This Row],[_Row]]+1):INDEX(Tasks[_LeafLateFinish],Tasks[[#This Row],[_Row]]+Tasks[[#This Row],[_Descendants]])),Tasks[[#This Row],[_LeafLateFinish]]))</f>
        <v/>
      </c>
      <c r="Z123" s="43" t="str">
        <f aca="false">IF(Tasks[[#This Row],[Task Name]]="","",IF(Tasks[[#This Row],[_IsSummary]],MIN(INDEX(Tasks[_LeafTotalSlack],Tasks[[#This Row],[_Row]]+1):INDEX(Tasks[_LeafTotalSlack],Tasks[[#This Row],[_Row]]+Tasks[[#This Row],[_Descendants]])),Tasks[[#This Row],[_LeafTotalSlack]]))</f>
        <v/>
      </c>
      <c r="AA12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3" s="28" t="str">
        <f aca="false">IF(Tasks[[#This Row],[Task Name]]="","",IF(IF(Tasks[[#This Row],[_IsSummary]],COUNTIF(INDEX(Tasks[_LeafCritical],Tasks[[#This Row],[_Row]]+1):INDEX(Tasks[_LeafCritical],Tasks[[#This Row],[_Row]]+Tasks[[#This Row],[_Descendants]]),TRUE())&gt;0,Tasks[[#This Row],[_LeafCritical]]),"Yes",""))</f>
        <v/>
      </c>
      <c r="AC12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3" s="24" t="str">
        <f aca="false">IF(Tasks[[#This Row],[Task Name]]="","",TRIM(IF(Tasks[[#This Row],[_Pred1Problem]]&lt;&gt;"","Pred 1: "&amp;Tasks[[#This Row],[_Pred1Problem]]&amp;". ","")&amp;IF(Tasks[[#This Row],[_Pred2Problem]]&lt;&gt;"","Pred 2: "&amp;Tasks[[#This Row],[_Pred2Problem]]&amp;".","")))</f>
        <v/>
      </c>
      <c r="AE123" s="88"/>
      <c r="AF123"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3" s="28" t="str">
        <f aca="false">IF(Tasks[[#This Row],[Task Name]]="","",IF(Tasks[[#This Row],[Progress]]&gt;=1,"Complete",IF(OR(N(Tasks[[#This Row],[Actual Start]])&gt;0,Tasks[[#This Row],[Progress]]&gt;0),IF(Tasks[[#This Row],[Finish Var]]&gt;0,"Behind","In Progress"),IF(Tasks[[#This Row],[Planned Start]]&lt;StatusDate,"Late Start","Not Started"))))</f>
        <v/>
      </c>
      <c r="AH123" s="30"/>
      <c r="AI123" s="88"/>
      <c r="AJ123" s="95" t="str">
        <f aca="false">IF(Tasks[[#This Row],[Task Name]]="","",IF(Tasks[[#This Row],[_IsSummary]],SUM(INDEX(Tasks[_LeafWork],Tasks[[#This Row],[_Row]]+1):INDEX(Tasks[_LeafWork],Tasks[[#This Row],[_Row]]+Tasks[[#This Row],[_Descendants]])),Tasks[[#This Row],[_LeafWork]]))</f>
        <v/>
      </c>
      <c r="AK123" s="96" t="str">
        <f aca="false">IF(Tasks[[#This Row],[Task Name]]="","",IF(Tasks[[#This Row],[_IsSummary]],SUM(INDEX(Tasks[_LeafCost],Tasks[[#This Row],[_Row]]+1):INDEX(Tasks[_LeafCost],Tasks[[#This Row],[_Row]]+Tasks[[#This Row],[_Descendants]])),Tasks[[#This Row],[_LeafCost]]))</f>
        <v/>
      </c>
      <c r="AL123" s="97"/>
      <c r="AM123" s="29"/>
      <c r="AN12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23" s="82"/>
      <c r="AP123" s="24" t="str">
        <f aca="false">IF(Tasks[[#This Row],[Task Name]]="","",Tasks[[#This Row],[_Pred1IDText]]&amp;IF(AND(Tasks[[#This Row],[_Pred1IDText]]&lt;&gt;"",Tasks[[#This Row],[_Pred2IDText]]&lt;&gt;""),",","")&amp;Tasks[[#This Row],[_Pred2IDText]])</f>
        <v/>
      </c>
      <c r="AQ123" s="30"/>
      <c r="AR123" s="25" t="str">
        <f aca="false">IF(Tasks[[#This Row],[Task Name]]="","",Tasks[[#This Row],[Forecast Start]])</f>
        <v/>
      </c>
      <c r="AS123" s="25" t="str">
        <f aca="false">IF(Tasks[[#This Row],[Task Name]]="","",Tasks[[#This Row],[Forecast Finish]])</f>
        <v/>
      </c>
      <c r="AT123" s="28" t="str">
        <f aca="false">IF(Tasks[[#This Row],[Task Name]]="","",IF(Tasks[[#This Row],[_IsSummary]],NETWORKDAYS.INTL(Tasks[[#This Row],[Forecast Start]],Tasks[[#This Row],[Forecast Finish]],WorkWeek,Holidays),N(Tasks[[#This Row],[Duration]])))</f>
        <v/>
      </c>
      <c r="AU123" s="95" t="str">
        <f aca="false">IF(Tasks[[#This Row],[Task Name]]="","",Tasks[[#This Row],[Work]])</f>
        <v/>
      </c>
      <c r="AV123" s="96" t="str">
        <f aca="false">IF(Tasks[[#This Row],[Task Name]]="","",Tasks[[#This Row],[Cost]])</f>
        <v/>
      </c>
      <c r="AW123" s="73"/>
      <c r="AX123" s="73"/>
      <c r="AY123" s="29"/>
      <c r="AZ123" s="98"/>
      <c r="BA123" s="97"/>
      <c r="BB123" s="28" t="str">
        <f aca="false">IF(OR(Tasks[[#This Row],[Task Name]]="",Tasks[[#This Row],[Baseline Duration]]=""),"",Tasks[[#This Row],[BL Source Duration]]-N(Tasks[[#This Row],[Baseline Duration]]))</f>
        <v/>
      </c>
      <c r="BC123" s="95" t="str">
        <f aca="false">IF(OR(Tasks[[#This Row],[Task Name]]="",Tasks[[#This Row],[Baseline Work]]=""),"",Tasks[[#This Row],[Work]]-N(Tasks[[#This Row],[Baseline Work]]))</f>
        <v/>
      </c>
      <c r="BD123" s="96" t="str">
        <f aca="false">IF(OR(Tasks[[#This Row],[Task Name]]="",Tasks[[#This Row],[Baseline Cost]]=""),"",Tasks[[#This Row],[Cost]]-N(Tasks[[#This Row],[Baseline Cost]]))</f>
        <v/>
      </c>
      <c r="BE123" s="96" t="str">
        <f aca="false">IF(Tasks[[#This Row],[Task Name]]="","",IF(Tasks[[#This Row],[_IsSummary]],SUM(INDEX(Tasks[_LeafBudget],Tasks[[#This Row],[_Row]]+1):INDEX(Tasks[_LeafBudget],Tasks[[#This Row],[_Row]]+Tasks[[#This Row],[_Descendants]])),Tasks[[#This Row],[_LeafBudget]]))</f>
        <v/>
      </c>
      <c r="BF123" s="96" t="str">
        <f aca="false">IF(Tasks[[#This Row],[Task Name]]="","",IF(Tasks[[#This Row],[_IsSummary]],SUM(INDEX(Tasks[_LeafPV],Tasks[[#This Row],[_Row]]+1):INDEX(Tasks[_LeafPV],Tasks[[#This Row],[_Row]]+Tasks[[#This Row],[_Descendants]])),Tasks[[#This Row],[_LeafPV]]))</f>
        <v/>
      </c>
      <c r="BG123" s="96" t="str">
        <f aca="false">IF(Tasks[[#This Row],[Task Name]]="","",IF(Tasks[[#This Row],[_IsSummary]],SUM(INDEX(Tasks[_LeafEV],Tasks[[#This Row],[_Row]]+1):INDEX(Tasks[_LeafEV],Tasks[[#This Row],[_Row]]+Tasks[[#This Row],[_Descendants]])),Tasks[[#This Row],[_LeafEV]]))</f>
        <v/>
      </c>
      <c r="BH123" s="96" t="str">
        <f aca="false">IF(Tasks[[#This Row],[Task Name]]="","",IF(Tasks[[#This Row],[_IsSummary]],SUM(INDEX(Tasks[_LeafAC],Tasks[[#This Row],[_Row]]+1):INDEX(Tasks[_LeafAC],Tasks[[#This Row],[_Row]]+Tasks[[#This Row],[_Descendants]])),Tasks[[#This Row],[_LeafAC]]))</f>
        <v/>
      </c>
      <c r="BI123" s="41" t="str">
        <f aca="false">IF(Tasks[[#This Row],[Task Name]]="","",MAX(1,N(Tasks[[#This Row],[Level]])))</f>
        <v/>
      </c>
      <c r="BJ123" s="41" t="n">
        <f aca="false">ROW()-ROW(Tasks[[#Headers],[ID]])</f>
        <v>118</v>
      </c>
      <c r="BK123" s="41" t="n">
        <f aca="false">IF(OR(Tasks[[#This Row],[Task Name]]="",Tasks[[#This Row],[_Level]]&lt;=1),0,IFERROR(LOOKUP(2,1/(Tasks[[#Headers],[_Level]]:Tasks[[#This Row],[_Level]]=Tasks[[#This Row],[_Level]]-1),ROW(Tasks[[#Headers],[_Level]]:Tasks[[#This Row],[_Level]])),0))</f>
        <v>0</v>
      </c>
      <c r="BL123" s="41" t="n">
        <f aca="false">IFERROR(N(INDEX(Tasks[_Level],Tasks[[#This Row],[_Row]]+1)),0)</f>
        <v>0</v>
      </c>
      <c r="BM123" s="99" t="b">
        <f aca="false">AND(Tasks[[#This Row],[Task Name]]&lt;&gt;"",Tasks[[#This Row],[_NextLevel]]&gt;Tasks[[#This Row],[_Level]])</f>
        <v>0</v>
      </c>
      <c r="BN123" s="41" t="n">
        <f aca="false">IF(Tasks[[#This Row],[_IsSummary]],COUNTIF(Tasks[WBS],Tasks[[#This Row],[WBS]]&amp;".*"),0)</f>
        <v>0</v>
      </c>
      <c r="BO123" s="41" t="n">
        <f aca="false">IF(AND(Tasks[[#This Row],[Task Name]]&lt;&gt;"",NOT(Tasks[[#This Row],[_IsSummary]])),1,0)</f>
        <v>0</v>
      </c>
      <c r="BP123" s="41" t="n">
        <f aca="false">IF(N(Tasks[[#This Row],[Pred1 UID]])=0,0,IFERROR(MATCH(Tasks[[#This Row],[Pred1 UID]],Tasks[UID],0),-1))</f>
        <v>0</v>
      </c>
      <c r="BQ123" s="41" t="n">
        <f aca="false">IF(N(Tasks[[#This Row],[Pred2 UID]])=0,0,IFERROR(MATCH(Tasks[[#This Row],[Pred2 UID]],Tasks[UID],0),-1))</f>
        <v>0</v>
      </c>
      <c r="BR123"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23" s="100" t="str">
        <f aca="false">IF(NOT(Tasks[[#This Row],[_IsLeaf]]=1),"",IF(N(Tasks[[#This Row],[Duration]])&lt;=0,Tasks[[#This Row],[_LeafCalcStart]],WORKDAY.INTL(Tasks[[#This Row],[_LeafCalcStart]],Tasks[[#This Row],[Duration]]-1,WorkWeek,Holidays)))</f>
        <v/>
      </c>
      <c r="BT123"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23"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23" s="41" t="n">
        <f aca="false">IF(NOT(Tasks[[#This Row],[_IsLeaf]]=1),0,IF(N(Tasks[[#This Row],[Actual Finish]])&gt;0,1,MIN(1,N(Tasks[[#This Row],[% Complete]]))))</f>
        <v>0</v>
      </c>
      <c r="BW123" s="41" t="n">
        <f aca="false">IF(OR(NOT(Tasks[[#This Row],[_IsLeaf]]=1),Tasks[[#This Row],[Resource]]=""),0,N(Tasks[[#This Row],[Duration]])*HoursPerDay*IF(Tasks[[#This Row],[Units]]="",DefaultUnits,Tasks[[#This Row],[Units]]))</f>
        <v>0</v>
      </c>
      <c r="BX123" s="41" t="n">
        <f aca="false">IF(Tasks[[#This Row],[_LeafWork]]=0,0,Tasks[[#This Row],[_LeafWork]]*IFERROR(INDEX(res_Rate,MATCH(Tasks[[#This Row],[Resource]],res_Name,0)),0))</f>
        <v>0</v>
      </c>
      <c r="BY12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2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2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2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23" s="41" t="n">
        <f aca="false">IF(NOT(Tasks[[#This Row],[_IsLeaf]]=1),0,MAX(_xlfn.MAXIFS(Tasks[_Row],Tasks[Pred1 UID],Tasks[[#This Row],[UID]]),_xlfn.MAXIFS(Tasks[_Row],Tasks[Pred2 UID],Tasks[[#This Row],[UID]])))</f>
        <v>0</v>
      </c>
      <c r="CD123"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23" s="100" t="str">
        <f aca="false">IF(NOT(Tasks[[#This Row],[_IsLeaf]]=1),"",MIN(ProjectFinish,IF(N(Tasks[[#This Row],[Deadline]])&gt;0,Tasks[[#This Row],[Deadline]],2958465),Tasks[[#This Row],[_SuccessorFinishLimit]]))</f>
        <v/>
      </c>
      <c r="CF123" s="100" t="str">
        <f aca="false">IF(NOT(Tasks[[#This Row],[_IsLeaf]]=1),"",IF(N(Tasks[[#This Row],[Duration]])&lt;=0,Tasks[[#This Row],[_LeafLateFinish]],WORKDAY.INTL(Tasks[[#This Row],[_LeafLateFinish]],-(Tasks[[#This Row],[Duration]]-1),WorkWeek,Holidays)))</f>
        <v/>
      </c>
      <c r="CG12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23" s="99" t="b">
        <f aca="false">AND(Tasks[[#This Row],[_IsLeaf]]=1,Tasks[[#This Row],[_LeafProgress]]&lt;1,N(Tasks[[#This Row],[_LeafTotalSlack]])&lt;=CriticalSlackDays)</f>
        <v>0</v>
      </c>
      <c r="CI123" s="100" t="str">
        <f aca="false">IF(Tasks[[#This Row],[Task Name]]="","",IF(Tasks[[#This Row],[_IsSummary]],MIN(INDEX(Tasks[_LeafCalcStart],Tasks[[#This Row],[_Row]]+1):INDEX(Tasks[_LeafCalcStart],Tasks[[#This Row],[_Row]]+Tasks[[#This Row],[_Descendants]])),Tasks[[#This Row],[_LeafCalcStart]]))</f>
        <v/>
      </c>
      <c r="CJ123" s="100" t="str">
        <f aca="false">IF(Tasks[[#This Row],[Task Name]]="","",IF(Tasks[[#This Row],[_IsSummary]],MAX(INDEX(Tasks[_LeafCalcFinish],Tasks[[#This Row],[_Row]]+1):INDEX(Tasks[_LeafCalcFinish],Tasks[[#This Row],[_Row]]+Tasks[[#This Row],[_Descendants]])),Tasks[[#This Row],[_LeafCalcFinish]]))</f>
        <v/>
      </c>
      <c r="CK12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2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23"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23"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23"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23"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23" s="41" t="n">
        <f aca="false">IF(AND(Tasks[[#This Row],[_IsLeaf]]=1,Tasks[[#This Row],[_LeafWork]]&gt;0),NETWORKDAYS.INTL(ProjectStart,Tasks[[#This Row],[_LeafFcstStart]],WorkWeek,Holidays),0)</f>
        <v>0</v>
      </c>
      <c r="CR123" s="41" t="n">
        <f aca="false">IF(AND(Tasks[[#This Row],[_IsLeaf]]=1,Tasks[[#This Row],[_LeafWork]]&gt;0),MAX(Tasks[[#This Row],[_StartWorkday]],NETWORKDAYS.INTL(ProjectStart,Tasks[[#This Row],[_LeafFcstFinish]],WorkWeek,Holidays)),0)</f>
        <v>0</v>
      </c>
      <c r="CS123" s="41" t="n">
        <f aca="false">IF(AND(Tasks[[#This Row],[_IsLeaf]]=1,Tasks[[#This Row],[_LeafWork]]&gt;0),Tasks[[#This Row],[_LeafWork]]/(Tasks[[#This Row],[_FinishWorkday]]-Tasks[[#This Row],[_StartWorkday]]+1),0)</f>
        <v>0</v>
      </c>
      <c r="CT123" s="41" t="n">
        <f aca="false">Tasks[[#This Row],[_WorkPerWorkday]]*(Tasks[[#This Row],[_StartWorkday]]-1)</f>
        <v>-0</v>
      </c>
      <c r="CU123" s="41" t="n">
        <f aca="false">IF(Tasks[[#This Row],[_IsLeaf]]=1,MAX(N(Tasks[[#This Row],[Duration]]),0.1),0)</f>
        <v>0</v>
      </c>
      <c r="CV123" s="41" t="n">
        <f aca="false">Tasks[[#This Row],[_WeightDur]]*Tasks[[#This Row],[_LeafProgress]]</f>
        <v>0</v>
      </c>
      <c r="CW12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2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2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2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23" s="41" t="str">
        <f aca="false">IF(Tasks[[#This Row],[Task Name]]="","",Tasks[[#This Row],[_Pred1UIDText]]&amp;IF(AND(Tasks[[#This Row],[_Pred1UIDText]]&lt;&gt;"",Tasks[[#This Row],[_Pred2UIDText]]&lt;&gt;""),",","")&amp;Tasks[[#This Row],[_Pred2UIDText]])</f>
        <v/>
      </c>
      <c r="DB123" s="41" t="str">
        <f aca="false">IF(AND(Tasks[[#This Row],[_IsLeaf]]=1,N(Tasks[[#This Row],[Duration]])=0,Tasks[[#This Row],[_LeafProgress]]&lt;1),Tasks[[#This Row],[_LeafFcstFinish]]+Tasks[[#This Row],[_Row]]/100000,"")</f>
        <v/>
      </c>
      <c r="DC12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23" s="41" t="n">
        <f aca="false">IF(NOT(Tasks[[#This Row],[_IsLeaf]]=1),0,IF(Tasks[[#This Row],[Baseline Cost]]="",Tasks[[#This Row],[_LeafCost]],N(Tasks[[#This Row],[Baseline Cost]])))</f>
        <v>0</v>
      </c>
      <c r="DE123" s="41" t="n">
        <f aca="false">Tasks[[#This Row],[_LeafBudget]]*Tasks[[#This Row],[_PlannedPct]]</f>
        <v>0</v>
      </c>
      <c r="DF123" s="41" t="n">
        <f aca="false">Tasks[[#This Row],[_LeafBudget]]*Tasks[[#This Row],[_LeafProgress]]</f>
        <v>0</v>
      </c>
      <c r="DG123" s="41" t="n">
        <f aca="false">IF(NOT(Tasks[[#This Row],[_IsLeaf]]=1),0,IF(Tasks[[#This Row],[Actual Cost]]="",Tasks[[#This Row],[_LeafCost]]*Tasks[[#This Row],[_LeafProgress]],N(Tasks[[#This Row],[Actual Cost]])))</f>
        <v>0</v>
      </c>
      <c r="DH123" s="41" t="str">
        <f aca="false">IF(Tasks[[#This Row],[Task Name]]="","",LEFT(Tasks[[#This Row],[WBS]],FIND(".",Tasks[[#This Row],[WBS]]&amp;".")-1))</f>
        <v/>
      </c>
      <c r="DI123" s="41" t="str">
        <f aca="false">IF(AND(Tasks[[#This Row],[Task Name]]&lt;&gt;"",Tasks[[#This Row],[_Level]]=1),Tasks[[#This Row],[_Row]],"")</f>
        <v/>
      </c>
      <c r="DJ123" s="41" t="str">
        <f aca="false">IF(AND(Tasks[[#This Row],[_IsLeaf]]=1,N(Tasks[[#This Row],[Duration]])=0),Tasks[[#This Row],[Planned Finish]]+Tasks[[#This Row],[_Row]]/100000,"")</f>
        <v/>
      </c>
      <c r="DK123" s="41" t="str">
        <f aca="false">IF(AND(Tasks[[#This Row],[_IsLeaf]]=1,Tasks[[#This Row],[_LeafProgress]]&lt;1,OR(N(Tasks[[#This Row],[Finish Var]])&gt;0,Tasks[[#This Row],[Status]]="Late Start")),MAX(0,Tasks[[#This Row],[Finish Var]])+1-Tasks[[#This Row],[_Row]]/1000000,"")</f>
        <v/>
      </c>
      <c r="DL123" s="41" t="str">
        <f aca="false">IF(AND(Tasks[[#This Row],[_IsLeaf]]=1,N(Tasks[[#This Row],[Actual Start]])=0,Tasks[[#This Row],[_LeafFcstStart]]&gt;=StatusDate,Tasks[[#This Row],[_LeafFcstStart]]&lt;=LookaheadEnd),Tasks[[#This Row],[_LeafFcstStart]]+Tasks[[#This Row],[_Row]]/100000,"")</f>
        <v/>
      </c>
      <c r="DM123" s="41" t="str">
        <f aca="false">IF(AND(Tasks[[#This Row],[_IsLeaf]]=1,Tasks[[#This Row],[_LeafProgress]]&lt;1,Tasks[[#This Row],[_LeafFcstFinish]]&gt;=StatusDate,Tasks[[#This Row],[_LeafFcstFinish]]&lt;=LookaheadEnd),Tasks[[#This Row],[_LeafFcstFinish]]+Tasks[[#This Row],[_Row]]/100000,"")</f>
        <v/>
      </c>
      <c r="DN123" s="41" t="str">
        <f aca="false">IF(Tasks[[#This Row],[_LeafCritical]],Tasks[[#This Row],[_LeafFcstStart]]+Tasks[[#This Row],[_Row]]/100000,"")</f>
        <v/>
      </c>
      <c r="DO123" s="41" t="n">
        <f aca="false">Tasks[[#This Row],[_LeafWork]]*Tasks[[#This Row],[_LeafProgress]]</f>
        <v>0</v>
      </c>
      <c r="DP123" s="100" t="str">
        <f aca="false">IF(AND(Tasks[[#This Row],[_IsLeaf]]=1,Tasks[[#This Row],[_LeafProgress]]&gt;=1),IF(N(Tasks[[#This Row],[Actual Finish]])&gt;0,Tasks[[#This Row],[Actual Finish]],Tasks[[#This Row],[_LeafFcstFinish]]),"")</f>
        <v/>
      </c>
      <c r="DQ123" s="41" t="n">
        <f aca="false">IF(Tasks[[#This Row],[_IsLeaf]]=1,N(Tasks[[#This Row],[Story Points]]),0)</f>
        <v>0</v>
      </c>
      <c r="DR123" s="41" t="str">
        <f aca="false">IF(AND(Tasks[[#This Row],[_IsLeaf]]=1,CurrentSprint&lt;&gt;"",Tasks[[#This Row],[Sprint]]=CurrentSprint),Tasks[[#This Row],[_Row]],"")</f>
        <v/>
      </c>
    </row>
    <row r="124" customFormat="false" ht="15" hidden="false" customHeight="false" outlineLevel="0" collapsed="false">
      <c r="A124" s="28" t="str">
        <f aca="false">IF(Tasks[[#This Row],[Task Name]]="","",COUNTA(Tasks[[#Headers],[Task Name]]:Tasks[[#This Row],[Task Name]])-1)</f>
        <v/>
      </c>
      <c r="B124" s="29" t="n">
        <v>119</v>
      </c>
      <c r="C12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4" s="29"/>
      <c r="E124" s="30"/>
      <c r="F124" s="29"/>
      <c r="G124" s="29"/>
      <c r="H124" s="29"/>
      <c r="I124" s="29"/>
      <c r="J124" s="29"/>
      <c r="K124" s="29"/>
      <c r="L124" s="29"/>
      <c r="M124" s="29"/>
      <c r="N124" s="73"/>
      <c r="O124" s="73"/>
      <c r="P124" s="25" t="str">
        <f aca="false">IF(Tasks[[#This Row],[Task Name]]="","",IF(N(Tasks[[#This Row],[Baseline Start]])&gt;0,Tasks[[#This Row],[Baseline Start]],Tasks[[#This Row],[_CalcStart]]))</f>
        <v/>
      </c>
      <c r="Q124" s="25" t="str">
        <f aca="false">IF(Tasks[[#This Row],[Task Name]]="","",IF(N(Tasks[[#This Row],[Baseline Finish]])&gt;0,Tasks[[#This Row],[Baseline Finish]],Tasks[[#This Row],[_CalcFinish]]))</f>
        <v/>
      </c>
      <c r="R124" s="73"/>
      <c r="S124" s="73"/>
      <c r="T124" s="25" t="str">
        <f aca="false">IF(Tasks[[#This Row],[Task Name]]="","",IF(Tasks[[#This Row],[_IsSummary]],MIN(INDEX(Tasks[_LeafFcstStart],Tasks[[#This Row],[_Row]]+1):INDEX(Tasks[_LeafFcstStart],Tasks[[#This Row],[_Row]]+Tasks[[#This Row],[_Descendants]])),Tasks[[#This Row],[_LeafFcstStart]]))</f>
        <v/>
      </c>
      <c r="U124" s="25" t="str">
        <f aca="false">IF(Tasks[[#This Row],[Task Name]]="","",IF(Tasks[[#This Row],[_IsSummary]],MAX(INDEX(Tasks[_LeafFcstFinish],Tasks[[#This Row],[_Row]]+1):INDEX(Tasks[_LeafFcstFinish],Tasks[[#This Row],[_Row]]+Tasks[[#This Row],[_Descendants]])),Tasks[[#This Row],[_LeafFcstFinish]]))</f>
        <v/>
      </c>
      <c r="V12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2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4" s="25" t="str">
        <f aca="false">IF(Tasks[[#This Row],[Task Name]]="","",IF(Tasks[[#This Row],[_IsSummary]],MIN(INDEX(Tasks[_LeafLateStart],Tasks[[#This Row],[_Row]]+1):INDEX(Tasks[_LeafLateStart],Tasks[[#This Row],[_Row]]+Tasks[[#This Row],[_Descendants]])),Tasks[[#This Row],[_LeafLateStart]]))</f>
        <v/>
      </c>
      <c r="Y124" s="25" t="str">
        <f aca="false">IF(Tasks[[#This Row],[Task Name]]="","",IF(Tasks[[#This Row],[_IsSummary]],MAX(INDEX(Tasks[_LeafLateFinish],Tasks[[#This Row],[_Row]]+1):INDEX(Tasks[_LeafLateFinish],Tasks[[#This Row],[_Row]]+Tasks[[#This Row],[_Descendants]])),Tasks[[#This Row],[_LeafLateFinish]]))</f>
        <v/>
      </c>
      <c r="Z124" s="43" t="str">
        <f aca="false">IF(Tasks[[#This Row],[Task Name]]="","",IF(Tasks[[#This Row],[_IsSummary]],MIN(INDEX(Tasks[_LeafTotalSlack],Tasks[[#This Row],[_Row]]+1):INDEX(Tasks[_LeafTotalSlack],Tasks[[#This Row],[_Row]]+Tasks[[#This Row],[_Descendants]])),Tasks[[#This Row],[_LeafTotalSlack]]))</f>
        <v/>
      </c>
      <c r="AA12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4" s="28" t="str">
        <f aca="false">IF(Tasks[[#This Row],[Task Name]]="","",IF(IF(Tasks[[#This Row],[_IsSummary]],COUNTIF(INDEX(Tasks[_LeafCritical],Tasks[[#This Row],[_Row]]+1):INDEX(Tasks[_LeafCritical],Tasks[[#This Row],[_Row]]+Tasks[[#This Row],[_Descendants]]),TRUE())&gt;0,Tasks[[#This Row],[_LeafCritical]]),"Yes",""))</f>
        <v/>
      </c>
      <c r="AC12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4" s="24" t="str">
        <f aca="false">IF(Tasks[[#This Row],[Task Name]]="","",TRIM(IF(Tasks[[#This Row],[_Pred1Problem]]&lt;&gt;"","Pred 1: "&amp;Tasks[[#This Row],[_Pred1Problem]]&amp;". ","")&amp;IF(Tasks[[#This Row],[_Pred2Problem]]&lt;&gt;"","Pred 2: "&amp;Tasks[[#This Row],[_Pred2Problem]]&amp;".","")))</f>
        <v/>
      </c>
      <c r="AE124" s="88"/>
      <c r="AF124"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4" s="28" t="str">
        <f aca="false">IF(Tasks[[#This Row],[Task Name]]="","",IF(Tasks[[#This Row],[Progress]]&gt;=1,"Complete",IF(OR(N(Tasks[[#This Row],[Actual Start]])&gt;0,Tasks[[#This Row],[Progress]]&gt;0),IF(Tasks[[#This Row],[Finish Var]]&gt;0,"Behind","In Progress"),IF(Tasks[[#This Row],[Planned Start]]&lt;StatusDate,"Late Start","Not Started"))))</f>
        <v/>
      </c>
      <c r="AH124" s="30"/>
      <c r="AI124" s="88"/>
      <c r="AJ124" s="95" t="str">
        <f aca="false">IF(Tasks[[#This Row],[Task Name]]="","",IF(Tasks[[#This Row],[_IsSummary]],SUM(INDEX(Tasks[_LeafWork],Tasks[[#This Row],[_Row]]+1):INDEX(Tasks[_LeafWork],Tasks[[#This Row],[_Row]]+Tasks[[#This Row],[_Descendants]])),Tasks[[#This Row],[_LeafWork]]))</f>
        <v/>
      </c>
      <c r="AK124" s="96" t="str">
        <f aca="false">IF(Tasks[[#This Row],[Task Name]]="","",IF(Tasks[[#This Row],[_IsSummary]],SUM(INDEX(Tasks[_LeafCost],Tasks[[#This Row],[_Row]]+1):INDEX(Tasks[_LeafCost],Tasks[[#This Row],[_Row]]+Tasks[[#This Row],[_Descendants]])),Tasks[[#This Row],[_LeafCost]]))</f>
        <v/>
      </c>
      <c r="AL124" s="97"/>
      <c r="AM124" s="29"/>
      <c r="AN12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24" s="82"/>
      <c r="AP124" s="24" t="str">
        <f aca="false">IF(Tasks[[#This Row],[Task Name]]="","",Tasks[[#This Row],[_Pred1IDText]]&amp;IF(AND(Tasks[[#This Row],[_Pred1IDText]]&lt;&gt;"",Tasks[[#This Row],[_Pred2IDText]]&lt;&gt;""),",","")&amp;Tasks[[#This Row],[_Pred2IDText]])</f>
        <v/>
      </c>
      <c r="AQ124" s="30"/>
      <c r="AR124" s="25" t="str">
        <f aca="false">IF(Tasks[[#This Row],[Task Name]]="","",Tasks[[#This Row],[Forecast Start]])</f>
        <v/>
      </c>
      <c r="AS124" s="25" t="str">
        <f aca="false">IF(Tasks[[#This Row],[Task Name]]="","",Tasks[[#This Row],[Forecast Finish]])</f>
        <v/>
      </c>
      <c r="AT124" s="28" t="str">
        <f aca="false">IF(Tasks[[#This Row],[Task Name]]="","",IF(Tasks[[#This Row],[_IsSummary]],NETWORKDAYS.INTL(Tasks[[#This Row],[Forecast Start]],Tasks[[#This Row],[Forecast Finish]],WorkWeek,Holidays),N(Tasks[[#This Row],[Duration]])))</f>
        <v/>
      </c>
      <c r="AU124" s="95" t="str">
        <f aca="false">IF(Tasks[[#This Row],[Task Name]]="","",Tasks[[#This Row],[Work]])</f>
        <v/>
      </c>
      <c r="AV124" s="96" t="str">
        <f aca="false">IF(Tasks[[#This Row],[Task Name]]="","",Tasks[[#This Row],[Cost]])</f>
        <v/>
      </c>
      <c r="AW124" s="73"/>
      <c r="AX124" s="73"/>
      <c r="AY124" s="29"/>
      <c r="AZ124" s="98"/>
      <c r="BA124" s="97"/>
      <c r="BB124" s="28" t="str">
        <f aca="false">IF(OR(Tasks[[#This Row],[Task Name]]="",Tasks[[#This Row],[Baseline Duration]]=""),"",Tasks[[#This Row],[BL Source Duration]]-N(Tasks[[#This Row],[Baseline Duration]]))</f>
        <v/>
      </c>
      <c r="BC124" s="95" t="str">
        <f aca="false">IF(OR(Tasks[[#This Row],[Task Name]]="",Tasks[[#This Row],[Baseline Work]]=""),"",Tasks[[#This Row],[Work]]-N(Tasks[[#This Row],[Baseline Work]]))</f>
        <v/>
      </c>
      <c r="BD124" s="96" t="str">
        <f aca="false">IF(OR(Tasks[[#This Row],[Task Name]]="",Tasks[[#This Row],[Baseline Cost]]=""),"",Tasks[[#This Row],[Cost]]-N(Tasks[[#This Row],[Baseline Cost]]))</f>
        <v/>
      </c>
      <c r="BE124" s="96" t="str">
        <f aca="false">IF(Tasks[[#This Row],[Task Name]]="","",IF(Tasks[[#This Row],[_IsSummary]],SUM(INDEX(Tasks[_LeafBudget],Tasks[[#This Row],[_Row]]+1):INDEX(Tasks[_LeafBudget],Tasks[[#This Row],[_Row]]+Tasks[[#This Row],[_Descendants]])),Tasks[[#This Row],[_LeafBudget]]))</f>
        <v/>
      </c>
      <c r="BF124" s="96" t="str">
        <f aca="false">IF(Tasks[[#This Row],[Task Name]]="","",IF(Tasks[[#This Row],[_IsSummary]],SUM(INDEX(Tasks[_LeafPV],Tasks[[#This Row],[_Row]]+1):INDEX(Tasks[_LeafPV],Tasks[[#This Row],[_Row]]+Tasks[[#This Row],[_Descendants]])),Tasks[[#This Row],[_LeafPV]]))</f>
        <v/>
      </c>
      <c r="BG124" s="96" t="str">
        <f aca="false">IF(Tasks[[#This Row],[Task Name]]="","",IF(Tasks[[#This Row],[_IsSummary]],SUM(INDEX(Tasks[_LeafEV],Tasks[[#This Row],[_Row]]+1):INDEX(Tasks[_LeafEV],Tasks[[#This Row],[_Row]]+Tasks[[#This Row],[_Descendants]])),Tasks[[#This Row],[_LeafEV]]))</f>
        <v/>
      </c>
      <c r="BH124" s="96" t="str">
        <f aca="false">IF(Tasks[[#This Row],[Task Name]]="","",IF(Tasks[[#This Row],[_IsSummary]],SUM(INDEX(Tasks[_LeafAC],Tasks[[#This Row],[_Row]]+1):INDEX(Tasks[_LeafAC],Tasks[[#This Row],[_Row]]+Tasks[[#This Row],[_Descendants]])),Tasks[[#This Row],[_LeafAC]]))</f>
        <v/>
      </c>
      <c r="BI124" s="41" t="str">
        <f aca="false">IF(Tasks[[#This Row],[Task Name]]="","",MAX(1,N(Tasks[[#This Row],[Level]])))</f>
        <v/>
      </c>
      <c r="BJ124" s="41" t="n">
        <f aca="false">ROW()-ROW(Tasks[[#Headers],[ID]])</f>
        <v>119</v>
      </c>
      <c r="BK124" s="41" t="n">
        <f aca="false">IF(OR(Tasks[[#This Row],[Task Name]]="",Tasks[[#This Row],[_Level]]&lt;=1),0,IFERROR(LOOKUP(2,1/(Tasks[[#Headers],[_Level]]:Tasks[[#This Row],[_Level]]=Tasks[[#This Row],[_Level]]-1),ROW(Tasks[[#Headers],[_Level]]:Tasks[[#This Row],[_Level]])),0))</f>
        <v>0</v>
      </c>
      <c r="BL124" s="41" t="n">
        <f aca="false">IFERROR(N(INDEX(Tasks[_Level],Tasks[[#This Row],[_Row]]+1)),0)</f>
        <v>0</v>
      </c>
      <c r="BM124" s="99" t="b">
        <f aca="false">AND(Tasks[[#This Row],[Task Name]]&lt;&gt;"",Tasks[[#This Row],[_NextLevel]]&gt;Tasks[[#This Row],[_Level]])</f>
        <v>0</v>
      </c>
      <c r="BN124" s="41" t="n">
        <f aca="false">IF(Tasks[[#This Row],[_IsSummary]],COUNTIF(Tasks[WBS],Tasks[[#This Row],[WBS]]&amp;".*"),0)</f>
        <v>0</v>
      </c>
      <c r="BO124" s="41" t="n">
        <f aca="false">IF(AND(Tasks[[#This Row],[Task Name]]&lt;&gt;"",NOT(Tasks[[#This Row],[_IsSummary]])),1,0)</f>
        <v>0</v>
      </c>
      <c r="BP124" s="41" t="n">
        <f aca="false">IF(N(Tasks[[#This Row],[Pred1 UID]])=0,0,IFERROR(MATCH(Tasks[[#This Row],[Pred1 UID]],Tasks[UID],0),-1))</f>
        <v>0</v>
      </c>
      <c r="BQ124" s="41" t="n">
        <f aca="false">IF(N(Tasks[[#This Row],[Pred2 UID]])=0,0,IFERROR(MATCH(Tasks[[#This Row],[Pred2 UID]],Tasks[UID],0),-1))</f>
        <v>0</v>
      </c>
      <c r="BR124"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24" s="100" t="str">
        <f aca="false">IF(NOT(Tasks[[#This Row],[_IsLeaf]]=1),"",IF(N(Tasks[[#This Row],[Duration]])&lt;=0,Tasks[[#This Row],[_LeafCalcStart]],WORKDAY.INTL(Tasks[[#This Row],[_LeafCalcStart]],Tasks[[#This Row],[Duration]]-1,WorkWeek,Holidays)))</f>
        <v/>
      </c>
      <c r="BT124"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24"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24" s="41" t="n">
        <f aca="false">IF(NOT(Tasks[[#This Row],[_IsLeaf]]=1),0,IF(N(Tasks[[#This Row],[Actual Finish]])&gt;0,1,MIN(1,N(Tasks[[#This Row],[% Complete]]))))</f>
        <v>0</v>
      </c>
      <c r="BW124" s="41" t="n">
        <f aca="false">IF(OR(NOT(Tasks[[#This Row],[_IsLeaf]]=1),Tasks[[#This Row],[Resource]]=""),0,N(Tasks[[#This Row],[Duration]])*HoursPerDay*IF(Tasks[[#This Row],[Units]]="",DefaultUnits,Tasks[[#This Row],[Units]]))</f>
        <v>0</v>
      </c>
      <c r="BX124" s="41" t="n">
        <f aca="false">IF(Tasks[[#This Row],[_LeafWork]]=0,0,Tasks[[#This Row],[_LeafWork]]*IFERROR(INDEX(res_Rate,MATCH(Tasks[[#This Row],[Resource]],res_Name,0)),0))</f>
        <v>0</v>
      </c>
      <c r="BY12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2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2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2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24" s="41" t="n">
        <f aca="false">IF(NOT(Tasks[[#This Row],[_IsLeaf]]=1),0,MAX(_xlfn.MAXIFS(Tasks[_Row],Tasks[Pred1 UID],Tasks[[#This Row],[UID]]),_xlfn.MAXIFS(Tasks[_Row],Tasks[Pred2 UID],Tasks[[#This Row],[UID]])))</f>
        <v>0</v>
      </c>
      <c r="CD124"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24" s="100" t="str">
        <f aca="false">IF(NOT(Tasks[[#This Row],[_IsLeaf]]=1),"",MIN(ProjectFinish,IF(N(Tasks[[#This Row],[Deadline]])&gt;0,Tasks[[#This Row],[Deadline]],2958465),Tasks[[#This Row],[_SuccessorFinishLimit]]))</f>
        <v/>
      </c>
      <c r="CF124" s="100" t="str">
        <f aca="false">IF(NOT(Tasks[[#This Row],[_IsLeaf]]=1),"",IF(N(Tasks[[#This Row],[Duration]])&lt;=0,Tasks[[#This Row],[_LeafLateFinish]],WORKDAY.INTL(Tasks[[#This Row],[_LeafLateFinish]],-(Tasks[[#This Row],[Duration]]-1),WorkWeek,Holidays)))</f>
        <v/>
      </c>
      <c r="CG12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24" s="99" t="b">
        <f aca="false">AND(Tasks[[#This Row],[_IsLeaf]]=1,Tasks[[#This Row],[_LeafProgress]]&lt;1,N(Tasks[[#This Row],[_LeafTotalSlack]])&lt;=CriticalSlackDays)</f>
        <v>0</v>
      </c>
      <c r="CI124" s="100" t="str">
        <f aca="false">IF(Tasks[[#This Row],[Task Name]]="","",IF(Tasks[[#This Row],[_IsSummary]],MIN(INDEX(Tasks[_LeafCalcStart],Tasks[[#This Row],[_Row]]+1):INDEX(Tasks[_LeafCalcStart],Tasks[[#This Row],[_Row]]+Tasks[[#This Row],[_Descendants]])),Tasks[[#This Row],[_LeafCalcStart]]))</f>
        <v/>
      </c>
      <c r="CJ124" s="100" t="str">
        <f aca="false">IF(Tasks[[#This Row],[Task Name]]="","",IF(Tasks[[#This Row],[_IsSummary]],MAX(INDEX(Tasks[_LeafCalcFinish],Tasks[[#This Row],[_Row]]+1):INDEX(Tasks[_LeafCalcFinish],Tasks[[#This Row],[_Row]]+Tasks[[#This Row],[_Descendants]])),Tasks[[#This Row],[_LeafCalcFinish]]))</f>
        <v/>
      </c>
      <c r="CK12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2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24"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24"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24"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24"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24" s="41" t="n">
        <f aca="false">IF(AND(Tasks[[#This Row],[_IsLeaf]]=1,Tasks[[#This Row],[_LeafWork]]&gt;0),NETWORKDAYS.INTL(ProjectStart,Tasks[[#This Row],[_LeafFcstStart]],WorkWeek,Holidays),0)</f>
        <v>0</v>
      </c>
      <c r="CR124" s="41" t="n">
        <f aca="false">IF(AND(Tasks[[#This Row],[_IsLeaf]]=1,Tasks[[#This Row],[_LeafWork]]&gt;0),MAX(Tasks[[#This Row],[_StartWorkday]],NETWORKDAYS.INTL(ProjectStart,Tasks[[#This Row],[_LeafFcstFinish]],WorkWeek,Holidays)),0)</f>
        <v>0</v>
      </c>
      <c r="CS124" s="41" t="n">
        <f aca="false">IF(AND(Tasks[[#This Row],[_IsLeaf]]=1,Tasks[[#This Row],[_LeafWork]]&gt;0),Tasks[[#This Row],[_LeafWork]]/(Tasks[[#This Row],[_FinishWorkday]]-Tasks[[#This Row],[_StartWorkday]]+1),0)</f>
        <v>0</v>
      </c>
      <c r="CT124" s="41" t="n">
        <f aca="false">Tasks[[#This Row],[_WorkPerWorkday]]*(Tasks[[#This Row],[_StartWorkday]]-1)</f>
        <v>-0</v>
      </c>
      <c r="CU124" s="41" t="n">
        <f aca="false">IF(Tasks[[#This Row],[_IsLeaf]]=1,MAX(N(Tasks[[#This Row],[Duration]]),0.1),0)</f>
        <v>0</v>
      </c>
      <c r="CV124" s="41" t="n">
        <f aca="false">Tasks[[#This Row],[_WeightDur]]*Tasks[[#This Row],[_LeafProgress]]</f>
        <v>0</v>
      </c>
      <c r="CW12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2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2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2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24" s="41" t="str">
        <f aca="false">IF(Tasks[[#This Row],[Task Name]]="","",Tasks[[#This Row],[_Pred1UIDText]]&amp;IF(AND(Tasks[[#This Row],[_Pred1UIDText]]&lt;&gt;"",Tasks[[#This Row],[_Pred2UIDText]]&lt;&gt;""),",","")&amp;Tasks[[#This Row],[_Pred2UIDText]])</f>
        <v/>
      </c>
      <c r="DB124" s="41" t="str">
        <f aca="false">IF(AND(Tasks[[#This Row],[_IsLeaf]]=1,N(Tasks[[#This Row],[Duration]])=0,Tasks[[#This Row],[_LeafProgress]]&lt;1),Tasks[[#This Row],[_LeafFcstFinish]]+Tasks[[#This Row],[_Row]]/100000,"")</f>
        <v/>
      </c>
      <c r="DC12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24" s="41" t="n">
        <f aca="false">IF(NOT(Tasks[[#This Row],[_IsLeaf]]=1),0,IF(Tasks[[#This Row],[Baseline Cost]]="",Tasks[[#This Row],[_LeafCost]],N(Tasks[[#This Row],[Baseline Cost]])))</f>
        <v>0</v>
      </c>
      <c r="DE124" s="41" t="n">
        <f aca="false">Tasks[[#This Row],[_LeafBudget]]*Tasks[[#This Row],[_PlannedPct]]</f>
        <v>0</v>
      </c>
      <c r="DF124" s="41" t="n">
        <f aca="false">Tasks[[#This Row],[_LeafBudget]]*Tasks[[#This Row],[_LeafProgress]]</f>
        <v>0</v>
      </c>
      <c r="DG124" s="41" t="n">
        <f aca="false">IF(NOT(Tasks[[#This Row],[_IsLeaf]]=1),0,IF(Tasks[[#This Row],[Actual Cost]]="",Tasks[[#This Row],[_LeafCost]]*Tasks[[#This Row],[_LeafProgress]],N(Tasks[[#This Row],[Actual Cost]])))</f>
        <v>0</v>
      </c>
      <c r="DH124" s="41" t="str">
        <f aca="false">IF(Tasks[[#This Row],[Task Name]]="","",LEFT(Tasks[[#This Row],[WBS]],FIND(".",Tasks[[#This Row],[WBS]]&amp;".")-1))</f>
        <v/>
      </c>
      <c r="DI124" s="41" t="str">
        <f aca="false">IF(AND(Tasks[[#This Row],[Task Name]]&lt;&gt;"",Tasks[[#This Row],[_Level]]=1),Tasks[[#This Row],[_Row]],"")</f>
        <v/>
      </c>
      <c r="DJ124" s="41" t="str">
        <f aca="false">IF(AND(Tasks[[#This Row],[_IsLeaf]]=1,N(Tasks[[#This Row],[Duration]])=0),Tasks[[#This Row],[Planned Finish]]+Tasks[[#This Row],[_Row]]/100000,"")</f>
        <v/>
      </c>
      <c r="DK124" s="41" t="str">
        <f aca="false">IF(AND(Tasks[[#This Row],[_IsLeaf]]=1,Tasks[[#This Row],[_LeafProgress]]&lt;1,OR(N(Tasks[[#This Row],[Finish Var]])&gt;0,Tasks[[#This Row],[Status]]="Late Start")),MAX(0,Tasks[[#This Row],[Finish Var]])+1-Tasks[[#This Row],[_Row]]/1000000,"")</f>
        <v/>
      </c>
      <c r="DL124" s="41" t="str">
        <f aca="false">IF(AND(Tasks[[#This Row],[_IsLeaf]]=1,N(Tasks[[#This Row],[Actual Start]])=0,Tasks[[#This Row],[_LeafFcstStart]]&gt;=StatusDate,Tasks[[#This Row],[_LeafFcstStart]]&lt;=LookaheadEnd),Tasks[[#This Row],[_LeafFcstStart]]+Tasks[[#This Row],[_Row]]/100000,"")</f>
        <v/>
      </c>
      <c r="DM124" s="41" t="str">
        <f aca="false">IF(AND(Tasks[[#This Row],[_IsLeaf]]=1,Tasks[[#This Row],[_LeafProgress]]&lt;1,Tasks[[#This Row],[_LeafFcstFinish]]&gt;=StatusDate,Tasks[[#This Row],[_LeafFcstFinish]]&lt;=LookaheadEnd),Tasks[[#This Row],[_LeafFcstFinish]]+Tasks[[#This Row],[_Row]]/100000,"")</f>
        <v/>
      </c>
      <c r="DN124" s="41" t="str">
        <f aca="false">IF(Tasks[[#This Row],[_LeafCritical]],Tasks[[#This Row],[_LeafFcstStart]]+Tasks[[#This Row],[_Row]]/100000,"")</f>
        <v/>
      </c>
      <c r="DO124" s="41" t="n">
        <f aca="false">Tasks[[#This Row],[_LeafWork]]*Tasks[[#This Row],[_LeafProgress]]</f>
        <v>0</v>
      </c>
      <c r="DP124" s="100" t="str">
        <f aca="false">IF(AND(Tasks[[#This Row],[_IsLeaf]]=1,Tasks[[#This Row],[_LeafProgress]]&gt;=1),IF(N(Tasks[[#This Row],[Actual Finish]])&gt;0,Tasks[[#This Row],[Actual Finish]],Tasks[[#This Row],[_LeafFcstFinish]]),"")</f>
        <v/>
      </c>
      <c r="DQ124" s="41" t="n">
        <f aca="false">IF(Tasks[[#This Row],[_IsLeaf]]=1,N(Tasks[[#This Row],[Story Points]]),0)</f>
        <v>0</v>
      </c>
      <c r="DR124" s="41" t="str">
        <f aca="false">IF(AND(Tasks[[#This Row],[_IsLeaf]]=1,CurrentSprint&lt;&gt;"",Tasks[[#This Row],[Sprint]]=CurrentSprint),Tasks[[#This Row],[_Row]],"")</f>
        <v/>
      </c>
    </row>
    <row r="125" customFormat="false" ht="15" hidden="false" customHeight="false" outlineLevel="0" collapsed="false">
      <c r="A125" s="28" t="str">
        <f aca="false">IF(Tasks[[#This Row],[Task Name]]="","",COUNTA(Tasks[[#Headers],[Task Name]]:Tasks[[#This Row],[Task Name]])-1)</f>
        <v/>
      </c>
      <c r="B125" s="29" t="n">
        <v>120</v>
      </c>
      <c r="C12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5" s="29"/>
      <c r="E125" s="30"/>
      <c r="F125" s="29"/>
      <c r="G125" s="29"/>
      <c r="H125" s="29"/>
      <c r="I125" s="29"/>
      <c r="J125" s="29"/>
      <c r="K125" s="29"/>
      <c r="L125" s="29"/>
      <c r="M125" s="29"/>
      <c r="N125" s="73"/>
      <c r="O125" s="73"/>
      <c r="P125" s="25" t="str">
        <f aca="false">IF(Tasks[[#This Row],[Task Name]]="","",IF(N(Tasks[[#This Row],[Baseline Start]])&gt;0,Tasks[[#This Row],[Baseline Start]],Tasks[[#This Row],[_CalcStart]]))</f>
        <v/>
      </c>
      <c r="Q125" s="25" t="str">
        <f aca="false">IF(Tasks[[#This Row],[Task Name]]="","",IF(N(Tasks[[#This Row],[Baseline Finish]])&gt;0,Tasks[[#This Row],[Baseline Finish]],Tasks[[#This Row],[_CalcFinish]]))</f>
        <v/>
      </c>
      <c r="R125" s="73"/>
      <c r="S125" s="73"/>
      <c r="T125" s="25" t="str">
        <f aca="false">IF(Tasks[[#This Row],[Task Name]]="","",IF(Tasks[[#This Row],[_IsSummary]],MIN(INDEX(Tasks[_LeafFcstStart],Tasks[[#This Row],[_Row]]+1):INDEX(Tasks[_LeafFcstStart],Tasks[[#This Row],[_Row]]+Tasks[[#This Row],[_Descendants]])),Tasks[[#This Row],[_LeafFcstStart]]))</f>
        <v/>
      </c>
      <c r="U125" s="25" t="str">
        <f aca="false">IF(Tasks[[#This Row],[Task Name]]="","",IF(Tasks[[#This Row],[_IsSummary]],MAX(INDEX(Tasks[_LeafFcstFinish],Tasks[[#This Row],[_Row]]+1):INDEX(Tasks[_LeafFcstFinish],Tasks[[#This Row],[_Row]]+Tasks[[#This Row],[_Descendants]])),Tasks[[#This Row],[_LeafFcstFinish]]))</f>
        <v/>
      </c>
      <c r="V12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2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5" s="25" t="str">
        <f aca="false">IF(Tasks[[#This Row],[Task Name]]="","",IF(Tasks[[#This Row],[_IsSummary]],MIN(INDEX(Tasks[_LeafLateStart],Tasks[[#This Row],[_Row]]+1):INDEX(Tasks[_LeafLateStart],Tasks[[#This Row],[_Row]]+Tasks[[#This Row],[_Descendants]])),Tasks[[#This Row],[_LeafLateStart]]))</f>
        <v/>
      </c>
      <c r="Y125" s="25" t="str">
        <f aca="false">IF(Tasks[[#This Row],[Task Name]]="","",IF(Tasks[[#This Row],[_IsSummary]],MAX(INDEX(Tasks[_LeafLateFinish],Tasks[[#This Row],[_Row]]+1):INDEX(Tasks[_LeafLateFinish],Tasks[[#This Row],[_Row]]+Tasks[[#This Row],[_Descendants]])),Tasks[[#This Row],[_LeafLateFinish]]))</f>
        <v/>
      </c>
      <c r="Z125" s="43" t="str">
        <f aca="false">IF(Tasks[[#This Row],[Task Name]]="","",IF(Tasks[[#This Row],[_IsSummary]],MIN(INDEX(Tasks[_LeafTotalSlack],Tasks[[#This Row],[_Row]]+1):INDEX(Tasks[_LeafTotalSlack],Tasks[[#This Row],[_Row]]+Tasks[[#This Row],[_Descendants]])),Tasks[[#This Row],[_LeafTotalSlack]]))</f>
        <v/>
      </c>
      <c r="AA12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5" s="28" t="str">
        <f aca="false">IF(Tasks[[#This Row],[Task Name]]="","",IF(IF(Tasks[[#This Row],[_IsSummary]],COUNTIF(INDEX(Tasks[_LeafCritical],Tasks[[#This Row],[_Row]]+1):INDEX(Tasks[_LeafCritical],Tasks[[#This Row],[_Row]]+Tasks[[#This Row],[_Descendants]]),TRUE())&gt;0,Tasks[[#This Row],[_LeafCritical]]),"Yes",""))</f>
        <v/>
      </c>
      <c r="AC12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5" s="24" t="str">
        <f aca="false">IF(Tasks[[#This Row],[Task Name]]="","",TRIM(IF(Tasks[[#This Row],[_Pred1Problem]]&lt;&gt;"","Pred 1: "&amp;Tasks[[#This Row],[_Pred1Problem]]&amp;". ","")&amp;IF(Tasks[[#This Row],[_Pred2Problem]]&lt;&gt;"","Pred 2: "&amp;Tasks[[#This Row],[_Pred2Problem]]&amp;".","")))</f>
        <v/>
      </c>
      <c r="AE125" s="88"/>
      <c r="AF125"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5" s="28" t="str">
        <f aca="false">IF(Tasks[[#This Row],[Task Name]]="","",IF(Tasks[[#This Row],[Progress]]&gt;=1,"Complete",IF(OR(N(Tasks[[#This Row],[Actual Start]])&gt;0,Tasks[[#This Row],[Progress]]&gt;0),IF(Tasks[[#This Row],[Finish Var]]&gt;0,"Behind","In Progress"),IF(Tasks[[#This Row],[Planned Start]]&lt;StatusDate,"Late Start","Not Started"))))</f>
        <v/>
      </c>
      <c r="AH125" s="30"/>
      <c r="AI125" s="88"/>
      <c r="AJ125" s="95" t="str">
        <f aca="false">IF(Tasks[[#This Row],[Task Name]]="","",IF(Tasks[[#This Row],[_IsSummary]],SUM(INDEX(Tasks[_LeafWork],Tasks[[#This Row],[_Row]]+1):INDEX(Tasks[_LeafWork],Tasks[[#This Row],[_Row]]+Tasks[[#This Row],[_Descendants]])),Tasks[[#This Row],[_LeafWork]]))</f>
        <v/>
      </c>
      <c r="AK125" s="96" t="str">
        <f aca="false">IF(Tasks[[#This Row],[Task Name]]="","",IF(Tasks[[#This Row],[_IsSummary]],SUM(INDEX(Tasks[_LeafCost],Tasks[[#This Row],[_Row]]+1):INDEX(Tasks[_LeafCost],Tasks[[#This Row],[_Row]]+Tasks[[#This Row],[_Descendants]])),Tasks[[#This Row],[_LeafCost]]))</f>
        <v/>
      </c>
      <c r="AL125" s="97"/>
      <c r="AM125" s="29"/>
      <c r="AN12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25" s="82"/>
      <c r="AP125" s="24" t="str">
        <f aca="false">IF(Tasks[[#This Row],[Task Name]]="","",Tasks[[#This Row],[_Pred1IDText]]&amp;IF(AND(Tasks[[#This Row],[_Pred1IDText]]&lt;&gt;"",Tasks[[#This Row],[_Pred2IDText]]&lt;&gt;""),",","")&amp;Tasks[[#This Row],[_Pred2IDText]])</f>
        <v/>
      </c>
      <c r="AQ125" s="30"/>
      <c r="AR125" s="25" t="str">
        <f aca="false">IF(Tasks[[#This Row],[Task Name]]="","",Tasks[[#This Row],[Forecast Start]])</f>
        <v/>
      </c>
      <c r="AS125" s="25" t="str">
        <f aca="false">IF(Tasks[[#This Row],[Task Name]]="","",Tasks[[#This Row],[Forecast Finish]])</f>
        <v/>
      </c>
      <c r="AT125" s="28" t="str">
        <f aca="false">IF(Tasks[[#This Row],[Task Name]]="","",IF(Tasks[[#This Row],[_IsSummary]],NETWORKDAYS.INTL(Tasks[[#This Row],[Forecast Start]],Tasks[[#This Row],[Forecast Finish]],WorkWeek,Holidays),N(Tasks[[#This Row],[Duration]])))</f>
        <v/>
      </c>
      <c r="AU125" s="95" t="str">
        <f aca="false">IF(Tasks[[#This Row],[Task Name]]="","",Tasks[[#This Row],[Work]])</f>
        <v/>
      </c>
      <c r="AV125" s="96" t="str">
        <f aca="false">IF(Tasks[[#This Row],[Task Name]]="","",Tasks[[#This Row],[Cost]])</f>
        <v/>
      </c>
      <c r="AW125" s="73"/>
      <c r="AX125" s="73"/>
      <c r="AY125" s="29"/>
      <c r="AZ125" s="98"/>
      <c r="BA125" s="97"/>
      <c r="BB125" s="28" t="str">
        <f aca="false">IF(OR(Tasks[[#This Row],[Task Name]]="",Tasks[[#This Row],[Baseline Duration]]=""),"",Tasks[[#This Row],[BL Source Duration]]-N(Tasks[[#This Row],[Baseline Duration]]))</f>
        <v/>
      </c>
      <c r="BC125" s="95" t="str">
        <f aca="false">IF(OR(Tasks[[#This Row],[Task Name]]="",Tasks[[#This Row],[Baseline Work]]=""),"",Tasks[[#This Row],[Work]]-N(Tasks[[#This Row],[Baseline Work]]))</f>
        <v/>
      </c>
      <c r="BD125" s="96" t="str">
        <f aca="false">IF(OR(Tasks[[#This Row],[Task Name]]="",Tasks[[#This Row],[Baseline Cost]]=""),"",Tasks[[#This Row],[Cost]]-N(Tasks[[#This Row],[Baseline Cost]]))</f>
        <v/>
      </c>
      <c r="BE125" s="96" t="str">
        <f aca="false">IF(Tasks[[#This Row],[Task Name]]="","",IF(Tasks[[#This Row],[_IsSummary]],SUM(INDEX(Tasks[_LeafBudget],Tasks[[#This Row],[_Row]]+1):INDEX(Tasks[_LeafBudget],Tasks[[#This Row],[_Row]]+Tasks[[#This Row],[_Descendants]])),Tasks[[#This Row],[_LeafBudget]]))</f>
        <v/>
      </c>
      <c r="BF125" s="96" t="str">
        <f aca="false">IF(Tasks[[#This Row],[Task Name]]="","",IF(Tasks[[#This Row],[_IsSummary]],SUM(INDEX(Tasks[_LeafPV],Tasks[[#This Row],[_Row]]+1):INDEX(Tasks[_LeafPV],Tasks[[#This Row],[_Row]]+Tasks[[#This Row],[_Descendants]])),Tasks[[#This Row],[_LeafPV]]))</f>
        <v/>
      </c>
      <c r="BG125" s="96" t="str">
        <f aca="false">IF(Tasks[[#This Row],[Task Name]]="","",IF(Tasks[[#This Row],[_IsSummary]],SUM(INDEX(Tasks[_LeafEV],Tasks[[#This Row],[_Row]]+1):INDEX(Tasks[_LeafEV],Tasks[[#This Row],[_Row]]+Tasks[[#This Row],[_Descendants]])),Tasks[[#This Row],[_LeafEV]]))</f>
        <v/>
      </c>
      <c r="BH125" s="96" t="str">
        <f aca="false">IF(Tasks[[#This Row],[Task Name]]="","",IF(Tasks[[#This Row],[_IsSummary]],SUM(INDEX(Tasks[_LeafAC],Tasks[[#This Row],[_Row]]+1):INDEX(Tasks[_LeafAC],Tasks[[#This Row],[_Row]]+Tasks[[#This Row],[_Descendants]])),Tasks[[#This Row],[_LeafAC]]))</f>
        <v/>
      </c>
      <c r="BI125" s="41" t="str">
        <f aca="false">IF(Tasks[[#This Row],[Task Name]]="","",MAX(1,N(Tasks[[#This Row],[Level]])))</f>
        <v/>
      </c>
      <c r="BJ125" s="41" t="n">
        <f aca="false">ROW()-ROW(Tasks[[#Headers],[ID]])</f>
        <v>120</v>
      </c>
      <c r="BK125" s="41" t="n">
        <f aca="false">IF(OR(Tasks[[#This Row],[Task Name]]="",Tasks[[#This Row],[_Level]]&lt;=1),0,IFERROR(LOOKUP(2,1/(Tasks[[#Headers],[_Level]]:Tasks[[#This Row],[_Level]]=Tasks[[#This Row],[_Level]]-1),ROW(Tasks[[#Headers],[_Level]]:Tasks[[#This Row],[_Level]])),0))</f>
        <v>0</v>
      </c>
      <c r="BL125" s="41" t="n">
        <f aca="false">IFERROR(N(INDEX(Tasks[_Level],Tasks[[#This Row],[_Row]]+1)),0)</f>
        <v>0</v>
      </c>
      <c r="BM125" s="99" t="b">
        <f aca="false">AND(Tasks[[#This Row],[Task Name]]&lt;&gt;"",Tasks[[#This Row],[_NextLevel]]&gt;Tasks[[#This Row],[_Level]])</f>
        <v>0</v>
      </c>
      <c r="BN125" s="41" t="n">
        <f aca="false">IF(Tasks[[#This Row],[_IsSummary]],COUNTIF(Tasks[WBS],Tasks[[#This Row],[WBS]]&amp;".*"),0)</f>
        <v>0</v>
      </c>
      <c r="BO125" s="41" t="n">
        <f aca="false">IF(AND(Tasks[[#This Row],[Task Name]]&lt;&gt;"",NOT(Tasks[[#This Row],[_IsSummary]])),1,0)</f>
        <v>0</v>
      </c>
      <c r="BP125" s="41" t="n">
        <f aca="false">IF(N(Tasks[[#This Row],[Pred1 UID]])=0,0,IFERROR(MATCH(Tasks[[#This Row],[Pred1 UID]],Tasks[UID],0),-1))</f>
        <v>0</v>
      </c>
      <c r="BQ125" s="41" t="n">
        <f aca="false">IF(N(Tasks[[#This Row],[Pred2 UID]])=0,0,IFERROR(MATCH(Tasks[[#This Row],[Pred2 UID]],Tasks[UID],0),-1))</f>
        <v>0</v>
      </c>
      <c r="BR125"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25" s="100" t="str">
        <f aca="false">IF(NOT(Tasks[[#This Row],[_IsLeaf]]=1),"",IF(N(Tasks[[#This Row],[Duration]])&lt;=0,Tasks[[#This Row],[_LeafCalcStart]],WORKDAY.INTL(Tasks[[#This Row],[_LeafCalcStart]],Tasks[[#This Row],[Duration]]-1,WorkWeek,Holidays)))</f>
        <v/>
      </c>
      <c r="BT125"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25"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25" s="41" t="n">
        <f aca="false">IF(NOT(Tasks[[#This Row],[_IsLeaf]]=1),0,IF(N(Tasks[[#This Row],[Actual Finish]])&gt;0,1,MIN(1,N(Tasks[[#This Row],[% Complete]]))))</f>
        <v>0</v>
      </c>
      <c r="BW125" s="41" t="n">
        <f aca="false">IF(OR(NOT(Tasks[[#This Row],[_IsLeaf]]=1),Tasks[[#This Row],[Resource]]=""),0,N(Tasks[[#This Row],[Duration]])*HoursPerDay*IF(Tasks[[#This Row],[Units]]="",DefaultUnits,Tasks[[#This Row],[Units]]))</f>
        <v>0</v>
      </c>
      <c r="BX125" s="41" t="n">
        <f aca="false">IF(Tasks[[#This Row],[_LeafWork]]=0,0,Tasks[[#This Row],[_LeafWork]]*IFERROR(INDEX(res_Rate,MATCH(Tasks[[#This Row],[Resource]],res_Name,0)),0))</f>
        <v>0</v>
      </c>
      <c r="BY12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2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2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2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25" s="41" t="n">
        <f aca="false">IF(NOT(Tasks[[#This Row],[_IsLeaf]]=1),0,MAX(_xlfn.MAXIFS(Tasks[_Row],Tasks[Pred1 UID],Tasks[[#This Row],[UID]]),_xlfn.MAXIFS(Tasks[_Row],Tasks[Pred2 UID],Tasks[[#This Row],[UID]])))</f>
        <v>0</v>
      </c>
      <c r="CD125"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25" s="100" t="str">
        <f aca="false">IF(NOT(Tasks[[#This Row],[_IsLeaf]]=1),"",MIN(ProjectFinish,IF(N(Tasks[[#This Row],[Deadline]])&gt;0,Tasks[[#This Row],[Deadline]],2958465),Tasks[[#This Row],[_SuccessorFinishLimit]]))</f>
        <v/>
      </c>
      <c r="CF125" s="100" t="str">
        <f aca="false">IF(NOT(Tasks[[#This Row],[_IsLeaf]]=1),"",IF(N(Tasks[[#This Row],[Duration]])&lt;=0,Tasks[[#This Row],[_LeafLateFinish]],WORKDAY.INTL(Tasks[[#This Row],[_LeafLateFinish]],-(Tasks[[#This Row],[Duration]]-1),WorkWeek,Holidays)))</f>
        <v/>
      </c>
      <c r="CG12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25" s="99" t="b">
        <f aca="false">AND(Tasks[[#This Row],[_IsLeaf]]=1,Tasks[[#This Row],[_LeafProgress]]&lt;1,N(Tasks[[#This Row],[_LeafTotalSlack]])&lt;=CriticalSlackDays)</f>
        <v>0</v>
      </c>
      <c r="CI125" s="100" t="str">
        <f aca="false">IF(Tasks[[#This Row],[Task Name]]="","",IF(Tasks[[#This Row],[_IsSummary]],MIN(INDEX(Tasks[_LeafCalcStart],Tasks[[#This Row],[_Row]]+1):INDEX(Tasks[_LeafCalcStart],Tasks[[#This Row],[_Row]]+Tasks[[#This Row],[_Descendants]])),Tasks[[#This Row],[_LeafCalcStart]]))</f>
        <v/>
      </c>
      <c r="CJ125" s="100" t="str">
        <f aca="false">IF(Tasks[[#This Row],[Task Name]]="","",IF(Tasks[[#This Row],[_IsSummary]],MAX(INDEX(Tasks[_LeafCalcFinish],Tasks[[#This Row],[_Row]]+1):INDEX(Tasks[_LeafCalcFinish],Tasks[[#This Row],[_Row]]+Tasks[[#This Row],[_Descendants]])),Tasks[[#This Row],[_LeafCalcFinish]]))</f>
        <v/>
      </c>
      <c r="CK12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2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25"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25"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25"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25"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25" s="41" t="n">
        <f aca="false">IF(AND(Tasks[[#This Row],[_IsLeaf]]=1,Tasks[[#This Row],[_LeafWork]]&gt;0),NETWORKDAYS.INTL(ProjectStart,Tasks[[#This Row],[_LeafFcstStart]],WorkWeek,Holidays),0)</f>
        <v>0</v>
      </c>
      <c r="CR125" s="41" t="n">
        <f aca="false">IF(AND(Tasks[[#This Row],[_IsLeaf]]=1,Tasks[[#This Row],[_LeafWork]]&gt;0),MAX(Tasks[[#This Row],[_StartWorkday]],NETWORKDAYS.INTL(ProjectStart,Tasks[[#This Row],[_LeafFcstFinish]],WorkWeek,Holidays)),0)</f>
        <v>0</v>
      </c>
      <c r="CS125" s="41" t="n">
        <f aca="false">IF(AND(Tasks[[#This Row],[_IsLeaf]]=1,Tasks[[#This Row],[_LeafWork]]&gt;0),Tasks[[#This Row],[_LeafWork]]/(Tasks[[#This Row],[_FinishWorkday]]-Tasks[[#This Row],[_StartWorkday]]+1),0)</f>
        <v>0</v>
      </c>
      <c r="CT125" s="41" t="n">
        <f aca="false">Tasks[[#This Row],[_WorkPerWorkday]]*(Tasks[[#This Row],[_StartWorkday]]-1)</f>
        <v>-0</v>
      </c>
      <c r="CU125" s="41" t="n">
        <f aca="false">IF(Tasks[[#This Row],[_IsLeaf]]=1,MAX(N(Tasks[[#This Row],[Duration]]),0.1),0)</f>
        <v>0</v>
      </c>
      <c r="CV125" s="41" t="n">
        <f aca="false">Tasks[[#This Row],[_WeightDur]]*Tasks[[#This Row],[_LeafProgress]]</f>
        <v>0</v>
      </c>
      <c r="CW12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2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2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2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25" s="41" t="str">
        <f aca="false">IF(Tasks[[#This Row],[Task Name]]="","",Tasks[[#This Row],[_Pred1UIDText]]&amp;IF(AND(Tasks[[#This Row],[_Pred1UIDText]]&lt;&gt;"",Tasks[[#This Row],[_Pred2UIDText]]&lt;&gt;""),",","")&amp;Tasks[[#This Row],[_Pred2UIDText]])</f>
        <v/>
      </c>
      <c r="DB125" s="41" t="str">
        <f aca="false">IF(AND(Tasks[[#This Row],[_IsLeaf]]=1,N(Tasks[[#This Row],[Duration]])=0,Tasks[[#This Row],[_LeafProgress]]&lt;1),Tasks[[#This Row],[_LeafFcstFinish]]+Tasks[[#This Row],[_Row]]/100000,"")</f>
        <v/>
      </c>
      <c r="DC12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25" s="41" t="n">
        <f aca="false">IF(NOT(Tasks[[#This Row],[_IsLeaf]]=1),0,IF(Tasks[[#This Row],[Baseline Cost]]="",Tasks[[#This Row],[_LeafCost]],N(Tasks[[#This Row],[Baseline Cost]])))</f>
        <v>0</v>
      </c>
      <c r="DE125" s="41" t="n">
        <f aca="false">Tasks[[#This Row],[_LeafBudget]]*Tasks[[#This Row],[_PlannedPct]]</f>
        <v>0</v>
      </c>
      <c r="DF125" s="41" t="n">
        <f aca="false">Tasks[[#This Row],[_LeafBudget]]*Tasks[[#This Row],[_LeafProgress]]</f>
        <v>0</v>
      </c>
      <c r="DG125" s="41" t="n">
        <f aca="false">IF(NOT(Tasks[[#This Row],[_IsLeaf]]=1),0,IF(Tasks[[#This Row],[Actual Cost]]="",Tasks[[#This Row],[_LeafCost]]*Tasks[[#This Row],[_LeafProgress]],N(Tasks[[#This Row],[Actual Cost]])))</f>
        <v>0</v>
      </c>
      <c r="DH125" s="41" t="str">
        <f aca="false">IF(Tasks[[#This Row],[Task Name]]="","",LEFT(Tasks[[#This Row],[WBS]],FIND(".",Tasks[[#This Row],[WBS]]&amp;".")-1))</f>
        <v/>
      </c>
      <c r="DI125" s="41" t="str">
        <f aca="false">IF(AND(Tasks[[#This Row],[Task Name]]&lt;&gt;"",Tasks[[#This Row],[_Level]]=1),Tasks[[#This Row],[_Row]],"")</f>
        <v/>
      </c>
      <c r="DJ125" s="41" t="str">
        <f aca="false">IF(AND(Tasks[[#This Row],[_IsLeaf]]=1,N(Tasks[[#This Row],[Duration]])=0),Tasks[[#This Row],[Planned Finish]]+Tasks[[#This Row],[_Row]]/100000,"")</f>
        <v/>
      </c>
      <c r="DK125" s="41" t="str">
        <f aca="false">IF(AND(Tasks[[#This Row],[_IsLeaf]]=1,Tasks[[#This Row],[_LeafProgress]]&lt;1,OR(N(Tasks[[#This Row],[Finish Var]])&gt;0,Tasks[[#This Row],[Status]]="Late Start")),MAX(0,Tasks[[#This Row],[Finish Var]])+1-Tasks[[#This Row],[_Row]]/1000000,"")</f>
        <v/>
      </c>
      <c r="DL125" s="41" t="str">
        <f aca="false">IF(AND(Tasks[[#This Row],[_IsLeaf]]=1,N(Tasks[[#This Row],[Actual Start]])=0,Tasks[[#This Row],[_LeafFcstStart]]&gt;=StatusDate,Tasks[[#This Row],[_LeafFcstStart]]&lt;=LookaheadEnd),Tasks[[#This Row],[_LeafFcstStart]]+Tasks[[#This Row],[_Row]]/100000,"")</f>
        <v/>
      </c>
      <c r="DM125" s="41" t="str">
        <f aca="false">IF(AND(Tasks[[#This Row],[_IsLeaf]]=1,Tasks[[#This Row],[_LeafProgress]]&lt;1,Tasks[[#This Row],[_LeafFcstFinish]]&gt;=StatusDate,Tasks[[#This Row],[_LeafFcstFinish]]&lt;=LookaheadEnd),Tasks[[#This Row],[_LeafFcstFinish]]+Tasks[[#This Row],[_Row]]/100000,"")</f>
        <v/>
      </c>
      <c r="DN125" s="41" t="str">
        <f aca="false">IF(Tasks[[#This Row],[_LeafCritical]],Tasks[[#This Row],[_LeafFcstStart]]+Tasks[[#This Row],[_Row]]/100000,"")</f>
        <v/>
      </c>
      <c r="DO125" s="41" t="n">
        <f aca="false">Tasks[[#This Row],[_LeafWork]]*Tasks[[#This Row],[_LeafProgress]]</f>
        <v>0</v>
      </c>
      <c r="DP125" s="100" t="str">
        <f aca="false">IF(AND(Tasks[[#This Row],[_IsLeaf]]=1,Tasks[[#This Row],[_LeafProgress]]&gt;=1),IF(N(Tasks[[#This Row],[Actual Finish]])&gt;0,Tasks[[#This Row],[Actual Finish]],Tasks[[#This Row],[_LeafFcstFinish]]),"")</f>
        <v/>
      </c>
      <c r="DQ125" s="41" t="n">
        <f aca="false">IF(Tasks[[#This Row],[_IsLeaf]]=1,N(Tasks[[#This Row],[Story Points]]),0)</f>
        <v>0</v>
      </c>
      <c r="DR125" s="41" t="str">
        <f aca="false">IF(AND(Tasks[[#This Row],[_IsLeaf]]=1,CurrentSprint&lt;&gt;"",Tasks[[#This Row],[Sprint]]=CurrentSprint),Tasks[[#This Row],[_Row]],"")</f>
        <v/>
      </c>
    </row>
    <row r="126" customFormat="false" ht="15" hidden="false" customHeight="false" outlineLevel="0" collapsed="false">
      <c r="A126" s="28" t="str">
        <f aca="false">IF(Tasks[[#This Row],[Task Name]]="","",COUNTA(Tasks[[#Headers],[Task Name]]:Tasks[[#This Row],[Task Name]])-1)</f>
        <v/>
      </c>
      <c r="B126" s="29" t="n">
        <v>121</v>
      </c>
      <c r="C12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6" s="29"/>
      <c r="E126" s="30"/>
      <c r="F126" s="29"/>
      <c r="G126" s="29"/>
      <c r="H126" s="29"/>
      <c r="I126" s="29"/>
      <c r="J126" s="29"/>
      <c r="K126" s="29"/>
      <c r="L126" s="29"/>
      <c r="M126" s="29"/>
      <c r="N126" s="73"/>
      <c r="O126" s="73"/>
      <c r="P126" s="25" t="str">
        <f aca="false">IF(Tasks[[#This Row],[Task Name]]="","",IF(N(Tasks[[#This Row],[Baseline Start]])&gt;0,Tasks[[#This Row],[Baseline Start]],Tasks[[#This Row],[_CalcStart]]))</f>
        <v/>
      </c>
      <c r="Q126" s="25" t="str">
        <f aca="false">IF(Tasks[[#This Row],[Task Name]]="","",IF(N(Tasks[[#This Row],[Baseline Finish]])&gt;0,Tasks[[#This Row],[Baseline Finish]],Tasks[[#This Row],[_CalcFinish]]))</f>
        <v/>
      </c>
      <c r="R126" s="73"/>
      <c r="S126" s="73"/>
      <c r="T126" s="25" t="str">
        <f aca="false">IF(Tasks[[#This Row],[Task Name]]="","",IF(Tasks[[#This Row],[_IsSummary]],MIN(INDEX(Tasks[_LeafFcstStart],Tasks[[#This Row],[_Row]]+1):INDEX(Tasks[_LeafFcstStart],Tasks[[#This Row],[_Row]]+Tasks[[#This Row],[_Descendants]])),Tasks[[#This Row],[_LeafFcstStart]]))</f>
        <v/>
      </c>
      <c r="U126" s="25" t="str">
        <f aca="false">IF(Tasks[[#This Row],[Task Name]]="","",IF(Tasks[[#This Row],[_IsSummary]],MAX(INDEX(Tasks[_LeafFcstFinish],Tasks[[#This Row],[_Row]]+1):INDEX(Tasks[_LeafFcstFinish],Tasks[[#This Row],[_Row]]+Tasks[[#This Row],[_Descendants]])),Tasks[[#This Row],[_LeafFcstFinish]]))</f>
        <v/>
      </c>
      <c r="V12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2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6" s="25" t="str">
        <f aca="false">IF(Tasks[[#This Row],[Task Name]]="","",IF(Tasks[[#This Row],[_IsSummary]],MIN(INDEX(Tasks[_LeafLateStart],Tasks[[#This Row],[_Row]]+1):INDEX(Tasks[_LeafLateStart],Tasks[[#This Row],[_Row]]+Tasks[[#This Row],[_Descendants]])),Tasks[[#This Row],[_LeafLateStart]]))</f>
        <v/>
      </c>
      <c r="Y126" s="25" t="str">
        <f aca="false">IF(Tasks[[#This Row],[Task Name]]="","",IF(Tasks[[#This Row],[_IsSummary]],MAX(INDEX(Tasks[_LeafLateFinish],Tasks[[#This Row],[_Row]]+1):INDEX(Tasks[_LeafLateFinish],Tasks[[#This Row],[_Row]]+Tasks[[#This Row],[_Descendants]])),Tasks[[#This Row],[_LeafLateFinish]]))</f>
        <v/>
      </c>
      <c r="Z126" s="43" t="str">
        <f aca="false">IF(Tasks[[#This Row],[Task Name]]="","",IF(Tasks[[#This Row],[_IsSummary]],MIN(INDEX(Tasks[_LeafTotalSlack],Tasks[[#This Row],[_Row]]+1):INDEX(Tasks[_LeafTotalSlack],Tasks[[#This Row],[_Row]]+Tasks[[#This Row],[_Descendants]])),Tasks[[#This Row],[_LeafTotalSlack]]))</f>
        <v/>
      </c>
      <c r="AA12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6" s="28" t="str">
        <f aca="false">IF(Tasks[[#This Row],[Task Name]]="","",IF(IF(Tasks[[#This Row],[_IsSummary]],COUNTIF(INDEX(Tasks[_LeafCritical],Tasks[[#This Row],[_Row]]+1):INDEX(Tasks[_LeafCritical],Tasks[[#This Row],[_Row]]+Tasks[[#This Row],[_Descendants]]),TRUE())&gt;0,Tasks[[#This Row],[_LeafCritical]]),"Yes",""))</f>
        <v/>
      </c>
      <c r="AC12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6" s="24" t="str">
        <f aca="false">IF(Tasks[[#This Row],[Task Name]]="","",TRIM(IF(Tasks[[#This Row],[_Pred1Problem]]&lt;&gt;"","Pred 1: "&amp;Tasks[[#This Row],[_Pred1Problem]]&amp;". ","")&amp;IF(Tasks[[#This Row],[_Pred2Problem]]&lt;&gt;"","Pred 2: "&amp;Tasks[[#This Row],[_Pred2Problem]]&amp;".","")))</f>
        <v/>
      </c>
      <c r="AE126" s="88"/>
      <c r="AF126"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6" s="28" t="str">
        <f aca="false">IF(Tasks[[#This Row],[Task Name]]="","",IF(Tasks[[#This Row],[Progress]]&gt;=1,"Complete",IF(OR(N(Tasks[[#This Row],[Actual Start]])&gt;0,Tasks[[#This Row],[Progress]]&gt;0),IF(Tasks[[#This Row],[Finish Var]]&gt;0,"Behind","In Progress"),IF(Tasks[[#This Row],[Planned Start]]&lt;StatusDate,"Late Start","Not Started"))))</f>
        <v/>
      </c>
      <c r="AH126" s="30"/>
      <c r="AI126" s="88"/>
      <c r="AJ126" s="95" t="str">
        <f aca="false">IF(Tasks[[#This Row],[Task Name]]="","",IF(Tasks[[#This Row],[_IsSummary]],SUM(INDEX(Tasks[_LeafWork],Tasks[[#This Row],[_Row]]+1):INDEX(Tasks[_LeafWork],Tasks[[#This Row],[_Row]]+Tasks[[#This Row],[_Descendants]])),Tasks[[#This Row],[_LeafWork]]))</f>
        <v/>
      </c>
      <c r="AK126" s="96" t="str">
        <f aca="false">IF(Tasks[[#This Row],[Task Name]]="","",IF(Tasks[[#This Row],[_IsSummary]],SUM(INDEX(Tasks[_LeafCost],Tasks[[#This Row],[_Row]]+1):INDEX(Tasks[_LeafCost],Tasks[[#This Row],[_Row]]+Tasks[[#This Row],[_Descendants]])),Tasks[[#This Row],[_LeafCost]]))</f>
        <v/>
      </c>
      <c r="AL126" s="97"/>
      <c r="AM126" s="29"/>
      <c r="AN12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26" s="82"/>
      <c r="AP126" s="24" t="str">
        <f aca="false">IF(Tasks[[#This Row],[Task Name]]="","",Tasks[[#This Row],[_Pred1IDText]]&amp;IF(AND(Tasks[[#This Row],[_Pred1IDText]]&lt;&gt;"",Tasks[[#This Row],[_Pred2IDText]]&lt;&gt;""),",","")&amp;Tasks[[#This Row],[_Pred2IDText]])</f>
        <v/>
      </c>
      <c r="AQ126" s="30"/>
      <c r="AR126" s="25" t="str">
        <f aca="false">IF(Tasks[[#This Row],[Task Name]]="","",Tasks[[#This Row],[Forecast Start]])</f>
        <v/>
      </c>
      <c r="AS126" s="25" t="str">
        <f aca="false">IF(Tasks[[#This Row],[Task Name]]="","",Tasks[[#This Row],[Forecast Finish]])</f>
        <v/>
      </c>
      <c r="AT126" s="28" t="str">
        <f aca="false">IF(Tasks[[#This Row],[Task Name]]="","",IF(Tasks[[#This Row],[_IsSummary]],NETWORKDAYS.INTL(Tasks[[#This Row],[Forecast Start]],Tasks[[#This Row],[Forecast Finish]],WorkWeek,Holidays),N(Tasks[[#This Row],[Duration]])))</f>
        <v/>
      </c>
      <c r="AU126" s="95" t="str">
        <f aca="false">IF(Tasks[[#This Row],[Task Name]]="","",Tasks[[#This Row],[Work]])</f>
        <v/>
      </c>
      <c r="AV126" s="96" t="str">
        <f aca="false">IF(Tasks[[#This Row],[Task Name]]="","",Tasks[[#This Row],[Cost]])</f>
        <v/>
      </c>
      <c r="AW126" s="73"/>
      <c r="AX126" s="73"/>
      <c r="AY126" s="29"/>
      <c r="AZ126" s="98"/>
      <c r="BA126" s="97"/>
      <c r="BB126" s="28" t="str">
        <f aca="false">IF(OR(Tasks[[#This Row],[Task Name]]="",Tasks[[#This Row],[Baseline Duration]]=""),"",Tasks[[#This Row],[BL Source Duration]]-N(Tasks[[#This Row],[Baseline Duration]]))</f>
        <v/>
      </c>
      <c r="BC126" s="95" t="str">
        <f aca="false">IF(OR(Tasks[[#This Row],[Task Name]]="",Tasks[[#This Row],[Baseline Work]]=""),"",Tasks[[#This Row],[Work]]-N(Tasks[[#This Row],[Baseline Work]]))</f>
        <v/>
      </c>
      <c r="BD126" s="96" t="str">
        <f aca="false">IF(OR(Tasks[[#This Row],[Task Name]]="",Tasks[[#This Row],[Baseline Cost]]=""),"",Tasks[[#This Row],[Cost]]-N(Tasks[[#This Row],[Baseline Cost]]))</f>
        <v/>
      </c>
      <c r="BE126" s="96" t="str">
        <f aca="false">IF(Tasks[[#This Row],[Task Name]]="","",IF(Tasks[[#This Row],[_IsSummary]],SUM(INDEX(Tasks[_LeafBudget],Tasks[[#This Row],[_Row]]+1):INDEX(Tasks[_LeafBudget],Tasks[[#This Row],[_Row]]+Tasks[[#This Row],[_Descendants]])),Tasks[[#This Row],[_LeafBudget]]))</f>
        <v/>
      </c>
      <c r="BF126" s="96" t="str">
        <f aca="false">IF(Tasks[[#This Row],[Task Name]]="","",IF(Tasks[[#This Row],[_IsSummary]],SUM(INDEX(Tasks[_LeafPV],Tasks[[#This Row],[_Row]]+1):INDEX(Tasks[_LeafPV],Tasks[[#This Row],[_Row]]+Tasks[[#This Row],[_Descendants]])),Tasks[[#This Row],[_LeafPV]]))</f>
        <v/>
      </c>
      <c r="BG126" s="96" t="str">
        <f aca="false">IF(Tasks[[#This Row],[Task Name]]="","",IF(Tasks[[#This Row],[_IsSummary]],SUM(INDEX(Tasks[_LeafEV],Tasks[[#This Row],[_Row]]+1):INDEX(Tasks[_LeafEV],Tasks[[#This Row],[_Row]]+Tasks[[#This Row],[_Descendants]])),Tasks[[#This Row],[_LeafEV]]))</f>
        <v/>
      </c>
      <c r="BH126" s="96" t="str">
        <f aca="false">IF(Tasks[[#This Row],[Task Name]]="","",IF(Tasks[[#This Row],[_IsSummary]],SUM(INDEX(Tasks[_LeafAC],Tasks[[#This Row],[_Row]]+1):INDEX(Tasks[_LeafAC],Tasks[[#This Row],[_Row]]+Tasks[[#This Row],[_Descendants]])),Tasks[[#This Row],[_LeafAC]]))</f>
        <v/>
      </c>
      <c r="BI126" s="41" t="str">
        <f aca="false">IF(Tasks[[#This Row],[Task Name]]="","",MAX(1,N(Tasks[[#This Row],[Level]])))</f>
        <v/>
      </c>
      <c r="BJ126" s="41" t="n">
        <f aca="false">ROW()-ROW(Tasks[[#Headers],[ID]])</f>
        <v>121</v>
      </c>
      <c r="BK126" s="41" t="n">
        <f aca="false">IF(OR(Tasks[[#This Row],[Task Name]]="",Tasks[[#This Row],[_Level]]&lt;=1),0,IFERROR(LOOKUP(2,1/(Tasks[[#Headers],[_Level]]:Tasks[[#This Row],[_Level]]=Tasks[[#This Row],[_Level]]-1),ROW(Tasks[[#Headers],[_Level]]:Tasks[[#This Row],[_Level]])),0))</f>
        <v>0</v>
      </c>
      <c r="BL126" s="41" t="n">
        <f aca="false">IFERROR(N(INDEX(Tasks[_Level],Tasks[[#This Row],[_Row]]+1)),0)</f>
        <v>0</v>
      </c>
      <c r="BM126" s="99" t="b">
        <f aca="false">AND(Tasks[[#This Row],[Task Name]]&lt;&gt;"",Tasks[[#This Row],[_NextLevel]]&gt;Tasks[[#This Row],[_Level]])</f>
        <v>0</v>
      </c>
      <c r="BN126" s="41" t="n">
        <f aca="false">IF(Tasks[[#This Row],[_IsSummary]],COUNTIF(Tasks[WBS],Tasks[[#This Row],[WBS]]&amp;".*"),0)</f>
        <v>0</v>
      </c>
      <c r="BO126" s="41" t="n">
        <f aca="false">IF(AND(Tasks[[#This Row],[Task Name]]&lt;&gt;"",NOT(Tasks[[#This Row],[_IsSummary]])),1,0)</f>
        <v>0</v>
      </c>
      <c r="BP126" s="41" t="n">
        <f aca="false">IF(N(Tasks[[#This Row],[Pred1 UID]])=0,0,IFERROR(MATCH(Tasks[[#This Row],[Pred1 UID]],Tasks[UID],0),-1))</f>
        <v>0</v>
      </c>
      <c r="BQ126" s="41" t="n">
        <f aca="false">IF(N(Tasks[[#This Row],[Pred2 UID]])=0,0,IFERROR(MATCH(Tasks[[#This Row],[Pred2 UID]],Tasks[UID],0),-1))</f>
        <v>0</v>
      </c>
      <c r="BR126"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26" s="100" t="str">
        <f aca="false">IF(NOT(Tasks[[#This Row],[_IsLeaf]]=1),"",IF(N(Tasks[[#This Row],[Duration]])&lt;=0,Tasks[[#This Row],[_LeafCalcStart]],WORKDAY.INTL(Tasks[[#This Row],[_LeafCalcStart]],Tasks[[#This Row],[Duration]]-1,WorkWeek,Holidays)))</f>
        <v/>
      </c>
      <c r="BT126"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26"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26" s="41" t="n">
        <f aca="false">IF(NOT(Tasks[[#This Row],[_IsLeaf]]=1),0,IF(N(Tasks[[#This Row],[Actual Finish]])&gt;0,1,MIN(1,N(Tasks[[#This Row],[% Complete]]))))</f>
        <v>0</v>
      </c>
      <c r="BW126" s="41" t="n">
        <f aca="false">IF(OR(NOT(Tasks[[#This Row],[_IsLeaf]]=1),Tasks[[#This Row],[Resource]]=""),0,N(Tasks[[#This Row],[Duration]])*HoursPerDay*IF(Tasks[[#This Row],[Units]]="",DefaultUnits,Tasks[[#This Row],[Units]]))</f>
        <v>0</v>
      </c>
      <c r="BX126" s="41" t="n">
        <f aca="false">IF(Tasks[[#This Row],[_LeafWork]]=0,0,Tasks[[#This Row],[_LeafWork]]*IFERROR(INDEX(res_Rate,MATCH(Tasks[[#This Row],[Resource]],res_Name,0)),0))</f>
        <v>0</v>
      </c>
      <c r="BY12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2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2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2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26" s="41" t="n">
        <f aca="false">IF(NOT(Tasks[[#This Row],[_IsLeaf]]=1),0,MAX(_xlfn.MAXIFS(Tasks[_Row],Tasks[Pred1 UID],Tasks[[#This Row],[UID]]),_xlfn.MAXIFS(Tasks[_Row],Tasks[Pred2 UID],Tasks[[#This Row],[UID]])))</f>
        <v>0</v>
      </c>
      <c r="CD126"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26" s="100" t="str">
        <f aca="false">IF(NOT(Tasks[[#This Row],[_IsLeaf]]=1),"",MIN(ProjectFinish,IF(N(Tasks[[#This Row],[Deadline]])&gt;0,Tasks[[#This Row],[Deadline]],2958465),Tasks[[#This Row],[_SuccessorFinishLimit]]))</f>
        <v/>
      </c>
      <c r="CF126" s="100" t="str">
        <f aca="false">IF(NOT(Tasks[[#This Row],[_IsLeaf]]=1),"",IF(N(Tasks[[#This Row],[Duration]])&lt;=0,Tasks[[#This Row],[_LeafLateFinish]],WORKDAY.INTL(Tasks[[#This Row],[_LeafLateFinish]],-(Tasks[[#This Row],[Duration]]-1),WorkWeek,Holidays)))</f>
        <v/>
      </c>
      <c r="CG12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26" s="99" t="b">
        <f aca="false">AND(Tasks[[#This Row],[_IsLeaf]]=1,Tasks[[#This Row],[_LeafProgress]]&lt;1,N(Tasks[[#This Row],[_LeafTotalSlack]])&lt;=CriticalSlackDays)</f>
        <v>0</v>
      </c>
      <c r="CI126" s="100" t="str">
        <f aca="false">IF(Tasks[[#This Row],[Task Name]]="","",IF(Tasks[[#This Row],[_IsSummary]],MIN(INDEX(Tasks[_LeafCalcStart],Tasks[[#This Row],[_Row]]+1):INDEX(Tasks[_LeafCalcStart],Tasks[[#This Row],[_Row]]+Tasks[[#This Row],[_Descendants]])),Tasks[[#This Row],[_LeafCalcStart]]))</f>
        <v/>
      </c>
      <c r="CJ126" s="100" t="str">
        <f aca="false">IF(Tasks[[#This Row],[Task Name]]="","",IF(Tasks[[#This Row],[_IsSummary]],MAX(INDEX(Tasks[_LeafCalcFinish],Tasks[[#This Row],[_Row]]+1):INDEX(Tasks[_LeafCalcFinish],Tasks[[#This Row],[_Row]]+Tasks[[#This Row],[_Descendants]])),Tasks[[#This Row],[_LeafCalcFinish]]))</f>
        <v/>
      </c>
      <c r="CK12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2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26"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26"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26"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26"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26" s="41" t="n">
        <f aca="false">IF(AND(Tasks[[#This Row],[_IsLeaf]]=1,Tasks[[#This Row],[_LeafWork]]&gt;0),NETWORKDAYS.INTL(ProjectStart,Tasks[[#This Row],[_LeafFcstStart]],WorkWeek,Holidays),0)</f>
        <v>0</v>
      </c>
      <c r="CR126" s="41" t="n">
        <f aca="false">IF(AND(Tasks[[#This Row],[_IsLeaf]]=1,Tasks[[#This Row],[_LeafWork]]&gt;0),MAX(Tasks[[#This Row],[_StartWorkday]],NETWORKDAYS.INTL(ProjectStart,Tasks[[#This Row],[_LeafFcstFinish]],WorkWeek,Holidays)),0)</f>
        <v>0</v>
      </c>
      <c r="CS126" s="41" t="n">
        <f aca="false">IF(AND(Tasks[[#This Row],[_IsLeaf]]=1,Tasks[[#This Row],[_LeafWork]]&gt;0),Tasks[[#This Row],[_LeafWork]]/(Tasks[[#This Row],[_FinishWorkday]]-Tasks[[#This Row],[_StartWorkday]]+1),0)</f>
        <v>0</v>
      </c>
      <c r="CT126" s="41" t="n">
        <f aca="false">Tasks[[#This Row],[_WorkPerWorkday]]*(Tasks[[#This Row],[_StartWorkday]]-1)</f>
        <v>-0</v>
      </c>
      <c r="CU126" s="41" t="n">
        <f aca="false">IF(Tasks[[#This Row],[_IsLeaf]]=1,MAX(N(Tasks[[#This Row],[Duration]]),0.1),0)</f>
        <v>0</v>
      </c>
      <c r="CV126" s="41" t="n">
        <f aca="false">Tasks[[#This Row],[_WeightDur]]*Tasks[[#This Row],[_LeafProgress]]</f>
        <v>0</v>
      </c>
      <c r="CW12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2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2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2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26" s="41" t="str">
        <f aca="false">IF(Tasks[[#This Row],[Task Name]]="","",Tasks[[#This Row],[_Pred1UIDText]]&amp;IF(AND(Tasks[[#This Row],[_Pred1UIDText]]&lt;&gt;"",Tasks[[#This Row],[_Pred2UIDText]]&lt;&gt;""),",","")&amp;Tasks[[#This Row],[_Pred2UIDText]])</f>
        <v/>
      </c>
      <c r="DB126" s="41" t="str">
        <f aca="false">IF(AND(Tasks[[#This Row],[_IsLeaf]]=1,N(Tasks[[#This Row],[Duration]])=0,Tasks[[#This Row],[_LeafProgress]]&lt;1),Tasks[[#This Row],[_LeafFcstFinish]]+Tasks[[#This Row],[_Row]]/100000,"")</f>
        <v/>
      </c>
      <c r="DC12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26" s="41" t="n">
        <f aca="false">IF(NOT(Tasks[[#This Row],[_IsLeaf]]=1),0,IF(Tasks[[#This Row],[Baseline Cost]]="",Tasks[[#This Row],[_LeafCost]],N(Tasks[[#This Row],[Baseline Cost]])))</f>
        <v>0</v>
      </c>
      <c r="DE126" s="41" t="n">
        <f aca="false">Tasks[[#This Row],[_LeafBudget]]*Tasks[[#This Row],[_PlannedPct]]</f>
        <v>0</v>
      </c>
      <c r="DF126" s="41" t="n">
        <f aca="false">Tasks[[#This Row],[_LeafBudget]]*Tasks[[#This Row],[_LeafProgress]]</f>
        <v>0</v>
      </c>
      <c r="DG126" s="41" t="n">
        <f aca="false">IF(NOT(Tasks[[#This Row],[_IsLeaf]]=1),0,IF(Tasks[[#This Row],[Actual Cost]]="",Tasks[[#This Row],[_LeafCost]]*Tasks[[#This Row],[_LeafProgress]],N(Tasks[[#This Row],[Actual Cost]])))</f>
        <v>0</v>
      </c>
      <c r="DH126" s="41" t="str">
        <f aca="false">IF(Tasks[[#This Row],[Task Name]]="","",LEFT(Tasks[[#This Row],[WBS]],FIND(".",Tasks[[#This Row],[WBS]]&amp;".")-1))</f>
        <v/>
      </c>
      <c r="DI126" s="41" t="str">
        <f aca="false">IF(AND(Tasks[[#This Row],[Task Name]]&lt;&gt;"",Tasks[[#This Row],[_Level]]=1),Tasks[[#This Row],[_Row]],"")</f>
        <v/>
      </c>
      <c r="DJ126" s="41" t="str">
        <f aca="false">IF(AND(Tasks[[#This Row],[_IsLeaf]]=1,N(Tasks[[#This Row],[Duration]])=0),Tasks[[#This Row],[Planned Finish]]+Tasks[[#This Row],[_Row]]/100000,"")</f>
        <v/>
      </c>
      <c r="DK126" s="41" t="str">
        <f aca="false">IF(AND(Tasks[[#This Row],[_IsLeaf]]=1,Tasks[[#This Row],[_LeafProgress]]&lt;1,OR(N(Tasks[[#This Row],[Finish Var]])&gt;0,Tasks[[#This Row],[Status]]="Late Start")),MAX(0,Tasks[[#This Row],[Finish Var]])+1-Tasks[[#This Row],[_Row]]/1000000,"")</f>
        <v/>
      </c>
      <c r="DL126" s="41" t="str">
        <f aca="false">IF(AND(Tasks[[#This Row],[_IsLeaf]]=1,N(Tasks[[#This Row],[Actual Start]])=0,Tasks[[#This Row],[_LeafFcstStart]]&gt;=StatusDate,Tasks[[#This Row],[_LeafFcstStart]]&lt;=LookaheadEnd),Tasks[[#This Row],[_LeafFcstStart]]+Tasks[[#This Row],[_Row]]/100000,"")</f>
        <v/>
      </c>
      <c r="DM126" s="41" t="str">
        <f aca="false">IF(AND(Tasks[[#This Row],[_IsLeaf]]=1,Tasks[[#This Row],[_LeafProgress]]&lt;1,Tasks[[#This Row],[_LeafFcstFinish]]&gt;=StatusDate,Tasks[[#This Row],[_LeafFcstFinish]]&lt;=LookaheadEnd),Tasks[[#This Row],[_LeafFcstFinish]]+Tasks[[#This Row],[_Row]]/100000,"")</f>
        <v/>
      </c>
      <c r="DN126" s="41" t="str">
        <f aca="false">IF(Tasks[[#This Row],[_LeafCritical]],Tasks[[#This Row],[_LeafFcstStart]]+Tasks[[#This Row],[_Row]]/100000,"")</f>
        <v/>
      </c>
      <c r="DO126" s="41" t="n">
        <f aca="false">Tasks[[#This Row],[_LeafWork]]*Tasks[[#This Row],[_LeafProgress]]</f>
        <v>0</v>
      </c>
      <c r="DP126" s="100" t="str">
        <f aca="false">IF(AND(Tasks[[#This Row],[_IsLeaf]]=1,Tasks[[#This Row],[_LeafProgress]]&gt;=1),IF(N(Tasks[[#This Row],[Actual Finish]])&gt;0,Tasks[[#This Row],[Actual Finish]],Tasks[[#This Row],[_LeafFcstFinish]]),"")</f>
        <v/>
      </c>
      <c r="DQ126" s="41" t="n">
        <f aca="false">IF(Tasks[[#This Row],[_IsLeaf]]=1,N(Tasks[[#This Row],[Story Points]]),0)</f>
        <v>0</v>
      </c>
      <c r="DR126" s="41" t="str">
        <f aca="false">IF(AND(Tasks[[#This Row],[_IsLeaf]]=1,CurrentSprint&lt;&gt;"",Tasks[[#This Row],[Sprint]]=CurrentSprint),Tasks[[#This Row],[_Row]],"")</f>
        <v/>
      </c>
    </row>
    <row r="127" customFormat="false" ht="15" hidden="false" customHeight="false" outlineLevel="0" collapsed="false">
      <c r="A127" s="28" t="str">
        <f aca="false">IF(Tasks[[#This Row],[Task Name]]="","",COUNTA(Tasks[[#Headers],[Task Name]]:Tasks[[#This Row],[Task Name]])-1)</f>
        <v/>
      </c>
      <c r="B127" s="29" t="n">
        <v>122</v>
      </c>
      <c r="C12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7" s="29"/>
      <c r="E127" s="30"/>
      <c r="F127" s="29"/>
      <c r="G127" s="29"/>
      <c r="H127" s="29"/>
      <c r="I127" s="29"/>
      <c r="J127" s="29"/>
      <c r="K127" s="29"/>
      <c r="L127" s="29"/>
      <c r="M127" s="29"/>
      <c r="N127" s="73"/>
      <c r="O127" s="73"/>
      <c r="P127" s="25" t="str">
        <f aca="false">IF(Tasks[[#This Row],[Task Name]]="","",IF(N(Tasks[[#This Row],[Baseline Start]])&gt;0,Tasks[[#This Row],[Baseline Start]],Tasks[[#This Row],[_CalcStart]]))</f>
        <v/>
      </c>
      <c r="Q127" s="25" t="str">
        <f aca="false">IF(Tasks[[#This Row],[Task Name]]="","",IF(N(Tasks[[#This Row],[Baseline Finish]])&gt;0,Tasks[[#This Row],[Baseline Finish]],Tasks[[#This Row],[_CalcFinish]]))</f>
        <v/>
      </c>
      <c r="R127" s="73"/>
      <c r="S127" s="73"/>
      <c r="T127" s="25" t="str">
        <f aca="false">IF(Tasks[[#This Row],[Task Name]]="","",IF(Tasks[[#This Row],[_IsSummary]],MIN(INDEX(Tasks[_LeafFcstStart],Tasks[[#This Row],[_Row]]+1):INDEX(Tasks[_LeafFcstStart],Tasks[[#This Row],[_Row]]+Tasks[[#This Row],[_Descendants]])),Tasks[[#This Row],[_LeafFcstStart]]))</f>
        <v/>
      </c>
      <c r="U127" s="25" t="str">
        <f aca="false">IF(Tasks[[#This Row],[Task Name]]="","",IF(Tasks[[#This Row],[_IsSummary]],MAX(INDEX(Tasks[_LeafFcstFinish],Tasks[[#This Row],[_Row]]+1):INDEX(Tasks[_LeafFcstFinish],Tasks[[#This Row],[_Row]]+Tasks[[#This Row],[_Descendants]])),Tasks[[#This Row],[_LeafFcstFinish]]))</f>
        <v/>
      </c>
      <c r="V12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2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7" s="25" t="str">
        <f aca="false">IF(Tasks[[#This Row],[Task Name]]="","",IF(Tasks[[#This Row],[_IsSummary]],MIN(INDEX(Tasks[_LeafLateStart],Tasks[[#This Row],[_Row]]+1):INDEX(Tasks[_LeafLateStart],Tasks[[#This Row],[_Row]]+Tasks[[#This Row],[_Descendants]])),Tasks[[#This Row],[_LeafLateStart]]))</f>
        <v/>
      </c>
      <c r="Y127" s="25" t="str">
        <f aca="false">IF(Tasks[[#This Row],[Task Name]]="","",IF(Tasks[[#This Row],[_IsSummary]],MAX(INDEX(Tasks[_LeafLateFinish],Tasks[[#This Row],[_Row]]+1):INDEX(Tasks[_LeafLateFinish],Tasks[[#This Row],[_Row]]+Tasks[[#This Row],[_Descendants]])),Tasks[[#This Row],[_LeafLateFinish]]))</f>
        <v/>
      </c>
      <c r="Z127" s="43" t="str">
        <f aca="false">IF(Tasks[[#This Row],[Task Name]]="","",IF(Tasks[[#This Row],[_IsSummary]],MIN(INDEX(Tasks[_LeafTotalSlack],Tasks[[#This Row],[_Row]]+1):INDEX(Tasks[_LeafTotalSlack],Tasks[[#This Row],[_Row]]+Tasks[[#This Row],[_Descendants]])),Tasks[[#This Row],[_LeafTotalSlack]]))</f>
        <v/>
      </c>
      <c r="AA12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7" s="28" t="str">
        <f aca="false">IF(Tasks[[#This Row],[Task Name]]="","",IF(IF(Tasks[[#This Row],[_IsSummary]],COUNTIF(INDEX(Tasks[_LeafCritical],Tasks[[#This Row],[_Row]]+1):INDEX(Tasks[_LeafCritical],Tasks[[#This Row],[_Row]]+Tasks[[#This Row],[_Descendants]]),TRUE())&gt;0,Tasks[[#This Row],[_LeafCritical]]),"Yes",""))</f>
        <v/>
      </c>
      <c r="AC12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7" s="24" t="str">
        <f aca="false">IF(Tasks[[#This Row],[Task Name]]="","",TRIM(IF(Tasks[[#This Row],[_Pred1Problem]]&lt;&gt;"","Pred 1: "&amp;Tasks[[#This Row],[_Pred1Problem]]&amp;". ","")&amp;IF(Tasks[[#This Row],[_Pred2Problem]]&lt;&gt;"","Pred 2: "&amp;Tasks[[#This Row],[_Pred2Problem]]&amp;".","")))</f>
        <v/>
      </c>
      <c r="AE127" s="88"/>
      <c r="AF127"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7" s="28" t="str">
        <f aca="false">IF(Tasks[[#This Row],[Task Name]]="","",IF(Tasks[[#This Row],[Progress]]&gt;=1,"Complete",IF(OR(N(Tasks[[#This Row],[Actual Start]])&gt;0,Tasks[[#This Row],[Progress]]&gt;0),IF(Tasks[[#This Row],[Finish Var]]&gt;0,"Behind","In Progress"),IF(Tasks[[#This Row],[Planned Start]]&lt;StatusDate,"Late Start","Not Started"))))</f>
        <v/>
      </c>
      <c r="AH127" s="30"/>
      <c r="AI127" s="88"/>
      <c r="AJ127" s="95" t="str">
        <f aca="false">IF(Tasks[[#This Row],[Task Name]]="","",IF(Tasks[[#This Row],[_IsSummary]],SUM(INDEX(Tasks[_LeafWork],Tasks[[#This Row],[_Row]]+1):INDEX(Tasks[_LeafWork],Tasks[[#This Row],[_Row]]+Tasks[[#This Row],[_Descendants]])),Tasks[[#This Row],[_LeafWork]]))</f>
        <v/>
      </c>
      <c r="AK127" s="96" t="str">
        <f aca="false">IF(Tasks[[#This Row],[Task Name]]="","",IF(Tasks[[#This Row],[_IsSummary]],SUM(INDEX(Tasks[_LeafCost],Tasks[[#This Row],[_Row]]+1):INDEX(Tasks[_LeafCost],Tasks[[#This Row],[_Row]]+Tasks[[#This Row],[_Descendants]])),Tasks[[#This Row],[_LeafCost]]))</f>
        <v/>
      </c>
      <c r="AL127" s="97"/>
      <c r="AM127" s="29"/>
      <c r="AN12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27" s="82"/>
      <c r="AP127" s="24" t="str">
        <f aca="false">IF(Tasks[[#This Row],[Task Name]]="","",Tasks[[#This Row],[_Pred1IDText]]&amp;IF(AND(Tasks[[#This Row],[_Pred1IDText]]&lt;&gt;"",Tasks[[#This Row],[_Pred2IDText]]&lt;&gt;""),",","")&amp;Tasks[[#This Row],[_Pred2IDText]])</f>
        <v/>
      </c>
      <c r="AQ127" s="30"/>
      <c r="AR127" s="25" t="str">
        <f aca="false">IF(Tasks[[#This Row],[Task Name]]="","",Tasks[[#This Row],[Forecast Start]])</f>
        <v/>
      </c>
      <c r="AS127" s="25" t="str">
        <f aca="false">IF(Tasks[[#This Row],[Task Name]]="","",Tasks[[#This Row],[Forecast Finish]])</f>
        <v/>
      </c>
      <c r="AT127" s="28" t="str">
        <f aca="false">IF(Tasks[[#This Row],[Task Name]]="","",IF(Tasks[[#This Row],[_IsSummary]],NETWORKDAYS.INTL(Tasks[[#This Row],[Forecast Start]],Tasks[[#This Row],[Forecast Finish]],WorkWeek,Holidays),N(Tasks[[#This Row],[Duration]])))</f>
        <v/>
      </c>
      <c r="AU127" s="95" t="str">
        <f aca="false">IF(Tasks[[#This Row],[Task Name]]="","",Tasks[[#This Row],[Work]])</f>
        <v/>
      </c>
      <c r="AV127" s="96" t="str">
        <f aca="false">IF(Tasks[[#This Row],[Task Name]]="","",Tasks[[#This Row],[Cost]])</f>
        <v/>
      </c>
      <c r="AW127" s="73"/>
      <c r="AX127" s="73"/>
      <c r="AY127" s="29"/>
      <c r="AZ127" s="98"/>
      <c r="BA127" s="97"/>
      <c r="BB127" s="28" t="str">
        <f aca="false">IF(OR(Tasks[[#This Row],[Task Name]]="",Tasks[[#This Row],[Baseline Duration]]=""),"",Tasks[[#This Row],[BL Source Duration]]-N(Tasks[[#This Row],[Baseline Duration]]))</f>
        <v/>
      </c>
      <c r="BC127" s="95" t="str">
        <f aca="false">IF(OR(Tasks[[#This Row],[Task Name]]="",Tasks[[#This Row],[Baseline Work]]=""),"",Tasks[[#This Row],[Work]]-N(Tasks[[#This Row],[Baseline Work]]))</f>
        <v/>
      </c>
      <c r="BD127" s="96" t="str">
        <f aca="false">IF(OR(Tasks[[#This Row],[Task Name]]="",Tasks[[#This Row],[Baseline Cost]]=""),"",Tasks[[#This Row],[Cost]]-N(Tasks[[#This Row],[Baseline Cost]]))</f>
        <v/>
      </c>
      <c r="BE127" s="96" t="str">
        <f aca="false">IF(Tasks[[#This Row],[Task Name]]="","",IF(Tasks[[#This Row],[_IsSummary]],SUM(INDEX(Tasks[_LeafBudget],Tasks[[#This Row],[_Row]]+1):INDEX(Tasks[_LeafBudget],Tasks[[#This Row],[_Row]]+Tasks[[#This Row],[_Descendants]])),Tasks[[#This Row],[_LeafBudget]]))</f>
        <v/>
      </c>
      <c r="BF127" s="96" t="str">
        <f aca="false">IF(Tasks[[#This Row],[Task Name]]="","",IF(Tasks[[#This Row],[_IsSummary]],SUM(INDEX(Tasks[_LeafPV],Tasks[[#This Row],[_Row]]+1):INDEX(Tasks[_LeafPV],Tasks[[#This Row],[_Row]]+Tasks[[#This Row],[_Descendants]])),Tasks[[#This Row],[_LeafPV]]))</f>
        <v/>
      </c>
      <c r="BG127" s="96" t="str">
        <f aca="false">IF(Tasks[[#This Row],[Task Name]]="","",IF(Tasks[[#This Row],[_IsSummary]],SUM(INDEX(Tasks[_LeafEV],Tasks[[#This Row],[_Row]]+1):INDEX(Tasks[_LeafEV],Tasks[[#This Row],[_Row]]+Tasks[[#This Row],[_Descendants]])),Tasks[[#This Row],[_LeafEV]]))</f>
        <v/>
      </c>
      <c r="BH127" s="96" t="str">
        <f aca="false">IF(Tasks[[#This Row],[Task Name]]="","",IF(Tasks[[#This Row],[_IsSummary]],SUM(INDEX(Tasks[_LeafAC],Tasks[[#This Row],[_Row]]+1):INDEX(Tasks[_LeafAC],Tasks[[#This Row],[_Row]]+Tasks[[#This Row],[_Descendants]])),Tasks[[#This Row],[_LeafAC]]))</f>
        <v/>
      </c>
      <c r="BI127" s="41" t="str">
        <f aca="false">IF(Tasks[[#This Row],[Task Name]]="","",MAX(1,N(Tasks[[#This Row],[Level]])))</f>
        <v/>
      </c>
      <c r="BJ127" s="41" t="n">
        <f aca="false">ROW()-ROW(Tasks[[#Headers],[ID]])</f>
        <v>122</v>
      </c>
      <c r="BK127" s="41" t="n">
        <f aca="false">IF(OR(Tasks[[#This Row],[Task Name]]="",Tasks[[#This Row],[_Level]]&lt;=1),0,IFERROR(LOOKUP(2,1/(Tasks[[#Headers],[_Level]]:Tasks[[#This Row],[_Level]]=Tasks[[#This Row],[_Level]]-1),ROW(Tasks[[#Headers],[_Level]]:Tasks[[#This Row],[_Level]])),0))</f>
        <v>0</v>
      </c>
      <c r="BL127" s="41" t="n">
        <f aca="false">IFERROR(N(INDEX(Tasks[_Level],Tasks[[#This Row],[_Row]]+1)),0)</f>
        <v>0</v>
      </c>
      <c r="BM127" s="99" t="b">
        <f aca="false">AND(Tasks[[#This Row],[Task Name]]&lt;&gt;"",Tasks[[#This Row],[_NextLevel]]&gt;Tasks[[#This Row],[_Level]])</f>
        <v>0</v>
      </c>
      <c r="BN127" s="41" t="n">
        <f aca="false">IF(Tasks[[#This Row],[_IsSummary]],COUNTIF(Tasks[WBS],Tasks[[#This Row],[WBS]]&amp;".*"),0)</f>
        <v>0</v>
      </c>
      <c r="BO127" s="41" t="n">
        <f aca="false">IF(AND(Tasks[[#This Row],[Task Name]]&lt;&gt;"",NOT(Tasks[[#This Row],[_IsSummary]])),1,0)</f>
        <v>0</v>
      </c>
      <c r="BP127" s="41" t="n">
        <f aca="false">IF(N(Tasks[[#This Row],[Pred1 UID]])=0,0,IFERROR(MATCH(Tasks[[#This Row],[Pred1 UID]],Tasks[UID],0),-1))</f>
        <v>0</v>
      </c>
      <c r="BQ127" s="41" t="n">
        <f aca="false">IF(N(Tasks[[#This Row],[Pred2 UID]])=0,0,IFERROR(MATCH(Tasks[[#This Row],[Pred2 UID]],Tasks[UID],0),-1))</f>
        <v>0</v>
      </c>
      <c r="BR127"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27" s="100" t="str">
        <f aca="false">IF(NOT(Tasks[[#This Row],[_IsLeaf]]=1),"",IF(N(Tasks[[#This Row],[Duration]])&lt;=0,Tasks[[#This Row],[_LeafCalcStart]],WORKDAY.INTL(Tasks[[#This Row],[_LeafCalcStart]],Tasks[[#This Row],[Duration]]-1,WorkWeek,Holidays)))</f>
        <v/>
      </c>
      <c r="BT127"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27"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27" s="41" t="n">
        <f aca="false">IF(NOT(Tasks[[#This Row],[_IsLeaf]]=1),0,IF(N(Tasks[[#This Row],[Actual Finish]])&gt;0,1,MIN(1,N(Tasks[[#This Row],[% Complete]]))))</f>
        <v>0</v>
      </c>
      <c r="BW127" s="41" t="n">
        <f aca="false">IF(OR(NOT(Tasks[[#This Row],[_IsLeaf]]=1),Tasks[[#This Row],[Resource]]=""),0,N(Tasks[[#This Row],[Duration]])*HoursPerDay*IF(Tasks[[#This Row],[Units]]="",DefaultUnits,Tasks[[#This Row],[Units]]))</f>
        <v>0</v>
      </c>
      <c r="BX127" s="41" t="n">
        <f aca="false">IF(Tasks[[#This Row],[_LeafWork]]=0,0,Tasks[[#This Row],[_LeafWork]]*IFERROR(INDEX(res_Rate,MATCH(Tasks[[#This Row],[Resource]],res_Name,0)),0))</f>
        <v>0</v>
      </c>
      <c r="BY12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2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2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2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27" s="41" t="n">
        <f aca="false">IF(NOT(Tasks[[#This Row],[_IsLeaf]]=1),0,MAX(_xlfn.MAXIFS(Tasks[_Row],Tasks[Pred1 UID],Tasks[[#This Row],[UID]]),_xlfn.MAXIFS(Tasks[_Row],Tasks[Pred2 UID],Tasks[[#This Row],[UID]])))</f>
        <v>0</v>
      </c>
      <c r="CD127"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27" s="100" t="str">
        <f aca="false">IF(NOT(Tasks[[#This Row],[_IsLeaf]]=1),"",MIN(ProjectFinish,IF(N(Tasks[[#This Row],[Deadline]])&gt;0,Tasks[[#This Row],[Deadline]],2958465),Tasks[[#This Row],[_SuccessorFinishLimit]]))</f>
        <v/>
      </c>
      <c r="CF127" s="100" t="str">
        <f aca="false">IF(NOT(Tasks[[#This Row],[_IsLeaf]]=1),"",IF(N(Tasks[[#This Row],[Duration]])&lt;=0,Tasks[[#This Row],[_LeafLateFinish]],WORKDAY.INTL(Tasks[[#This Row],[_LeafLateFinish]],-(Tasks[[#This Row],[Duration]]-1),WorkWeek,Holidays)))</f>
        <v/>
      </c>
      <c r="CG12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27" s="99" t="b">
        <f aca="false">AND(Tasks[[#This Row],[_IsLeaf]]=1,Tasks[[#This Row],[_LeafProgress]]&lt;1,N(Tasks[[#This Row],[_LeafTotalSlack]])&lt;=CriticalSlackDays)</f>
        <v>0</v>
      </c>
      <c r="CI127" s="100" t="str">
        <f aca="false">IF(Tasks[[#This Row],[Task Name]]="","",IF(Tasks[[#This Row],[_IsSummary]],MIN(INDEX(Tasks[_LeafCalcStart],Tasks[[#This Row],[_Row]]+1):INDEX(Tasks[_LeafCalcStart],Tasks[[#This Row],[_Row]]+Tasks[[#This Row],[_Descendants]])),Tasks[[#This Row],[_LeafCalcStart]]))</f>
        <v/>
      </c>
      <c r="CJ127" s="100" t="str">
        <f aca="false">IF(Tasks[[#This Row],[Task Name]]="","",IF(Tasks[[#This Row],[_IsSummary]],MAX(INDEX(Tasks[_LeafCalcFinish],Tasks[[#This Row],[_Row]]+1):INDEX(Tasks[_LeafCalcFinish],Tasks[[#This Row],[_Row]]+Tasks[[#This Row],[_Descendants]])),Tasks[[#This Row],[_LeafCalcFinish]]))</f>
        <v/>
      </c>
      <c r="CK12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2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27"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27"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27"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27"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27" s="41" t="n">
        <f aca="false">IF(AND(Tasks[[#This Row],[_IsLeaf]]=1,Tasks[[#This Row],[_LeafWork]]&gt;0),NETWORKDAYS.INTL(ProjectStart,Tasks[[#This Row],[_LeafFcstStart]],WorkWeek,Holidays),0)</f>
        <v>0</v>
      </c>
      <c r="CR127" s="41" t="n">
        <f aca="false">IF(AND(Tasks[[#This Row],[_IsLeaf]]=1,Tasks[[#This Row],[_LeafWork]]&gt;0),MAX(Tasks[[#This Row],[_StartWorkday]],NETWORKDAYS.INTL(ProjectStart,Tasks[[#This Row],[_LeafFcstFinish]],WorkWeek,Holidays)),0)</f>
        <v>0</v>
      </c>
      <c r="CS127" s="41" t="n">
        <f aca="false">IF(AND(Tasks[[#This Row],[_IsLeaf]]=1,Tasks[[#This Row],[_LeafWork]]&gt;0),Tasks[[#This Row],[_LeafWork]]/(Tasks[[#This Row],[_FinishWorkday]]-Tasks[[#This Row],[_StartWorkday]]+1),0)</f>
        <v>0</v>
      </c>
      <c r="CT127" s="41" t="n">
        <f aca="false">Tasks[[#This Row],[_WorkPerWorkday]]*(Tasks[[#This Row],[_StartWorkday]]-1)</f>
        <v>-0</v>
      </c>
      <c r="CU127" s="41" t="n">
        <f aca="false">IF(Tasks[[#This Row],[_IsLeaf]]=1,MAX(N(Tasks[[#This Row],[Duration]]),0.1),0)</f>
        <v>0</v>
      </c>
      <c r="CV127" s="41" t="n">
        <f aca="false">Tasks[[#This Row],[_WeightDur]]*Tasks[[#This Row],[_LeafProgress]]</f>
        <v>0</v>
      </c>
      <c r="CW12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2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2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2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27" s="41" t="str">
        <f aca="false">IF(Tasks[[#This Row],[Task Name]]="","",Tasks[[#This Row],[_Pred1UIDText]]&amp;IF(AND(Tasks[[#This Row],[_Pred1UIDText]]&lt;&gt;"",Tasks[[#This Row],[_Pred2UIDText]]&lt;&gt;""),",","")&amp;Tasks[[#This Row],[_Pred2UIDText]])</f>
        <v/>
      </c>
      <c r="DB127" s="41" t="str">
        <f aca="false">IF(AND(Tasks[[#This Row],[_IsLeaf]]=1,N(Tasks[[#This Row],[Duration]])=0,Tasks[[#This Row],[_LeafProgress]]&lt;1),Tasks[[#This Row],[_LeafFcstFinish]]+Tasks[[#This Row],[_Row]]/100000,"")</f>
        <v/>
      </c>
      <c r="DC12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27" s="41" t="n">
        <f aca="false">IF(NOT(Tasks[[#This Row],[_IsLeaf]]=1),0,IF(Tasks[[#This Row],[Baseline Cost]]="",Tasks[[#This Row],[_LeafCost]],N(Tasks[[#This Row],[Baseline Cost]])))</f>
        <v>0</v>
      </c>
      <c r="DE127" s="41" t="n">
        <f aca="false">Tasks[[#This Row],[_LeafBudget]]*Tasks[[#This Row],[_PlannedPct]]</f>
        <v>0</v>
      </c>
      <c r="DF127" s="41" t="n">
        <f aca="false">Tasks[[#This Row],[_LeafBudget]]*Tasks[[#This Row],[_LeafProgress]]</f>
        <v>0</v>
      </c>
      <c r="DG127" s="41" t="n">
        <f aca="false">IF(NOT(Tasks[[#This Row],[_IsLeaf]]=1),0,IF(Tasks[[#This Row],[Actual Cost]]="",Tasks[[#This Row],[_LeafCost]]*Tasks[[#This Row],[_LeafProgress]],N(Tasks[[#This Row],[Actual Cost]])))</f>
        <v>0</v>
      </c>
      <c r="DH127" s="41" t="str">
        <f aca="false">IF(Tasks[[#This Row],[Task Name]]="","",LEFT(Tasks[[#This Row],[WBS]],FIND(".",Tasks[[#This Row],[WBS]]&amp;".")-1))</f>
        <v/>
      </c>
      <c r="DI127" s="41" t="str">
        <f aca="false">IF(AND(Tasks[[#This Row],[Task Name]]&lt;&gt;"",Tasks[[#This Row],[_Level]]=1),Tasks[[#This Row],[_Row]],"")</f>
        <v/>
      </c>
      <c r="DJ127" s="41" t="str">
        <f aca="false">IF(AND(Tasks[[#This Row],[_IsLeaf]]=1,N(Tasks[[#This Row],[Duration]])=0),Tasks[[#This Row],[Planned Finish]]+Tasks[[#This Row],[_Row]]/100000,"")</f>
        <v/>
      </c>
      <c r="DK127" s="41" t="str">
        <f aca="false">IF(AND(Tasks[[#This Row],[_IsLeaf]]=1,Tasks[[#This Row],[_LeafProgress]]&lt;1,OR(N(Tasks[[#This Row],[Finish Var]])&gt;0,Tasks[[#This Row],[Status]]="Late Start")),MAX(0,Tasks[[#This Row],[Finish Var]])+1-Tasks[[#This Row],[_Row]]/1000000,"")</f>
        <v/>
      </c>
      <c r="DL127" s="41" t="str">
        <f aca="false">IF(AND(Tasks[[#This Row],[_IsLeaf]]=1,N(Tasks[[#This Row],[Actual Start]])=0,Tasks[[#This Row],[_LeafFcstStart]]&gt;=StatusDate,Tasks[[#This Row],[_LeafFcstStart]]&lt;=LookaheadEnd),Tasks[[#This Row],[_LeafFcstStart]]+Tasks[[#This Row],[_Row]]/100000,"")</f>
        <v/>
      </c>
      <c r="DM127" s="41" t="str">
        <f aca="false">IF(AND(Tasks[[#This Row],[_IsLeaf]]=1,Tasks[[#This Row],[_LeafProgress]]&lt;1,Tasks[[#This Row],[_LeafFcstFinish]]&gt;=StatusDate,Tasks[[#This Row],[_LeafFcstFinish]]&lt;=LookaheadEnd),Tasks[[#This Row],[_LeafFcstFinish]]+Tasks[[#This Row],[_Row]]/100000,"")</f>
        <v/>
      </c>
      <c r="DN127" s="41" t="str">
        <f aca="false">IF(Tasks[[#This Row],[_LeafCritical]],Tasks[[#This Row],[_LeafFcstStart]]+Tasks[[#This Row],[_Row]]/100000,"")</f>
        <v/>
      </c>
      <c r="DO127" s="41" t="n">
        <f aca="false">Tasks[[#This Row],[_LeafWork]]*Tasks[[#This Row],[_LeafProgress]]</f>
        <v>0</v>
      </c>
      <c r="DP127" s="100" t="str">
        <f aca="false">IF(AND(Tasks[[#This Row],[_IsLeaf]]=1,Tasks[[#This Row],[_LeafProgress]]&gt;=1),IF(N(Tasks[[#This Row],[Actual Finish]])&gt;0,Tasks[[#This Row],[Actual Finish]],Tasks[[#This Row],[_LeafFcstFinish]]),"")</f>
        <v/>
      </c>
      <c r="DQ127" s="41" t="n">
        <f aca="false">IF(Tasks[[#This Row],[_IsLeaf]]=1,N(Tasks[[#This Row],[Story Points]]),0)</f>
        <v>0</v>
      </c>
      <c r="DR127" s="41" t="str">
        <f aca="false">IF(AND(Tasks[[#This Row],[_IsLeaf]]=1,CurrentSprint&lt;&gt;"",Tasks[[#This Row],[Sprint]]=CurrentSprint),Tasks[[#This Row],[_Row]],"")</f>
        <v/>
      </c>
    </row>
    <row r="128" customFormat="false" ht="15" hidden="false" customHeight="false" outlineLevel="0" collapsed="false">
      <c r="A128" s="28" t="str">
        <f aca="false">IF(Tasks[[#This Row],[Task Name]]="","",COUNTA(Tasks[[#Headers],[Task Name]]:Tasks[[#This Row],[Task Name]])-1)</f>
        <v/>
      </c>
      <c r="B128" s="29" t="n">
        <v>123</v>
      </c>
      <c r="C12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8" s="29"/>
      <c r="E128" s="30"/>
      <c r="F128" s="29"/>
      <c r="G128" s="29"/>
      <c r="H128" s="29"/>
      <c r="I128" s="29"/>
      <c r="J128" s="29"/>
      <c r="K128" s="29"/>
      <c r="L128" s="29"/>
      <c r="M128" s="29"/>
      <c r="N128" s="73"/>
      <c r="O128" s="73"/>
      <c r="P128" s="25" t="str">
        <f aca="false">IF(Tasks[[#This Row],[Task Name]]="","",IF(N(Tasks[[#This Row],[Baseline Start]])&gt;0,Tasks[[#This Row],[Baseline Start]],Tasks[[#This Row],[_CalcStart]]))</f>
        <v/>
      </c>
      <c r="Q128" s="25" t="str">
        <f aca="false">IF(Tasks[[#This Row],[Task Name]]="","",IF(N(Tasks[[#This Row],[Baseline Finish]])&gt;0,Tasks[[#This Row],[Baseline Finish]],Tasks[[#This Row],[_CalcFinish]]))</f>
        <v/>
      </c>
      <c r="R128" s="73"/>
      <c r="S128" s="73"/>
      <c r="T128" s="25" t="str">
        <f aca="false">IF(Tasks[[#This Row],[Task Name]]="","",IF(Tasks[[#This Row],[_IsSummary]],MIN(INDEX(Tasks[_LeafFcstStart],Tasks[[#This Row],[_Row]]+1):INDEX(Tasks[_LeafFcstStart],Tasks[[#This Row],[_Row]]+Tasks[[#This Row],[_Descendants]])),Tasks[[#This Row],[_LeafFcstStart]]))</f>
        <v/>
      </c>
      <c r="U128" s="25" t="str">
        <f aca="false">IF(Tasks[[#This Row],[Task Name]]="","",IF(Tasks[[#This Row],[_IsSummary]],MAX(INDEX(Tasks[_LeafFcstFinish],Tasks[[#This Row],[_Row]]+1):INDEX(Tasks[_LeafFcstFinish],Tasks[[#This Row],[_Row]]+Tasks[[#This Row],[_Descendants]])),Tasks[[#This Row],[_LeafFcstFinish]]))</f>
        <v/>
      </c>
      <c r="V12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2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8" s="25" t="str">
        <f aca="false">IF(Tasks[[#This Row],[Task Name]]="","",IF(Tasks[[#This Row],[_IsSummary]],MIN(INDEX(Tasks[_LeafLateStart],Tasks[[#This Row],[_Row]]+1):INDEX(Tasks[_LeafLateStart],Tasks[[#This Row],[_Row]]+Tasks[[#This Row],[_Descendants]])),Tasks[[#This Row],[_LeafLateStart]]))</f>
        <v/>
      </c>
      <c r="Y128" s="25" t="str">
        <f aca="false">IF(Tasks[[#This Row],[Task Name]]="","",IF(Tasks[[#This Row],[_IsSummary]],MAX(INDEX(Tasks[_LeafLateFinish],Tasks[[#This Row],[_Row]]+1):INDEX(Tasks[_LeafLateFinish],Tasks[[#This Row],[_Row]]+Tasks[[#This Row],[_Descendants]])),Tasks[[#This Row],[_LeafLateFinish]]))</f>
        <v/>
      </c>
      <c r="Z128" s="43" t="str">
        <f aca="false">IF(Tasks[[#This Row],[Task Name]]="","",IF(Tasks[[#This Row],[_IsSummary]],MIN(INDEX(Tasks[_LeafTotalSlack],Tasks[[#This Row],[_Row]]+1):INDEX(Tasks[_LeafTotalSlack],Tasks[[#This Row],[_Row]]+Tasks[[#This Row],[_Descendants]])),Tasks[[#This Row],[_LeafTotalSlack]]))</f>
        <v/>
      </c>
      <c r="AA12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8" s="28" t="str">
        <f aca="false">IF(Tasks[[#This Row],[Task Name]]="","",IF(IF(Tasks[[#This Row],[_IsSummary]],COUNTIF(INDEX(Tasks[_LeafCritical],Tasks[[#This Row],[_Row]]+1):INDEX(Tasks[_LeafCritical],Tasks[[#This Row],[_Row]]+Tasks[[#This Row],[_Descendants]]),TRUE())&gt;0,Tasks[[#This Row],[_LeafCritical]]),"Yes",""))</f>
        <v/>
      </c>
      <c r="AC12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8" s="24" t="str">
        <f aca="false">IF(Tasks[[#This Row],[Task Name]]="","",TRIM(IF(Tasks[[#This Row],[_Pred1Problem]]&lt;&gt;"","Pred 1: "&amp;Tasks[[#This Row],[_Pred1Problem]]&amp;". ","")&amp;IF(Tasks[[#This Row],[_Pred2Problem]]&lt;&gt;"","Pred 2: "&amp;Tasks[[#This Row],[_Pred2Problem]]&amp;".","")))</f>
        <v/>
      </c>
      <c r="AE128" s="88"/>
      <c r="AF128"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8" s="28" t="str">
        <f aca="false">IF(Tasks[[#This Row],[Task Name]]="","",IF(Tasks[[#This Row],[Progress]]&gt;=1,"Complete",IF(OR(N(Tasks[[#This Row],[Actual Start]])&gt;0,Tasks[[#This Row],[Progress]]&gt;0),IF(Tasks[[#This Row],[Finish Var]]&gt;0,"Behind","In Progress"),IF(Tasks[[#This Row],[Planned Start]]&lt;StatusDate,"Late Start","Not Started"))))</f>
        <v/>
      </c>
      <c r="AH128" s="30"/>
      <c r="AI128" s="88"/>
      <c r="AJ128" s="95" t="str">
        <f aca="false">IF(Tasks[[#This Row],[Task Name]]="","",IF(Tasks[[#This Row],[_IsSummary]],SUM(INDEX(Tasks[_LeafWork],Tasks[[#This Row],[_Row]]+1):INDEX(Tasks[_LeafWork],Tasks[[#This Row],[_Row]]+Tasks[[#This Row],[_Descendants]])),Tasks[[#This Row],[_LeafWork]]))</f>
        <v/>
      </c>
      <c r="AK128" s="96" t="str">
        <f aca="false">IF(Tasks[[#This Row],[Task Name]]="","",IF(Tasks[[#This Row],[_IsSummary]],SUM(INDEX(Tasks[_LeafCost],Tasks[[#This Row],[_Row]]+1):INDEX(Tasks[_LeafCost],Tasks[[#This Row],[_Row]]+Tasks[[#This Row],[_Descendants]])),Tasks[[#This Row],[_LeafCost]]))</f>
        <v/>
      </c>
      <c r="AL128" s="97"/>
      <c r="AM128" s="29"/>
      <c r="AN12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28" s="82"/>
      <c r="AP128" s="24" t="str">
        <f aca="false">IF(Tasks[[#This Row],[Task Name]]="","",Tasks[[#This Row],[_Pred1IDText]]&amp;IF(AND(Tasks[[#This Row],[_Pred1IDText]]&lt;&gt;"",Tasks[[#This Row],[_Pred2IDText]]&lt;&gt;""),",","")&amp;Tasks[[#This Row],[_Pred2IDText]])</f>
        <v/>
      </c>
      <c r="AQ128" s="30"/>
      <c r="AR128" s="25" t="str">
        <f aca="false">IF(Tasks[[#This Row],[Task Name]]="","",Tasks[[#This Row],[Forecast Start]])</f>
        <v/>
      </c>
      <c r="AS128" s="25" t="str">
        <f aca="false">IF(Tasks[[#This Row],[Task Name]]="","",Tasks[[#This Row],[Forecast Finish]])</f>
        <v/>
      </c>
      <c r="AT128" s="28" t="str">
        <f aca="false">IF(Tasks[[#This Row],[Task Name]]="","",IF(Tasks[[#This Row],[_IsSummary]],NETWORKDAYS.INTL(Tasks[[#This Row],[Forecast Start]],Tasks[[#This Row],[Forecast Finish]],WorkWeek,Holidays),N(Tasks[[#This Row],[Duration]])))</f>
        <v/>
      </c>
      <c r="AU128" s="95" t="str">
        <f aca="false">IF(Tasks[[#This Row],[Task Name]]="","",Tasks[[#This Row],[Work]])</f>
        <v/>
      </c>
      <c r="AV128" s="96" t="str">
        <f aca="false">IF(Tasks[[#This Row],[Task Name]]="","",Tasks[[#This Row],[Cost]])</f>
        <v/>
      </c>
      <c r="AW128" s="73"/>
      <c r="AX128" s="73"/>
      <c r="AY128" s="29"/>
      <c r="AZ128" s="98"/>
      <c r="BA128" s="97"/>
      <c r="BB128" s="28" t="str">
        <f aca="false">IF(OR(Tasks[[#This Row],[Task Name]]="",Tasks[[#This Row],[Baseline Duration]]=""),"",Tasks[[#This Row],[BL Source Duration]]-N(Tasks[[#This Row],[Baseline Duration]]))</f>
        <v/>
      </c>
      <c r="BC128" s="95" t="str">
        <f aca="false">IF(OR(Tasks[[#This Row],[Task Name]]="",Tasks[[#This Row],[Baseline Work]]=""),"",Tasks[[#This Row],[Work]]-N(Tasks[[#This Row],[Baseline Work]]))</f>
        <v/>
      </c>
      <c r="BD128" s="96" t="str">
        <f aca="false">IF(OR(Tasks[[#This Row],[Task Name]]="",Tasks[[#This Row],[Baseline Cost]]=""),"",Tasks[[#This Row],[Cost]]-N(Tasks[[#This Row],[Baseline Cost]]))</f>
        <v/>
      </c>
      <c r="BE128" s="96" t="str">
        <f aca="false">IF(Tasks[[#This Row],[Task Name]]="","",IF(Tasks[[#This Row],[_IsSummary]],SUM(INDEX(Tasks[_LeafBudget],Tasks[[#This Row],[_Row]]+1):INDEX(Tasks[_LeafBudget],Tasks[[#This Row],[_Row]]+Tasks[[#This Row],[_Descendants]])),Tasks[[#This Row],[_LeafBudget]]))</f>
        <v/>
      </c>
      <c r="BF128" s="96" t="str">
        <f aca="false">IF(Tasks[[#This Row],[Task Name]]="","",IF(Tasks[[#This Row],[_IsSummary]],SUM(INDEX(Tasks[_LeafPV],Tasks[[#This Row],[_Row]]+1):INDEX(Tasks[_LeafPV],Tasks[[#This Row],[_Row]]+Tasks[[#This Row],[_Descendants]])),Tasks[[#This Row],[_LeafPV]]))</f>
        <v/>
      </c>
      <c r="BG128" s="96" t="str">
        <f aca="false">IF(Tasks[[#This Row],[Task Name]]="","",IF(Tasks[[#This Row],[_IsSummary]],SUM(INDEX(Tasks[_LeafEV],Tasks[[#This Row],[_Row]]+1):INDEX(Tasks[_LeafEV],Tasks[[#This Row],[_Row]]+Tasks[[#This Row],[_Descendants]])),Tasks[[#This Row],[_LeafEV]]))</f>
        <v/>
      </c>
      <c r="BH128" s="96" t="str">
        <f aca="false">IF(Tasks[[#This Row],[Task Name]]="","",IF(Tasks[[#This Row],[_IsSummary]],SUM(INDEX(Tasks[_LeafAC],Tasks[[#This Row],[_Row]]+1):INDEX(Tasks[_LeafAC],Tasks[[#This Row],[_Row]]+Tasks[[#This Row],[_Descendants]])),Tasks[[#This Row],[_LeafAC]]))</f>
        <v/>
      </c>
      <c r="BI128" s="41" t="str">
        <f aca="false">IF(Tasks[[#This Row],[Task Name]]="","",MAX(1,N(Tasks[[#This Row],[Level]])))</f>
        <v/>
      </c>
      <c r="BJ128" s="41" t="n">
        <f aca="false">ROW()-ROW(Tasks[[#Headers],[ID]])</f>
        <v>123</v>
      </c>
      <c r="BK128" s="41" t="n">
        <f aca="false">IF(OR(Tasks[[#This Row],[Task Name]]="",Tasks[[#This Row],[_Level]]&lt;=1),0,IFERROR(LOOKUP(2,1/(Tasks[[#Headers],[_Level]]:Tasks[[#This Row],[_Level]]=Tasks[[#This Row],[_Level]]-1),ROW(Tasks[[#Headers],[_Level]]:Tasks[[#This Row],[_Level]])),0))</f>
        <v>0</v>
      </c>
      <c r="BL128" s="41" t="n">
        <f aca="false">IFERROR(N(INDEX(Tasks[_Level],Tasks[[#This Row],[_Row]]+1)),0)</f>
        <v>0</v>
      </c>
      <c r="BM128" s="99" t="b">
        <f aca="false">AND(Tasks[[#This Row],[Task Name]]&lt;&gt;"",Tasks[[#This Row],[_NextLevel]]&gt;Tasks[[#This Row],[_Level]])</f>
        <v>0</v>
      </c>
      <c r="BN128" s="41" t="n">
        <f aca="false">IF(Tasks[[#This Row],[_IsSummary]],COUNTIF(Tasks[WBS],Tasks[[#This Row],[WBS]]&amp;".*"),0)</f>
        <v>0</v>
      </c>
      <c r="BO128" s="41" t="n">
        <f aca="false">IF(AND(Tasks[[#This Row],[Task Name]]&lt;&gt;"",NOT(Tasks[[#This Row],[_IsSummary]])),1,0)</f>
        <v>0</v>
      </c>
      <c r="BP128" s="41" t="n">
        <f aca="false">IF(N(Tasks[[#This Row],[Pred1 UID]])=0,0,IFERROR(MATCH(Tasks[[#This Row],[Pred1 UID]],Tasks[UID],0),-1))</f>
        <v>0</v>
      </c>
      <c r="BQ128" s="41" t="n">
        <f aca="false">IF(N(Tasks[[#This Row],[Pred2 UID]])=0,0,IFERROR(MATCH(Tasks[[#This Row],[Pred2 UID]],Tasks[UID],0),-1))</f>
        <v>0</v>
      </c>
      <c r="BR128"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28" s="100" t="str">
        <f aca="false">IF(NOT(Tasks[[#This Row],[_IsLeaf]]=1),"",IF(N(Tasks[[#This Row],[Duration]])&lt;=0,Tasks[[#This Row],[_LeafCalcStart]],WORKDAY.INTL(Tasks[[#This Row],[_LeafCalcStart]],Tasks[[#This Row],[Duration]]-1,WorkWeek,Holidays)))</f>
        <v/>
      </c>
      <c r="BT128"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28"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28" s="41" t="n">
        <f aca="false">IF(NOT(Tasks[[#This Row],[_IsLeaf]]=1),0,IF(N(Tasks[[#This Row],[Actual Finish]])&gt;0,1,MIN(1,N(Tasks[[#This Row],[% Complete]]))))</f>
        <v>0</v>
      </c>
      <c r="BW128" s="41" t="n">
        <f aca="false">IF(OR(NOT(Tasks[[#This Row],[_IsLeaf]]=1),Tasks[[#This Row],[Resource]]=""),0,N(Tasks[[#This Row],[Duration]])*HoursPerDay*IF(Tasks[[#This Row],[Units]]="",DefaultUnits,Tasks[[#This Row],[Units]]))</f>
        <v>0</v>
      </c>
      <c r="BX128" s="41" t="n">
        <f aca="false">IF(Tasks[[#This Row],[_LeafWork]]=0,0,Tasks[[#This Row],[_LeafWork]]*IFERROR(INDEX(res_Rate,MATCH(Tasks[[#This Row],[Resource]],res_Name,0)),0))</f>
        <v>0</v>
      </c>
      <c r="BY12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2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2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2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28" s="41" t="n">
        <f aca="false">IF(NOT(Tasks[[#This Row],[_IsLeaf]]=1),0,MAX(_xlfn.MAXIFS(Tasks[_Row],Tasks[Pred1 UID],Tasks[[#This Row],[UID]]),_xlfn.MAXIFS(Tasks[_Row],Tasks[Pred2 UID],Tasks[[#This Row],[UID]])))</f>
        <v>0</v>
      </c>
      <c r="CD128"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28" s="100" t="str">
        <f aca="false">IF(NOT(Tasks[[#This Row],[_IsLeaf]]=1),"",MIN(ProjectFinish,IF(N(Tasks[[#This Row],[Deadline]])&gt;0,Tasks[[#This Row],[Deadline]],2958465),Tasks[[#This Row],[_SuccessorFinishLimit]]))</f>
        <v/>
      </c>
      <c r="CF128" s="100" t="str">
        <f aca="false">IF(NOT(Tasks[[#This Row],[_IsLeaf]]=1),"",IF(N(Tasks[[#This Row],[Duration]])&lt;=0,Tasks[[#This Row],[_LeafLateFinish]],WORKDAY.INTL(Tasks[[#This Row],[_LeafLateFinish]],-(Tasks[[#This Row],[Duration]]-1),WorkWeek,Holidays)))</f>
        <v/>
      </c>
      <c r="CG12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28" s="99" t="b">
        <f aca="false">AND(Tasks[[#This Row],[_IsLeaf]]=1,Tasks[[#This Row],[_LeafProgress]]&lt;1,N(Tasks[[#This Row],[_LeafTotalSlack]])&lt;=CriticalSlackDays)</f>
        <v>0</v>
      </c>
      <c r="CI128" s="100" t="str">
        <f aca="false">IF(Tasks[[#This Row],[Task Name]]="","",IF(Tasks[[#This Row],[_IsSummary]],MIN(INDEX(Tasks[_LeafCalcStart],Tasks[[#This Row],[_Row]]+1):INDEX(Tasks[_LeafCalcStart],Tasks[[#This Row],[_Row]]+Tasks[[#This Row],[_Descendants]])),Tasks[[#This Row],[_LeafCalcStart]]))</f>
        <v/>
      </c>
      <c r="CJ128" s="100" t="str">
        <f aca="false">IF(Tasks[[#This Row],[Task Name]]="","",IF(Tasks[[#This Row],[_IsSummary]],MAX(INDEX(Tasks[_LeafCalcFinish],Tasks[[#This Row],[_Row]]+1):INDEX(Tasks[_LeafCalcFinish],Tasks[[#This Row],[_Row]]+Tasks[[#This Row],[_Descendants]])),Tasks[[#This Row],[_LeafCalcFinish]]))</f>
        <v/>
      </c>
      <c r="CK12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2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28"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28"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28"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28"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28" s="41" t="n">
        <f aca="false">IF(AND(Tasks[[#This Row],[_IsLeaf]]=1,Tasks[[#This Row],[_LeafWork]]&gt;0),NETWORKDAYS.INTL(ProjectStart,Tasks[[#This Row],[_LeafFcstStart]],WorkWeek,Holidays),0)</f>
        <v>0</v>
      </c>
      <c r="CR128" s="41" t="n">
        <f aca="false">IF(AND(Tasks[[#This Row],[_IsLeaf]]=1,Tasks[[#This Row],[_LeafWork]]&gt;0),MAX(Tasks[[#This Row],[_StartWorkday]],NETWORKDAYS.INTL(ProjectStart,Tasks[[#This Row],[_LeafFcstFinish]],WorkWeek,Holidays)),0)</f>
        <v>0</v>
      </c>
      <c r="CS128" s="41" t="n">
        <f aca="false">IF(AND(Tasks[[#This Row],[_IsLeaf]]=1,Tasks[[#This Row],[_LeafWork]]&gt;0),Tasks[[#This Row],[_LeafWork]]/(Tasks[[#This Row],[_FinishWorkday]]-Tasks[[#This Row],[_StartWorkday]]+1),0)</f>
        <v>0</v>
      </c>
      <c r="CT128" s="41" t="n">
        <f aca="false">Tasks[[#This Row],[_WorkPerWorkday]]*(Tasks[[#This Row],[_StartWorkday]]-1)</f>
        <v>-0</v>
      </c>
      <c r="CU128" s="41" t="n">
        <f aca="false">IF(Tasks[[#This Row],[_IsLeaf]]=1,MAX(N(Tasks[[#This Row],[Duration]]),0.1),0)</f>
        <v>0</v>
      </c>
      <c r="CV128" s="41" t="n">
        <f aca="false">Tasks[[#This Row],[_WeightDur]]*Tasks[[#This Row],[_LeafProgress]]</f>
        <v>0</v>
      </c>
      <c r="CW12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2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2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2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28" s="41" t="str">
        <f aca="false">IF(Tasks[[#This Row],[Task Name]]="","",Tasks[[#This Row],[_Pred1UIDText]]&amp;IF(AND(Tasks[[#This Row],[_Pred1UIDText]]&lt;&gt;"",Tasks[[#This Row],[_Pred2UIDText]]&lt;&gt;""),",","")&amp;Tasks[[#This Row],[_Pred2UIDText]])</f>
        <v/>
      </c>
      <c r="DB128" s="41" t="str">
        <f aca="false">IF(AND(Tasks[[#This Row],[_IsLeaf]]=1,N(Tasks[[#This Row],[Duration]])=0,Tasks[[#This Row],[_LeafProgress]]&lt;1),Tasks[[#This Row],[_LeafFcstFinish]]+Tasks[[#This Row],[_Row]]/100000,"")</f>
        <v/>
      </c>
      <c r="DC12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28" s="41" t="n">
        <f aca="false">IF(NOT(Tasks[[#This Row],[_IsLeaf]]=1),0,IF(Tasks[[#This Row],[Baseline Cost]]="",Tasks[[#This Row],[_LeafCost]],N(Tasks[[#This Row],[Baseline Cost]])))</f>
        <v>0</v>
      </c>
      <c r="DE128" s="41" t="n">
        <f aca="false">Tasks[[#This Row],[_LeafBudget]]*Tasks[[#This Row],[_PlannedPct]]</f>
        <v>0</v>
      </c>
      <c r="DF128" s="41" t="n">
        <f aca="false">Tasks[[#This Row],[_LeafBudget]]*Tasks[[#This Row],[_LeafProgress]]</f>
        <v>0</v>
      </c>
      <c r="DG128" s="41" t="n">
        <f aca="false">IF(NOT(Tasks[[#This Row],[_IsLeaf]]=1),0,IF(Tasks[[#This Row],[Actual Cost]]="",Tasks[[#This Row],[_LeafCost]]*Tasks[[#This Row],[_LeafProgress]],N(Tasks[[#This Row],[Actual Cost]])))</f>
        <v>0</v>
      </c>
      <c r="DH128" s="41" t="str">
        <f aca="false">IF(Tasks[[#This Row],[Task Name]]="","",LEFT(Tasks[[#This Row],[WBS]],FIND(".",Tasks[[#This Row],[WBS]]&amp;".")-1))</f>
        <v/>
      </c>
      <c r="DI128" s="41" t="str">
        <f aca="false">IF(AND(Tasks[[#This Row],[Task Name]]&lt;&gt;"",Tasks[[#This Row],[_Level]]=1),Tasks[[#This Row],[_Row]],"")</f>
        <v/>
      </c>
      <c r="DJ128" s="41" t="str">
        <f aca="false">IF(AND(Tasks[[#This Row],[_IsLeaf]]=1,N(Tasks[[#This Row],[Duration]])=0),Tasks[[#This Row],[Planned Finish]]+Tasks[[#This Row],[_Row]]/100000,"")</f>
        <v/>
      </c>
      <c r="DK128" s="41" t="str">
        <f aca="false">IF(AND(Tasks[[#This Row],[_IsLeaf]]=1,Tasks[[#This Row],[_LeafProgress]]&lt;1,OR(N(Tasks[[#This Row],[Finish Var]])&gt;0,Tasks[[#This Row],[Status]]="Late Start")),MAX(0,Tasks[[#This Row],[Finish Var]])+1-Tasks[[#This Row],[_Row]]/1000000,"")</f>
        <v/>
      </c>
      <c r="DL128" s="41" t="str">
        <f aca="false">IF(AND(Tasks[[#This Row],[_IsLeaf]]=1,N(Tasks[[#This Row],[Actual Start]])=0,Tasks[[#This Row],[_LeafFcstStart]]&gt;=StatusDate,Tasks[[#This Row],[_LeafFcstStart]]&lt;=LookaheadEnd),Tasks[[#This Row],[_LeafFcstStart]]+Tasks[[#This Row],[_Row]]/100000,"")</f>
        <v/>
      </c>
      <c r="DM128" s="41" t="str">
        <f aca="false">IF(AND(Tasks[[#This Row],[_IsLeaf]]=1,Tasks[[#This Row],[_LeafProgress]]&lt;1,Tasks[[#This Row],[_LeafFcstFinish]]&gt;=StatusDate,Tasks[[#This Row],[_LeafFcstFinish]]&lt;=LookaheadEnd),Tasks[[#This Row],[_LeafFcstFinish]]+Tasks[[#This Row],[_Row]]/100000,"")</f>
        <v/>
      </c>
      <c r="DN128" s="41" t="str">
        <f aca="false">IF(Tasks[[#This Row],[_LeafCritical]],Tasks[[#This Row],[_LeafFcstStart]]+Tasks[[#This Row],[_Row]]/100000,"")</f>
        <v/>
      </c>
      <c r="DO128" s="41" t="n">
        <f aca="false">Tasks[[#This Row],[_LeafWork]]*Tasks[[#This Row],[_LeafProgress]]</f>
        <v>0</v>
      </c>
      <c r="DP128" s="100" t="str">
        <f aca="false">IF(AND(Tasks[[#This Row],[_IsLeaf]]=1,Tasks[[#This Row],[_LeafProgress]]&gt;=1),IF(N(Tasks[[#This Row],[Actual Finish]])&gt;0,Tasks[[#This Row],[Actual Finish]],Tasks[[#This Row],[_LeafFcstFinish]]),"")</f>
        <v/>
      </c>
      <c r="DQ128" s="41" t="n">
        <f aca="false">IF(Tasks[[#This Row],[_IsLeaf]]=1,N(Tasks[[#This Row],[Story Points]]),0)</f>
        <v>0</v>
      </c>
      <c r="DR128" s="41" t="str">
        <f aca="false">IF(AND(Tasks[[#This Row],[_IsLeaf]]=1,CurrentSprint&lt;&gt;"",Tasks[[#This Row],[Sprint]]=CurrentSprint),Tasks[[#This Row],[_Row]],"")</f>
        <v/>
      </c>
    </row>
    <row r="129" customFormat="false" ht="15" hidden="false" customHeight="false" outlineLevel="0" collapsed="false">
      <c r="A129" s="28" t="str">
        <f aca="false">IF(Tasks[[#This Row],[Task Name]]="","",COUNTA(Tasks[[#Headers],[Task Name]]:Tasks[[#This Row],[Task Name]])-1)</f>
        <v/>
      </c>
      <c r="B129" s="29" t="n">
        <v>124</v>
      </c>
      <c r="C12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9" s="29"/>
      <c r="E129" s="30"/>
      <c r="F129" s="29"/>
      <c r="G129" s="29"/>
      <c r="H129" s="29"/>
      <c r="I129" s="29"/>
      <c r="J129" s="29"/>
      <c r="K129" s="29"/>
      <c r="L129" s="29"/>
      <c r="M129" s="29"/>
      <c r="N129" s="73"/>
      <c r="O129" s="73"/>
      <c r="P129" s="25" t="str">
        <f aca="false">IF(Tasks[[#This Row],[Task Name]]="","",IF(N(Tasks[[#This Row],[Baseline Start]])&gt;0,Tasks[[#This Row],[Baseline Start]],Tasks[[#This Row],[_CalcStart]]))</f>
        <v/>
      </c>
      <c r="Q129" s="25" t="str">
        <f aca="false">IF(Tasks[[#This Row],[Task Name]]="","",IF(N(Tasks[[#This Row],[Baseline Finish]])&gt;0,Tasks[[#This Row],[Baseline Finish]],Tasks[[#This Row],[_CalcFinish]]))</f>
        <v/>
      </c>
      <c r="R129" s="73"/>
      <c r="S129" s="73"/>
      <c r="T129" s="25" t="str">
        <f aca="false">IF(Tasks[[#This Row],[Task Name]]="","",IF(Tasks[[#This Row],[_IsSummary]],MIN(INDEX(Tasks[_LeafFcstStart],Tasks[[#This Row],[_Row]]+1):INDEX(Tasks[_LeafFcstStart],Tasks[[#This Row],[_Row]]+Tasks[[#This Row],[_Descendants]])),Tasks[[#This Row],[_LeafFcstStart]]))</f>
        <v/>
      </c>
      <c r="U129" s="25" t="str">
        <f aca="false">IF(Tasks[[#This Row],[Task Name]]="","",IF(Tasks[[#This Row],[_IsSummary]],MAX(INDEX(Tasks[_LeafFcstFinish],Tasks[[#This Row],[_Row]]+1):INDEX(Tasks[_LeafFcstFinish],Tasks[[#This Row],[_Row]]+Tasks[[#This Row],[_Descendants]])),Tasks[[#This Row],[_LeafFcstFinish]]))</f>
        <v/>
      </c>
      <c r="V12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2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9" s="25" t="str">
        <f aca="false">IF(Tasks[[#This Row],[Task Name]]="","",IF(Tasks[[#This Row],[_IsSummary]],MIN(INDEX(Tasks[_LeafLateStart],Tasks[[#This Row],[_Row]]+1):INDEX(Tasks[_LeafLateStart],Tasks[[#This Row],[_Row]]+Tasks[[#This Row],[_Descendants]])),Tasks[[#This Row],[_LeafLateStart]]))</f>
        <v/>
      </c>
      <c r="Y129" s="25" t="str">
        <f aca="false">IF(Tasks[[#This Row],[Task Name]]="","",IF(Tasks[[#This Row],[_IsSummary]],MAX(INDEX(Tasks[_LeafLateFinish],Tasks[[#This Row],[_Row]]+1):INDEX(Tasks[_LeafLateFinish],Tasks[[#This Row],[_Row]]+Tasks[[#This Row],[_Descendants]])),Tasks[[#This Row],[_LeafLateFinish]]))</f>
        <v/>
      </c>
      <c r="Z129" s="43" t="str">
        <f aca="false">IF(Tasks[[#This Row],[Task Name]]="","",IF(Tasks[[#This Row],[_IsSummary]],MIN(INDEX(Tasks[_LeafTotalSlack],Tasks[[#This Row],[_Row]]+1):INDEX(Tasks[_LeafTotalSlack],Tasks[[#This Row],[_Row]]+Tasks[[#This Row],[_Descendants]])),Tasks[[#This Row],[_LeafTotalSlack]]))</f>
        <v/>
      </c>
      <c r="AA12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9" s="28" t="str">
        <f aca="false">IF(Tasks[[#This Row],[Task Name]]="","",IF(IF(Tasks[[#This Row],[_IsSummary]],COUNTIF(INDEX(Tasks[_LeafCritical],Tasks[[#This Row],[_Row]]+1):INDEX(Tasks[_LeafCritical],Tasks[[#This Row],[_Row]]+Tasks[[#This Row],[_Descendants]]),TRUE())&gt;0,Tasks[[#This Row],[_LeafCritical]]),"Yes",""))</f>
        <v/>
      </c>
      <c r="AC12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9" s="24" t="str">
        <f aca="false">IF(Tasks[[#This Row],[Task Name]]="","",TRIM(IF(Tasks[[#This Row],[_Pred1Problem]]&lt;&gt;"","Pred 1: "&amp;Tasks[[#This Row],[_Pred1Problem]]&amp;". ","")&amp;IF(Tasks[[#This Row],[_Pred2Problem]]&lt;&gt;"","Pred 2: "&amp;Tasks[[#This Row],[_Pred2Problem]]&amp;".","")))</f>
        <v/>
      </c>
      <c r="AE129" s="88"/>
      <c r="AF129"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9" s="28" t="str">
        <f aca="false">IF(Tasks[[#This Row],[Task Name]]="","",IF(Tasks[[#This Row],[Progress]]&gt;=1,"Complete",IF(OR(N(Tasks[[#This Row],[Actual Start]])&gt;0,Tasks[[#This Row],[Progress]]&gt;0),IF(Tasks[[#This Row],[Finish Var]]&gt;0,"Behind","In Progress"),IF(Tasks[[#This Row],[Planned Start]]&lt;StatusDate,"Late Start","Not Started"))))</f>
        <v/>
      </c>
      <c r="AH129" s="30"/>
      <c r="AI129" s="88"/>
      <c r="AJ129" s="95" t="str">
        <f aca="false">IF(Tasks[[#This Row],[Task Name]]="","",IF(Tasks[[#This Row],[_IsSummary]],SUM(INDEX(Tasks[_LeafWork],Tasks[[#This Row],[_Row]]+1):INDEX(Tasks[_LeafWork],Tasks[[#This Row],[_Row]]+Tasks[[#This Row],[_Descendants]])),Tasks[[#This Row],[_LeafWork]]))</f>
        <v/>
      </c>
      <c r="AK129" s="96" t="str">
        <f aca="false">IF(Tasks[[#This Row],[Task Name]]="","",IF(Tasks[[#This Row],[_IsSummary]],SUM(INDEX(Tasks[_LeafCost],Tasks[[#This Row],[_Row]]+1):INDEX(Tasks[_LeafCost],Tasks[[#This Row],[_Row]]+Tasks[[#This Row],[_Descendants]])),Tasks[[#This Row],[_LeafCost]]))</f>
        <v/>
      </c>
      <c r="AL129" s="97"/>
      <c r="AM129" s="29"/>
      <c r="AN12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29" s="82"/>
      <c r="AP129" s="24" t="str">
        <f aca="false">IF(Tasks[[#This Row],[Task Name]]="","",Tasks[[#This Row],[_Pred1IDText]]&amp;IF(AND(Tasks[[#This Row],[_Pred1IDText]]&lt;&gt;"",Tasks[[#This Row],[_Pred2IDText]]&lt;&gt;""),",","")&amp;Tasks[[#This Row],[_Pred2IDText]])</f>
        <v/>
      </c>
      <c r="AQ129" s="30"/>
      <c r="AR129" s="25" t="str">
        <f aca="false">IF(Tasks[[#This Row],[Task Name]]="","",Tasks[[#This Row],[Forecast Start]])</f>
        <v/>
      </c>
      <c r="AS129" s="25" t="str">
        <f aca="false">IF(Tasks[[#This Row],[Task Name]]="","",Tasks[[#This Row],[Forecast Finish]])</f>
        <v/>
      </c>
      <c r="AT129" s="28" t="str">
        <f aca="false">IF(Tasks[[#This Row],[Task Name]]="","",IF(Tasks[[#This Row],[_IsSummary]],NETWORKDAYS.INTL(Tasks[[#This Row],[Forecast Start]],Tasks[[#This Row],[Forecast Finish]],WorkWeek,Holidays),N(Tasks[[#This Row],[Duration]])))</f>
        <v/>
      </c>
      <c r="AU129" s="95" t="str">
        <f aca="false">IF(Tasks[[#This Row],[Task Name]]="","",Tasks[[#This Row],[Work]])</f>
        <v/>
      </c>
      <c r="AV129" s="96" t="str">
        <f aca="false">IF(Tasks[[#This Row],[Task Name]]="","",Tasks[[#This Row],[Cost]])</f>
        <v/>
      </c>
      <c r="AW129" s="73"/>
      <c r="AX129" s="73"/>
      <c r="AY129" s="29"/>
      <c r="AZ129" s="98"/>
      <c r="BA129" s="97"/>
      <c r="BB129" s="28" t="str">
        <f aca="false">IF(OR(Tasks[[#This Row],[Task Name]]="",Tasks[[#This Row],[Baseline Duration]]=""),"",Tasks[[#This Row],[BL Source Duration]]-N(Tasks[[#This Row],[Baseline Duration]]))</f>
        <v/>
      </c>
      <c r="BC129" s="95" t="str">
        <f aca="false">IF(OR(Tasks[[#This Row],[Task Name]]="",Tasks[[#This Row],[Baseline Work]]=""),"",Tasks[[#This Row],[Work]]-N(Tasks[[#This Row],[Baseline Work]]))</f>
        <v/>
      </c>
      <c r="BD129" s="96" t="str">
        <f aca="false">IF(OR(Tasks[[#This Row],[Task Name]]="",Tasks[[#This Row],[Baseline Cost]]=""),"",Tasks[[#This Row],[Cost]]-N(Tasks[[#This Row],[Baseline Cost]]))</f>
        <v/>
      </c>
      <c r="BE129" s="96" t="str">
        <f aca="false">IF(Tasks[[#This Row],[Task Name]]="","",IF(Tasks[[#This Row],[_IsSummary]],SUM(INDEX(Tasks[_LeafBudget],Tasks[[#This Row],[_Row]]+1):INDEX(Tasks[_LeafBudget],Tasks[[#This Row],[_Row]]+Tasks[[#This Row],[_Descendants]])),Tasks[[#This Row],[_LeafBudget]]))</f>
        <v/>
      </c>
      <c r="BF129" s="96" t="str">
        <f aca="false">IF(Tasks[[#This Row],[Task Name]]="","",IF(Tasks[[#This Row],[_IsSummary]],SUM(INDEX(Tasks[_LeafPV],Tasks[[#This Row],[_Row]]+1):INDEX(Tasks[_LeafPV],Tasks[[#This Row],[_Row]]+Tasks[[#This Row],[_Descendants]])),Tasks[[#This Row],[_LeafPV]]))</f>
        <v/>
      </c>
      <c r="BG129" s="96" t="str">
        <f aca="false">IF(Tasks[[#This Row],[Task Name]]="","",IF(Tasks[[#This Row],[_IsSummary]],SUM(INDEX(Tasks[_LeafEV],Tasks[[#This Row],[_Row]]+1):INDEX(Tasks[_LeafEV],Tasks[[#This Row],[_Row]]+Tasks[[#This Row],[_Descendants]])),Tasks[[#This Row],[_LeafEV]]))</f>
        <v/>
      </c>
      <c r="BH129" s="96" t="str">
        <f aca="false">IF(Tasks[[#This Row],[Task Name]]="","",IF(Tasks[[#This Row],[_IsSummary]],SUM(INDEX(Tasks[_LeafAC],Tasks[[#This Row],[_Row]]+1):INDEX(Tasks[_LeafAC],Tasks[[#This Row],[_Row]]+Tasks[[#This Row],[_Descendants]])),Tasks[[#This Row],[_LeafAC]]))</f>
        <v/>
      </c>
      <c r="BI129" s="41" t="str">
        <f aca="false">IF(Tasks[[#This Row],[Task Name]]="","",MAX(1,N(Tasks[[#This Row],[Level]])))</f>
        <v/>
      </c>
      <c r="BJ129" s="41" t="n">
        <f aca="false">ROW()-ROW(Tasks[[#Headers],[ID]])</f>
        <v>124</v>
      </c>
      <c r="BK129" s="41" t="n">
        <f aca="false">IF(OR(Tasks[[#This Row],[Task Name]]="",Tasks[[#This Row],[_Level]]&lt;=1),0,IFERROR(LOOKUP(2,1/(Tasks[[#Headers],[_Level]]:Tasks[[#This Row],[_Level]]=Tasks[[#This Row],[_Level]]-1),ROW(Tasks[[#Headers],[_Level]]:Tasks[[#This Row],[_Level]])),0))</f>
        <v>0</v>
      </c>
      <c r="BL129" s="41" t="n">
        <f aca="false">IFERROR(N(INDEX(Tasks[_Level],Tasks[[#This Row],[_Row]]+1)),0)</f>
        <v>0</v>
      </c>
      <c r="BM129" s="99" t="b">
        <f aca="false">AND(Tasks[[#This Row],[Task Name]]&lt;&gt;"",Tasks[[#This Row],[_NextLevel]]&gt;Tasks[[#This Row],[_Level]])</f>
        <v>0</v>
      </c>
      <c r="BN129" s="41" t="n">
        <f aca="false">IF(Tasks[[#This Row],[_IsSummary]],COUNTIF(Tasks[WBS],Tasks[[#This Row],[WBS]]&amp;".*"),0)</f>
        <v>0</v>
      </c>
      <c r="BO129" s="41" t="n">
        <f aca="false">IF(AND(Tasks[[#This Row],[Task Name]]&lt;&gt;"",NOT(Tasks[[#This Row],[_IsSummary]])),1,0)</f>
        <v>0</v>
      </c>
      <c r="BP129" s="41" t="n">
        <f aca="false">IF(N(Tasks[[#This Row],[Pred1 UID]])=0,0,IFERROR(MATCH(Tasks[[#This Row],[Pred1 UID]],Tasks[UID],0),-1))</f>
        <v>0</v>
      </c>
      <c r="BQ129" s="41" t="n">
        <f aca="false">IF(N(Tasks[[#This Row],[Pred2 UID]])=0,0,IFERROR(MATCH(Tasks[[#This Row],[Pred2 UID]],Tasks[UID],0),-1))</f>
        <v>0</v>
      </c>
      <c r="BR129"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29" s="100" t="str">
        <f aca="false">IF(NOT(Tasks[[#This Row],[_IsLeaf]]=1),"",IF(N(Tasks[[#This Row],[Duration]])&lt;=0,Tasks[[#This Row],[_LeafCalcStart]],WORKDAY.INTL(Tasks[[#This Row],[_LeafCalcStart]],Tasks[[#This Row],[Duration]]-1,WorkWeek,Holidays)))</f>
        <v/>
      </c>
      <c r="BT129"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29"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29" s="41" t="n">
        <f aca="false">IF(NOT(Tasks[[#This Row],[_IsLeaf]]=1),0,IF(N(Tasks[[#This Row],[Actual Finish]])&gt;0,1,MIN(1,N(Tasks[[#This Row],[% Complete]]))))</f>
        <v>0</v>
      </c>
      <c r="BW129" s="41" t="n">
        <f aca="false">IF(OR(NOT(Tasks[[#This Row],[_IsLeaf]]=1),Tasks[[#This Row],[Resource]]=""),0,N(Tasks[[#This Row],[Duration]])*HoursPerDay*IF(Tasks[[#This Row],[Units]]="",DefaultUnits,Tasks[[#This Row],[Units]]))</f>
        <v>0</v>
      </c>
      <c r="BX129" s="41" t="n">
        <f aca="false">IF(Tasks[[#This Row],[_LeafWork]]=0,0,Tasks[[#This Row],[_LeafWork]]*IFERROR(INDEX(res_Rate,MATCH(Tasks[[#This Row],[Resource]],res_Name,0)),0))</f>
        <v>0</v>
      </c>
      <c r="BY12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2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2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2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29" s="41" t="n">
        <f aca="false">IF(NOT(Tasks[[#This Row],[_IsLeaf]]=1),0,MAX(_xlfn.MAXIFS(Tasks[_Row],Tasks[Pred1 UID],Tasks[[#This Row],[UID]]),_xlfn.MAXIFS(Tasks[_Row],Tasks[Pred2 UID],Tasks[[#This Row],[UID]])))</f>
        <v>0</v>
      </c>
      <c r="CD129"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29" s="100" t="str">
        <f aca="false">IF(NOT(Tasks[[#This Row],[_IsLeaf]]=1),"",MIN(ProjectFinish,IF(N(Tasks[[#This Row],[Deadline]])&gt;0,Tasks[[#This Row],[Deadline]],2958465),Tasks[[#This Row],[_SuccessorFinishLimit]]))</f>
        <v/>
      </c>
      <c r="CF129" s="100" t="str">
        <f aca="false">IF(NOT(Tasks[[#This Row],[_IsLeaf]]=1),"",IF(N(Tasks[[#This Row],[Duration]])&lt;=0,Tasks[[#This Row],[_LeafLateFinish]],WORKDAY.INTL(Tasks[[#This Row],[_LeafLateFinish]],-(Tasks[[#This Row],[Duration]]-1),WorkWeek,Holidays)))</f>
        <v/>
      </c>
      <c r="CG12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29" s="99" t="b">
        <f aca="false">AND(Tasks[[#This Row],[_IsLeaf]]=1,Tasks[[#This Row],[_LeafProgress]]&lt;1,N(Tasks[[#This Row],[_LeafTotalSlack]])&lt;=CriticalSlackDays)</f>
        <v>0</v>
      </c>
      <c r="CI129" s="100" t="str">
        <f aca="false">IF(Tasks[[#This Row],[Task Name]]="","",IF(Tasks[[#This Row],[_IsSummary]],MIN(INDEX(Tasks[_LeafCalcStart],Tasks[[#This Row],[_Row]]+1):INDEX(Tasks[_LeafCalcStart],Tasks[[#This Row],[_Row]]+Tasks[[#This Row],[_Descendants]])),Tasks[[#This Row],[_LeafCalcStart]]))</f>
        <v/>
      </c>
      <c r="CJ129" s="100" t="str">
        <f aca="false">IF(Tasks[[#This Row],[Task Name]]="","",IF(Tasks[[#This Row],[_IsSummary]],MAX(INDEX(Tasks[_LeafCalcFinish],Tasks[[#This Row],[_Row]]+1):INDEX(Tasks[_LeafCalcFinish],Tasks[[#This Row],[_Row]]+Tasks[[#This Row],[_Descendants]])),Tasks[[#This Row],[_LeafCalcFinish]]))</f>
        <v/>
      </c>
      <c r="CK12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2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29"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29"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29"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29"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29" s="41" t="n">
        <f aca="false">IF(AND(Tasks[[#This Row],[_IsLeaf]]=1,Tasks[[#This Row],[_LeafWork]]&gt;0),NETWORKDAYS.INTL(ProjectStart,Tasks[[#This Row],[_LeafFcstStart]],WorkWeek,Holidays),0)</f>
        <v>0</v>
      </c>
      <c r="CR129" s="41" t="n">
        <f aca="false">IF(AND(Tasks[[#This Row],[_IsLeaf]]=1,Tasks[[#This Row],[_LeafWork]]&gt;0),MAX(Tasks[[#This Row],[_StartWorkday]],NETWORKDAYS.INTL(ProjectStart,Tasks[[#This Row],[_LeafFcstFinish]],WorkWeek,Holidays)),0)</f>
        <v>0</v>
      </c>
      <c r="CS129" s="41" t="n">
        <f aca="false">IF(AND(Tasks[[#This Row],[_IsLeaf]]=1,Tasks[[#This Row],[_LeafWork]]&gt;0),Tasks[[#This Row],[_LeafWork]]/(Tasks[[#This Row],[_FinishWorkday]]-Tasks[[#This Row],[_StartWorkday]]+1),0)</f>
        <v>0</v>
      </c>
      <c r="CT129" s="41" t="n">
        <f aca="false">Tasks[[#This Row],[_WorkPerWorkday]]*(Tasks[[#This Row],[_StartWorkday]]-1)</f>
        <v>-0</v>
      </c>
      <c r="CU129" s="41" t="n">
        <f aca="false">IF(Tasks[[#This Row],[_IsLeaf]]=1,MAX(N(Tasks[[#This Row],[Duration]]),0.1),0)</f>
        <v>0</v>
      </c>
      <c r="CV129" s="41" t="n">
        <f aca="false">Tasks[[#This Row],[_WeightDur]]*Tasks[[#This Row],[_LeafProgress]]</f>
        <v>0</v>
      </c>
      <c r="CW12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2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2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2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29" s="41" t="str">
        <f aca="false">IF(Tasks[[#This Row],[Task Name]]="","",Tasks[[#This Row],[_Pred1UIDText]]&amp;IF(AND(Tasks[[#This Row],[_Pred1UIDText]]&lt;&gt;"",Tasks[[#This Row],[_Pred2UIDText]]&lt;&gt;""),",","")&amp;Tasks[[#This Row],[_Pred2UIDText]])</f>
        <v/>
      </c>
      <c r="DB129" s="41" t="str">
        <f aca="false">IF(AND(Tasks[[#This Row],[_IsLeaf]]=1,N(Tasks[[#This Row],[Duration]])=0,Tasks[[#This Row],[_LeafProgress]]&lt;1),Tasks[[#This Row],[_LeafFcstFinish]]+Tasks[[#This Row],[_Row]]/100000,"")</f>
        <v/>
      </c>
      <c r="DC12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29" s="41" t="n">
        <f aca="false">IF(NOT(Tasks[[#This Row],[_IsLeaf]]=1),0,IF(Tasks[[#This Row],[Baseline Cost]]="",Tasks[[#This Row],[_LeafCost]],N(Tasks[[#This Row],[Baseline Cost]])))</f>
        <v>0</v>
      </c>
      <c r="DE129" s="41" t="n">
        <f aca="false">Tasks[[#This Row],[_LeafBudget]]*Tasks[[#This Row],[_PlannedPct]]</f>
        <v>0</v>
      </c>
      <c r="DF129" s="41" t="n">
        <f aca="false">Tasks[[#This Row],[_LeafBudget]]*Tasks[[#This Row],[_LeafProgress]]</f>
        <v>0</v>
      </c>
      <c r="DG129" s="41" t="n">
        <f aca="false">IF(NOT(Tasks[[#This Row],[_IsLeaf]]=1),0,IF(Tasks[[#This Row],[Actual Cost]]="",Tasks[[#This Row],[_LeafCost]]*Tasks[[#This Row],[_LeafProgress]],N(Tasks[[#This Row],[Actual Cost]])))</f>
        <v>0</v>
      </c>
      <c r="DH129" s="41" t="str">
        <f aca="false">IF(Tasks[[#This Row],[Task Name]]="","",LEFT(Tasks[[#This Row],[WBS]],FIND(".",Tasks[[#This Row],[WBS]]&amp;".")-1))</f>
        <v/>
      </c>
      <c r="DI129" s="41" t="str">
        <f aca="false">IF(AND(Tasks[[#This Row],[Task Name]]&lt;&gt;"",Tasks[[#This Row],[_Level]]=1),Tasks[[#This Row],[_Row]],"")</f>
        <v/>
      </c>
      <c r="DJ129" s="41" t="str">
        <f aca="false">IF(AND(Tasks[[#This Row],[_IsLeaf]]=1,N(Tasks[[#This Row],[Duration]])=0),Tasks[[#This Row],[Planned Finish]]+Tasks[[#This Row],[_Row]]/100000,"")</f>
        <v/>
      </c>
      <c r="DK129" s="41" t="str">
        <f aca="false">IF(AND(Tasks[[#This Row],[_IsLeaf]]=1,Tasks[[#This Row],[_LeafProgress]]&lt;1,OR(N(Tasks[[#This Row],[Finish Var]])&gt;0,Tasks[[#This Row],[Status]]="Late Start")),MAX(0,Tasks[[#This Row],[Finish Var]])+1-Tasks[[#This Row],[_Row]]/1000000,"")</f>
        <v/>
      </c>
      <c r="DL129" s="41" t="str">
        <f aca="false">IF(AND(Tasks[[#This Row],[_IsLeaf]]=1,N(Tasks[[#This Row],[Actual Start]])=0,Tasks[[#This Row],[_LeafFcstStart]]&gt;=StatusDate,Tasks[[#This Row],[_LeafFcstStart]]&lt;=LookaheadEnd),Tasks[[#This Row],[_LeafFcstStart]]+Tasks[[#This Row],[_Row]]/100000,"")</f>
        <v/>
      </c>
      <c r="DM129" s="41" t="str">
        <f aca="false">IF(AND(Tasks[[#This Row],[_IsLeaf]]=1,Tasks[[#This Row],[_LeafProgress]]&lt;1,Tasks[[#This Row],[_LeafFcstFinish]]&gt;=StatusDate,Tasks[[#This Row],[_LeafFcstFinish]]&lt;=LookaheadEnd),Tasks[[#This Row],[_LeafFcstFinish]]+Tasks[[#This Row],[_Row]]/100000,"")</f>
        <v/>
      </c>
      <c r="DN129" s="41" t="str">
        <f aca="false">IF(Tasks[[#This Row],[_LeafCritical]],Tasks[[#This Row],[_LeafFcstStart]]+Tasks[[#This Row],[_Row]]/100000,"")</f>
        <v/>
      </c>
      <c r="DO129" s="41" t="n">
        <f aca="false">Tasks[[#This Row],[_LeafWork]]*Tasks[[#This Row],[_LeafProgress]]</f>
        <v>0</v>
      </c>
      <c r="DP129" s="100" t="str">
        <f aca="false">IF(AND(Tasks[[#This Row],[_IsLeaf]]=1,Tasks[[#This Row],[_LeafProgress]]&gt;=1),IF(N(Tasks[[#This Row],[Actual Finish]])&gt;0,Tasks[[#This Row],[Actual Finish]],Tasks[[#This Row],[_LeafFcstFinish]]),"")</f>
        <v/>
      </c>
      <c r="DQ129" s="41" t="n">
        <f aca="false">IF(Tasks[[#This Row],[_IsLeaf]]=1,N(Tasks[[#This Row],[Story Points]]),0)</f>
        <v>0</v>
      </c>
      <c r="DR129" s="41" t="str">
        <f aca="false">IF(AND(Tasks[[#This Row],[_IsLeaf]]=1,CurrentSprint&lt;&gt;"",Tasks[[#This Row],[Sprint]]=CurrentSprint),Tasks[[#This Row],[_Row]],"")</f>
        <v/>
      </c>
    </row>
    <row r="130" customFormat="false" ht="15" hidden="false" customHeight="false" outlineLevel="0" collapsed="false">
      <c r="A130" s="28" t="str">
        <f aca="false">IF(Tasks[[#This Row],[Task Name]]="","",COUNTA(Tasks[[#Headers],[Task Name]]:Tasks[[#This Row],[Task Name]])-1)</f>
        <v/>
      </c>
      <c r="B130" s="29" t="n">
        <v>125</v>
      </c>
      <c r="C13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0" s="29"/>
      <c r="E130" s="30"/>
      <c r="F130" s="29"/>
      <c r="G130" s="29"/>
      <c r="H130" s="29"/>
      <c r="I130" s="29"/>
      <c r="J130" s="29"/>
      <c r="K130" s="29"/>
      <c r="L130" s="29"/>
      <c r="M130" s="29"/>
      <c r="N130" s="73"/>
      <c r="O130" s="73"/>
      <c r="P130" s="25" t="str">
        <f aca="false">IF(Tasks[[#This Row],[Task Name]]="","",IF(N(Tasks[[#This Row],[Baseline Start]])&gt;0,Tasks[[#This Row],[Baseline Start]],Tasks[[#This Row],[_CalcStart]]))</f>
        <v/>
      </c>
      <c r="Q130" s="25" t="str">
        <f aca="false">IF(Tasks[[#This Row],[Task Name]]="","",IF(N(Tasks[[#This Row],[Baseline Finish]])&gt;0,Tasks[[#This Row],[Baseline Finish]],Tasks[[#This Row],[_CalcFinish]]))</f>
        <v/>
      </c>
      <c r="R130" s="73"/>
      <c r="S130" s="73"/>
      <c r="T130" s="25" t="str">
        <f aca="false">IF(Tasks[[#This Row],[Task Name]]="","",IF(Tasks[[#This Row],[_IsSummary]],MIN(INDEX(Tasks[_LeafFcstStart],Tasks[[#This Row],[_Row]]+1):INDEX(Tasks[_LeafFcstStart],Tasks[[#This Row],[_Row]]+Tasks[[#This Row],[_Descendants]])),Tasks[[#This Row],[_LeafFcstStart]]))</f>
        <v/>
      </c>
      <c r="U130" s="25" t="str">
        <f aca="false">IF(Tasks[[#This Row],[Task Name]]="","",IF(Tasks[[#This Row],[_IsSummary]],MAX(INDEX(Tasks[_LeafFcstFinish],Tasks[[#This Row],[_Row]]+1):INDEX(Tasks[_LeafFcstFinish],Tasks[[#This Row],[_Row]]+Tasks[[#This Row],[_Descendants]])),Tasks[[#This Row],[_LeafFcstFinish]]))</f>
        <v/>
      </c>
      <c r="V13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3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0" s="25" t="str">
        <f aca="false">IF(Tasks[[#This Row],[Task Name]]="","",IF(Tasks[[#This Row],[_IsSummary]],MIN(INDEX(Tasks[_LeafLateStart],Tasks[[#This Row],[_Row]]+1):INDEX(Tasks[_LeafLateStart],Tasks[[#This Row],[_Row]]+Tasks[[#This Row],[_Descendants]])),Tasks[[#This Row],[_LeafLateStart]]))</f>
        <v/>
      </c>
      <c r="Y130" s="25" t="str">
        <f aca="false">IF(Tasks[[#This Row],[Task Name]]="","",IF(Tasks[[#This Row],[_IsSummary]],MAX(INDEX(Tasks[_LeafLateFinish],Tasks[[#This Row],[_Row]]+1):INDEX(Tasks[_LeafLateFinish],Tasks[[#This Row],[_Row]]+Tasks[[#This Row],[_Descendants]])),Tasks[[#This Row],[_LeafLateFinish]]))</f>
        <v/>
      </c>
      <c r="Z130" s="43" t="str">
        <f aca="false">IF(Tasks[[#This Row],[Task Name]]="","",IF(Tasks[[#This Row],[_IsSummary]],MIN(INDEX(Tasks[_LeafTotalSlack],Tasks[[#This Row],[_Row]]+1):INDEX(Tasks[_LeafTotalSlack],Tasks[[#This Row],[_Row]]+Tasks[[#This Row],[_Descendants]])),Tasks[[#This Row],[_LeafTotalSlack]]))</f>
        <v/>
      </c>
      <c r="AA13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0" s="28" t="str">
        <f aca="false">IF(Tasks[[#This Row],[Task Name]]="","",IF(IF(Tasks[[#This Row],[_IsSummary]],COUNTIF(INDEX(Tasks[_LeafCritical],Tasks[[#This Row],[_Row]]+1):INDEX(Tasks[_LeafCritical],Tasks[[#This Row],[_Row]]+Tasks[[#This Row],[_Descendants]]),TRUE())&gt;0,Tasks[[#This Row],[_LeafCritical]]),"Yes",""))</f>
        <v/>
      </c>
      <c r="AC13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0" s="24" t="str">
        <f aca="false">IF(Tasks[[#This Row],[Task Name]]="","",TRIM(IF(Tasks[[#This Row],[_Pred1Problem]]&lt;&gt;"","Pred 1: "&amp;Tasks[[#This Row],[_Pred1Problem]]&amp;". ","")&amp;IF(Tasks[[#This Row],[_Pred2Problem]]&lt;&gt;"","Pred 2: "&amp;Tasks[[#This Row],[_Pred2Problem]]&amp;".","")))</f>
        <v/>
      </c>
      <c r="AE130" s="88"/>
      <c r="AF130"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0" s="28" t="str">
        <f aca="false">IF(Tasks[[#This Row],[Task Name]]="","",IF(Tasks[[#This Row],[Progress]]&gt;=1,"Complete",IF(OR(N(Tasks[[#This Row],[Actual Start]])&gt;0,Tasks[[#This Row],[Progress]]&gt;0),IF(Tasks[[#This Row],[Finish Var]]&gt;0,"Behind","In Progress"),IF(Tasks[[#This Row],[Planned Start]]&lt;StatusDate,"Late Start","Not Started"))))</f>
        <v/>
      </c>
      <c r="AH130" s="30"/>
      <c r="AI130" s="88"/>
      <c r="AJ130" s="95" t="str">
        <f aca="false">IF(Tasks[[#This Row],[Task Name]]="","",IF(Tasks[[#This Row],[_IsSummary]],SUM(INDEX(Tasks[_LeafWork],Tasks[[#This Row],[_Row]]+1):INDEX(Tasks[_LeafWork],Tasks[[#This Row],[_Row]]+Tasks[[#This Row],[_Descendants]])),Tasks[[#This Row],[_LeafWork]]))</f>
        <v/>
      </c>
      <c r="AK130" s="96" t="str">
        <f aca="false">IF(Tasks[[#This Row],[Task Name]]="","",IF(Tasks[[#This Row],[_IsSummary]],SUM(INDEX(Tasks[_LeafCost],Tasks[[#This Row],[_Row]]+1):INDEX(Tasks[_LeafCost],Tasks[[#This Row],[_Row]]+Tasks[[#This Row],[_Descendants]])),Tasks[[#This Row],[_LeafCost]]))</f>
        <v/>
      </c>
      <c r="AL130" s="97"/>
      <c r="AM130" s="29"/>
      <c r="AN13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30" s="82"/>
      <c r="AP130" s="24" t="str">
        <f aca="false">IF(Tasks[[#This Row],[Task Name]]="","",Tasks[[#This Row],[_Pred1IDText]]&amp;IF(AND(Tasks[[#This Row],[_Pred1IDText]]&lt;&gt;"",Tasks[[#This Row],[_Pred2IDText]]&lt;&gt;""),",","")&amp;Tasks[[#This Row],[_Pred2IDText]])</f>
        <v/>
      </c>
      <c r="AQ130" s="30"/>
      <c r="AR130" s="25" t="str">
        <f aca="false">IF(Tasks[[#This Row],[Task Name]]="","",Tasks[[#This Row],[Forecast Start]])</f>
        <v/>
      </c>
      <c r="AS130" s="25" t="str">
        <f aca="false">IF(Tasks[[#This Row],[Task Name]]="","",Tasks[[#This Row],[Forecast Finish]])</f>
        <v/>
      </c>
      <c r="AT130" s="28" t="str">
        <f aca="false">IF(Tasks[[#This Row],[Task Name]]="","",IF(Tasks[[#This Row],[_IsSummary]],NETWORKDAYS.INTL(Tasks[[#This Row],[Forecast Start]],Tasks[[#This Row],[Forecast Finish]],WorkWeek,Holidays),N(Tasks[[#This Row],[Duration]])))</f>
        <v/>
      </c>
      <c r="AU130" s="95" t="str">
        <f aca="false">IF(Tasks[[#This Row],[Task Name]]="","",Tasks[[#This Row],[Work]])</f>
        <v/>
      </c>
      <c r="AV130" s="96" t="str">
        <f aca="false">IF(Tasks[[#This Row],[Task Name]]="","",Tasks[[#This Row],[Cost]])</f>
        <v/>
      </c>
      <c r="AW130" s="73"/>
      <c r="AX130" s="73"/>
      <c r="AY130" s="29"/>
      <c r="AZ130" s="98"/>
      <c r="BA130" s="97"/>
      <c r="BB130" s="28" t="str">
        <f aca="false">IF(OR(Tasks[[#This Row],[Task Name]]="",Tasks[[#This Row],[Baseline Duration]]=""),"",Tasks[[#This Row],[BL Source Duration]]-N(Tasks[[#This Row],[Baseline Duration]]))</f>
        <v/>
      </c>
      <c r="BC130" s="95" t="str">
        <f aca="false">IF(OR(Tasks[[#This Row],[Task Name]]="",Tasks[[#This Row],[Baseline Work]]=""),"",Tasks[[#This Row],[Work]]-N(Tasks[[#This Row],[Baseline Work]]))</f>
        <v/>
      </c>
      <c r="BD130" s="96" t="str">
        <f aca="false">IF(OR(Tasks[[#This Row],[Task Name]]="",Tasks[[#This Row],[Baseline Cost]]=""),"",Tasks[[#This Row],[Cost]]-N(Tasks[[#This Row],[Baseline Cost]]))</f>
        <v/>
      </c>
      <c r="BE130" s="96" t="str">
        <f aca="false">IF(Tasks[[#This Row],[Task Name]]="","",IF(Tasks[[#This Row],[_IsSummary]],SUM(INDEX(Tasks[_LeafBudget],Tasks[[#This Row],[_Row]]+1):INDEX(Tasks[_LeafBudget],Tasks[[#This Row],[_Row]]+Tasks[[#This Row],[_Descendants]])),Tasks[[#This Row],[_LeafBudget]]))</f>
        <v/>
      </c>
      <c r="BF130" s="96" t="str">
        <f aca="false">IF(Tasks[[#This Row],[Task Name]]="","",IF(Tasks[[#This Row],[_IsSummary]],SUM(INDEX(Tasks[_LeafPV],Tasks[[#This Row],[_Row]]+1):INDEX(Tasks[_LeafPV],Tasks[[#This Row],[_Row]]+Tasks[[#This Row],[_Descendants]])),Tasks[[#This Row],[_LeafPV]]))</f>
        <v/>
      </c>
      <c r="BG130" s="96" t="str">
        <f aca="false">IF(Tasks[[#This Row],[Task Name]]="","",IF(Tasks[[#This Row],[_IsSummary]],SUM(INDEX(Tasks[_LeafEV],Tasks[[#This Row],[_Row]]+1):INDEX(Tasks[_LeafEV],Tasks[[#This Row],[_Row]]+Tasks[[#This Row],[_Descendants]])),Tasks[[#This Row],[_LeafEV]]))</f>
        <v/>
      </c>
      <c r="BH130" s="96" t="str">
        <f aca="false">IF(Tasks[[#This Row],[Task Name]]="","",IF(Tasks[[#This Row],[_IsSummary]],SUM(INDEX(Tasks[_LeafAC],Tasks[[#This Row],[_Row]]+1):INDEX(Tasks[_LeafAC],Tasks[[#This Row],[_Row]]+Tasks[[#This Row],[_Descendants]])),Tasks[[#This Row],[_LeafAC]]))</f>
        <v/>
      </c>
      <c r="BI130" s="41" t="str">
        <f aca="false">IF(Tasks[[#This Row],[Task Name]]="","",MAX(1,N(Tasks[[#This Row],[Level]])))</f>
        <v/>
      </c>
      <c r="BJ130" s="41" t="n">
        <f aca="false">ROW()-ROW(Tasks[[#Headers],[ID]])</f>
        <v>125</v>
      </c>
      <c r="BK130" s="41" t="n">
        <f aca="false">IF(OR(Tasks[[#This Row],[Task Name]]="",Tasks[[#This Row],[_Level]]&lt;=1),0,IFERROR(LOOKUP(2,1/(Tasks[[#Headers],[_Level]]:Tasks[[#This Row],[_Level]]=Tasks[[#This Row],[_Level]]-1),ROW(Tasks[[#Headers],[_Level]]:Tasks[[#This Row],[_Level]])),0))</f>
        <v>0</v>
      </c>
      <c r="BL130" s="41" t="n">
        <f aca="false">IFERROR(N(INDEX(Tasks[_Level],Tasks[[#This Row],[_Row]]+1)),0)</f>
        <v>0</v>
      </c>
      <c r="BM130" s="99" t="b">
        <f aca="false">AND(Tasks[[#This Row],[Task Name]]&lt;&gt;"",Tasks[[#This Row],[_NextLevel]]&gt;Tasks[[#This Row],[_Level]])</f>
        <v>0</v>
      </c>
      <c r="BN130" s="41" t="n">
        <f aca="false">IF(Tasks[[#This Row],[_IsSummary]],COUNTIF(Tasks[WBS],Tasks[[#This Row],[WBS]]&amp;".*"),0)</f>
        <v>0</v>
      </c>
      <c r="BO130" s="41" t="n">
        <f aca="false">IF(AND(Tasks[[#This Row],[Task Name]]&lt;&gt;"",NOT(Tasks[[#This Row],[_IsSummary]])),1,0)</f>
        <v>0</v>
      </c>
      <c r="BP130" s="41" t="n">
        <f aca="false">IF(N(Tasks[[#This Row],[Pred1 UID]])=0,0,IFERROR(MATCH(Tasks[[#This Row],[Pred1 UID]],Tasks[UID],0),-1))</f>
        <v>0</v>
      </c>
      <c r="BQ130" s="41" t="n">
        <f aca="false">IF(N(Tasks[[#This Row],[Pred2 UID]])=0,0,IFERROR(MATCH(Tasks[[#This Row],[Pred2 UID]],Tasks[UID],0),-1))</f>
        <v>0</v>
      </c>
      <c r="BR130"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30" s="100" t="str">
        <f aca="false">IF(NOT(Tasks[[#This Row],[_IsLeaf]]=1),"",IF(N(Tasks[[#This Row],[Duration]])&lt;=0,Tasks[[#This Row],[_LeafCalcStart]],WORKDAY.INTL(Tasks[[#This Row],[_LeafCalcStart]],Tasks[[#This Row],[Duration]]-1,WorkWeek,Holidays)))</f>
        <v/>
      </c>
      <c r="BT130"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30"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30" s="41" t="n">
        <f aca="false">IF(NOT(Tasks[[#This Row],[_IsLeaf]]=1),0,IF(N(Tasks[[#This Row],[Actual Finish]])&gt;0,1,MIN(1,N(Tasks[[#This Row],[% Complete]]))))</f>
        <v>0</v>
      </c>
      <c r="BW130" s="41" t="n">
        <f aca="false">IF(OR(NOT(Tasks[[#This Row],[_IsLeaf]]=1),Tasks[[#This Row],[Resource]]=""),0,N(Tasks[[#This Row],[Duration]])*HoursPerDay*IF(Tasks[[#This Row],[Units]]="",DefaultUnits,Tasks[[#This Row],[Units]]))</f>
        <v>0</v>
      </c>
      <c r="BX130" s="41" t="n">
        <f aca="false">IF(Tasks[[#This Row],[_LeafWork]]=0,0,Tasks[[#This Row],[_LeafWork]]*IFERROR(INDEX(res_Rate,MATCH(Tasks[[#This Row],[Resource]],res_Name,0)),0))</f>
        <v>0</v>
      </c>
      <c r="BY13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3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3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3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30" s="41" t="n">
        <f aca="false">IF(NOT(Tasks[[#This Row],[_IsLeaf]]=1),0,MAX(_xlfn.MAXIFS(Tasks[_Row],Tasks[Pred1 UID],Tasks[[#This Row],[UID]]),_xlfn.MAXIFS(Tasks[_Row],Tasks[Pred2 UID],Tasks[[#This Row],[UID]])))</f>
        <v>0</v>
      </c>
      <c r="CD130"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30" s="100" t="str">
        <f aca="false">IF(NOT(Tasks[[#This Row],[_IsLeaf]]=1),"",MIN(ProjectFinish,IF(N(Tasks[[#This Row],[Deadline]])&gt;0,Tasks[[#This Row],[Deadline]],2958465),Tasks[[#This Row],[_SuccessorFinishLimit]]))</f>
        <v/>
      </c>
      <c r="CF130" s="100" t="str">
        <f aca="false">IF(NOT(Tasks[[#This Row],[_IsLeaf]]=1),"",IF(N(Tasks[[#This Row],[Duration]])&lt;=0,Tasks[[#This Row],[_LeafLateFinish]],WORKDAY.INTL(Tasks[[#This Row],[_LeafLateFinish]],-(Tasks[[#This Row],[Duration]]-1),WorkWeek,Holidays)))</f>
        <v/>
      </c>
      <c r="CG13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30" s="99" t="b">
        <f aca="false">AND(Tasks[[#This Row],[_IsLeaf]]=1,Tasks[[#This Row],[_LeafProgress]]&lt;1,N(Tasks[[#This Row],[_LeafTotalSlack]])&lt;=CriticalSlackDays)</f>
        <v>0</v>
      </c>
      <c r="CI130" s="100" t="str">
        <f aca="false">IF(Tasks[[#This Row],[Task Name]]="","",IF(Tasks[[#This Row],[_IsSummary]],MIN(INDEX(Tasks[_LeafCalcStart],Tasks[[#This Row],[_Row]]+1):INDEX(Tasks[_LeafCalcStart],Tasks[[#This Row],[_Row]]+Tasks[[#This Row],[_Descendants]])),Tasks[[#This Row],[_LeafCalcStart]]))</f>
        <v/>
      </c>
      <c r="CJ130" s="100" t="str">
        <f aca="false">IF(Tasks[[#This Row],[Task Name]]="","",IF(Tasks[[#This Row],[_IsSummary]],MAX(INDEX(Tasks[_LeafCalcFinish],Tasks[[#This Row],[_Row]]+1):INDEX(Tasks[_LeafCalcFinish],Tasks[[#This Row],[_Row]]+Tasks[[#This Row],[_Descendants]])),Tasks[[#This Row],[_LeafCalcFinish]]))</f>
        <v/>
      </c>
      <c r="CK13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3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30"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30"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30"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30"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30" s="41" t="n">
        <f aca="false">IF(AND(Tasks[[#This Row],[_IsLeaf]]=1,Tasks[[#This Row],[_LeafWork]]&gt;0),NETWORKDAYS.INTL(ProjectStart,Tasks[[#This Row],[_LeafFcstStart]],WorkWeek,Holidays),0)</f>
        <v>0</v>
      </c>
      <c r="CR130" s="41" t="n">
        <f aca="false">IF(AND(Tasks[[#This Row],[_IsLeaf]]=1,Tasks[[#This Row],[_LeafWork]]&gt;0),MAX(Tasks[[#This Row],[_StartWorkday]],NETWORKDAYS.INTL(ProjectStart,Tasks[[#This Row],[_LeafFcstFinish]],WorkWeek,Holidays)),0)</f>
        <v>0</v>
      </c>
      <c r="CS130" s="41" t="n">
        <f aca="false">IF(AND(Tasks[[#This Row],[_IsLeaf]]=1,Tasks[[#This Row],[_LeafWork]]&gt;0),Tasks[[#This Row],[_LeafWork]]/(Tasks[[#This Row],[_FinishWorkday]]-Tasks[[#This Row],[_StartWorkday]]+1),0)</f>
        <v>0</v>
      </c>
      <c r="CT130" s="41" t="n">
        <f aca="false">Tasks[[#This Row],[_WorkPerWorkday]]*(Tasks[[#This Row],[_StartWorkday]]-1)</f>
        <v>-0</v>
      </c>
      <c r="CU130" s="41" t="n">
        <f aca="false">IF(Tasks[[#This Row],[_IsLeaf]]=1,MAX(N(Tasks[[#This Row],[Duration]]),0.1),0)</f>
        <v>0</v>
      </c>
      <c r="CV130" s="41" t="n">
        <f aca="false">Tasks[[#This Row],[_WeightDur]]*Tasks[[#This Row],[_LeafProgress]]</f>
        <v>0</v>
      </c>
      <c r="CW13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3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3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3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30" s="41" t="str">
        <f aca="false">IF(Tasks[[#This Row],[Task Name]]="","",Tasks[[#This Row],[_Pred1UIDText]]&amp;IF(AND(Tasks[[#This Row],[_Pred1UIDText]]&lt;&gt;"",Tasks[[#This Row],[_Pred2UIDText]]&lt;&gt;""),",","")&amp;Tasks[[#This Row],[_Pred2UIDText]])</f>
        <v/>
      </c>
      <c r="DB130" s="41" t="str">
        <f aca="false">IF(AND(Tasks[[#This Row],[_IsLeaf]]=1,N(Tasks[[#This Row],[Duration]])=0,Tasks[[#This Row],[_LeafProgress]]&lt;1),Tasks[[#This Row],[_LeafFcstFinish]]+Tasks[[#This Row],[_Row]]/100000,"")</f>
        <v/>
      </c>
      <c r="DC13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30" s="41" t="n">
        <f aca="false">IF(NOT(Tasks[[#This Row],[_IsLeaf]]=1),0,IF(Tasks[[#This Row],[Baseline Cost]]="",Tasks[[#This Row],[_LeafCost]],N(Tasks[[#This Row],[Baseline Cost]])))</f>
        <v>0</v>
      </c>
      <c r="DE130" s="41" t="n">
        <f aca="false">Tasks[[#This Row],[_LeafBudget]]*Tasks[[#This Row],[_PlannedPct]]</f>
        <v>0</v>
      </c>
      <c r="DF130" s="41" t="n">
        <f aca="false">Tasks[[#This Row],[_LeafBudget]]*Tasks[[#This Row],[_LeafProgress]]</f>
        <v>0</v>
      </c>
      <c r="DG130" s="41" t="n">
        <f aca="false">IF(NOT(Tasks[[#This Row],[_IsLeaf]]=1),0,IF(Tasks[[#This Row],[Actual Cost]]="",Tasks[[#This Row],[_LeafCost]]*Tasks[[#This Row],[_LeafProgress]],N(Tasks[[#This Row],[Actual Cost]])))</f>
        <v>0</v>
      </c>
      <c r="DH130" s="41" t="str">
        <f aca="false">IF(Tasks[[#This Row],[Task Name]]="","",LEFT(Tasks[[#This Row],[WBS]],FIND(".",Tasks[[#This Row],[WBS]]&amp;".")-1))</f>
        <v/>
      </c>
      <c r="DI130" s="41" t="str">
        <f aca="false">IF(AND(Tasks[[#This Row],[Task Name]]&lt;&gt;"",Tasks[[#This Row],[_Level]]=1),Tasks[[#This Row],[_Row]],"")</f>
        <v/>
      </c>
      <c r="DJ130" s="41" t="str">
        <f aca="false">IF(AND(Tasks[[#This Row],[_IsLeaf]]=1,N(Tasks[[#This Row],[Duration]])=0),Tasks[[#This Row],[Planned Finish]]+Tasks[[#This Row],[_Row]]/100000,"")</f>
        <v/>
      </c>
      <c r="DK130" s="41" t="str">
        <f aca="false">IF(AND(Tasks[[#This Row],[_IsLeaf]]=1,Tasks[[#This Row],[_LeafProgress]]&lt;1,OR(N(Tasks[[#This Row],[Finish Var]])&gt;0,Tasks[[#This Row],[Status]]="Late Start")),MAX(0,Tasks[[#This Row],[Finish Var]])+1-Tasks[[#This Row],[_Row]]/1000000,"")</f>
        <v/>
      </c>
      <c r="DL130" s="41" t="str">
        <f aca="false">IF(AND(Tasks[[#This Row],[_IsLeaf]]=1,N(Tasks[[#This Row],[Actual Start]])=0,Tasks[[#This Row],[_LeafFcstStart]]&gt;=StatusDate,Tasks[[#This Row],[_LeafFcstStart]]&lt;=LookaheadEnd),Tasks[[#This Row],[_LeafFcstStart]]+Tasks[[#This Row],[_Row]]/100000,"")</f>
        <v/>
      </c>
      <c r="DM130" s="41" t="str">
        <f aca="false">IF(AND(Tasks[[#This Row],[_IsLeaf]]=1,Tasks[[#This Row],[_LeafProgress]]&lt;1,Tasks[[#This Row],[_LeafFcstFinish]]&gt;=StatusDate,Tasks[[#This Row],[_LeafFcstFinish]]&lt;=LookaheadEnd),Tasks[[#This Row],[_LeafFcstFinish]]+Tasks[[#This Row],[_Row]]/100000,"")</f>
        <v/>
      </c>
      <c r="DN130" s="41" t="str">
        <f aca="false">IF(Tasks[[#This Row],[_LeafCritical]],Tasks[[#This Row],[_LeafFcstStart]]+Tasks[[#This Row],[_Row]]/100000,"")</f>
        <v/>
      </c>
      <c r="DO130" s="41" t="n">
        <f aca="false">Tasks[[#This Row],[_LeafWork]]*Tasks[[#This Row],[_LeafProgress]]</f>
        <v>0</v>
      </c>
      <c r="DP130" s="100" t="str">
        <f aca="false">IF(AND(Tasks[[#This Row],[_IsLeaf]]=1,Tasks[[#This Row],[_LeafProgress]]&gt;=1),IF(N(Tasks[[#This Row],[Actual Finish]])&gt;0,Tasks[[#This Row],[Actual Finish]],Tasks[[#This Row],[_LeafFcstFinish]]),"")</f>
        <v/>
      </c>
      <c r="DQ130" s="41" t="n">
        <f aca="false">IF(Tasks[[#This Row],[_IsLeaf]]=1,N(Tasks[[#This Row],[Story Points]]),0)</f>
        <v>0</v>
      </c>
      <c r="DR130" s="41" t="str">
        <f aca="false">IF(AND(Tasks[[#This Row],[_IsLeaf]]=1,CurrentSprint&lt;&gt;"",Tasks[[#This Row],[Sprint]]=CurrentSprint),Tasks[[#This Row],[_Row]],"")</f>
        <v/>
      </c>
    </row>
    <row r="131" customFormat="false" ht="15" hidden="false" customHeight="false" outlineLevel="0" collapsed="false">
      <c r="A131" s="28" t="str">
        <f aca="false">IF(Tasks[[#This Row],[Task Name]]="","",COUNTA(Tasks[[#Headers],[Task Name]]:Tasks[[#This Row],[Task Name]])-1)</f>
        <v/>
      </c>
      <c r="B131" s="29" t="n">
        <v>126</v>
      </c>
      <c r="C13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1" s="29"/>
      <c r="E131" s="30"/>
      <c r="F131" s="29"/>
      <c r="G131" s="29"/>
      <c r="H131" s="29"/>
      <c r="I131" s="29"/>
      <c r="J131" s="29"/>
      <c r="K131" s="29"/>
      <c r="L131" s="29"/>
      <c r="M131" s="29"/>
      <c r="N131" s="73"/>
      <c r="O131" s="73"/>
      <c r="P131" s="25" t="str">
        <f aca="false">IF(Tasks[[#This Row],[Task Name]]="","",IF(N(Tasks[[#This Row],[Baseline Start]])&gt;0,Tasks[[#This Row],[Baseline Start]],Tasks[[#This Row],[_CalcStart]]))</f>
        <v/>
      </c>
      <c r="Q131" s="25" t="str">
        <f aca="false">IF(Tasks[[#This Row],[Task Name]]="","",IF(N(Tasks[[#This Row],[Baseline Finish]])&gt;0,Tasks[[#This Row],[Baseline Finish]],Tasks[[#This Row],[_CalcFinish]]))</f>
        <v/>
      </c>
      <c r="R131" s="73"/>
      <c r="S131" s="73"/>
      <c r="T131" s="25" t="str">
        <f aca="false">IF(Tasks[[#This Row],[Task Name]]="","",IF(Tasks[[#This Row],[_IsSummary]],MIN(INDEX(Tasks[_LeafFcstStart],Tasks[[#This Row],[_Row]]+1):INDEX(Tasks[_LeafFcstStart],Tasks[[#This Row],[_Row]]+Tasks[[#This Row],[_Descendants]])),Tasks[[#This Row],[_LeafFcstStart]]))</f>
        <v/>
      </c>
      <c r="U131" s="25" t="str">
        <f aca="false">IF(Tasks[[#This Row],[Task Name]]="","",IF(Tasks[[#This Row],[_IsSummary]],MAX(INDEX(Tasks[_LeafFcstFinish],Tasks[[#This Row],[_Row]]+1):INDEX(Tasks[_LeafFcstFinish],Tasks[[#This Row],[_Row]]+Tasks[[#This Row],[_Descendants]])),Tasks[[#This Row],[_LeafFcstFinish]]))</f>
        <v/>
      </c>
      <c r="V13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3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1" s="25" t="str">
        <f aca="false">IF(Tasks[[#This Row],[Task Name]]="","",IF(Tasks[[#This Row],[_IsSummary]],MIN(INDEX(Tasks[_LeafLateStart],Tasks[[#This Row],[_Row]]+1):INDEX(Tasks[_LeafLateStart],Tasks[[#This Row],[_Row]]+Tasks[[#This Row],[_Descendants]])),Tasks[[#This Row],[_LeafLateStart]]))</f>
        <v/>
      </c>
      <c r="Y131" s="25" t="str">
        <f aca="false">IF(Tasks[[#This Row],[Task Name]]="","",IF(Tasks[[#This Row],[_IsSummary]],MAX(INDEX(Tasks[_LeafLateFinish],Tasks[[#This Row],[_Row]]+1):INDEX(Tasks[_LeafLateFinish],Tasks[[#This Row],[_Row]]+Tasks[[#This Row],[_Descendants]])),Tasks[[#This Row],[_LeafLateFinish]]))</f>
        <v/>
      </c>
      <c r="Z131" s="43" t="str">
        <f aca="false">IF(Tasks[[#This Row],[Task Name]]="","",IF(Tasks[[#This Row],[_IsSummary]],MIN(INDEX(Tasks[_LeafTotalSlack],Tasks[[#This Row],[_Row]]+1):INDEX(Tasks[_LeafTotalSlack],Tasks[[#This Row],[_Row]]+Tasks[[#This Row],[_Descendants]])),Tasks[[#This Row],[_LeafTotalSlack]]))</f>
        <v/>
      </c>
      <c r="AA13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1" s="28" t="str">
        <f aca="false">IF(Tasks[[#This Row],[Task Name]]="","",IF(IF(Tasks[[#This Row],[_IsSummary]],COUNTIF(INDEX(Tasks[_LeafCritical],Tasks[[#This Row],[_Row]]+1):INDEX(Tasks[_LeafCritical],Tasks[[#This Row],[_Row]]+Tasks[[#This Row],[_Descendants]]),TRUE())&gt;0,Tasks[[#This Row],[_LeafCritical]]),"Yes",""))</f>
        <v/>
      </c>
      <c r="AC13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1" s="24" t="str">
        <f aca="false">IF(Tasks[[#This Row],[Task Name]]="","",TRIM(IF(Tasks[[#This Row],[_Pred1Problem]]&lt;&gt;"","Pred 1: "&amp;Tasks[[#This Row],[_Pred1Problem]]&amp;". ","")&amp;IF(Tasks[[#This Row],[_Pred2Problem]]&lt;&gt;"","Pred 2: "&amp;Tasks[[#This Row],[_Pred2Problem]]&amp;".","")))</f>
        <v/>
      </c>
      <c r="AE131" s="88"/>
      <c r="AF131"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1" s="28" t="str">
        <f aca="false">IF(Tasks[[#This Row],[Task Name]]="","",IF(Tasks[[#This Row],[Progress]]&gt;=1,"Complete",IF(OR(N(Tasks[[#This Row],[Actual Start]])&gt;0,Tasks[[#This Row],[Progress]]&gt;0),IF(Tasks[[#This Row],[Finish Var]]&gt;0,"Behind","In Progress"),IF(Tasks[[#This Row],[Planned Start]]&lt;StatusDate,"Late Start","Not Started"))))</f>
        <v/>
      </c>
      <c r="AH131" s="30"/>
      <c r="AI131" s="88"/>
      <c r="AJ131" s="95" t="str">
        <f aca="false">IF(Tasks[[#This Row],[Task Name]]="","",IF(Tasks[[#This Row],[_IsSummary]],SUM(INDEX(Tasks[_LeafWork],Tasks[[#This Row],[_Row]]+1):INDEX(Tasks[_LeafWork],Tasks[[#This Row],[_Row]]+Tasks[[#This Row],[_Descendants]])),Tasks[[#This Row],[_LeafWork]]))</f>
        <v/>
      </c>
      <c r="AK131" s="96" t="str">
        <f aca="false">IF(Tasks[[#This Row],[Task Name]]="","",IF(Tasks[[#This Row],[_IsSummary]],SUM(INDEX(Tasks[_LeafCost],Tasks[[#This Row],[_Row]]+1):INDEX(Tasks[_LeafCost],Tasks[[#This Row],[_Row]]+Tasks[[#This Row],[_Descendants]])),Tasks[[#This Row],[_LeafCost]]))</f>
        <v/>
      </c>
      <c r="AL131" s="97"/>
      <c r="AM131" s="29"/>
      <c r="AN13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31" s="82"/>
      <c r="AP131" s="24" t="str">
        <f aca="false">IF(Tasks[[#This Row],[Task Name]]="","",Tasks[[#This Row],[_Pred1IDText]]&amp;IF(AND(Tasks[[#This Row],[_Pred1IDText]]&lt;&gt;"",Tasks[[#This Row],[_Pred2IDText]]&lt;&gt;""),",","")&amp;Tasks[[#This Row],[_Pred2IDText]])</f>
        <v/>
      </c>
      <c r="AQ131" s="30"/>
      <c r="AR131" s="25" t="str">
        <f aca="false">IF(Tasks[[#This Row],[Task Name]]="","",Tasks[[#This Row],[Forecast Start]])</f>
        <v/>
      </c>
      <c r="AS131" s="25" t="str">
        <f aca="false">IF(Tasks[[#This Row],[Task Name]]="","",Tasks[[#This Row],[Forecast Finish]])</f>
        <v/>
      </c>
      <c r="AT131" s="28" t="str">
        <f aca="false">IF(Tasks[[#This Row],[Task Name]]="","",IF(Tasks[[#This Row],[_IsSummary]],NETWORKDAYS.INTL(Tasks[[#This Row],[Forecast Start]],Tasks[[#This Row],[Forecast Finish]],WorkWeek,Holidays),N(Tasks[[#This Row],[Duration]])))</f>
        <v/>
      </c>
      <c r="AU131" s="95" t="str">
        <f aca="false">IF(Tasks[[#This Row],[Task Name]]="","",Tasks[[#This Row],[Work]])</f>
        <v/>
      </c>
      <c r="AV131" s="96" t="str">
        <f aca="false">IF(Tasks[[#This Row],[Task Name]]="","",Tasks[[#This Row],[Cost]])</f>
        <v/>
      </c>
      <c r="AW131" s="73"/>
      <c r="AX131" s="73"/>
      <c r="AY131" s="29"/>
      <c r="AZ131" s="98"/>
      <c r="BA131" s="97"/>
      <c r="BB131" s="28" t="str">
        <f aca="false">IF(OR(Tasks[[#This Row],[Task Name]]="",Tasks[[#This Row],[Baseline Duration]]=""),"",Tasks[[#This Row],[BL Source Duration]]-N(Tasks[[#This Row],[Baseline Duration]]))</f>
        <v/>
      </c>
      <c r="BC131" s="95" t="str">
        <f aca="false">IF(OR(Tasks[[#This Row],[Task Name]]="",Tasks[[#This Row],[Baseline Work]]=""),"",Tasks[[#This Row],[Work]]-N(Tasks[[#This Row],[Baseline Work]]))</f>
        <v/>
      </c>
      <c r="BD131" s="96" t="str">
        <f aca="false">IF(OR(Tasks[[#This Row],[Task Name]]="",Tasks[[#This Row],[Baseline Cost]]=""),"",Tasks[[#This Row],[Cost]]-N(Tasks[[#This Row],[Baseline Cost]]))</f>
        <v/>
      </c>
      <c r="BE131" s="96" t="str">
        <f aca="false">IF(Tasks[[#This Row],[Task Name]]="","",IF(Tasks[[#This Row],[_IsSummary]],SUM(INDEX(Tasks[_LeafBudget],Tasks[[#This Row],[_Row]]+1):INDEX(Tasks[_LeafBudget],Tasks[[#This Row],[_Row]]+Tasks[[#This Row],[_Descendants]])),Tasks[[#This Row],[_LeafBudget]]))</f>
        <v/>
      </c>
      <c r="BF131" s="96" t="str">
        <f aca="false">IF(Tasks[[#This Row],[Task Name]]="","",IF(Tasks[[#This Row],[_IsSummary]],SUM(INDEX(Tasks[_LeafPV],Tasks[[#This Row],[_Row]]+1):INDEX(Tasks[_LeafPV],Tasks[[#This Row],[_Row]]+Tasks[[#This Row],[_Descendants]])),Tasks[[#This Row],[_LeafPV]]))</f>
        <v/>
      </c>
      <c r="BG131" s="96" t="str">
        <f aca="false">IF(Tasks[[#This Row],[Task Name]]="","",IF(Tasks[[#This Row],[_IsSummary]],SUM(INDEX(Tasks[_LeafEV],Tasks[[#This Row],[_Row]]+1):INDEX(Tasks[_LeafEV],Tasks[[#This Row],[_Row]]+Tasks[[#This Row],[_Descendants]])),Tasks[[#This Row],[_LeafEV]]))</f>
        <v/>
      </c>
      <c r="BH131" s="96" t="str">
        <f aca="false">IF(Tasks[[#This Row],[Task Name]]="","",IF(Tasks[[#This Row],[_IsSummary]],SUM(INDEX(Tasks[_LeafAC],Tasks[[#This Row],[_Row]]+1):INDEX(Tasks[_LeafAC],Tasks[[#This Row],[_Row]]+Tasks[[#This Row],[_Descendants]])),Tasks[[#This Row],[_LeafAC]]))</f>
        <v/>
      </c>
      <c r="BI131" s="41" t="str">
        <f aca="false">IF(Tasks[[#This Row],[Task Name]]="","",MAX(1,N(Tasks[[#This Row],[Level]])))</f>
        <v/>
      </c>
      <c r="BJ131" s="41" t="n">
        <f aca="false">ROW()-ROW(Tasks[[#Headers],[ID]])</f>
        <v>126</v>
      </c>
      <c r="BK131" s="41" t="n">
        <f aca="false">IF(OR(Tasks[[#This Row],[Task Name]]="",Tasks[[#This Row],[_Level]]&lt;=1),0,IFERROR(LOOKUP(2,1/(Tasks[[#Headers],[_Level]]:Tasks[[#This Row],[_Level]]=Tasks[[#This Row],[_Level]]-1),ROW(Tasks[[#Headers],[_Level]]:Tasks[[#This Row],[_Level]])),0))</f>
        <v>0</v>
      </c>
      <c r="BL131" s="41" t="n">
        <f aca="false">IFERROR(N(INDEX(Tasks[_Level],Tasks[[#This Row],[_Row]]+1)),0)</f>
        <v>0</v>
      </c>
      <c r="BM131" s="99" t="b">
        <f aca="false">AND(Tasks[[#This Row],[Task Name]]&lt;&gt;"",Tasks[[#This Row],[_NextLevel]]&gt;Tasks[[#This Row],[_Level]])</f>
        <v>0</v>
      </c>
      <c r="BN131" s="41" t="n">
        <f aca="false">IF(Tasks[[#This Row],[_IsSummary]],COUNTIF(Tasks[WBS],Tasks[[#This Row],[WBS]]&amp;".*"),0)</f>
        <v>0</v>
      </c>
      <c r="BO131" s="41" t="n">
        <f aca="false">IF(AND(Tasks[[#This Row],[Task Name]]&lt;&gt;"",NOT(Tasks[[#This Row],[_IsSummary]])),1,0)</f>
        <v>0</v>
      </c>
      <c r="BP131" s="41" t="n">
        <f aca="false">IF(N(Tasks[[#This Row],[Pred1 UID]])=0,0,IFERROR(MATCH(Tasks[[#This Row],[Pred1 UID]],Tasks[UID],0),-1))</f>
        <v>0</v>
      </c>
      <c r="BQ131" s="41" t="n">
        <f aca="false">IF(N(Tasks[[#This Row],[Pred2 UID]])=0,0,IFERROR(MATCH(Tasks[[#This Row],[Pred2 UID]],Tasks[UID],0),-1))</f>
        <v>0</v>
      </c>
      <c r="BR131"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31" s="100" t="str">
        <f aca="false">IF(NOT(Tasks[[#This Row],[_IsLeaf]]=1),"",IF(N(Tasks[[#This Row],[Duration]])&lt;=0,Tasks[[#This Row],[_LeafCalcStart]],WORKDAY.INTL(Tasks[[#This Row],[_LeafCalcStart]],Tasks[[#This Row],[Duration]]-1,WorkWeek,Holidays)))</f>
        <v/>
      </c>
      <c r="BT131"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31"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31" s="41" t="n">
        <f aca="false">IF(NOT(Tasks[[#This Row],[_IsLeaf]]=1),0,IF(N(Tasks[[#This Row],[Actual Finish]])&gt;0,1,MIN(1,N(Tasks[[#This Row],[% Complete]]))))</f>
        <v>0</v>
      </c>
      <c r="BW131" s="41" t="n">
        <f aca="false">IF(OR(NOT(Tasks[[#This Row],[_IsLeaf]]=1),Tasks[[#This Row],[Resource]]=""),0,N(Tasks[[#This Row],[Duration]])*HoursPerDay*IF(Tasks[[#This Row],[Units]]="",DefaultUnits,Tasks[[#This Row],[Units]]))</f>
        <v>0</v>
      </c>
      <c r="BX131" s="41" t="n">
        <f aca="false">IF(Tasks[[#This Row],[_LeafWork]]=0,0,Tasks[[#This Row],[_LeafWork]]*IFERROR(INDEX(res_Rate,MATCH(Tasks[[#This Row],[Resource]],res_Name,0)),0))</f>
        <v>0</v>
      </c>
      <c r="BY13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3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3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3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31" s="41" t="n">
        <f aca="false">IF(NOT(Tasks[[#This Row],[_IsLeaf]]=1),0,MAX(_xlfn.MAXIFS(Tasks[_Row],Tasks[Pred1 UID],Tasks[[#This Row],[UID]]),_xlfn.MAXIFS(Tasks[_Row],Tasks[Pred2 UID],Tasks[[#This Row],[UID]])))</f>
        <v>0</v>
      </c>
      <c r="CD131"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31" s="100" t="str">
        <f aca="false">IF(NOT(Tasks[[#This Row],[_IsLeaf]]=1),"",MIN(ProjectFinish,IF(N(Tasks[[#This Row],[Deadline]])&gt;0,Tasks[[#This Row],[Deadline]],2958465),Tasks[[#This Row],[_SuccessorFinishLimit]]))</f>
        <v/>
      </c>
      <c r="CF131" s="100" t="str">
        <f aca="false">IF(NOT(Tasks[[#This Row],[_IsLeaf]]=1),"",IF(N(Tasks[[#This Row],[Duration]])&lt;=0,Tasks[[#This Row],[_LeafLateFinish]],WORKDAY.INTL(Tasks[[#This Row],[_LeafLateFinish]],-(Tasks[[#This Row],[Duration]]-1),WorkWeek,Holidays)))</f>
        <v/>
      </c>
      <c r="CG13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31" s="99" t="b">
        <f aca="false">AND(Tasks[[#This Row],[_IsLeaf]]=1,Tasks[[#This Row],[_LeafProgress]]&lt;1,N(Tasks[[#This Row],[_LeafTotalSlack]])&lt;=CriticalSlackDays)</f>
        <v>0</v>
      </c>
      <c r="CI131" s="100" t="str">
        <f aca="false">IF(Tasks[[#This Row],[Task Name]]="","",IF(Tasks[[#This Row],[_IsSummary]],MIN(INDEX(Tasks[_LeafCalcStart],Tasks[[#This Row],[_Row]]+1):INDEX(Tasks[_LeafCalcStart],Tasks[[#This Row],[_Row]]+Tasks[[#This Row],[_Descendants]])),Tasks[[#This Row],[_LeafCalcStart]]))</f>
        <v/>
      </c>
      <c r="CJ131" s="100" t="str">
        <f aca="false">IF(Tasks[[#This Row],[Task Name]]="","",IF(Tasks[[#This Row],[_IsSummary]],MAX(INDEX(Tasks[_LeafCalcFinish],Tasks[[#This Row],[_Row]]+1):INDEX(Tasks[_LeafCalcFinish],Tasks[[#This Row],[_Row]]+Tasks[[#This Row],[_Descendants]])),Tasks[[#This Row],[_LeafCalcFinish]]))</f>
        <v/>
      </c>
      <c r="CK13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3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31"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31"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31"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31"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31" s="41" t="n">
        <f aca="false">IF(AND(Tasks[[#This Row],[_IsLeaf]]=1,Tasks[[#This Row],[_LeafWork]]&gt;0),NETWORKDAYS.INTL(ProjectStart,Tasks[[#This Row],[_LeafFcstStart]],WorkWeek,Holidays),0)</f>
        <v>0</v>
      </c>
      <c r="CR131" s="41" t="n">
        <f aca="false">IF(AND(Tasks[[#This Row],[_IsLeaf]]=1,Tasks[[#This Row],[_LeafWork]]&gt;0),MAX(Tasks[[#This Row],[_StartWorkday]],NETWORKDAYS.INTL(ProjectStart,Tasks[[#This Row],[_LeafFcstFinish]],WorkWeek,Holidays)),0)</f>
        <v>0</v>
      </c>
      <c r="CS131" s="41" t="n">
        <f aca="false">IF(AND(Tasks[[#This Row],[_IsLeaf]]=1,Tasks[[#This Row],[_LeafWork]]&gt;0),Tasks[[#This Row],[_LeafWork]]/(Tasks[[#This Row],[_FinishWorkday]]-Tasks[[#This Row],[_StartWorkday]]+1),0)</f>
        <v>0</v>
      </c>
      <c r="CT131" s="41" t="n">
        <f aca="false">Tasks[[#This Row],[_WorkPerWorkday]]*(Tasks[[#This Row],[_StartWorkday]]-1)</f>
        <v>-0</v>
      </c>
      <c r="CU131" s="41" t="n">
        <f aca="false">IF(Tasks[[#This Row],[_IsLeaf]]=1,MAX(N(Tasks[[#This Row],[Duration]]),0.1),0)</f>
        <v>0</v>
      </c>
      <c r="CV131" s="41" t="n">
        <f aca="false">Tasks[[#This Row],[_WeightDur]]*Tasks[[#This Row],[_LeafProgress]]</f>
        <v>0</v>
      </c>
      <c r="CW13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3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3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3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31" s="41" t="str">
        <f aca="false">IF(Tasks[[#This Row],[Task Name]]="","",Tasks[[#This Row],[_Pred1UIDText]]&amp;IF(AND(Tasks[[#This Row],[_Pred1UIDText]]&lt;&gt;"",Tasks[[#This Row],[_Pred2UIDText]]&lt;&gt;""),",","")&amp;Tasks[[#This Row],[_Pred2UIDText]])</f>
        <v/>
      </c>
      <c r="DB131" s="41" t="str">
        <f aca="false">IF(AND(Tasks[[#This Row],[_IsLeaf]]=1,N(Tasks[[#This Row],[Duration]])=0,Tasks[[#This Row],[_LeafProgress]]&lt;1),Tasks[[#This Row],[_LeafFcstFinish]]+Tasks[[#This Row],[_Row]]/100000,"")</f>
        <v/>
      </c>
      <c r="DC13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31" s="41" t="n">
        <f aca="false">IF(NOT(Tasks[[#This Row],[_IsLeaf]]=1),0,IF(Tasks[[#This Row],[Baseline Cost]]="",Tasks[[#This Row],[_LeafCost]],N(Tasks[[#This Row],[Baseline Cost]])))</f>
        <v>0</v>
      </c>
      <c r="DE131" s="41" t="n">
        <f aca="false">Tasks[[#This Row],[_LeafBudget]]*Tasks[[#This Row],[_PlannedPct]]</f>
        <v>0</v>
      </c>
      <c r="DF131" s="41" t="n">
        <f aca="false">Tasks[[#This Row],[_LeafBudget]]*Tasks[[#This Row],[_LeafProgress]]</f>
        <v>0</v>
      </c>
      <c r="DG131" s="41" t="n">
        <f aca="false">IF(NOT(Tasks[[#This Row],[_IsLeaf]]=1),0,IF(Tasks[[#This Row],[Actual Cost]]="",Tasks[[#This Row],[_LeafCost]]*Tasks[[#This Row],[_LeafProgress]],N(Tasks[[#This Row],[Actual Cost]])))</f>
        <v>0</v>
      </c>
      <c r="DH131" s="41" t="str">
        <f aca="false">IF(Tasks[[#This Row],[Task Name]]="","",LEFT(Tasks[[#This Row],[WBS]],FIND(".",Tasks[[#This Row],[WBS]]&amp;".")-1))</f>
        <v/>
      </c>
      <c r="DI131" s="41" t="str">
        <f aca="false">IF(AND(Tasks[[#This Row],[Task Name]]&lt;&gt;"",Tasks[[#This Row],[_Level]]=1),Tasks[[#This Row],[_Row]],"")</f>
        <v/>
      </c>
      <c r="DJ131" s="41" t="str">
        <f aca="false">IF(AND(Tasks[[#This Row],[_IsLeaf]]=1,N(Tasks[[#This Row],[Duration]])=0),Tasks[[#This Row],[Planned Finish]]+Tasks[[#This Row],[_Row]]/100000,"")</f>
        <v/>
      </c>
      <c r="DK131" s="41" t="str">
        <f aca="false">IF(AND(Tasks[[#This Row],[_IsLeaf]]=1,Tasks[[#This Row],[_LeafProgress]]&lt;1,OR(N(Tasks[[#This Row],[Finish Var]])&gt;0,Tasks[[#This Row],[Status]]="Late Start")),MAX(0,Tasks[[#This Row],[Finish Var]])+1-Tasks[[#This Row],[_Row]]/1000000,"")</f>
        <v/>
      </c>
      <c r="DL131" s="41" t="str">
        <f aca="false">IF(AND(Tasks[[#This Row],[_IsLeaf]]=1,N(Tasks[[#This Row],[Actual Start]])=0,Tasks[[#This Row],[_LeafFcstStart]]&gt;=StatusDate,Tasks[[#This Row],[_LeafFcstStart]]&lt;=LookaheadEnd),Tasks[[#This Row],[_LeafFcstStart]]+Tasks[[#This Row],[_Row]]/100000,"")</f>
        <v/>
      </c>
      <c r="DM131" s="41" t="str">
        <f aca="false">IF(AND(Tasks[[#This Row],[_IsLeaf]]=1,Tasks[[#This Row],[_LeafProgress]]&lt;1,Tasks[[#This Row],[_LeafFcstFinish]]&gt;=StatusDate,Tasks[[#This Row],[_LeafFcstFinish]]&lt;=LookaheadEnd),Tasks[[#This Row],[_LeafFcstFinish]]+Tasks[[#This Row],[_Row]]/100000,"")</f>
        <v/>
      </c>
      <c r="DN131" s="41" t="str">
        <f aca="false">IF(Tasks[[#This Row],[_LeafCritical]],Tasks[[#This Row],[_LeafFcstStart]]+Tasks[[#This Row],[_Row]]/100000,"")</f>
        <v/>
      </c>
      <c r="DO131" s="41" t="n">
        <f aca="false">Tasks[[#This Row],[_LeafWork]]*Tasks[[#This Row],[_LeafProgress]]</f>
        <v>0</v>
      </c>
      <c r="DP131" s="100" t="str">
        <f aca="false">IF(AND(Tasks[[#This Row],[_IsLeaf]]=1,Tasks[[#This Row],[_LeafProgress]]&gt;=1),IF(N(Tasks[[#This Row],[Actual Finish]])&gt;0,Tasks[[#This Row],[Actual Finish]],Tasks[[#This Row],[_LeafFcstFinish]]),"")</f>
        <v/>
      </c>
      <c r="DQ131" s="41" t="n">
        <f aca="false">IF(Tasks[[#This Row],[_IsLeaf]]=1,N(Tasks[[#This Row],[Story Points]]),0)</f>
        <v>0</v>
      </c>
      <c r="DR131" s="41" t="str">
        <f aca="false">IF(AND(Tasks[[#This Row],[_IsLeaf]]=1,CurrentSprint&lt;&gt;"",Tasks[[#This Row],[Sprint]]=CurrentSprint),Tasks[[#This Row],[_Row]],"")</f>
        <v/>
      </c>
    </row>
    <row r="132" customFormat="false" ht="15" hidden="false" customHeight="false" outlineLevel="0" collapsed="false">
      <c r="A132" s="28" t="str">
        <f aca="false">IF(Tasks[[#This Row],[Task Name]]="","",COUNTA(Tasks[[#Headers],[Task Name]]:Tasks[[#This Row],[Task Name]])-1)</f>
        <v/>
      </c>
      <c r="B132" s="29" t="n">
        <v>127</v>
      </c>
      <c r="C13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2" s="29"/>
      <c r="E132" s="30"/>
      <c r="F132" s="29"/>
      <c r="G132" s="29"/>
      <c r="H132" s="29"/>
      <c r="I132" s="29"/>
      <c r="J132" s="29"/>
      <c r="K132" s="29"/>
      <c r="L132" s="29"/>
      <c r="M132" s="29"/>
      <c r="N132" s="73"/>
      <c r="O132" s="73"/>
      <c r="P132" s="25" t="str">
        <f aca="false">IF(Tasks[[#This Row],[Task Name]]="","",IF(N(Tasks[[#This Row],[Baseline Start]])&gt;0,Tasks[[#This Row],[Baseline Start]],Tasks[[#This Row],[_CalcStart]]))</f>
        <v/>
      </c>
      <c r="Q132" s="25" t="str">
        <f aca="false">IF(Tasks[[#This Row],[Task Name]]="","",IF(N(Tasks[[#This Row],[Baseline Finish]])&gt;0,Tasks[[#This Row],[Baseline Finish]],Tasks[[#This Row],[_CalcFinish]]))</f>
        <v/>
      </c>
      <c r="R132" s="73"/>
      <c r="S132" s="73"/>
      <c r="T132" s="25" t="str">
        <f aca="false">IF(Tasks[[#This Row],[Task Name]]="","",IF(Tasks[[#This Row],[_IsSummary]],MIN(INDEX(Tasks[_LeafFcstStart],Tasks[[#This Row],[_Row]]+1):INDEX(Tasks[_LeafFcstStart],Tasks[[#This Row],[_Row]]+Tasks[[#This Row],[_Descendants]])),Tasks[[#This Row],[_LeafFcstStart]]))</f>
        <v/>
      </c>
      <c r="U132" s="25" t="str">
        <f aca="false">IF(Tasks[[#This Row],[Task Name]]="","",IF(Tasks[[#This Row],[_IsSummary]],MAX(INDEX(Tasks[_LeafFcstFinish],Tasks[[#This Row],[_Row]]+1):INDEX(Tasks[_LeafFcstFinish],Tasks[[#This Row],[_Row]]+Tasks[[#This Row],[_Descendants]])),Tasks[[#This Row],[_LeafFcstFinish]]))</f>
        <v/>
      </c>
      <c r="V13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3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2" s="25" t="str">
        <f aca="false">IF(Tasks[[#This Row],[Task Name]]="","",IF(Tasks[[#This Row],[_IsSummary]],MIN(INDEX(Tasks[_LeafLateStart],Tasks[[#This Row],[_Row]]+1):INDEX(Tasks[_LeafLateStart],Tasks[[#This Row],[_Row]]+Tasks[[#This Row],[_Descendants]])),Tasks[[#This Row],[_LeafLateStart]]))</f>
        <v/>
      </c>
      <c r="Y132" s="25" t="str">
        <f aca="false">IF(Tasks[[#This Row],[Task Name]]="","",IF(Tasks[[#This Row],[_IsSummary]],MAX(INDEX(Tasks[_LeafLateFinish],Tasks[[#This Row],[_Row]]+1):INDEX(Tasks[_LeafLateFinish],Tasks[[#This Row],[_Row]]+Tasks[[#This Row],[_Descendants]])),Tasks[[#This Row],[_LeafLateFinish]]))</f>
        <v/>
      </c>
      <c r="Z132" s="43" t="str">
        <f aca="false">IF(Tasks[[#This Row],[Task Name]]="","",IF(Tasks[[#This Row],[_IsSummary]],MIN(INDEX(Tasks[_LeafTotalSlack],Tasks[[#This Row],[_Row]]+1):INDEX(Tasks[_LeafTotalSlack],Tasks[[#This Row],[_Row]]+Tasks[[#This Row],[_Descendants]])),Tasks[[#This Row],[_LeafTotalSlack]]))</f>
        <v/>
      </c>
      <c r="AA13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2" s="28" t="str">
        <f aca="false">IF(Tasks[[#This Row],[Task Name]]="","",IF(IF(Tasks[[#This Row],[_IsSummary]],COUNTIF(INDEX(Tasks[_LeafCritical],Tasks[[#This Row],[_Row]]+1):INDEX(Tasks[_LeafCritical],Tasks[[#This Row],[_Row]]+Tasks[[#This Row],[_Descendants]]),TRUE())&gt;0,Tasks[[#This Row],[_LeafCritical]]),"Yes",""))</f>
        <v/>
      </c>
      <c r="AC13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2" s="24" t="str">
        <f aca="false">IF(Tasks[[#This Row],[Task Name]]="","",TRIM(IF(Tasks[[#This Row],[_Pred1Problem]]&lt;&gt;"","Pred 1: "&amp;Tasks[[#This Row],[_Pred1Problem]]&amp;". ","")&amp;IF(Tasks[[#This Row],[_Pred2Problem]]&lt;&gt;"","Pred 2: "&amp;Tasks[[#This Row],[_Pred2Problem]]&amp;".","")))</f>
        <v/>
      </c>
      <c r="AE132" s="88"/>
      <c r="AF132"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2" s="28" t="str">
        <f aca="false">IF(Tasks[[#This Row],[Task Name]]="","",IF(Tasks[[#This Row],[Progress]]&gt;=1,"Complete",IF(OR(N(Tasks[[#This Row],[Actual Start]])&gt;0,Tasks[[#This Row],[Progress]]&gt;0),IF(Tasks[[#This Row],[Finish Var]]&gt;0,"Behind","In Progress"),IF(Tasks[[#This Row],[Planned Start]]&lt;StatusDate,"Late Start","Not Started"))))</f>
        <v/>
      </c>
      <c r="AH132" s="30"/>
      <c r="AI132" s="88"/>
      <c r="AJ132" s="95" t="str">
        <f aca="false">IF(Tasks[[#This Row],[Task Name]]="","",IF(Tasks[[#This Row],[_IsSummary]],SUM(INDEX(Tasks[_LeafWork],Tasks[[#This Row],[_Row]]+1):INDEX(Tasks[_LeafWork],Tasks[[#This Row],[_Row]]+Tasks[[#This Row],[_Descendants]])),Tasks[[#This Row],[_LeafWork]]))</f>
        <v/>
      </c>
      <c r="AK132" s="96" t="str">
        <f aca="false">IF(Tasks[[#This Row],[Task Name]]="","",IF(Tasks[[#This Row],[_IsSummary]],SUM(INDEX(Tasks[_LeafCost],Tasks[[#This Row],[_Row]]+1):INDEX(Tasks[_LeafCost],Tasks[[#This Row],[_Row]]+Tasks[[#This Row],[_Descendants]])),Tasks[[#This Row],[_LeafCost]]))</f>
        <v/>
      </c>
      <c r="AL132" s="97"/>
      <c r="AM132" s="29"/>
      <c r="AN13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32" s="82"/>
      <c r="AP132" s="24" t="str">
        <f aca="false">IF(Tasks[[#This Row],[Task Name]]="","",Tasks[[#This Row],[_Pred1IDText]]&amp;IF(AND(Tasks[[#This Row],[_Pred1IDText]]&lt;&gt;"",Tasks[[#This Row],[_Pred2IDText]]&lt;&gt;""),",","")&amp;Tasks[[#This Row],[_Pred2IDText]])</f>
        <v/>
      </c>
      <c r="AQ132" s="30"/>
      <c r="AR132" s="25" t="str">
        <f aca="false">IF(Tasks[[#This Row],[Task Name]]="","",Tasks[[#This Row],[Forecast Start]])</f>
        <v/>
      </c>
      <c r="AS132" s="25" t="str">
        <f aca="false">IF(Tasks[[#This Row],[Task Name]]="","",Tasks[[#This Row],[Forecast Finish]])</f>
        <v/>
      </c>
      <c r="AT132" s="28" t="str">
        <f aca="false">IF(Tasks[[#This Row],[Task Name]]="","",IF(Tasks[[#This Row],[_IsSummary]],NETWORKDAYS.INTL(Tasks[[#This Row],[Forecast Start]],Tasks[[#This Row],[Forecast Finish]],WorkWeek,Holidays),N(Tasks[[#This Row],[Duration]])))</f>
        <v/>
      </c>
      <c r="AU132" s="95" t="str">
        <f aca="false">IF(Tasks[[#This Row],[Task Name]]="","",Tasks[[#This Row],[Work]])</f>
        <v/>
      </c>
      <c r="AV132" s="96" t="str">
        <f aca="false">IF(Tasks[[#This Row],[Task Name]]="","",Tasks[[#This Row],[Cost]])</f>
        <v/>
      </c>
      <c r="AW132" s="73"/>
      <c r="AX132" s="73"/>
      <c r="AY132" s="29"/>
      <c r="AZ132" s="98"/>
      <c r="BA132" s="97"/>
      <c r="BB132" s="28" t="str">
        <f aca="false">IF(OR(Tasks[[#This Row],[Task Name]]="",Tasks[[#This Row],[Baseline Duration]]=""),"",Tasks[[#This Row],[BL Source Duration]]-N(Tasks[[#This Row],[Baseline Duration]]))</f>
        <v/>
      </c>
      <c r="BC132" s="95" t="str">
        <f aca="false">IF(OR(Tasks[[#This Row],[Task Name]]="",Tasks[[#This Row],[Baseline Work]]=""),"",Tasks[[#This Row],[Work]]-N(Tasks[[#This Row],[Baseline Work]]))</f>
        <v/>
      </c>
      <c r="BD132" s="96" t="str">
        <f aca="false">IF(OR(Tasks[[#This Row],[Task Name]]="",Tasks[[#This Row],[Baseline Cost]]=""),"",Tasks[[#This Row],[Cost]]-N(Tasks[[#This Row],[Baseline Cost]]))</f>
        <v/>
      </c>
      <c r="BE132" s="96" t="str">
        <f aca="false">IF(Tasks[[#This Row],[Task Name]]="","",IF(Tasks[[#This Row],[_IsSummary]],SUM(INDEX(Tasks[_LeafBudget],Tasks[[#This Row],[_Row]]+1):INDEX(Tasks[_LeafBudget],Tasks[[#This Row],[_Row]]+Tasks[[#This Row],[_Descendants]])),Tasks[[#This Row],[_LeafBudget]]))</f>
        <v/>
      </c>
      <c r="BF132" s="96" t="str">
        <f aca="false">IF(Tasks[[#This Row],[Task Name]]="","",IF(Tasks[[#This Row],[_IsSummary]],SUM(INDEX(Tasks[_LeafPV],Tasks[[#This Row],[_Row]]+1):INDEX(Tasks[_LeafPV],Tasks[[#This Row],[_Row]]+Tasks[[#This Row],[_Descendants]])),Tasks[[#This Row],[_LeafPV]]))</f>
        <v/>
      </c>
      <c r="BG132" s="96" t="str">
        <f aca="false">IF(Tasks[[#This Row],[Task Name]]="","",IF(Tasks[[#This Row],[_IsSummary]],SUM(INDEX(Tasks[_LeafEV],Tasks[[#This Row],[_Row]]+1):INDEX(Tasks[_LeafEV],Tasks[[#This Row],[_Row]]+Tasks[[#This Row],[_Descendants]])),Tasks[[#This Row],[_LeafEV]]))</f>
        <v/>
      </c>
      <c r="BH132" s="96" t="str">
        <f aca="false">IF(Tasks[[#This Row],[Task Name]]="","",IF(Tasks[[#This Row],[_IsSummary]],SUM(INDEX(Tasks[_LeafAC],Tasks[[#This Row],[_Row]]+1):INDEX(Tasks[_LeafAC],Tasks[[#This Row],[_Row]]+Tasks[[#This Row],[_Descendants]])),Tasks[[#This Row],[_LeafAC]]))</f>
        <v/>
      </c>
      <c r="BI132" s="41" t="str">
        <f aca="false">IF(Tasks[[#This Row],[Task Name]]="","",MAX(1,N(Tasks[[#This Row],[Level]])))</f>
        <v/>
      </c>
      <c r="BJ132" s="41" t="n">
        <f aca="false">ROW()-ROW(Tasks[[#Headers],[ID]])</f>
        <v>127</v>
      </c>
      <c r="BK132" s="41" t="n">
        <f aca="false">IF(OR(Tasks[[#This Row],[Task Name]]="",Tasks[[#This Row],[_Level]]&lt;=1),0,IFERROR(LOOKUP(2,1/(Tasks[[#Headers],[_Level]]:Tasks[[#This Row],[_Level]]=Tasks[[#This Row],[_Level]]-1),ROW(Tasks[[#Headers],[_Level]]:Tasks[[#This Row],[_Level]])),0))</f>
        <v>0</v>
      </c>
      <c r="BL132" s="41" t="n">
        <f aca="false">IFERROR(N(INDEX(Tasks[_Level],Tasks[[#This Row],[_Row]]+1)),0)</f>
        <v>0</v>
      </c>
      <c r="BM132" s="99" t="b">
        <f aca="false">AND(Tasks[[#This Row],[Task Name]]&lt;&gt;"",Tasks[[#This Row],[_NextLevel]]&gt;Tasks[[#This Row],[_Level]])</f>
        <v>0</v>
      </c>
      <c r="BN132" s="41" t="n">
        <f aca="false">IF(Tasks[[#This Row],[_IsSummary]],COUNTIF(Tasks[WBS],Tasks[[#This Row],[WBS]]&amp;".*"),0)</f>
        <v>0</v>
      </c>
      <c r="BO132" s="41" t="n">
        <f aca="false">IF(AND(Tasks[[#This Row],[Task Name]]&lt;&gt;"",NOT(Tasks[[#This Row],[_IsSummary]])),1,0)</f>
        <v>0</v>
      </c>
      <c r="BP132" s="41" t="n">
        <f aca="false">IF(N(Tasks[[#This Row],[Pred1 UID]])=0,0,IFERROR(MATCH(Tasks[[#This Row],[Pred1 UID]],Tasks[UID],0),-1))</f>
        <v>0</v>
      </c>
      <c r="BQ132" s="41" t="n">
        <f aca="false">IF(N(Tasks[[#This Row],[Pred2 UID]])=0,0,IFERROR(MATCH(Tasks[[#This Row],[Pred2 UID]],Tasks[UID],0),-1))</f>
        <v>0</v>
      </c>
      <c r="BR132"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32" s="100" t="str">
        <f aca="false">IF(NOT(Tasks[[#This Row],[_IsLeaf]]=1),"",IF(N(Tasks[[#This Row],[Duration]])&lt;=0,Tasks[[#This Row],[_LeafCalcStart]],WORKDAY.INTL(Tasks[[#This Row],[_LeafCalcStart]],Tasks[[#This Row],[Duration]]-1,WorkWeek,Holidays)))</f>
        <v/>
      </c>
      <c r="BT132"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32"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32" s="41" t="n">
        <f aca="false">IF(NOT(Tasks[[#This Row],[_IsLeaf]]=1),0,IF(N(Tasks[[#This Row],[Actual Finish]])&gt;0,1,MIN(1,N(Tasks[[#This Row],[% Complete]]))))</f>
        <v>0</v>
      </c>
      <c r="BW132" s="41" t="n">
        <f aca="false">IF(OR(NOT(Tasks[[#This Row],[_IsLeaf]]=1),Tasks[[#This Row],[Resource]]=""),0,N(Tasks[[#This Row],[Duration]])*HoursPerDay*IF(Tasks[[#This Row],[Units]]="",DefaultUnits,Tasks[[#This Row],[Units]]))</f>
        <v>0</v>
      </c>
      <c r="BX132" s="41" t="n">
        <f aca="false">IF(Tasks[[#This Row],[_LeafWork]]=0,0,Tasks[[#This Row],[_LeafWork]]*IFERROR(INDEX(res_Rate,MATCH(Tasks[[#This Row],[Resource]],res_Name,0)),0))</f>
        <v>0</v>
      </c>
      <c r="BY13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3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3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3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32" s="41" t="n">
        <f aca="false">IF(NOT(Tasks[[#This Row],[_IsLeaf]]=1),0,MAX(_xlfn.MAXIFS(Tasks[_Row],Tasks[Pred1 UID],Tasks[[#This Row],[UID]]),_xlfn.MAXIFS(Tasks[_Row],Tasks[Pred2 UID],Tasks[[#This Row],[UID]])))</f>
        <v>0</v>
      </c>
      <c r="CD132"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32" s="100" t="str">
        <f aca="false">IF(NOT(Tasks[[#This Row],[_IsLeaf]]=1),"",MIN(ProjectFinish,IF(N(Tasks[[#This Row],[Deadline]])&gt;0,Tasks[[#This Row],[Deadline]],2958465),Tasks[[#This Row],[_SuccessorFinishLimit]]))</f>
        <v/>
      </c>
      <c r="CF132" s="100" t="str">
        <f aca="false">IF(NOT(Tasks[[#This Row],[_IsLeaf]]=1),"",IF(N(Tasks[[#This Row],[Duration]])&lt;=0,Tasks[[#This Row],[_LeafLateFinish]],WORKDAY.INTL(Tasks[[#This Row],[_LeafLateFinish]],-(Tasks[[#This Row],[Duration]]-1),WorkWeek,Holidays)))</f>
        <v/>
      </c>
      <c r="CG13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32" s="99" t="b">
        <f aca="false">AND(Tasks[[#This Row],[_IsLeaf]]=1,Tasks[[#This Row],[_LeafProgress]]&lt;1,N(Tasks[[#This Row],[_LeafTotalSlack]])&lt;=CriticalSlackDays)</f>
        <v>0</v>
      </c>
      <c r="CI132" s="100" t="str">
        <f aca="false">IF(Tasks[[#This Row],[Task Name]]="","",IF(Tasks[[#This Row],[_IsSummary]],MIN(INDEX(Tasks[_LeafCalcStart],Tasks[[#This Row],[_Row]]+1):INDEX(Tasks[_LeafCalcStart],Tasks[[#This Row],[_Row]]+Tasks[[#This Row],[_Descendants]])),Tasks[[#This Row],[_LeafCalcStart]]))</f>
        <v/>
      </c>
      <c r="CJ132" s="100" t="str">
        <f aca="false">IF(Tasks[[#This Row],[Task Name]]="","",IF(Tasks[[#This Row],[_IsSummary]],MAX(INDEX(Tasks[_LeafCalcFinish],Tasks[[#This Row],[_Row]]+1):INDEX(Tasks[_LeafCalcFinish],Tasks[[#This Row],[_Row]]+Tasks[[#This Row],[_Descendants]])),Tasks[[#This Row],[_LeafCalcFinish]]))</f>
        <v/>
      </c>
      <c r="CK13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3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32"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32"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32"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32"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32" s="41" t="n">
        <f aca="false">IF(AND(Tasks[[#This Row],[_IsLeaf]]=1,Tasks[[#This Row],[_LeafWork]]&gt;0),NETWORKDAYS.INTL(ProjectStart,Tasks[[#This Row],[_LeafFcstStart]],WorkWeek,Holidays),0)</f>
        <v>0</v>
      </c>
      <c r="CR132" s="41" t="n">
        <f aca="false">IF(AND(Tasks[[#This Row],[_IsLeaf]]=1,Tasks[[#This Row],[_LeafWork]]&gt;0),MAX(Tasks[[#This Row],[_StartWorkday]],NETWORKDAYS.INTL(ProjectStart,Tasks[[#This Row],[_LeafFcstFinish]],WorkWeek,Holidays)),0)</f>
        <v>0</v>
      </c>
      <c r="CS132" s="41" t="n">
        <f aca="false">IF(AND(Tasks[[#This Row],[_IsLeaf]]=1,Tasks[[#This Row],[_LeafWork]]&gt;0),Tasks[[#This Row],[_LeafWork]]/(Tasks[[#This Row],[_FinishWorkday]]-Tasks[[#This Row],[_StartWorkday]]+1),0)</f>
        <v>0</v>
      </c>
      <c r="CT132" s="41" t="n">
        <f aca="false">Tasks[[#This Row],[_WorkPerWorkday]]*(Tasks[[#This Row],[_StartWorkday]]-1)</f>
        <v>-0</v>
      </c>
      <c r="CU132" s="41" t="n">
        <f aca="false">IF(Tasks[[#This Row],[_IsLeaf]]=1,MAX(N(Tasks[[#This Row],[Duration]]),0.1),0)</f>
        <v>0</v>
      </c>
      <c r="CV132" s="41" t="n">
        <f aca="false">Tasks[[#This Row],[_WeightDur]]*Tasks[[#This Row],[_LeafProgress]]</f>
        <v>0</v>
      </c>
      <c r="CW13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3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3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3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32" s="41" t="str">
        <f aca="false">IF(Tasks[[#This Row],[Task Name]]="","",Tasks[[#This Row],[_Pred1UIDText]]&amp;IF(AND(Tasks[[#This Row],[_Pred1UIDText]]&lt;&gt;"",Tasks[[#This Row],[_Pred2UIDText]]&lt;&gt;""),",","")&amp;Tasks[[#This Row],[_Pred2UIDText]])</f>
        <v/>
      </c>
      <c r="DB132" s="41" t="str">
        <f aca="false">IF(AND(Tasks[[#This Row],[_IsLeaf]]=1,N(Tasks[[#This Row],[Duration]])=0,Tasks[[#This Row],[_LeafProgress]]&lt;1),Tasks[[#This Row],[_LeafFcstFinish]]+Tasks[[#This Row],[_Row]]/100000,"")</f>
        <v/>
      </c>
      <c r="DC13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32" s="41" t="n">
        <f aca="false">IF(NOT(Tasks[[#This Row],[_IsLeaf]]=1),0,IF(Tasks[[#This Row],[Baseline Cost]]="",Tasks[[#This Row],[_LeafCost]],N(Tasks[[#This Row],[Baseline Cost]])))</f>
        <v>0</v>
      </c>
      <c r="DE132" s="41" t="n">
        <f aca="false">Tasks[[#This Row],[_LeafBudget]]*Tasks[[#This Row],[_PlannedPct]]</f>
        <v>0</v>
      </c>
      <c r="DF132" s="41" t="n">
        <f aca="false">Tasks[[#This Row],[_LeafBudget]]*Tasks[[#This Row],[_LeafProgress]]</f>
        <v>0</v>
      </c>
      <c r="DG132" s="41" t="n">
        <f aca="false">IF(NOT(Tasks[[#This Row],[_IsLeaf]]=1),0,IF(Tasks[[#This Row],[Actual Cost]]="",Tasks[[#This Row],[_LeafCost]]*Tasks[[#This Row],[_LeafProgress]],N(Tasks[[#This Row],[Actual Cost]])))</f>
        <v>0</v>
      </c>
      <c r="DH132" s="41" t="str">
        <f aca="false">IF(Tasks[[#This Row],[Task Name]]="","",LEFT(Tasks[[#This Row],[WBS]],FIND(".",Tasks[[#This Row],[WBS]]&amp;".")-1))</f>
        <v/>
      </c>
      <c r="DI132" s="41" t="str">
        <f aca="false">IF(AND(Tasks[[#This Row],[Task Name]]&lt;&gt;"",Tasks[[#This Row],[_Level]]=1),Tasks[[#This Row],[_Row]],"")</f>
        <v/>
      </c>
      <c r="DJ132" s="41" t="str">
        <f aca="false">IF(AND(Tasks[[#This Row],[_IsLeaf]]=1,N(Tasks[[#This Row],[Duration]])=0),Tasks[[#This Row],[Planned Finish]]+Tasks[[#This Row],[_Row]]/100000,"")</f>
        <v/>
      </c>
      <c r="DK132" s="41" t="str">
        <f aca="false">IF(AND(Tasks[[#This Row],[_IsLeaf]]=1,Tasks[[#This Row],[_LeafProgress]]&lt;1,OR(N(Tasks[[#This Row],[Finish Var]])&gt;0,Tasks[[#This Row],[Status]]="Late Start")),MAX(0,Tasks[[#This Row],[Finish Var]])+1-Tasks[[#This Row],[_Row]]/1000000,"")</f>
        <v/>
      </c>
      <c r="DL132" s="41" t="str">
        <f aca="false">IF(AND(Tasks[[#This Row],[_IsLeaf]]=1,N(Tasks[[#This Row],[Actual Start]])=0,Tasks[[#This Row],[_LeafFcstStart]]&gt;=StatusDate,Tasks[[#This Row],[_LeafFcstStart]]&lt;=LookaheadEnd),Tasks[[#This Row],[_LeafFcstStart]]+Tasks[[#This Row],[_Row]]/100000,"")</f>
        <v/>
      </c>
      <c r="DM132" s="41" t="str">
        <f aca="false">IF(AND(Tasks[[#This Row],[_IsLeaf]]=1,Tasks[[#This Row],[_LeafProgress]]&lt;1,Tasks[[#This Row],[_LeafFcstFinish]]&gt;=StatusDate,Tasks[[#This Row],[_LeafFcstFinish]]&lt;=LookaheadEnd),Tasks[[#This Row],[_LeafFcstFinish]]+Tasks[[#This Row],[_Row]]/100000,"")</f>
        <v/>
      </c>
      <c r="DN132" s="41" t="str">
        <f aca="false">IF(Tasks[[#This Row],[_LeafCritical]],Tasks[[#This Row],[_LeafFcstStart]]+Tasks[[#This Row],[_Row]]/100000,"")</f>
        <v/>
      </c>
      <c r="DO132" s="41" t="n">
        <f aca="false">Tasks[[#This Row],[_LeafWork]]*Tasks[[#This Row],[_LeafProgress]]</f>
        <v>0</v>
      </c>
      <c r="DP132" s="100" t="str">
        <f aca="false">IF(AND(Tasks[[#This Row],[_IsLeaf]]=1,Tasks[[#This Row],[_LeafProgress]]&gt;=1),IF(N(Tasks[[#This Row],[Actual Finish]])&gt;0,Tasks[[#This Row],[Actual Finish]],Tasks[[#This Row],[_LeafFcstFinish]]),"")</f>
        <v/>
      </c>
      <c r="DQ132" s="41" t="n">
        <f aca="false">IF(Tasks[[#This Row],[_IsLeaf]]=1,N(Tasks[[#This Row],[Story Points]]),0)</f>
        <v>0</v>
      </c>
      <c r="DR132" s="41" t="str">
        <f aca="false">IF(AND(Tasks[[#This Row],[_IsLeaf]]=1,CurrentSprint&lt;&gt;"",Tasks[[#This Row],[Sprint]]=CurrentSprint),Tasks[[#This Row],[_Row]],"")</f>
        <v/>
      </c>
    </row>
    <row r="133" customFormat="false" ht="15" hidden="false" customHeight="false" outlineLevel="0" collapsed="false">
      <c r="A133" s="28" t="str">
        <f aca="false">IF(Tasks[[#This Row],[Task Name]]="","",COUNTA(Tasks[[#Headers],[Task Name]]:Tasks[[#This Row],[Task Name]])-1)</f>
        <v/>
      </c>
      <c r="B133" s="29" t="n">
        <v>128</v>
      </c>
      <c r="C13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3" s="29"/>
      <c r="E133" s="30"/>
      <c r="F133" s="29"/>
      <c r="G133" s="29"/>
      <c r="H133" s="29"/>
      <c r="I133" s="29"/>
      <c r="J133" s="29"/>
      <c r="K133" s="29"/>
      <c r="L133" s="29"/>
      <c r="M133" s="29"/>
      <c r="N133" s="73"/>
      <c r="O133" s="73"/>
      <c r="P133" s="25" t="str">
        <f aca="false">IF(Tasks[[#This Row],[Task Name]]="","",IF(N(Tasks[[#This Row],[Baseline Start]])&gt;0,Tasks[[#This Row],[Baseline Start]],Tasks[[#This Row],[_CalcStart]]))</f>
        <v/>
      </c>
      <c r="Q133" s="25" t="str">
        <f aca="false">IF(Tasks[[#This Row],[Task Name]]="","",IF(N(Tasks[[#This Row],[Baseline Finish]])&gt;0,Tasks[[#This Row],[Baseline Finish]],Tasks[[#This Row],[_CalcFinish]]))</f>
        <v/>
      </c>
      <c r="R133" s="73"/>
      <c r="S133" s="73"/>
      <c r="T133" s="25" t="str">
        <f aca="false">IF(Tasks[[#This Row],[Task Name]]="","",IF(Tasks[[#This Row],[_IsSummary]],MIN(INDEX(Tasks[_LeafFcstStart],Tasks[[#This Row],[_Row]]+1):INDEX(Tasks[_LeafFcstStart],Tasks[[#This Row],[_Row]]+Tasks[[#This Row],[_Descendants]])),Tasks[[#This Row],[_LeafFcstStart]]))</f>
        <v/>
      </c>
      <c r="U133" s="25" t="str">
        <f aca="false">IF(Tasks[[#This Row],[Task Name]]="","",IF(Tasks[[#This Row],[_IsSummary]],MAX(INDEX(Tasks[_LeafFcstFinish],Tasks[[#This Row],[_Row]]+1):INDEX(Tasks[_LeafFcstFinish],Tasks[[#This Row],[_Row]]+Tasks[[#This Row],[_Descendants]])),Tasks[[#This Row],[_LeafFcstFinish]]))</f>
        <v/>
      </c>
      <c r="V13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3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3" s="25" t="str">
        <f aca="false">IF(Tasks[[#This Row],[Task Name]]="","",IF(Tasks[[#This Row],[_IsSummary]],MIN(INDEX(Tasks[_LeafLateStart],Tasks[[#This Row],[_Row]]+1):INDEX(Tasks[_LeafLateStart],Tasks[[#This Row],[_Row]]+Tasks[[#This Row],[_Descendants]])),Tasks[[#This Row],[_LeafLateStart]]))</f>
        <v/>
      </c>
      <c r="Y133" s="25" t="str">
        <f aca="false">IF(Tasks[[#This Row],[Task Name]]="","",IF(Tasks[[#This Row],[_IsSummary]],MAX(INDEX(Tasks[_LeafLateFinish],Tasks[[#This Row],[_Row]]+1):INDEX(Tasks[_LeafLateFinish],Tasks[[#This Row],[_Row]]+Tasks[[#This Row],[_Descendants]])),Tasks[[#This Row],[_LeafLateFinish]]))</f>
        <v/>
      </c>
      <c r="Z133" s="43" t="str">
        <f aca="false">IF(Tasks[[#This Row],[Task Name]]="","",IF(Tasks[[#This Row],[_IsSummary]],MIN(INDEX(Tasks[_LeafTotalSlack],Tasks[[#This Row],[_Row]]+1):INDEX(Tasks[_LeafTotalSlack],Tasks[[#This Row],[_Row]]+Tasks[[#This Row],[_Descendants]])),Tasks[[#This Row],[_LeafTotalSlack]]))</f>
        <v/>
      </c>
      <c r="AA13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3" s="28" t="str">
        <f aca="false">IF(Tasks[[#This Row],[Task Name]]="","",IF(IF(Tasks[[#This Row],[_IsSummary]],COUNTIF(INDEX(Tasks[_LeafCritical],Tasks[[#This Row],[_Row]]+1):INDEX(Tasks[_LeafCritical],Tasks[[#This Row],[_Row]]+Tasks[[#This Row],[_Descendants]]),TRUE())&gt;0,Tasks[[#This Row],[_LeafCritical]]),"Yes",""))</f>
        <v/>
      </c>
      <c r="AC13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3" s="24" t="str">
        <f aca="false">IF(Tasks[[#This Row],[Task Name]]="","",TRIM(IF(Tasks[[#This Row],[_Pred1Problem]]&lt;&gt;"","Pred 1: "&amp;Tasks[[#This Row],[_Pred1Problem]]&amp;". ","")&amp;IF(Tasks[[#This Row],[_Pred2Problem]]&lt;&gt;"","Pred 2: "&amp;Tasks[[#This Row],[_Pred2Problem]]&amp;".","")))</f>
        <v/>
      </c>
      <c r="AE133" s="88"/>
      <c r="AF133"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3" s="28" t="str">
        <f aca="false">IF(Tasks[[#This Row],[Task Name]]="","",IF(Tasks[[#This Row],[Progress]]&gt;=1,"Complete",IF(OR(N(Tasks[[#This Row],[Actual Start]])&gt;0,Tasks[[#This Row],[Progress]]&gt;0),IF(Tasks[[#This Row],[Finish Var]]&gt;0,"Behind","In Progress"),IF(Tasks[[#This Row],[Planned Start]]&lt;StatusDate,"Late Start","Not Started"))))</f>
        <v/>
      </c>
      <c r="AH133" s="30"/>
      <c r="AI133" s="88"/>
      <c r="AJ133" s="95" t="str">
        <f aca="false">IF(Tasks[[#This Row],[Task Name]]="","",IF(Tasks[[#This Row],[_IsSummary]],SUM(INDEX(Tasks[_LeafWork],Tasks[[#This Row],[_Row]]+1):INDEX(Tasks[_LeafWork],Tasks[[#This Row],[_Row]]+Tasks[[#This Row],[_Descendants]])),Tasks[[#This Row],[_LeafWork]]))</f>
        <v/>
      </c>
      <c r="AK133" s="96" t="str">
        <f aca="false">IF(Tasks[[#This Row],[Task Name]]="","",IF(Tasks[[#This Row],[_IsSummary]],SUM(INDEX(Tasks[_LeafCost],Tasks[[#This Row],[_Row]]+1):INDEX(Tasks[_LeafCost],Tasks[[#This Row],[_Row]]+Tasks[[#This Row],[_Descendants]])),Tasks[[#This Row],[_LeafCost]]))</f>
        <v/>
      </c>
      <c r="AL133" s="97"/>
      <c r="AM133" s="29"/>
      <c r="AN13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33" s="82"/>
      <c r="AP133" s="24" t="str">
        <f aca="false">IF(Tasks[[#This Row],[Task Name]]="","",Tasks[[#This Row],[_Pred1IDText]]&amp;IF(AND(Tasks[[#This Row],[_Pred1IDText]]&lt;&gt;"",Tasks[[#This Row],[_Pred2IDText]]&lt;&gt;""),",","")&amp;Tasks[[#This Row],[_Pred2IDText]])</f>
        <v/>
      </c>
      <c r="AQ133" s="30"/>
      <c r="AR133" s="25" t="str">
        <f aca="false">IF(Tasks[[#This Row],[Task Name]]="","",Tasks[[#This Row],[Forecast Start]])</f>
        <v/>
      </c>
      <c r="AS133" s="25" t="str">
        <f aca="false">IF(Tasks[[#This Row],[Task Name]]="","",Tasks[[#This Row],[Forecast Finish]])</f>
        <v/>
      </c>
      <c r="AT133" s="28" t="str">
        <f aca="false">IF(Tasks[[#This Row],[Task Name]]="","",IF(Tasks[[#This Row],[_IsSummary]],NETWORKDAYS.INTL(Tasks[[#This Row],[Forecast Start]],Tasks[[#This Row],[Forecast Finish]],WorkWeek,Holidays),N(Tasks[[#This Row],[Duration]])))</f>
        <v/>
      </c>
      <c r="AU133" s="95" t="str">
        <f aca="false">IF(Tasks[[#This Row],[Task Name]]="","",Tasks[[#This Row],[Work]])</f>
        <v/>
      </c>
      <c r="AV133" s="96" t="str">
        <f aca="false">IF(Tasks[[#This Row],[Task Name]]="","",Tasks[[#This Row],[Cost]])</f>
        <v/>
      </c>
      <c r="AW133" s="73"/>
      <c r="AX133" s="73"/>
      <c r="AY133" s="29"/>
      <c r="AZ133" s="98"/>
      <c r="BA133" s="97"/>
      <c r="BB133" s="28" t="str">
        <f aca="false">IF(OR(Tasks[[#This Row],[Task Name]]="",Tasks[[#This Row],[Baseline Duration]]=""),"",Tasks[[#This Row],[BL Source Duration]]-N(Tasks[[#This Row],[Baseline Duration]]))</f>
        <v/>
      </c>
      <c r="BC133" s="95" t="str">
        <f aca="false">IF(OR(Tasks[[#This Row],[Task Name]]="",Tasks[[#This Row],[Baseline Work]]=""),"",Tasks[[#This Row],[Work]]-N(Tasks[[#This Row],[Baseline Work]]))</f>
        <v/>
      </c>
      <c r="BD133" s="96" t="str">
        <f aca="false">IF(OR(Tasks[[#This Row],[Task Name]]="",Tasks[[#This Row],[Baseline Cost]]=""),"",Tasks[[#This Row],[Cost]]-N(Tasks[[#This Row],[Baseline Cost]]))</f>
        <v/>
      </c>
      <c r="BE133" s="96" t="str">
        <f aca="false">IF(Tasks[[#This Row],[Task Name]]="","",IF(Tasks[[#This Row],[_IsSummary]],SUM(INDEX(Tasks[_LeafBudget],Tasks[[#This Row],[_Row]]+1):INDEX(Tasks[_LeafBudget],Tasks[[#This Row],[_Row]]+Tasks[[#This Row],[_Descendants]])),Tasks[[#This Row],[_LeafBudget]]))</f>
        <v/>
      </c>
      <c r="BF133" s="96" t="str">
        <f aca="false">IF(Tasks[[#This Row],[Task Name]]="","",IF(Tasks[[#This Row],[_IsSummary]],SUM(INDEX(Tasks[_LeafPV],Tasks[[#This Row],[_Row]]+1):INDEX(Tasks[_LeafPV],Tasks[[#This Row],[_Row]]+Tasks[[#This Row],[_Descendants]])),Tasks[[#This Row],[_LeafPV]]))</f>
        <v/>
      </c>
      <c r="BG133" s="96" t="str">
        <f aca="false">IF(Tasks[[#This Row],[Task Name]]="","",IF(Tasks[[#This Row],[_IsSummary]],SUM(INDEX(Tasks[_LeafEV],Tasks[[#This Row],[_Row]]+1):INDEX(Tasks[_LeafEV],Tasks[[#This Row],[_Row]]+Tasks[[#This Row],[_Descendants]])),Tasks[[#This Row],[_LeafEV]]))</f>
        <v/>
      </c>
      <c r="BH133" s="96" t="str">
        <f aca="false">IF(Tasks[[#This Row],[Task Name]]="","",IF(Tasks[[#This Row],[_IsSummary]],SUM(INDEX(Tasks[_LeafAC],Tasks[[#This Row],[_Row]]+1):INDEX(Tasks[_LeafAC],Tasks[[#This Row],[_Row]]+Tasks[[#This Row],[_Descendants]])),Tasks[[#This Row],[_LeafAC]]))</f>
        <v/>
      </c>
      <c r="BI133" s="41" t="str">
        <f aca="false">IF(Tasks[[#This Row],[Task Name]]="","",MAX(1,N(Tasks[[#This Row],[Level]])))</f>
        <v/>
      </c>
      <c r="BJ133" s="41" t="n">
        <f aca="false">ROW()-ROW(Tasks[[#Headers],[ID]])</f>
        <v>128</v>
      </c>
      <c r="BK133" s="41" t="n">
        <f aca="false">IF(OR(Tasks[[#This Row],[Task Name]]="",Tasks[[#This Row],[_Level]]&lt;=1),0,IFERROR(LOOKUP(2,1/(Tasks[[#Headers],[_Level]]:Tasks[[#This Row],[_Level]]=Tasks[[#This Row],[_Level]]-1),ROW(Tasks[[#Headers],[_Level]]:Tasks[[#This Row],[_Level]])),0))</f>
        <v>0</v>
      </c>
      <c r="BL133" s="41" t="n">
        <f aca="false">IFERROR(N(INDEX(Tasks[_Level],Tasks[[#This Row],[_Row]]+1)),0)</f>
        <v>0</v>
      </c>
      <c r="BM133" s="99" t="b">
        <f aca="false">AND(Tasks[[#This Row],[Task Name]]&lt;&gt;"",Tasks[[#This Row],[_NextLevel]]&gt;Tasks[[#This Row],[_Level]])</f>
        <v>0</v>
      </c>
      <c r="BN133" s="41" t="n">
        <f aca="false">IF(Tasks[[#This Row],[_IsSummary]],COUNTIF(Tasks[WBS],Tasks[[#This Row],[WBS]]&amp;".*"),0)</f>
        <v>0</v>
      </c>
      <c r="BO133" s="41" t="n">
        <f aca="false">IF(AND(Tasks[[#This Row],[Task Name]]&lt;&gt;"",NOT(Tasks[[#This Row],[_IsSummary]])),1,0)</f>
        <v>0</v>
      </c>
      <c r="BP133" s="41" t="n">
        <f aca="false">IF(N(Tasks[[#This Row],[Pred1 UID]])=0,0,IFERROR(MATCH(Tasks[[#This Row],[Pred1 UID]],Tasks[UID],0),-1))</f>
        <v>0</v>
      </c>
      <c r="BQ133" s="41" t="n">
        <f aca="false">IF(N(Tasks[[#This Row],[Pred2 UID]])=0,0,IFERROR(MATCH(Tasks[[#This Row],[Pred2 UID]],Tasks[UID],0),-1))</f>
        <v>0</v>
      </c>
      <c r="BR133"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33" s="100" t="str">
        <f aca="false">IF(NOT(Tasks[[#This Row],[_IsLeaf]]=1),"",IF(N(Tasks[[#This Row],[Duration]])&lt;=0,Tasks[[#This Row],[_LeafCalcStart]],WORKDAY.INTL(Tasks[[#This Row],[_LeafCalcStart]],Tasks[[#This Row],[Duration]]-1,WorkWeek,Holidays)))</f>
        <v/>
      </c>
      <c r="BT133"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33"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33" s="41" t="n">
        <f aca="false">IF(NOT(Tasks[[#This Row],[_IsLeaf]]=1),0,IF(N(Tasks[[#This Row],[Actual Finish]])&gt;0,1,MIN(1,N(Tasks[[#This Row],[% Complete]]))))</f>
        <v>0</v>
      </c>
      <c r="BW133" s="41" t="n">
        <f aca="false">IF(OR(NOT(Tasks[[#This Row],[_IsLeaf]]=1),Tasks[[#This Row],[Resource]]=""),0,N(Tasks[[#This Row],[Duration]])*HoursPerDay*IF(Tasks[[#This Row],[Units]]="",DefaultUnits,Tasks[[#This Row],[Units]]))</f>
        <v>0</v>
      </c>
      <c r="BX133" s="41" t="n">
        <f aca="false">IF(Tasks[[#This Row],[_LeafWork]]=0,0,Tasks[[#This Row],[_LeafWork]]*IFERROR(INDEX(res_Rate,MATCH(Tasks[[#This Row],[Resource]],res_Name,0)),0))</f>
        <v>0</v>
      </c>
      <c r="BY13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3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3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3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33" s="41" t="n">
        <f aca="false">IF(NOT(Tasks[[#This Row],[_IsLeaf]]=1),0,MAX(_xlfn.MAXIFS(Tasks[_Row],Tasks[Pred1 UID],Tasks[[#This Row],[UID]]),_xlfn.MAXIFS(Tasks[_Row],Tasks[Pred2 UID],Tasks[[#This Row],[UID]])))</f>
        <v>0</v>
      </c>
      <c r="CD133"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33" s="100" t="str">
        <f aca="false">IF(NOT(Tasks[[#This Row],[_IsLeaf]]=1),"",MIN(ProjectFinish,IF(N(Tasks[[#This Row],[Deadline]])&gt;0,Tasks[[#This Row],[Deadline]],2958465),Tasks[[#This Row],[_SuccessorFinishLimit]]))</f>
        <v/>
      </c>
      <c r="CF133" s="100" t="str">
        <f aca="false">IF(NOT(Tasks[[#This Row],[_IsLeaf]]=1),"",IF(N(Tasks[[#This Row],[Duration]])&lt;=0,Tasks[[#This Row],[_LeafLateFinish]],WORKDAY.INTL(Tasks[[#This Row],[_LeafLateFinish]],-(Tasks[[#This Row],[Duration]]-1),WorkWeek,Holidays)))</f>
        <v/>
      </c>
      <c r="CG13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33" s="99" t="b">
        <f aca="false">AND(Tasks[[#This Row],[_IsLeaf]]=1,Tasks[[#This Row],[_LeafProgress]]&lt;1,N(Tasks[[#This Row],[_LeafTotalSlack]])&lt;=CriticalSlackDays)</f>
        <v>0</v>
      </c>
      <c r="CI133" s="100" t="str">
        <f aca="false">IF(Tasks[[#This Row],[Task Name]]="","",IF(Tasks[[#This Row],[_IsSummary]],MIN(INDEX(Tasks[_LeafCalcStart],Tasks[[#This Row],[_Row]]+1):INDEX(Tasks[_LeafCalcStart],Tasks[[#This Row],[_Row]]+Tasks[[#This Row],[_Descendants]])),Tasks[[#This Row],[_LeafCalcStart]]))</f>
        <v/>
      </c>
      <c r="CJ133" s="100" t="str">
        <f aca="false">IF(Tasks[[#This Row],[Task Name]]="","",IF(Tasks[[#This Row],[_IsSummary]],MAX(INDEX(Tasks[_LeafCalcFinish],Tasks[[#This Row],[_Row]]+1):INDEX(Tasks[_LeafCalcFinish],Tasks[[#This Row],[_Row]]+Tasks[[#This Row],[_Descendants]])),Tasks[[#This Row],[_LeafCalcFinish]]))</f>
        <v/>
      </c>
      <c r="CK13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3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33"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33"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33"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33"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33" s="41" t="n">
        <f aca="false">IF(AND(Tasks[[#This Row],[_IsLeaf]]=1,Tasks[[#This Row],[_LeafWork]]&gt;0),NETWORKDAYS.INTL(ProjectStart,Tasks[[#This Row],[_LeafFcstStart]],WorkWeek,Holidays),0)</f>
        <v>0</v>
      </c>
      <c r="CR133" s="41" t="n">
        <f aca="false">IF(AND(Tasks[[#This Row],[_IsLeaf]]=1,Tasks[[#This Row],[_LeafWork]]&gt;0),MAX(Tasks[[#This Row],[_StartWorkday]],NETWORKDAYS.INTL(ProjectStart,Tasks[[#This Row],[_LeafFcstFinish]],WorkWeek,Holidays)),0)</f>
        <v>0</v>
      </c>
      <c r="CS133" s="41" t="n">
        <f aca="false">IF(AND(Tasks[[#This Row],[_IsLeaf]]=1,Tasks[[#This Row],[_LeafWork]]&gt;0),Tasks[[#This Row],[_LeafWork]]/(Tasks[[#This Row],[_FinishWorkday]]-Tasks[[#This Row],[_StartWorkday]]+1),0)</f>
        <v>0</v>
      </c>
      <c r="CT133" s="41" t="n">
        <f aca="false">Tasks[[#This Row],[_WorkPerWorkday]]*(Tasks[[#This Row],[_StartWorkday]]-1)</f>
        <v>-0</v>
      </c>
      <c r="CU133" s="41" t="n">
        <f aca="false">IF(Tasks[[#This Row],[_IsLeaf]]=1,MAX(N(Tasks[[#This Row],[Duration]]),0.1),0)</f>
        <v>0</v>
      </c>
      <c r="CV133" s="41" t="n">
        <f aca="false">Tasks[[#This Row],[_WeightDur]]*Tasks[[#This Row],[_LeafProgress]]</f>
        <v>0</v>
      </c>
      <c r="CW13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3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3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3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33" s="41" t="str">
        <f aca="false">IF(Tasks[[#This Row],[Task Name]]="","",Tasks[[#This Row],[_Pred1UIDText]]&amp;IF(AND(Tasks[[#This Row],[_Pred1UIDText]]&lt;&gt;"",Tasks[[#This Row],[_Pred2UIDText]]&lt;&gt;""),",","")&amp;Tasks[[#This Row],[_Pred2UIDText]])</f>
        <v/>
      </c>
      <c r="DB133" s="41" t="str">
        <f aca="false">IF(AND(Tasks[[#This Row],[_IsLeaf]]=1,N(Tasks[[#This Row],[Duration]])=0,Tasks[[#This Row],[_LeafProgress]]&lt;1),Tasks[[#This Row],[_LeafFcstFinish]]+Tasks[[#This Row],[_Row]]/100000,"")</f>
        <v/>
      </c>
      <c r="DC13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33" s="41" t="n">
        <f aca="false">IF(NOT(Tasks[[#This Row],[_IsLeaf]]=1),0,IF(Tasks[[#This Row],[Baseline Cost]]="",Tasks[[#This Row],[_LeafCost]],N(Tasks[[#This Row],[Baseline Cost]])))</f>
        <v>0</v>
      </c>
      <c r="DE133" s="41" t="n">
        <f aca="false">Tasks[[#This Row],[_LeafBudget]]*Tasks[[#This Row],[_PlannedPct]]</f>
        <v>0</v>
      </c>
      <c r="DF133" s="41" t="n">
        <f aca="false">Tasks[[#This Row],[_LeafBudget]]*Tasks[[#This Row],[_LeafProgress]]</f>
        <v>0</v>
      </c>
      <c r="DG133" s="41" t="n">
        <f aca="false">IF(NOT(Tasks[[#This Row],[_IsLeaf]]=1),0,IF(Tasks[[#This Row],[Actual Cost]]="",Tasks[[#This Row],[_LeafCost]]*Tasks[[#This Row],[_LeafProgress]],N(Tasks[[#This Row],[Actual Cost]])))</f>
        <v>0</v>
      </c>
      <c r="DH133" s="41" t="str">
        <f aca="false">IF(Tasks[[#This Row],[Task Name]]="","",LEFT(Tasks[[#This Row],[WBS]],FIND(".",Tasks[[#This Row],[WBS]]&amp;".")-1))</f>
        <v/>
      </c>
      <c r="DI133" s="41" t="str">
        <f aca="false">IF(AND(Tasks[[#This Row],[Task Name]]&lt;&gt;"",Tasks[[#This Row],[_Level]]=1),Tasks[[#This Row],[_Row]],"")</f>
        <v/>
      </c>
      <c r="DJ133" s="41" t="str">
        <f aca="false">IF(AND(Tasks[[#This Row],[_IsLeaf]]=1,N(Tasks[[#This Row],[Duration]])=0),Tasks[[#This Row],[Planned Finish]]+Tasks[[#This Row],[_Row]]/100000,"")</f>
        <v/>
      </c>
      <c r="DK133" s="41" t="str">
        <f aca="false">IF(AND(Tasks[[#This Row],[_IsLeaf]]=1,Tasks[[#This Row],[_LeafProgress]]&lt;1,OR(N(Tasks[[#This Row],[Finish Var]])&gt;0,Tasks[[#This Row],[Status]]="Late Start")),MAX(0,Tasks[[#This Row],[Finish Var]])+1-Tasks[[#This Row],[_Row]]/1000000,"")</f>
        <v/>
      </c>
      <c r="DL133" s="41" t="str">
        <f aca="false">IF(AND(Tasks[[#This Row],[_IsLeaf]]=1,N(Tasks[[#This Row],[Actual Start]])=0,Tasks[[#This Row],[_LeafFcstStart]]&gt;=StatusDate,Tasks[[#This Row],[_LeafFcstStart]]&lt;=LookaheadEnd),Tasks[[#This Row],[_LeafFcstStart]]+Tasks[[#This Row],[_Row]]/100000,"")</f>
        <v/>
      </c>
      <c r="DM133" s="41" t="str">
        <f aca="false">IF(AND(Tasks[[#This Row],[_IsLeaf]]=1,Tasks[[#This Row],[_LeafProgress]]&lt;1,Tasks[[#This Row],[_LeafFcstFinish]]&gt;=StatusDate,Tasks[[#This Row],[_LeafFcstFinish]]&lt;=LookaheadEnd),Tasks[[#This Row],[_LeafFcstFinish]]+Tasks[[#This Row],[_Row]]/100000,"")</f>
        <v/>
      </c>
      <c r="DN133" s="41" t="str">
        <f aca="false">IF(Tasks[[#This Row],[_LeafCritical]],Tasks[[#This Row],[_LeafFcstStart]]+Tasks[[#This Row],[_Row]]/100000,"")</f>
        <v/>
      </c>
      <c r="DO133" s="41" t="n">
        <f aca="false">Tasks[[#This Row],[_LeafWork]]*Tasks[[#This Row],[_LeafProgress]]</f>
        <v>0</v>
      </c>
      <c r="DP133" s="100" t="str">
        <f aca="false">IF(AND(Tasks[[#This Row],[_IsLeaf]]=1,Tasks[[#This Row],[_LeafProgress]]&gt;=1),IF(N(Tasks[[#This Row],[Actual Finish]])&gt;0,Tasks[[#This Row],[Actual Finish]],Tasks[[#This Row],[_LeafFcstFinish]]),"")</f>
        <v/>
      </c>
      <c r="DQ133" s="41" t="n">
        <f aca="false">IF(Tasks[[#This Row],[_IsLeaf]]=1,N(Tasks[[#This Row],[Story Points]]),0)</f>
        <v>0</v>
      </c>
      <c r="DR133" s="41" t="str">
        <f aca="false">IF(AND(Tasks[[#This Row],[_IsLeaf]]=1,CurrentSprint&lt;&gt;"",Tasks[[#This Row],[Sprint]]=CurrentSprint),Tasks[[#This Row],[_Row]],"")</f>
        <v/>
      </c>
    </row>
    <row r="134" customFormat="false" ht="15" hidden="false" customHeight="false" outlineLevel="0" collapsed="false">
      <c r="A134" s="28" t="str">
        <f aca="false">IF(Tasks[[#This Row],[Task Name]]="","",COUNTA(Tasks[[#Headers],[Task Name]]:Tasks[[#This Row],[Task Name]])-1)</f>
        <v/>
      </c>
      <c r="B134" s="29" t="n">
        <v>129</v>
      </c>
      <c r="C13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4" s="29"/>
      <c r="E134" s="30"/>
      <c r="F134" s="29"/>
      <c r="G134" s="29"/>
      <c r="H134" s="29"/>
      <c r="I134" s="29"/>
      <c r="J134" s="29"/>
      <c r="K134" s="29"/>
      <c r="L134" s="29"/>
      <c r="M134" s="29"/>
      <c r="N134" s="73"/>
      <c r="O134" s="73"/>
      <c r="P134" s="25" t="str">
        <f aca="false">IF(Tasks[[#This Row],[Task Name]]="","",IF(N(Tasks[[#This Row],[Baseline Start]])&gt;0,Tasks[[#This Row],[Baseline Start]],Tasks[[#This Row],[_CalcStart]]))</f>
        <v/>
      </c>
      <c r="Q134" s="25" t="str">
        <f aca="false">IF(Tasks[[#This Row],[Task Name]]="","",IF(N(Tasks[[#This Row],[Baseline Finish]])&gt;0,Tasks[[#This Row],[Baseline Finish]],Tasks[[#This Row],[_CalcFinish]]))</f>
        <v/>
      </c>
      <c r="R134" s="73"/>
      <c r="S134" s="73"/>
      <c r="T134" s="25" t="str">
        <f aca="false">IF(Tasks[[#This Row],[Task Name]]="","",IF(Tasks[[#This Row],[_IsSummary]],MIN(INDEX(Tasks[_LeafFcstStart],Tasks[[#This Row],[_Row]]+1):INDEX(Tasks[_LeafFcstStart],Tasks[[#This Row],[_Row]]+Tasks[[#This Row],[_Descendants]])),Tasks[[#This Row],[_LeafFcstStart]]))</f>
        <v/>
      </c>
      <c r="U134" s="25" t="str">
        <f aca="false">IF(Tasks[[#This Row],[Task Name]]="","",IF(Tasks[[#This Row],[_IsSummary]],MAX(INDEX(Tasks[_LeafFcstFinish],Tasks[[#This Row],[_Row]]+1):INDEX(Tasks[_LeafFcstFinish],Tasks[[#This Row],[_Row]]+Tasks[[#This Row],[_Descendants]])),Tasks[[#This Row],[_LeafFcstFinish]]))</f>
        <v/>
      </c>
      <c r="V13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3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4" s="25" t="str">
        <f aca="false">IF(Tasks[[#This Row],[Task Name]]="","",IF(Tasks[[#This Row],[_IsSummary]],MIN(INDEX(Tasks[_LeafLateStart],Tasks[[#This Row],[_Row]]+1):INDEX(Tasks[_LeafLateStart],Tasks[[#This Row],[_Row]]+Tasks[[#This Row],[_Descendants]])),Tasks[[#This Row],[_LeafLateStart]]))</f>
        <v/>
      </c>
      <c r="Y134" s="25" t="str">
        <f aca="false">IF(Tasks[[#This Row],[Task Name]]="","",IF(Tasks[[#This Row],[_IsSummary]],MAX(INDEX(Tasks[_LeafLateFinish],Tasks[[#This Row],[_Row]]+1):INDEX(Tasks[_LeafLateFinish],Tasks[[#This Row],[_Row]]+Tasks[[#This Row],[_Descendants]])),Tasks[[#This Row],[_LeafLateFinish]]))</f>
        <v/>
      </c>
      <c r="Z134" s="43" t="str">
        <f aca="false">IF(Tasks[[#This Row],[Task Name]]="","",IF(Tasks[[#This Row],[_IsSummary]],MIN(INDEX(Tasks[_LeafTotalSlack],Tasks[[#This Row],[_Row]]+1):INDEX(Tasks[_LeafTotalSlack],Tasks[[#This Row],[_Row]]+Tasks[[#This Row],[_Descendants]])),Tasks[[#This Row],[_LeafTotalSlack]]))</f>
        <v/>
      </c>
      <c r="AA13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4" s="28" t="str">
        <f aca="false">IF(Tasks[[#This Row],[Task Name]]="","",IF(IF(Tasks[[#This Row],[_IsSummary]],COUNTIF(INDEX(Tasks[_LeafCritical],Tasks[[#This Row],[_Row]]+1):INDEX(Tasks[_LeafCritical],Tasks[[#This Row],[_Row]]+Tasks[[#This Row],[_Descendants]]),TRUE())&gt;0,Tasks[[#This Row],[_LeafCritical]]),"Yes",""))</f>
        <v/>
      </c>
      <c r="AC13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4" s="24" t="str">
        <f aca="false">IF(Tasks[[#This Row],[Task Name]]="","",TRIM(IF(Tasks[[#This Row],[_Pred1Problem]]&lt;&gt;"","Pred 1: "&amp;Tasks[[#This Row],[_Pred1Problem]]&amp;". ","")&amp;IF(Tasks[[#This Row],[_Pred2Problem]]&lt;&gt;"","Pred 2: "&amp;Tasks[[#This Row],[_Pred2Problem]]&amp;".","")))</f>
        <v/>
      </c>
      <c r="AE134" s="88"/>
      <c r="AF134"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4" s="28" t="str">
        <f aca="false">IF(Tasks[[#This Row],[Task Name]]="","",IF(Tasks[[#This Row],[Progress]]&gt;=1,"Complete",IF(OR(N(Tasks[[#This Row],[Actual Start]])&gt;0,Tasks[[#This Row],[Progress]]&gt;0),IF(Tasks[[#This Row],[Finish Var]]&gt;0,"Behind","In Progress"),IF(Tasks[[#This Row],[Planned Start]]&lt;StatusDate,"Late Start","Not Started"))))</f>
        <v/>
      </c>
      <c r="AH134" s="30"/>
      <c r="AI134" s="88"/>
      <c r="AJ134" s="95" t="str">
        <f aca="false">IF(Tasks[[#This Row],[Task Name]]="","",IF(Tasks[[#This Row],[_IsSummary]],SUM(INDEX(Tasks[_LeafWork],Tasks[[#This Row],[_Row]]+1):INDEX(Tasks[_LeafWork],Tasks[[#This Row],[_Row]]+Tasks[[#This Row],[_Descendants]])),Tasks[[#This Row],[_LeafWork]]))</f>
        <v/>
      </c>
      <c r="AK134" s="96" t="str">
        <f aca="false">IF(Tasks[[#This Row],[Task Name]]="","",IF(Tasks[[#This Row],[_IsSummary]],SUM(INDEX(Tasks[_LeafCost],Tasks[[#This Row],[_Row]]+1):INDEX(Tasks[_LeafCost],Tasks[[#This Row],[_Row]]+Tasks[[#This Row],[_Descendants]])),Tasks[[#This Row],[_LeafCost]]))</f>
        <v/>
      </c>
      <c r="AL134" s="97"/>
      <c r="AM134" s="29"/>
      <c r="AN13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34" s="82"/>
      <c r="AP134" s="24" t="str">
        <f aca="false">IF(Tasks[[#This Row],[Task Name]]="","",Tasks[[#This Row],[_Pred1IDText]]&amp;IF(AND(Tasks[[#This Row],[_Pred1IDText]]&lt;&gt;"",Tasks[[#This Row],[_Pred2IDText]]&lt;&gt;""),",","")&amp;Tasks[[#This Row],[_Pred2IDText]])</f>
        <v/>
      </c>
      <c r="AQ134" s="30"/>
      <c r="AR134" s="25" t="str">
        <f aca="false">IF(Tasks[[#This Row],[Task Name]]="","",Tasks[[#This Row],[Forecast Start]])</f>
        <v/>
      </c>
      <c r="AS134" s="25" t="str">
        <f aca="false">IF(Tasks[[#This Row],[Task Name]]="","",Tasks[[#This Row],[Forecast Finish]])</f>
        <v/>
      </c>
      <c r="AT134" s="28" t="str">
        <f aca="false">IF(Tasks[[#This Row],[Task Name]]="","",IF(Tasks[[#This Row],[_IsSummary]],NETWORKDAYS.INTL(Tasks[[#This Row],[Forecast Start]],Tasks[[#This Row],[Forecast Finish]],WorkWeek,Holidays),N(Tasks[[#This Row],[Duration]])))</f>
        <v/>
      </c>
      <c r="AU134" s="95" t="str">
        <f aca="false">IF(Tasks[[#This Row],[Task Name]]="","",Tasks[[#This Row],[Work]])</f>
        <v/>
      </c>
      <c r="AV134" s="96" t="str">
        <f aca="false">IF(Tasks[[#This Row],[Task Name]]="","",Tasks[[#This Row],[Cost]])</f>
        <v/>
      </c>
      <c r="AW134" s="73"/>
      <c r="AX134" s="73"/>
      <c r="AY134" s="29"/>
      <c r="AZ134" s="98"/>
      <c r="BA134" s="97"/>
      <c r="BB134" s="28" t="str">
        <f aca="false">IF(OR(Tasks[[#This Row],[Task Name]]="",Tasks[[#This Row],[Baseline Duration]]=""),"",Tasks[[#This Row],[BL Source Duration]]-N(Tasks[[#This Row],[Baseline Duration]]))</f>
        <v/>
      </c>
      <c r="BC134" s="95" t="str">
        <f aca="false">IF(OR(Tasks[[#This Row],[Task Name]]="",Tasks[[#This Row],[Baseline Work]]=""),"",Tasks[[#This Row],[Work]]-N(Tasks[[#This Row],[Baseline Work]]))</f>
        <v/>
      </c>
      <c r="BD134" s="96" t="str">
        <f aca="false">IF(OR(Tasks[[#This Row],[Task Name]]="",Tasks[[#This Row],[Baseline Cost]]=""),"",Tasks[[#This Row],[Cost]]-N(Tasks[[#This Row],[Baseline Cost]]))</f>
        <v/>
      </c>
      <c r="BE134" s="96" t="str">
        <f aca="false">IF(Tasks[[#This Row],[Task Name]]="","",IF(Tasks[[#This Row],[_IsSummary]],SUM(INDEX(Tasks[_LeafBudget],Tasks[[#This Row],[_Row]]+1):INDEX(Tasks[_LeafBudget],Tasks[[#This Row],[_Row]]+Tasks[[#This Row],[_Descendants]])),Tasks[[#This Row],[_LeafBudget]]))</f>
        <v/>
      </c>
      <c r="BF134" s="96" t="str">
        <f aca="false">IF(Tasks[[#This Row],[Task Name]]="","",IF(Tasks[[#This Row],[_IsSummary]],SUM(INDEX(Tasks[_LeafPV],Tasks[[#This Row],[_Row]]+1):INDEX(Tasks[_LeafPV],Tasks[[#This Row],[_Row]]+Tasks[[#This Row],[_Descendants]])),Tasks[[#This Row],[_LeafPV]]))</f>
        <v/>
      </c>
      <c r="BG134" s="96" t="str">
        <f aca="false">IF(Tasks[[#This Row],[Task Name]]="","",IF(Tasks[[#This Row],[_IsSummary]],SUM(INDEX(Tasks[_LeafEV],Tasks[[#This Row],[_Row]]+1):INDEX(Tasks[_LeafEV],Tasks[[#This Row],[_Row]]+Tasks[[#This Row],[_Descendants]])),Tasks[[#This Row],[_LeafEV]]))</f>
        <v/>
      </c>
      <c r="BH134" s="96" t="str">
        <f aca="false">IF(Tasks[[#This Row],[Task Name]]="","",IF(Tasks[[#This Row],[_IsSummary]],SUM(INDEX(Tasks[_LeafAC],Tasks[[#This Row],[_Row]]+1):INDEX(Tasks[_LeafAC],Tasks[[#This Row],[_Row]]+Tasks[[#This Row],[_Descendants]])),Tasks[[#This Row],[_LeafAC]]))</f>
        <v/>
      </c>
      <c r="BI134" s="41" t="str">
        <f aca="false">IF(Tasks[[#This Row],[Task Name]]="","",MAX(1,N(Tasks[[#This Row],[Level]])))</f>
        <v/>
      </c>
      <c r="BJ134" s="41" t="n">
        <f aca="false">ROW()-ROW(Tasks[[#Headers],[ID]])</f>
        <v>129</v>
      </c>
      <c r="BK134" s="41" t="n">
        <f aca="false">IF(OR(Tasks[[#This Row],[Task Name]]="",Tasks[[#This Row],[_Level]]&lt;=1),0,IFERROR(LOOKUP(2,1/(Tasks[[#Headers],[_Level]]:Tasks[[#This Row],[_Level]]=Tasks[[#This Row],[_Level]]-1),ROW(Tasks[[#Headers],[_Level]]:Tasks[[#This Row],[_Level]])),0))</f>
        <v>0</v>
      </c>
      <c r="BL134" s="41" t="n">
        <f aca="false">IFERROR(N(INDEX(Tasks[_Level],Tasks[[#This Row],[_Row]]+1)),0)</f>
        <v>0</v>
      </c>
      <c r="BM134" s="99" t="b">
        <f aca="false">AND(Tasks[[#This Row],[Task Name]]&lt;&gt;"",Tasks[[#This Row],[_NextLevel]]&gt;Tasks[[#This Row],[_Level]])</f>
        <v>0</v>
      </c>
      <c r="BN134" s="41" t="n">
        <f aca="false">IF(Tasks[[#This Row],[_IsSummary]],COUNTIF(Tasks[WBS],Tasks[[#This Row],[WBS]]&amp;".*"),0)</f>
        <v>0</v>
      </c>
      <c r="BO134" s="41" t="n">
        <f aca="false">IF(AND(Tasks[[#This Row],[Task Name]]&lt;&gt;"",NOT(Tasks[[#This Row],[_IsSummary]])),1,0)</f>
        <v>0</v>
      </c>
      <c r="BP134" s="41" t="n">
        <f aca="false">IF(N(Tasks[[#This Row],[Pred1 UID]])=0,0,IFERROR(MATCH(Tasks[[#This Row],[Pred1 UID]],Tasks[UID],0),-1))</f>
        <v>0</v>
      </c>
      <c r="BQ134" s="41" t="n">
        <f aca="false">IF(N(Tasks[[#This Row],[Pred2 UID]])=0,0,IFERROR(MATCH(Tasks[[#This Row],[Pred2 UID]],Tasks[UID],0),-1))</f>
        <v>0</v>
      </c>
      <c r="BR134"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34" s="100" t="str">
        <f aca="false">IF(NOT(Tasks[[#This Row],[_IsLeaf]]=1),"",IF(N(Tasks[[#This Row],[Duration]])&lt;=0,Tasks[[#This Row],[_LeafCalcStart]],WORKDAY.INTL(Tasks[[#This Row],[_LeafCalcStart]],Tasks[[#This Row],[Duration]]-1,WorkWeek,Holidays)))</f>
        <v/>
      </c>
      <c r="BT134"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34"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34" s="41" t="n">
        <f aca="false">IF(NOT(Tasks[[#This Row],[_IsLeaf]]=1),0,IF(N(Tasks[[#This Row],[Actual Finish]])&gt;0,1,MIN(1,N(Tasks[[#This Row],[% Complete]]))))</f>
        <v>0</v>
      </c>
      <c r="BW134" s="41" t="n">
        <f aca="false">IF(OR(NOT(Tasks[[#This Row],[_IsLeaf]]=1),Tasks[[#This Row],[Resource]]=""),0,N(Tasks[[#This Row],[Duration]])*HoursPerDay*IF(Tasks[[#This Row],[Units]]="",DefaultUnits,Tasks[[#This Row],[Units]]))</f>
        <v>0</v>
      </c>
      <c r="BX134" s="41" t="n">
        <f aca="false">IF(Tasks[[#This Row],[_LeafWork]]=0,0,Tasks[[#This Row],[_LeafWork]]*IFERROR(INDEX(res_Rate,MATCH(Tasks[[#This Row],[Resource]],res_Name,0)),0))</f>
        <v>0</v>
      </c>
      <c r="BY13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3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3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3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34" s="41" t="n">
        <f aca="false">IF(NOT(Tasks[[#This Row],[_IsLeaf]]=1),0,MAX(_xlfn.MAXIFS(Tasks[_Row],Tasks[Pred1 UID],Tasks[[#This Row],[UID]]),_xlfn.MAXIFS(Tasks[_Row],Tasks[Pred2 UID],Tasks[[#This Row],[UID]])))</f>
        <v>0</v>
      </c>
      <c r="CD134"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34" s="100" t="str">
        <f aca="false">IF(NOT(Tasks[[#This Row],[_IsLeaf]]=1),"",MIN(ProjectFinish,IF(N(Tasks[[#This Row],[Deadline]])&gt;0,Tasks[[#This Row],[Deadline]],2958465),Tasks[[#This Row],[_SuccessorFinishLimit]]))</f>
        <v/>
      </c>
      <c r="CF134" s="100" t="str">
        <f aca="false">IF(NOT(Tasks[[#This Row],[_IsLeaf]]=1),"",IF(N(Tasks[[#This Row],[Duration]])&lt;=0,Tasks[[#This Row],[_LeafLateFinish]],WORKDAY.INTL(Tasks[[#This Row],[_LeafLateFinish]],-(Tasks[[#This Row],[Duration]]-1),WorkWeek,Holidays)))</f>
        <v/>
      </c>
      <c r="CG13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34" s="99" t="b">
        <f aca="false">AND(Tasks[[#This Row],[_IsLeaf]]=1,Tasks[[#This Row],[_LeafProgress]]&lt;1,N(Tasks[[#This Row],[_LeafTotalSlack]])&lt;=CriticalSlackDays)</f>
        <v>0</v>
      </c>
      <c r="CI134" s="100" t="str">
        <f aca="false">IF(Tasks[[#This Row],[Task Name]]="","",IF(Tasks[[#This Row],[_IsSummary]],MIN(INDEX(Tasks[_LeafCalcStart],Tasks[[#This Row],[_Row]]+1):INDEX(Tasks[_LeafCalcStart],Tasks[[#This Row],[_Row]]+Tasks[[#This Row],[_Descendants]])),Tasks[[#This Row],[_LeafCalcStart]]))</f>
        <v/>
      </c>
      <c r="CJ134" s="100" t="str">
        <f aca="false">IF(Tasks[[#This Row],[Task Name]]="","",IF(Tasks[[#This Row],[_IsSummary]],MAX(INDEX(Tasks[_LeafCalcFinish],Tasks[[#This Row],[_Row]]+1):INDEX(Tasks[_LeafCalcFinish],Tasks[[#This Row],[_Row]]+Tasks[[#This Row],[_Descendants]])),Tasks[[#This Row],[_LeafCalcFinish]]))</f>
        <v/>
      </c>
      <c r="CK13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3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34"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34"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34"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34"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34" s="41" t="n">
        <f aca="false">IF(AND(Tasks[[#This Row],[_IsLeaf]]=1,Tasks[[#This Row],[_LeafWork]]&gt;0),NETWORKDAYS.INTL(ProjectStart,Tasks[[#This Row],[_LeafFcstStart]],WorkWeek,Holidays),0)</f>
        <v>0</v>
      </c>
      <c r="CR134" s="41" t="n">
        <f aca="false">IF(AND(Tasks[[#This Row],[_IsLeaf]]=1,Tasks[[#This Row],[_LeafWork]]&gt;0),MAX(Tasks[[#This Row],[_StartWorkday]],NETWORKDAYS.INTL(ProjectStart,Tasks[[#This Row],[_LeafFcstFinish]],WorkWeek,Holidays)),0)</f>
        <v>0</v>
      </c>
      <c r="CS134" s="41" t="n">
        <f aca="false">IF(AND(Tasks[[#This Row],[_IsLeaf]]=1,Tasks[[#This Row],[_LeafWork]]&gt;0),Tasks[[#This Row],[_LeafWork]]/(Tasks[[#This Row],[_FinishWorkday]]-Tasks[[#This Row],[_StartWorkday]]+1),0)</f>
        <v>0</v>
      </c>
      <c r="CT134" s="41" t="n">
        <f aca="false">Tasks[[#This Row],[_WorkPerWorkday]]*(Tasks[[#This Row],[_StartWorkday]]-1)</f>
        <v>-0</v>
      </c>
      <c r="CU134" s="41" t="n">
        <f aca="false">IF(Tasks[[#This Row],[_IsLeaf]]=1,MAX(N(Tasks[[#This Row],[Duration]]),0.1),0)</f>
        <v>0</v>
      </c>
      <c r="CV134" s="41" t="n">
        <f aca="false">Tasks[[#This Row],[_WeightDur]]*Tasks[[#This Row],[_LeafProgress]]</f>
        <v>0</v>
      </c>
      <c r="CW13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3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3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3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34" s="41" t="str">
        <f aca="false">IF(Tasks[[#This Row],[Task Name]]="","",Tasks[[#This Row],[_Pred1UIDText]]&amp;IF(AND(Tasks[[#This Row],[_Pred1UIDText]]&lt;&gt;"",Tasks[[#This Row],[_Pred2UIDText]]&lt;&gt;""),",","")&amp;Tasks[[#This Row],[_Pred2UIDText]])</f>
        <v/>
      </c>
      <c r="DB134" s="41" t="str">
        <f aca="false">IF(AND(Tasks[[#This Row],[_IsLeaf]]=1,N(Tasks[[#This Row],[Duration]])=0,Tasks[[#This Row],[_LeafProgress]]&lt;1),Tasks[[#This Row],[_LeafFcstFinish]]+Tasks[[#This Row],[_Row]]/100000,"")</f>
        <v/>
      </c>
      <c r="DC13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34" s="41" t="n">
        <f aca="false">IF(NOT(Tasks[[#This Row],[_IsLeaf]]=1),0,IF(Tasks[[#This Row],[Baseline Cost]]="",Tasks[[#This Row],[_LeafCost]],N(Tasks[[#This Row],[Baseline Cost]])))</f>
        <v>0</v>
      </c>
      <c r="DE134" s="41" t="n">
        <f aca="false">Tasks[[#This Row],[_LeafBudget]]*Tasks[[#This Row],[_PlannedPct]]</f>
        <v>0</v>
      </c>
      <c r="DF134" s="41" t="n">
        <f aca="false">Tasks[[#This Row],[_LeafBudget]]*Tasks[[#This Row],[_LeafProgress]]</f>
        <v>0</v>
      </c>
      <c r="DG134" s="41" t="n">
        <f aca="false">IF(NOT(Tasks[[#This Row],[_IsLeaf]]=1),0,IF(Tasks[[#This Row],[Actual Cost]]="",Tasks[[#This Row],[_LeafCost]]*Tasks[[#This Row],[_LeafProgress]],N(Tasks[[#This Row],[Actual Cost]])))</f>
        <v>0</v>
      </c>
      <c r="DH134" s="41" t="str">
        <f aca="false">IF(Tasks[[#This Row],[Task Name]]="","",LEFT(Tasks[[#This Row],[WBS]],FIND(".",Tasks[[#This Row],[WBS]]&amp;".")-1))</f>
        <v/>
      </c>
      <c r="DI134" s="41" t="str">
        <f aca="false">IF(AND(Tasks[[#This Row],[Task Name]]&lt;&gt;"",Tasks[[#This Row],[_Level]]=1),Tasks[[#This Row],[_Row]],"")</f>
        <v/>
      </c>
      <c r="DJ134" s="41" t="str">
        <f aca="false">IF(AND(Tasks[[#This Row],[_IsLeaf]]=1,N(Tasks[[#This Row],[Duration]])=0),Tasks[[#This Row],[Planned Finish]]+Tasks[[#This Row],[_Row]]/100000,"")</f>
        <v/>
      </c>
      <c r="DK134" s="41" t="str">
        <f aca="false">IF(AND(Tasks[[#This Row],[_IsLeaf]]=1,Tasks[[#This Row],[_LeafProgress]]&lt;1,OR(N(Tasks[[#This Row],[Finish Var]])&gt;0,Tasks[[#This Row],[Status]]="Late Start")),MAX(0,Tasks[[#This Row],[Finish Var]])+1-Tasks[[#This Row],[_Row]]/1000000,"")</f>
        <v/>
      </c>
      <c r="DL134" s="41" t="str">
        <f aca="false">IF(AND(Tasks[[#This Row],[_IsLeaf]]=1,N(Tasks[[#This Row],[Actual Start]])=0,Tasks[[#This Row],[_LeafFcstStart]]&gt;=StatusDate,Tasks[[#This Row],[_LeafFcstStart]]&lt;=LookaheadEnd),Tasks[[#This Row],[_LeafFcstStart]]+Tasks[[#This Row],[_Row]]/100000,"")</f>
        <v/>
      </c>
      <c r="DM134" s="41" t="str">
        <f aca="false">IF(AND(Tasks[[#This Row],[_IsLeaf]]=1,Tasks[[#This Row],[_LeafProgress]]&lt;1,Tasks[[#This Row],[_LeafFcstFinish]]&gt;=StatusDate,Tasks[[#This Row],[_LeafFcstFinish]]&lt;=LookaheadEnd),Tasks[[#This Row],[_LeafFcstFinish]]+Tasks[[#This Row],[_Row]]/100000,"")</f>
        <v/>
      </c>
      <c r="DN134" s="41" t="str">
        <f aca="false">IF(Tasks[[#This Row],[_LeafCritical]],Tasks[[#This Row],[_LeafFcstStart]]+Tasks[[#This Row],[_Row]]/100000,"")</f>
        <v/>
      </c>
      <c r="DO134" s="41" t="n">
        <f aca="false">Tasks[[#This Row],[_LeafWork]]*Tasks[[#This Row],[_LeafProgress]]</f>
        <v>0</v>
      </c>
      <c r="DP134" s="100" t="str">
        <f aca="false">IF(AND(Tasks[[#This Row],[_IsLeaf]]=1,Tasks[[#This Row],[_LeafProgress]]&gt;=1),IF(N(Tasks[[#This Row],[Actual Finish]])&gt;0,Tasks[[#This Row],[Actual Finish]],Tasks[[#This Row],[_LeafFcstFinish]]),"")</f>
        <v/>
      </c>
      <c r="DQ134" s="41" t="n">
        <f aca="false">IF(Tasks[[#This Row],[_IsLeaf]]=1,N(Tasks[[#This Row],[Story Points]]),0)</f>
        <v>0</v>
      </c>
      <c r="DR134" s="41" t="str">
        <f aca="false">IF(AND(Tasks[[#This Row],[_IsLeaf]]=1,CurrentSprint&lt;&gt;"",Tasks[[#This Row],[Sprint]]=CurrentSprint),Tasks[[#This Row],[_Row]],"")</f>
        <v/>
      </c>
    </row>
    <row r="135" customFormat="false" ht="15" hidden="false" customHeight="false" outlineLevel="0" collapsed="false">
      <c r="A135" s="28" t="str">
        <f aca="false">IF(Tasks[[#This Row],[Task Name]]="","",COUNTA(Tasks[[#Headers],[Task Name]]:Tasks[[#This Row],[Task Name]])-1)</f>
        <v/>
      </c>
      <c r="B135" s="29" t="n">
        <v>130</v>
      </c>
      <c r="C13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5" s="29"/>
      <c r="E135" s="30"/>
      <c r="F135" s="29"/>
      <c r="G135" s="29"/>
      <c r="H135" s="29"/>
      <c r="I135" s="29"/>
      <c r="J135" s="29"/>
      <c r="K135" s="29"/>
      <c r="L135" s="29"/>
      <c r="M135" s="29"/>
      <c r="N135" s="73"/>
      <c r="O135" s="73"/>
      <c r="P135" s="25" t="str">
        <f aca="false">IF(Tasks[[#This Row],[Task Name]]="","",IF(N(Tasks[[#This Row],[Baseline Start]])&gt;0,Tasks[[#This Row],[Baseline Start]],Tasks[[#This Row],[_CalcStart]]))</f>
        <v/>
      </c>
      <c r="Q135" s="25" t="str">
        <f aca="false">IF(Tasks[[#This Row],[Task Name]]="","",IF(N(Tasks[[#This Row],[Baseline Finish]])&gt;0,Tasks[[#This Row],[Baseline Finish]],Tasks[[#This Row],[_CalcFinish]]))</f>
        <v/>
      </c>
      <c r="R135" s="73"/>
      <c r="S135" s="73"/>
      <c r="T135" s="25" t="str">
        <f aca="false">IF(Tasks[[#This Row],[Task Name]]="","",IF(Tasks[[#This Row],[_IsSummary]],MIN(INDEX(Tasks[_LeafFcstStart],Tasks[[#This Row],[_Row]]+1):INDEX(Tasks[_LeafFcstStart],Tasks[[#This Row],[_Row]]+Tasks[[#This Row],[_Descendants]])),Tasks[[#This Row],[_LeafFcstStart]]))</f>
        <v/>
      </c>
      <c r="U135" s="25" t="str">
        <f aca="false">IF(Tasks[[#This Row],[Task Name]]="","",IF(Tasks[[#This Row],[_IsSummary]],MAX(INDEX(Tasks[_LeafFcstFinish],Tasks[[#This Row],[_Row]]+1):INDEX(Tasks[_LeafFcstFinish],Tasks[[#This Row],[_Row]]+Tasks[[#This Row],[_Descendants]])),Tasks[[#This Row],[_LeafFcstFinish]]))</f>
        <v/>
      </c>
      <c r="V13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3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5" s="25" t="str">
        <f aca="false">IF(Tasks[[#This Row],[Task Name]]="","",IF(Tasks[[#This Row],[_IsSummary]],MIN(INDEX(Tasks[_LeafLateStart],Tasks[[#This Row],[_Row]]+1):INDEX(Tasks[_LeafLateStart],Tasks[[#This Row],[_Row]]+Tasks[[#This Row],[_Descendants]])),Tasks[[#This Row],[_LeafLateStart]]))</f>
        <v/>
      </c>
      <c r="Y135" s="25" t="str">
        <f aca="false">IF(Tasks[[#This Row],[Task Name]]="","",IF(Tasks[[#This Row],[_IsSummary]],MAX(INDEX(Tasks[_LeafLateFinish],Tasks[[#This Row],[_Row]]+1):INDEX(Tasks[_LeafLateFinish],Tasks[[#This Row],[_Row]]+Tasks[[#This Row],[_Descendants]])),Tasks[[#This Row],[_LeafLateFinish]]))</f>
        <v/>
      </c>
      <c r="Z135" s="43" t="str">
        <f aca="false">IF(Tasks[[#This Row],[Task Name]]="","",IF(Tasks[[#This Row],[_IsSummary]],MIN(INDEX(Tasks[_LeafTotalSlack],Tasks[[#This Row],[_Row]]+1):INDEX(Tasks[_LeafTotalSlack],Tasks[[#This Row],[_Row]]+Tasks[[#This Row],[_Descendants]])),Tasks[[#This Row],[_LeafTotalSlack]]))</f>
        <v/>
      </c>
      <c r="AA13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5" s="28" t="str">
        <f aca="false">IF(Tasks[[#This Row],[Task Name]]="","",IF(IF(Tasks[[#This Row],[_IsSummary]],COUNTIF(INDEX(Tasks[_LeafCritical],Tasks[[#This Row],[_Row]]+1):INDEX(Tasks[_LeafCritical],Tasks[[#This Row],[_Row]]+Tasks[[#This Row],[_Descendants]]),TRUE())&gt;0,Tasks[[#This Row],[_LeafCritical]]),"Yes",""))</f>
        <v/>
      </c>
      <c r="AC13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5" s="24" t="str">
        <f aca="false">IF(Tasks[[#This Row],[Task Name]]="","",TRIM(IF(Tasks[[#This Row],[_Pred1Problem]]&lt;&gt;"","Pred 1: "&amp;Tasks[[#This Row],[_Pred1Problem]]&amp;". ","")&amp;IF(Tasks[[#This Row],[_Pred2Problem]]&lt;&gt;"","Pred 2: "&amp;Tasks[[#This Row],[_Pred2Problem]]&amp;".","")))</f>
        <v/>
      </c>
      <c r="AE135" s="88"/>
      <c r="AF135"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5" s="28" t="str">
        <f aca="false">IF(Tasks[[#This Row],[Task Name]]="","",IF(Tasks[[#This Row],[Progress]]&gt;=1,"Complete",IF(OR(N(Tasks[[#This Row],[Actual Start]])&gt;0,Tasks[[#This Row],[Progress]]&gt;0),IF(Tasks[[#This Row],[Finish Var]]&gt;0,"Behind","In Progress"),IF(Tasks[[#This Row],[Planned Start]]&lt;StatusDate,"Late Start","Not Started"))))</f>
        <v/>
      </c>
      <c r="AH135" s="30"/>
      <c r="AI135" s="88"/>
      <c r="AJ135" s="95" t="str">
        <f aca="false">IF(Tasks[[#This Row],[Task Name]]="","",IF(Tasks[[#This Row],[_IsSummary]],SUM(INDEX(Tasks[_LeafWork],Tasks[[#This Row],[_Row]]+1):INDEX(Tasks[_LeafWork],Tasks[[#This Row],[_Row]]+Tasks[[#This Row],[_Descendants]])),Tasks[[#This Row],[_LeafWork]]))</f>
        <v/>
      </c>
      <c r="AK135" s="96" t="str">
        <f aca="false">IF(Tasks[[#This Row],[Task Name]]="","",IF(Tasks[[#This Row],[_IsSummary]],SUM(INDEX(Tasks[_LeafCost],Tasks[[#This Row],[_Row]]+1):INDEX(Tasks[_LeafCost],Tasks[[#This Row],[_Row]]+Tasks[[#This Row],[_Descendants]])),Tasks[[#This Row],[_LeafCost]]))</f>
        <v/>
      </c>
      <c r="AL135" s="97"/>
      <c r="AM135" s="29"/>
      <c r="AN13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35" s="82"/>
      <c r="AP135" s="24" t="str">
        <f aca="false">IF(Tasks[[#This Row],[Task Name]]="","",Tasks[[#This Row],[_Pred1IDText]]&amp;IF(AND(Tasks[[#This Row],[_Pred1IDText]]&lt;&gt;"",Tasks[[#This Row],[_Pred2IDText]]&lt;&gt;""),",","")&amp;Tasks[[#This Row],[_Pred2IDText]])</f>
        <v/>
      </c>
      <c r="AQ135" s="30"/>
      <c r="AR135" s="25" t="str">
        <f aca="false">IF(Tasks[[#This Row],[Task Name]]="","",Tasks[[#This Row],[Forecast Start]])</f>
        <v/>
      </c>
      <c r="AS135" s="25" t="str">
        <f aca="false">IF(Tasks[[#This Row],[Task Name]]="","",Tasks[[#This Row],[Forecast Finish]])</f>
        <v/>
      </c>
      <c r="AT135" s="28" t="str">
        <f aca="false">IF(Tasks[[#This Row],[Task Name]]="","",IF(Tasks[[#This Row],[_IsSummary]],NETWORKDAYS.INTL(Tasks[[#This Row],[Forecast Start]],Tasks[[#This Row],[Forecast Finish]],WorkWeek,Holidays),N(Tasks[[#This Row],[Duration]])))</f>
        <v/>
      </c>
      <c r="AU135" s="95" t="str">
        <f aca="false">IF(Tasks[[#This Row],[Task Name]]="","",Tasks[[#This Row],[Work]])</f>
        <v/>
      </c>
      <c r="AV135" s="96" t="str">
        <f aca="false">IF(Tasks[[#This Row],[Task Name]]="","",Tasks[[#This Row],[Cost]])</f>
        <v/>
      </c>
      <c r="AW135" s="73"/>
      <c r="AX135" s="73"/>
      <c r="AY135" s="29"/>
      <c r="AZ135" s="98"/>
      <c r="BA135" s="97"/>
      <c r="BB135" s="28" t="str">
        <f aca="false">IF(OR(Tasks[[#This Row],[Task Name]]="",Tasks[[#This Row],[Baseline Duration]]=""),"",Tasks[[#This Row],[BL Source Duration]]-N(Tasks[[#This Row],[Baseline Duration]]))</f>
        <v/>
      </c>
      <c r="BC135" s="95" t="str">
        <f aca="false">IF(OR(Tasks[[#This Row],[Task Name]]="",Tasks[[#This Row],[Baseline Work]]=""),"",Tasks[[#This Row],[Work]]-N(Tasks[[#This Row],[Baseline Work]]))</f>
        <v/>
      </c>
      <c r="BD135" s="96" t="str">
        <f aca="false">IF(OR(Tasks[[#This Row],[Task Name]]="",Tasks[[#This Row],[Baseline Cost]]=""),"",Tasks[[#This Row],[Cost]]-N(Tasks[[#This Row],[Baseline Cost]]))</f>
        <v/>
      </c>
      <c r="BE135" s="96" t="str">
        <f aca="false">IF(Tasks[[#This Row],[Task Name]]="","",IF(Tasks[[#This Row],[_IsSummary]],SUM(INDEX(Tasks[_LeafBudget],Tasks[[#This Row],[_Row]]+1):INDEX(Tasks[_LeafBudget],Tasks[[#This Row],[_Row]]+Tasks[[#This Row],[_Descendants]])),Tasks[[#This Row],[_LeafBudget]]))</f>
        <v/>
      </c>
      <c r="BF135" s="96" t="str">
        <f aca="false">IF(Tasks[[#This Row],[Task Name]]="","",IF(Tasks[[#This Row],[_IsSummary]],SUM(INDEX(Tasks[_LeafPV],Tasks[[#This Row],[_Row]]+1):INDEX(Tasks[_LeafPV],Tasks[[#This Row],[_Row]]+Tasks[[#This Row],[_Descendants]])),Tasks[[#This Row],[_LeafPV]]))</f>
        <v/>
      </c>
      <c r="BG135" s="96" t="str">
        <f aca="false">IF(Tasks[[#This Row],[Task Name]]="","",IF(Tasks[[#This Row],[_IsSummary]],SUM(INDEX(Tasks[_LeafEV],Tasks[[#This Row],[_Row]]+1):INDEX(Tasks[_LeafEV],Tasks[[#This Row],[_Row]]+Tasks[[#This Row],[_Descendants]])),Tasks[[#This Row],[_LeafEV]]))</f>
        <v/>
      </c>
      <c r="BH135" s="96" t="str">
        <f aca="false">IF(Tasks[[#This Row],[Task Name]]="","",IF(Tasks[[#This Row],[_IsSummary]],SUM(INDEX(Tasks[_LeafAC],Tasks[[#This Row],[_Row]]+1):INDEX(Tasks[_LeafAC],Tasks[[#This Row],[_Row]]+Tasks[[#This Row],[_Descendants]])),Tasks[[#This Row],[_LeafAC]]))</f>
        <v/>
      </c>
      <c r="BI135" s="41" t="str">
        <f aca="false">IF(Tasks[[#This Row],[Task Name]]="","",MAX(1,N(Tasks[[#This Row],[Level]])))</f>
        <v/>
      </c>
      <c r="BJ135" s="41" t="n">
        <f aca="false">ROW()-ROW(Tasks[[#Headers],[ID]])</f>
        <v>130</v>
      </c>
      <c r="BK135" s="41" t="n">
        <f aca="false">IF(OR(Tasks[[#This Row],[Task Name]]="",Tasks[[#This Row],[_Level]]&lt;=1),0,IFERROR(LOOKUP(2,1/(Tasks[[#Headers],[_Level]]:Tasks[[#This Row],[_Level]]=Tasks[[#This Row],[_Level]]-1),ROW(Tasks[[#Headers],[_Level]]:Tasks[[#This Row],[_Level]])),0))</f>
        <v>0</v>
      </c>
      <c r="BL135" s="41" t="n">
        <f aca="false">IFERROR(N(INDEX(Tasks[_Level],Tasks[[#This Row],[_Row]]+1)),0)</f>
        <v>0</v>
      </c>
      <c r="BM135" s="99" t="b">
        <f aca="false">AND(Tasks[[#This Row],[Task Name]]&lt;&gt;"",Tasks[[#This Row],[_NextLevel]]&gt;Tasks[[#This Row],[_Level]])</f>
        <v>0</v>
      </c>
      <c r="BN135" s="41" t="n">
        <f aca="false">IF(Tasks[[#This Row],[_IsSummary]],COUNTIF(Tasks[WBS],Tasks[[#This Row],[WBS]]&amp;".*"),0)</f>
        <v>0</v>
      </c>
      <c r="BO135" s="41" t="n">
        <f aca="false">IF(AND(Tasks[[#This Row],[Task Name]]&lt;&gt;"",NOT(Tasks[[#This Row],[_IsSummary]])),1,0)</f>
        <v>0</v>
      </c>
      <c r="BP135" s="41" t="n">
        <f aca="false">IF(N(Tasks[[#This Row],[Pred1 UID]])=0,0,IFERROR(MATCH(Tasks[[#This Row],[Pred1 UID]],Tasks[UID],0),-1))</f>
        <v>0</v>
      </c>
      <c r="BQ135" s="41" t="n">
        <f aca="false">IF(N(Tasks[[#This Row],[Pred2 UID]])=0,0,IFERROR(MATCH(Tasks[[#This Row],[Pred2 UID]],Tasks[UID],0),-1))</f>
        <v>0</v>
      </c>
      <c r="BR135"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35" s="100" t="str">
        <f aca="false">IF(NOT(Tasks[[#This Row],[_IsLeaf]]=1),"",IF(N(Tasks[[#This Row],[Duration]])&lt;=0,Tasks[[#This Row],[_LeafCalcStart]],WORKDAY.INTL(Tasks[[#This Row],[_LeafCalcStart]],Tasks[[#This Row],[Duration]]-1,WorkWeek,Holidays)))</f>
        <v/>
      </c>
      <c r="BT135"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35"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35" s="41" t="n">
        <f aca="false">IF(NOT(Tasks[[#This Row],[_IsLeaf]]=1),0,IF(N(Tasks[[#This Row],[Actual Finish]])&gt;0,1,MIN(1,N(Tasks[[#This Row],[% Complete]]))))</f>
        <v>0</v>
      </c>
      <c r="BW135" s="41" t="n">
        <f aca="false">IF(OR(NOT(Tasks[[#This Row],[_IsLeaf]]=1),Tasks[[#This Row],[Resource]]=""),0,N(Tasks[[#This Row],[Duration]])*HoursPerDay*IF(Tasks[[#This Row],[Units]]="",DefaultUnits,Tasks[[#This Row],[Units]]))</f>
        <v>0</v>
      </c>
      <c r="BX135" s="41" t="n">
        <f aca="false">IF(Tasks[[#This Row],[_LeafWork]]=0,0,Tasks[[#This Row],[_LeafWork]]*IFERROR(INDEX(res_Rate,MATCH(Tasks[[#This Row],[Resource]],res_Name,0)),0))</f>
        <v>0</v>
      </c>
      <c r="BY13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3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3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3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35" s="41" t="n">
        <f aca="false">IF(NOT(Tasks[[#This Row],[_IsLeaf]]=1),0,MAX(_xlfn.MAXIFS(Tasks[_Row],Tasks[Pred1 UID],Tasks[[#This Row],[UID]]),_xlfn.MAXIFS(Tasks[_Row],Tasks[Pred2 UID],Tasks[[#This Row],[UID]])))</f>
        <v>0</v>
      </c>
      <c r="CD135"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35" s="100" t="str">
        <f aca="false">IF(NOT(Tasks[[#This Row],[_IsLeaf]]=1),"",MIN(ProjectFinish,IF(N(Tasks[[#This Row],[Deadline]])&gt;0,Tasks[[#This Row],[Deadline]],2958465),Tasks[[#This Row],[_SuccessorFinishLimit]]))</f>
        <v/>
      </c>
      <c r="CF135" s="100" t="str">
        <f aca="false">IF(NOT(Tasks[[#This Row],[_IsLeaf]]=1),"",IF(N(Tasks[[#This Row],[Duration]])&lt;=0,Tasks[[#This Row],[_LeafLateFinish]],WORKDAY.INTL(Tasks[[#This Row],[_LeafLateFinish]],-(Tasks[[#This Row],[Duration]]-1),WorkWeek,Holidays)))</f>
        <v/>
      </c>
      <c r="CG13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35" s="99" t="b">
        <f aca="false">AND(Tasks[[#This Row],[_IsLeaf]]=1,Tasks[[#This Row],[_LeafProgress]]&lt;1,N(Tasks[[#This Row],[_LeafTotalSlack]])&lt;=CriticalSlackDays)</f>
        <v>0</v>
      </c>
      <c r="CI135" s="100" t="str">
        <f aca="false">IF(Tasks[[#This Row],[Task Name]]="","",IF(Tasks[[#This Row],[_IsSummary]],MIN(INDEX(Tasks[_LeafCalcStart],Tasks[[#This Row],[_Row]]+1):INDEX(Tasks[_LeafCalcStart],Tasks[[#This Row],[_Row]]+Tasks[[#This Row],[_Descendants]])),Tasks[[#This Row],[_LeafCalcStart]]))</f>
        <v/>
      </c>
      <c r="CJ135" s="100" t="str">
        <f aca="false">IF(Tasks[[#This Row],[Task Name]]="","",IF(Tasks[[#This Row],[_IsSummary]],MAX(INDEX(Tasks[_LeafCalcFinish],Tasks[[#This Row],[_Row]]+1):INDEX(Tasks[_LeafCalcFinish],Tasks[[#This Row],[_Row]]+Tasks[[#This Row],[_Descendants]])),Tasks[[#This Row],[_LeafCalcFinish]]))</f>
        <v/>
      </c>
      <c r="CK13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3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35"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35"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35"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35"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35" s="41" t="n">
        <f aca="false">IF(AND(Tasks[[#This Row],[_IsLeaf]]=1,Tasks[[#This Row],[_LeafWork]]&gt;0),NETWORKDAYS.INTL(ProjectStart,Tasks[[#This Row],[_LeafFcstStart]],WorkWeek,Holidays),0)</f>
        <v>0</v>
      </c>
      <c r="CR135" s="41" t="n">
        <f aca="false">IF(AND(Tasks[[#This Row],[_IsLeaf]]=1,Tasks[[#This Row],[_LeafWork]]&gt;0),MAX(Tasks[[#This Row],[_StartWorkday]],NETWORKDAYS.INTL(ProjectStart,Tasks[[#This Row],[_LeafFcstFinish]],WorkWeek,Holidays)),0)</f>
        <v>0</v>
      </c>
      <c r="CS135" s="41" t="n">
        <f aca="false">IF(AND(Tasks[[#This Row],[_IsLeaf]]=1,Tasks[[#This Row],[_LeafWork]]&gt;0),Tasks[[#This Row],[_LeafWork]]/(Tasks[[#This Row],[_FinishWorkday]]-Tasks[[#This Row],[_StartWorkday]]+1),0)</f>
        <v>0</v>
      </c>
      <c r="CT135" s="41" t="n">
        <f aca="false">Tasks[[#This Row],[_WorkPerWorkday]]*(Tasks[[#This Row],[_StartWorkday]]-1)</f>
        <v>-0</v>
      </c>
      <c r="CU135" s="41" t="n">
        <f aca="false">IF(Tasks[[#This Row],[_IsLeaf]]=1,MAX(N(Tasks[[#This Row],[Duration]]),0.1),0)</f>
        <v>0</v>
      </c>
      <c r="CV135" s="41" t="n">
        <f aca="false">Tasks[[#This Row],[_WeightDur]]*Tasks[[#This Row],[_LeafProgress]]</f>
        <v>0</v>
      </c>
      <c r="CW13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3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3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3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35" s="41" t="str">
        <f aca="false">IF(Tasks[[#This Row],[Task Name]]="","",Tasks[[#This Row],[_Pred1UIDText]]&amp;IF(AND(Tasks[[#This Row],[_Pred1UIDText]]&lt;&gt;"",Tasks[[#This Row],[_Pred2UIDText]]&lt;&gt;""),",","")&amp;Tasks[[#This Row],[_Pred2UIDText]])</f>
        <v/>
      </c>
      <c r="DB135" s="41" t="str">
        <f aca="false">IF(AND(Tasks[[#This Row],[_IsLeaf]]=1,N(Tasks[[#This Row],[Duration]])=0,Tasks[[#This Row],[_LeafProgress]]&lt;1),Tasks[[#This Row],[_LeafFcstFinish]]+Tasks[[#This Row],[_Row]]/100000,"")</f>
        <v/>
      </c>
      <c r="DC13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35" s="41" t="n">
        <f aca="false">IF(NOT(Tasks[[#This Row],[_IsLeaf]]=1),0,IF(Tasks[[#This Row],[Baseline Cost]]="",Tasks[[#This Row],[_LeafCost]],N(Tasks[[#This Row],[Baseline Cost]])))</f>
        <v>0</v>
      </c>
      <c r="DE135" s="41" t="n">
        <f aca="false">Tasks[[#This Row],[_LeafBudget]]*Tasks[[#This Row],[_PlannedPct]]</f>
        <v>0</v>
      </c>
      <c r="DF135" s="41" t="n">
        <f aca="false">Tasks[[#This Row],[_LeafBudget]]*Tasks[[#This Row],[_LeafProgress]]</f>
        <v>0</v>
      </c>
      <c r="DG135" s="41" t="n">
        <f aca="false">IF(NOT(Tasks[[#This Row],[_IsLeaf]]=1),0,IF(Tasks[[#This Row],[Actual Cost]]="",Tasks[[#This Row],[_LeafCost]]*Tasks[[#This Row],[_LeafProgress]],N(Tasks[[#This Row],[Actual Cost]])))</f>
        <v>0</v>
      </c>
      <c r="DH135" s="41" t="str">
        <f aca="false">IF(Tasks[[#This Row],[Task Name]]="","",LEFT(Tasks[[#This Row],[WBS]],FIND(".",Tasks[[#This Row],[WBS]]&amp;".")-1))</f>
        <v/>
      </c>
      <c r="DI135" s="41" t="str">
        <f aca="false">IF(AND(Tasks[[#This Row],[Task Name]]&lt;&gt;"",Tasks[[#This Row],[_Level]]=1),Tasks[[#This Row],[_Row]],"")</f>
        <v/>
      </c>
      <c r="DJ135" s="41" t="str">
        <f aca="false">IF(AND(Tasks[[#This Row],[_IsLeaf]]=1,N(Tasks[[#This Row],[Duration]])=0),Tasks[[#This Row],[Planned Finish]]+Tasks[[#This Row],[_Row]]/100000,"")</f>
        <v/>
      </c>
      <c r="DK135" s="41" t="str">
        <f aca="false">IF(AND(Tasks[[#This Row],[_IsLeaf]]=1,Tasks[[#This Row],[_LeafProgress]]&lt;1,OR(N(Tasks[[#This Row],[Finish Var]])&gt;0,Tasks[[#This Row],[Status]]="Late Start")),MAX(0,Tasks[[#This Row],[Finish Var]])+1-Tasks[[#This Row],[_Row]]/1000000,"")</f>
        <v/>
      </c>
      <c r="DL135" s="41" t="str">
        <f aca="false">IF(AND(Tasks[[#This Row],[_IsLeaf]]=1,N(Tasks[[#This Row],[Actual Start]])=0,Tasks[[#This Row],[_LeafFcstStart]]&gt;=StatusDate,Tasks[[#This Row],[_LeafFcstStart]]&lt;=LookaheadEnd),Tasks[[#This Row],[_LeafFcstStart]]+Tasks[[#This Row],[_Row]]/100000,"")</f>
        <v/>
      </c>
      <c r="DM135" s="41" t="str">
        <f aca="false">IF(AND(Tasks[[#This Row],[_IsLeaf]]=1,Tasks[[#This Row],[_LeafProgress]]&lt;1,Tasks[[#This Row],[_LeafFcstFinish]]&gt;=StatusDate,Tasks[[#This Row],[_LeafFcstFinish]]&lt;=LookaheadEnd),Tasks[[#This Row],[_LeafFcstFinish]]+Tasks[[#This Row],[_Row]]/100000,"")</f>
        <v/>
      </c>
      <c r="DN135" s="41" t="str">
        <f aca="false">IF(Tasks[[#This Row],[_LeafCritical]],Tasks[[#This Row],[_LeafFcstStart]]+Tasks[[#This Row],[_Row]]/100000,"")</f>
        <v/>
      </c>
      <c r="DO135" s="41" t="n">
        <f aca="false">Tasks[[#This Row],[_LeafWork]]*Tasks[[#This Row],[_LeafProgress]]</f>
        <v>0</v>
      </c>
      <c r="DP135" s="100" t="str">
        <f aca="false">IF(AND(Tasks[[#This Row],[_IsLeaf]]=1,Tasks[[#This Row],[_LeafProgress]]&gt;=1),IF(N(Tasks[[#This Row],[Actual Finish]])&gt;0,Tasks[[#This Row],[Actual Finish]],Tasks[[#This Row],[_LeafFcstFinish]]),"")</f>
        <v/>
      </c>
      <c r="DQ135" s="41" t="n">
        <f aca="false">IF(Tasks[[#This Row],[_IsLeaf]]=1,N(Tasks[[#This Row],[Story Points]]),0)</f>
        <v>0</v>
      </c>
      <c r="DR135" s="41" t="str">
        <f aca="false">IF(AND(Tasks[[#This Row],[_IsLeaf]]=1,CurrentSprint&lt;&gt;"",Tasks[[#This Row],[Sprint]]=CurrentSprint),Tasks[[#This Row],[_Row]],"")</f>
        <v/>
      </c>
    </row>
    <row r="136" customFormat="false" ht="15" hidden="false" customHeight="false" outlineLevel="0" collapsed="false">
      <c r="A136" s="28" t="str">
        <f aca="false">IF(Tasks[[#This Row],[Task Name]]="","",COUNTA(Tasks[[#Headers],[Task Name]]:Tasks[[#This Row],[Task Name]])-1)</f>
        <v/>
      </c>
      <c r="B136" s="29" t="n">
        <v>131</v>
      </c>
      <c r="C13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6" s="29"/>
      <c r="E136" s="30"/>
      <c r="F136" s="29"/>
      <c r="G136" s="29"/>
      <c r="H136" s="29"/>
      <c r="I136" s="29"/>
      <c r="J136" s="29"/>
      <c r="K136" s="29"/>
      <c r="L136" s="29"/>
      <c r="M136" s="29"/>
      <c r="N136" s="73"/>
      <c r="O136" s="73"/>
      <c r="P136" s="25" t="str">
        <f aca="false">IF(Tasks[[#This Row],[Task Name]]="","",IF(N(Tasks[[#This Row],[Baseline Start]])&gt;0,Tasks[[#This Row],[Baseline Start]],Tasks[[#This Row],[_CalcStart]]))</f>
        <v/>
      </c>
      <c r="Q136" s="25" t="str">
        <f aca="false">IF(Tasks[[#This Row],[Task Name]]="","",IF(N(Tasks[[#This Row],[Baseline Finish]])&gt;0,Tasks[[#This Row],[Baseline Finish]],Tasks[[#This Row],[_CalcFinish]]))</f>
        <v/>
      </c>
      <c r="R136" s="73"/>
      <c r="S136" s="73"/>
      <c r="T136" s="25" t="str">
        <f aca="false">IF(Tasks[[#This Row],[Task Name]]="","",IF(Tasks[[#This Row],[_IsSummary]],MIN(INDEX(Tasks[_LeafFcstStart],Tasks[[#This Row],[_Row]]+1):INDEX(Tasks[_LeafFcstStart],Tasks[[#This Row],[_Row]]+Tasks[[#This Row],[_Descendants]])),Tasks[[#This Row],[_LeafFcstStart]]))</f>
        <v/>
      </c>
      <c r="U136" s="25" t="str">
        <f aca="false">IF(Tasks[[#This Row],[Task Name]]="","",IF(Tasks[[#This Row],[_IsSummary]],MAX(INDEX(Tasks[_LeafFcstFinish],Tasks[[#This Row],[_Row]]+1):INDEX(Tasks[_LeafFcstFinish],Tasks[[#This Row],[_Row]]+Tasks[[#This Row],[_Descendants]])),Tasks[[#This Row],[_LeafFcstFinish]]))</f>
        <v/>
      </c>
      <c r="V13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3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6" s="25" t="str">
        <f aca="false">IF(Tasks[[#This Row],[Task Name]]="","",IF(Tasks[[#This Row],[_IsSummary]],MIN(INDEX(Tasks[_LeafLateStart],Tasks[[#This Row],[_Row]]+1):INDEX(Tasks[_LeafLateStart],Tasks[[#This Row],[_Row]]+Tasks[[#This Row],[_Descendants]])),Tasks[[#This Row],[_LeafLateStart]]))</f>
        <v/>
      </c>
      <c r="Y136" s="25" t="str">
        <f aca="false">IF(Tasks[[#This Row],[Task Name]]="","",IF(Tasks[[#This Row],[_IsSummary]],MAX(INDEX(Tasks[_LeafLateFinish],Tasks[[#This Row],[_Row]]+1):INDEX(Tasks[_LeafLateFinish],Tasks[[#This Row],[_Row]]+Tasks[[#This Row],[_Descendants]])),Tasks[[#This Row],[_LeafLateFinish]]))</f>
        <v/>
      </c>
      <c r="Z136" s="43" t="str">
        <f aca="false">IF(Tasks[[#This Row],[Task Name]]="","",IF(Tasks[[#This Row],[_IsSummary]],MIN(INDEX(Tasks[_LeafTotalSlack],Tasks[[#This Row],[_Row]]+1):INDEX(Tasks[_LeafTotalSlack],Tasks[[#This Row],[_Row]]+Tasks[[#This Row],[_Descendants]])),Tasks[[#This Row],[_LeafTotalSlack]]))</f>
        <v/>
      </c>
      <c r="AA13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6" s="28" t="str">
        <f aca="false">IF(Tasks[[#This Row],[Task Name]]="","",IF(IF(Tasks[[#This Row],[_IsSummary]],COUNTIF(INDEX(Tasks[_LeafCritical],Tasks[[#This Row],[_Row]]+1):INDEX(Tasks[_LeafCritical],Tasks[[#This Row],[_Row]]+Tasks[[#This Row],[_Descendants]]),TRUE())&gt;0,Tasks[[#This Row],[_LeafCritical]]),"Yes",""))</f>
        <v/>
      </c>
      <c r="AC13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6" s="24" t="str">
        <f aca="false">IF(Tasks[[#This Row],[Task Name]]="","",TRIM(IF(Tasks[[#This Row],[_Pred1Problem]]&lt;&gt;"","Pred 1: "&amp;Tasks[[#This Row],[_Pred1Problem]]&amp;". ","")&amp;IF(Tasks[[#This Row],[_Pred2Problem]]&lt;&gt;"","Pred 2: "&amp;Tasks[[#This Row],[_Pred2Problem]]&amp;".","")))</f>
        <v/>
      </c>
      <c r="AE136" s="88"/>
      <c r="AF136"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6" s="28" t="str">
        <f aca="false">IF(Tasks[[#This Row],[Task Name]]="","",IF(Tasks[[#This Row],[Progress]]&gt;=1,"Complete",IF(OR(N(Tasks[[#This Row],[Actual Start]])&gt;0,Tasks[[#This Row],[Progress]]&gt;0),IF(Tasks[[#This Row],[Finish Var]]&gt;0,"Behind","In Progress"),IF(Tasks[[#This Row],[Planned Start]]&lt;StatusDate,"Late Start","Not Started"))))</f>
        <v/>
      </c>
      <c r="AH136" s="30"/>
      <c r="AI136" s="88"/>
      <c r="AJ136" s="95" t="str">
        <f aca="false">IF(Tasks[[#This Row],[Task Name]]="","",IF(Tasks[[#This Row],[_IsSummary]],SUM(INDEX(Tasks[_LeafWork],Tasks[[#This Row],[_Row]]+1):INDEX(Tasks[_LeafWork],Tasks[[#This Row],[_Row]]+Tasks[[#This Row],[_Descendants]])),Tasks[[#This Row],[_LeafWork]]))</f>
        <v/>
      </c>
      <c r="AK136" s="96" t="str">
        <f aca="false">IF(Tasks[[#This Row],[Task Name]]="","",IF(Tasks[[#This Row],[_IsSummary]],SUM(INDEX(Tasks[_LeafCost],Tasks[[#This Row],[_Row]]+1):INDEX(Tasks[_LeafCost],Tasks[[#This Row],[_Row]]+Tasks[[#This Row],[_Descendants]])),Tasks[[#This Row],[_LeafCost]]))</f>
        <v/>
      </c>
      <c r="AL136" s="97"/>
      <c r="AM136" s="29"/>
      <c r="AN13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36" s="82"/>
      <c r="AP136" s="24" t="str">
        <f aca="false">IF(Tasks[[#This Row],[Task Name]]="","",Tasks[[#This Row],[_Pred1IDText]]&amp;IF(AND(Tasks[[#This Row],[_Pred1IDText]]&lt;&gt;"",Tasks[[#This Row],[_Pred2IDText]]&lt;&gt;""),",","")&amp;Tasks[[#This Row],[_Pred2IDText]])</f>
        <v/>
      </c>
      <c r="AQ136" s="30"/>
      <c r="AR136" s="25" t="str">
        <f aca="false">IF(Tasks[[#This Row],[Task Name]]="","",Tasks[[#This Row],[Forecast Start]])</f>
        <v/>
      </c>
      <c r="AS136" s="25" t="str">
        <f aca="false">IF(Tasks[[#This Row],[Task Name]]="","",Tasks[[#This Row],[Forecast Finish]])</f>
        <v/>
      </c>
      <c r="AT136" s="28" t="str">
        <f aca="false">IF(Tasks[[#This Row],[Task Name]]="","",IF(Tasks[[#This Row],[_IsSummary]],NETWORKDAYS.INTL(Tasks[[#This Row],[Forecast Start]],Tasks[[#This Row],[Forecast Finish]],WorkWeek,Holidays),N(Tasks[[#This Row],[Duration]])))</f>
        <v/>
      </c>
      <c r="AU136" s="95" t="str">
        <f aca="false">IF(Tasks[[#This Row],[Task Name]]="","",Tasks[[#This Row],[Work]])</f>
        <v/>
      </c>
      <c r="AV136" s="96" t="str">
        <f aca="false">IF(Tasks[[#This Row],[Task Name]]="","",Tasks[[#This Row],[Cost]])</f>
        <v/>
      </c>
      <c r="AW136" s="73"/>
      <c r="AX136" s="73"/>
      <c r="AY136" s="29"/>
      <c r="AZ136" s="98"/>
      <c r="BA136" s="97"/>
      <c r="BB136" s="28" t="str">
        <f aca="false">IF(OR(Tasks[[#This Row],[Task Name]]="",Tasks[[#This Row],[Baseline Duration]]=""),"",Tasks[[#This Row],[BL Source Duration]]-N(Tasks[[#This Row],[Baseline Duration]]))</f>
        <v/>
      </c>
      <c r="BC136" s="95" t="str">
        <f aca="false">IF(OR(Tasks[[#This Row],[Task Name]]="",Tasks[[#This Row],[Baseline Work]]=""),"",Tasks[[#This Row],[Work]]-N(Tasks[[#This Row],[Baseline Work]]))</f>
        <v/>
      </c>
      <c r="BD136" s="96" t="str">
        <f aca="false">IF(OR(Tasks[[#This Row],[Task Name]]="",Tasks[[#This Row],[Baseline Cost]]=""),"",Tasks[[#This Row],[Cost]]-N(Tasks[[#This Row],[Baseline Cost]]))</f>
        <v/>
      </c>
      <c r="BE136" s="96" t="str">
        <f aca="false">IF(Tasks[[#This Row],[Task Name]]="","",IF(Tasks[[#This Row],[_IsSummary]],SUM(INDEX(Tasks[_LeafBudget],Tasks[[#This Row],[_Row]]+1):INDEX(Tasks[_LeafBudget],Tasks[[#This Row],[_Row]]+Tasks[[#This Row],[_Descendants]])),Tasks[[#This Row],[_LeafBudget]]))</f>
        <v/>
      </c>
      <c r="BF136" s="96" t="str">
        <f aca="false">IF(Tasks[[#This Row],[Task Name]]="","",IF(Tasks[[#This Row],[_IsSummary]],SUM(INDEX(Tasks[_LeafPV],Tasks[[#This Row],[_Row]]+1):INDEX(Tasks[_LeafPV],Tasks[[#This Row],[_Row]]+Tasks[[#This Row],[_Descendants]])),Tasks[[#This Row],[_LeafPV]]))</f>
        <v/>
      </c>
      <c r="BG136" s="96" t="str">
        <f aca="false">IF(Tasks[[#This Row],[Task Name]]="","",IF(Tasks[[#This Row],[_IsSummary]],SUM(INDEX(Tasks[_LeafEV],Tasks[[#This Row],[_Row]]+1):INDEX(Tasks[_LeafEV],Tasks[[#This Row],[_Row]]+Tasks[[#This Row],[_Descendants]])),Tasks[[#This Row],[_LeafEV]]))</f>
        <v/>
      </c>
      <c r="BH136" s="96" t="str">
        <f aca="false">IF(Tasks[[#This Row],[Task Name]]="","",IF(Tasks[[#This Row],[_IsSummary]],SUM(INDEX(Tasks[_LeafAC],Tasks[[#This Row],[_Row]]+1):INDEX(Tasks[_LeafAC],Tasks[[#This Row],[_Row]]+Tasks[[#This Row],[_Descendants]])),Tasks[[#This Row],[_LeafAC]]))</f>
        <v/>
      </c>
      <c r="BI136" s="41" t="str">
        <f aca="false">IF(Tasks[[#This Row],[Task Name]]="","",MAX(1,N(Tasks[[#This Row],[Level]])))</f>
        <v/>
      </c>
      <c r="BJ136" s="41" t="n">
        <f aca="false">ROW()-ROW(Tasks[[#Headers],[ID]])</f>
        <v>131</v>
      </c>
      <c r="BK136" s="41" t="n">
        <f aca="false">IF(OR(Tasks[[#This Row],[Task Name]]="",Tasks[[#This Row],[_Level]]&lt;=1),0,IFERROR(LOOKUP(2,1/(Tasks[[#Headers],[_Level]]:Tasks[[#This Row],[_Level]]=Tasks[[#This Row],[_Level]]-1),ROW(Tasks[[#Headers],[_Level]]:Tasks[[#This Row],[_Level]])),0))</f>
        <v>0</v>
      </c>
      <c r="BL136" s="41" t="n">
        <f aca="false">IFERROR(N(INDEX(Tasks[_Level],Tasks[[#This Row],[_Row]]+1)),0)</f>
        <v>0</v>
      </c>
      <c r="BM136" s="99" t="b">
        <f aca="false">AND(Tasks[[#This Row],[Task Name]]&lt;&gt;"",Tasks[[#This Row],[_NextLevel]]&gt;Tasks[[#This Row],[_Level]])</f>
        <v>0</v>
      </c>
      <c r="BN136" s="41" t="n">
        <f aca="false">IF(Tasks[[#This Row],[_IsSummary]],COUNTIF(Tasks[WBS],Tasks[[#This Row],[WBS]]&amp;".*"),0)</f>
        <v>0</v>
      </c>
      <c r="BO136" s="41" t="n">
        <f aca="false">IF(AND(Tasks[[#This Row],[Task Name]]&lt;&gt;"",NOT(Tasks[[#This Row],[_IsSummary]])),1,0)</f>
        <v>0</v>
      </c>
      <c r="BP136" s="41" t="n">
        <f aca="false">IF(N(Tasks[[#This Row],[Pred1 UID]])=0,0,IFERROR(MATCH(Tasks[[#This Row],[Pred1 UID]],Tasks[UID],0),-1))</f>
        <v>0</v>
      </c>
      <c r="BQ136" s="41" t="n">
        <f aca="false">IF(N(Tasks[[#This Row],[Pred2 UID]])=0,0,IFERROR(MATCH(Tasks[[#This Row],[Pred2 UID]],Tasks[UID],0),-1))</f>
        <v>0</v>
      </c>
      <c r="BR136"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36" s="100" t="str">
        <f aca="false">IF(NOT(Tasks[[#This Row],[_IsLeaf]]=1),"",IF(N(Tasks[[#This Row],[Duration]])&lt;=0,Tasks[[#This Row],[_LeafCalcStart]],WORKDAY.INTL(Tasks[[#This Row],[_LeafCalcStart]],Tasks[[#This Row],[Duration]]-1,WorkWeek,Holidays)))</f>
        <v/>
      </c>
      <c r="BT136"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36"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36" s="41" t="n">
        <f aca="false">IF(NOT(Tasks[[#This Row],[_IsLeaf]]=1),0,IF(N(Tasks[[#This Row],[Actual Finish]])&gt;0,1,MIN(1,N(Tasks[[#This Row],[% Complete]]))))</f>
        <v>0</v>
      </c>
      <c r="BW136" s="41" t="n">
        <f aca="false">IF(OR(NOT(Tasks[[#This Row],[_IsLeaf]]=1),Tasks[[#This Row],[Resource]]=""),0,N(Tasks[[#This Row],[Duration]])*HoursPerDay*IF(Tasks[[#This Row],[Units]]="",DefaultUnits,Tasks[[#This Row],[Units]]))</f>
        <v>0</v>
      </c>
      <c r="BX136" s="41" t="n">
        <f aca="false">IF(Tasks[[#This Row],[_LeafWork]]=0,0,Tasks[[#This Row],[_LeafWork]]*IFERROR(INDEX(res_Rate,MATCH(Tasks[[#This Row],[Resource]],res_Name,0)),0))</f>
        <v>0</v>
      </c>
      <c r="BY13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3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3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3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36" s="41" t="n">
        <f aca="false">IF(NOT(Tasks[[#This Row],[_IsLeaf]]=1),0,MAX(_xlfn.MAXIFS(Tasks[_Row],Tasks[Pred1 UID],Tasks[[#This Row],[UID]]),_xlfn.MAXIFS(Tasks[_Row],Tasks[Pred2 UID],Tasks[[#This Row],[UID]])))</f>
        <v>0</v>
      </c>
      <c r="CD136"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36" s="100" t="str">
        <f aca="false">IF(NOT(Tasks[[#This Row],[_IsLeaf]]=1),"",MIN(ProjectFinish,IF(N(Tasks[[#This Row],[Deadline]])&gt;0,Tasks[[#This Row],[Deadline]],2958465),Tasks[[#This Row],[_SuccessorFinishLimit]]))</f>
        <v/>
      </c>
      <c r="CF136" s="100" t="str">
        <f aca="false">IF(NOT(Tasks[[#This Row],[_IsLeaf]]=1),"",IF(N(Tasks[[#This Row],[Duration]])&lt;=0,Tasks[[#This Row],[_LeafLateFinish]],WORKDAY.INTL(Tasks[[#This Row],[_LeafLateFinish]],-(Tasks[[#This Row],[Duration]]-1),WorkWeek,Holidays)))</f>
        <v/>
      </c>
      <c r="CG13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36" s="99" t="b">
        <f aca="false">AND(Tasks[[#This Row],[_IsLeaf]]=1,Tasks[[#This Row],[_LeafProgress]]&lt;1,N(Tasks[[#This Row],[_LeafTotalSlack]])&lt;=CriticalSlackDays)</f>
        <v>0</v>
      </c>
      <c r="CI136" s="100" t="str">
        <f aca="false">IF(Tasks[[#This Row],[Task Name]]="","",IF(Tasks[[#This Row],[_IsSummary]],MIN(INDEX(Tasks[_LeafCalcStart],Tasks[[#This Row],[_Row]]+1):INDEX(Tasks[_LeafCalcStart],Tasks[[#This Row],[_Row]]+Tasks[[#This Row],[_Descendants]])),Tasks[[#This Row],[_LeafCalcStart]]))</f>
        <v/>
      </c>
      <c r="CJ136" s="100" t="str">
        <f aca="false">IF(Tasks[[#This Row],[Task Name]]="","",IF(Tasks[[#This Row],[_IsSummary]],MAX(INDEX(Tasks[_LeafCalcFinish],Tasks[[#This Row],[_Row]]+1):INDEX(Tasks[_LeafCalcFinish],Tasks[[#This Row],[_Row]]+Tasks[[#This Row],[_Descendants]])),Tasks[[#This Row],[_LeafCalcFinish]]))</f>
        <v/>
      </c>
      <c r="CK13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3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36"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36"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36"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36"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36" s="41" t="n">
        <f aca="false">IF(AND(Tasks[[#This Row],[_IsLeaf]]=1,Tasks[[#This Row],[_LeafWork]]&gt;0),NETWORKDAYS.INTL(ProjectStart,Tasks[[#This Row],[_LeafFcstStart]],WorkWeek,Holidays),0)</f>
        <v>0</v>
      </c>
      <c r="CR136" s="41" t="n">
        <f aca="false">IF(AND(Tasks[[#This Row],[_IsLeaf]]=1,Tasks[[#This Row],[_LeafWork]]&gt;0),MAX(Tasks[[#This Row],[_StartWorkday]],NETWORKDAYS.INTL(ProjectStart,Tasks[[#This Row],[_LeafFcstFinish]],WorkWeek,Holidays)),0)</f>
        <v>0</v>
      </c>
      <c r="CS136" s="41" t="n">
        <f aca="false">IF(AND(Tasks[[#This Row],[_IsLeaf]]=1,Tasks[[#This Row],[_LeafWork]]&gt;0),Tasks[[#This Row],[_LeafWork]]/(Tasks[[#This Row],[_FinishWorkday]]-Tasks[[#This Row],[_StartWorkday]]+1),0)</f>
        <v>0</v>
      </c>
      <c r="CT136" s="41" t="n">
        <f aca="false">Tasks[[#This Row],[_WorkPerWorkday]]*(Tasks[[#This Row],[_StartWorkday]]-1)</f>
        <v>-0</v>
      </c>
      <c r="CU136" s="41" t="n">
        <f aca="false">IF(Tasks[[#This Row],[_IsLeaf]]=1,MAX(N(Tasks[[#This Row],[Duration]]),0.1),0)</f>
        <v>0</v>
      </c>
      <c r="CV136" s="41" t="n">
        <f aca="false">Tasks[[#This Row],[_WeightDur]]*Tasks[[#This Row],[_LeafProgress]]</f>
        <v>0</v>
      </c>
      <c r="CW13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3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3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3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36" s="41" t="str">
        <f aca="false">IF(Tasks[[#This Row],[Task Name]]="","",Tasks[[#This Row],[_Pred1UIDText]]&amp;IF(AND(Tasks[[#This Row],[_Pred1UIDText]]&lt;&gt;"",Tasks[[#This Row],[_Pred2UIDText]]&lt;&gt;""),",","")&amp;Tasks[[#This Row],[_Pred2UIDText]])</f>
        <v/>
      </c>
      <c r="DB136" s="41" t="str">
        <f aca="false">IF(AND(Tasks[[#This Row],[_IsLeaf]]=1,N(Tasks[[#This Row],[Duration]])=0,Tasks[[#This Row],[_LeafProgress]]&lt;1),Tasks[[#This Row],[_LeafFcstFinish]]+Tasks[[#This Row],[_Row]]/100000,"")</f>
        <v/>
      </c>
      <c r="DC13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36" s="41" t="n">
        <f aca="false">IF(NOT(Tasks[[#This Row],[_IsLeaf]]=1),0,IF(Tasks[[#This Row],[Baseline Cost]]="",Tasks[[#This Row],[_LeafCost]],N(Tasks[[#This Row],[Baseline Cost]])))</f>
        <v>0</v>
      </c>
      <c r="DE136" s="41" t="n">
        <f aca="false">Tasks[[#This Row],[_LeafBudget]]*Tasks[[#This Row],[_PlannedPct]]</f>
        <v>0</v>
      </c>
      <c r="DF136" s="41" t="n">
        <f aca="false">Tasks[[#This Row],[_LeafBudget]]*Tasks[[#This Row],[_LeafProgress]]</f>
        <v>0</v>
      </c>
      <c r="DG136" s="41" t="n">
        <f aca="false">IF(NOT(Tasks[[#This Row],[_IsLeaf]]=1),0,IF(Tasks[[#This Row],[Actual Cost]]="",Tasks[[#This Row],[_LeafCost]]*Tasks[[#This Row],[_LeafProgress]],N(Tasks[[#This Row],[Actual Cost]])))</f>
        <v>0</v>
      </c>
      <c r="DH136" s="41" t="str">
        <f aca="false">IF(Tasks[[#This Row],[Task Name]]="","",LEFT(Tasks[[#This Row],[WBS]],FIND(".",Tasks[[#This Row],[WBS]]&amp;".")-1))</f>
        <v/>
      </c>
      <c r="DI136" s="41" t="str">
        <f aca="false">IF(AND(Tasks[[#This Row],[Task Name]]&lt;&gt;"",Tasks[[#This Row],[_Level]]=1),Tasks[[#This Row],[_Row]],"")</f>
        <v/>
      </c>
      <c r="DJ136" s="41" t="str">
        <f aca="false">IF(AND(Tasks[[#This Row],[_IsLeaf]]=1,N(Tasks[[#This Row],[Duration]])=0),Tasks[[#This Row],[Planned Finish]]+Tasks[[#This Row],[_Row]]/100000,"")</f>
        <v/>
      </c>
      <c r="DK136" s="41" t="str">
        <f aca="false">IF(AND(Tasks[[#This Row],[_IsLeaf]]=1,Tasks[[#This Row],[_LeafProgress]]&lt;1,OR(N(Tasks[[#This Row],[Finish Var]])&gt;0,Tasks[[#This Row],[Status]]="Late Start")),MAX(0,Tasks[[#This Row],[Finish Var]])+1-Tasks[[#This Row],[_Row]]/1000000,"")</f>
        <v/>
      </c>
      <c r="DL136" s="41" t="str">
        <f aca="false">IF(AND(Tasks[[#This Row],[_IsLeaf]]=1,N(Tasks[[#This Row],[Actual Start]])=0,Tasks[[#This Row],[_LeafFcstStart]]&gt;=StatusDate,Tasks[[#This Row],[_LeafFcstStart]]&lt;=LookaheadEnd),Tasks[[#This Row],[_LeafFcstStart]]+Tasks[[#This Row],[_Row]]/100000,"")</f>
        <v/>
      </c>
      <c r="DM136" s="41" t="str">
        <f aca="false">IF(AND(Tasks[[#This Row],[_IsLeaf]]=1,Tasks[[#This Row],[_LeafProgress]]&lt;1,Tasks[[#This Row],[_LeafFcstFinish]]&gt;=StatusDate,Tasks[[#This Row],[_LeafFcstFinish]]&lt;=LookaheadEnd),Tasks[[#This Row],[_LeafFcstFinish]]+Tasks[[#This Row],[_Row]]/100000,"")</f>
        <v/>
      </c>
      <c r="DN136" s="41" t="str">
        <f aca="false">IF(Tasks[[#This Row],[_LeafCritical]],Tasks[[#This Row],[_LeafFcstStart]]+Tasks[[#This Row],[_Row]]/100000,"")</f>
        <v/>
      </c>
      <c r="DO136" s="41" t="n">
        <f aca="false">Tasks[[#This Row],[_LeafWork]]*Tasks[[#This Row],[_LeafProgress]]</f>
        <v>0</v>
      </c>
      <c r="DP136" s="100" t="str">
        <f aca="false">IF(AND(Tasks[[#This Row],[_IsLeaf]]=1,Tasks[[#This Row],[_LeafProgress]]&gt;=1),IF(N(Tasks[[#This Row],[Actual Finish]])&gt;0,Tasks[[#This Row],[Actual Finish]],Tasks[[#This Row],[_LeafFcstFinish]]),"")</f>
        <v/>
      </c>
      <c r="DQ136" s="41" t="n">
        <f aca="false">IF(Tasks[[#This Row],[_IsLeaf]]=1,N(Tasks[[#This Row],[Story Points]]),0)</f>
        <v>0</v>
      </c>
      <c r="DR136" s="41" t="str">
        <f aca="false">IF(AND(Tasks[[#This Row],[_IsLeaf]]=1,CurrentSprint&lt;&gt;"",Tasks[[#This Row],[Sprint]]=CurrentSprint),Tasks[[#This Row],[_Row]],"")</f>
        <v/>
      </c>
    </row>
    <row r="137" customFormat="false" ht="15" hidden="false" customHeight="false" outlineLevel="0" collapsed="false">
      <c r="A137" s="28" t="str">
        <f aca="false">IF(Tasks[[#This Row],[Task Name]]="","",COUNTA(Tasks[[#Headers],[Task Name]]:Tasks[[#This Row],[Task Name]])-1)</f>
        <v/>
      </c>
      <c r="B137" s="29" t="n">
        <v>132</v>
      </c>
      <c r="C13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7" s="29"/>
      <c r="E137" s="30"/>
      <c r="F137" s="29"/>
      <c r="G137" s="29"/>
      <c r="H137" s="29"/>
      <c r="I137" s="29"/>
      <c r="J137" s="29"/>
      <c r="K137" s="29"/>
      <c r="L137" s="29"/>
      <c r="M137" s="29"/>
      <c r="N137" s="73"/>
      <c r="O137" s="73"/>
      <c r="P137" s="25" t="str">
        <f aca="false">IF(Tasks[[#This Row],[Task Name]]="","",IF(N(Tasks[[#This Row],[Baseline Start]])&gt;0,Tasks[[#This Row],[Baseline Start]],Tasks[[#This Row],[_CalcStart]]))</f>
        <v/>
      </c>
      <c r="Q137" s="25" t="str">
        <f aca="false">IF(Tasks[[#This Row],[Task Name]]="","",IF(N(Tasks[[#This Row],[Baseline Finish]])&gt;0,Tasks[[#This Row],[Baseline Finish]],Tasks[[#This Row],[_CalcFinish]]))</f>
        <v/>
      </c>
      <c r="R137" s="73"/>
      <c r="S137" s="73"/>
      <c r="T137" s="25" t="str">
        <f aca="false">IF(Tasks[[#This Row],[Task Name]]="","",IF(Tasks[[#This Row],[_IsSummary]],MIN(INDEX(Tasks[_LeafFcstStart],Tasks[[#This Row],[_Row]]+1):INDEX(Tasks[_LeafFcstStart],Tasks[[#This Row],[_Row]]+Tasks[[#This Row],[_Descendants]])),Tasks[[#This Row],[_LeafFcstStart]]))</f>
        <v/>
      </c>
      <c r="U137" s="25" t="str">
        <f aca="false">IF(Tasks[[#This Row],[Task Name]]="","",IF(Tasks[[#This Row],[_IsSummary]],MAX(INDEX(Tasks[_LeafFcstFinish],Tasks[[#This Row],[_Row]]+1):INDEX(Tasks[_LeafFcstFinish],Tasks[[#This Row],[_Row]]+Tasks[[#This Row],[_Descendants]])),Tasks[[#This Row],[_LeafFcstFinish]]))</f>
        <v/>
      </c>
      <c r="V13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3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7" s="25" t="str">
        <f aca="false">IF(Tasks[[#This Row],[Task Name]]="","",IF(Tasks[[#This Row],[_IsSummary]],MIN(INDEX(Tasks[_LeafLateStart],Tasks[[#This Row],[_Row]]+1):INDEX(Tasks[_LeafLateStart],Tasks[[#This Row],[_Row]]+Tasks[[#This Row],[_Descendants]])),Tasks[[#This Row],[_LeafLateStart]]))</f>
        <v/>
      </c>
      <c r="Y137" s="25" t="str">
        <f aca="false">IF(Tasks[[#This Row],[Task Name]]="","",IF(Tasks[[#This Row],[_IsSummary]],MAX(INDEX(Tasks[_LeafLateFinish],Tasks[[#This Row],[_Row]]+1):INDEX(Tasks[_LeafLateFinish],Tasks[[#This Row],[_Row]]+Tasks[[#This Row],[_Descendants]])),Tasks[[#This Row],[_LeafLateFinish]]))</f>
        <v/>
      </c>
      <c r="Z137" s="43" t="str">
        <f aca="false">IF(Tasks[[#This Row],[Task Name]]="","",IF(Tasks[[#This Row],[_IsSummary]],MIN(INDEX(Tasks[_LeafTotalSlack],Tasks[[#This Row],[_Row]]+1):INDEX(Tasks[_LeafTotalSlack],Tasks[[#This Row],[_Row]]+Tasks[[#This Row],[_Descendants]])),Tasks[[#This Row],[_LeafTotalSlack]]))</f>
        <v/>
      </c>
      <c r="AA13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7" s="28" t="str">
        <f aca="false">IF(Tasks[[#This Row],[Task Name]]="","",IF(IF(Tasks[[#This Row],[_IsSummary]],COUNTIF(INDEX(Tasks[_LeafCritical],Tasks[[#This Row],[_Row]]+1):INDEX(Tasks[_LeafCritical],Tasks[[#This Row],[_Row]]+Tasks[[#This Row],[_Descendants]]),TRUE())&gt;0,Tasks[[#This Row],[_LeafCritical]]),"Yes",""))</f>
        <v/>
      </c>
      <c r="AC13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7" s="24" t="str">
        <f aca="false">IF(Tasks[[#This Row],[Task Name]]="","",TRIM(IF(Tasks[[#This Row],[_Pred1Problem]]&lt;&gt;"","Pred 1: "&amp;Tasks[[#This Row],[_Pred1Problem]]&amp;". ","")&amp;IF(Tasks[[#This Row],[_Pred2Problem]]&lt;&gt;"","Pred 2: "&amp;Tasks[[#This Row],[_Pred2Problem]]&amp;".","")))</f>
        <v/>
      </c>
      <c r="AE137" s="88"/>
      <c r="AF137"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7" s="28" t="str">
        <f aca="false">IF(Tasks[[#This Row],[Task Name]]="","",IF(Tasks[[#This Row],[Progress]]&gt;=1,"Complete",IF(OR(N(Tasks[[#This Row],[Actual Start]])&gt;0,Tasks[[#This Row],[Progress]]&gt;0),IF(Tasks[[#This Row],[Finish Var]]&gt;0,"Behind","In Progress"),IF(Tasks[[#This Row],[Planned Start]]&lt;StatusDate,"Late Start","Not Started"))))</f>
        <v/>
      </c>
      <c r="AH137" s="30"/>
      <c r="AI137" s="88"/>
      <c r="AJ137" s="95" t="str">
        <f aca="false">IF(Tasks[[#This Row],[Task Name]]="","",IF(Tasks[[#This Row],[_IsSummary]],SUM(INDEX(Tasks[_LeafWork],Tasks[[#This Row],[_Row]]+1):INDEX(Tasks[_LeafWork],Tasks[[#This Row],[_Row]]+Tasks[[#This Row],[_Descendants]])),Tasks[[#This Row],[_LeafWork]]))</f>
        <v/>
      </c>
      <c r="AK137" s="96" t="str">
        <f aca="false">IF(Tasks[[#This Row],[Task Name]]="","",IF(Tasks[[#This Row],[_IsSummary]],SUM(INDEX(Tasks[_LeafCost],Tasks[[#This Row],[_Row]]+1):INDEX(Tasks[_LeafCost],Tasks[[#This Row],[_Row]]+Tasks[[#This Row],[_Descendants]])),Tasks[[#This Row],[_LeafCost]]))</f>
        <v/>
      </c>
      <c r="AL137" s="97"/>
      <c r="AM137" s="29"/>
      <c r="AN13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37" s="82"/>
      <c r="AP137" s="24" t="str">
        <f aca="false">IF(Tasks[[#This Row],[Task Name]]="","",Tasks[[#This Row],[_Pred1IDText]]&amp;IF(AND(Tasks[[#This Row],[_Pred1IDText]]&lt;&gt;"",Tasks[[#This Row],[_Pred2IDText]]&lt;&gt;""),",","")&amp;Tasks[[#This Row],[_Pred2IDText]])</f>
        <v/>
      </c>
      <c r="AQ137" s="30"/>
      <c r="AR137" s="25" t="str">
        <f aca="false">IF(Tasks[[#This Row],[Task Name]]="","",Tasks[[#This Row],[Forecast Start]])</f>
        <v/>
      </c>
      <c r="AS137" s="25" t="str">
        <f aca="false">IF(Tasks[[#This Row],[Task Name]]="","",Tasks[[#This Row],[Forecast Finish]])</f>
        <v/>
      </c>
      <c r="AT137" s="28" t="str">
        <f aca="false">IF(Tasks[[#This Row],[Task Name]]="","",IF(Tasks[[#This Row],[_IsSummary]],NETWORKDAYS.INTL(Tasks[[#This Row],[Forecast Start]],Tasks[[#This Row],[Forecast Finish]],WorkWeek,Holidays),N(Tasks[[#This Row],[Duration]])))</f>
        <v/>
      </c>
      <c r="AU137" s="95" t="str">
        <f aca="false">IF(Tasks[[#This Row],[Task Name]]="","",Tasks[[#This Row],[Work]])</f>
        <v/>
      </c>
      <c r="AV137" s="96" t="str">
        <f aca="false">IF(Tasks[[#This Row],[Task Name]]="","",Tasks[[#This Row],[Cost]])</f>
        <v/>
      </c>
      <c r="AW137" s="73"/>
      <c r="AX137" s="73"/>
      <c r="AY137" s="29"/>
      <c r="AZ137" s="98"/>
      <c r="BA137" s="97"/>
      <c r="BB137" s="28" t="str">
        <f aca="false">IF(OR(Tasks[[#This Row],[Task Name]]="",Tasks[[#This Row],[Baseline Duration]]=""),"",Tasks[[#This Row],[BL Source Duration]]-N(Tasks[[#This Row],[Baseline Duration]]))</f>
        <v/>
      </c>
      <c r="BC137" s="95" t="str">
        <f aca="false">IF(OR(Tasks[[#This Row],[Task Name]]="",Tasks[[#This Row],[Baseline Work]]=""),"",Tasks[[#This Row],[Work]]-N(Tasks[[#This Row],[Baseline Work]]))</f>
        <v/>
      </c>
      <c r="BD137" s="96" t="str">
        <f aca="false">IF(OR(Tasks[[#This Row],[Task Name]]="",Tasks[[#This Row],[Baseline Cost]]=""),"",Tasks[[#This Row],[Cost]]-N(Tasks[[#This Row],[Baseline Cost]]))</f>
        <v/>
      </c>
      <c r="BE137" s="96" t="str">
        <f aca="false">IF(Tasks[[#This Row],[Task Name]]="","",IF(Tasks[[#This Row],[_IsSummary]],SUM(INDEX(Tasks[_LeafBudget],Tasks[[#This Row],[_Row]]+1):INDEX(Tasks[_LeafBudget],Tasks[[#This Row],[_Row]]+Tasks[[#This Row],[_Descendants]])),Tasks[[#This Row],[_LeafBudget]]))</f>
        <v/>
      </c>
      <c r="BF137" s="96" t="str">
        <f aca="false">IF(Tasks[[#This Row],[Task Name]]="","",IF(Tasks[[#This Row],[_IsSummary]],SUM(INDEX(Tasks[_LeafPV],Tasks[[#This Row],[_Row]]+1):INDEX(Tasks[_LeafPV],Tasks[[#This Row],[_Row]]+Tasks[[#This Row],[_Descendants]])),Tasks[[#This Row],[_LeafPV]]))</f>
        <v/>
      </c>
      <c r="BG137" s="96" t="str">
        <f aca="false">IF(Tasks[[#This Row],[Task Name]]="","",IF(Tasks[[#This Row],[_IsSummary]],SUM(INDEX(Tasks[_LeafEV],Tasks[[#This Row],[_Row]]+1):INDEX(Tasks[_LeafEV],Tasks[[#This Row],[_Row]]+Tasks[[#This Row],[_Descendants]])),Tasks[[#This Row],[_LeafEV]]))</f>
        <v/>
      </c>
      <c r="BH137" s="96" t="str">
        <f aca="false">IF(Tasks[[#This Row],[Task Name]]="","",IF(Tasks[[#This Row],[_IsSummary]],SUM(INDEX(Tasks[_LeafAC],Tasks[[#This Row],[_Row]]+1):INDEX(Tasks[_LeafAC],Tasks[[#This Row],[_Row]]+Tasks[[#This Row],[_Descendants]])),Tasks[[#This Row],[_LeafAC]]))</f>
        <v/>
      </c>
      <c r="BI137" s="41" t="str">
        <f aca="false">IF(Tasks[[#This Row],[Task Name]]="","",MAX(1,N(Tasks[[#This Row],[Level]])))</f>
        <v/>
      </c>
      <c r="BJ137" s="41" t="n">
        <f aca="false">ROW()-ROW(Tasks[[#Headers],[ID]])</f>
        <v>132</v>
      </c>
      <c r="BK137" s="41" t="n">
        <f aca="false">IF(OR(Tasks[[#This Row],[Task Name]]="",Tasks[[#This Row],[_Level]]&lt;=1),0,IFERROR(LOOKUP(2,1/(Tasks[[#Headers],[_Level]]:Tasks[[#This Row],[_Level]]=Tasks[[#This Row],[_Level]]-1),ROW(Tasks[[#Headers],[_Level]]:Tasks[[#This Row],[_Level]])),0))</f>
        <v>0</v>
      </c>
      <c r="BL137" s="41" t="n">
        <f aca="false">IFERROR(N(INDEX(Tasks[_Level],Tasks[[#This Row],[_Row]]+1)),0)</f>
        <v>0</v>
      </c>
      <c r="BM137" s="99" t="b">
        <f aca="false">AND(Tasks[[#This Row],[Task Name]]&lt;&gt;"",Tasks[[#This Row],[_NextLevel]]&gt;Tasks[[#This Row],[_Level]])</f>
        <v>0</v>
      </c>
      <c r="BN137" s="41" t="n">
        <f aca="false">IF(Tasks[[#This Row],[_IsSummary]],COUNTIF(Tasks[WBS],Tasks[[#This Row],[WBS]]&amp;".*"),0)</f>
        <v>0</v>
      </c>
      <c r="BO137" s="41" t="n">
        <f aca="false">IF(AND(Tasks[[#This Row],[Task Name]]&lt;&gt;"",NOT(Tasks[[#This Row],[_IsSummary]])),1,0)</f>
        <v>0</v>
      </c>
      <c r="BP137" s="41" t="n">
        <f aca="false">IF(N(Tasks[[#This Row],[Pred1 UID]])=0,0,IFERROR(MATCH(Tasks[[#This Row],[Pred1 UID]],Tasks[UID],0),-1))</f>
        <v>0</v>
      </c>
      <c r="BQ137" s="41" t="n">
        <f aca="false">IF(N(Tasks[[#This Row],[Pred2 UID]])=0,0,IFERROR(MATCH(Tasks[[#This Row],[Pred2 UID]],Tasks[UID],0),-1))</f>
        <v>0</v>
      </c>
      <c r="BR137"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37" s="100" t="str">
        <f aca="false">IF(NOT(Tasks[[#This Row],[_IsLeaf]]=1),"",IF(N(Tasks[[#This Row],[Duration]])&lt;=0,Tasks[[#This Row],[_LeafCalcStart]],WORKDAY.INTL(Tasks[[#This Row],[_LeafCalcStart]],Tasks[[#This Row],[Duration]]-1,WorkWeek,Holidays)))</f>
        <v/>
      </c>
      <c r="BT137"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37"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37" s="41" t="n">
        <f aca="false">IF(NOT(Tasks[[#This Row],[_IsLeaf]]=1),0,IF(N(Tasks[[#This Row],[Actual Finish]])&gt;0,1,MIN(1,N(Tasks[[#This Row],[% Complete]]))))</f>
        <v>0</v>
      </c>
      <c r="BW137" s="41" t="n">
        <f aca="false">IF(OR(NOT(Tasks[[#This Row],[_IsLeaf]]=1),Tasks[[#This Row],[Resource]]=""),0,N(Tasks[[#This Row],[Duration]])*HoursPerDay*IF(Tasks[[#This Row],[Units]]="",DefaultUnits,Tasks[[#This Row],[Units]]))</f>
        <v>0</v>
      </c>
      <c r="BX137" s="41" t="n">
        <f aca="false">IF(Tasks[[#This Row],[_LeafWork]]=0,0,Tasks[[#This Row],[_LeafWork]]*IFERROR(INDEX(res_Rate,MATCH(Tasks[[#This Row],[Resource]],res_Name,0)),0))</f>
        <v>0</v>
      </c>
      <c r="BY13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3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3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3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37" s="41" t="n">
        <f aca="false">IF(NOT(Tasks[[#This Row],[_IsLeaf]]=1),0,MAX(_xlfn.MAXIFS(Tasks[_Row],Tasks[Pred1 UID],Tasks[[#This Row],[UID]]),_xlfn.MAXIFS(Tasks[_Row],Tasks[Pred2 UID],Tasks[[#This Row],[UID]])))</f>
        <v>0</v>
      </c>
      <c r="CD137"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37" s="100" t="str">
        <f aca="false">IF(NOT(Tasks[[#This Row],[_IsLeaf]]=1),"",MIN(ProjectFinish,IF(N(Tasks[[#This Row],[Deadline]])&gt;0,Tasks[[#This Row],[Deadline]],2958465),Tasks[[#This Row],[_SuccessorFinishLimit]]))</f>
        <v/>
      </c>
      <c r="CF137" s="100" t="str">
        <f aca="false">IF(NOT(Tasks[[#This Row],[_IsLeaf]]=1),"",IF(N(Tasks[[#This Row],[Duration]])&lt;=0,Tasks[[#This Row],[_LeafLateFinish]],WORKDAY.INTL(Tasks[[#This Row],[_LeafLateFinish]],-(Tasks[[#This Row],[Duration]]-1),WorkWeek,Holidays)))</f>
        <v/>
      </c>
      <c r="CG13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37" s="99" t="b">
        <f aca="false">AND(Tasks[[#This Row],[_IsLeaf]]=1,Tasks[[#This Row],[_LeafProgress]]&lt;1,N(Tasks[[#This Row],[_LeafTotalSlack]])&lt;=CriticalSlackDays)</f>
        <v>0</v>
      </c>
      <c r="CI137" s="100" t="str">
        <f aca="false">IF(Tasks[[#This Row],[Task Name]]="","",IF(Tasks[[#This Row],[_IsSummary]],MIN(INDEX(Tasks[_LeafCalcStart],Tasks[[#This Row],[_Row]]+1):INDEX(Tasks[_LeafCalcStart],Tasks[[#This Row],[_Row]]+Tasks[[#This Row],[_Descendants]])),Tasks[[#This Row],[_LeafCalcStart]]))</f>
        <v/>
      </c>
      <c r="CJ137" s="100" t="str">
        <f aca="false">IF(Tasks[[#This Row],[Task Name]]="","",IF(Tasks[[#This Row],[_IsSummary]],MAX(INDEX(Tasks[_LeafCalcFinish],Tasks[[#This Row],[_Row]]+1):INDEX(Tasks[_LeafCalcFinish],Tasks[[#This Row],[_Row]]+Tasks[[#This Row],[_Descendants]])),Tasks[[#This Row],[_LeafCalcFinish]]))</f>
        <v/>
      </c>
      <c r="CK13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3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37"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37"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37"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37"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37" s="41" t="n">
        <f aca="false">IF(AND(Tasks[[#This Row],[_IsLeaf]]=1,Tasks[[#This Row],[_LeafWork]]&gt;0),NETWORKDAYS.INTL(ProjectStart,Tasks[[#This Row],[_LeafFcstStart]],WorkWeek,Holidays),0)</f>
        <v>0</v>
      </c>
      <c r="CR137" s="41" t="n">
        <f aca="false">IF(AND(Tasks[[#This Row],[_IsLeaf]]=1,Tasks[[#This Row],[_LeafWork]]&gt;0),MAX(Tasks[[#This Row],[_StartWorkday]],NETWORKDAYS.INTL(ProjectStart,Tasks[[#This Row],[_LeafFcstFinish]],WorkWeek,Holidays)),0)</f>
        <v>0</v>
      </c>
      <c r="CS137" s="41" t="n">
        <f aca="false">IF(AND(Tasks[[#This Row],[_IsLeaf]]=1,Tasks[[#This Row],[_LeafWork]]&gt;0),Tasks[[#This Row],[_LeafWork]]/(Tasks[[#This Row],[_FinishWorkday]]-Tasks[[#This Row],[_StartWorkday]]+1),0)</f>
        <v>0</v>
      </c>
      <c r="CT137" s="41" t="n">
        <f aca="false">Tasks[[#This Row],[_WorkPerWorkday]]*(Tasks[[#This Row],[_StartWorkday]]-1)</f>
        <v>-0</v>
      </c>
      <c r="CU137" s="41" t="n">
        <f aca="false">IF(Tasks[[#This Row],[_IsLeaf]]=1,MAX(N(Tasks[[#This Row],[Duration]]),0.1),0)</f>
        <v>0</v>
      </c>
      <c r="CV137" s="41" t="n">
        <f aca="false">Tasks[[#This Row],[_WeightDur]]*Tasks[[#This Row],[_LeafProgress]]</f>
        <v>0</v>
      </c>
      <c r="CW13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3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3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3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37" s="41" t="str">
        <f aca="false">IF(Tasks[[#This Row],[Task Name]]="","",Tasks[[#This Row],[_Pred1UIDText]]&amp;IF(AND(Tasks[[#This Row],[_Pred1UIDText]]&lt;&gt;"",Tasks[[#This Row],[_Pred2UIDText]]&lt;&gt;""),",","")&amp;Tasks[[#This Row],[_Pred2UIDText]])</f>
        <v/>
      </c>
      <c r="DB137" s="41" t="str">
        <f aca="false">IF(AND(Tasks[[#This Row],[_IsLeaf]]=1,N(Tasks[[#This Row],[Duration]])=0,Tasks[[#This Row],[_LeafProgress]]&lt;1),Tasks[[#This Row],[_LeafFcstFinish]]+Tasks[[#This Row],[_Row]]/100000,"")</f>
        <v/>
      </c>
      <c r="DC13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37" s="41" t="n">
        <f aca="false">IF(NOT(Tasks[[#This Row],[_IsLeaf]]=1),0,IF(Tasks[[#This Row],[Baseline Cost]]="",Tasks[[#This Row],[_LeafCost]],N(Tasks[[#This Row],[Baseline Cost]])))</f>
        <v>0</v>
      </c>
      <c r="DE137" s="41" t="n">
        <f aca="false">Tasks[[#This Row],[_LeafBudget]]*Tasks[[#This Row],[_PlannedPct]]</f>
        <v>0</v>
      </c>
      <c r="DF137" s="41" t="n">
        <f aca="false">Tasks[[#This Row],[_LeafBudget]]*Tasks[[#This Row],[_LeafProgress]]</f>
        <v>0</v>
      </c>
      <c r="DG137" s="41" t="n">
        <f aca="false">IF(NOT(Tasks[[#This Row],[_IsLeaf]]=1),0,IF(Tasks[[#This Row],[Actual Cost]]="",Tasks[[#This Row],[_LeafCost]]*Tasks[[#This Row],[_LeafProgress]],N(Tasks[[#This Row],[Actual Cost]])))</f>
        <v>0</v>
      </c>
      <c r="DH137" s="41" t="str">
        <f aca="false">IF(Tasks[[#This Row],[Task Name]]="","",LEFT(Tasks[[#This Row],[WBS]],FIND(".",Tasks[[#This Row],[WBS]]&amp;".")-1))</f>
        <v/>
      </c>
      <c r="DI137" s="41" t="str">
        <f aca="false">IF(AND(Tasks[[#This Row],[Task Name]]&lt;&gt;"",Tasks[[#This Row],[_Level]]=1),Tasks[[#This Row],[_Row]],"")</f>
        <v/>
      </c>
      <c r="DJ137" s="41" t="str">
        <f aca="false">IF(AND(Tasks[[#This Row],[_IsLeaf]]=1,N(Tasks[[#This Row],[Duration]])=0),Tasks[[#This Row],[Planned Finish]]+Tasks[[#This Row],[_Row]]/100000,"")</f>
        <v/>
      </c>
      <c r="DK137" s="41" t="str">
        <f aca="false">IF(AND(Tasks[[#This Row],[_IsLeaf]]=1,Tasks[[#This Row],[_LeafProgress]]&lt;1,OR(N(Tasks[[#This Row],[Finish Var]])&gt;0,Tasks[[#This Row],[Status]]="Late Start")),MAX(0,Tasks[[#This Row],[Finish Var]])+1-Tasks[[#This Row],[_Row]]/1000000,"")</f>
        <v/>
      </c>
      <c r="DL137" s="41" t="str">
        <f aca="false">IF(AND(Tasks[[#This Row],[_IsLeaf]]=1,N(Tasks[[#This Row],[Actual Start]])=0,Tasks[[#This Row],[_LeafFcstStart]]&gt;=StatusDate,Tasks[[#This Row],[_LeafFcstStart]]&lt;=LookaheadEnd),Tasks[[#This Row],[_LeafFcstStart]]+Tasks[[#This Row],[_Row]]/100000,"")</f>
        <v/>
      </c>
      <c r="DM137" s="41" t="str">
        <f aca="false">IF(AND(Tasks[[#This Row],[_IsLeaf]]=1,Tasks[[#This Row],[_LeafProgress]]&lt;1,Tasks[[#This Row],[_LeafFcstFinish]]&gt;=StatusDate,Tasks[[#This Row],[_LeafFcstFinish]]&lt;=LookaheadEnd),Tasks[[#This Row],[_LeafFcstFinish]]+Tasks[[#This Row],[_Row]]/100000,"")</f>
        <v/>
      </c>
      <c r="DN137" s="41" t="str">
        <f aca="false">IF(Tasks[[#This Row],[_LeafCritical]],Tasks[[#This Row],[_LeafFcstStart]]+Tasks[[#This Row],[_Row]]/100000,"")</f>
        <v/>
      </c>
      <c r="DO137" s="41" t="n">
        <f aca="false">Tasks[[#This Row],[_LeafWork]]*Tasks[[#This Row],[_LeafProgress]]</f>
        <v>0</v>
      </c>
      <c r="DP137" s="100" t="str">
        <f aca="false">IF(AND(Tasks[[#This Row],[_IsLeaf]]=1,Tasks[[#This Row],[_LeafProgress]]&gt;=1),IF(N(Tasks[[#This Row],[Actual Finish]])&gt;0,Tasks[[#This Row],[Actual Finish]],Tasks[[#This Row],[_LeafFcstFinish]]),"")</f>
        <v/>
      </c>
      <c r="DQ137" s="41" t="n">
        <f aca="false">IF(Tasks[[#This Row],[_IsLeaf]]=1,N(Tasks[[#This Row],[Story Points]]),0)</f>
        <v>0</v>
      </c>
      <c r="DR137" s="41" t="str">
        <f aca="false">IF(AND(Tasks[[#This Row],[_IsLeaf]]=1,CurrentSprint&lt;&gt;"",Tasks[[#This Row],[Sprint]]=CurrentSprint),Tasks[[#This Row],[_Row]],"")</f>
        <v/>
      </c>
    </row>
    <row r="138" customFormat="false" ht="15" hidden="false" customHeight="false" outlineLevel="0" collapsed="false">
      <c r="A138" s="28" t="str">
        <f aca="false">IF(Tasks[[#This Row],[Task Name]]="","",COUNTA(Tasks[[#Headers],[Task Name]]:Tasks[[#This Row],[Task Name]])-1)</f>
        <v/>
      </c>
      <c r="B138" s="29" t="n">
        <v>133</v>
      </c>
      <c r="C13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8" s="29"/>
      <c r="E138" s="30"/>
      <c r="F138" s="29"/>
      <c r="G138" s="29"/>
      <c r="H138" s="29"/>
      <c r="I138" s="29"/>
      <c r="J138" s="29"/>
      <c r="K138" s="29"/>
      <c r="L138" s="29"/>
      <c r="M138" s="29"/>
      <c r="N138" s="73"/>
      <c r="O138" s="73"/>
      <c r="P138" s="25" t="str">
        <f aca="false">IF(Tasks[[#This Row],[Task Name]]="","",IF(N(Tasks[[#This Row],[Baseline Start]])&gt;0,Tasks[[#This Row],[Baseline Start]],Tasks[[#This Row],[_CalcStart]]))</f>
        <v/>
      </c>
      <c r="Q138" s="25" t="str">
        <f aca="false">IF(Tasks[[#This Row],[Task Name]]="","",IF(N(Tasks[[#This Row],[Baseline Finish]])&gt;0,Tasks[[#This Row],[Baseline Finish]],Tasks[[#This Row],[_CalcFinish]]))</f>
        <v/>
      </c>
      <c r="R138" s="73"/>
      <c r="S138" s="73"/>
      <c r="T138" s="25" t="str">
        <f aca="false">IF(Tasks[[#This Row],[Task Name]]="","",IF(Tasks[[#This Row],[_IsSummary]],MIN(INDEX(Tasks[_LeafFcstStart],Tasks[[#This Row],[_Row]]+1):INDEX(Tasks[_LeafFcstStart],Tasks[[#This Row],[_Row]]+Tasks[[#This Row],[_Descendants]])),Tasks[[#This Row],[_LeafFcstStart]]))</f>
        <v/>
      </c>
      <c r="U138" s="25" t="str">
        <f aca="false">IF(Tasks[[#This Row],[Task Name]]="","",IF(Tasks[[#This Row],[_IsSummary]],MAX(INDEX(Tasks[_LeafFcstFinish],Tasks[[#This Row],[_Row]]+1):INDEX(Tasks[_LeafFcstFinish],Tasks[[#This Row],[_Row]]+Tasks[[#This Row],[_Descendants]])),Tasks[[#This Row],[_LeafFcstFinish]]))</f>
        <v/>
      </c>
      <c r="V13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3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8" s="25" t="str">
        <f aca="false">IF(Tasks[[#This Row],[Task Name]]="","",IF(Tasks[[#This Row],[_IsSummary]],MIN(INDEX(Tasks[_LeafLateStart],Tasks[[#This Row],[_Row]]+1):INDEX(Tasks[_LeafLateStart],Tasks[[#This Row],[_Row]]+Tasks[[#This Row],[_Descendants]])),Tasks[[#This Row],[_LeafLateStart]]))</f>
        <v/>
      </c>
      <c r="Y138" s="25" t="str">
        <f aca="false">IF(Tasks[[#This Row],[Task Name]]="","",IF(Tasks[[#This Row],[_IsSummary]],MAX(INDEX(Tasks[_LeafLateFinish],Tasks[[#This Row],[_Row]]+1):INDEX(Tasks[_LeafLateFinish],Tasks[[#This Row],[_Row]]+Tasks[[#This Row],[_Descendants]])),Tasks[[#This Row],[_LeafLateFinish]]))</f>
        <v/>
      </c>
      <c r="Z138" s="43" t="str">
        <f aca="false">IF(Tasks[[#This Row],[Task Name]]="","",IF(Tasks[[#This Row],[_IsSummary]],MIN(INDEX(Tasks[_LeafTotalSlack],Tasks[[#This Row],[_Row]]+1):INDEX(Tasks[_LeafTotalSlack],Tasks[[#This Row],[_Row]]+Tasks[[#This Row],[_Descendants]])),Tasks[[#This Row],[_LeafTotalSlack]]))</f>
        <v/>
      </c>
      <c r="AA13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8" s="28" t="str">
        <f aca="false">IF(Tasks[[#This Row],[Task Name]]="","",IF(IF(Tasks[[#This Row],[_IsSummary]],COUNTIF(INDEX(Tasks[_LeafCritical],Tasks[[#This Row],[_Row]]+1):INDEX(Tasks[_LeafCritical],Tasks[[#This Row],[_Row]]+Tasks[[#This Row],[_Descendants]]),TRUE())&gt;0,Tasks[[#This Row],[_LeafCritical]]),"Yes",""))</f>
        <v/>
      </c>
      <c r="AC13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8" s="24" t="str">
        <f aca="false">IF(Tasks[[#This Row],[Task Name]]="","",TRIM(IF(Tasks[[#This Row],[_Pred1Problem]]&lt;&gt;"","Pred 1: "&amp;Tasks[[#This Row],[_Pred1Problem]]&amp;". ","")&amp;IF(Tasks[[#This Row],[_Pred2Problem]]&lt;&gt;"","Pred 2: "&amp;Tasks[[#This Row],[_Pred2Problem]]&amp;".","")))</f>
        <v/>
      </c>
      <c r="AE138" s="88"/>
      <c r="AF138"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8" s="28" t="str">
        <f aca="false">IF(Tasks[[#This Row],[Task Name]]="","",IF(Tasks[[#This Row],[Progress]]&gt;=1,"Complete",IF(OR(N(Tasks[[#This Row],[Actual Start]])&gt;0,Tasks[[#This Row],[Progress]]&gt;0),IF(Tasks[[#This Row],[Finish Var]]&gt;0,"Behind","In Progress"),IF(Tasks[[#This Row],[Planned Start]]&lt;StatusDate,"Late Start","Not Started"))))</f>
        <v/>
      </c>
      <c r="AH138" s="30"/>
      <c r="AI138" s="88"/>
      <c r="AJ138" s="95" t="str">
        <f aca="false">IF(Tasks[[#This Row],[Task Name]]="","",IF(Tasks[[#This Row],[_IsSummary]],SUM(INDEX(Tasks[_LeafWork],Tasks[[#This Row],[_Row]]+1):INDEX(Tasks[_LeafWork],Tasks[[#This Row],[_Row]]+Tasks[[#This Row],[_Descendants]])),Tasks[[#This Row],[_LeafWork]]))</f>
        <v/>
      </c>
      <c r="AK138" s="96" t="str">
        <f aca="false">IF(Tasks[[#This Row],[Task Name]]="","",IF(Tasks[[#This Row],[_IsSummary]],SUM(INDEX(Tasks[_LeafCost],Tasks[[#This Row],[_Row]]+1):INDEX(Tasks[_LeafCost],Tasks[[#This Row],[_Row]]+Tasks[[#This Row],[_Descendants]])),Tasks[[#This Row],[_LeafCost]]))</f>
        <v/>
      </c>
      <c r="AL138" s="97"/>
      <c r="AM138" s="29"/>
      <c r="AN13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38" s="82"/>
      <c r="AP138" s="24" t="str">
        <f aca="false">IF(Tasks[[#This Row],[Task Name]]="","",Tasks[[#This Row],[_Pred1IDText]]&amp;IF(AND(Tasks[[#This Row],[_Pred1IDText]]&lt;&gt;"",Tasks[[#This Row],[_Pred2IDText]]&lt;&gt;""),",","")&amp;Tasks[[#This Row],[_Pred2IDText]])</f>
        <v/>
      </c>
      <c r="AQ138" s="30"/>
      <c r="AR138" s="25" t="str">
        <f aca="false">IF(Tasks[[#This Row],[Task Name]]="","",Tasks[[#This Row],[Forecast Start]])</f>
        <v/>
      </c>
      <c r="AS138" s="25" t="str">
        <f aca="false">IF(Tasks[[#This Row],[Task Name]]="","",Tasks[[#This Row],[Forecast Finish]])</f>
        <v/>
      </c>
      <c r="AT138" s="28" t="str">
        <f aca="false">IF(Tasks[[#This Row],[Task Name]]="","",IF(Tasks[[#This Row],[_IsSummary]],NETWORKDAYS.INTL(Tasks[[#This Row],[Forecast Start]],Tasks[[#This Row],[Forecast Finish]],WorkWeek,Holidays),N(Tasks[[#This Row],[Duration]])))</f>
        <v/>
      </c>
      <c r="AU138" s="95" t="str">
        <f aca="false">IF(Tasks[[#This Row],[Task Name]]="","",Tasks[[#This Row],[Work]])</f>
        <v/>
      </c>
      <c r="AV138" s="96" t="str">
        <f aca="false">IF(Tasks[[#This Row],[Task Name]]="","",Tasks[[#This Row],[Cost]])</f>
        <v/>
      </c>
      <c r="AW138" s="73"/>
      <c r="AX138" s="73"/>
      <c r="AY138" s="29"/>
      <c r="AZ138" s="98"/>
      <c r="BA138" s="97"/>
      <c r="BB138" s="28" t="str">
        <f aca="false">IF(OR(Tasks[[#This Row],[Task Name]]="",Tasks[[#This Row],[Baseline Duration]]=""),"",Tasks[[#This Row],[BL Source Duration]]-N(Tasks[[#This Row],[Baseline Duration]]))</f>
        <v/>
      </c>
      <c r="BC138" s="95" t="str">
        <f aca="false">IF(OR(Tasks[[#This Row],[Task Name]]="",Tasks[[#This Row],[Baseline Work]]=""),"",Tasks[[#This Row],[Work]]-N(Tasks[[#This Row],[Baseline Work]]))</f>
        <v/>
      </c>
      <c r="BD138" s="96" t="str">
        <f aca="false">IF(OR(Tasks[[#This Row],[Task Name]]="",Tasks[[#This Row],[Baseline Cost]]=""),"",Tasks[[#This Row],[Cost]]-N(Tasks[[#This Row],[Baseline Cost]]))</f>
        <v/>
      </c>
      <c r="BE138" s="96" t="str">
        <f aca="false">IF(Tasks[[#This Row],[Task Name]]="","",IF(Tasks[[#This Row],[_IsSummary]],SUM(INDEX(Tasks[_LeafBudget],Tasks[[#This Row],[_Row]]+1):INDEX(Tasks[_LeafBudget],Tasks[[#This Row],[_Row]]+Tasks[[#This Row],[_Descendants]])),Tasks[[#This Row],[_LeafBudget]]))</f>
        <v/>
      </c>
      <c r="BF138" s="96" t="str">
        <f aca="false">IF(Tasks[[#This Row],[Task Name]]="","",IF(Tasks[[#This Row],[_IsSummary]],SUM(INDEX(Tasks[_LeafPV],Tasks[[#This Row],[_Row]]+1):INDEX(Tasks[_LeafPV],Tasks[[#This Row],[_Row]]+Tasks[[#This Row],[_Descendants]])),Tasks[[#This Row],[_LeafPV]]))</f>
        <v/>
      </c>
      <c r="BG138" s="96" t="str">
        <f aca="false">IF(Tasks[[#This Row],[Task Name]]="","",IF(Tasks[[#This Row],[_IsSummary]],SUM(INDEX(Tasks[_LeafEV],Tasks[[#This Row],[_Row]]+1):INDEX(Tasks[_LeafEV],Tasks[[#This Row],[_Row]]+Tasks[[#This Row],[_Descendants]])),Tasks[[#This Row],[_LeafEV]]))</f>
        <v/>
      </c>
      <c r="BH138" s="96" t="str">
        <f aca="false">IF(Tasks[[#This Row],[Task Name]]="","",IF(Tasks[[#This Row],[_IsSummary]],SUM(INDEX(Tasks[_LeafAC],Tasks[[#This Row],[_Row]]+1):INDEX(Tasks[_LeafAC],Tasks[[#This Row],[_Row]]+Tasks[[#This Row],[_Descendants]])),Tasks[[#This Row],[_LeafAC]]))</f>
        <v/>
      </c>
      <c r="BI138" s="41" t="str">
        <f aca="false">IF(Tasks[[#This Row],[Task Name]]="","",MAX(1,N(Tasks[[#This Row],[Level]])))</f>
        <v/>
      </c>
      <c r="BJ138" s="41" t="n">
        <f aca="false">ROW()-ROW(Tasks[[#Headers],[ID]])</f>
        <v>133</v>
      </c>
      <c r="BK138" s="41" t="n">
        <f aca="false">IF(OR(Tasks[[#This Row],[Task Name]]="",Tasks[[#This Row],[_Level]]&lt;=1),0,IFERROR(LOOKUP(2,1/(Tasks[[#Headers],[_Level]]:Tasks[[#This Row],[_Level]]=Tasks[[#This Row],[_Level]]-1),ROW(Tasks[[#Headers],[_Level]]:Tasks[[#This Row],[_Level]])),0))</f>
        <v>0</v>
      </c>
      <c r="BL138" s="41" t="n">
        <f aca="false">IFERROR(N(INDEX(Tasks[_Level],Tasks[[#This Row],[_Row]]+1)),0)</f>
        <v>0</v>
      </c>
      <c r="BM138" s="99" t="b">
        <f aca="false">AND(Tasks[[#This Row],[Task Name]]&lt;&gt;"",Tasks[[#This Row],[_NextLevel]]&gt;Tasks[[#This Row],[_Level]])</f>
        <v>0</v>
      </c>
      <c r="BN138" s="41" t="n">
        <f aca="false">IF(Tasks[[#This Row],[_IsSummary]],COUNTIF(Tasks[WBS],Tasks[[#This Row],[WBS]]&amp;".*"),0)</f>
        <v>0</v>
      </c>
      <c r="BO138" s="41" t="n">
        <f aca="false">IF(AND(Tasks[[#This Row],[Task Name]]&lt;&gt;"",NOT(Tasks[[#This Row],[_IsSummary]])),1,0)</f>
        <v>0</v>
      </c>
      <c r="BP138" s="41" t="n">
        <f aca="false">IF(N(Tasks[[#This Row],[Pred1 UID]])=0,0,IFERROR(MATCH(Tasks[[#This Row],[Pred1 UID]],Tasks[UID],0),-1))</f>
        <v>0</v>
      </c>
      <c r="BQ138" s="41" t="n">
        <f aca="false">IF(N(Tasks[[#This Row],[Pred2 UID]])=0,0,IFERROR(MATCH(Tasks[[#This Row],[Pred2 UID]],Tasks[UID],0),-1))</f>
        <v>0</v>
      </c>
      <c r="BR138"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38" s="100" t="str">
        <f aca="false">IF(NOT(Tasks[[#This Row],[_IsLeaf]]=1),"",IF(N(Tasks[[#This Row],[Duration]])&lt;=0,Tasks[[#This Row],[_LeafCalcStart]],WORKDAY.INTL(Tasks[[#This Row],[_LeafCalcStart]],Tasks[[#This Row],[Duration]]-1,WorkWeek,Holidays)))</f>
        <v/>
      </c>
      <c r="BT138"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38"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38" s="41" t="n">
        <f aca="false">IF(NOT(Tasks[[#This Row],[_IsLeaf]]=1),0,IF(N(Tasks[[#This Row],[Actual Finish]])&gt;0,1,MIN(1,N(Tasks[[#This Row],[% Complete]]))))</f>
        <v>0</v>
      </c>
      <c r="BW138" s="41" t="n">
        <f aca="false">IF(OR(NOT(Tasks[[#This Row],[_IsLeaf]]=1),Tasks[[#This Row],[Resource]]=""),0,N(Tasks[[#This Row],[Duration]])*HoursPerDay*IF(Tasks[[#This Row],[Units]]="",DefaultUnits,Tasks[[#This Row],[Units]]))</f>
        <v>0</v>
      </c>
      <c r="BX138" s="41" t="n">
        <f aca="false">IF(Tasks[[#This Row],[_LeafWork]]=0,0,Tasks[[#This Row],[_LeafWork]]*IFERROR(INDEX(res_Rate,MATCH(Tasks[[#This Row],[Resource]],res_Name,0)),0))</f>
        <v>0</v>
      </c>
      <c r="BY13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3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3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3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38" s="41" t="n">
        <f aca="false">IF(NOT(Tasks[[#This Row],[_IsLeaf]]=1),0,MAX(_xlfn.MAXIFS(Tasks[_Row],Tasks[Pred1 UID],Tasks[[#This Row],[UID]]),_xlfn.MAXIFS(Tasks[_Row],Tasks[Pred2 UID],Tasks[[#This Row],[UID]])))</f>
        <v>0</v>
      </c>
      <c r="CD138"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38" s="100" t="str">
        <f aca="false">IF(NOT(Tasks[[#This Row],[_IsLeaf]]=1),"",MIN(ProjectFinish,IF(N(Tasks[[#This Row],[Deadline]])&gt;0,Tasks[[#This Row],[Deadline]],2958465),Tasks[[#This Row],[_SuccessorFinishLimit]]))</f>
        <v/>
      </c>
      <c r="CF138" s="100" t="str">
        <f aca="false">IF(NOT(Tasks[[#This Row],[_IsLeaf]]=1),"",IF(N(Tasks[[#This Row],[Duration]])&lt;=0,Tasks[[#This Row],[_LeafLateFinish]],WORKDAY.INTL(Tasks[[#This Row],[_LeafLateFinish]],-(Tasks[[#This Row],[Duration]]-1),WorkWeek,Holidays)))</f>
        <v/>
      </c>
      <c r="CG13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38" s="99" t="b">
        <f aca="false">AND(Tasks[[#This Row],[_IsLeaf]]=1,Tasks[[#This Row],[_LeafProgress]]&lt;1,N(Tasks[[#This Row],[_LeafTotalSlack]])&lt;=CriticalSlackDays)</f>
        <v>0</v>
      </c>
      <c r="CI138" s="100" t="str">
        <f aca="false">IF(Tasks[[#This Row],[Task Name]]="","",IF(Tasks[[#This Row],[_IsSummary]],MIN(INDEX(Tasks[_LeafCalcStart],Tasks[[#This Row],[_Row]]+1):INDEX(Tasks[_LeafCalcStart],Tasks[[#This Row],[_Row]]+Tasks[[#This Row],[_Descendants]])),Tasks[[#This Row],[_LeafCalcStart]]))</f>
        <v/>
      </c>
      <c r="CJ138" s="100" t="str">
        <f aca="false">IF(Tasks[[#This Row],[Task Name]]="","",IF(Tasks[[#This Row],[_IsSummary]],MAX(INDEX(Tasks[_LeafCalcFinish],Tasks[[#This Row],[_Row]]+1):INDEX(Tasks[_LeafCalcFinish],Tasks[[#This Row],[_Row]]+Tasks[[#This Row],[_Descendants]])),Tasks[[#This Row],[_LeafCalcFinish]]))</f>
        <v/>
      </c>
      <c r="CK13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3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38"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38"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38"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38"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38" s="41" t="n">
        <f aca="false">IF(AND(Tasks[[#This Row],[_IsLeaf]]=1,Tasks[[#This Row],[_LeafWork]]&gt;0),NETWORKDAYS.INTL(ProjectStart,Tasks[[#This Row],[_LeafFcstStart]],WorkWeek,Holidays),0)</f>
        <v>0</v>
      </c>
      <c r="CR138" s="41" t="n">
        <f aca="false">IF(AND(Tasks[[#This Row],[_IsLeaf]]=1,Tasks[[#This Row],[_LeafWork]]&gt;0),MAX(Tasks[[#This Row],[_StartWorkday]],NETWORKDAYS.INTL(ProjectStart,Tasks[[#This Row],[_LeafFcstFinish]],WorkWeek,Holidays)),0)</f>
        <v>0</v>
      </c>
      <c r="CS138" s="41" t="n">
        <f aca="false">IF(AND(Tasks[[#This Row],[_IsLeaf]]=1,Tasks[[#This Row],[_LeafWork]]&gt;0),Tasks[[#This Row],[_LeafWork]]/(Tasks[[#This Row],[_FinishWorkday]]-Tasks[[#This Row],[_StartWorkday]]+1),0)</f>
        <v>0</v>
      </c>
      <c r="CT138" s="41" t="n">
        <f aca="false">Tasks[[#This Row],[_WorkPerWorkday]]*(Tasks[[#This Row],[_StartWorkday]]-1)</f>
        <v>-0</v>
      </c>
      <c r="CU138" s="41" t="n">
        <f aca="false">IF(Tasks[[#This Row],[_IsLeaf]]=1,MAX(N(Tasks[[#This Row],[Duration]]),0.1),0)</f>
        <v>0</v>
      </c>
      <c r="CV138" s="41" t="n">
        <f aca="false">Tasks[[#This Row],[_WeightDur]]*Tasks[[#This Row],[_LeafProgress]]</f>
        <v>0</v>
      </c>
      <c r="CW13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3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3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3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38" s="41" t="str">
        <f aca="false">IF(Tasks[[#This Row],[Task Name]]="","",Tasks[[#This Row],[_Pred1UIDText]]&amp;IF(AND(Tasks[[#This Row],[_Pred1UIDText]]&lt;&gt;"",Tasks[[#This Row],[_Pred2UIDText]]&lt;&gt;""),",","")&amp;Tasks[[#This Row],[_Pred2UIDText]])</f>
        <v/>
      </c>
      <c r="DB138" s="41" t="str">
        <f aca="false">IF(AND(Tasks[[#This Row],[_IsLeaf]]=1,N(Tasks[[#This Row],[Duration]])=0,Tasks[[#This Row],[_LeafProgress]]&lt;1),Tasks[[#This Row],[_LeafFcstFinish]]+Tasks[[#This Row],[_Row]]/100000,"")</f>
        <v/>
      </c>
      <c r="DC13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38" s="41" t="n">
        <f aca="false">IF(NOT(Tasks[[#This Row],[_IsLeaf]]=1),0,IF(Tasks[[#This Row],[Baseline Cost]]="",Tasks[[#This Row],[_LeafCost]],N(Tasks[[#This Row],[Baseline Cost]])))</f>
        <v>0</v>
      </c>
      <c r="DE138" s="41" t="n">
        <f aca="false">Tasks[[#This Row],[_LeafBudget]]*Tasks[[#This Row],[_PlannedPct]]</f>
        <v>0</v>
      </c>
      <c r="DF138" s="41" t="n">
        <f aca="false">Tasks[[#This Row],[_LeafBudget]]*Tasks[[#This Row],[_LeafProgress]]</f>
        <v>0</v>
      </c>
      <c r="DG138" s="41" t="n">
        <f aca="false">IF(NOT(Tasks[[#This Row],[_IsLeaf]]=1),0,IF(Tasks[[#This Row],[Actual Cost]]="",Tasks[[#This Row],[_LeafCost]]*Tasks[[#This Row],[_LeafProgress]],N(Tasks[[#This Row],[Actual Cost]])))</f>
        <v>0</v>
      </c>
      <c r="DH138" s="41" t="str">
        <f aca="false">IF(Tasks[[#This Row],[Task Name]]="","",LEFT(Tasks[[#This Row],[WBS]],FIND(".",Tasks[[#This Row],[WBS]]&amp;".")-1))</f>
        <v/>
      </c>
      <c r="DI138" s="41" t="str">
        <f aca="false">IF(AND(Tasks[[#This Row],[Task Name]]&lt;&gt;"",Tasks[[#This Row],[_Level]]=1),Tasks[[#This Row],[_Row]],"")</f>
        <v/>
      </c>
      <c r="DJ138" s="41" t="str">
        <f aca="false">IF(AND(Tasks[[#This Row],[_IsLeaf]]=1,N(Tasks[[#This Row],[Duration]])=0),Tasks[[#This Row],[Planned Finish]]+Tasks[[#This Row],[_Row]]/100000,"")</f>
        <v/>
      </c>
      <c r="DK138" s="41" t="str">
        <f aca="false">IF(AND(Tasks[[#This Row],[_IsLeaf]]=1,Tasks[[#This Row],[_LeafProgress]]&lt;1,OR(N(Tasks[[#This Row],[Finish Var]])&gt;0,Tasks[[#This Row],[Status]]="Late Start")),MAX(0,Tasks[[#This Row],[Finish Var]])+1-Tasks[[#This Row],[_Row]]/1000000,"")</f>
        <v/>
      </c>
      <c r="DL138" s="41" t="str">
        <f aca="false">IF(AND(Tasks[[#This Row],[_IsLeaf]]=1,N(Tasks[[#This Row],[Actual Start]])=0,Tasks[[#This Row],[_LeafFcstStart]]&gt;=StatusDate,Tasks[[#This Row],[_LeafFcstStart]]&lt;=LookaheadEnd),Tasks[[#This Row],[_LeafFcstStart]]+Tasks[[#This Row],[_Row]]/100000,"")</f>
        <v/>
      </c>
      <c r="DM138" s="41" t="str">
        <f aca="false">IF(AND(Tasks[[#This Row],[_IsLeaf]]=1,Tasks[[#This Row],[_LeafProgress]]&lt;1,Tasks[[#This Row],[_LeafFcstFinish]]&gt;=StatusDate,Tasks[[#This Row],[_LeafFcstFinish]]&lt;=LookaheadEnd),Tasks[[#This Row],[_LeafFcstFinish]]+Tasks[[#This Row],[_Row]]/100000,"")</f>
        <v/>
      </c>
      <c r="DN138" s="41" t="str">
        <f aca="false">IF(Tasks[[#This Row],[_LeafCritical]],Tasks[[#This Row],[_LeafFcstStart]]+Tasks[[#This Row],[_Row]]/100000,"")</f>
        <v/>
      </c>
      <c r="DO138" s="41" t="n">
        <f aca="false">Tasks[[#This Row],[_LeafWork]]*Tasks[[#This Row],[_LeafProgress]]</f>
        <v>0</v>
      </c>
      <c r="DP138" s="100" t="str">
        <f aca="false">IF(AND(Tasks[[#This Row],[_IsLeaf]]=1,Tasks[[#This Row],[_LeafProgress]]&gt;=1),IF(N(Tasks[[#This Row],[Actual Finish]])&gt;0,Tasks[[#This Row],[Actual Finish]],Tasks[[#This Row],[_LeafFcstFinish]]),"")</f>
        <v/>
      </c>
      <c r="DQ138" s="41" t="n">
        <f aca="false">IF(Tasks[[#This Row],[_IsLeaf]]=1,N(Tasks[[#This Row],[Story Points]]),0)</f>
        <v>0</v>
      </c>
      <c r="DR138" s="41" t="str">
        <f aca="false">IF(AND(Tasks[[#This Row],[_IsLeaf]]=1,CurrentSprint&lt;&gt;"",Tasks[[#This Row],[Sprint]]=CurrentSprint),Tasks[[#This Row],[_Row]],"")</f>
        <v/>
      </c>
    </row>
    <row r="139" customFormat="false" ht="15" hidden="false" customHeight="false" outlineLevel="0" collapsed="false">
      <c r="A139" s="28" t="str">
        <f aca="false">IF(Tasks[[#This Row],[Task Name]]="","",COUNTA(Tasks[[#Headers],[Task Name]]:Tasks[[#This Row],[Task Name]])-1)</f>
        <v/>
      </c>
      <c r="B139" s="29" t="n">
        <v>134</v>
      </c>
      <c r="C13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9" s="29"/>
      <c r="E139" s="30"/>
      <c r="F139" s="29"/>
      <c r="G139" s="29"/>
      <c r="H139" s="29"/>
      <c r="I139" s="29"/>
      <c r="J139" s="29"/>
      <c r="K139" s="29"/>
      <c r="L139" s="29"/>
      <c r="M139" s="29"/>
      <c r="N139" s="73"/>
      <c r="O139" s="73"/>
      <c r="P139" s="25" t="str">
        <f aca="false">IF(Tasks[[#This Row],[Task Name]]="","",IF(N(Tasks[[#This Row],[Baseline Start]])&gt;0,Tasks[[#This Row],[Baseline Start]],Tasks[[#This Row],[_CalcStart]]))</f>
        <v/>
      </c>
      <c r="Q139" s="25" t="str">
        <f aca="false">IF(Tasks[[#This Row],[Task Name]]="","",IF(N(Tasks[[#This Row],[Baseline Finish]])&gt;0,Tasks[[#This Row],[Baseline Finish]],Tasks[[#This Row],[_CalcFinish]]))</f>
        <v/>
      </c>
      <c r="R139" s="73"/>
      <c r="S139" s="73"/>
      <c r="T139" s="25" t="str">
        <f aca="false">IF(Tasks[[#This Row],[Task Name]]="","",IF(Tasks[[#This Row],[_IsSummary]],MIN(INDEX(Tasks[_LeafFcstStart],Tasks[[#This Row],[_Row]]+1):INDEX(Tasks[_LeafFcstStart],Tasks[[#This Row],[_Row]]+Tasks[[#This Row],[_Descendants]])),Tasks[[#This Row],[_LeafFcstStart]]))</f>
        <v/>
      </c>
      <c r="U139" s="25" t="str">
        <f aca="false">IF(Tasks[[#This Row],[Task Name]]="","",IF(Tasks[[#This Row],[_IsSummary]],MAX(INDEX(Tasks[_LeafFcstFinish],Tasks[[#This Row],[_Row]]+1):INDEX(Tasks[_LeafFcstFinish],Tasks[[#This Row],[_Row]]+Tasks[[#This Row],[_Descendants]])),Tasks[[#This Row],[_LeafFcstFinish]]))</f>
        <v/>
      </c>
      <c r="V13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3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9" s="25" t="str">
        <f aca="false">IF(Tasks[[#This Row],[Task Name]]="","",IF(Tasks[[#This Row],[_IsSummary]],MIN(INDEX(Tasks[_LeafLateStart],Tasks[[#This Row],[_Row]]+1):INDEX(Tasks[_LeafLateStart],Tasks[[#This Row],[_Row]]+Tasks[[#This Row],[_Descendants]])),Tasks[[#This Row],[_LeafLateStart]]))</f>
        <v/>
      </c>
      <c r="Y139" s="25" t="str">
        <f aca="false">IF(Tasks[[#This Row],[Task Name]]="","",IF(Tasks[[#This Row],[_IsSummary]],MAX(INDEX(Tasks[_LeafLateFinish],Tasks[[#This Row],[_Row]]+1):INDEX(Tasks[_LeafLateFinish],Tasks[[#This Row],[_Row]]+Tasks[[#This Row],[_Descendants]])),Tasks[[#This Row],[_LeafLateFinish]]))</f>
        <v/>
      </c>
      <c r="Z139" s="43" t="str">
        <f aca="false">IF(Tasks[[#This Row],[Task Name]]="","",IF(Tasks[[#This Row],[_IsSummary]],MIN(INDEX(Tasks[_LeafTotalSlack],Tasks[[#This Row],[_Row]]+1):INDEX(Tasks[_LeafTotalSlack],Tasks[[#This Row],[_Row]]+Tasks[[#This Row],[_Descendants]])),Tasks[[#This Row],[_LeafTotalSlack]]))</f>
        <v/>
      </c>
      <c r="AA13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9" s="28" t="str">
        <f aca="false">IF(Tasks[[#This Row],[Task Name]]="","",IF(IF(Tasks[[#This Row],[_IsSummary]],COUNTIF(INDEX(Tasks[_LeafCritical],Tasks[[#This Row],[_Row]]+1):INDEX(Tasks[_LeafCritical],Tasks[[#This Row],[_Row]]+Tasks[[#This Row],[_Descendants]]),TRUE())&gt;0,Tasks[[#This Row],[_LeafCritical]]),"Yes",""))</f>
        <v/>
      </c>
      <c r="AC13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9" s="24" t="str">
        <f aca="false">IF(Tasks[[#This Row],[Task Name]]="","",TRIM(IF(Tasks[[#This Row],[_Pred1Problem]]&lt;&gt;"","Pred 1: "&amp;Tasks[[#This Row],[_Pred1Problem]]&amp;". ","")&amp;IF(Tasks[[#This Row],[_Pred2Problem]]&lt;&gt;"","Pred 2: "&amp;Tasks[[#This Row],[_Pred2Problem]]&amp;".","")))</f>
        <v/>
      </c>
      <c r="AE139" s="88"/>
      <c r="AF139"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9" s="28" t="str">
        <f aca="false">IF(Tasks[[#This Row],[Task Name]]="","",IF(Tasks[[#This Row],[Progress]]&gt;=1,"Complete",IF(OR(N(Tasks[[#This Row],[Actual Start]])&gt;0,Tasks[[#This Row],[Progress]]&gt;0),IF(Tasks[[#This Row],[Finish Var]]&gt;0,"Behind","In Progress"),IF(Tasks[[#This Row],[Planned Start]]&lt;StatusDate,"Late Start","Not Started"))))</f>
        <v/>
      </c>
      <c r="AH139" s="30"/>
      <c r="AI139" s="88"/>
      <c r="AJ139" s="95" t="str">
        <f aca="false">IF(Tasks[[#This Row],[Task Name]]="","",IF(Tasks[[#This Row],[_IsSummary]],SUM(INDEX(Tasks[_LeafWork],Tasks[[#This Row],[_Row]]+1):INDEX(Tasks[_LeafWork],Tasks[[#This Row],[_Row]]+Tasks[[#This Row],[_Descendants]])),Tasks[[#This Row],[_LeafWork]]))</f>
        <v/>
      </c>
      <c r="AK139" s="96" t="str">
        <f aca="false">IF(Tasks[[#This Row],[Task Name]]="","",IF(Tasks[[#This Row],[_IsSummary]],SUM(INDEX(Tasks[_LeafCost],Tasks[[#This Row],[_Row]]+1):INDEX(Tasks[_LeafCost],Tasks[[#This Row],[_Row]]+Tasks[[#This Row],[_Descendants]])),Tasks[[#This Row],[_LeafCost]]))</f>
        <v/>
      </c>
      <c r="AL139" s="97"/>
      <c r="AM139" s="29"/>
      <c r="AN13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39" s="82"/>
      <c r="AP139" s="24" t="str">
        <f aca="false">IF(Tasks[[#This Row],[Task Name]]="","",Tasks[[#This Row],[_Pred1IDText]]&amp;IF(AND(Tasks[[#This Row],[_Pred1IDText]]&lt;&gt;"",Tasks[[#This Row],[_Pred2IDText]]&lt;&gt;""),",","")&amp;Tasks[[#This Row],[_Pred2IDText]])</f>
        <v/>
      </c>
      <c r="AQ139" s="30"/>
      <c r="AR139" s="25" t="str">
        <f aca="false">IF(Tasks[[#This Row],[Task Name]]="","",Tasks[[#This Row],[Forecast Start]])</f>
        <v/>
      </c>
      <c r="AS139" s="25" t="str">
        <f aca="false">IF(Tasks[[#This Row],[Task Name]]="","",Tasks[[#This Row],[Forecast Finish]])</f>
        <v/>
      </c>
      <c r="AT139" s="28" t="str">
        <f aca="false">IF(Tasks[[#This Row],[Task Name]]="","",IF(Tasks[[#This Row],[_IsSummary]],NETWORKDAYS.INTL(Tasks[[#This Row],[Forecast Start]],Tasks[[#This Row],[Forecast Finish]],WorkWeek,Holidays),N(Tasks[[#This Row],[Duration]])))</f>
        <v/>
      </c>
      <c r="AU139" s="95" t="str">
        <f aca="false">IF(Tasks[[#This Row],[Task Name]]="","",Tasks[[#This Row],[Work]])</f>
        <v/>
      </c>
      <c r="AV139" s="96" t="str">
        <f aca="false">IF(Tasks[[#This Row],[Task Name]]="","",Tasks[[#This Row],[Cost]])</f>
        <v/>
      </c>
      <c r="AW139" s="73"/>
      <c r="AX139" s="73"/>
      <c r="AY139" s="29"/>
      <c r="AZ139" s="98"/>
      <c r="BA139" s="97"/>
      <c r="BB139" s="28" t="str">
        <f aca="false">IF(OR(Tasks[[#This Row],[Task Name]]="",Tasks[[#This Row],[Baseline Duration]]=""),"",Tasks[[#This Row],[BL Source Duration]]-N(Tasks[[#This Row],[Baseline Duration]]))</f>
        <v/>
      </c>
      <c r="BC139" s="95" t="str">
        <f aca="false">IF(OR(Tasks[[#This Row],[Task Name]]="",Tasks[[#This Row],[Baseline Work]]=""),"",Tasks[[#This Row],[Work]]-N(Tasks[[#This Row],[Baseline Work]]))</f>
        <v/>
      </c>
      <c r="BD139" s="96" t="str">
        <f aca="false">IF(OR(Tasks[[#This Row],[Task Name]]="",Tasks[[#This Row],[Baseline Cost]]=""),"",Tasks[[#This Row],[Cost]]-N(Tasks[[#This Row],[Baseline Cost]]))</f>
        <v/>
      </c>
      <c r="BE139" s="96" t="str">
        <f aca="false">IF(Tasks[[#This Row],[Task Name]]="","",IF(Tasks[[#This Row],[_IsSummary]],SUM(INDEX(Tasks[_LeafBudget],Tasks[[#This Row],[_Row]]+1):INDEX(Tasks[_LeafBudget],Tasks[[#This Row],[_Row]]+Tasks[[#This Row],[_Descendants]])),Tasks[[#This Row],[_LeafBudget]]))</f>
        <v/>
      </c>
      <c r="BF139" s="96" t="str">
        <f aca="false">IF(Tasks[[#This Row],[Task Name]]="","",IF(Tasks[[#This Row],[_IsSummary]],SUM(INDEX(Tasks[_LeafPV],Tasks[[#This Row],[_Row]]+1):INDEX(Tasks[_LeafPV],Tasks[[#This Row],[_Row]]+Tasks[[#This Row],[_Descendants]])),Tasks[[#This Row],[_LeafPV]]))</f>
        <v/>
      </c>
      <c r="BG139" s="96" t="str">
        <f aca="false">IF(Tasks[[#This Row],[Task Name]]="","",IF(Tasks[[#This Row],[_IsSummary]],SUM(INDEX(Tasks[_LeafEV],Tasks[[#This Row],[_Row]]+1):INDEX(Tasks[_LeafEV],Tasks[[#This Row],[_Row]]+Tasks[[#This Row],[_Descendants]])),Tasks[[#This Row],[_LeafEV]]))</f>
        <v/>
      </c>
      <c r="BH139" s="96" t="str">
        <f aca="false">IF(Tasks[[#This Row],[Task Name]]="","",IF(Tasks[[#This Row],[_IsSummary]],SUM(INDEX(Tasks[_LeafAC],Tasks[[#This Row],[_Row]]+1):INDEX(Tasks[_LeafAC],Tasks[[#This Row],[_Row]]+Tasks[[#This Row],[_Descendants]])),Tasks[[#This Row],[_LeafAC]]))</f>
        <v/>
      </c>
      <c r="BI139" s="41" t="str">
        <f aca="false">IF(Tasks[[#This Row],[Task Name]]="","",MAX(1,N(Tasks[[#This Row],[Level]])))</f>
        <v/>
      </c>
      <c r="BJ139" s="41" t="n">
        <f aca="false">ROW()-ROW(Tasks[[#Headers],[ID]])</f>
        <v>134</v>
      </c>
      <c r="BK139" s="41" t="n">
        <f aca="false">IF(OR(Tasks[[#This Row],[Task Name]]="",Tasks[[#This Row],[_Level]]&lt;=1),0,IFERROR(LOOKUP(2,1/(Tasks[[#Headers],[_Level]]:Tasks[[#This Row],[_Level]]=Tasks[[#This Row],[_Level]]-1),ROW(Tasks[[#Headers],[_Level]]:Tasks[[#This Row],[_Level]])),0))</f>
        <v>0</v>
      </c>
      <c r="BL139" s="41" t="n">
        <f aca="false">IFERROR(N(INDEX(Tasks[_Level],Tasks[[#This Row],[_Row]]+1)),0)</f>
        <v>0</v>
      </c>
      <c r="BM139" s="99" t="b">
        <f aca="false">AND(Tasks[[#This Row],[Task Name]]&lt;&gt;"",Tasks[[#This Row],[_NextLevel]]&gt;Tasks[[#This Row],[_Level]])</f>
        <v>0</v>
      </c>
      <c r="BN139" s="41" t="n">
        <f aca="false">IF(Tasks[[#This Row],[_IsSummary]],COUNTIF(Tasks[WBS],Tasks[[#This Row],[WBS]]&amp;".*"),0)</f>
        <v>0</v>
      </c>
      <c r="BO139" s="41" t="n">
        <f aca="false">IF(AND(Tasks[[#This Row],[Task Name]]&lt;&gt;"",NOT(Tasks[[#This Row],[_IsSummary]])),1,0)</f>
        <v>0</v>
      </c>
      <c r="BP139" s="41" t="n">
        <f aca="false">IF(N(Tasks[[#This Row],[Pred1 UID]])=0,0,IFERROR(MATCH(Tasks[[#This Row],[Pred1 UID]],Tasks[UID],0),-1))</f>
        <v>0</v>
      </c>
      <c r="BQ139" s="41" t="n">
        <f aca="false">IF(N(Tasks[[#This Row],[Pred2 UID]])=0,0,IFERROR(MATCH(Tasks[[#This Row],[Pred2 UID]],Tasks[UID],0),-1))</f>
        <v>0</v>
      </c>
      <c r="BR139"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39" s="100" t="str">
        <f aca="false">IF(NOT(Tasks[[#This Row],[_IsLeaf]]=1),"",IF(N(Tasks[[#This Row],[Duration]])&lt;=0,Tasks[[#This Row],[_LeafCalcStart]],WORKDAY.INTL(Tasks[[#This Row],[_LeafCalcStart]],Tasks[[#This Row],[Duration]]-1,WorkWeek,Holidays)))</f>
        <v/>
      </c>
      <c r="BT139"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39"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39" s="41" t="n">
        <f aca="false">IF(NOT(Tasks[[#This Row],[_IsLeaf]]=1),0,IF(N(Tasks[[#This Row],[Actual Finish]])&gt;0,1,MIN(1,N(Tasks[[#This Row],[% Complete]]))))</f>
        <v>0</v>
      </c>
      <c r="BW139" s="41" t="n">
        <f aca="false">IF(OR(NOT(Tasks[[#This Row],[_IsLeaf]]=1),Tasks[[#This Row],[Resource]]=""),0,N(Tasks[[#This Row],[Duration]])*HoursPerDay*IF(Tasks[[#This Row],[Units]]="",DefaultUnits,Tasks[[#This Row],[Units]]))</f>
        <v>0</v>
      </c>
      <c r="BX139" s="41" t="n">
        <f aca="false">IF(Tasks[[#This Row],[_LeafWork]]=0,0,Tasks[[#This Row],[_LeafWork]]*IFERROR(INDEX(res_Rate,MATCH(Tasks[[#This Row],[Resource]],res_Name,0)),0))</f>
        <v>0</v>
      </c>
      <c r="BY13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3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3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3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39" s="41" t="n">
        <f aca="false">IF(NOT(Tasks[[#This Row],[_IsLeaf]]=1),0,MAX(_xlfn.MAXIFS(Tasks[_Row],Tasks[Pred1 UID],Tasks[[#This Row],[UID]]),_xlfn.MAXIFS(Tasks[_Row],Tasks[Pred2 UID],Tasks[[#This Row],[UID]])))</f>
        <v>0</v>
      </c>
      <c r="CD139"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39" s="100" t="str">
        <f aca="false">IF(NOT(Tasks[[#This Row],[_IsLeaf]]=1),"",MIN(ProjectFinish,IF(N(Tasks[[#This Row],[Deadline]])&gt;0,Tasks[[#This Row],[Deadline]],2958465),Tasks[[#This Row],[_SuccessorFinishLimit]]))</f>
        <v/>
      </c>
      <c r="CF139" s="100" t="str">
        <f aca="false">IF(NOT(Tasks[[#This Row],[_IsLeaf]]=1),"",IF(N(Tasks[[#This Row],[Duration]])&lt;=0,Tasks[[#This Row],[_LeafLateFinish]],WORKDAY.INTL(Tasks[[#This Row],[_LeafLateFinish]],-(Tasks[[#This Row],[Duration]]-1),WorkWeek,Holidays)))</f>
        <v/>
      </c>
      <c r="CG13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39" s="99" t="b">
        <f aca="false">AND(Tasks[[#This Row],[_IsLeaf]]=1,Tasks[[#This Row],[_LeafProgress]]&lt;1,N(Tasks[[#This Row],[_LeafTotalSlack]])&lt;=CriticalSlackDays)</f>
        <v>0</v>
      </c>
      <c r="CI139" s="100" t="str">
        <f aca="false">IF(Tasks[[#This Row],[Task Name]]="","",IF(Tasks[[#This Row],[_IsSummary]],MIN(INDEX(Tasks[_LeafCalcStart],Tasks[[#This Row],[_Row]]+1):INDEX(Tasks[_LeafCalcStart],Tasks[[#This Row],[_Row]]+Tasks[[#This Row],[_Descendants]])),Tasks[[#This Row],[_LeafCalcStart]]))</f>
        <v/>
      </c>
      <c r="CJ139" s="100" t="str">
        <f aca="false">IF(Tasks[[#This Row],[Task Name]]="","",IF(Tasks[[#This Row],[_IsSummary]],MAX(INDEX(Tasks[_LeafCalcFinish],Tasks[[#This Row],[_Row]]+1):INDEX(Tasks[_LeafCalcFinish],Tasks[[#This Row],[_Row]]+Tasks[[#This Row],[_Descendants]])),Tasks[[#This Row],[_LeafCalcFinish]]))</f>
        <v/>
      </c>
      <c r="CK13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3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39"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39"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39"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39"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39" s="41" t="n">
        <f aca="false">IF(AND(Tasks[[#This Row],[_IsLeaf]]=1,Tasks[[#This Row],[_LeafWork]]&gt;0),NETWORKDAYS.INTL(ProjectStart,Tasks[[#This Row],[_LeafFcstStart]],WorkWeek,Holidays),0)</f>
        <v>0</v>
      </c>
      <c r="CR139" s="41" t="n">
        <f aca="false">IF(AND(Tasks[[#This Row],[_IsLeaf]]=1,Tasks[[#This Row],[_LeafWork]]&gt;0),MAX(Tasks[[#This Row],[_StartWorkday]],NETWORKDAYS.INTL(ProjectStart,Tasks[[#This Row],[_LeafFcstFinish]],WorkWeek,Holidays)),0)</f>
        <v>0</v>
      </c>
      <c r="CS139" s="41" t="n">
        <f aca="false">IF(AND(Tasks[[#This Row],[_IsLeaf]]=1,Tasks[[#This Row],[_LeafWork]]&gt;0),Tasks[[#This Row],[_LeafWork]]/(Tasks[[#This Row],[_FinishWorkday]]-Tasks[[#This Row],[_StartWorkday]]+1),0)</f>
        <v>0</v>
      </c>
      <c r="CT139" s="41" t="n">
        <f aca="false">Tasks[[#This Row],[_WorkPerWorkday]]*(Tasks[[#This Row],[_StartWorkday]]-1)</f>
        <v>-0</v>
      </c>
      <c r="CU139" s="41" t="n">
        <f aca="false">IF(Tasks[[#This Row],[_IsLeaf]]=1,MAX(N(Tasks[[#This Row],[Duration]]),0.1),0)</f>
        <v>0</v>
      </c>
      <c r="CV139" s="41" t="n">
        <f aca="false">Tasks[[#This Row],[_WeightDur]]*Tasks[[#This Row],[_LeafProgress]]</f>
        <v>0</v>
      </c>
      <c r="CW13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3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3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3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39" s="41" t="str">
        <f aca="false">IF(Tasks[[#This Row],[Task Name]]="","",Tasks[[#This Row],[_Pred1UIDText]]&amp;IF(AND(Tasks[[#This Row],[_Pred1UIDText]]&lt;&gt;"",Tasks[[#This Row],[_Pred2UIDText]]&lt;&gt;""),",","")&amp;Tasks[[#This Row],[_Pred2UIDText]])</f>
        <v/>
      </c>
      <c r="DB139" s="41" t="str">
        <f aca="false">IF(AND(Tasks[[#This Row],[_IsLeaf]]=1,N(Tasks[[#This Row],[Duration]])=0,Tasks[[#This Row],[_LeafProgress]]&lt;1),Tasks[[#This Row],[_LeafFcstFinish]]+Tasks[[#This Row],[_Row]]/100000,"")</f>
        <v/>
      </c>
      <c r="DC13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39" s="41" t="n">
        <f aca="false">IF(NOT(Tasks[[#This Row],[_IsLeaf]]=1),0,IF(Tasks[[#This Row],[Baseline Cost]]="",Tasks[[#This Row],[_LeafCost]],N(Tasks[[#This Row],[Baseline Cost]])))</f>
        <v>0</v>
      </c>
      <c r="DE139" s="41" t="n">
        <f aca="false">Tasks[[#This Row],[_LeafBudget]]*Tasks[[#This Row],[_PlannedPct]]</f>
        <v>0</v>
      </c>
      <c r="DF139" s="41" t="n">
        <f aca="false">Tasks[[#This Row],[_LeafBudget]]*Tasks[[#This Row],[_LeafProgress]]</f>
        <v>0</v>
      </c>
      <c r="DG139" s="41" t="n">
        <f aca="false">IF(NOT(Tasks[[#This Row],[_IsLeaf]]=1),0,IF(Tasks[[#This Row],[Actual Cost]]="",Tasks[[#This Row],[_LeafCost]]*Tasks[[#This Row],[_LeafProgress]],N(Tasks[[#This Row],[Actual Cost]])))</f>
        <v>0</v>
      </c>
      <c r="DH139" s="41" t="str">
        <f aca="false">IF(Tasks[[#This Row],[Task Name]]="","",LEFT(Tasks[[#This Row],[WBS]],FIND(".",Tasks[[#This Row],[WBS]]&amp;".")-1))</f>
        <v/>
      </c>
      <c r="DI139" s="41" t="str">
        <f aca="false">IF(AND(Tasks[[#This Row],[Task Name]]&lt;&gt;"",Tasks[[#This Row],[_Level]]=1),Tasks[[#This Row],[_Row]],"")</f>
        <v/>
      </c>
      <c r="DJ139" s="41" t="str">
        <f aca="false">IF(AND(Tasks[[#This Row],[_IsLeaf]]=1,N(Tasks[[#This Row],[Duration]])=0),Tasks[[#This Row],[Planned Finish]]+Tasks[[#This Row],[_Row]]/100000,"")</f>
        <v/>
      </c>
      <c r="DK139" s="41" t="str">
        <f aca="false">IF(AND(Tasks[[#This Row],[_IsLeaf]]=1,Tasks[[#This Row],[_LeafProgress]]&lt;1,OR(N(Tasks[[#This Row],[Finish Var]])&gt;0,Tasks[[#This Row],[Status]]="Late Start")),MAX(0,Tasks[[#This Row],[Finish Var]])+1-Tasks[[#This Row],[_Row]]/1000000,"")</f>
        <v/>
      </c>
      <c r="DL139" s="41" t="str">
        <f aca="false">IF(AND(Tasks[[#This Row],[_IsLeaf]]=1,N(Tasks[[#This Row],[Actual Start]])=0,Tasks[[#This Row],[_LeafFcstStart]]&gt;=StatusDate,Tasks[[#This Row],[_LeafFcstStart]]&lt;=LookaheadEnd),Tasks[[#This Row],[_LeafFcstStart]]+Tasks[[#This Row],[_Row]]/100000,"")</f>
        <v/>
      </c>
      <c r="DM139" s="41" t="str">
        <f aca="false">IF(AND(Tasks[[#This Row],[_IsLeaf]]=1,Tasks[[#This Row],[_LeafProgress]]&lt;1,Tasks[[#This Row],[_LeafFcstFinish]]&gt;=StatusDate,Tasks[[#This Row],[_LeafFcstFinish]]&lt;=LookaheadEnd),Tasks[[#This Row],[_LeafFcstFinish]]+Tasks[[#This Row],[_Row]]/100000,"")</f>
        <v/>
      </c>
      <c r="DN139" s="41" t="str">
        <f aca="false">IF(Tasks[[#This Row],[_LeafCritical]],Tasks[[#This Row],[_LeafFcstStart]]+Tasks[[#This Row],[_Row]]/100000,"")</f>
        <v/>
      </c>
      <c r="DO139" s="41" t="n">
        <f aca="false">Tasks[[#This Row],[_LeafWork]]*Tasks[[#This Row],[_LeafProgress]]</f>
        <v>0</v>
      </c>
      <c r="DP139" s="100" t="str">
        <f aca="false">IF(AND(Tasks[[#This Row],[_IsLeaf]]=1,Tasks[[#This Row],[_LeafProgress]]&gt;=1),IF(N(Tasks[[#This Row],[Actual Finish]])&gt;0,Tasks[[#This Row],[Actual Finish]],Tasks[[#This Row],[_LeafFcstFinish]]),"")</f>
        <v/>
      </c>
      <c r="DQ139" s="41" t="n">
        <f aca="false">IF(Tasks[[#This Row],[_IsLeaf]]=1,N(Tasks[[#This Row],[Story Points]]),0)</f>
        <v>0</v>
      </c>
      <c r="DR139" s="41" t="str">
        <f aca="false">IF(AND(Tasks[[#This Row],[_IsLeaf]]=1,CurrentSprint&lt;&gt;"",Tasks[[#This Row],[Sprint]]=CurrentSprint),Tasks[[#This Row],[_Row]],"")</f>
        <v/>
      </c>
    </row>
    <row r="140" customFormat="false" ht="15" hidden="false" customHeight="false" outlineLevel="0" collapsed="false">
      <c r="A140" s="28" t="str">
        <f aca="false">IF(Tasks[[#This Row],[Task Name]]="","",COUNTA(Tasks[[#Headers],[Task Name]]:Tasks[[#This Row],[Task Name]])-1)</f>
        <v/>
      </c>
      <c r="B140" s="29" t="n">
        <v>135</v>
      </c>
      <c r="C14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0" s="29"/>
      <c r="E140" s="30"/>
      <c r="F140" s="29"/>
      <c r="G140" s="29"/>
      <c r="H140" s="29"/>
      <c r="I140" s="29"/>
      <c r="J140" s="29"/>
      <c r="K140" s="29"/>
      <c r="L140" s="29"/>
      <c r="M140" s="29"/>
      <c r="N140" s="73"/>
      <c r="O140" s="73"/>
      <c r="P140" s="25" t="str">
        <f aca="false">IF(Tasks[[#This Row],[Task Name]]="","",IF(N(Tasks[[#This Row],[Baseline Start]])&gt;0,Tasks[[#This Row],[Baseline Start]],Tasks[[#This Row],[_CalcStart]]))</f>
        <v/>
      </c>
      <c r="Q140" s="25" t="str">
        <f aca="false">IF(Tasks[[#This Row],[Task Name]]="","",IF(N(Tasks[[#This Row],[Baseline Finish]])&gt;0,Tasks[[#This Row],[Baseline Finish]],Tasks[[#This Row],[_CalcFinish]]))</f>
        <v/>
      </c>
      <c r="R140" s="73"/>
      <c r="S140" s="73"/>
      <c r="T140" s="25" t="str">
        <f aca="false">IF(Tasks[[#This Row],[Task Name]]="","",IF(Tasks[[#This Row],[_IsSummary]],MIN(INDEX(Tasks[_LeafFcstStart],Tasks[[#This Row],[_Row]]+1):INDEX(Tasks[_LeafFcstStart],Tasks[[#This Row],[_Row]]+Tasks[[#This Row],[_Descendants]])),Tasks[[#This Row],[_LeafFcstStart]]))</f>
        <v/>
      </c>
      <c r="U140" s="25" t="str">
        <f aca="false">IF(Tasks[[#This Row],[Task Name]]="","",IF(Tasks[[#This Row],[_IsSummary]],MAX(INDEX(Tasks[_LeafFcstFinish],Tasks[[#This Row],[_Row]]+1):INDEX(Tasks[_LeafFcstFinish],Tasks[[#This Row],[_Row]]+Tasks[[#This Row],[_Descendants]])),Tasks[[#This Row],[_LeafFcstFinish]]))</f>
        <v/>
      </c>
      <c r="V14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4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0" s="25" t="str">
        <f aca="false">IF(Tasks[[#This Row],[Task Name]]="","",IF(Tasks[[#This Row],[_IsSummary]],MIN(INDEX(Tasks[_LeafLateStart],Tasks[[#This Row],[_Row]]+1):INDEX(Tasks[_LeafLateStart],Tasks[[#This Row],[_Row]]+Tasks[[#This Row],[_Descendants]])),Tasks[[#This Row],[_LeafLateStart]]))</f>
        <v/>
      </c>
      <c r="Y140" s="25" t="str">
        <f aca="false">IF(Tasks[[#This Row],[Task Name]]="","",IF(Tasks[[#This Row],[_IsSummary]],MAX(INDEX(Tasks[_LeafLateFinish],Tasks[[#This Row],[_Row]]+1):INDEX(Tasks[_LeafLateFinish],Tasks[[#This Row],[_Row]]+Tasks[[#This Row],[_Descendants]])),Tasks[[#This Row],[_LeafLateFinish]]))</f>
        <v/>
      </c>
      <c r="Z140" s="43" t="str">
        <f aca="false">IF(Tasks[[#This Row],[Task Name]]="","",IF(Tasks[[#This Row],[_IsSummary]],MIN(INDEX(Tasks[_LeafTotalSlack],Tasks[[#This Row],[_Row]]+1):INDEX(Tasks[_LeafTotalSlack],Tasks[[#This Row],[_Row]]+Tasks[[#This Row],[_Descendants]])),Tasks[[#This Row],[_LeafTotalSlack]]))</f>
        <v/>
      </c>
      <c r="AA14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0" s="28" t="str">
        <f aca="false">IF(Tasks[[#This Row],[Task Name]]="","",IF(IF(Tasks[[#This Row],[_IsSummary]],COUNTIF(INDEX(Tasks[_LeafCritical],Tasks[[#This Row],[_Row]]+1):INDEX(Tasks[_LeafCritical],Tasks[[#This Row],[_Row]]+Tasks[[#This Row],[_Descendants]]),TRUE())&gt;0,Tasks[[#This Row],[_LeafCritical]]),"Yes",""))</f>
        <v/>
      </c>
      <c r="AC14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0" s="24" t="str">
        <f aca="false">IF(Tasks[[#This Row],[Task Name]]="","",TRIM(IF(Tasks[[#This Row],[_Pred1Problem]]&lt;&gt;"","Pred 1: "&amp;Tasks[[#This Row],[_Pred1Problem]]&amp;". ","")&amp;IF(Tasks[[#This Row],[_Pred2Problem]]&lt;&gt;"","Pred 2: "&amp;Tasks[[#This Row],[_Pred2Problem]]&amp;".","")))</f>
        <v/>
      </c>
      <c r="AE140" s="88"/>
      <c r="AF140"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0" s="28" t="str">
        <f aca="false">IF(Tasks[[#This Row],[Task Name]]="","",IF(Tasks[[#This Row],[Progress]]&gt;=1,"Complete",IF(OR(N(Tasks[[#This Row],[Actual Start]])&gt;0,Tasks[[#This Row],[Progress]]&gt;0),IF(Tasks[[#This Row],[Finish Var]]&gt;0,"Behind","In Progress"),IF(Tasks[[#This Row],[Planned Start]]&lt;StatusDate,"Late Start","Not Started"))))</f>
        <v/>
      </c>
      <c r="AH140" s="30"/>
      <c r="AI140" s="88"/>
      <c r="AJ140" s="95" t="str">
        <f aca="false">IF(Tasks[[#This Row],[Task Name]]="","",IF(Tasks[[#This Row],[_IsSummary]],SUM(INDEX(Tasks[_LeafWork],Tasks[[#This Row],[_Row]]+1):INDEX(Tasks[_LeafWork],Tasks[[#This Row],[_Row]]+Tasks[[#This Row],[_Descendants]])),Tasks[[#This Row],[_LeafWork]]))</f>
        <v/>
      </c>
      <c r="AK140" s="96" t="str">
        <f aca="false">IF(Tasks[[#This Row],[Task Name]]="","",IF(Tasks[[#This Row],[_IsSummary]],SUM(INDEX(Tasks[_LeafCost],Tasks[[#This Row],[_Row]]+1):INDEX(Tasks[_LeafCost],Tasks[[#This Row],[_Row]]+Tasks[[#This Row],[_Descendants]])),Tasks[[#This Row],[_LeafCost]]))</f>
        <v/>
      </c>
      <c r="AL140" s="97"/>
      <c r="AM140" s="29"/>
      <c r="AN14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40" s="82"/>
      <c r="AP140" s="24" t="str">
        <f aca="false">IF(Tasks[[#This Row],[Task Name]]="","",Tasks[[#This Row],[_Pred1IDText]]&amp;IF(AND(Tasks[[#This Row],[_Pred1IDText]]&lt;&gt;"",Tasks[[#This Row],[_Pred2IDText]]&lt;&gt;""),",","")&amp;Tasks[[#This Row],[_Pred2IDText]])</f>
        <v/>
      </c>
      <c r="AQ140" s="30"/>
      <c r="AR140" s="25" t="str">
        <f aca="false">IF(Tasks[[#This Row],[Task Name]]="","",Tasks[[#This Row],[Forecast Start]])</f>
        <v/>
      </c>
      <c r="AS140" s="25" t="str">
        <f aca="false">IF(Tasks[[#This Row],[Task Name]]="","",Tasks[[#This Row],[Forecast Finish]])</f>
        <v/>
      </c>
      <c r="AT140" s="28" t="str">
        <f aca="false">IF(Tasks[[#This Row],[Task Name]]="","",IF(Tasks[[#This Row],[_IsSummary]],NETWORKDAYS.INTL(Tasks[[#This Row],[Forecast Start]],Tasks[[#This Row],[Forecast Finish]],WorkWeek,Holidays),N(Tasks[[#This Row],[Duration]])))</f>
        <v/>
      </c>
      <c r="AU140" s="95" t="str">
        <f aca="false">IF(Tasks[[#This Row],[Task Name]]="","",Tasks[[#This Row],[Work]])</f>
        <v/>
      </c>
      <c r="AV140" s="96" t="str">
        <f aca="false">IF(Tasks[[#This Row],[Task Name]]="","",Tasks[[#This Row],[Cost]])</f>
        <v/>
      </c>
      <c r="AW140" s="73"/>
      <c r="AX140" s="73"/>
      <c r="AY140" s="29"/>
      <c r="AZ140" s="98"/>
      <c r="BA140" s="97"/>
      <c r="BB140" s="28" t="str">
        <f aca="false">IF(OR(Tasks[[#This Row],[Task Name]]="",Tasks[[#This Row],[Baseline Duration]]=""),"",Tasks[[#This Row],[BL Source Duration]]-N(Tasks[[#This Row],[Baseline Duration]]))</f>
        <v/>
      </c>
      <c r="BC140" s="95" t="str">
        <f aca="false">IF(OR(Tasks[[#This Row],[Task Name]]="",Tasks[[#This Row],[Baseline Work]]=""),"",Tasks[[#This Row],[Work]]-N(Tasks[[#This Row],[Baseline Work]]))</f>
        <v/>
      </c>
      <c r="BD140" s="96" t="str">
        <f aca="false">IF(OR(Tasks[[#This Row],[Task Name]]="",Tasks[[#This Row],[Baseline Cost]]=""),"",Tasks[[#This Row],[Cost]]-N(Tasks[[#This Row],[Baseline Cost]]))</f>
        <v/>
      </c>
      <c r="BE140" s="96" t="str">
        <f aca="false">IF(Tasks[[#This Row],[Task Name]]="","",IF(Tasks[[#This Row],[_IsSummary]],SUM(INDEX(Tasks[_LeafBudget],Tasks[[#This Row],[_Row]]+1):INDEX(Tasks[_LeafBudget],Tasks[[#This Row],[_Row]]+Tasks[[#This Row],[_Descendants]])),Tasks[[#This Row],[_LeafBudget]]))</f>
        <v/>
      </c>
      <c r="BF140" s="96" t="str">
        <f aca="false">IF(Tasks[[#This Row],[Task Name]]="","",IF(Tasks[[#This Row],[_IsSummary]],SUM(INDEX(Tasks[_LeafPV],Tasks[[#This Row],[_Row]]+1):INDEX(Tasks[_LeafPV],Tasks[[#This Row],[_Row]]+Tasks[[#This Row],[_Descendants]])),Tasks[[#This Row],[_LeafPV]]))</f>
        <v/>
      </c>
      <c r="BG140" s="96" t="str">
        <f aca="false">IF(Tasks[[#This Row],[Task Name]]="","",IF(Tasks[[#This Row],[_IsSummary]],SUM(INDEX(Tasks[_LeafEV],Tasks[[#This Row],[_Row]]+1):INDEX(Tasks[_LeafEV],Tasks[[#This Row],[_Row]]+Tasks[[#This Row],[_Descendants]])),Tasks[[#This Row],[_LeafEV]]))</f>
        <v/>
      </c>
      <c r="BH140" s="96" t="str">
        <f aca="false">IF(Tasks[[#This Row],[Task Name]]="","",IF(Tasks[[#This Row],[_IsSummary]],SUM(INDEX(Tasks[_LeafAC],Tasks[[#This Row],[_Row]]+1):INDEX(Tasks[_LeafAC],Tasks[[#This Row],[_Row]]+Tasks[[#This Row],[_Descendants]])),Tasks[[#This Row],[_LeafAC]]))</f>
        <v/>
      </c>
      <c r="BI140" s="41" t="str">
        <f aca="false">IF(Tasks[[#This Row],[Task Name]]="","",MAX(1,N(Tasks[[#This Row],[Level]])))</f>
        <v/>
      </c>
      <c r="BJ140" s="41" t="n">
        <f aca="false">ROW()-ROW(Tasks[[#Headers],[ID]])</f>
        <v>135</v>
      </c>
      <c r="BK140" s="41" t="n">
        <f aca="false">IF(OR(Tasks[[#This Row],[Task Name]]="",Tasks[[#This Row],[_Level]]&lt;=1),0,IFERROR(LOOKUP(2,1/(Tasks[[#Headers],[_Level]]:Tasks[[#This Row],[_Level]]=Tasks[[#This Row],[_Level]]-1),ROW(Tasks[[#Headers],[_Level]]:Tasks[[#This Row],[_Level]])),0))</f>
        <v>0</v>
      </c>
      <c r="BL140" s="41" t="n">
        <f aca="false">IFERROR(N(INDEX(Tasks[_Level],Tasks[[#This Row],[_Row]]+1)),0)</f>
        <v>0</v>
      </c>
      <c r="BM140" s="99" t="b">
        <f aca="false">AND(Tasks[[#This Row],[Task Name]]&lt;&gt;"",Tasks[[#This Row],[_NextLevel]]&gt;Tasks[[#This Row],[_Level]])</f>
        <v>0</v>
      </c>
      <c r="BN140" s="41" t="n">
        <f aca="false">IF(Tasks[[#This Row],[_IsSummary]],COUNTIF(Tasks[WBS],Tasks[[#This Row],[WBS]]&amp;".*"),0)</f>
        <v>0</v>
      </c>
      <c r="BO140" s="41" t="n">
        <f aca="false">IF(AND(Tasks[[#This Row],[Task Name]]&lt;&gt;"",NOT(Tasks[[#This Row],[_IsSummary]])),1,0)</f>
        <v>0</v>
      </c>
      <c r="BP140" s="41" t="n">
        <f aca="false">IF(N(Tasks[[#This Row],[Pred1 UID]])=0,0,IFERROR(MATCH(Tasks[[#This Row],[Pred1 UID]],Tasks[UID],0),-1))</f>
        <v>0</v>
      </c>
      <c r="BQ140" s="41" t="n">
        <f aca="false">IF(N(Tasks[[#This Row],[Pred2 UID]])=0,0,IFERROR(MATCH(Tasks[[#This Row],[Pred2 UID]],Tasks[UID],0),-1))</f>
        <v>0</v>
      </c>
      <c r="BR140"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40" s="100" t="str">
        <f aca="false">IF(NOT(Tasks[[#This Row],[_IsLeaf]]=1),"",IF(N(Tasks[[#This Row],[Duration]])&lt;=0,Tasks[[#This Row],[_LeafCalcStart]],WORKDAY.INTL(Tasks[[#This Row],[_LeafCalcStart]],Tasks[[#This Row],[Duration]]-1,WorkWeek,Holidays)))</f>
        <v/>
      </c>
      <c r="BT140"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40"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40" s="41" t="n">
        <f aca="false">IF(NOT(Tasks[[#This Row],[_IsLeaf]]=1),0,IF(N(Tasks[[#This Row],[Actual Finish]])&gt;0,1,MIN(1,N(Tasks[[#This Row],[% Complete]]))))</f>
        <v>0</v>
      </c>
      <c r="BW140" s="41" t="n">
        <f aca="false">IF(OR(NOT(Tasks[[#This Row],[_IsLeaf]]=1),Tasks[[#This Row],[Resource]]=""),0,N(Tasks[[#This Row],[Duration]])*HoursPerDay*IF(Tasks[[#This Row],[Units]]="",DefaultUnits,Tasks[[#This Row],[Units]]))</f>
        <v>0</v>
      </c>
      <c r="BX140" s="41" t="n">
        <f aca="false">IF(Tasks[[#This Row],[_LeafWork]]=0,0,Tasks[[#This Row],[_LeafWork]]*IFERROR(INDEX(res_Rate,MATCH(Tasks[[#This Row],[Resource]],res_Name,0)),0))</f>
        <v>0</v>
      </c>
      <c r="BY14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4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4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4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40" s="41" t="n">
        <f aca="false">IF(NOT(Tasks[[#This Row],[_IsLeaf]]=1),0,MAX(_xlfn.MAXIFS(Tasks[_Row],Tasks[Pred1 UID],Tasks[[#This Row],[UID]]),_xlfn.MAXIFS(Tasks[_Row],Tasks[Pred2 UID],Tasks[[#This Row],[UID]])))</f>
        <v>0</v>
      </c>
      <c r="CD140"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40" s="100" t="str">
        <f aca="false">IF(NOT(Tasks[[#This Row],[_IsLeaf]]=1),"",MIN(ProjectFinish,IF(N(Tasks[[#This Row],[Deadline]])&gt;0,Tasks[[#This Row],[Deadline]],2958465),Tasks[[#This Row],[_SuccessorFinishLimit]]))</f>
        <v/>
      </c>
      <c r="CF140" s="100" t="str">
        <f aca="false">IF(NOT(Tasks[[#This Row],[_IsLeaf]]=1),"",IF(N(Tasks[[#This Row],[Duration]])&lt;=0,Tasks[[#This Row],[_LeafLateFinish]],WORKDAY.INTL(Tasks[[#This Row],[_LeafLateFinish]],-(Tasks[[#This Row],[Duration]]-1),WorkWeek,Holidays)))</f>
        <v/>
      </c>
      <c r="CG14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40" s="99" t="b">
        <f aca="false">AND(Tasks[[#This Row],[_IsLeaf]]=1,Tasks[[#This Row],[_LeafProgress]]&lt;1,N(Tasks[[#This Row],[_LeafTotalSlack]])&lt;=CriticalSlackDays)</f>
        <v>0</v>
      </c>
      <c r="CI140" s="100" t="str">
        <f aca="false">IF(Tasks[[#This Row],[Task Name]]="","",IF(Tasks[[#This Row],[_IsSummary]],MIN(INDEX(Tasks[_LeafCalcStart],Tasks[[#This Row],[_Row]]+1):INDEX(Tasks[_LeafCalcStart],Tasks[[#This Row],[_Row]]+Tasks[[#This Row],[_Descendants]])),Tasks[[#This Row],[_LeafCalcStart]]))</f>
        <v/>
      </c>
      <c r="CJ140" s="100" t="str">
        <f aca="false">IF(Tasks[[#This Row],[Task Name]]="","",IF(Tasks[[#This Row],[_IsSummary]],MAX(INDEX(Tasks[_LeafCalcFinish],Tasks[[#This Row],[_Row]]+1):INDEX(Tasks[_LeafCalcFinish],Tasks[[#This Row],[_Row]]+Tasks[[#This Row],[_Descendants]])),Tasks[[#This Row],[_LeafCalcFinish]]))</f>
        <v/>
      </c>
      <c r="CK14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4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40"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40"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40"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40"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40" s="41" t="n">
        <f aca="false">IF(AND(Tasks[[#This Row],[_IsLeaf]]=1,Tasks[[#This Row],[_LeafWork]]&gt;0),NETWORKDAYS.INTL(ProjectStart,Tasks[[#This Row],[_LeafFcstStart]],WorkWeek,Holidays),0)</f>
        <v>0</v>
      </c>
      <c r="CR140" s="41" t="n">
        <f aca="false">IF(AND(Tasks[[#This Row],[_IsLeaf]]=1,Tasks[[#This Row],[_LeafWork]]&gt;0),MAX(Tasks[[#This Row],[_StartWorkday]],NETWORKDAYS.INTL(ProjectStart,Tasks[[#This Row],[_LeafFcstFinish]],WorkWeek,Holidays)),0)</f>
        <v>0</v>
      </c>
      <c r="CS140" s="41" t="n">
        <f aca="false">IF(AND(Tasks[[#This Row],[_IsLeaf]]=1,Tasks[[#This Row],[_LeafWork]]&gt;0),Tasks[[#This Row],[_LeafWork]]/(Tasks[[#This Row],[_FinishWorkday]]-Tasks[[#This Row],[_StartWorkday]]+1),0)</f>
        <v>0</v>
      </c>
      <c r="CT140" s="41" t="n">
        <f aca="false">Tasks[[#This Row],[_WorkPerWorkday]]*(Tasks[[#This Row],[_StartWorkday]]-1)</f>
        <v>-0</v>
      </c>
      <c r="CU140" s="41" t="n">
        <f aca="false">IF(Tasks[[#This Row],[_IsLeaf]]=1,MAX(N(Tasks[[#This Row],[Duration]]),0.1),0)</f>
        <v>0</v>
      </c>
      <c r="CV140" s="41" t="n">
        <f aca="false">Tasks[[#This Row],[_WeightDur]]*Tasks[[#This Row],[_LeafProgress]]</f>
        <v>0</v>
      </c>
      <c r="CW14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4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4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4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40" s="41" t="str">
        <f aca="false">IF(Tasks[[#This Row],[Task Name]]="","",Tasks[[#This Row],[_Pred1UIDText]]&amp;IF(AND(Tasks[[#This Row],[_Pred1UIDText]]&lt;&gt;"",Tasks[[#This Row],[_Pred2UIDText]]&lt;&gt;""),",","")&amp;Tasks[[#This Row],[_Pred2UIDText]])</f>
        <v/>
      </c>
      <c r="DB140" s="41" t="str">
        <f aca="false">IF(AND(Tasks[[#This Row],[_IsLeaf]]=1,N(Tasks[[#This Row],[Duration]])=0,Tasks[[#This Row],[_LeafProgress]]&lt;1),Tasks[[#This Row],[_LeafFcstFinish]]+Tasks[[#This Row],[_Row]]/100000,"")</f>
        <v/>
      </c>
      <c r="DC14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40" s="41" t="n">
        <f aca="false">IF(NOT(Tasks[[#This Row],[_IsLeaf]]=1),0,IF(Tasks[[#This Row],[Baseline Cost]]="",Tasks[[#This Row],[_LeafCost]],N(Tasks[[#This Row],[Baseline Cost]])))</f>
        <v>0</v>
      </c>
      <c r="DE140" s="41" t="n">
        <f aca="false">Tasks[[#This Row],[_LeafBudget]]*Tasks[[#This Row],[_PlannedPct]]</f>
        <v>0</v>
      </c>
      <c r="DF140" s="41" t="n">
        <f aca="false">Tasks[[#This Row],[_LeafBudget]]*Tasks[[#This Row],[_LeafProgress]]</f>
        <v>0</v>
      </c>
      <c r="DG140" s="41" t="n">
        <f aca="false">IF(NOT(Tasks[[#This Row],[_IsLeaf]]=1),0,IF(Tasks[[#This Row],[Actual Cost]]="",Tasks[[#This Row],[_LeafCost]]*Tasks[[#This Row],[_LeafProgress]],N(Tasks[[#This Row],[Actual Cost]])))</f>
        <v>0</v>
      </c>
      <c r="DH140" s="41" t="str">
        <f aca="false">IF(Tasks[[#This Row],[Task Name]]="","",LEFT(Tasks[[#This Row],[WBS]],FIND(".",Tasks[[#This Row],[WBS]]&amp;".")-1))</f>
        <v/>
      </c>
      <c r="DI140" s="41" t="str">
        <f aca="false">IF(AND(Tasks[[#This Row],[Task Name]]&lt;&gt;"",Tasks[[#This Row],[_Level]]=1),Tasks[[#This Row],[_Row]],"")</f>
        <v/>
      </c>
      <c r="DJ140" s="41" t="str">
        <f aca="false">IF(AND(Tasks[[#This Row],[_IsLeaf]]=1,N(Tasks[[#This Row],[Duration]])=0),Tasks[[#This Row],[Planned Finish]]+Tasks[[#This Row],[_Row]]/100000,"")</f>
        <v/>
      </c>
      <c r="DK140" s="41" t="str">
        <f aca="false">IF(AND(Tasks[[#This Row],[_IsLeaf]]=1,Tasks[[#This Row],[_LeafProgress]]&lt;1,OR(N(Tasks[[#This Row],[Finish Var]])&gt;0,Tasks[[#This Row],[Status]]="Late Start")),MAX(0,Tasks[[#This Row],[Finish Var]])+1-Tasks[[#This Row],[_Row]]/1000000,"")</f>
        <v/>
      </c>
      <c r="DL140" s="41" t="str">
        <f aca="false">IF(AND(Tasks[[#This Row],[_IsLeaf]]=1,N(Tasks[[#This Row],[Actual Start]])=0,Tasks[[#This Row],[_LeafFcstStart]]&gt;=StatusDate,Tasks[[#This Row],[_LeafFcstStart]]&lt;=LookaheadEnd),Tasks[[#This Row],[_LeafFcstStart]]+Tasks[[#This Row],[_Row]]/100000,"")</f>
        <v/>
      </c>
      <c r="DM140" s="41" t="str">
        <f aca="false">IF(AND(Tasks[[#This Row],[_IsLeaf]]=1,Tasks[[#This Row],[_LeafProgress]]&lt;1,Tasks[[#This Row],[_LeafFcstFinish]]&gt;=StatusDate,Tasks[[#This Row],[_LeafFcstFinish]]&lt;=LookaheadEnd),Tasks[[#This Row],[_LeafFcstFinish]]+Tasks[[#This Row],[_Row]]/100000,"")</f>
        <v/>
      </c>
      <c r="DN140" s="41" t="str">
        <f aca="false">IF(Tasks[[#This Row],[_LeafCritical]],Tasks[[#This Row],[_LeafFcstStart]]+Tasks[[#This Row],[_Row]]/100000,"")</f>
        <v/>
      </c>
      <c r="DO140" s="41" t="n">
        <f aca="false">Tasks[[#This Row],[_LeafWork]]*Tasks[[#This Row],[_LeafProgress]]</f>
        <v>0</v>
      </c>
      <c r="DP140" s="100" t="str">
        <f aca="false">IF(AND(Tasks[[#This Row],[_IsLeaf]]=1,Tasks[[#This Row],[_LeafProgress]]&gt;=1),IF(N(Tasks[[#This Row],[Actual Finish]])&gt;0,Tasks[[#This Row],[Actual Finish]],Tasks[[#This Row],[_LeafFcstFinish]]),"")</f>
        <v/>
      </c>
      <c r="DQ140" s="41" t="n">
        <f aca="false">IF(Tasks[[#This Row],[_IsLeaf]]=1,N(Tasks[[#This Row],[Story Points]]),0)</f>
        <v>0</v>
      </c>
      <c r="DR140" s="41" t="str">
        <f aca="false">IF(AND(Tasks[[#This Row],[_IsLeaf]]=1,CurrentSprint&lt;&gt;"",Tasks[[#This Row],[Sprint]]=CurrentSprint),Tasks[[#This Row],[_Row]],"")</f>
        <v/>
      </c>
    </row>
    <row r="141" customFormat="false" ht="15" hidden="false" customHeight="false" outlineLevel="0" collapsed="false">
      <c r="A141" s="28" t="str">
        <f aca="false">IF(Tasks[[#This Row],[Task Name]]="","",COUNTA(Tasks[[#Headers],[Task Name]]:Tasks[[#This Row],[Task Name]])-1)</f>
        <v/>
      </c>
      <c r="B141" s="29" t="n">
        <v>136</v>
      </c>
      <c r="C14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1" s="29"/>
      <c r="E141" s="30"/>
      <c r="F141" s="29"/>
      <c r="G141" s="29"/>
      <c r="H141" s="29"/>
      <c r="I141" s="29"/>
      <c r="J141" s="29"/>
      <c r="K141" s="29"/>
      <c r="L141" s="29"/>
      <c r="M141" s="29"/>
      <c r="N141" s="73"/>
      <c r="O141" s="73"/>
      <c r="P141" s="25" t="str">
        <f aca="false">IF(Tasks[[#This Row],[Task Name]]="","",IF(N(Tasks[[#This Row],[Baseline Start]])&gt;0,Tasks[[#This Row],[Baseline Start]],Tasks[[#This Row],[_CalcStart]]))</f>
        <v/>
      </c>
      <c r="Q141" s="25" t="str">
        <f aca="false">IF(Tasks[[#This Row],[Task Name]]="","",IF(N(Tasks[[#This Row],[Baseline Finish]])&gt;0,Tasks[[#This Row],[Baseline Finish]],Tasks[[#This Row],[_CalcFinish]]))</f>
        <v/>
      </c>
      <c r="R141" s="73"/>
      <c r="S141" s="73"/>
      <c r="T141" s="25" t="str">
        <f aca="false">IF(Tasks[[#This Row],[Task Name]]="","",IF(Tasks[[#This Row],[_IsSummary]],MIN(INDEX(Tasks[_LeafFcstStart],Tasks[[#This Row],[_Row]]+1):INDEX(Tasks[_LeafFcstStart],Tasks[[#This Row],[_Row]]+Tasks[[#This Row],[_Descendants]])),Tasks[[#This Row],[_LeafFcstStart]]))</f>
        <v/>
      </c>
      <c r="U141" s="25" t="str">
        <f aca="false">IF(Tasks[[#This Row],[Task Name]]="","",IF(Tasks[[#This Row],[_IsSummary]],MAX(INDEX(Tasks[_LeafFcstFinish],Tasks[[#This Row],[_Row]]+1):INDEX(Tasks[_LeafFcstFinish],Tasks[[#This Row],[_Row]]+Tasks[[#This Row],[_Descendants]])),Tasks[[#This Row],[_LeafFcstFinish]]))</f>
        <v/>
      </c>
      <c r="V14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4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1" s="25" t="str">
        <f aca="false">IF(Tasks[[#This Row],[Task Name]]="","",IF(Tasks[[#This Row],[_IsSummary]],MIN(INDEX(Tasks[_LeafLateStart],Tasks[[#This Row],[_Row]]+1):INDEX(Tasks[_LeafLateStart],Tasks[[#This Row],[_Row]]+Tasks[[#This Row],[_Descendants]])),Tasks[[#This Row],[_LeafLateStart]]))</f>
        <v/>
      </c>
      <c r="Y141" s="25" t="str">
        <f aca="false">IF(Tasks[[#This Row],[Task Name]]="","",IF(Tasks[[#This Row],[_IsSummary]],MAX(INDEX(Tasks[_LeafLateFinish],Tasks[[#This Row],[_Row]]+1):INDEX(Tasks[_LeafLateFinish],Tasks[[#This Row],[_Row]]+Tasks[[#This Row],[_Descendants]])),Tasks[[#This Row],[_LeafLateFinish]]))</f>
        <v/>
      </c>
      <c r="Z141" s="43" t="str">
        <f aca="false">IF(Tasks[[#This Row],[Task Name]]="","",IF(Tasks[[#This Row],[_IsSummary]],MIN(INDEX(Tasks[_LeafTotalSlack],Tasks[[#This Row],[_Row]]+1):INDEX(Tasks[_LeafTotalSlack],Tasks[[#This Row],[_Row]]+Tasks[[#This Row],[_Descendants]])),Tasks[[#This Row],[_LeafTotalSlack]]))</f>
        <v/>
      </c>
      <c r="AA14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1" s="28" t="str">
        <f aca="false">IF(Tasks[[#This Row],[Task Name]]="","",IF(IF(Tasks[[#This Row],[_IsSummary]],COUNTIF(INDEX(Tasks[_LeafCritical],Tasks[[#This Row],[_Row]]+1):INDEX(Tasks[_LeafCritical],Tasks[[#This Row],[_Row]]+Tasks[[#This Row],[_Descendants]]),TRUE())&gt;0,Tasks[[#This Row],[_LeafCritical]]),"Yes",""))</f>
        <v/>
      </c>
      <c r="AC14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1" s="24" t="str">
        <f aca="false">IF(Tasks[[#This Row],[Task Name]]="","",TRIM(IF(Tasks[[#This Row],[_Pred1Problem]]&lt;&gt;"","Pred 1: "&amp;Tasks[[#This Row],[_Pred1Problem]]&amp;". ","")&amp;IF(Tasks[[#This Row],[_Pred2Problem]]&lt;&gt;"","Pred 2: "&amp;Tasks[[#This Row],[_Pred2Problem]]&amp;".","")))</f>
        <v/>
      </c>
      <c r="AE141" s="88"/>
      <c r="AF141"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1" s="28" t="str">
        <f aca="false">IF(Tasks[[#This Row],[Task Name]]="","",IF(Tasks[[#This Row],[Progress]]&gt;=1,"Complete",IF(OR(N(Tasks[[#This Row],[Actual Start]])&gt;0,Tasks[[#This Row],[Progress]]&gt;0),IF(Tasks[[#This Row],[Finish Var]]&gt;0,"Behind","In Progress"),IF(Tasks[[#This Row],[Planned Start]]&lt;StatusDate,"Late Start","Not Started"))))</f>
        <v/>
      </c>
      <c r="AH141" s="30"/>
      <c r="AI141" s="88"/>
      <c r="AJ141" s="95" t="str">
        <f aca="false">IF(Tasks[[#This Row],[Task Name]]="","",IF(Tasks[[#This Row],[_IsSummary]],SUM(INDEX(Tasks[_LeafWork],Tasks[[#This Row],[_Row]]+1):INDEX(Tasks[_LeafWork],Tasks[[#This Row],[_Row]]+Tasks[[#This Row],[_Descendants]])),Tasks[[#This Row],[_LeafWork]]))</f>
        <v/>
      </c>
      <c r="AK141" s="96" t="str">
        <f aca="false">IF(Tasks[[#This Row],[Task Name]]="","",IF(Tasks[[#This Row],[_IsSummary]],SUM(INDEX(Tasks[_LeafCost],Tasks[[#This Row],[_Row]]+1):INDEX(Tasks[_LeafCost],Tasks[[#This Row],[_Row]]+Tasks[[#This Row],[_Descendants]])),Tasks[[#This Row],[_LeafCost]]))</f>
        <v/>
      </c>
      <c r="AL141" s="97"/>
      <c r="AM141" s="29"/>
      <c r="AN14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41" s="82"/>
      <c r="AP141" s="24" t="str">
        <f aca="false">IF(Tasks[[#This Row],[Task Name]]="","",Tasks[[#This Row],[_Pred1IDText]]&amp;IF(AND(Tasks[[#This Row],[_Pred1IDText]]&lt;&gt;"",Tasks[[#This Row],[_Pred2IDText]]&lt;&gt;""),",","")&amp;Tasks[[#This Row],[_Pred2IDText]])</f>
        <v/>
      </c>
      <c r="AQ141" s="30"/>
      <c r="AR141" s="25" t="str">
        <f aca="false">IF(Tasks[[#This Row],[Task Name]]="","",Tasks[[#This Row],[Forecast Start]])</f>
        <v/>
      </c>
      <c r="AS141" s="25" t="str">
        <f aca="false">IF(Tasks[[#This Row],[Task Name]]="","",Tasks[[#This Row],[Forecast Finish]])</f>
        <v/>
      </c>
      <c r="AT141" s="28" t="str">
        <f aca="false">IF(Tasks[[#This Row],[Task Name]]="","",IF(Tasks[[#This Row],[_IsSummary]],NETWORKDAYS.INTL(Tasks[[#This Row],[Forecast Start]],Tasks[[#This Row],[Forecast Finish]],WorkWeek,Holidays),N(Tasks[[#This Row],[Duration]])))</f>
        <v/>
      </c>
      <c r="AU141" s="95" t="str">
        <f aca="false">IF(Tasks[[#This Row],[Task Name]]="","",Tasks[[#This Row],[Work]])</f>
        <v/>
      </c>
      <c r="AV141" s="96" t="str">
        <f aca="false">IF(Tasks[[#This Row],[Task Name]]="","",Tasks[[#This Row],[Cost]])</f>
        <v/>
      </c>
      <c r="AW141" s="73"/>
      <c r="AX141" s="73"/>
      <c r="AY141" s="29"/>
      <c r="AZ141" s="98"/>
      <c r="BA141" s="97"/>
      <c r="BB141" s="28" t="str">
        <f aca="false">IF(OR(Tasks[[#This Row],[Task Name]]="",Tasks[[#This Row],[Baseline Duration]]=""),"",Tasks[[#This Row],[BL Source Duration]]-N(Tasks[[#This Row],[Baseline Duration]]))</f>
        <v/>
      </c>
      <c r="BC141" s="95" t="str">
        <f aca="false">IF(OR(Tasks[[#This Row],[Task Name]]="",Tasks[[#This Row],[Baseline Work]]=""),"",Tasks[[#This Row],[Work]]-N(Tasks[[#This Row],[Baseline Work]]))</f>
        <v/>
      </c>
      <c r="BD141" s="96" t="str">
        <f aca="false">IF(OR(Tasks[[#This Row],[Task Name]]="",Tasks[[#This Row],[Baseline Cost]]=""),"",Tasks[[#This Row],[Cost]]-N(Tasks[[#This Row],[Baseline Cost]]))</f>
        <v/>
      </c>
      <c r="BE141" s="96" t="str">
        <f aca="false">IF(Tasks[[#This Row],[Task Name]]="","",IF(Tasks[[#This Row],[_IsSummary]],SUM(INDEX(Tasks[_LeafBudget],Tasks[[#This Row],[_Row]]+1):INDEX(Tasks[_LeafBudget],Tasks[[#This Row],[_Row]]+Tasks[[#This Row],[_Descendants]])),Tasks[[#This Row],[_LeafBudget]]))</f>
        <v/>
      </c>
      <c r="BF141" s="96" t="str">
        <f aca="false">IF(Tasks[[#This Row],[Task Name]]="","",IF(Tasks[[#This Row],[_IsSummary]],SUM(INDEX(Tasks[_LeafPV],Tasks[[#This Row],[_Row]]+1):INDEX(Tasks[_LeafPV],Tasks[[#This Row],[_Row]]+Tasks[[#This Row],[_Descendants]])),Tasks[[#This Row],[_LeafPV]]))</f>
        <v/>
      </c>
      <c r="BG141" s="96" t="str">
        <f aca="false">IF(Tasks[[#This Row],[Task Name]]="","",IF(Tasks[[#This Row],[_IsSummary]],SUM(INDEX(Tasks[_LeafEV],Tasks[[#This Row],[_Row]]+1):INDEX(Tasks[_LeafEV],Tasks[[#This Row],[_Row]]+Tasks[[#This Row],[_Descendants]])),Tasks[[#This Row],[_LeafEV]]))</f>
        <v/>
      </c>
      <c r="BH141" s="96" t="str">
        <f aca="false">IF(Tasks[[#This Row],[Task Name]]="","",IF(Tasks[[#This Row],[_IsSummary]],SUM(INDEX(Tasks[_LeafAC],Tasks[[#This Row],[_Row]]+1):INDEX(Tasks[_LeafAC],Tasks[[#This Row],[_Row]]+Tasks[[#This Row],[_Descendants]])),Tasks[[#This Row],[_LeafAC]]))</f>
        <v/>
      </c>
      <c r="BI141" s="41" t="str">
        <f aca="false">IF(Tasks[[#This Row],[Task Name]]="","",MAX(1,N(Tasks[[#This Row],[Level]])))</f>
        <v/>
      </c>
      <c r="BJ141" s="41" t="n">
        <f aca="false">ROW()-ROW(Tasks[[#Headers],[ID]])</f>
        <v>136</v>
      </c>
      <c r="BK141" s="41" t="n">
        <f aca="false">IF(OR(Tasks[[#This Row],[Task Name]]="",Tasks[[#This Row],[_Level]]&lt;=1),0,IFERROR(LOOKUP(2,1/(Tasks[[#Headers],[_Level]]:Tasks[[#This Row],[_Level]]=Tasks[[#This Row],[_Level]]-1),ROW(Tasks[[#Headers],[_Level]]:Tasks[[#This Row],[_Level]])),0))</f>
        <v>0</v>
      </c>
      <c r="BL141" s="41" t="n">
        <f aca="false">IFERROR(N(INDEX(Tasks[_Level],Tasks[[#This Row],[_Row]]+1)),0)</f>
        <v>0</v>
      </c>
      <c r="BM141" s="99" t="b">
        <f aca="false">AND(Tasks[[#This Row],[Task Name]]&lt;&gt;"",Tasks[[#This Row],[_NextLevel]]&gt;Tasks[[#This Row],[_Level]])</f>
        <v>0</v>
      </c>
      <c r="BN141" s="41" t="n">
        <f aca="false">IF(Tasks[[#This Row],[_IsSummary]],COUNTIF(Tasks[WBS],Tasks[[#This Row],[WBS]]&amp;".*"),0)</f>
        <v>0</v>
      </c>
      <c r="BO141" s="41" t="n">
        <f aca="false">IF(AND(Tasks[[#This Row],[Task Name]]&lt;&gt;"",NOT(Tasks[[#This Row],[_IsSummary]])),1,0)</f>
        <v>0</v>
      </c>
      <c r="BP141" s="41" t="n">
        <f aca="false">IF(N(Tasks[[#This Row],[Pred1 UID]])=0,0,IFERROR(MATCH(Tasks[[#This Row],[Pred1 UID]],Tasks[UID],0),-1))</f>
        <v>0</v>
      </c>
      <c r="BQ141" s="41" t="n">
        <f aca="false">IF(N(Tasks[[#This Row],[Pred2 UID]])=0,0,IFERROR(MATCH(Tasks[[#This Row],[Pred2 UID]],Tasks[UID],0),-1))</f>
        <v>0</v>
      </c>
      <c r="BR141"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41" s="100" t="str">
        <f aca="false">IF(NOT(Tasks[[#This Row],[_IsLeaf]]=1),"",IF(N(Tasks[[#This Row],[Duration]])&lt;=0,Tasks[[#This Row],[_LeafCalcStart]],WORKDAY.INTL(Tasks[[#This Row],[_LeafCalcStart]],Tasks[[#This Row],[Duration]]-1,WorkWeek,Holidays)))</f>
        <v/>
      </c>
      <c r="BT141"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41"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41" s="41" t="n">
        <f aca="false">IF(NOT(Tasks[[#This Row],[_IsLeaf]]=1),0,IF(N(Tasks[[#This Row],[Actual Finish]])&gt;0,1,MIN(1,N(Tasks[[#This Row],[% Complete]]))))</f>
        <v>0</v>
      </c>
      <c r="BW141" s="41" t="n">
        <f aca="false">IF(OR(NOT(Tasks[[#This Row],[_IsLeaf]]=1),Tasks[[#This Row],[Resource]]=""),0,N(Tasks[[#This Row],[Duration]])*HoursPerDay*IF(Tasks[[#This Row],[Units]]="",DefaultUnits,Tasks[[#This Row],[Units]]))</f>
        <v>0</v>
      </c>
      <c r="BX141" s="41" t="n">
        <f aca="false">IF(Tasks[[#This Row],[_LeafWork]]=0,0,Tasks[[#This Row],[_LeafWork]]*IFERROR(INDEX(res_Rate,MATCH(Tasks[[#This Row],[Resource]],res_Name,0)),0))</f>
        <v>0</v>
      </c>
      <c r="BY14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4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4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4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41" s="41" t="n">
        <f aca="false">IF(NOT(Tasks[[#This Row],[_IsLeaf]]=1),0,MAX(_xlfn.MAXIFS(Tasks[_Row],Tasks[Pred1 UID],Tasks[[#This Row],[UID]]),_xlfn.MAXIFS(Tasks[_Row],Tasks[Pred2 UID],Tasks[[#This Row],[UID]])))</f>
        <v>0</v>
      </c>
      <c r="CD141"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41" s="100" t="str">
        <f aca="false">IF(NOT(Tasks[[#This Row],[_IsLeaf]]=1),"",MIN(ProjectFinish,IF(N(Tasks[[#This Row],[Deadline]])&gt;0,Tasks[[#This Row],[Deadline]],2958465),Tasks[[#This Row],[_SuccessorFinishLimit]]))</f>
        <v/>
      </c>
      <c r="CF141" s="100" t="str">
        <f aca="false">IF(NOT(Tasks[[#This Row],[_IsLeaf]]=1),"",IF(N(Tasks[[#This Row],[Duration]])&lt;=0,Tasks[[#This Row],[_LeafLateFinish]],WORKDAY.INTL(Tasks[[#This Row],[_LeafLateFinish]],-(Tasks[[#This Row],[Duration]]-1),WorkWeek,Holidays)))</f>
        <v/>
      </c>
      <c r="CG14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41" s="99" t="b">
        <f aca="false">AND(Tasks[[#This Row],[_IsLeaf]]=1,Tasks[[#This Row],[_LeafProgress]]&lt;1,N(Tasks[[#This Row],[_LeafTotalSlack]])&lt;=CriticalSlackDays)</f>
        <v>0</v>
      </c>
      <c r="CI141" s="100" t="str">
        <f aca="false">IF(Tasks[[#This Row],[Task Name]]="","",IF(Tasks[[#This Row],[_IsSummary]],MIN(INDEX(Tasks[_LeafCalcStart],Tasks[[#This Row],[_Row]]+1):INDEX(Tasks[_LeafCalcStart],Tasks[[#This Row],[_Row]]+Tasks[[#This Row],[_Descendants]])),Tasks[[#This Row],[_LeafCalcStart]]))</f>
        <v/>
      </c>
      <c r="CJ141" s="100" t="str">
        <f aca="false">IF(Tasks[[#This Row],[Task Name]]="","",IF(Tasks[[#This Row],[_IsSummary]],MAX(INDEX(Tasks[_LeafCalcFinish],Tasks[[#This Row],[_Row]]+1):INDEX(Tasks[_LeafCalcFinish],Tasks[[#This Row],[_Row]]+Tasks[[#This Row],[_Descendants]])),Tasks[[#This Row],[_LeafCalcFinish]]))</f>
        <v/>
      </c>
      <c r="CK14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4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41"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41"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41"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41"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41" s="41" t="n">
        <f aca="false">IF(AND(Tasks[[#This Row],[_IsLeaf]]=1,Tasks[[#This Row],[_LeafWork]]&gt;0),NETWORKDAYS.INTL(ProjectStart,Tasks[[#This Row],[_LeafFcstStart]],WorkWeek,Holidays),0)</f>
        <v>0</v>
      </c>
      <c r="CR141" s="41" t="n">
        <f aca="false">IF(AND(Tasks[[#This Row],[_IsLeaf]]=1,Tasks[[#This Row],[_LeafWork]]&gt;0),MAX(Tasks[[#This Row],[_StartWorkday]],NETWORKDAYS.INTL(ProjectStart,Tasks[[#This Row],[_LeafFcstFinish]],WorkWeek,Holidays)),0)</f>
        <v>0</v>
      </c>
      <c r="CS141" s="41" t="n">
        <f aca="false">IF(AND(Tasks[[#This Row],[_IsLeaf]]=1,Tasks[[#This Row],[_LeafWork]]&gt;0),Tasks[[#This Row],[_LeafWork]]/(Tasks[[#This Row],[_FinishWorkday]]-Tasks[[#This Row],[_StartWorkday]]+1),0)</f>
        <v>0</v>
      </c>
      <c r="CT141" s="41" t="n">
        <f aca="false">Tasks[[#This Row],[_WorkPerWorkday]]*(Tasks[[#This Row],[_StartWorkday]]-1)</f>
        <v>-0</v>
      </c>
      <c r="CU141" s="41" t="n">
        <f aca="false">IF(Tasks[[#This Row],[_IsLeaf]]=1,MAX(N(Tasks[[#This Row],[Duration]]),0.1),0)</f>
        <v>0</v>
      </c>
      <c r="CV141" s="41" t="n">
        <f aca="false">Tasks[[#This Row],[_WeightDur]]*Tasks[[#This Row],[_LeafProgress]]</f>
        <v>0</v>
      </c>
      <c r="CW14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4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4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4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41" s="41" t="str">
        <f aca="false">IF(Tasks[[#This Row],[Task Name]]="","",Tasks[[#This Row],[_Pred1UIDText]]&amp;IF(AND(Tasks[[#This Row],[_Pred1UIDText]]&lt;&gt;"",Tasks[[#This Row],[_Pred2UIDText]]&lt;&gt;""),",","")&amp;Tasks[[#This Row],[_Pred2UIDText]])</f>
        <v/>
      </c>
      <c r="DB141" s="41" t="str">
        <f aca="false">IF(AND(Tasks[[#This Row],[_IsLeaf]]=1,N(Tasks[[#This Row],[Duration]])=0,Tasks[[#This Row],[_LeafProgress]]&lt;1),Tasks[[#This Row],[_LeafFcstFinish]]+Tasks[[#This Row],[_Row]]/100000,"")</f>
        <v/>
      </c>
      <c r="DC14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41" s="41" t="n">
        <f aca="false">IF(NOT(Tasks[[#This Row],[_IsLeaf]]=1),0,IF(Tasks[[#This Row],[Baseline Cost]]="",Tasks[[#This Row],[_LeafCost]],N(Tasks[[#This Row],[Baseline Cost]])))</f>
        <v>0</v>
      </c>
      <c r="DE141" s="41" t="n">
        <f aca="false">Tasks[[#This Row],[_LeafBudget]]*Tasks[[#This Row],[_PlannedPct]]</f>
        <v>0</v>
      </c>
      <c r="DF141" s="41" t="n">
        <f aca="false">Tasks[[#This Row],[_LeafBudget]]*Tasks[[#This Row],[_LeafProgress]]</f>
        <v>0</v>
      </c>
      <c r="DG141" s="41" t="n">
        <f aca="false">IF(NOT(Tasks[[#This Row],[_IsLeaf]]=1),0,IF(Tasks[[#This Row],[Actual Cost]]="",Tasks[[#This Row],[_LeafCost]]*Tasks[[#This Row],[_LeafProgress]],N(Tasks[[#This Row],[Actual Cost]])))</f>
        <v>0</v>
      </c>
      <c r="DH141" s="41" t="str">
        <f aca="false">IF(Tasks[[#This Row],[Task Name]]="","",LEFT(Tasks[[#This Row],[WBS]],FIND(".",Tasks[[#This Row],[WBS]]&amp;".")-1))</f>
        <v/>
      </c>
      <c r="DI141" s="41" t="str">
        <f aca="false">IF(AND(Tasks[[#This Row],[Task Name]]&lt;&gt;"",Tasks[[#This Row],[_Level]]=1),Tasks[[#This Row],[_Row]],"")</f>
        <v/>
      </c>
      <c r="DJ141" s="41" t="str">
        <f aca="false">IF(AND(Tasks[[#This Row],[_IsLeaf]]=1,N(Tasks[[#This Row],[Duration]])=0),Tasks[[#This Row],[Planned Finish]]+Tasks[[#This Row],[_Row]]/100000,"")</f>
        <v/>
      </c>
      <c r="DK141" s="41" t="str">
        <f aca="false">IF(AND(Tasks[[#This Row],[_IsLeaf]]=1,Tasks[[#This Row],[_LeafProgress]]&lt;1,OR(N(Tasks[[#This Row],[Finish Var]])&gt;0,Tasks[[#This Row],[Status]]="Late Start")),MAX(0,Tasks[[#This Row],[Finish Var]])+1-Tasks[[#This Row],[_Row]]/1000000,"")</f>
        <v/>
      </c>
      <c r="DL141" s="41" t="str">
        <f aca="false">IF(AND(Tasks[[#This Row],[_IsLeaf]]=1,N(Tasks[[#This Row],[Actual Start]])=0,Tasks[[#This Row],[_LeafFcstStart]]&gt;=StatusDate,Tasks[[#This Row],[_LeafFcstStart]]&lt;=LookaheadEnd),Tasks[[#This Row],[_LeafFcstStart]]+Tasks[[#This Row],[_Row]]/100000,"")</f>
        <v/>
      </c>
      <c r="DM141" s="41" t="str">
        <f aca="false">IF(AND(Tasks[[#This Row],[_IsLeaf]]=1,Tasks[[#This Row],[_LeafProgress]]&lt;1,Tasks[[#This Row],[_LeafFcstFinish]]&gt;=StatusDate,Tasks[[#This Row],[_LeafFcstFinish]]&lt;=LookaheadEnd),Tasks[[#This Row],[_LeafFcstFinish]]+Tasks[[#This Row],[_Row]]/100000,"")</f>
        <v/>
      </c>
      <c r="DN141" s="41" t="str">
        <f aca="false">IF(Tasks[[#This Row],[_LeafCritical]],Tasks[[#This Row],[_LeafFcstStart]]+Tasks[[#This Row],[_Row]]/100000,"")</f>
        <v/>
      </c>
      <c r="DO141" s="41" t="n">
        <f aca="false">Tasks[[#This Row],[_LeafWork]]*Tasks[[#This Row],[_LeafProgress]]</f>
        <v>0</v>
      </c>
      <c r="DP141" s="100" t="str">
        <f aca="false">IF(AND(Tasks[[#This Row],[_IsLeaf]]=1,Tasks[[#This Row],[_LeafProgress]]&gt;=1),IF(N(Tasks[[#This Row],[Actual Finish]])&gt;0,Tasks[[#This Row],[Actual Finish]],Tasks[[#This Row],[_LeafFcstFinish]]),"")</f>
        <v/>
      </c>
      <c r="DQ141" s="41" t="n">
        <f aca="false">IF(Tasks[[#This Row],[_IsLeaf]]=1,N(Tasks[[#This Row],[Story Points]]),0)</f>
        <v>0</v>
      </c>
      <c r="DR141" s="41" t="str">
        <f aca="false">IF(AND(Tasks[[#This Row],[_IsLeaf]]=1,CurrentSprint&lt;&gt;"",Tasks[[#This Row],[Sprint]]=CurrentSprint),Tasks[[#This Row],[_Row]],"")</f>
        <v/>
      </c>
    </row>
    <row r="142" customFormat="false" ht="15" hidden="false" customHeight="false" outlineLevel="0" collapsed="false">
      <c r="A142" s="28" t="str">
        <f aca="false">IF(Tasks[[#This Row],[Task Name]]="","",COUNTA(Tasks[[#Headers],[Task Name]]:Tasks[[#This Row],[Task Name]])-1)</f>
        <v/>
      </c>
      <c r="B142" s="29" t="n">
        <v>137</v>
      </c>
      <c r="C14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2" s="29"/>
      <c r="E142" s="30"/>
      <c r="F142" s="29"/>
      <c r="G142" s="29"/>
      <c r="H142" s="29"/>
      <c r="I142" s="29"/>
      <c r="J142" s="29"/>
      <c r="K142" s="29"/>
      <c r="L142" s="29"/>
      <c r="M142" s="29"/>
      <c r="N142" s="73"/>
      <c r="O142" s="73"/>
      <c r="P142" s="25" t="str">
        <f aca="false">IF(Tasks[[#This Row],[Task Name]]="","",IF(N(Tasks[[#This Row],[Baseline Start]])&gt;0,Tasks[[#This Row],[Baseline Start]],Tasks[[#This Row],[_CalcStart]]))</f>
        <v/>
      </c>
      <c r="Q142" s="25" t="str">
        <f aca="false">IF(Tasks[[#This Row],[Task Name]]="","",IF(N(Tasks[[#This Row],[Baseline Finish]])&gt;0,Tasks[[#This Row],[Baseline Finish]],Tasks[[#This Row],[_CalcFinish]]))</f>
        <v/>
      </c>
      <c r="R142" s="73"/>
      <c r="S142" s="73"/>
      <c r="T142" s="25" t="str">
        <f aca="false">IF(Tasks[[#This Row],[Task Name]]="","",IF(Tasks[[#This Row],[_IsSummary]],MIN(INDEX(Tasks[_LeafFcstStart],Tasks[[#This Row],[_Row]]+1):INDEX(Tasks[_LeafFcstStart],Tasks[[#This Row],[_Row]]+Tasks[[#This Row],[_Descendants]])),Tasks[[#This Row],[_LeafFcstStart]]))</f>
        <v/>
      </c>
      <c r="U142" s="25" t="str">
        <f aca="false">IF(Tasks[[#This Row],[Task Name]]="","",IF(Tasks[[#This Row],[_IsSummary]],MAX(INDEX(Tasks[_LeafFcstFinish],Tasks[[#This Row],[_Row]]+1):INDEX(Tasks[_LeafFcstFinish],Tasks[[#This Row],[_Row]]+Tasks[[#This Row],[_Descendants]])),Tasks[[#This Row],[_LeafFcstFinish]]))</f>
        <v/>
      </c>
      <c r="V14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4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2" s="25" t="str">
        <f aca="false">IF(Tasks[[#This Row],[Task Name]]="","",IF(Tasks[[#This Row],[_IsSummary]],MIN(INDEX(Tasks[_LeafLateStart],Tasks[[#This Row],[_Row]]+1):INDEX(Tasks[_LeafLateStart],Tasks[[#This Row],[_Row]]+Tasks[[#This Row],[_Descendants]])),Tasks[[#This Row],[_LeafLateStart]]))</f>
        <v/>
      </c>
      <c r="Y142" s="25" t="str">
        <f aca="false">IF(Tasks[[#This Row],[Task Name]]="","",IF(Tasks[[#This Row],[_IsSummary]],MAX(INDEX(Tasks[_LeafLateFinish],Tasks[[#This Row],[_Row]]+1):INDEX(Tasks[_LeafLateFinish],Tasks[[#This Row],[_Row]]+Tasks[[#This Row],[_Descendants]])),Tasks[[#This Row],[_LeafLateFinish]]))</f>
        <v/>
      </c>
      <c r="Z142" s="43" t="str">
        <f aca="false">IF(Tasks[[#This Row],[Task Name]]="","",IF(Tasks[[#This Row],[_IsSummary]],MIN(INDEX(Tasks[_LeafTotalSlack],Tasks[[#This Row],[_Row]]+1):INDEX(Tasks[_LeafTotalSlack],Tasks[[#This Row],[_Row]]+Tasks[[#This Row],[_Descendants]])),Tasks[[#This Row],[_LeafTotalSlack]]))</f>
        <v/>
      </c>
      <c r="AA14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2" s="28" t="str">
        <f aca="false">IF(Tasks[[#This Row],[Task Name]]="","",IF(IF(Tasks[[#This Row],[_IsSummary]],COUNTIF(INDEX(Tasks[_LeafCritical],Tasks[[#This Row],[_Row]]+1):INDEX(Tasks[_LeafCritical],Tasks[[#This Row],[_Row]]+Tasks[[#This Row],[_Descendants]]),TRUE())&gt;0,Tasks[[#This Row],[_LeafCritical]]),"Yes",""))</f>
        <v/>
      </c>
      <c r="AC14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2" s="24" t="str">
        <f aca="false">IF(Tasks[[#This Row],[Task Name]]="","",TRIM(IF(Tasks[[#This Row],[_Pred1Problem]]&lt;&gt;"","Pred 1: "&amp;Tasks[[#This Row],[_Pred1Problem]]&amp;". ","")&amp;IF(Tasks[[#This Row],[_Pred2Problem]]&lt;&gt;"","Pred 2: "&amp;Tasks[[#This Row],[_Pred2Problem]]&amp;".","")))</f>
        <v/>
      </c>
      <c r="AE142" s="88"/>
      <c r="AF142"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2" s="28" t="str">
        <f aca="false">IF(Tasks[[#This Row],[Task Name]]="","",IF(Tasks[[#This Row],[Progress]]&gt;=1,"Complete",IF(OR(N(Tasks[[#This Row],[Actual Start]])&gt;0,Tasks[[#This Row],[Progress]]&gt;0),IF(Tasks[[#This Row],[Finish Var]]&gt;0,"Behind","In Progress"),IF(Tasks[[#This Row],[Planned Start]]&lt;StatusDate,"Late Start","Not Started"))))</f>
        <v/>
      </c>
      <c r="AH142" s="30"/>
      <c r="AI142" s="88"/>
      <c r="AJ142" s="95" t="str">
        <f aca="false">IF(Tasks[[#This Row],[Task Name]]="","",IF(Tasks[[#This Row],[_IsSummary]],SUM(INDEX(Tasks[_LeafWork],Tasks[[#This Row],[_Row]]+1):INDEX(Tasks[_LeafWork],Tasks[[#This Row],[_Row]]+Tasks[[#This Row],[_Descendants]])),Tasks[[#This Row],[_LeafWork]]))</f>
        <v/>
      </c>
      <c r="AK142" s="96" t="str">
        <f aca="false">IF(Tasks[[#This Row],[Task Name]]="","",IF(Tasks[[#This Row],[_IsSummary]],SUM(INDEX(Tasks[_LeafCost],Tasks[[#This Row],[_Row]]+1):INDEX(Tasks[_LeafCost],Tasks[[#This Row],[_Row]]+Tasks[[#This Row],[_Descendants]])),Tasks[[#This Row],[_LeafCost]]))</f>
        <v/>
      </c>
      <c r="AL142" s="97"/>
      <c r="AM142" s="29"/>
      <c r="AN14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42" s="82"/>
      <c r="AP142" s="24" t="str">
        <f aca="false">IF(Tasks[[#This Row],[Task Name]]="","",Tasks[[#This Row],[_Pred1IDText]]&amp;IF(AND(Tasks[[#This Row],[_Pred1IDText]]&lt;&gt;"",Tasks[[#This Row],[_Pred2IDText]]&lt;&gt;""),",","")&amp;Tasks[[#This Row],[_Pred2IDText]])</f>
        <v/>
      </c>
      <c r="AQ142" s="30"/>
      <c r="AR142" s="25" t="str">
        <f aca="false">IF(Tasks[[#This Row],[Task Name]]="","",Tasks[[#This Row],[Forecast Start]])</f>
        <v/>
      </c>
      <c r="AS142" s="25" t="str">
        <f aca="false">IF(Tasks[[#This Row],[Task Name]]="","",Tasks[[#This Row],[Forecast Finish]])</f>
        <v/>
      </c>
      <c r="AT142" s="28" t="str">
        <f aca="false">IF(Tasks[[#This Row],[Task Name]]="","",IF(Tasks[[#This Row],[_IsSummary]],NETWORKDAYS.INTL(Tasks[[#This Row],[Forecast Start]],Tasks[[#This Row],[Forecast Finish]],WorkWeek,Holidays),N(Tasks[[#This Row],[Duration]])))</f>
        <v/>
      </c>
      <c r="AU142" s="95" t="str">
        <f aca="false">IF(Tasks[[#This Row],[Task Name]]="","",Tasks[[#This Row],[Work]])</f>
        <v/>
      </c>
      <c r="AV142" s="96" t="str">
        <f aca="false">IF(Tasks[[#This Row],[Task Name]]="","",Tasks[[#This Row],[Cost]])</f>
        <v/>
      </c>
      <c r="AW142" s="73"/>
      <c r="AX142" s="73"/>
      <c r="AY142" s="29"/>
      <c r="AZ142" s="98"/>
      <c r="BA142" s="97"/>
      <c r="BB142" s="28" t="str">
        <f aca="false">IF(OR(Tasks[[#This Row],[Task Name]]="",Tasks[[#This Row],[Baseline Duration]]=""),"",Tasks[[#This Row],[BL Source Duration]]-N(Tasks[[#This Row],[Baseline Duration]]))</f>
        <v/>
      </c>
      <c r="BC142" s="95" t="str">
        <f aca="false">IF(OR(Tasks[[#This Row],[Task Name]]="",Tasks[[#This Row],[Baseline Work]]=""),"",Tasks[[#This Row],[Work]]-N(Tasks[[#This Row],[Baseline Work]]))</f>
        <v/>
      </c>
      <c r="BD142" s="96" t="str">
        <f aca="false">IF(OR(Tasks[[#This Row],[Task Name]]="",Tasks[[#This Row],[Baseline Cost]]=""),"",Tasks[[#This Row],[Cost]]-N(Tasks[[#This Row],[Baseline Cost]]))</f>
        <v/>
      </c>
      <c r="BE142" s="96" t="str">
        <f aca="false">IF(Tasks[[#This Row],[Task Name]]="","",IF(Tasks[[#This Row],[_IsSummary]],SUM(INDEX(Tasks[_LeafBudget],Tasks[[#This Row],[_Row]]+1):INDEX(Tasks[_LeafBudget],Tasks[[#This Row],[_Row]]+Tasks[[#This Row],[_Descendants]])),Tasks[[#This Row],[_LeafBudget]]))</f>
        <v/>
      </c>
      <c r="BF142" s="96" t="str">
        <f aca="false">IF(Tasks[[#This Row],[Task Name]]="","",IF(Tasks[[#This Row],[_IsSummary]],SUM(INDEX(Tasks[_LeafPV],Tasks[[#This Row],[_Row]]+1):INDEX(Tasks[_LeafPV],Tasks[[#This Row],[_Row]]+Tasks[[#This Row],[_Descendants]])),Tasks[[#This Row],[_LeafPV]]))</f>
        <v/>
      </c>
      <c r="BG142" s="96" t="str">
        <f aca="false">IF(Tasks[[#This Row],[Task Name]]="","",IF(Tasks[[#This Row],[_IsSummary]],SUM(INDEX(Tasks[_LeafEV],Tasks[[#This Row],[_Row]]+1):INDEX(Tasks[_LeafEV],Tasks[[#This Row],[_Row]]+Tasks[[#This Row],[_Descendants]])),Tasks[[#This Row],[_LeafEV]]))</f>
        <v/>
      </c>
      <c r="BH142" s="96" t="str">
        <f aca="false">IF(Tasks[[#This Row],[Task Name]]="","",IF(Tasks[[#This Row],[_IsSummary]],SUM(INDEX(Tasks[_LeafAC],Tasks[[#This Row],[_Row]]+1):INDEX(Tasks[_LeafAC],Tasks[[#This Row],[_Row]]+Tasks[[#This Row],[_Descendants]])),Tasks[[#This Row],[_LeafAC]]))</f>
        <v/>
      </c>
      <c r="BI142" s="41" t="str">
        <f aca="false">IF(Tasks[[#This Row],[Task Name]]="","",MAX(1,N(Tasks[[#This Row],[Level]])))</f>
        <v/>
      </c>
      <c r="BJ142" s="41" t="n">
        <f aca="false">ROW()-ROW(Tasks[[#Headers],[ID]])</f>
        <v>137</v>
      </c>
      <c r="BK142" s="41" t="n">
        <f aca="false">IF(OR(Tasks[[#This Row],[Task Name]]="",Tasks[[#This Row],[_Level]]&lt;=1),0,IFERROR(LOOKUP(2,1/(Tasks[[#Headers],[_Level]]:Tasks[[#This Row],[_Level]]=Tasks[[#This Row],[_Level]]-1),ROW(Tasks[[#Headers],[_Level]]:Tasks[[#This Row],[_Level]])),0))</f>
        <v>0</v>
      </c>
      <c r="BL142" s="41" t="n">
        <f aca="false">IFERROR(N(INDEX(Tasks[_Level],Tasks[[#This Row],[_Row]]+1)),0)</f>
        <v>0</v>
      </c>
      <c r="BM142" s="99" t="b">
        <f aca="false">AND(Tasks[[#This Row],[Task Name]]&lt;&gt;"",Tasks[[#This Row],[_NextLevel]]&gt;Tasks[[#This Row],[_Level]])</f>
        <v>0</v>
      </c>
      <c r="BN142" s="41" t="n">
        <f aca="false">IF(Tasks[[#This Row],[_IsSummary]],COUNTIF(Tasks[WBS],Tasks[[#This Row],[WBS]]&amp;".*"),0)</f>
        <v>0</v>
      </c>
      <c r="BO142" s="41" t="n">
        <f aca="false">IF(AND(Tasks[[#This Row],[Task Name]]&lt;&gt;"",NOT(Tasks[[#This Row],[_IsSummary]])),1,0)</f>
        <v>0</v>
      </c>
      <c r="BP142" s="41" t="n">
        <f aca="false">IF(N(Tasks[[#This Row],[Pred1 UID]])=0,0,IFERROR(MATCH(Tasks[[#This Row],[Pred1 UID]],Tasks[UID],0),-1))</f>
        <v>0</v>
      </c>
      <c r="BQ142" s="41" t="n">
        <f aca="false">IF(N(Tasks[[#This Row],[Pred2 UID]])=0,0,IFERROR(MATCH(Tasks[[#This Row],[Pred2 UID]],Tasks[UID],0),-1))</f>
        <v>0</v>
      </c>
      <c r="BR142"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42" s="100" t="str">
        <f aca="false">IF(NOT(Tasks[[#This Row],[_IsLeaf]]=1),"",IF(N(Tasks[[#This Row],[Duration]])&lt;=0,Tasks[[#This Row],[_LeafCalcStart]],WORKDAY.INTL(Tasks[[#This Row],[_LeafCalcStart]],Tasks[[#This Row],[Duration]]-1,WorkWeek,Holidays)))</f>
        <v/>
      </c>
      <c r="BT142"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42"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42" s="41" t="n">
        <f aca="false">IF(NOT(Tasks[[#This Row],[_IsLeaf]]=1),0,IF(N(Tasks[[#This Row],[Actual Finish]])&gt;0,1,MIN(1,N(Tasks[[#This Row],[% Complete]]))))</f>
        <v>0</v>
      </c>
      <c r="BW142" s="41" t="n">
        <f aca="false">IF(OR(NOT(Tasks[[#This Row],[_IsLeaf]]=1),Tasks[[#This Row],[Resource]]=""),0,N(Tasks[[#This Row],[Duration]])*HoursPerDay*IF(Tasks[[#This Row],[Units]]="",DefaultUnits,Tasks[[#This Row],[Units]]))</f>
        <v>0</v>
      </c>
      <c r="BX142" s="41" t="n">
        <f aca="false">IF(Tasks[[#This Row],[_LeafWork]]=0,0,Tasks[[#This Row],[_LeafWork]]*IFERROR(INDEX(res_Rate,MATCH(Tasks[[#This Row],[Resource]],res_Name,0)),0))</f>
        <v>0</v>
      </c>
      <c r="BY14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4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4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4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42" s="41" t="n">
        <f aca="false">IF(NOT(Tasks[[#This Row],[_IsLeaf]]=1),0,MAX(_xlfn.MAXIFS(Tasks[_Row],Tasks[Pred1 UID],Tasks[[#This Row],[UID]]),_xlfn.MAXIFS(Tasks[_Row],Tasks[Pred2 UID],Tasks[[#This Row],[UID]])))</f>
        <v>0</v>
      </c>
      <c r="CD142"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42" s="100" t="str">
        <f aca="false">IF(NOT(Tasks[[#This Row],[_IsLeaf]]=1),"",MIN(ProjectFinish,IF(N(Tasks[[#This Row],[Deadline]])&gt;0,Tasks[[#This Row],[Deadline]],2958465),Tasks[[#This Row],[_SuccessorFinishLimit]]))</f>
        <v/>
      </c>
      <c r="CF142" s="100" t="str">
        <f aca="false">IF(NOT(Tasks[[#This Row],[_IsLeaf]]=1),"",IF(N(Tasks[[#This Row],[Duration]])&lt;=0,Tasks[[#This Row],[_LeafLateFinish]],WORKDAY.INTL(Tasks[[#This Row],[_LeafLateFinish]],-(Tasks[[#This Row],[Duration]]-1),WorkWeek,Holidays)))</f>
        <v/>
      </c>
      <c r="CG14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42" s="99" t="b">
        <f aca="false">AND(Tasks[[#This Row],[_IsLeaf]]=1,Tasks[[#This Row],[_LeafProgress]]&lt;1,N(Tasks[[#This Row],[_LeafTotalSlack]])&lt;=CriticalSlackDays)</f>
        <v>0</v>
      </c>
      <c r="CI142" s="100" t="str">
        <f aca="false">IF(Tasks[[#This Row],[Task Name]]="","",IF(Tasks[[#This Row],[_IsSummary]],MIN(INDEX(Tasks[_LeafCalcStart],Tasks[[#This Row],[_Row]]+1):INDEX(Tasks[_LeafCalcStart],Tasks[[#This Row],[_Row]]+Tasks[[#This Row],[_Descendants]])),Tasks[[#This Row],[_LeafCalcStart]]))</f>
        <v/>
      </c>
      <c r="CJ142" s="100" t="str">
        <f aca="false">IF(Tasks[[#This Row],[Task Name]]="","",IF(Tasks[[#This Row],[_IsSummary]],MAX(INDEX(Tasks[_LeafCalcFinish],Tasks[[#This Row],[_Row]]+1):INDEX(Tasks[_LeafCalcFinish],Tasks[[#This Row],[_Row]]+Tasks[[#This Row],[_Descendants]])),Tasks[[#This Row],[_LeafCalcFinish]]))</f>
        <v/>
      </c>
      <c r="CK14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4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42"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42"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42"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42"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42" s="41" t="n">
        <f aca="false">IF(AND(Tasks[[#This Row],[_IsLeaf]]=1,Tasks[[#This Row],[_LeafWork]]&gt;0),NETWORKDAYS.INTL(ProjectStart,Tasks[[#This Row],[_LeafFcstStart]],WorkWeek,Holidays),0)</f>
        <v>0</v>
      </c>
      <c r="CR142" s="41" t="n">
        <f aca="false">IF(AND(Tasks[[#This Row],[_IsLeaf]]=1,Tasks[[#This Row],[_LeafWork]]&gt;0),MAX(Tasks[[#This Row],[_StartWorkday]],NETWORKDAYS.INTL(ProjectStart,Tasks[[#This Row],[_LeafFcstFinish]],WorkWeek,Holidays)),0)</f>
        <v>0</v>
      </c>
      <c r="CS142" s="41" t="n">
        <f aca="false">IF(AND(Tasks[[#This Row],[_IsLeaf]]=1,Tasks[[#This Row],[_LeafWork]]&gt;0),Tasks[[#This Row],[_LeafWork]]/(Tasks[[#This Row],[_FinishWorkday]]-Tasks[[#This Row],[_StartWorkday]]+1),0)</f>
        <v>0</v>
      </c>
      <c r="CT142" s="41" t="n">
        <f aca="false">Tasks[[#This Row],[_WorkPerWorkday]]*(Tasks[[#This Row],[_StartWorkday]]-1)</f>
        <v>-0</v>
      </c>
      <c r="CU142" s="41" t="n">
        <f aca="false">IF(Tasks[[#This Row],[_IsLeaf]]=1,MAX(N(Tasks[[#This Row],[Duration]]),0.1),0)</f>
        <v>0</v>
      </c>
      <c r="CV142" s="41" t="n">
        <f aca="false">Tasks[[#This Row],[_WeightDur]]*Tasks[[#This Row],[_LeafProgress]]</f>
        <v>0</v>
      </c>
      <c r="CW14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4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4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4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42" s="41" t="str">
        <f aca="false">IF(Tasks[[#This Row],[Task Name]]="","",Tasks[[#This Row],[_Pred1UIDText]]&amp;IF(AND(Tasks[[#This Row],[_Pred1UIDText]]&lt;&gt;"",Tasks[[#This Row],[_Pred2UIDText]]&lt;&gt;""),",","")&amp;Tasks[[#This Row],[_Pred2UIDText]])</f>
        <v/>
      </c>
      <c r="DB142" s="41" t="str">
        <f aca="false">IF(AND(Tasks[[#This Row],[_IsLeaf]]=1,N(Tasks[[#This Row],[Duration]])=0,Tasks[[#This Row],[_LeafProgress]]&lt;1),Tasks[[#This Row],[_LeafFcstFinish]]+Tasks[[#This Row],[_Row]]/100000,"")</f>
        <v/>
      </c>
      <c r="DC14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42" s="41" t="n">
        <f aca="false">IF(NOT(Tasks[[#This Row],[_IsLeaf]]=1),0,IF(Tasks[[#This Row],[Baseline Cost]]="",Tasks[[#This Row],[_LeafCost]],N(Tasks[[#This Row],[Baseline Cost]])))</f>
        <v>0</v>
      </c>
      <c r="DE142" s="41" t="n">
        <f aca="false">Tasks[[#This Row],[_LeafBudget]]*Tasks[[#This Row],[_PlannedPct]]</f>
        <v>0</v>
      </c>
      <c r="DF142" s="41" t="n">
        <f aca="false">Tasks[[#This Row],[_LeafBudget]]*Tasks[[#This Row],[_LeafProgress]]</f>
        <v>0</v>
      </c>
      <c r="DG142" s="41" t="n">
        <f aca="false">IF(NOT(Tasks[[#This Row],[_IsLeaf]]=1),0,IF(Tasks[[#This Row],[Actual Cost]]="",Tasks[[#This Row],[_LeafCost]]*Tasks[[#This Row],[_LeafProgress]],N(Tasks[[#This Row],[Actual Cost]])))</f>
        <v>0</v>
      </c>
      <c r="DH142" s="41" t="str">
        <f aca="false">IF(Tasks[[#This Row],[Task Name]]="","",LEFT(Tasks[[#This Row],[WBS]],FIND(".",Tasks[[#This Row],[WBS]]&amp;".")-1))</f>
        <v/>
      </c>
      <c r="DI142" s="41" t="str">
        <f aca="false">IF(AND(Tasks[[#This Row],[Task Name]]&lt;&gt;"",Tasks[[#This Row],[_Level]]=1),Tasks[[#This Row],[_Row]],"")</f>
        <v/>
      </c>
      <c r="DJ142" s="41" t="str">
        <f aca="false">IF(AND(Tasks[[#This Row],[_IsLeaf]]=1,N(Tasks[[#This Row],[Duration]])=0),Tasks[[#This Row],[Planned Finish]]+Tasks[[#This Row],[_Row]]/100000,"")</f>
        <v/>
      </c>
      <c r="DK142" s="41" t="str">
        <f aca="false">IF(AND(Tasks[[#This Row],[_IsLeaf]]=1,Tasks[[#This Row],[_LeafProgress]]&lt;1,OR(N(Tasks[[#This Row],[Finish Var]])&gt;0,Tasks[[#This Row],[Status]]="Late Start")),MAX(0,Tasks[[#This Row],[Finish Var]])+1-Tasks[[#This Row],[_Row]]/1000000,"")</f>
        <v/>
      </c>
      <c r="DL142" s="41" t="str">
        <f aca="false">IF(AND(Tasks[[#This Row],[_IsLeaf]]=1,N(Tasks[[#This Row],[Actual Start]])=0,Tasks[[#This Row],[_LeafFcstStart]]&gt;=StatusDate,Tasks[[#This Row],[_LeafFcstStart]]&lt;=LookaheadEnd),Tasks[[#This Row],[_LeafFcstStart]]+Tasks[[#This Row],[_Row]]/100000,"")</f>
        <v/>
      </c>
      <c r="DM142" s="41" t="str">
        <f aca="false">IF(AND(Tasks[[#This Row],[_IsLeaf]]=1,Tasks[[#This Row],[_LeafProgress]]&lt;1,Tasks[[#This Row],[_LeafFcstFinish]]&gt;=StatusDate,Tasks[[#This Row],[_LeafFcstFinish]]&lt;=LookaheadEnd),Tasks[[#This Row],[_LeafFcstFinish]]+Tasks[[#This Row],[_Row]]/100000,"")</f>
        <v/>
      </c>
      <c r="DN142" s="41" t="str">
        <f aca="false">IF(Tasks[[#This Row],[_LeafCritical]],Tasks[[#This Row],[_LeafFcstStart]]+Tasks[[#This Row],[_Row]]/100000,"")</f>
        <v/>
      </c>
      <c r="DO142" s="41" t="n">
        <f aca="false">Tasks[[#This Row],[_LeafWork]]*Tasks[[#This Row],[_LeafProgress]]</f>
        <v>0</v>
      </c>
      <c r="DP142" s="100" t="str">
        <f aca="false">IF(AND(Tasks[[#This Row],[_IsLeaf]]=1,Tasks[[#This Row],[_LeafProgress]]&gt;=1),IF(N(Tasks[[#This Row],[Actual Finish]])&gt;0,Tasks[[#This Row],[Actual Finish]],Tasks[[#This Row],[_LeafFcstFinish]]),"")</f>
        <v/>
      </c>
      <c r="DQ142" s="41" t="n">
        <f aca="false">IF(Tasks[[#This Row],[_IsLeaf]]=1,N(Tasks[[#This Row],[Story Points]]),0)</f>
        <v>0</v>
      </c>
      <c r="DR142" s="41" t="str">
        <f aca="false">IF(AND(Tasks[[#This Row],[_IsLeaf]]=1,CurrentSprint&lt;&gt;"",Tasks[[#This Row],[Sprint]]=CurrentSprint),Tasks[[#This Row],[_Row]],"")</f>
        <v/>
      </c>
    </row>
    <row r="143" customFormat="false" ht="15" hidden="false" customHeight="false" outlineLevel="0" collapsed="false">
      <c r="A143" s="28" t="str">
        <f aca="false">IF(Tasks[[#This Row],[Task Name]]="","",COUNTA(Tasks[[#Headers],[Task Name]]:Tasks[[#This Row],[Task Name]])-1)</f>
        <v/>
      </c>
      <c r="B143" s="29" t="n">
        <v>138</v>
      </c>
      <c r="C14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3" s="29"/>
      <c r="E143" s="30"/>
      <c r="F143" s="29"/>
      <c r="G143" s="29"/>
      <c r="H143" s="29"/>
      <c r="I143" s="29"/>
      <c r="J143" s="29"/>
      <c r="K143" s="29"/>
      <c r="L143" s="29"/>
      <c r="M143" s="29"/>
      <c r="N143" s="73"/>
      <c r="O143" s="73"/>
      <c r="P143" s="25" t="str">
        <f aca="false">IF(Tasks[[#This Row],[Task Name]]="","",IF(N(Tasks[[#This Row],[Baseline Start]])&gt;0,Tasks[[#This Row],[Baseline Start]],Tasks[[#This Row],[_CalcStart]]))</f>
        <v/>
      </c>
      <c r="Q143" s="25" t="str">
        <f aca="false">IF(Tasks[[#This Row],[Task Name]]="","",IF(N(Tasks[[#This Row],[Baseline Finish]])&gt;0,Tasks[[#This Row],[Baseline Finish]],Tasks[[#This Row],[_CalcFinish]]))</f>
        <v/>
      </c>
      <c r="R143" s="73"/>
      <c r="S143" s="73"/>
      <c r="T143" s="25" t="str">
        <f aca="false">IF(Tasks[[#This Row],[Task Name]]="","",IF(Tasks[[#This Row],[_IsSummary]],MIN(INDEX(Tasks[_LeafFcstStart],Tasks[[#This Row],[_Row]]+1):INDEX(Tasks[_LeafFcstStart],Tasks[[#This Row],[_Row]]+Tasks[[#This Row],[_Descendants]])),Tasks[[#This Row],[_LeafFcstStart]]))</f>
        <v/>
      </c>
      <c r="U143" s="25" t="str">
        <f aca="false">IF(Tasks[[#This Row],[Task Name]]="","",IF(Tasks[[#This Row],[_IsSummary]],MAX(INDEX(Tasks[_LeafFcstFinish],Tasks[[#This Row],[_Row]]+1):INDEX(Tasks[_LeafFcstFinish],Tasks[[#This Row],[_Row]]+Tasks[[#This Row],[_Descendants]])),Tasks[[#This Row],[_LeafFcstFinish]]))</f>
        <v/>
      </c>
      <c r="V14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4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3" s="25" t="str">
        <f aca="false">IF(Tasks[[#This Row],[Task Name]]="","",IF(Tasks[[#This Row],[_IsSummary]],MIN(INDEX(Tasks[_LeafLateStart],Tasks[[#This Row],[_Row]]+1):INDEX(Tasks[_LeafLateStart],Tasks[[#This Row],[_Row]]+Tasks[[#This Row],[_Descendants]])),Tasks[[#This Row],[_LeafLateStart]]))</f>
        <v/>
      </c>
      <c r="Y143" s="25" t="str">
        <f aca="false">IF(Tasks[[#This Row],[Task Name]]="","",IF(Tasks[[#This Row],[_IsSummary]],MAX(INDEX(Tasks[_LeafLateFinish],Tasks[[#This Row],[_Row]]+1):INDEX(Tasks[_LeafLateFinish],Tasks[[#This Row],[_Row]]+Tasks[[#This Row],[_Descendants]])),Tasks[[#This Row],[_LeafLateFinish]]))</f>
        <v/>
      </c>
      <c r="Z143" s="43" t="str">
        <f aca="false">IF(Tasks[[#This Row],[Task Name]]="","",IF(Tasks[[#This Row],[_IsSummary]],MIN(INDEX(Tasks[_LeafTotalSlack],Tasks[[#This Row],[_Row]]+1):INDEX(Tasks[_LeafTotalSlack],Tasks[[#This Row],[_Row]]+Tasks[[#This Row],[_Descendants]])),Tasks[[#This Row],[_LeafTotalSlack]]))</f>
        <v/>
      </c>
      <c r="AA14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3" s="28" t="str">
        <f aca="false">IF(Tasks[[#This Row],[Task Name]]="","",IF(IF(Tasks[[#This Row],[_IsSummary]],COUNTIF(INDEX(Tasks[_LeafCritical],Tasks[[#This Row],[_Row]]+1):INDEX(Tasks[_LeafCritical],Tasks[[#This Row],[_Row]]+Tasks[[#This Row],[_Descendants]]),TRUE())&gt;0,Tasks[[#This Row],[_LeafCritical]]),"Yes",""))</f>
        <v/>
      </c>
      <c r="AC14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3" s="24" t="str">
        <f aca="false">IF(Tasks[[#This Row],[Task Name]]="","",TRIM(IF(Tasks[[#This Row],[_Pred1Problem]]&lt;&gt;"","Pred 1: "&amp;Tasks[[#This Row],[_Pred1Problem]]&amp;". ","")&amp;IF(Tasks[[#This Row],[_Pred2Problem]]&lt;&gt;"","Pred 2: "&amp;Tasks[[#This Row],[_Pred2Problem]]&amp;".","")))</f>
        <v/>
      </c>
      <c r="AE143" s="88"/>
      <c r="AF143"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3" s="28" t="str">
        <f aca="false">IF(Tasks[[#This Row],[Task Name]]="","",IF(Tasks[[#This Row],[Progress]]&gt;=1,"Complete",IF(OR(N(Tasks[[#This Row],[Actual Start]])&gt;0,Tasks[[#This Row],[Progress]]&gt;0),IF(Tasks[[#This Row],[Finish Var]]&gt;0,"Behind","In Progress"),IF(Tasks[[#This Row],[Planned Start]]&lt;StatusDate,"Late Start","Not Started"))))</f>
        <v/>
      </c>
      <c r="AH143" s="30"/>
      <c r="AI143" s="88"/>
      <c r="AJ143" s="95" t="str">
        <f aca="false">IF(Tasks[[#This Row],[Task Name]]="","",IF(Tasks[[#This Row],[_IsSummary]],SUM(INDEX(Tasks[_LeafWork],Tasks[[#This Row],[_Row]]+1):INDEX(Tasks[_LeafWork],Tasks[[#This Row],[_Row]]+Tasks[[#This Row],[_Descendants]])),Tasks[[#This Row],[_LeafWork]]))</f>
        <v/>
      </c>
      <c r="AK143" s="96" t="str">
        <f aca="false">IF(Tasks[[#This Row],[Task Name]]="","",IF(Tasks[[#This Row],[_IsSummary]],SUM(INDEX(Tasks[_LeafCost],Tasks[[#This Row],[_Row]]+1):INDEX(Tasks[_LeafCost],Tasks[[#This Row],[_Row]]+Tasks[[#This Row],[_Descendants]])),Tasks[[#This Row],[_LeafCost]]))</f>
        <v/>
      </c>
      <c r="AL143" s="97"/>
      <c r="AM143" s="29"/>
      <c r="AN14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43" s="82"/>
      <c r="AP143" s="24" t="str">
        <f aca="false">IF(Tasks[[#This Row],[Task Name]]="","",Tasks[[#This Row],[_Pred1IDText]]&amp;IF(AND(Tasks[[#This Row],[_Pred1IDText]]&lt;&gt;"",Tasks[[#This Row],[_Pred2IDText]]&lt;&gt;""),",","")&amp;Tasks[[#This Row],[_Pred2IDText]])</f>
        <v/>
      </c>
      <c r="AQ143" s="30"/>
      <c r="AR143" s="25" t="str">
        <f aca="false">IF(Tasks[[#This Row],[Task Name]]="","",Tasks[[#This Row],[Forecast Start]])</f>
        <v/>
      </c>
      <c r="AS143" s="25" t="str">
        <f aca="false">IF(Tasks[[#This Row],[Task Name]]="","",Tasks[[#This Row],[Forecast Finish]])</f>
        <v/>
      </c>
      <c r="AT143" s="28" t="str">
        <f aca="false">IF(Tasks[[#This Row],[Task Name]]="","",IF(Tasks[[#This Row],[_IsSummary]],NETWORKDAYS.INTL(Tasks[[#This Row],[Forecast Start]],Tasks[[#This Row],[Forecast Finish]],WorkWeek,Holidays),N(Tasks[[#This Row],[Duration]])))</f>
        <v/>
      </c>
      <c r="AU143" s="95" t="str">
        <f aca="false">IF(Tasks[[#This Row],[Task Name]]="","",Tasks[[#This Row],[Work]])</f>
        <v/>
      </c>
      <c r="AV143" s="96" t="str">
        <f aca="false">IF(Tasks[[#This Row],[Task Name]]="","",Tasks[[#This Row],[Cost]])</f>
        <v/>
      </c>
      <c r="AW143" s="73"/>
      <c r="AX143" s="73"/>
      <c r="AY143" s="29"/>
      <c r="AZ143" s="98"/>
      <c r="BA143" s="97"/>
      <c r="BB143" s="28" t="str">
        <f aca="false">IF(OR(Tasks[[#This Row],[Task Name]]="",Tasks[[#This Row],[Baseline Duration]]=""),"",Tasks[[#This Row],[BL Source Duration]]-N(Tasks[[#This Row],[Baseline Duration]]))</f>
        <v/>
      </c>
      <c r="BC143" s="95" t="str">
        <f aca="false">IF(OR(Tasks[[#This Row],[Task Name]]="",Tasks[[#This Row],[Baseline Work]]=""),"",Tasks[[#This Row],[Work]]-N(Tasks[[#This Row],[Baseline Work]]))</f>
        <v/>
      </c>
      <c r="BD143" s="96" t="str">
        <f aca="false">IF(OR(Tasks[[#This Row],[Task Name]]="",Tasks[[#This Row],[Baseline Cost]]=""),"",Tasks[[#This Row],[Cost]]-N(Tasks[[#This Row],[Baseline Cost]]))</f>
        <v/>
      </c>
      <c r="BE143" s="96" t="str">
        <f aca="false">IF(Tasks[[#This Row],[Task Name]]="","",IF(Tasks[[#This Row],[_IsSummary]],SUM(INDEX(Tasks[_LeafBudget],Tasks[[#This Row],[_Row]]+1):INDEX(Tasks[_LeafBudget],Tasks[[#This Row],[_Row]]+Tasks[[#This Row],[_Descendants]])),Tasks[[#This Row],[_LeafBudget]]))</f>
        <v/>
      </c>
      <c r="BF143" s="96" t="str">
        <f aca="false">IF(Tasks[[#This Row],[Task Name]]="","",IF(Tasks[[#This Row],[_IsSummary]],SUM(INDEX(Tasks[_LeafPV],Tasks[[#This Row],[_Row]]+1):INDEX(Tasks[_LeafPV],Tasks[[#This Row],[_Row]]+Tasks[[#This Row],[_Descendants]])),Tasks[[#This Row],[_LeafPV]]))</f>
        <v/>
      </c>
      <c r="BG143" s="96" t="str">
        <f aca="false">IF(Tasks[[#This Row],[Task Name]]="","",IF(Tasks[[#This Row],[_IsSummary]],SUM(INDEX(Tasks[_LeafEV],Tasks[[#This Row],[_Row]]+1):INDEX(Tasks[_LeafEV],Tasks[[#This Row],[_Row]]+Tasks[[#This Row],[_Descendants]])),Tasks[[#This Row],[_LeafEV]]))</f>
        <v/>
      </c>
      <c r="BH143" s="96" t="str">
        <f aca="false">IF(Tasks[[#This Row],[Task Name]]="","",IF(Tasks[[#This Row],[_IsSummary]],SUM(INDEX(Tasks[_LeafAC],Tasks[[#This Row],[_Row]]+1):INDEX(Tasks[_LeafAC],Tasks[[#This Row],[_Row]]+Tasks[[#This Row],[_Descendants]])),Tasks[[#This Row],[_LeafAC]]))</f>
        <v/>
      </c>
      <c r="BI143" s="41" t="str">
        <f aca="false">IF(Tasks[[#This Row],[Task Name]]="","",MAX(1,N(Tasks[[#This Row],[Level]])))</f>
        <v/>
      </c>
      <c r="BJ143" s="41" t="n">
        <f aca="false">ROW()-ROW(Tasks[[#Headers],[ID]])</f>
        <v>138</v>
      </c>
      <c r="BK143" s="41" t="n">
        <f aca="false">IF(OR(Tasks[[#This Row],[Task Name]]="",Tasks[[#This Row],[_Level]]&lt;=1),0,IFERROR(LOOKUP(2,1/(Tasks[[#Headers],[_Level]]:Tasks[[#This Row],[_Level]]=Tasks[[#This Row],[_Level]]-1),ROW(Tasks[[#Headers],[_Level]]:Tasks[[#This Row],[_Level]])),0))</f>
        <v>0</v>
      </c>
      <c r="BL143" s="41" t="n">
        <f aca="false">IFERROR(N(INDEX(Tasks[_Level],Tasks[[#This Row],[_Row]]+1)),0)</f>
        <v>0</v>
      </c>
      <c r="BM143" s="99" t="b">
        <f aca="false">AND(Tasks[[#This Row],[Task Name]]&lt;&gt;"",Tasks[[#This Row],[_NextLevel]]&gt;Tasks[[#This Row],[_Level]])</f>
        <v>0</v>
      </c>
      <c r="BN143" s="41" t="n">
        <f aca="false">IF(Tasks[[#This Row],[_IsSummary]],COUNTIF(Tasks[WBS],Tasks[[#This Row],[WBS]]&amp;".*"),0)</f>
        <v>0</v>
      </c>
      <c r="BO143" s="41" t="n">
        <f aca="false">IF(AND(Tasks[[#This Row],[Task Name]]&lt;&gt;"",NOT(Tasks[[#This Row],[_IsSummary]])),1,0)</f>
        <v>0</v>
      </c>
      <c r="BP143" s="41" t="n">
        <f aca="false">IF(N(Tasks[[#This Row],[Pred1 UID]])=0,0,IFERROR(MATCH(Tasks[[#This Row],[Pred1 UID]],Tasks[UID],0),-1))</f>
        <v>0</v>
      </c>
      <c r="BQ143" s="41" t="n">
        <f aca="false">IF(N(Tasks[[#This Row],[Pred2 UID]])=0,0,IFERROR(MATCH(Tasks[[#This Row],[Pred2 UID]],Tasks[UID],0),-1))</f>
        <v>0</v>
      </c>
      <c r="BR143"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43" s="100" t="str">
        <f aca="false">IF(NOT(Tasks[[#This Row],[_IsLeaf]]=1),"",IF(N(Tasks[[#This Row],[Duration]])&lt;=0,Tasks[[#This Row],[_LeafCalcStart]],WORKDAY.INTL(Tasks[[#This Row],[_LeafCalcStart]],Tasks[[#This Row],[Duration]]-1,WorkWeek,Holidays)))</f>
        <v/>
      </c>
      <c r="BT143"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43"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43" s="41" t="n">
        <f aca="false">IF(NOT(Tasks[[#This Row],[_IsLeaf]]=1),0,IF(N(Tasks[[#This Row],[Actual Finish]])&gt;0,1,MIN(1,N(Tasks[[#This Row],[% Complete]]))))</f>
        <v>0</v>
      </c>
      <c r="BW143" s="41" t="n">
        <f aca="false">IF(OR(NOT(Tasks[[#This Row],[_IsLeaf]]=1),Tasks[[#This Row],[Resource]]=""),0,N(Tasks[[#This Row],[Duration]])*HoursPerDay*IF(Tasks[[#This Row],[Units]]="",DefaultUnits,Tasks[[#This Row],[Units]]))</f>
        <v>0</v>
      </c>
      <c r="BX143" s="41" t="n">
        <f aca="false">IF(Tasks[[#This Row],[_LeafWork]]=0,0,Tasks[[#This Row],[_LeafWork]]*IFERROR(INDEX(res_Rate,MATCH(Tasks[[#This Row],[Resource]],res_Name,0)),0))</f>
        <v>0</v>
      </c>
      <c r="BY14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4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4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4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43" s="41" t="n">
        <f aca="false">IF(NOT(Tasks[[#This Row],[_IsLeaf]]=1),0,MAX(_xlfn.MAXIFS(Tasks[_Row],Tasks[Pred1 UID],Tasks[[#This Row],[UID]]),_xlfn.MAXIFS(Tasks[_Row],Tasks[Pred2 UID],Tasks[[#This Row],[UID]])))</f>
        <v>0</v>
      </c>
      <c r="CD143"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43" s="100" t="str">
        <f aca="false">IF(NOT(Tasks[[#This Row],[_IsLeaf]]=1),"",MIN(ProjectFinish,IF(N(Tasks[[#This Row],[Deadline]])&gt;0,Tasks[[#This Row],[Deadline]],2958465),Tasks[[#This Row],[_SuccessorFinishLimit]]))</f>
        <v/>
      </c>
      <c r="CF143" s="100" t="str">
        <f aca="false">IF(NOT(Tasks[[#This Row],[_IsLeaf]]=1),"",IF(N(Tasks[[#This Row],[Duration]])&lt;=0,Tasks[[#This Row],[_LeafLateFinish]],WORKDAY.INTL(Tasks[[#This Row],[_LeafLateFinish]],-(Tasks[[#This Row],[Duration]]-1),WorkWeek,Holidays)))</f>
        <v/>
      </c>
      <c r="CG14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43" s="99" t="b">
        <f aca="false">AND(Tasks[[#This Row],[_IsLeaf]]=1,Tasks[[#This Row],[_LeafProgress]]&lt;1,N(Tasks[[#This Row],[_LeafTotalSlack]])&lt;=CriticalSlackDays)</f>
        <v>0</v>
      </c>
      <c r="CI143" s="100" t="str">
        <f aca="false">IF(Tasks[[#This Row],[Task Name]]="","",IF(Tasks[[#This Row],[_IsSummary]],MIN(INDEX(Tasks[_LeafCalcStart],Tasks[[#This Row],[_Row]]+1):INDEX(Tasks[_LeafCalcStart],Tasks[[#This Row],[_Row]]+Tasks[[#This Row],[_Descendants]])),Tasks[[#This Row],[_LeafCalcStart]]))</f>
        <v/>
      </c>
      <c r="CJ143" s="100" t="str">
        <f aca="false">IF(Tasks[[#This Row],[Task Name]]="","",IF(Tasks[[#This Row],[_IsSummary]],MAX(INDEX(Tasks[_LeafCalcFinish],Tasks[[#This Row],[_Row]]+1):INDEX(Tasks[_LeafCalcFinish],Tasks[[#This Row],[_Row]]+Tasks[[#This Row],[_Descendants]])),Tasks[[#This Row],[_LeafCalcFinish]]))</f>
        <v/>
      </c>
      <c r="CK14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4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43"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43"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43"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43"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43" s="41" t="n">
        <f aca="false">IF(AND(Tasks[[#This Row],[_IsLeaf]]=1,Tasks[[#This Row],[_LeafWork]]&gt;0),NETWORKDAYS.INTL(ProjectStart,Tasks[[#This Row],[_LeafFcstStart]],WorkWeek,Holidays),0)</f>
        <v>0</v>
      </c>
      <c r="CR143" s="41" t="n">
        <f aca="false">IF(AND(Tasks[[#This Row],[_IsLeaf]]=1,Tasks[[#This Row],[_LeafWork]]&gt;0),MAX(Tasks[[#This Row],[_StartWorkday]],NETWORKDAYS.INTL(ProjectStart,Tasks[[#This Row],[_LeafFcstFinish]],WorkWeek,Holidays)),0)</f>
        <v>0</v>
      </c>
      <c r="CS143" s="41" t="n">
        <f aca="false">IF(AND(Tasks[[#This Row],[_IsLeaf]]=1,Tasks[[#This Row],[_LeafWork]]&gt;0),Tasks[[#This Row],[_LeafWork]]/(Tasks[[#This Row],[_FinishWorkday]]-Tasks[[#This Row],[_StartWorkday]]+1),0)</f>
        <v>0</v>
      </c>
      <c r="CT143" s="41" t="n">
        <f aca="false">Tasks[[#This Row],[_WorkPerWorkday]]*(Tasks[[#This Row],[_StartWorkday]]-1)</f>
        <v>-0</v>
      </c>
      <c r="CU143" s="41" t="n">
        <f aca="false">IF(Tasks[[#This Row],[_IsLeaf]]=1,MAX(N(Tasks[[#This Row],[Duration]]),0.1),0)</f>
        <v>0</v>
      </c>
      <c r="CV143" s="41" t="n">
        <f aca="false">Tasks[[#This Row],[_WeightDur]]*Tasks[[#This Row],[_LeafProgress]]</f>
        <v>0</v>
      </c>
      <c r="CW14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4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4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4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43" s="41" t="str">
        <f aca="false">IF(Tasks[[#This Row],[Task Name]]="","",Tasks[[#This Row],[_Pred1UIDText]]&amp;IF(AND(Tasks[[#This Row],[_Pred1UIDText]]&lt;&gt;"",Tasks[[#This Row],[_Pred2UIDText]]&lt;&gt;""),",","")&amp;Tasks[[#This Row],[_Pred2UIDText]])</f>
        <v/>
      </c>
      <c r="DB143" s="41" t="str">
        <f aca="false">IF(AND(Tasks[[#This Row],[_IsLeaf]]=1,N(Tasks[[#This Row],[Duration]])=0,Tasks[[#This Row],[_LeafProgress]]&lt;1),Tasks[[#This Row],[_LeafFcstFinish]]+Tasks[[#This Row],[_Row]]/100000,"")</f>
        <v/>
      </c>
      <c r="DC14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43" s="41" t="n">
        <f aca="false">IF(NOT(Tasks[[#This Row],[_IsLeaf]]=1),0,IF(Tasks[[#This Row],[Baseline Cost]]="",Tasks[[#This Row],[_LeafCost]],N(Tasks[[#This Row],[Baseline Cost]])))</f>
        <v>0</v>
      </c>
      <c r="DE143" s="41" t="n">
        <f aca="false">Tasks[[#This Row],[_LeafBudget]]*Tasks[[#This Row],[_PlannedPct]]</f>
        <v>0</v>
      </c>
      <c r="DF143" s="41" t="n">
        <f aca="false">Tasks[[#This Row],[_LeafBudget]]*Tasks[[#This Row],[_LeafProgress]]</f>
        <v>0</v>
      </c>
      <c r="DG143" s="41" t="n">
        <f aca="false">IF(NOT(Tasks[[#This Row],[_IsLeaf]]=1),0,IF(Tasks[[#This Row],[Actual Cost]]="",Tasks[[#This Row],[_LeafCost]]*Tasks[[#This Row],[_LeafProgress]],N(Tasks[[#This Row],[Actual Cost]])))</f>
        <v>0</v>
      </c>
      <c r="DH143" s="41" t="str">
        <f aca="false">IF(Tasks[[#This Row],[Task Name]]="","",LEFT(Tasks[[#This Row],[WBS]],FIND(".",Tasks[[#This Row],[WBS]]&amp;".")-1))</f>
        <v/>
      </c>
      <c r="DI143" s="41" t="str">
        <f aca="false">IF(AND(Tasks[[#This Row],[Task Name]]&lt;&gt;"",Tasks[[#This Row],[_Level]]=1),Tasks[[#This Row],[_Row]],"")</f>
        <v/>
      </c>
      <c r="DJ143" s="41" t="str">
        <f aca="false">IF(AND(Tasks[[#This Row],[_IsLeaf]]=1,N(Tasks[[#This Row],[Duration]])=0),Tasks[[#This Row],[Planned Finish]]+Tasks[[#This Row],[_Row]]/100000,"")</f>
        <v/>
      </c>
      <c r="DK143" s="41" t="str">
        <f aca="false">IF(AND(Tasks[[#This Row],[_IsLeaf]]=1,Tasks[[#This Row],[_LeafProgress]]&lt;1,OR(N(Tasks[[#This Row],[Finish Var]])&gt;0,Tasks[[#This Row],[Status]]="Late Start")),MAX(0,Tasks[[#This Row],[Finish Var]])+1-Tasks[[#This Row],[_Row]]/1000000,"")</f>
        <v/>
      </c>
      <c r="DL143" s="41" t="str">
        <f aca="false">IF(AND(Tasks[[#This Row],[_IsLeaf]]=1,N(Tasks[[#This Row],[Actual Start]])=0,Tasks[[#This Row],[_LeafFcstStart]]&gt;=StatusDate,Tasks[[#This Row],[_LeafFcstStart]]&lt;=LookaheadEnd),Tasks[[#This Row],[_LeafFcstStart]]+Tasks[[#This Row],[_Row]]/100000,"")</f>
        <v/>
      </c>
      <c r="DM143" s="41" t="str">
        <f aca="false">IF(AND(Tasks[[#This Row],[_IsLeaf]]=1,Tasks[[#This Row],[_LeafProgress]]&lt;1,Tasks[[#This Row],[_LeafFcstFinish]]&gt;=StatusDate,Tasks[[#This Row],[_LeafFcstFinish]]&lt;=LookaheadEnd),Tasks[[#This Row],[_LeafFcstFinish]]+Tasks[[#This Row],[_Row]]/100000,"")</f>
        <v/>
      </c>
      <c r="DN143" s="41" t="str">
        <f aca="false">IF(Tasks[[#This Row],[_LeafCritical]],Tasks[[#This Row],[_LeafFcstStart]]+Tasks[[#This Row],[_Row]]/100000,"")</f>
        <v/>
      </c>
      <c r="DO143" s="41" t="n">
        <f aca="false">Tasks[[#This Row],[_LeafWork]]*Tasks[[#This Row],[_LeafProgress]]</f>
        <v>0</v>
      </c>
      <c r="DP143" s="100" t="str">
        <f aca="false">IF(AND(Tasks[[#This Row],[_IsLeaf]]=1,Tasks[[#This Row],[_LeafProgress]]&gt;=1),IF(N(Tasks[[#This Row],[Actual Finish]])&gt;0,Tasks[[#This Row],[Actual Finish]],Tasks[[#This Row],[_LeafFcstFinish]]),"")</f>
        <v/>
      </c>
      <c r="DQ143" s="41" t="n">
        <f aca="false">IF(Tasks[[#This Row],[_IsLeaf]]=1,N(Tasks[[#This Row],[Story Points]]),0)</f>
        <v>0</v>
      </c>
      <c r="DR143" s="41" t="str">
        <f aca="false">IF(AND(Tasks[[#This Row],[_IsLeaf]]=1,CurrentSprint&lt;&gt;"",Tasks[[#This Row],[Sprint]]=CurrentSprint),Tasks[[#This Row],[_Row]],"")</f>
        <v/>
      </c>
    </row>
    <row r="144" customFormat="false" ht="15" hidden="false" customHeight="false" outlineLevel="0" collapsed="false">
      <c r="A144" s="28" t="str">
        <f aca="false">IF(Tasks[[#This Row],[Task Name]]="","",COUNTA(Tasks[[#Headers],[Task Name]]:Tasks[[#This Row],[Task Name]])-1)</f>
        <v/>
      </c>
      <c r="B144" s="29" t="n">
        <v>139</v>
      </c>
      <c r="C14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4" s="29"/>
      <c r="E144" s="30"/>
      <c r="F144" s="29"/>
      <c r="G144" s="29"/>
      <c r="H144" s="29"/>
      <c r="I144" s="29"/>
      <c r="J144" s="29"/>
      <c r="K144" s="29"/>
      <c r="L144" s="29"/>
      <c r="M144" s="29"/>
      <c r="N144" s="73"/>
      <c r="O144" s="73"/>
      <c r="P144" s="25" t="str">
        <f aca="false">IF(Tasks[[#This Row],[Task Name]]="","",IF(N(Tasks[[#This Row],[Baseline Start]])&gt;0,Tasks[[#This Row],[Baseline Start]],Tasks[[#This Row],[_CalcStart]]))</f>
        <v/>
      </c>
      <c r="Q144" s="25" t="str">
        <f aca="false">IF(Tasks[[#This Row],[Task Name]]="","",IF(N(Tasks[[#This Row],[Baseline Finish]])&gt;0,Tasks[[#This Row],[Baseline Finish]],Tasks[[#This Row],[_CalcFinish]]))</f>
        <v/>
      </c>
      <c r="R144" s="73"/>
      <c r="S144" s="73"/>
      <c r="T144" s="25" t="str">
        <f aca="false">IF(Tasks[[#This Row],[Task Name]]="","",IF(Tasks[[#This Row],[_IsSummary]],MIN(INDEX(Tasks[_LeafFcstStart],Tasks[[#This Row],[_Row]]+1):INDEX(Tasks[_LeafFcstStart],Tasks[[#This Row],[_Row]]+Tasks[[#This Row],[_Descendants]])),Tasks[[#This Row],[_LeafFcstStart]]))</f>
        <v/>
      </c>
      <c r="U144" s="25" t="str">
        <f aca="false">IF(Tasks[[#This Row],[Task Name]]="","",IF(Tasks[[#This Row],[_IsSummary]],MAX(INDEX(Tasks[_LeafFcstFinish],Tasks[[#This Row],[_Row]]+1):INDEX(Tasks[_LeafFcstFinish],Tasks[[#This Row],[_Row]]+Tasks[[#This Row],[_Descendants]])),Tasks[[#This Row],[_LeafFcstFinish]]))</f>
        <v/>
      </c>
      <c r="V14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4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4" s="25" t="str">
        <f aca="false">IF(Tasks[[#This Row],[Task Name]]="","",IF(Tasks[[#This Row],[_IsSummary]],MIN(INDEX(Tasks[_LeafLateStart],Tasks[[#This Row],[_Row]]+1):INDEX(Tasks[_LeafLateStart],Tasks[[#This Row],[_Row]]+Tasks[[#This Row],[_Descendants]])),Tasks[[#This Row],[_LeafLateStart]]))</f>
        <v/>
      </c>
      <c r="Y144" s="25" t="str">
        <f aca="false">IF(Tasks[[#This Row],[Task Name]]="","",IF(Tasks[[#This Row],[_IsSummary]],MAX(INDEX(Tasks[_LeafLateFinish],Tasks[[#This Row],[_Row]]+1):INDEX(Tasks[_LeafLateFinish],Tasks[[#This Row],[_Row]]+Tasks[[#This Row],[_Descendants]])),Tasks[[#This Row],[_LeafLateFinish]]))</f>
        <v/>
      </c>
      <c r="Z144" s="43" t="str">
        <f aca="false">IF(Tasks[[#This Row],[Task Name]]="","",IF(Tasks[[#This Row],[_IsSummary]],MIN(INDEX(Tasks[_LeafTotalSlack],Tasks[[#This Row],[_Row]]+1):INDEX(Tasks[_LeafTotalSlack],Tasks[[#This Row],[_Row]]+Tasks[[#This Row],[_Descendants]])),Tasks[[#This Row],[_LeafTotalSlack]]))</f>
        <v/>
      </c>
      <c r="AA14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4" s="28" t="str">
        <f aca="false">IF(Tasks[[#This Row],[Task Name]]="","",IF(IF(Tasks[[#This Row],[_IsSummary]],COUNTIF(INDEX(Tasks[_LeafCritical],Tasks[[#This Row],[_Row]]+1):INDEX(Tasks[_LeafCritical],Tasks[[#This Row],[_Row]]+Tasks[[#This Row],[_Descendants]]),TRUE())&gt;0,Tasks[[#This Row],[_LeafCritical]]),"Yes",""))</f>
        <v/>
      </c>
      <c r="AC14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4" s="24" t="str">
        <f aca="false">IF(Tasks[[#This Row],[Task Name]]="","",TRIM(IF(Tasks[[#This Row],[_Pred1Problem]]&lt;&gt;"","Pred 1: "&amp;Tasks[[#This Row],[_Pred1Problem]]&amp;". ","")&amp;IF(Tasks[[#This Row],[_Pred2Problem]]&lt;&gt;"","Pred 2: "&amp;Tasks[[#This Row],[_Pred2Problem]]&amp;".","")))</f>
        <v/>
      </c>
      <c r="AE144" s="88"/>
      <c r="AF144"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4" s="28" t="str">
        <f aca="false">IF(Tasks[[#This Row],[Task Name]]="","",IF(Tasks[[#This Row],[Progress]]&gt;=1,"Complete",IF(OR(N(Tasks[[#This Row],[Actual Start]])&gt;0,Tasks[[#This Row],[Progress]]&gt;0),IF(Tasks[[#This Row],[Finish Var]]&gt;0,"Behind","In Progress"),IF(Tasks[[#This Row],[Planned Start]]&lt;StatusDate,"Late Start","Not Started"))))</f>
        <v/>
      </c>
      <c r="AH144" s="30"/>
      <c r="AI144" s="88"/>
      <c r="AJ144" s="95" t="str">
        <f aca="false">IF(Tasks[[#This Row],[Task Name]]="","",IF(Tasks[[#This Row],[_IsSummary]],SUM(INDEX(Tasks[_LeafWork],Tasks[[#This Row],[_Row]]+1):INDEX(Tasks[_LeafWork],Tasks[[#This Row],[_Row]]+Tasks[[#This Row],[_Descendants]])),Tasks[[#This Row],[_LeafWork]]))</f>
        <v/>
      </c>
      <c r="AK144" s="96" t="str">
        <f aca="false">IF(Tasks[[#This Row],[Task Name]]="","",IF(Tasks[[#This Row],[_IsSummary]],SUM(INDEX(Tasks[_LeafCost],Tasks[[#This Row],[_Row]]+1):INDEX(Tasks[_LeafCost],Tasks[[#This Row],[_Row]]+Tasks[[#This Row],[_Descendants]])),Tasks[[#This Row],[_LeafCost]]))</f>
        <v/>
      </c>
      <c r="AL144" s="97"/>
      <c r="AM144" s="29"/>
      <c r="AN14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44" s="82"/>
      <c r="AP144" s="24" t="str">
        <f aca="false">IF(Tasks[[#This Row],[Task Name]]="","",Tasks[[#This Row],[_Pred1IDText]]&amp;IF(AND(Tasks[[#This Row],[_Pred1IDText]]&lt;&gt;"",Tasks[[#This Row],[_Pred2IDText]]&lt;&gt;""),",","")&amp;Tasks[[#This Row],[_Pred2IDText]])</f>
        <v/>
      </c>
      <c r="AQ144" s="30"/>
      <c r="AR144" s="25" t="str">
        <f aca="false">IF(Tasks[[#This Row],[Task Name]]="","",Tasks[[#This Row],[Forecast Start]])</f>
        <v/>
      </c>
      <c r="AS144" s="25" t="str">
        <f aca="false">IF(Tasks[[#This Row],[Task Name]]="","",Tasks[[#This Row],[Forecast Finish]])</f>
        <v/>
      </c>
      <c r="AT144" s="28" t="str">
        <f aca="false">IF(Tasks[[#This Row],[Task Name]]="","",IF(Tasks[[#This Row],[_IsSummary]],NETWORKDAYS.INTL(Tasks[[#This Row],[Forecast Start]],Tasks[[#This Row],[Forecast Finish]],WorkWeek,Holidays),N(Tasks[[#This Row],[Duration]])))</f>
        <v/>
      </c>
      <c r="AU144" s="95" t="str">
        <f aca="false">IF(Tasks[[#This Row],[Task Name]]="","",Tasks[[#This Row],[Work]])</f>
        <v/>
      </c>
      <c r="AV144" s="96" t="str">
        <f aca="false">IF(Tasks[[#This Row],[Task Name]]="","",Tasks[[#This Row],[Cost]])</f>
        <v/>
      </c>
      <c r="AW144" s="73"/>
      <c r="AX144" s="73"/>
      <c r="AY144" s="29"/>
      <c r="AZ144" s="98"/>
      <c r="BA144" s="97"/>
      <c r="BB144" s="28" t="str">
        <f aca="false">IF(OR(Tasks[[#This Row],[Task Name]]="",Tasks[[#This Row],[Baseline Duration]]=""),"",Tasks[[#This Row],[BL Source Duration]]-N(Tasks[[#This Row],[Baseline Duration]]))</f>
        <v/>
      </c>
      <c r="BC144" s="95" t="str">
        <f aca="false">IF(OR(Tasks[[#This Row],[Task Name]]="",Tasks[[#This Row],[Baseline Work]]=""),"",Tasks[[#This Row],[Work]]-N(Tasks[[#This Row],[Baseline Work]]))</f>
        <v/>
      </c>
      <c r="BD144" s="96" t="str">
        <f aca="false">IF(OR(Tasks[[#This Row],[Task Name]]="",Tasks[[#This Row],[Baseline Cost]]=""),"",Tasks[[#This Row],[Cost]]-N(Tasks[[#This Row],[Baseline Cost]]))</f>
        <v/>
      </c>
      <c r="BE144" s="96" t="str">
        <f aca="false">IF(Tasks[[#This Row],[Task Name]]="","",IF(Tasks[[#This Row],[_IsSummary]],SUM(INDEX(Tasks[_LeafBudget],Tasks[[#This Row],[_Row]]+1):INDEX(Tasks[_LeafBudget],Tasks[[#This Row],[_Row]]+Tasks[[#This Row],[_Descendants]])),Tasks[[#This Row],[_LeafBudget]]))</f>
        <v/>
      </c>
      <c r="BF144" s="96" t="str">
        <f aca="false">IF(Tasks[[#This Row],[Task Name]]="","",IF(Tasks[[#This Row],[_IsSummary]],SUM(INDEX(Tasks[_LeafPV],Tasks[[#This Row],[_Row]]+1):INDEX(Tasks[_LeafPV],Tasks[[#This Row],[_Row]]+Tasks[[#This Row],[_Descendants]])),Tasks[[#This Row],[_LeafPV]]))</f>
        <v/>
      </c>
      <c r="BG144" s="96" t="str">
        <f aca="false">IF(Tasks[[#This Row],[Task Name]]="","",IF(Tasks[[#This Row],[_IsSummary]],SUM(INDEX(Tasks[_LeafEV],Tasks[[#This Row],[_Row]]+1):INDEX(Tasks[_LeafEV],Tasks[[#This Row],[_Row]]+Tasks[[#This Row],[_Descendants]])),Tasks[[#This Row],[_LeafEV]]))</f>
        <v/>
      </c>
      <c r="BH144" s="96" t="str">
        <f aca="false">IF(Tasks[[#This Row],[Task Name]]="","",IF(Tasks[[#This Row],[_IsSummary]],SUM(INDEX(Tasks[_LeafAC],Tasks[[#This Row],[_Row]]+1):INDEX(Tasks[_LeafAC],Tasks[[#This Row],[_Row]]+Tasks[[#This Row],[_Descendants]])),Tasks[[#This Row],[_LeafAC]]))</f>
        <v/>
      </c>
      <c r="BI144" s="41" t="str">
        <f aca="false">IF(Tasks[[#This Row],[Task Name]]="","",MAX(1,N(Tasks[[#This Row],[Level]])))</f>
        <v/>
      </c>
      <c r="BJ144" s="41" t="n">
        <f aca="false">ROW()-ROW(Tasks[[#Headers],[ID]])</f>
        <v>139</v>
      </c>
      <c r="BK144" s="41" t="n">
        <f aca="false">IF(OR(Tasks[[#This Row],[Task Name]]="",Tasks[[#This Row],[_Level]]&lt;=1),0,IFERROR(LOOKUP(2,1/(Tasks[[#Headers],[_Level]]:Tasks[[#This Row],[_Level]]=Tasks[[#This Row],[_Level]]-1),ROW(Tasks[[#Headers],[_Level]]:Tasks[[#This Row],[_Level]])),0))</f>
        <v>0</v>
      </c>
      <c r="BL144" s="41" t="n">
        <f aca="false">IFERROR(N(INDEX(Tasks[_Level],Tasks[[#This Row],[_Row]]+1)),0)</f>
        <v>0</v>
      </c>
      <c r="BM144" s="99" t="b">
        <f aca="false">AND(Tasks[[#This Row],[Task Name]]&lt;&gt;"",Tasks[[#This Row],[_NextLevel]]&gt;Tasks[[#This Row],[_Level]])</f>
        <v>0</v>
      </c>
      <c r="BN144" s="41" t="n">
        <f aca="false">IF(Tasks[[#This Row],[_IsSummary]],COUNTIF(Tasks[WBS],Tasks[[#This Row],[WBS]]&amp;".*"),0)</f>
        <v>0</v>
      </c>
      <c r="BO144" s="41" t="n">
        <f aca="false">IF(AND(Tasks[[#This Row],[Task Name]]&lt;&gt;"",NOT(Tasks[[#This Row],[_IsSummary]])),1,0)</f>
        <v>0</v>
      </c>
      <c r="BP144" s="41" t="n">
        <f aca="false">IF(N(Tasks[[#This Row],[Pred1 UID]])=0,0,IFERROR(MATCH(Tasks[[#This Row],[Pred1 UID]],Tasks[UID],0),-1))</f>
        <v>0</v>
      </c>
      <c r="BQ144" s="41" t="n">
        <f aca="false">IF(N(Tasks[[#This Row],[Pred2 UID]])=0,0,IFERROR(MATCH(Tasks[[#This Row],[Pred2 UID]],Tasks[UID],0),-1))</f>
        <v>0</v>
      </c>
      <c r="BR144"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44" s="100" t="str">
        <f aca="false">IF(NOT(Tasks[[#This Row],[_IsLeaf]]=1),"",IF(N(Tasks[[#This Row],[Duration]])&lt;=0,Tasks[[#This Row],[_LeafCalcStart]],WORKDAY.INTL(Tasks[[#This Row],[_LeafCalcStart]],Tasks[[#This Row],[Duration]]-1,WorkWeek,Holidays)))</f>
        <v/>
      </c>
      <c r="BT144"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44"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44" s="41" t="n">
        <f aca="false">IF(NOT(Tasks[[#This Row],[_IsLeaf]]=1),0,IF(N(Tasks[[#This Row],[Actual Finish]])&gt;0,1,MIN(1,N(Tasks[[#This Row],[% Complete]]))))</f>
        <v>0</v>
      </c>
      <c r="BW144" s="41" t="n">
        <f aca="false">IF(OR(NOT(Tasks[[#This Row],[_IsLeaf]]=1),Tasks[[#This Row],[Resource]]=""),0,N(Tasks[[#This Row],[Duration]])*HoursPerDay*IF(Tasks[[#This Row],[Units]]="",DefaultUnits,Tasks[[#This Row],[Units]]))</f>
        <v>0</v>
      </c>
      <c r="BX144" s="41" t="n">
        <f aca="false">IF(Tasks[[#This Row],[_LeafWork]]=0,0,Tasks[[#This Row],[_LeafWork]]*IFERROR(INDEX(res_Rate,MATCH(Tasks[[#This Row],[Resource]],res_Name,0)),0))</f>
        <v>0</v>
      </c>
      <c r="BY14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4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4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4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44" s="41" t="n">
        <f aca="false">IF(NOT(Tasks[[#This Row],[_IsLeaf]]=1),0,MAX(_xlfn.MAXIFS(Tasks[_Row],Tasks[Pred1 UID],Tasks[[#This Row],[UID]]),_xlfn.MAXIFS(Tasks[_Row],Tasks[Pred2 UID],Tasks[[#This Row],[UID]])))</f>
        <v>0</v>
      </c>
      <c r="CD144"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44" s="100" t="str">
        <f aca="false">IF(NOT(Tasks[[#This Row],[_IsLeaf]]=1),"",MIN(ProjectFinish,IF(N(Tasks[[#This Row],[Deadline]])&gt;0,Tasks[[#This Row],[Deadline]],2958465),Tasks[[#This Row],[_SuccessorFinishLimit]]))</f>
        <v/>
      </c>
      <c r="CF144" s="100" t="str">
        <f aca="false">IF(NOT(Tasks[[#This Row],[_IsLeaf]]=1),"",IF(N(Tasks[[#This Row],[Duration]])&lt;=0,Tasks[[#This Row],[_LeafLateFinish]],WORKDAY.INTL(Tasks[[#This Row],[_LeafLateFinish]],-(Tasks[[#This Row],[Duration]]-1),WorkWeek,Holidays)))</f>
        <v/>
      </c>
      <c r="CG14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44" s="99" t="b">
        <f aca="false">AND(Tasks[[#This Row],[_IsLeaf]]=1,Tasks[[#This Row],[_LeafProgress]]&lt;1,N(Tasks[[#This Row],[_LeafTotalSlack]])&lt;=CriticalSlackDays)</f>
        <v>0</v>
      </c>
      <c r="CI144" s="100" t="str">
        <f aca="false">IF(Tasks[[#This Row],[Task Name]]="","",IF(Tasks[[#This Row],[_IsSummary]],MIN(INDEX(Tasks[_LeafCalcStart],Tasks[[#This Row],[_Row]]+1):INDEX(Tasks[_LeafCalcStart],Tasks[[#This Row],[_Row]]+Tasks[[#This Row],[_Descendants]])),Tasks[[#This Row],[_LeafCalcStart]]))</f>
        <v/>
      </c>
      <c r="CJ144" s="100" t="str">
        <f aca="false">IF(Tasks[[#This Row],[Task Name]]="","",IF(Tasks[[#This Row],[_IsSummary]],MAX(INDEX(Tasks[_LeafCalcFinish],Tasks[[#This Row],[_Row]]+1):INDEX(Tasks[_LeafCalcFinish],Tasks[[#This Row],[_Row]]+Tasks[[#This Row],[_Descendants]])),Tasks[[#This Row],[_LeafCalcFinish]]))</f>
        <v/>
      </c>
      <c r="CK14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4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44"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44"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44"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44"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44" s="41" t="n">
        <f aca="false">IF(AND(Tasks[[#This Row],[_IsLeaf]]=1,Tasks[[#This Row],[_LeafWork]]&gt;0),NETWORKDAYS.INTL(ProjectStart,Tasks[[#This Row],[_LeafFcstStart]],WorkWeek,Holidays),0)</f>
        <v>0</v>
      </c>
      <c r="CR144" s="41" t="n">
        <f aca="false">IF(AND(Tasks[[#This Row],[_IsLeaf]]=1,Tasks[[#This Row],[_LeafWork]]&gt;0),MAX(Tasks[[#This Row],[_StartWorkday]],NETWORKDAYS.INTL(ProjectStart,Tasks[[#This Row],[_LeafFcstFinish]],WorkWeek,Holidays)),0)</f>
        <v>0</v>
      </c>
      <c r="CS144" s="41" t="n">
        <f aca="false">IF(AND(Tasks[[#This Row],[_IsLeaf]]=1,Tasks[[#This Row],[_LeafWork]]&gt;0),Tasks[[#This Row],[_LeafWork]]/(Tasks[[#This Row],[_FinishWorkday]]-Tasks[[#This Row],[_StartWorkday]]+1),0)</f>
        <v>0</v>
      </c>
      <c r="CT144" s="41" t="n">
        <f aca="false">Tasks[[#This Row],[_WorkPerWorkday]]*(Tasks[[#This Row],[_StartWorkday]]-1)</f>
        <v>-0</v>
      </c>
      <c r="CU144" s="41" t="n">
        <f aca="false">IF(Tasks[[#This Row],[_IsLeaf]]=1,MAX(N(Tasks[[#This Row],[Duration]]),0.1),0)</f>
        <v>0</v>
      </c>
      <c r="CV144" s="41" t="n">
        <f aca="false">Tasks[[#This Row],[_WeightDur]]*Tasks[[#This Row],[_LeafProgress]]</f>
        <v>0</v>
      </c>
      <c r="CW14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4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4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4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44" s="41" t="str">
        <f aca="false">IF(Tasks[[#This Row],[Task Name]]="","",Tasks[[#This Row],[_Pred1UIDText]]&amp;IF(AND(Tasks[[#This Row],[_Pred1UIDText]]&lt;&gt;"",Tasks[[#This Row],[_Pred2UIDText]]&lt;&gt;""),",","")&amp;Tasks[[#This Row],[_Pred2UIDText]])</f>
        <v/>
      </c>
      <c r="DB144" s="41" t="str">
        <f aca="false">IF(AND(Tasks[[#This Row],[_IsLeaf]]=1,N(Tasks[[#This Row],[Duration]])=0,Tasks[[#This Row],[_LeafProgress]]&lt;1),Tasks[[#This Row],[_LeafFcstFinish]]+Tasks[[#This Row],[_Row]]/100000,"")</f>
        <v/>
      </c>
      <c r="DC14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44" s="41" t="n">
        <f aca="false">IF(NOT(Tasks[[#This Row],[_IsLeaf]]=1),0,IF(Tasks[[#This Row],[Baseline Cost]]="",Tasks[[#This Row],[_LeafCost]],N(Tasks[[#This Row],[Baseline Cost]])))</f>
        <v>0</v>
      </c>
      <c r="DE144" s="41" t="n">
        <f aca="false">Tasks[[#This Row],[_LeafBudget]]*Tasks[[#This Row],[_PlannedPct]]</f>
        <v>0</v>
      </c>
      <c r="DF144" s="41" t="n">
        <f aca="false">Tasks[[#This Row],[_LeafBudget]]*Tasks[[#This Row],[_LeafProgress]]</f>
        <v>0</v>
      </c>
      <c r="DG144" s="41" t="n">
        <f aca="false">IF(NOT(Tasks[[#This Row],[_IsLeaf]]=1),0,IF(Tasks[[#This Row],[Actual Cost]]="",Tasks[[#This Row],[_LeafCost]]*Tasks[[#This Row],[_LeafProgress]],N(Tasks[[#This Row],[Actual Cost]])))</f>
        <v>0</v>
      </c>
      <c r="DH144" s="41" t="str">
        <f aca="false">IF(Tasks[[#This Row],[Task Name]]="","",LEFT(Tasks[[#This Row],[WBS]],FIND(".",Tasks[[#This Row],[WBS]]&amp;".")-1))</f>
        <v/>
      </c>
      <c r="DI144" s="41" t="str">
        <f aca="false">IF(AND(Tasks[[#This Row],[Task Name]]&lt;&gt;"",Tasks[[#This Row],[_Level]]=1),Tasks[[#This Row],[_Row]],"")</f>
        <v/>
      </c>
      <c r="DJ144" s="41" t="str">
        <f aca="false">IF(AND(Tasks[[#This Row],[_IsLeaf]]=1,N(Tasks[[#This Row],[Duration]])=0),Tasks[[#This Row],[Planned Finish]]+Tasks[[#This Row],[_Row]]/100000,"")</f>
        <v/>
      </c>
      <c r="DK144" s="41" t="str">
        <f aca="false">IF(AND(Tasks[[#This Row],[_IsLeaf]]=1,Tasks[[#This Row],[_LeafProgress]]&lt;1,OR(N(Tasks[[#This Row],[Finish Var]])&gt;0,Tasks[[#This Row],[Status]]="Late Start")),MAX(0,Tasks[[#This Row],[Finish Var]])+1-Tasks[[#This Row],[_Row]]/1000000,"")</f>
        <v/>
      </c>
      <c r="DL144" s="41" t="str">
        <f aca="false">IF(AND(Tasks[[#This Row],[_IsLeaf]]=1,N(Tasks[[#This Row],[Actual Start]])=0,Tasks[[#This Row],[_LeafFcstStart]]&gt;=StatusDate,Tasks[[#This Row],[_LeafFcstStart]]&lt;=LookaheadEnd),Tasks[[#This Row],[_LeafFcstStart]]+Tasks[[#This Row],[_Row]]/100000,"")</f>
        <v/>
      </c>
      <c r="DM144" s="41" t="str">
        <f aca="false">IF(AND(Tasks[[#This Row],[_IsLeaf]]=1,Tasks[[#This Row],[_LeafProgress]]&lt;1,Tasks[[#This Row],[_LeafFcstFinish]]&gt;=StatusDate,Tasks[[#This Row],[_LeafFcstFinish]]&lt;=LookaheadEnd),Tasks[[#This Row],[_LeafFcstFinish]]+Tasks[[#This Row],[_Row]]/100000,"")</f>
        <v/>
      </c>
      <c r="DN144" s="41" t="str">
        <f aca="false">IF(Tasks[[#This Row],[_LeafCritical]],Tasks[[#This Row],[_LeafFcstStart]]+Tasks[[#This Row],[_Row]]/100000,"")</f>
        <v/>
      </c>
      <c r="DO144" s="41" t="n">
        <f aca="false">Tasks[[#This Row],[_LeafWork]]*Tasks[[#This Row],[_LeafProgress]]</f>
        <v>0</v>
      </c>
      <c r="DP144" s="100" t="str">
        <f aca="false">IF(AND(Tasks[[#This Row],[_IsLeaf]]=1,Tasks[[#This Row],[_LeafProgress]]&gt;=1),IF(N(Tasks[[#This Row],[Actual Finish]])&gt;0,Tasks[[#This Row],[Actual Finish]],Tasks[[#This Row],[_LeafFcstFinish]]),"")</f>
        <v/>
      </c>
      <c r="DQ144" s="41" t="n">
        <f aca="false">IF(Tasks[[#This Row],[_IsLeaf]]=1,N(Tasks[[#This Row],[Story Points]]),0)</f>
        <v>0</v>
      </c>
      <c r="DR144" s="41" t="str">
        <f aca="false">IF(AND(Tasks[[#This Row],[_IsLeaf]]=1,CurrentSprint&lt;&gt;"",Tasks[[#This Row],[Sprint]]=CurrentSprint),Tasks[[#This Row],[_Row]],"")</f>
        <v/>
      </c>
    </row>
    <row r="145" customFormat="false" ht="15" hidden="false" customHeight="false" outlineLevel="0" collapsed="false">
      <c r="A145" s="28" t="str">
        <f aca="false">IF(Tasks[[#This Row],[Task Name]]="","",COUNTA(Tasks[[#Headers],[Task Name]]:Tasks[[#This Row],[Task Name]])-1)</f>
        <v/>
      </c>
      <c r="B145" s="29" t="n">
        <v>140</v>
      </c>
      <c r="C14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5" s="29"/>
      <c r="E145" s="30"/>
      <c r="F145" s="29"/>
      <c r="G145" s="29"/>
      <c r="H145" s="29"/>
      <c r="I145" s="29"/>
      <c r="J145" s="29"/>
      <c r="K145" s="29"/>
      <c r="L145" s="29"/>
      <c r="M145" s="29"/>
      <c r="N145" s="73"/>
      <c r="O145" s="73"/>
      <c r="P145" s="25" t="str">
        <f aca="false">IF(Tasks[[#This Row],[Task Name]]="","",IF(N(Tasks[[#This Row],[Baseline Start]])&gt;0,Tasks[[#This Row],[Baseline Start]],Tasks[[#This Row],[_CalcStart]]))</f>
        <v/>
      </c>
      <c r="Q145" s="25" t="str">
        <f aca="false">IF(Tasks[[#This Row],[Task Name]]="","",IF(N(Tasks[[#This Row],[Baseline Finish]])&gt;0,Tasks[[#This Row],[Baseline Finish]],Tasks[[#This Row],[_CalcFinish]]))</f>
        <v/>
      </c>
      <c r="R145" s="73"/>
      <c r="S145" s="73"/>
      <c r="T145" s="25" t="str">
        <f aca="false">IF(Tasks[[#This Row],[Task Name]]="","",IF(Tasks[[#This Row],[_IsSummary]],MIN(INDEX(Tasks[_LeafFcstStart],Tasks[[#This Row],[_Row]]+1):INDEX(Tasks[_LeafFcstStart],Tasks[[#This Row],[_Row]]+Tasks[[#This Row],[_Descendants]])),Tasks[[#This Row],[_LeafFcstStart]]))</f>
        <v/>
      </c>
      <c r="U145" s="25" t="str">
        <f aca="false">IF(Tasks[[#This Row],[Task Name]]="","",IF(Tasks[[#This Row],[_IsSummary]],MAX(INDEX(Tasks[_LeafFcstFinish],Tasks[[#This Row],[_Row]]+1):INDEX(Tasks[_LeafFcstFinish],Tasks[[#This Row],[_Row]]+Tasks[[#This Row],[_Descendants]])),Tasks[[#This Row],[_LeafFcstFinish]]))</f>
        <v/>
      </c>
      <c r="V14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4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5" s="25" t="str">
        <f aca="false">IF(Tasks[[#This Row],[Task Name]]="","",IF(Tasks[[#This Row],[_IsSummary]],MIN(INDEX(Tasks[_LeafLateStart],Tasks[[#This Row],[_Row]]+1):INDEX(Tasks[_LeafLateStart],Tasks[[#This Row],[_Row]]+Tasks[[#This Row],[_Descendants]])),Tasks[[#This Row],[_LeafLateStart]]))</f>
        <v/>
      </c>
      <c r="Y145" s="25" t="str">
        <f aca="false">IF(Tasks[[#This Row],[Task Name]]="","",IF(Tasks[[#This Row],[_IsSummary]],MAX(INDEX(Tasks[_LeafLateFinish],Tasks[[#This Row],[_Row]]+1):INDEX(Tasks[_LeafLateFinish],Tasks[[#This Row],[_Row]]+Tasks[[#This Row],[_Descendants]])),Tasks[[#This Row],[_LeafLateFinish]]))</f>
        <v/>
      </c>
      <c r="Z145" s="43" t="str">
        <f aca="false">IF(Tasks[[#This Row],[Task Name]]="","",IF(Tasks[[#This Row],[_IsSummary]],MIN(INDEX(Tasks[_LeafTotalSlack],Tasks[[#This Row],[_Row]]+1):INDEX(Tasks[_LeafTotalSlack],Tasks[[#This Row],[_Row]]+Tasks[[#This Row],[_Descendants]])),Tasks[[#This Row],[_LeafTotalSlack]]))</f>
        <v/>
      </c>
      <c r="AA14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5" s="28" t="str">
        <f aca="false">IF(Tasks[[#This Row],[Task Name]]="","",IF(IF(Tasks[[#This Row],[_IsSummary]],COUNTIF(INDEX(Tasks[_LeafCritical],Tasks[[#This Row],[_Row]]+1):INDEX(Tasks[_LeafCritical],Tasks[[#This Row],[_Row]]+Tasks[[#This Row],[_Descendants]]),TRUE())&gt;0,Tasks[[#This Row],[_LeafCritical]]),"Yes",""))</f>
        <v/>
      </c>
      <c r="AC14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5" s="24" t="str">
        <f aca="false">IF(Tasks[[#This Row],[Task Name]]="","",TRIM(IF(Tasks[[#This Row],[_Pred1Problem]]&lt;&gt;"","Pred 1: "&amp;Tasks[[#This Row],[_Pred1Problem]]&amp;". ","")&amp;IF(Tasks[[#This Row],[_Pred2Problem]]&lt;&gt;"","Pred 2: "&amp;Tasks[[#This Row],[_Pred2Problem]]&amp;".","")))</f>
        <v/>
      </c>
      <c r="AE145" s="88"/>
      <c r="AF145"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5" s="28" t="str">
        <f aca="false">IF(Tasks[[#This Row],[Task Name]]="","",IF(Tasks[[#This Row],[Progress]]&gt;=1,"Complete",IF(OR(N(Tasks[[#This Row],[Actual Start]])&gt;0,Tasks[[#This Row],[Progress]]&gt;0),IF(Tasks[[#This Row],[Finish Var]]&gt;0,"Behind","In Progress"),IF(Tasks[[#This Row],[Planned Start]]&lt;StatusDate,"Late Start","Not Started"))))</f>
        <v/>
      </c>
      <c r="AH145" s="30"/>
      <c r="AI145" s="88"/>
      <c r="AJ145" s="95" t="str">
        <f aca="false">IF(Tasks[[#This Row],[Task Name]]="","",IF(Tasks[[#This Row],[_IsSummary]],SUM(INDEX(Tasks[_LeafWork],Tasks[[#This Row],[_Row]]+1):INDEX(Tasks[_LeafWork],Tasks[[#This Row],[_Row]]+Tasks[[#This Row],[_Descendants]])),Tasks[[#This Row],[_LeafWork]]))</f>
        <v/>
      </c>
      <c r="AK145" s="96" t="str">
        <f aca="false">IF(Tasks[[#This Row],[Task Name]]="","",IF(Tasks[[#This Row],[_IsSummary]],SUM(INDEX(Tasks[_LeafCost],Tasks[[#This Row],[_Row]]+1):INDEX(Tasks[_LeafCost],Tasks[[#This Row],[_Row]]+Tasks[[#This Row],[_Descendants]])),Tasks[[#This Row],[_LeafCost]]))</f>
        <v/>
      </c>
      <c r="AL145" s="97"/>
      <c r="AM145" s="29"/>
      <c r="AN14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45" s="82"/>
      <c r="AP145" s="24" t="str">
        <f aca="false">IF(Tasks[[#This Row],[Task Name]]="","",Tasks[[#This Row],[_Pred1IDText]]&amp;IF(AND(Tasks[[#This Row],[_Pred1IDText]]&lt;&gt;"",Tasks[[#This Row],[_Pred2IDText]]&lt;&gt;""),",","")&amp;Tasks[[#This Row],[_Pred2IDText]])</f>
        <v/>
      </c>
      <c r="AQ145" s="30"/>
      <c r="AR145" s="25" t="str">
        <f aca="false">IF(Tasks[[#This Row],[Task Name]]="","",Tasks[[#This Row],[Forecast Start]])</f>
        <v/>
      </c>
      <c r="AS145" s="25" t="str">
        <f aca="false">IF(Tasks[[#This Row],[Task Name]]="","",Tasks[[#This Row],[Forecast Finish]])</f>
        <v/>
      </c>
      <c r="AT145" s="28" t="str">
        <f aca="false">IF(Tasks[[#This Row],[Task Name]]="","",IF(Tasks[[#This Row],[_IsSummary]],NETWORKDAYS.INTL(Tasks[[#This Row],[Forecast Start]],Tasks[[#This Row],[Forecast Finish]],WorkWeek,Holidays),N(Tasks[[#This Row],[Duration]])))</f>
        <v/>
      </c>
      <c r="AU145" s="95" t="str">
        <f aca="false">IF(Tasks[[#This Row],[Task Name]]="","",Tasks[[#This Row],[Work]])</f>
        <v/>
      </c>
      <c r="AV145" s="96" t="str">
        <f aca="false">IF(Tasks[[#This Row],[Task Name]]="","",Tasks[[#This Row],[Cost]])</f>
        <v/>
      </c>
      <c r="AW145" s="73"/>
      <c r="AX145" s="73"/>
      <c r="AY145" s="29"/>
      <c r="AZ145" s="98"/>
      <c r="BA145" s="97"/>
      <c r="BB145" s="28" t="str">
        <f aca="false">IF(OR(Tasks[[#This Row],[Task Name]]="",Tasks[[#This Row],[Baseline Duration]]=""),"",Tasks[[#This Row],[BL Source Duration]]-N(Tasks[[#This Row],[Baseline Duration]]))</f>
        <v/>
      </c>
      <c r="BC145" s="95" t="str">
        <f aca="false">IF(OR(Tasks[[#This Row],[Task Name]]="",Tasks[[#This Row],[Baseline Work]]=""),"",Tasks[[#This Row],[Work]]-N(Tasks[[#This Row],[Baseline Work]]))</f>
        <v/>
      </c>
      <c r="BD145" s="96" t="str">
        <f aca="false">IF(OR(Tasks[[#This Row],[Task Name]]="",Tasks[[#This Row],[Baseline Cost]]=""),"",Tasks[[#This Row],[Cost]]-N(Tasks[[#This Row],[Baseline Cost]]))</f>
        <v/>
      </c>
      <c r="BE145" s="96" t="str">
        <f aca="false">IF(Tasks[[#This Row],[Task Name]]="","",IF(Tasks[[#This Row],[_IsSummary]],SUM(INDEX(Tasks[_LeafBudget],Tasks[[#This Row],[_Row]]+1):INDEX(Tasks[_LeafBudget],Tasks[[#This Row],[_Row]]+Tasks[[#This Row],[_Descendants]])),Tasks[[#This Row],[_LeafBudget]]))</f>
        <v/>
      </c>
      <c r="BF145" s="96" t="str">
        <f aca="false">IF(Tasks[[#This Row],[Task Name]]="","",IF(Tasks[[#This Row],[_IsSummary]],SUM(INDEX(Tasks[_LeafPV],Tasks[[#This Row],[_Row]]+1):INDEX(Tasks[_LeafPV],Tasks[[#This Row],[_Row]]+Tasks[[#This Row],[_Descendants]])),Tasks[[#This Row],[_LeafPV]]))</f>
        <v/>
      </c>
      <c r="BG145" s="96" t="str">
        <f aca="false">IF(Tasks[[#This Row],[Task Name]]="","",IF(Tasks[[#This Row],[_IsSummary]],SUM(INDEX(Tasks[_LeafEV],Tasks[[#This Row],[_Row]]+1):INDEX(Tasks[_LeafEV],Tasks[[#This Row],[_Row]]+Tasks[[#This Row],[_Descendants]])),Tasks[[#This Row],[_LeafEV]]))</f>
        <v/>
      </c>
      <c r="BH145" s="96" t="str">
        <f aca="false">IF(Tasks[[#This Row],[Task Name]]="","",IF(Tasks[[#This Row],[_IsSummary]],SUM(INDEX(Tasks[_LeafAC],Tasks[[#This Row],[_Row]]+1):INDEX(Tasks[_LeafAC],Tasks[[#This Row],[_Row]]+Tasks[[#This Row],[_Descendants]])),Tasks[[#This Row],[_LeafAC]]))</f>
        <v/>
      </c>
      <c r="BI145" s="41" t="str">
        <f aca="false">IF(Tasks[[#This Row],[Task Name]]="","",MAX(1,N(Tasks[[#This Row],[Level]])))</f>
        <v/>
      </c>
      <c r="BJ145" s="41" t="n">
        <f aca="false">ROW()-ROW(Tasks[[#Headers],[ID]])</f>
        <v>140</v>
      </c>
      <c r="BK145" s="41" t="n">
        <f aca="false">IF(OR(Tasks[[#This Row],[Task Name]]="",Tasks[[#This Row],[_Level]]&lt;=1),0,IFERROR(LOOKUP(2,1/(Tasks[[#Headers],[_Level]]:Tasks[[#This Row],[_Level]]=Tasks[[#This Row],[_Level]]-1),ROW(Tasks[[#Headers],[_Level]]:Tasks[[#This Row],[_Level]])),0))</f>
        <v>0</v>
      </c>
      <c r="BL145" s="41" t="n">
        <f aca="false">IFERROR(N(INDEX(Tasks[_Level],Tasks[[#This Row],[_Row]]+1)),0)</f>
        <v>0</v>
      </c>
      <c r="BM145" s="99" t="b">
        <f aca="false">AND(Tasks[[#This Row],[Task Name]]&lt;&gt;"",Tasks[[#This Row],[_NextLevel]]&gt;Tasks[[#This Row],[_Level]])</f>
        <v>0</v>
      </c>
      <c r="BN145" s="41" t="n">
        <f aca="false">IF(Tasks[[#This Row],[_IsSummary]],COUNTIF(Tasks[WBS],Tasks[[#This Row],[WBS]]&amp;".*"),0)</f>
        <v>0</v>
      </c>
      <c r="BO145" s="41" t="n">
        <f aca="false">IF(AND(Tasks[[#This Row],[Task Name]]&lt;&gt;"",NOT(Tasks[[#This Row],[_IsSummary]])),1,0)</f>
        <v>0</v>
      </c>
      <c r="BP145" s="41" t="n">
        <f aca="false">IF(N(Tasks[[#This Row],[Pred1 UID]])=0,0,IFERROR(MATCH(Tasks[[#This Row],[Pred1 UID]],Tasks[UID],0),-1))</f>
        <v>0</v>
      </c>
      <c r="BQ145" s="41" t="n">
        <f aca="false">IF(N(Tasks[[#This Row],[Pred2 UID]])=0,0,IFERROR(MATCH(Tasks[[#This Row],[Pred2 UID]],Tasks[UID],0),-1))</f>
        <v>0</v>
      </c>
      <c r="BR145"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45" s="100" t="str">
        <f aca="false">IF(NOT(Tasks[[#This Row],[_IsLeaf]]=1),"",IF(N(Tasks[[#This Row],[Duration]])&lt;=0,Tasks[[#This Row],[_LeafCalcStart]],WORKDAY.INTL(Tasks[[#This Row],[_LeafCalcStart]],Tasks[[#This Row],[Duration]]-1,WorkWeek,Holidays)))</f>
        <v/>
      </c>
      <c r="BT145"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45"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45" s="41" t="n">
        <f aca="false">IF(NOT(Tasks[[#This Row],[_IsLeaf]]=1),0,IF(N(Tasks[[#This Row],[Actual Finish]])&gt;0,1,MIN(1,N(Tasks[[#This Row],[% Complete]]))))</f>
        <v>0</v>
      </c>
      <c r="BW145" s="41" t="n">
        <f aca="false">IF(OR(NOT(Tasks[[#This Row],[_IsLeaf]]=1),Tasks[[#This Row],[Resource]]=""),0,N(Tasks[[#This Row],[Duration]])*HoursPerDay*IF(Tasks[[#This Row],[Units]]="",DefaultUnits,Tasks[[#This Row],[Units]]))</f>
        <v>0</v>
      </c>
      <c r="BX145" s="41" t="n">
        <f aca="false">IF(Tasks[[#This Row],[_LeafWork]]=0,0,Tasks[[#This Row],[_LeafWork]]*IFERROR(INDEX(res_Rate,MATCH(Tasks[[#This Row],[Resource]],res_Name,0)),0))</f>
        <v>0</v>
      </c>
      <c r="BY14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4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4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4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45" s="41" t="n">
        <f aca="false">IF(NOT(Tasks[[#This Row],[_IsLeaf]]=1),0,MAX(_xlfn.MAXIFS(Tasks[_Row],Tasks[Pred1 UID],Tasks[[#This Row],[UID]]),_xlfn.MAXIFS(Tasks[_Row],Tasks[Pred2 UID],Tasks[[#This Row],[UID]])))</f>
        <v>0</v>
      </c>
      <c r="CD145"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45" s="100" t="str">
        <f aca="false">IF(NOT(Tasks[[#This Row],[_IsLeaf]]=1),"",MIN(ProjectFinish,IF(N(Tasks[[#This Row],[Deadline]])&gt;0,Tasks[[#This Row],[Deadline]],2958465),Tasks[[#This Row],[_SuccessorFinishLimit]]))</f>
        <v/>
      </c>
      <c r="CF145" s="100" t="str">
        <f aca="false">IF(NOT(Tasks[[#This Row],[_IsLeaf]]=1),"",IF(N(Tasks[[#This Row],[Duration]])&lt;=0,Tasks[[#This Row],[_LeafLateFinish]],WORKDAY.INTL(Tasks[[#This Row],[_LeafLateFinish]],-(Tasks[[#This Row],[Duration]]-1),WorkWeek,Holidays)))</f>
        <v/>
      </c>
      <c r="CG14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45" s="99" t="b">
        <f aca="false">AND(Tasks[[#This Row],[_IsLeaf]]=1,Tasks[[#This Row],[_LeafProgress]]&lt;1,N(Tasks[[#This Row],[_LeafTotalSlack]])&lt;=CriticalSlackDays)</f>
        <v>0</v>
      </c>
      <c r="CI145" s="100" t="str">
        <f aca="false">IF(Tasks[[#This Row],[Task Name]]="","",IF(Tasks[[#This Row],[_IsSummary]],MIN(INDEX(Tasks[_LeafCalcStart],Tasks[[#This Row],[_Row]]+1):INDEX(Tasks[_LeafCalcStart],Tasks[[#This Row],[_Row]]+Tasks[[#This Row],[_Descendants]])),Tasks[[#This Row],[_LeafCalcStart]]))</f>
        <v/>
      </c>
      <c r="CJ145" s="100" t="str">
        <f aca="false">IF(Tasks[[#This Row],[Task Name]]="","",IF(Tasks[[#This Row],[_IsSummary]],MAX(INDEX(Tasks[_LeafCalcFinish],Tasks[[#This Row],[_Row]]+1):INDEX(Tasks[_LeafCalcFinish],Tasks[[#This Row],[_Row]]+Tasks[[#This Row],[_Descendants]])),Tasks[[#This Row],[_LeafCalcFinish]]))</f>
        <v/>
      </c>
      <c r="CK14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4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45"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45"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45"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45"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45" s="41" t="n">
        <f aca="false">IF(AND(Tasks[[#This Row],[_IsLeaf]]=1,Tasks[[#This Row],[_LeafWork]]&gt;0),NETWORKDAYS.INTL(ProjectStart,Tasks[[#This Row],[_LeafFcstStart]],WorkWeek,Holidays),0)</f>
        <v>0</v>
      </c>
      <c r="CR145" s="41" t="n">
        <f aca="false">IF(AND(Tasks[[#This Row],[_IsLeaf]]=1,Tasks[[#This Row],[_LeafWork]]&gt;0),MAX(Tasks[[#This Row],[_StartWorkday]],NETWORKDAYS.INTL(ProjectStart,Tasks[[#This Row],[_LeafFcstFinish]],WorkWeek,Holidays)),0)</f>
        <v>0</v>
      </c>
      <c r="CS145" s="41" t="n">
        <f aca="false">IF(AND(Tasks[[#This Row],[_IsLeaf]]=1,Tasks[[#This Row],[_LeafWork]]&gt;0),Tasks[[#This Row],[_LeafWork]]/(Tasks[[#This Row],[_FinishWorkday]]-Tasks[[#This Row],[_StartWorkday]]+1),0)</f>
        <v>0</v>
      </c>
      <c r="CT145" s="41" t="n">
        <f aca="false">Tasks[[#This Row],[_WorkPerWorkday]]*(Tasks[[#This Row],[_StartWorkday]]-1)</f>
        <v>-0</v>
      </c>
      <c r="CU145" s="41" t="n">
        <f aca="false">IF(Tasks[[#This Row],[_IsLeaf]]=1,MAX(N(Tasks[[#This Row],[Duration]]),0.1),0)</f>
        <v>0</v>
      </c>
      <c r="CV145" s="41" t="n">
        <f aca="false">Tasks[[#This Row],[_WeightDur]]*Tasks[[#This Row],[_LeafProgress]]</f>
        <v>0</v>
      </c>
      <c r="CW14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4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4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4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45" s="41" t="str">
        <f aca="false">IF(Tasks[[#This Row],[Task Name]]="","",Tasks[[#This Row],[_Pred1UIDText]]&amp;IF(AND(Tasks[[#This Row],[_Pred1UIDText]]&lt;&gt;"",Tasks[[#This Row],[_Pred2UIDText]]&lt;&gt;""),",","")&amp;Tasks[[#This Row],[_Pred2UIDText]])</f>
        <v/>
      </c>
      <c r="DB145" s="41" t="str">
        <f aca="false">IF(AND(Tasks[[#This Row],[_IsLeaf]]=1,N(Tasks[[#This Row],[Duration]])=0,Tasks[[#This Row],[_LeafProgress]]&lt;1),Tasks[[#This Row],[_LeafFcstFinish]]+Tasks[[#This Row],[_Row]]/100000,"")</f>
        <v/>
      </c>
      <c r="DC14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45" s="41" t="n">
        <f aca="false">IF(NOT(Tasks[[#This Row],[_IsLeaf]]=1),0,IF(Tasks[[#This Row],[Baseline Cost]]="",Tasks[[#This Row],[_LeafCost]],N(Tasks[[#This Row],[Baseline Cost]])))</f>
        <v>0</v>
      </c>
      <c r="DE145" s="41" t="n">
        <f aca="false">Tasks[[#This Row],[_LeafBudget]]*Tasks[[#This Row],[_PlannedPct]]</f>
        <v>0</v>
      </c>
      <c r="DF145" s="41" t="n">
        <f aca="false">Tasks[[#This Row],[_LeafBudget]]*Tasks[[#This Row],[_LeafProgress]]</f>
        <v>0</v>
      </c>
      <c r="DG145" s="41" t="n">
        <f aca="false">IF(NOT(Tasks[[#This Row],[_IsLeaf]]=1),0,IF(Tasks[[#This Row],[Actual Cost]]="",Tasks[[#This Row],[_LeafCost]]*Tasks[[#This Row],[_LeafProgress]],N(Tasks[[#This Row],[Actual Cost]])))</f>
        <v>0</v>
      </c>
      <c r="DH145" s="41" t="str">
        <f aca="false">IF(Tasks[[#This Row],[Task Name]]="","",LEFT(Tasks[[#This Row],[WBS]],FIND(".",Tasks[[#This Row],[WBS]]&amp;".")-1))</f>
        <v/>
      </c>
      <c r="DI145" s="41" t="str">
        <f aca="false">IF(AND(Tasks[[#This Row],[Task Name]]&lt;&gt;"",Tasks[[#This Row],[_Level]]=1),Tasks[[#This Row],[_Row]],"")</f>
        <v/>
      </c>
      <c r="DJ145" s="41" t="str">
        <f aca="false">IF(AND(Tasks[[#This Row],[_IsLeaf]]=1,N(Tasks[[#This Row],[Duration]])=0),Tasks[[#This Row],[Planned Finish]]+Tasks[[#This Row],[_Row]]/100000,"")</f>
        <v/>
      </c>
      <c r="DK145" s="41" t="str">
        <f aca="false">IF(AND(Tasks[[#This Row],[_IsLeaf]]=1,Tasks[[#This Row],[_LeafProgress]]&lt;1,OR(N(Tasks[[#This Row],[Finish Var]])&gt;0,Tasks[[#This Row],[Status]]="Late Start")),MAX(0,Tasks[[#This Row],[Finish Var]])+1-Tasks[[#This Row],[_Row]]/1000000,"")</f>
        <v/>
      </c>
      <c r="DL145" s="41" t="str">
        <f aca="false">IF(AND(Tasks[[#This Row],[_IsLeaf]]=1,N(Tasks[[#This Row],[Actual Start]])=0,Tasks[[#This Row],[_LeafFcstStart]]&gt;=StatusDate,Tasks[[#This Row],[_LeafFcstStart]]&lt;=LookaheadEnd),Tasks[[#This Row],[_LeafFcstStart]]+Tasks[[#This Row],[_Row]]/100000,"")</f>
        <v/>
      </c>
      <c r="DM145" s="41" t="str">
        <f aca="false">IF(AND(Tasks[[#This Row],[_IsLeaf]]=1,Tasks[[#This Row],[_LeafProgress]]&lt;1,Tasks[[#This Row],[_LeafFcstFinish]]&gt;=StatusDate,Tasks[[#This Row],[_LeafFcstFinish]]&lt;=LookaheadEnd),Tasks[[#This Row],[_LeafFcstFinish]]+Tasks[[#This Row],[_Row]]/100000,"")</f>
        <v/>
      </c>
      <c r="DN145" s="41" t="str">
        <f aca="false">IF(Tasks[[#This Row],[_LeafCritical]],Tasks[[#This Row],[_LeafFcstStart]]+Tasks[[#This Row],[_Row]]/100000,"")</f>
        <v/>
      </c>
      <c r="DO145" s="41" t="n">
        <f aca="false">Tasks[[#This Row],[_LeafWork]]*Tasks[[#This Row],[_LeafProgress]]</f>
        <v>0</v>
      </c>
      <c r="DP145" s="100" t="str">
        <f aca="false">IF(AND(Tasks[[#This Row],[_IsLeaf]]=1,Tasks[[#This Row],[_LeafProgress]]&gt;=1),IF(N(Tasks[[#This Row],[Actual Finish]])&gt;0,Tasks[[#This Row],[Actual Finish]],Tasks[[#This Row],[_LeafFcstFinish]]),"")</f>
        <v/>
      </c>
      <c r="DQ145" s="41" t="n">
        <f aca="false">IF(Tasks[[#This Row],[_IsLeaf]]=1,N(Tasks[[#This Row],[Story Points]]),0)</f>
        <v>0</v>
      </c>
      <c r="DR145" s="41" t="str">
        <f aca="false">IF(AND(Tasks[[#This Row],[_IsLeaf]]=1,CurrentSprint&lt;&gt;"",Tasks[[#This Row],[Sprint]]=CurrentSprint),Tasks[[#This Row],[_Row]],"")</f>
        <v/>
      </c>
    </row>
    <row r="146" customFormat="false" ht="15" hidden="false" customHeight="false" outlineLevel="0" collapsed="false">
      <c r="A146" s="28" t="str">
        <f aca="false">IF(Tasks[[#This Row],[Task Name]]="","",COUNTA(Tasks[[#Headers],[Task Name]]:Tasks[[#This Row],[Task Name]])-1)</f>
        <v/>
      </c>
      <c r="B146" s="29" t="n">
        <v>141</v>
      </c>
      <c r="C14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6" s="29"/>
      <c r="E146" s="30"/>
      <c r="F146" s="29"/>
      <c r="G146" s="29"/>
      <c r="H146" s="29"/>
      <c r="I146" s="29"/>
      <c r="J146" s="29"/>
      <c r="K146" s="29"/>
      <c r="L146" s="29"/>
      <c r="M146" s="29"/>
      <c r="N146" s="73"/>
      <c r="O146" s="73"/>
      <c r="P146" s="25" t="str">
        <f aca="false">IF(Tasks[[#This Row],[Task Name]]="","",IF(N(Tasks[[#This Row],[Baseline Start]])&gt;0,Tasks[[#This Row],[Baseline Start]],Tasks[[#This Row],[_CalcStart]]))</f>
        <v/>
      </c>
      <c r="Q146" s="25" t="str">
        <f aca="false">IF(Tasks[[#This Row],[Task Name]]="","",IF(N(Tasks[[#This Row],[Baseline Finish]])&gt;0,Tasks[[#This Row],[Baseline Finish]],Tasks[[#This Row],[_CalcFinish]]))</f>
        <v/>
      </c>
      <c r="R146" s="73"/>
      <c r="S146" s="73"/>
      <c r="T146" s="25" t="str">
        <f aca="false">IF(Tasks[[#This Row],[Task Name]]="","",IF(Tasks[[#This Row],[_IsSummary]],MIN(INDEX(Tasks[_LeafFcstStart],Tasks[[#This Row],[_Row]]+1):INDEX(Tasks[_LeafFcstStart],Tasks[[#This Row],[_Row]]+Tasks[[#This Row],[_Descendants]])),Tasks[[#This Row],[_LeafFcstStart]]))</f>
        <v/>
      </c>
      <c r="U146" s="25" t="str">
        <f aca="false">IF(Tasks[[#This Row],[Task Name]]="","",IF(Tasks[[#This Row],[_IsSummary]],MAX(INDEX(Tasks[_LeafFcstFinish],Tasks[[#This Row],[_Row]]+1):INDEX(Tasks[_LeafFcstFinish],Tasks[[#This Row],[_Row]]+Tasks[[#This Row],[_Descendants]])),Tasks[[#This Row],[_LeafFcstFinish]]))</f>
        <v/>
      </c>
      <c r="V14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4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6" s="25" t="str">
        <f aca="false">IF(Tasks[[#This Row],[Task Name]]="","",IF(Tasks[[#This Row],[_IsSummary]],MIN(INDEX(Tasks[_LeafLateStart],Tasks[[#This Row],[_Row]]+1):INDEX(Tasks[_LeafLateStart],Tasks[[#This Row],[_Row]]+Tasks[[#This Row],[_Descendants]])),Tasks[[#This Row],[_LeafLateStart]]))</f>
        <v/>
      </c>
      <c r="Y146" s="25" t="str">
        <f aca="false">IF(Tasks[[#This Row],[Task Name]]="","",IF(Tasks[[#This Row],[_IsSummary]],MAX(INDEX(Tasks[_LeafLateFinish],Tasks[[#This Row],[_Row]]+1):INDEX(Tasks[_LeafLateFinish],Tasks[[#This Row],[_Row]]+Tasks[[#This Row],[_Descendants]])),Tasks[[#This Row],[_LeafLateFinish]]))</f>
        <v/>
      </c>
      <c r="Z146" s="43" t="str">
        <f aca="false">IF(Tasks[[#This Row],[Task Name]]="","",IF(Tasks[[#This Row],[_IsSummary]],MIN(INDEX(Tasks[_LeafTotalSlack],Tasks[[#This Row],[_Row]]+1):INDEX(Tasks[_LeafTotalSlack],Tasks[[#This Row],[_Row]]+Tasks[[#This Row],[_Descendants]])),Tasks[[#This Row],[_LeafTotalSlack]]))</f>
        <v/>
      </c>
      <c r="AA14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6" s="28" t="str">
        <f aca="false">IF(Tasks[[#This Row],[Task Name]]="","",IF(IF(Tasks[[#This Row],[_IsSummary]],COUNTIF(INDEX(Tasks[_LeafCritical],Tasks[[#This Row],[_Row]]+1):INDEX(Tasks[_LeafCritical],Tasks[[#This Row],[_Row]]+Tasks[[#This Row],[_Descendants]]),TRUE())&gt;0,Tasks[[#This Row],[_LeafCritical]]),"Yes",""))</f>
        <v/>
      </c>
      <c r="AC14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6" s="24" t="str">
        <f aca="false">IF(Tasks[[#This Row],[Task Name]]="","",TRIM(IF(Tasks[[#This Row],[_Pred1Problem]]&lt;&gt;"","Pred 1: "&amp;Tasks[[#This Row],[_Pred1Problem]]&amp;". ","")&amp;IF(Tasks[[#This Row],[_Pred2Problem]]&lt;&gt;"","Pred 2: "&amp;Tasks[[#This Row],[_Pred2Problem]]&amp;".","")))</f>
        <v/>
      </c>
      <c r="AE146" s="88"/>
      <c r="AF146"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6" s="28" t="str">
        <f aca="false">IF(Tasks[[#This Row],[Task Name]]="","",IF(Tasks[[#This Row],[Progress]]&gt;=1,"Complete",IF(OR(N(Tasks[[#This Row],[Actual Start]])&gt;0,Tasks[[#This Row],[Progress]]&gt;0),IF(Tasks[[#This Row],[Finish Var]]&gt;0,"Behind","In Progress"),IF(Tasks[[#This Row],[Planned Start]]&lt;StatusDate,"Late Start","Not Started"))))</f>
        <v/>
      </c>
      <c r="AH146" s="30"/>
      <c r="AI146" s="88"/>
      <c r="AJ146" s="95" t="str">
        <f aca="false">IF(Tasks[[#This Row],[Task Name]]="","",IF(Tasks[[#This Row],[_IsSummary]],SUM(INDEX(Tasks[_LeafWork],Tasks[[#This Row],[_Row]]+1):INDEX(Tasks[_LeafWork],Tasks[[#This Row],[_Row]]+Tasks[[#This Row],[_Descendants]])),Tasks[[#This Row],[_LeafWork]]))</f>
        <v/>
      </c>
      <c r="AK146" s="96" t="str">
        <f aca="false">IF(Tasks[[#This Row],[Task Name]]="","",IF(Tasks[[#This Row],[_IsSummary]],SUM(INDEX(Tasks[_LeafCost],Tasks[[#This Row],[_Row]]+1):INDEX(Tasks[_LeafCost],Tasks[[#This Row],[_Row]]+Tasks[[#This Row],[_Descendants]])),Tasks[[#This Row],[_LeafCost]]))</f>
        <v/>
      </c>
      <c r="AL146" s="97"/>
      <c r="AM146" s="29"/>
      <c r="AN14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46" s="82"/>
      <c r="AP146" s="24" t="str">
        <f aca="false">IF(Tasks[[#This Row],[Task Name]]="","",Tasks[[#This Row],[_Pred1IDText]]&amp;IF(AND(Tasks[[#This Row],[_Pred1IDText]]&lt;&gt;"",Tasks[[#This Row],[_Pred2IDText]]&lt;&gt;""),",","")&amp;Tasks[[#This Row],[_Pred2IDText]])</f>
        <v/>
      </c>
      <c r="AQ146" s="30"/>
      <c r="AR146" s="25" t="str">
        <f aca="false">IF(Tasks[[#This Row],[Task Name]]="","",Tasks[[#This Row],[Forecast Start]])</f>
        <v/>
      </c>
      <c r="AS146" s="25" t="str">
        <f aca="false">IF(Tasks[[#This Row],[Task Name]]="","",Tasks[[#This Row],[Forecast Finish]])</f>
        <v/>
      </c>
      <c r="AT146" s="28" t="str">
        <f aca="false">IF(Tasks[[#This Row],[Task Name]]="","",IF(Tasks[[#This Row],[_IsSummary]],NETWORKDAYS.INTL(Tasks[[#This Row],[Forecast Start]],Tasks[[#This Row],[Forecast Finish]],WorkWeek,Holidays),N(Tasks[[#This Row],[Duration]])))</f>
        <v/>
      </c>
      <c r="AU146" s="95" t="str">
        <f aca="false">IF(Tasks[[#This Row],[Task Name]]="","",Tasks[[#This Row],[Work]])</f>
        <v/>
      </c>
      <c r="AV146" s="96" t="str">
        <f aca="false">IF(Tasks[[#This Row],[Task Name]]="","",Tasks[[#This Row],[Cost]])</f>
        <v/>
      </c>
      <c r="AW146" s="73"/>
      <c r="AX146" s="73"/>
      <c r="AY146" s="29"/>
      <c r="AZ146" s="98"/>
      <c r="BA146" s="97"/>
      <c r="BB146" s="28" t="str">
        <f aca="false">IF(OR(Tasks[[#This Row],[Task Name]]="",Tasks[[#This Row],[Baseline Duration]]=""),"",Tasks[[#This Row],[BL Source Duration]]-N(Tasks[[#This Row],[Baseline Duration]]))</f>
        <v/>
      </c>
      <c r="BC146" s="95" t="str">
        <f aca="false">IF(OR(Tasks[[#This Row],[Task Name]]="",Tasks[[#This Row],[Baseline Work]]=""),"",Tasks[[#This Row],[Work]]-N(Tasks[[#This Row],[Baseline Work]]))</f>
        <v/>
      </c>
      <c r="BD146" s="96" t="str">
        <f aca="false">IF(OR(Tasks[[#This Row],[Task Name]]="",Tasks[[#This Row],[Baseline Cost]]=""),"",Tasks[[#This Row],[Cost]]-N(Tasks[[#This Row],[Baseline Cost]]))</f>
        <v/>
      </c>
      <c r="BE146" s="96" t="str">
        <f aca="false">IF(Tasks[[#This Row],[Task Name]]="","",IF(Tasks[[#This Row],[_IsSummary]],SUM(INDEX(Tasks[_LeafBudget],Tasks[[#This Row],[_Row]]+1):INDEX(Tasks[_LeafBudget],Tasks[[#This Row],[_Row]]+Tasks[[#This Row],[_Descendants]])),Tasks[[#This Row],[_LeafBudget]]))</f>
        <v/>
      </c>
      <c r="BF146" s="96" t="str">
        <f aca="false">IF(Tasks[[#This Row],[Task Name]]="","",IF(Tasks[[#This Row],[_IsSummary]],SUM(INDEX(Tasks[_LeafPV],Tasks[[#This Row],[_Row]]+1):INDEX(Tasks[_LeafPV],Tasks[[#This Row],[_Row]]+Tasks[[#This Row],[_Descendants]])),Tasks[[#This Row],[_LeafPV]]))</f>
        <v/>
      </c>
      <c r="BG146" s="96" t="str">
        <f aca="false">IF(Tasks[[#This Row],[Task Name]]="","",IF(Tasks[[#This Row],[_IsSummary]],SUM(INDEX(Tasks[_LeafEV],Tasks[[#This Row],[_Row]]+1):INDEX(Tasks[_LeafEV],Tasks[[#This Row],[_Row]]+Tasks[[#This Row],[_Descendants]])),Tasks[[#This Row],[_LeafEV]]))</f>
        <v/>
      </c>
      <c r="BH146" s="96" t="str">
        <f aca="false">IF(Tasks[[#This Row],[Task Name]]="","",IF(Tasks[[#This Row],[_IsSummary]],SUM(INDEX(Tasks[_LeafAC],Tasks[[#This Row],[_Row]]+1):INDEX(Tasks[_LeafAC],Tasks[[#This Row],[_Row]]+Tasks[[#This Row],[_Descendants]])),Tasks[[#This Row],[_LeafAC]]))</f>
        <v/>
      </c>
      <c r="BI146" s="41" t="str">
        <f aca="false">IF(Tasks[[#This Row],[Task Name]]="","",MAX(1,N(Tasks[[#This Row],[Level]])))</f>
        <v/>
      </c>
      <c r="BJ146" s="41" t="n">
        <f aca="false">ROW()-ROW(Tasks[[#Headers],[ID]])</f>
        <v>141</v>
      </c>
      <c r="BK146" s="41" t="n">
        <f aca="false">IF(OR(Tasks[[#This Row],[Task Name]]="",Tasks[[#This Row],[_Level]]&lt;=1),0,IFERROR(LOOKUP(2,1/(Tasks[[#Headers],[_Level]]:Tasks[[#This Row],[_Level]]=Tasks[[#This Row],[_Level]]-1),ROW(Tasks[[#Headers],[_Level]]:Tasks[[#This Row],[_Level]])),0))</f>
        <v>0</v>
      </c>
      <c r="BL146" s="41" t="n">
        <f aca="false">IFERROR(N(INDEX(Tasks[_Level],Tasks[[#This Row],[_Row]]+1)),0)</f>
        <v>0</v>
      </c>
      <c r="BM146" s="99" t="b">
        <f aca="false">AND(Tasks[[#This Row],[Task Name]]&lt;&gt;"",Tasks[[#This Row],[_NextLevel]]&gt;Tasks[[#This Row],[_Level]])</f>
        <v>0</v>
      </c>
      <c r="BN146" s="41" t="n">
        <f aca="false">IF(Tasks[[#This Row],[_IsSummary]],COUNTIF(Tasks[WBS],Tasks[[#This Row],[WBS]]&amp;".*"),0)</f>
        <v>0</v>
      </c>
      <c r="BO146" s="41" t="n">
        <f aca="false">IF(AND(Tasks[[#This Row],[Task Name]]&lt;&gt;"",NOT(Tasks[[#This Row],[_IsSummary]])),1,0)</f>
        <v>0</v>
      </c>
      <c r="BP146" s="41" t="n">
        <f aca="false">IF(N(Tasks[[#This Row],[Pred1 UID]])=0,0,IFERROR(MATCH(Tasks[[#This Row],[Pred1 UID]],Tasks[UID],0),-1))</f>
        <v>0</v>
      </c>
      <c r="BQ146" s="41" t="n">
        <f aca="false">IF(N(Tasks[[#This Row],[Pred2 UID]])=0,0,IFERROR(MATCH(Tasks[[#This Row],[Pred2 UID]],Tasks[UID],0),-1))</f>
        <v>0</v>
      </c>
      <c r="BR146"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46" s="100" t="str">
        <f aca="false">IF(NOT(Tasks[[#This Row],[_IsLeaf]]=1),"",IF(N(Tasks[[#This Row],[Duration]])&lt;=0,Tasks[[#This Row],[_LeafCalcStart]],WORKDAY.INTL(Tasks[[#This Row],[_LeafCalcStart]],Tasks[[#This Row],[Duration]]-1,WorkWeek,Holidays)))</f>
        <v/>
      </c>
      <c r="BT146"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46"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46" s="41" t="n">
        <f aca="false">IF(NOT(Tasks[[#This Row],[_IsLeaf]]=1),0,IF(N(Tasks[[#This Row],[Actual Finish]])&gt;0,1,MIN(1,N(Tasks[[#This Row],[% Complete]]))))</f>
        <v>0</v>
      </c>
      <c r="BW146" s="41" t="n">
        <f aca="false">IF(OR(NOT(Tasks[[#This Row],[_IsLeaf]]=1),Tasks[[#This Row],[Resource]]=""),0,N(Tasks[[#This Row],[Duration]])*HoursPerDay*IF(Tasks[[#This Row],[Units]]="",DefaultUnits,Tasks[[#This Row],[Units]]))</f>
        <v>0</v>
      </c>
      <c r="BX146" s="41" t="n">
        <f aca="false">IF(Tasks[[#This Row],[_LeafWork]]=0,0,Tasks[[#This Row],[_LeafWork]]*IFERROR(INDEX(res_Rate,MATCH(Tasks[[#This Row],[Resource]],res_Name,0)),0))</f>
        <v>0</v>
      </c>
      <c r="BY14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4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4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4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46" s="41" t="n">
        <f aca="false">IF(NOT(Tasks[[#This Row],[_IsLeaf]]=1),0,MAX(_xlfn.MAXIFS(Tasks[_Row],Tasks[Pred1 UID],Tasks[[#This Row],[UID]]),_xlfn.MAXIFS(Tasks[_Row],Tasks[Pred2 UID],Tasks[[#This Row],[UID]])))</f>
        <v>0</v>
      </c>
      <c r="CD146"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46" s="100" t="str">
        <f aca="false">IF(NOT(Tasks[[#This Row],[_IsLeaf]]=1),"",MIN(ProjectFinish,IF(N(Tasks[[#This Row],[Deadline]])&gt;0,Tasks[[#This Row],[Deadline]],2958465),Tasks[[#This Row],[_SuccessorFinishLimit]]))</f>
        <v/>
      </c>
      <c r="CF146" s="100" t="str">
        <f aca="false">IF(NOT(Tasks[[#This Row],[_IsLeaf]]=1),"",IF(N(Tasks[[#This Row],[Duration]])&lt;=0,Tasks[[#This Row],[_LeafLateFinish]],WORKDAY.INTL(Tasks[[#This Row],[_LeafLateFinish]],-(Tasks[[#This Row],[Duration]]-1),WorkWeek,Holidays)))</f>
        <v/>
      </c>
      <c r="CG14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46" s="99" t="b">
        <f aca="false">AND(Tasks[[#This Row],[_IsLeaf]]=1,Tasks[[#This Row],[_LeafProgress]]&lt;1,N(Tasks[[#This Row],[_LeafTotalSlack]])&lt;=CriticalSlackDays)</f>
        <v>0</v>
      </c>
      <c r="CI146" s="100" t="str">
        <f aca="false">IF(Tasks[[#This Row],[Task Name]]="","",IF(Tasks[[#This Row],[_IsSummary]],MIN(INDEX(Tasks[_LeafCalcStart],Tasks[[#This Row],[_Row]]+1):INDEX(Tasks[_LeafCalcStart],Tasks[[#This Row],[_Row]]+Tasks[[#This Row],[_Descendants]])),Tasks[[#This Row],[_LeafCalcStart]]))</f>
        <v/>
      </c>
      <c r="CJ146" s="100" t="str">
        <f aca="false">IF(Tasks[[#This Row],[Task Name]]="","",IF(Tasks[[#This Row],[_IsSummary]],MAX(INDEX(Tasks[_LeafCalcFinish],Tasks[[#This Row],[_Row]]+1):INDEX(Tasks[_LeafCalcFinish],Tasks[[#This Row],[_Row]]+Tasks[[#This Row],[_Descendants]])),Tasks[[#This Row],[_LeafCalcFinish]]))</f>
        <v/>
      </c>
      <c r="CK14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4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46"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46"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46"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46"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46" s="41" t="n">
        <f aca="false">IF(AND(Tasks[[#This Row],[_IsLeaf]]=1,Tasks[[#This Row],[_LeafWork]]&gt;0),NETWORKDAYS.INTL(ProjectStart,Tasks[[#This Row],[_LeafFcstStart]],WorkWeek,Holidays),0)</f>
        <v>0</v>
      </c>
      <c r="CR146" s="41" t="n">
        <f aca="false">IF(AND(Tasks[[#This Row],[_IsLeaf]]=1,Tasks[[#This Row],[_LeafWork]]&gt;0),MAX(Tasks[[#This Row],[_StartWorkday]],NETWORKDAYS.INTL(ProjectStart,Tasks[[#This Row],[_LeafFcstFinish]],WorkWeek,Holidays)),0)</f>
        <v>0</v>
      </c>
      <c r="CS146" s="41" t="n">
        <f aca="false">IF(AND(Tasks[[#This Row],[_IsLeaf]]=1,Tasks[[#This Row],[_LeafWork]]&gt;0),Tasks[[#This Row],[_LeafWork]]/(Tasks[[#This Row],[_FinishWorkday]]-Tasks[[#This Row],[_StartWorkday]]+1),0)</f>
        <v>0</v>
      </c>
      <c r="CT146" s="41" t="n">
        <f aca="false">Tasks[[#This Row],[_WorkPerWorkday]]*(Tasks[[#This Row],[_StartWorkday]]-1)</f>
        <v>-0</v>
      </c>
      <c r="CU146" s="41" t="n">
        <f aca="false">IF(Tasks[[#This Row],[_IsLeaf]]=1,MAX(N(Tasks[[#This Row],[Duration]]),0.1),0)</f>
        <v>0</v>
      </c>
      <c r="CV146" s="41" t="n">
        <f aca="false">Tasks[[#This Row],[_WeightDur]]*Tasks[[#This Row],[_LeafProgress]]</f>
        <v>0</v>
      </c>
      <c r="CW14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4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4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4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46" s="41" t="str">
        <f aca="false">IF(Tasks[[#This Row],[Task Name]]="","",Tasks[[#This Row],[_Pred1UIDText]]&amp;IF(AND(Tasks[[#This Row],[_Pred1UIDText]]&lt;&gt;"",Tasks[[#This Row],[_Pred2UIDText]]&lt;&gt;""),",","")&amp;Tasks[[#This Row],[_Pred2UIDText]])</f>
        <v/>
      </c>
      <c r="DB146" s="41" t="str">
        <f aca="false">IF(AND(Tasks[[#This Row],[_IsLeaf]]=1,N(Tasks[[#This Row],[Duration]])=0,Tasks[[#This Row],[_LeafProgress]]&lt;1),Tasks[[#This Row],[_LeafFcstFinish]]+Tasks[[#This Row],[_Row]]/100000,"")</f>
        <v/>
      </c>
      <c r="DC14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46" s="41" t="n">
        <f aca="false">IF(NOT(Tasks[[#This Row],[_IsLeaf]]=1),0,IF(Tasks[[#This Row],[Baseline Cost]]="",Tasks[[#This Row],[_LeafCost]],N(Tasks[[#This Row],[Baseline Cost]])))</f>
        <v>0</v>
      </c>
      <c r="DE146" s="41" t="n">
        <f aca="false">Tasks[[#This Row],[_LeafBudget]]*Tasks[[#This Row],[_PlannedPct]]</f>
        <v>0</v>
      </c>
      <c r="DF146" s="41" t="n">
        <f aca="false">Tasks[[#This Row],[_LeafBudget]]*Tasks[[#This Row],[_LeafProgress]]</f>
        <v>0</v>
      </c>
      <c r="DG146" s="41" t="n">
        <f aca="false">IF(NOT(Tasks[[#This Row],[_IsLeaf]]=1),0,IF(Tasks[[#This Row],[Actual Cost]]="",Tasks[[#This Row],[_LeafCost]]*Tasks[[#This Row],[_LeafProgress]],N(Tasks[[#This Row],[Actual Cost]])))</f>
        <v>0</v>
      </c>
      <c r="DH146" s="41" t="str">
        <f aca="false">IF(Tasks[[#This Row],[Task Name]]="","",LEFT(Tasks[[#This Row],[WBS]],FIND(".",Tasks[[#This Row],[WBS]]&amp;".")-1))</f>
        <v/>
      </c>
      <c r="DI146" s="41" t="str">
        <f aca="false">IF(AND(Tasks[[#This Row],[Task Name]]&lt;&gt;"",Tasks[[#This Row],[_Level]]=1),Tasks[[#This Row],[_Row]],"")</f>
        <v/>
      </c>
      <c r="DJ146" s="41" t="str">
        <f aca="false">IF(AND(Tasks[[#This Row],[_IsLeaf]]=1,N(Tasks[[#This Row],[Duration]])=0),Tasks[[#This Row],[Planned Finish]]+Tasks[[#This Row],[_Row]]/100000,"")</f>
        <v/>
      </c>
      <c r="DK146" s="41" t="str">
        <f aca="false">IF(AND(Tasks[[#This Row],[_IsLeaf]]=1,Tasks[[#This Row],[_LeafProgress]]&lt;1,OR(N(Tasks[[#This Row],[Finish Var]])&gt;0,Tasks[[#This Row],[Status]]="Late Start")),MAX(0,Tasks[[#This Row],[Finish Var]])+1-Tasks[[#This Row],[_Row]]/1000000,"")</f>
        <v/>
      </c>
      <c r="DL146" s="41" t="str">
        <f aca="false">IF(AND(Tasks[[#This Row],[_IsLeaf]]=1,N(Tasks[[#This Row],[Actual Start]])=0,Tasks[[#This Row],[_LeafFcstStart]]&gt;=StatusDate,Tasks[[#This Row],[_LeafFcstStart]]&lt;=LookaheadEnd),Tasks[[#This Row],[_LeafFcstStart]]+Tasks[[#This Row],[_Row]]/100000,"")</f>
        <v/>
      </c>
      <c r="DM146" s="41" t="str">
        <f aca="false">IF(AND(Tasks[[#This Row],[_IsLeaf]]=1,Tasks[[#This Row],[_LeafProgress]]&lt;1,Tasks[[#This Row],[_LeafFcstFinish]]&gt;=StatusDate,Tasks[[#This Row],[_LeafFcstFinish]]&lt;=LookaheadEnd),Tasks[[#This Row],[_LeafFcstFinish]]+Tasks[[#This Row],[_Row]]/100000,"")</f>
        <v/>
      </c>
      <c r="DN146" s="41" t="str">
        <f aca="false">IF(Tasks[[#This Row],[_LeafCritical]],Tasks[[#This Row],[_LeafFcstStart]]+Tasks[[#This Row],[_Row]]/100000,"")</f>
        <v/>
      </c>
      <c r="DO146" s="41" t="n">
        <f aca="false">Tasks[[#This Row],[_LeafWork]]*Tasks[[#This Row],[_LeafProgress]]</f>
        <v>0</v>
      </c>
      <c r="DP146" s="100" t="str">
        <f aca="false">IF(AND(Tasks[[#This Row],[_IsLeaf]]=1,Tasks[[#This Row],[_LeafProgress]]&gt;=1),IF(N(Tasks[[#This Row],[Actual Finish]])&gt;0,Tasks[[#This Row],[Actual Finish]],Tasks[[#This Row],[_LeafFcstFinish]]),"")</f>
        <v/>
      </c>
      <c r="DQ146" s="41" t="n">
        <f aca="false">IF(Tasks[[#This Row],[_IsLeaf]]=1,N(Tasks[[#This Row],[Story Points]]),0)</f>
        <v>0</v>
      </c>
      <c r="DR146" s="41" t="str">
        <f aca="false">IF(AND(Tasks[[#This Row],[_IsLeaf]]=1,CurrentSprint&lt;&gt;"",Tasks[[#This Row],[Sprint]]=CurrentSprint),Tasks[[#This Row],[_Row]],"")</f>
        <v/>
      </c>
    </row>
    <row r="147" customFormat="false" ht="15" hidden="false" customHeight="false" outlineLevel="0" collapsed="false">
      <c r="A147" s="28" t="str">
        <f aca="false">IF(Tasks[[#This Row],[Task Name]]="","",COUNTA(Tasks[[#Headers],[Task Name]]:Tasks[[#This Row],[Task Name]])-1)</f>
        <v/>
      </c>
      <c r="B147" s="29" t="n">
        <v>142</v>
      </c>
      <c r="C14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7" s="29"/>
      <c r="E147" s="30"/>
      <c r="F147" s="29"/>
      <c r="G147" s="29"/>
      <c r="H147" s="29"/>
      <c r="I147" s="29"/>
      <c r="J147" s="29"/>
      <c r="K147" s="29"/>
      <c r="L147" s="29"/>
      <c r="M147" s="29"/>
      <c r="N147" s="73"/>
      <c r="O147" s="73"/>
      <c r="P147" s="25" t="str">
        <f aca="false">IF(Tasks[[#This Row],[Task Name]]="","",IF(N(Tasks[[#This Row],[Baseline Start]])&gt;0,Tasks[[#This Row],[Baseline Start]],Tasks[[#This Row],[_CalcStart]]))</f>
        <v/>
      </c>
      <c r="Q147" s="25" t="str">
        <f aca="false">IF(Tasks[[#This Row],[Task Name]]="","",IF(N(Tasks[[#This Row],[Baseline Finish]])&gt;0,Tasks[[#This Row],[Baseline Finish]],Tasks[[#This Row],[_CalcFinish]]))</f>
        <v/>
      </c>
      <c r="R147" s="73"/>
      <c r="S147" s="73"/>
      <c r="T147" s="25" t="str">
        <f aca="false">IF(Tasks[[#This Row],[Task Name]]="","",IF(Tasks[[#This Row],[_IsSummary]],MIN(INDEX(Tasks[_LeafFcstStart],Tasks[[#This Row],[_Row]]+1):INDEX(Tasks[_LeafFcstStart],Tasks[[#This Row],[_Row]]+Tasks[[#This Row],[_Descendants]])),Tasks[[#This Row],[_LeafFcstStart]]))</f>
        <v/>
      </c>
      <c r="U147" s="25" t="str">
        <f aca="false">IF(Tasks[[#This Row],[Task Name]]="","",IF(Tasks[[#This Row],[_IsSummary]],MAX(INDEX(Tasks[_LeafFcstFinish],Tasks[[#This Row],[_Row]]+1):INDEX(Tasks[_LeafFcstFinish],Tasks[[#This Row],[_Row]]+Tasks[[#This Row],[_Descendants]])),Tasks[[#This Row],[_LeafFcstFinish]]))</f>
        <v/>
      </c>
      <c r="V14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4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7" s="25" t="str">
        <f aca="false">IF(Tasks[[#This Row],[Task Name]]="","",IF(Tasks[[#This Row],[_IsSummary]],MIN(INDEX(Tasks[_LeafLateStart],Tasks[[#This Row],[_Row]]+1):INDEX(Tasks[_LeafLateStart],Tasks[[#This Row],[_Row]]+Tasks[[#This Row],[_Descendants]])),Tasks[[#This Row],[_LeafLateStart]]))</f>
        <v/>
      </c>
      <c r="Y147" s="25" t="str">
        <f aca="false">IF(Tasks[[#This Row],[Task Name]]="","",IF(Tasks[[#This Row],[_IsSummary]],MAX(INDEX(Tasks[_LeafLateFinish],Tasks[[#This Row],[_Row]]+1):INDEX(Tasks[_LeafLateFinish],Tasks[[#This Row],[_Row]]+Tasks[[#This Row],[_Descendants]])),Tasks[[#This Row],[_LeafLateFinish]]))</f>
        <v/>
      </c>
      <c r="Z147" s="43" t="str">
        <f aca="false">IF(Tasks[[#This Row],[Task Name]]="","",IF(Tasks[[#This Row],[_IsSummary]],MIN(INDEX(Tasks[_LeafTotalSlack],Tasks[[#This Row],[_Row]]+1):INDEX(Tasks[_LeafTotalSlack],Tasks[[#This Row],[_Row]]+Tasks[[#This Row],[_Descendants]])),Tasks[[#This Row],[_LeafTotalSlack]]))</f>
        <v/>
      </c>
      <c r="AA14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7" s="28" t="str">
        <f aca="false">IF(Tasks[[#This Row],[Task Name]]="","",IF(IF(Tasks[[#This Row],[_IsSummary]],COUNTIF(INDEX(Tasks[_LeafCritical],Tasks[[#This Row],[_Row]]+1):INDEX(Tasks[_LeafCritical],Tasks[[#This Row],[_Row]]+Tasks[[#This Row],[_Descendants]]),TRUE())&gt;0,Tasks[[#This Row],[_LeafCritical]]),"Yes",""))</f>
        <v/>
      </c>
      <c r="AC14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7" s="24" t="str">
        <f aca="false">IF(Tasks[[#This Row],[Task Name]]="","",TRIM(IF(Tasks[[#This Row],[_Pred1Problem]]&lt;&gt;"","Pred 1: "&amp;Tasks[[#This Row],[_Pred1Problem]]&amp;". ","")&amp;IF(Tasks[[#This Row],[_Pred2Problem]]&lt;&gt;"","Pred 2: "&amp;Tasks[[#This Row],[_Pred2Problem]]&amp;".","")))</f>
        <v/>
      </c>
      <c r="AE147" s="88"/>
      <c r="AF147"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7" s="28" t="str">
        <f aca="false">IF(Tasks[[#This Row],[Task Name]]="","",IF(Tasks[[#This Row],[Progress]]&gt;=1,"Complete",IF(OR(N(Tasks[[#This Row],[Actual Start]])&gt;0,Tasks[[#This Row],[Progress]]&gt;0),IF(Tasks[[#This Row],[Finish Var]]&gt;0,"Behind","In Progress"),IF(Tasks[[#This Row],[Planned Start]]&lt;StatusDate,"Late Start","Not Started"))))</f>
        <v/>
      </c>
      <c r="AH147" s="30"/>
      <c r="AI147" s="88"/>
      <c r="AJ147" s="95" t="str">
        <f aca="false">IF(Tasks[[#This Row],[Task Name]]="","",IF(Tasks[[#This Row],[_IsSummary]],SUM(INDEX(Tasks[_LeafWork],Tasks[[#This Row],[_Row]]+1):INDEX(Tasks[_LeafWork],Tasks[[#This Row],[_Row]]+Tasks[[#This Row],[_Descendants]])),Tasks[[#This Row],[_LeafWork]]))</f>
        <v/>
      </c>
      <c r="AK147" s="96" t="str">
        <f aca="false">IF(Tasks[[#This Row],[Task Name]]="","",IF(Tasks[[#This Row],[_IsSummary]],SUM(INDEX(Tasks[_LeafCost],Tasks[[#This Row],[_Row]]+1):INDEX(Tasks[_LeafCost],Tasks[[#This Row],[_Row]]+Tasks[[#This Row],[_Descendants]])),Tasks[[#This Row],[_LeafCost]]))</f>
        <v/>
      </c>
      <c r="AL147" s="97"/>
      <c r="AM147" s="29"/>
      <c r="AN14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47" s="82"/>
      <c r="AP147" s="24" t="str">
        <f aca="false">IF(Tasks[[#This Row],[Task Name]]="","",Tasks[[#This Row],[_Pred1IDText]]&amp;IF(AND(Tasks[[#This Row],[_Pred1IDText]]&lt;&gt;"",Tasks[[#This Row],[_Pred2IDText]]&lt;&gt;""),",","")&amp;Tasks[[#This Row],[_Pred2IDText]])</f>
        <v/>
      </c>
      <c r="AQ147" s="30"/>
      <c r="AR147" s="25" t="str">
        <f aca="false">IF(Tasks[[#This Row],[Task Name]]="","",Tasks[[#This Row],[Forecast Start]])</f>
        <v/>
      </c>
      <c r="AS147" s="25" t="str">
        <f aca="false">IF(Tasks[[#This Row],[Task Name]]="","",Tasks[[#This Row],[Forecast Finish]])</f>
        <v/>
      </c>
      <c r="AT147" s="28" t="str">
        <f aca="false">IF(Tasks[[#This Row],[Task Name]]="","",IF(Tasks[[#This Row],[_IsSummary]],NETWORKDAYS.INTL(Tasks[[#This Row],[Forecast Start]],Tasks[[#This Row],[Forecast Finish]],WorkWeek,Holidays),N(Tasks[[#This Row],[Duration]])))</f>
        <v/>
      </c>
      <c r="AU147" s="95" t="str">
        <f aca="false">IF(Tasks[[#This Row],[Task Name]]="","",Tasks[[#This Row],[Work]])</f>
        <v/>
      </c>
      <c r="AV147" s="96" t="str">
        <f aca="false">IF(Tasks[[#This Row],[Task Name]]="","",Tasks[[#This Row],[Cost]])</f>
        <v/>
      </c>
      <c r="AW147" s="73"/>
      <c r="AX147" s="73"/>
      <c r="AY147" s="29"/>
      <c r="AZ147" s="98"/>
      <c r="BA147" s="97"/>
      <c r="BB147" s="28" t="str">
        <f aca="false">IF(OR(Tasks[[#This Row],[Task Name]]="",Tasks[[#This Row],[Baseline Duration]]=""),"",Tasks[[#This Row],[BL Source Duration]]-N(Tasks[[#This Row],[Baseline Duration]]))</f>
        <v/>
      </c>
      <c r="BC147" s="95" t="str">
        <f aca="false">IF(OR(Tasks[[#This Row],[Task Name]]="",Tasks[[#This Row],[Baseline Work]]=""),"",Tasks[[#This Row],[Work]]-N(Tasks[[#This Row],[Baseline Work]]))</f>
        <v/>
      </c>
      <c r="BD147" s="96" t="str">
        <f aca="false">IF(OR(Tasks[[#This Row],[Task Name]]="",Tasks[[#This Row],[Baseline Cost]]=""),"",Tasks[[#This Row],[Cost]]-N(Tasks[[#This Row],[Baseline Cost]]))</f>
        <v/>
      </c>
      <c r="BE147" s="96" t="str">
        <f aca="false">IF(Tasks[[#This Row],[Task Name]]="","",IF(Tasks[[#This Row],[_IsSummary]],SUM(INDEX(Tasks[_LeafBudget],Tasks[[#This Row],[_Row]]+1):INDEX(Tasks[_LeafBudget],Tasks[[#This Row],[_Row]]+Tasks[[#This Row],[_Descendants]])),Tasks[[#This Row],[_LeafBudget]]))</f>
        <v/>
      </c>
      <c r="BF147" s="96" t="str">
        <f aca="false">IF(Tasks[[#This Row],[Task Name]]="","",IF(Tasks[[#This Row],[_IsSummary]],SUM(INDEX(Tasks[_LeafPV],Tasks[[#This Row],[_Row]]+1):INDEX(Tasks[_LeafPV],Tasks[[#This Row],[_Row]]+Tasks[[#This Row],[_Descendants]])),Tasks[[#This Row],[_LeafPV]]))</f>
        <v/>
      </c>
      <c r="BG147" s="96" t="str">
        <f aca="false">IF(Tasks[[#This Row],[Task Name]]="","",IF(Tasks[[#This Row],[_IsSummary]],SUM(INDEX(Tasks[_LeafEV],Tasks[[#This Row],[_Row]]+1):INDEX(Tasks[_LeafEV],Tasks[[#This Row],[_Row]]+Tasks[[#This Row],[_Descendants]])),Tasks[[#This Row],[_LeafEV]]))</f>
        <v/>
      </c>
      <c r="BH147" s="96" t="str">
        <f aca="false">IF(Tasks[[#This Row],[Task Name]]="","",IF(Tasks[[#This Row],[_IsSummary]],SUM(INDEX(Tasks[_LeafAC],Tasks[[#This Row],[_Row]]+1):INDEX(Tasks[_LeafAC],Tasks[[#This Row],[_Row]]+Tasks[[#This Row],[_Descendants]])),Tasks[[#This Row],[_LeafAC]]))</f>
        <v/>
      </c>
      <c r="BI147" s="41" t="str">
        <f aca="false">IF(Tasks[[#This Row],[Task Name]]="","",MAX(1,N(Tasks[[#This Row],[Level]])))</f>
        <v/>
      </c>
      <c r="BJ147" s="41" t="n">
        <f aca="false">ROW()-ROW(Tasks[[#Headers],[ID]])</f>
        <v>142</v>
      </c>
      <c r="BK147" s="41" t="n">
        <f aca="false">IF(OR(Tasks[[#This Row],[Task Name]]="",Tasks[[#This Row],[_Level]]&lt;=1),0,IFERROR(LOOKUP(2,1/(Tasks[[#Headers],[_Level]]:Tasks[[#This Row],[_Level]]=Tasks[[#This Row],[_Level]]-1),ROW(Tasks[[#Headers],[_Level]]:Tasks[[#This Row],[_Level]])),0))</f>
        <v>0</v>
      </c>
      <c r="BL147" s="41" t="n">
        <f aca="false">IFERROR(N(INDEX(Tasks[_Level],Tasks[[#This Row],[_Row]]+1)),0)</f>
        <v>0</v>
      </c>
      <c r="BM147" s="99" t="b">
        <f aca="false">AND(Tasks[[#This Row],[Task Name]]&lt;&gt;"",Tasks[[#This Row],[_NextLevel]]&gt;Tasks[[#This Row],[_Level]])</f>
        <v>0</v>
      </c>
      <c r="BN147" s="41" t="n">
        <f aca="false">IF(Tasks[[#This Row],[_IsSummary]],COUNTIF(Tasks[WBS],Tasks[[#This Row],[WBS]]&amp;".*"),0)</f>
        <v>0</v>
      </c>
      <c r="BO147" s="41" t="n">
        <f aca="false">IF(AND(Tasks[[#This Row],[Task Name]]&lt;&gt;"",NOT(Tasks[[#This Row],[_IsSummary]])),1,0)</f>
        <v>0</v>
      </c>
      <c r="BP147" s="41" t="n">
        <f aca="false">IF(N(Tasks[[#This Row],[Pred1 UID]])=0,0,IFERROR(MATCH(Tasks[[#This Row],[Pred1 UID]],Tasks[UID],0),-1))</f>
        <v>0</v>
      </c>
      <c r="BQ147" s="41" t="n">
        <f aca="false">IF(N(Tasks[[#This Row],[Pred2 UID]])=0,0,IFERROR(MATCH(Tasks[[#This Row],[Pred2 UID]],Tasks[UID],0),-1))</f>
        <v>0</v>
      </c>
      <c r="BR147"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47" s="100" t="str">
        <f aca="false">IF(NOT(Tasks[[#This Row],[_IsLeaf]]=1),"",IF(N(Tasks[[#This Row],[Duration]])&lt;=0,Tasks[[#This Row],[_LeafCalcStart]],WORKDAY.INTL(Tasks[[#This Row],[_LeafCalcStart]],Tasks[[#This Row],[Duration]]-1,WorkWeek,Holidays)))</f>
        <v/>
      </c>
      <c r="BT147"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47"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47" s="41" t="n">
        <f aca="false">IF(NOT(Tasks[[#This Row],[_IsLeaf]]=1),0,IF(N(Tasks[[#This Row],[Actual Finish]])&gt;0,1,MIN(1,N(Tasks[[#This Row],[% Complete]]))))</f>
        <v>0</v>
      </c>
      <c r="BW147" s="41" t="n">
        <f aca="false">IF(OR(NOT(Tasks[[#This Row],[_IsLeaf]]=1),Tasks[[#This Row],[Resource]]=""),0,N(Tasks[[#This Row],[Duration]])*HoursPerDay*IF(Tasks[[#This Row],[Units]]="",DefaultUnits,Tasks[[#This Row],[Units]]))</f>
        <v>0</v>
      </c>
      <c r="BX147" s="41" t="n">
        <f aca="false">IF(Tasks[[#This Row],[_LeafWork]]=0,0,Tasks[[#This Row],[_LeafWork]]*IFERROR(INDEX(res_Rate,MATCH(Tasks[[#This Row],[Resource]],res_Name,0)),0))</f>
        <v>0</v>
      </c>
      <c r="BY14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4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4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4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47" s="41" t="n">
        <f aca="false">IF(NOT(Tasks[[#This Row],[_IsLeaf]]=1),0,MAX(_xlfn.MAXIFS(Tasks[_Row],Tasks[Pred1 UID],Tasks[[#This Row],[UID]]),_xlfn.MAXIFS(Tasks[_Row],Tasks[Pred2 UID],Tasks[[#This Row],[UID]])))</f>
        <v>0</v>
      </c>
      <c r="CD147"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47" s="100" t="str">
        <f aca="false">IF(NOT(Tasks[[#This Row],[_IsLeaf]]=1),"",MIN(ProjectFinish,IF(N(Tasks[[#This Row],[Deadline]])&gt;0,Tasks[[#This Row],[Deadline]],2958465),Tasks[[#This Row],[_SuccessorFinishLimit]]))</f>
        <v/>
      </c>
      <c r="CF147" s="100" t="str">
        <f aca="false">IF(NOT(Tasks[[#This Row],[_IsLeaf]]=1),"",IF(N(Tasks[[#This Row],[Duration]])&lt;=0,Tasks[[#This Row],[_LeafLateFinish]],WORKDAY.INTL(Tasks[[#This Row],[_LeafLateFinish]],-(Tasks[[#This Row],[Duration]]-1),WorkWeek,Holidays)))</f>
        <v/>
      </c>
      <c r="CG14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47" s="99" t="b">
        <f aca="false">AND(Tasks[[#This Row],[_IsLeaf]]=1,Tasks[[#This Row],[_LeafProgress]]&lt;1,N(Tasks[[#This Row],[_LeafTotalSlack]])&lt;=CriticalSlackDays)</f>
        <v>0</v>
      </c>
      <c r="CI147" s="100" t="str">
        <f aca="false">IF(Tasks[[#This Row],[Task Name]]="","",IF(Tasks[[#This Row],[_IsSummary]],MIN(INDEX(Tasks[_LeafCalcStart],Tasks[[#This Row],[_Row]]+1):INDEX(Tasks[_LeafCalcStart],Tasks[[#This Row],[_Row]]+Tasks[[#This Row],[_Descendants]])),Tasks[[#This Row],[_LeafCalcStart]]))</f>
        <v/>
      </c>
      <c r="CJ147" s="100" t="str">
        <f aca="false">IF(Tasks[[#This Row],[Task Name]]="","",IF(Tasks[[#This Row],[_IsSummary]],MAX(INDEX(Tasks[_LeafCalcFinish],Tasks[[#This Row],[_Row]]+1):INDEX(Tasks[_LeafCalcFinish],Tasks[[#This Row],[_Row]]+Tasks[[#This Row],[_Descendants]])),Tasks[[#This Row],[_LeafCalcFinish]]))</f>
        <v/>
      </c>
      <c r="CK14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4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47"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47"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47"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47"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47" s="41" t="n">
        <f aca="false">IF(AND(Tasks[[#This Row],[_IsLeaf]]=1,Tasks[[#This Row],[_LeafWork]]&gt;0),NETWORKDAYS.INTL(ProjectStart,Tasks[[#This Row],[_LeafFcstStart]],WorkWeek,Holidays),0)</f>
        <v>0</v>
      </c>
      <c r="CR147" s="41" t="n">
        <f aca="false">IF(AND(Tasks[[#This Row],[_IsLeaf]]=1,Tasks[[#This Row],[_LeafWork]]&gt;0),MAX(Tasks[[#This Row],[_StartWorkday]],NETWORKDAYS.INTL(ProjectStart,Tasks[[#This Row],[_LeafFcstFinish]],WorkWeek,Holidays)),0)</f>
        <v>0</v>
      </c>
      <c r="CS147" s="41" t="n">
        <f aca="false">IF(AND(Tasks[[#This Row],[_IsLeaf]]=1,Tasks[[#This Row],[_LeafWork]]&gt;0),Tasks[[#This Row],[_LeafWork]]/(Tasks[[#This Row],[_FinishWorkday]]-Tasks[[#This Row],[_StartWorkday]]+1),0)</f>
        <v>0</v>
      </c>
      <c r="CT147" s="41" t="n">
        <f aca="false">Tasks[[#This Row],[_WorkPerWorkday]]*(Tasks[[#This Row],[_StartWorkday]]-1)</f>
        <v>-0</v>
      </c>
      <c r="CU147" s="41" t="n">
        <f aca="false">IF(Tasks[[#This Row],[_IsLeaf]]=1,MAX(N(Tasks[[#This Row],[Duration]]),0.1),0)</f>
        <v>0</v>
      </c>
      <c r="CV147" s="41" t="n">
        <f aca="false">Tasks[[#This Row],[_WeightDur]]*Tasks[[#This Row],[_LeafProgress]]</f>
        <v>0</v>
      </c>
      <c r="CW14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4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4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4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47" s="41" t="str">
        <f aca="false">IF(Tasks[[#This Row],[Task Name]]="","",Tasks[[#This Row],[_Pred1UIDText]]&amp;IF(AND(Tasks[[#This Row],[_Pred1UIDText]]&lt;&gt;"",Tasks[[#This Row],[_Pred2UIDText]]&lt;&gt;""),",","")&amp;Tasks[[#This Row],[_Pred2UIDText]])</f>
        <v/>
      </c>
      <c r="DB147" s="41" t="str">
        <f aca="false">IF(AND(Tasks[[#This Row],[_IsLeaf]]=1,N(Tasks[[#This Row],[Duration]])=0,Tasks[[#This Row],[_LeafProgress]]&lt;1),Tasks[[#This Row],[_LeafFcstFinish]]+Tasks[[#This Row],[_Row]]/100000,"")</f>
        <v/>
      </c>
      <c r="DC14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47" s="41" t="n">
        <f aca="false">IF(NOT(Tasks[[#This Row],[_IsLeaf]]=1),0,IF(Tasks[[#This Row],[Baseline Cost]]="",Tasks[[#This Row],[_LeafCost]],N(Tasks[[#This Row],[Baseline Cost]])))</f>
        <v>0</v>
      </c>
      <c r="DE147" s="41" t="n">
        <f aca="false">Tasks[[#This Row],[_LeafBudget]]*Tasks[[#This Row],[_PlannedPct]]</f>
        <v>0</v>
      </c>
      <c r="DF147" s="41" t="n">
        <f aca="false">Tasks[[#This Row],[_LeafBudget]]*Tasks[[#This Row],[_LeafProgress]]</f>
        <v>0</v>
      </c>
      <c r="DG147" s="41" t="n">
        <f aca="false">IF(NOT(Tasks[[#This Row],[_IsLeaf]]=1),0,IF(Tasks[[#This Row],[Actual Cost]]="",Tasks[[#This Row],[_LeafCost]]*Tasks[[#This Row],[_LeafProgress]],N(Tasks[[#This Row],[Actual Cost]])))</f>
        <v>0</v>
      </c>
      <c r="DH147" s="41" t="str">
        <f aca="false">IF(Tasks[[#This Row],[Task Name]]="","",LEFT(Tasks[[#This Row],[WBS]],FIND(".",Tasks[[#This Row],[WBS]]&amp;".")-1))</f>
        <v/>
      </c>
      <c r="DI147" s="41" t="str">
        <f aca="false">IF(AND(Tasks[[#This Row],[Task Name]]&lt;&gt;"",Tasks[[#This Row],[_Level]]=1),Tasks[[#This Row],[_Row]],"")</f>
        <v/>
      </c>
      <c r="DJ147" s="41" t="str">
        <f aca="false">IF(AND(Tasks[[#This Row],[_IsLeaf]]=1,N(Tasks[[#This Row],[Duration]])=0),Tasks[[#This Row],[Planned Finish]]+Tasks[[#This Row],[_Row]]/100000,"")</f>
        <v/>
      </c>
      <c r="DK147" s="41" t="str">
        <f aca="false">IF(AND(Tasks[[#This Row],[_IsLeaf]]=1,Tasks[[#This Row],[_LeafProgress]]&lt;1,OR(N(Tasks[[#This Row],[Finish Var]])&gt;0,Tasks[[#This Row],[Status]]="Late Start")),MAX(0,Tasks[[#This Row],[Finish Var]])+1-Tasks[[#This Row],[_Row]]/1000000,"")</f>
        <v/>
      </c>
      <c r="DL147" s="41" t="str">
        <f aca="false">IF(AND(Tasks[[#This Row],[_IsLeaf]]=1,N(Tasks[[#This Row],[Actual Start]])=0,Tasks[[#This Row],[_LeafFcstStart]]&gt;=StatusDate,Tasks[[#This Row],[_LeafFcstStart]]&lt;=LookaheadEnd),Tasks[[#This Row],[_LeafFcstStart]]+Tasks[[#This Row],[_Row]]/100000,"")</f>
        <v/>
      </c>
      <c r="DM147" s="41" t="str">
        <f aca="false">IF(AND(Tasks[[#This Row],[_IsLeaf]]=1,Tasks[[#This Row],[_LeafProgress]]&lt;1,Tasks[[#This Row],[_LeafFcstFinish]]&gt;=StatusDate,Tasks[[#This Row],[_LeafFcstFinish]]&lt;=LookaheadEnd),Tasks[[#This Row],[_LeafFcstFinish]]+Tasks[[#This Row],[_Row]]/100000,"")</f>
        <v/>
      </c>
      <c r="DN147" s="41" t="str">
        <f aca="false">IF(Tasks[[#This Row],[_LeafCritical]],Tasks[[#This Row],[_LeafFcstStart]]+Tasks[[#This Row],[_Row]]/100000,"")</f>
        <v/>
      </c>
      <c r="DO147" s="41" t="n">
        <f aca="false">Tasks[[#This Row],[_LeafWork]]*Tasks[[#This Row],[_LeafProgress]]</f>
        <v>0</v>
      </c>
      <c r="DP147" s="100" t="str">
        <f aca="false">IF(AND(Tasks[[#This Row],[_IsLeaf]]=1,Tasks[[#This Row],[_LeafProgress]]&gt;=1),IF(N(Tasks[[#This Row],[Actual Finish]])&gt;0,Tasks[[#This Row],[Actual Finish]],Tasks[[#This Row],[_LeafFcstFinish]]),"")</f>
        <v/>
      </c>
      <c r="DQ147" s="41" t="n">
        <f aca="false">IF(Tasks[[#This Row],[_IsLeaf]]=1,N(Tasks[[#This Row],[Story Points]]),0)</f>
        <v>0</v>
      </c>
      <c r="DR147" s="41" t="str">
        <f aca="false">IF(AND(Tasks[[#This Row],[_IsLeaf]]=1,CurrentSprint&lt;&gt;"",Tasks[[#This Row],[Sprint]]=CurrentSprint),Tasks[[#This Row],[_Row]],"")</f>
        <v/>
      </c>
    </row>
    <row r="148" customFormat="false" ht="15" hidden="false" customHeight="false" outlineLevel="0" collapsed="false">
      <c r="A148" s="28" t="str">
        <f aca="false">IF(Tasks[[#This Row],[Task Name]]="","",COUNTA(Tasks[[#Headers],[Task Name]]:Tasks[[#This Row],[Task Name]])-1)</f>
        <v/>
      </c>
      <c r="B148" s="29" t="n">
        <v>143</v>
      </c>
      <c r="C14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8" s="29"/>
      <c r="E148" s="30"/>
      <c r="F148" s="29"/>
      <c r="G148" s="29"/>
      <c r="H148" s="29"/>
      <c r="I148" s="29"/>
      <c r="J148" s="29"/>
      <c r="K148" s="29"/>
      <c r="L148" s="29"/>
      <c r="M148" s="29"/>
      <c r="N148" s="73"/>
      <c r="O148" s="73"/>
      <c r="P148" s="25" t="str">
        <f aca="false">IF(Tasks[[#This Row],[Task Name]]="","",IF(N(Tasks[[#This Row],[Baseline Start]])&gt;0,Tasks[[#This Row],[Baseline Start]],Tasks[[#This Row],[_CalcStart]]))</f>
        <v/>
      </c>
      <c r="Q148" s="25" t="str">
        <f aca="false">IF(Tasks[[#This Row],[Task Name]]="","",IF(N(Tasks[[#This Row],[Baseline Finish]])&gt;0,Tasks[[#This Row],[Baseline Finish]],Tasks[[#This Row],[_CalcFinish]]))</f>
        <v/>
      </c>
      <c r="R148" s="73"/>
      <c r="S148" s="73"/>
      <c r="T148" s="25" t="str">
        <f aca="false">IF(Tasks[[#This Row],[Task Name]]="","",IF(Tasks[[#This Row],[_IsSummary]],MIN(INDEX(Tasks[_LeafFcstStart],Tasks[[#This Row],[_Row]]+1):INDEX(Tasks[_LeafFcstStart],Tasks[[#This Row],[_Row]]+Tasks[[#This Row],[_Descendants]])),Tasks[[#This Row],[_LeafFcstStart]]))</f>
        <v/>
      </c>
      <c r="U148" s="25" t="str">
        <f aca="false">IF(Tasks[[#This Row],[Task Name]]="","",IF(Tasks[[#This Row],[_IsSummary]],MAX(INDEX(Tasks[_LeafFcstFinish],Tasks[[#This Row],[_Row]]+1):INDEX(Tasks[_LeafFcstFinish],Tasks[[#This Row],[_Row]]+Tasks[[#This Row],[_Descendants]])),Tasks[[#This Row],[_LeafFcstFinish]]))</f>
        <v/>
      </c>
      <c r="V14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4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8" s="25" t="str">
        <f aca="false">IF(Tasks[[#This Row],[Task Name]]="","",IF(Tasks[[#This Row],[_IsSummary]],MIN(INDEX(Tasks[_LeafLateStart],Tasks[[#This Row],[_Row]]+1):INDEX(Tasks[_LeafLateStart],Tasks[[#This Row],[_Row]]+Tasks[[#This Row],[_Descendants]])),Tasks[[#This Row],[_LeafLateStart]]))</f>
        <v/>
      </c>
      <c r="Y148" s="25" t="str">
        <f aca="false">IF(Tasks[[#This Row],[Task Name]]="","",IF(Tasks[[#This Row],[_IsSummary]],MAX(INDEX(Tasks[_LeafLateFinish],Tasks[[#This Row],[_Row]]+1):INDEX(Tasks[_LeafLateFinish],Tasks[[#This Row],[_Row]]+Tasks[[#This Row],[_Descendants]])),Tasks[[#This Row],[_LeafLateFinish]]))</f>
        <v/>
      </c>
      <c r="Z148" s="43" t="str">
        <f aca="false">IF(Tasks[[#This Row],[Task Name]]="","",IF(Tasks[[#This Row],[_IsSummary]],MIN(INDEX(Tasks[_LeafTotalSlack],Tasks[[#This Row],[_Row]]+1):INDEX(Tasks[_LeafTotalSlack],Tasks[[#This Row],[_Row]]+Tasks[[#This Row],[_Descendants]])),Tasks[[#This Row],[_LeafTotalSlack]]))</f>
        <v/>
      </c>
      <c r="AA14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8" s="28" t="str">
        <f aca="false">IF(Tasks[[#This Row],[Task Name]]="","",IF(IF(Tasks[[#This Row],[_IsSummary]],COUNTIF(INDEX(Tasks[_LeafCritical],Tasks[[#This Row],[_Row]]+1):INDEX(Tasks[_LeafCritical],Tasks[[#This Row],[_Row]]+Tasks[[#This Row],[_Descendants]]),TRUE())&gt;0,Tasks[[#This Row],[_LeafCritical]]),"Yes",""))</f>
        <v/>
      </c>
      <c r="AC14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8" s="24" t="str">
        <f aca="false">IF(Tasks[[#This Row],[Task Name]]="","",TRIM(IF(Tasks[[#This Row],[_Pred1Problem]]&lt;&gt;"","Pred 1: "&amp;Tasks[[#This Row],[_Pred1Problem]]&amp;". ","")&amp;IF(Tasks[[#This Row],[_Pred2Problem]]&lt;&gt;"","Pred 2: "&amp;Tasks[[#This Row],[_Pred2Problem]]&amp;".","")))</f>
        <v/>
      </c>
      <c r="AE148" s="88"/>
      <c r="AF148"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8" s="28" t="str">
        <f aca="false">IF(Tasks[[#This Row],[Task Name]]="","",IF(Tasks[[#This Row],[Progress]]&gt;=1,"Complete",IF(OR(N(Tasks[[#This Row],[Actual Start]])&gt;0,Tasks[[#This Row],[Progress]]&gt;0),IF(Tasks[[#This Row],[Finish Var]]&gt;0,"Behind","In Progress"),IF(Tasks[[#This Row],[Planned Start]]&lt;StatusDate,"Late Start","Not Started"))))</f>
        <v/>
      </c>
      <c r="AH148" s="30"/>
      <c r="AI148" s="88"/>
      <c r="AJ148" s="95" t="str">
        <f aca="false">IF(Tasks[[#This Row],[Task Name]]="","",IF(Tasks[[#This Row],[_IsSummary]],SUM(INDEX(Tasks[_LeafWork],Tasks[[#This Row],[_Row]]+1):INDEX(Tasks[_LeafWork],Tasks[[#This Row],[_Row]]+Tasks[[#This Row],[_Descendants]])),Tasks[[#This Row],[_LeafWork]]))</f>
        <v/>
      </c>
      <c r="AK148" s="96" t="str">
        <f aca="false">IF(Tasks[[#This Row],[Task Name]]="","",IF(Tasks[[#This Row],[_IsSummary]],SUM(INDEX(Tasks[_LeafCost],Tasks[[#This Row],[_Row]]+1):INDEX(Tasks[_LeafCost],Tasks[[#This Row],[_Row]]+Tasks[[#This Row],[_Descendants]])),Tasks[[#This Row],[_LeafCost]]))</f>
        <v/>
      </c>
      <c r="AL148" s="97"/>
      <c r="AM148" s="29"/>
      <c r="AN14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48" s="82"/>
      <c r="AP148" s="24" t="str">
        <f aca="false">IF(Tasks[[#This Row],[Task Name]]="","",Tasks[[#This Row],[_Pred1IDText]]&amp;IF(AND(Tasks[[#This Row],[_Pred1IDText]]&lt;&gt;"",Tasks[[#This Row],[_Pred2IDText]]&lt;&gt;""),",","")&amp;Tasks[[#This Row],[_Pred2IDText]])</f>
        <v/>
      </c>
      <c r="AQ148" s="30"/>
      <c r="AR148" s="25" t="str">
        <f aca="false">IF(Tasks[[#This Row],[Task Name]]="","",Tasks[[#This Row],[Forecast Start]])</f>
        <v/>
      </c>
      <c r="AS148" s="25" t="str">
        <f aca="false">IF(Tasks[[#This Row],[Task Name]]="","",Tasks[[#This Row],[Forecast Finish]])</f>
        <v/>
      </c>
      <c r="AT148" s="28" t="str">
        <f aca="false">IF(Tasks[[#This Row],[Task Name]]="","",IF(Tasks[[#This Row],[_IsSummary]],NETWORKDAYS.INTL(Tasks[[#This Row],[Forecast Start]],Tasks[[#This Row],[Forecast Finish]],WorkWeek,Holidays),N(Tasks[[#This Row],[Duration]])))</f>
        <v/>
      </c>
      <c r="AU148" s="95" t="str">
        <f aca="false">IF(Tasks[[#This Row],[Task Name]]="","",Tasks[[#This Row],[Work]])</f>
        <v/>
      </c>
      <c r="AV148" s="96" t="str">
        <f aca="false">IF(Tasks[[#This Row],[Task Name]]="","",Tasks[[#This Row],[Cost]])</f>
        <v/>
      </c>
      <c r="AW148" s="73"/>
      <c r="AX148" s="73"/>
      <c r="AY148" s="29"/>
      <c r="AZ148" s="98"/>
      <c r="BA148" s="97"/>
      <c r="BB148" s="28" t="str">
        <f aca="false">IF(OR(Tasks[[#This Row],[Task Name]]="",Tasks[[#This Row],[Baseline Duration]]=""),"",Tasks[[#This Row],[BL Source Duration]]-N(Tasks[[#This Row],[Baseline Duration]]))</f>
        <v/>
      </c>
      <c r="BC148" s="95" t="str">
        <f aca="false">IF(OR(Tasks[[#This Row],[Task Name]]="",Tasks[[#This Row],[Baseline Work]]=""),"",Tasks[[#This Row],[Work]]-N(Tasks[[#This Row],[Baseline Work]]))</f>
        <v/>
      </c>
      <c r="BD148" s="96" t="str">
        <f aca="false">IF(OR(Tasks[[#This Row],[Task Name]]="",Tasks[[#This Row],[Baseline Cost]]=""),"",Tasks[[#This Row],[Cost]]-N(Tasks[[#This Row],[Baseline Cost]]))</f>
        <v/>
      </c>
      <c r="BE148" s="96" t="str">
        <f aca="false">IF(Tasks[[#This Row],[Task Name]]="","",IF(Tasks[[#This Row],[_IsSummary]],SUM(INDEX(Tasks[_LeafBudget],Tasks[[#This Row],[_Row]]+1):INDEX(Tasks[_LeafBudget],Tasks[[#This Row],[_Row]]+Tasks[[#This Row],[_Descendants]])),Tasks[[#This Row],[_LeafBudget]]))</f>
        <v/>
      </c>
      <c r="BF148" s="96" t="str">
        <f aca="false">IF(Tasks[[#This Row],[Task Name]]="","",IF(Tasks[[#This Row],[_IsSummary]],SUM(INDEX(Tasks[_LeafPV],Tasks[[#This Row],[_Row]]+1):INDEX(Tasks[_LeafPV],Tasks[[#This Row],[_Row]]+Tasks[[#This Row],[_Descendants]])),Tasks[[#This Row],[_LeafPV]]))</f>
        <v/>
      </c>
      <c r="BG148" s="96" t="str">
        <f aca="false">IF(Tasks[[#This Row],[Task Name]]="","",IF(Tasks[[#This Row],[_IsSummary]],SUM(INDEX(Tasks[_LeafEV],Tasks[[#This Row],[_Row]]+1):INDEX(Tasks[_LeafEV],Tasks[[#This Row],[_Row]]+Tasks[[#This Row],[_Descendants]])),Tasks[[#This Row],[_LeafEV]]))</f>
        <v/>
      </c>
      <c r="BH148" s="96" t="str">
        <f aca="false">IF(Tasks[[#This Row],[Task Name]]="","",IF(Tasks[[#This Row],[_IsSummary]],SUM(INDEX(Tasks[_LeafAC],Tasks[[#This Row],[_Row]]+1):INDEX(Tasks[_LeafAC],Tasks[[#This Row],[_Row]]+Tasks[[#This Row],[_Descendants]])),Tasks[[#This Row],[_LeafAC]]))</f>
        <v/>
      </c>
      <c r="BI148" s="41" t="str">
        <f aca="false">IF(Tasks[[#This Row],[Task Name]]="","",MAX(1,N(Tasks[[#This Row],[Level]])))</f>
        <v/>
      </c>
      <c r="BJ148" s="41" t="n">
        <f aca="false">ROW()-ROW(Tasks[[#Headers],[ID]])</f>
        <v>143</v>
      </c>
      <c r="BK148" s="41" t="n">
        <f aca="false">IF(OR(Tasks[[#This Row],[Task Name]]="",Tasks[[#This Row],[_Level]]&lt;=1),0,IFERROR(LOOKUP(2,1/(Tasks[[#Headers],[_Level]]:Tasks[[#This Row],[_Level]]=Tasks[[#This Row],[_Level]]-1),ROW(Tasks[[#Headers],[_Level]]:Tasks[[#This Row],[_Level]])),0))</f>
        <v>0</v>
      </c>
      <c r="BL148" s="41" t="n">
        <f aca="false">IFERROR(N(INDEX(Tasks[_Level],Tasks[[#This Row],[_Row]]+1)),0)</f>
        <v>0</v>
      </c>
      <c r="BM148" s="99" t="b">
        <f aca="false">AND(Tasks[[#This Row],[Task Name]]&lt;&gt;"",Tasks[[#This Row],[_NextLevel]]&gt;Tasks[[#This Row],[_Level]])</f>
        <v>0</v>
      </c>
      <c r="BN148" s="41" t="n">
        <f aca="false">IF(Tasks[[#This Row],[_IsSummary]],COUNTIF(Tasks[WBS],Tasks[[#This Row],[WBS]]&amp;".*"),0)</f>
        <v>0</v>
      </c>
      <c r="BO148" s="41" t="n">
        <f aca="false">IF(AND(Tasks[[#This Row],[Task Name]]&lt;&gt;"",NOT(Tasks[[#This Row],[_IsSummary]])),1,0)</f>
        <v>0</v>
      </c>
      <c r="BP148" s="41" t="n">
        <f aca="false">IF(N(Tasks[[#This Row],[Pred1 UID]])=0,0,IFERROR(MATCH(Tasks[[#This Row],[Pred1 UID]],Tasks[UID],0),-1))</f>
        <v>0</v>
      </c>
      <c r="BQ148" s="41" t="n">
        <f aca="false">IF(N(Tasks[[#This Row],[Pred2 UID]])=0,0,IFERROR(MATCH(Tasks[[#This Row],[Pred2 UID]],Tasks[UID],0),-1))</f>
        <v>0</v>
      </c>
      <c r="BR148"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48" s="100" t="str">
        <f aca="false">IF(NOT(Tasks[[#This Row],[_IsLeaf]]=1),"",IF(N(Tasks[[#This Row],[Duration]])&lt;=0,Tasks[[#This Row],[_LeafCalcStart]],WORKDAY.INTL(Tasks[[#This Row],[_LeafCalcStart]],Tasks[[#This Row],[Duration]]-1,WorkWeek,Holidays)))</f>
        <v/>
      </c>
      <c r="BT148"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48"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48" s="41" t="n">
        <f aca="false">IF(NOT(Tasks[[#This Row],[_IsLeaf]]=1),0,IF(N(Tasks[[#This Row],[Actual Finish]])&gt;0,1,MIN(1,N(Tasks[[#This Row],[% Complete]]))))</f>
        <v>0</v>
      </c>
      <c r="BW148" s="41" t="n">
        <f aca="false">IF(OR(NOT(Tasks[[#This Row],[_IsLeaf]]=1),Tasks[[#This Row],[Resource]]=""),0,N(Tasks[[#This Row],[Duration]])*HoursPerDay*IF(Tasks[[#This Row],[Units]]="",DefaultUnits,Tasks[[#This Row],[Units]]))</f>
        <v>0</v>
      </c>
      <c r="BX148" s="41" t="n">
        <f aca="false">IF(Tasks[[#This Row],[_LeafWork]]=0,0,Tasks[[#This Row],[_LeafWork]]*IFERROR(INDEX(res_Rate,MATCH(Tasks[[#This Row],[Resource]],res_Name,0)),0))</f>
        <v>0</v>
      </c>
      <c r="BY14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4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4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4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48" s="41" t="n">
        <f aca="false">IF(NOT(Tasks[[#This Row],[_IsLeaf]]=1),0,MAX(_xlfn.MAXIFS(Tasks[_Row],Tasks[Pred1 UID],Tasks[[#This Row],[UID]]),_xlfn.MAXIFS(Tasks[_Row],Tasks[Pred2 UID],Tasks[[#This Row],[UID]])))</f>
        <v>0</v>
      </c>
      <c r="CD148"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48" s="100" t="str">
        <f aca="false">IF(NOT(Tasks[[#This Row],[_IsLeaf]]=1),"",MIN(ProjectFinish,IF(N(Tasks[[#This Row],[Deadline]])&gt;0,Tasks[[#This Row],[Deadline]],2958465),Tasks[[#This Row],[_SuccessorFinishLimit]]))</f>
        <v/>
      </c>
      <c r="CF148" s="100" t="str">
        <f aca="false">IF(NOT(Tasks[[#This Row],[_IsLeaf]]=1),"",IF(N(Tasks[[#This Row],[Duration]])&lt;=0,Tasks[[#This Row],[_LeafLateFinish]],WORKDAY.INTL(Tasks[[#This Row],[_LeafLateFinish]],-(Tasks[[#This Row],[Duration]]-1),WorkWeek,Holidays)))</f>
        <v/>
      </c>
      <c r="CG14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48" s="99" t="b">
        <f aca="false">AND(Tasks[[#This Row],[_IsLeaf]]=1,Tasks[[#This Row],[_LeafProgress]]&lt;1,N(Tasks[[#This Row],[_LeafTotalSlack]])&lt;=CriticalSlackDays)</f>
        <v>0</v>
      </c>
      <c r="CI148" s="100" t="str">
        <f aca="false">IF(Tasks[[#This Row],[Task Name]]="","",IF(Tasks[[#This Row],[_IsSummary]],MIN(INDEX(Tasks[_LeafCalcStart],Tasks[[#This Row],[_Row]]+1):INDEX(Tasks[_LeafCalcStart],Tasks[[#This Row],[_Row]]+Tasks[[#This Row],[_Descendants]])),Tasks[[#This Row],[_LeafCalcStart]]))</f>
        <v/>
      </c>
      <c r="CJ148" s="100" t="str">
        <f aca="false">IF(Tasks[[#This Row],[Task Name]]="","",IF(Tasks[[#This Row],[_IsSummary]],MAX(INDEX(Tasks[_LeafCalcFinish],Tasks[[#This Row],[_Row]]+1):INDEX(Tasks[_LeafCalcFinish],Tasks[[#This Row],[_Row]]+Tasks[[#This Row],[_Descendants]])),Tasks[[#This Row],[_LeafCalcFinish]]))</f>
        <v/>
      </c>
      <c r="CK14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4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48"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48"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48"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48"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48" s="41" t="n">
        <f aca="false">IF(AND(Tasks[[#This Row],[_IsLeaf]]=1,Tasks[[#This Row],[_LeafWork]]&gt;0),NETWORKDAYS.INTL(ProjectStart,Tasks[[#This Row],[_LeafFcstStart]],WorkWeek,Holidays),0)</f>
        <v>0</v>
      </c>
      <c r="CR148" s="41" t="n">
        <f aca="false">IF(AND(Tasks[[#This Row],[_IsLeaf]]=1,Tasks[[#This Row],[_LeafWork]]&gt;0),MAX(Tasks[[#This Row],[_StartWorkday]],NETWORKDAYS.INTL(ProjectStart,Tasks[[#This Row],[_LeafFcstFinish]],WorkWeek,Holidays)),0)</f>
        <v>0</v>
      </c>
      <c r="CS148" s="41" t="n">
        <f aca="false">IF(AND(Tasks[[#This Row],[_IsLeaf]]=1,Tasks[[#This Row],[_LeafWork]]&gt;0),Tasks[[#This Row],[_LeafWork]]/(Tasks[[#This Row],[_FinishWorkday]]-Tasks[[#This Row],[_StartWorkday]]+1),0)</f>
        <v>0</v>
      </c>
      <c r="CT148" s="41" t="n">
        <f aca="false">Tasks[[#This Row],[_WorkPerWorkday]]*(Tasks[[#This Row],[_StartWorkday]]-1)</f>
        <v>-0</v>
      </c>
      <c r="CU148" s="41" t="n">
        <f aca="false">IF(Tasks[[#This Row],[_IsLeaf]]=1,MAX(N(Tasks[[#This Row],[Duration]]),0.1),0)</f>
        <v>0</v>
      </c>
      <c r="CV148" s="41" t="n">
        <f aca="false">Tasks[[#This Row],[_WeightDur]]*Tasks[[#This Row],[_LeafProgress]]</f>
        <v>0</v>
      </c>
      <c r="CW14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4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4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4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48" s="41" t="str">
        <f aca="false">IF(Tasks[[#This Row],[Task Name]]="","",Tasks[[#This Row],[_Pred1UIDText]]&amp;IF(AND(Tasks[[#This Row],[_Pred1UIDText]]&lt;&gt;"",Tasks[[#This Row],[_Pred2UIDText]]&lt;&gt;""),",","")&amp;Tasks[[#This Row],[_Pred2UIDText]])</f>
        <v/>
      </c>
      <c r="DB148" s="41" t="str">
        <f aca="false">IF(AND(Tasks[[#This Row],[_IsLeaf]]=1,N(Tasks[[#This Row],[Duration]])=0,Tasks[[#This Row],[_LeafProgress]]&lt;1),Tasks[[#This Row],[_LeafFcstFinish]]+Tasks[[#This Row],[_Row]]/100000,"")</f>
        <v/>
      </c>
      <c r="DC14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48" s="41" t="n">
        <f aca="false">IF(NOT(Tasks[[#This Row],[_IsLeaf]]=1),0,IF(Tasks[[#This Row],[Baseline Cost]]="",Tasks[[#This Row],[_LeafCost]],N(Tasks[[#This Row],[Baseline Cost]])))</f>
        <v>0</v>
      </c>
      <c r="DE148" s="41" t="n">
        <f aca="false">Tasks[[#This Row],[_LeafBudget]]*Tasks[[#This Row],[_PlannedPct]]</f>
        <v>0</v>
      </c>
      <c r="DF148" s="41" t="n">
        <f aca="false">Tasks[[#This Row],[_LeafBudget]]*Tasks[[#This Row],[_LeafProgress]]</f>
        <v>0</v>
      </c>
      <c r="DG148" s="41" t="n">
        <f aca="false">IF(NOT(Tasks[[#This Row],[_IsLeaf]]=1),0,IF(Tasks[[#This Row],[Actual Cost]]="",Tasks[[#This Row],[_LeafCost]]*Tasks[[#This Row],[_LeafProgress]],N(Tasks[[#This Row],[Actual Cost]])))</f>
        <v>0</v>
      </c>
      <c r="DH148" s="41" t="str">
        <f aca="false">IF(Tasks[[#This Row],[Task Name]]="","",LEFT(Tasks[[#This Row],[WBS]],FIND(".",Tasks[[#This Row],[WBS]]&amp;".")-1))</f>
        <v/>
      </c>
      <c r="DI148" s="41" t="str">
        <f aca="false">IF(AND(Tasks[[#This Row],[Task Name]]&lt;&gt;"",Tasks[[#This Row],[_Level]]=1),Tasks[[#This Row],[_Row]],"")</f>
        <v/>
      </c>
      <c r="DJ148" s="41" t="str">
        <f aca="false">IF(AND(Tasks[[#This Row],[_IsLeaf]]=1,N(Tasks[[#This Row],[Duration]])=0),Tasks[[#This Row],[Planned Finish]]+Tasks[[#This Row],[_Row]]/100000,"")</f>
        <v/>
      </c>
      <c r="DK148" s="41" t="str">
        <f aca="false">IF(AND(Tasks[[#This Row],[_IsLeaf]]=1,Tasks[[#This Row],[_LeafProgress]]&lt;1,OR(N(Tasks[[#This Row],[Finish Var]])&gt;0,Tasks[[#This Row],[Status]]="Late Start")),MAX(0,Tasks[[#This Row],[Finish Var]])+1-Tasks[[#This Row],[_Row]]/1000000,"")</f>
        <v/>
      </c>
      <c r="DL148" s="41" t="str">
        <f aca="false">IF(AND(Tasks[[#This Row],[_IsLeaf]]=1,N(Tasks[[#This Row],[Actual Start]])=0,Tasks[[#This Row],[_LeafFcstStart]]&gt;=StatusDate,Tasks[[#This Row],[_LeafFcstStart]]&lt;=LookaheadEnd),Tasks[[#This Row],[_LeafFcstStart]]+Tasks[[#This Row],[_Row]]/100000,"")</f>
        <v/>
      </c>
      <c r="DM148" s="41" t="str">
        <f aca="false">IF(AND(Tasks[[#This Row],[_IsLeaf]]=1,Tasks[[#This Row],[_LeafProgress]]&lt;1,Tasks[[#This Row],[_LeafFcstFinish]]&gt;=StatusDate,Tasks[[#This Row],[_LeafFcstFinish]]&lt;=LookaheadEnd),Tasks[[#This Row],[_LeafFcstFinish]]+Tasks[[#This Row],[_Row]]/100000,"")</f>
        <v/>
      </c>
      <c r="DN148" s="41" t="str">
        <f aca="false">IF(Tasks[[#This Row],[_LeafCritical]],Tasks[[#This Row],[_LeafFcstStart]]+Tasks[[#This Row],[_Row]]/100000,"")</f>
        <v/>
      </c>
      <c r="DO148" s="41" t="n">
        <f aca="false">Tasks[[#This Row],[_LeafWork]]*Tasks[[#This Row],[_LeafProgress]]</f>
        <v>0</v>
      </c>
      <c r="DP148" s="100" t="str">
        <f aca="false">IF(AND(Tasks[[#This Row],[_IsLeaf]]=1,Tasks[[#This Row],[_LeafProgress]]&gt;=1),IF(N(Tasks[[#This Row],[Actual Finish]])&gt;0,Tasks[[#This Row],[Actual Finish]],Tasks[[#This Row],[_LeafFcstFinish]]),"")</f>
        <v/>
      </c>
      <c r="DQ148" s="41" t="n">
        <f aca="false">IF(Tasks[[#This Row],[_IsLeaf]]=1,N(Tasks[[#This Row],[Story Points]]),0)</f>
        <v>0</v>
      </c>
      <c r="DR148" s="41" t="str">
        <f aca="false">IF(AND(Tasks[[#This Row],[_IsLeaf]]=1,CurrentSprint&lt;&gt;"",Tasks[[#This Row],[Sprint]]=CurrentSprint),Tasks[[#This Row],[_Row]],"")</f>
        <v/>
      </c>
    </row>
    <row r="149" customFormat="false" ht="15" hidden="false" customHeight="false" outlineLevel="0" collapsed="false">
      <c r="A149" s="28" t="str">
        <f aca="false">IF(Tasks[[#This Row],[Task Name]]="","",COUNTA(Tasks[[#Headers],[Task Name]]:Tasks[[#This Row],[Task Name]])-1)</f>
        <v/>
      </c>
      <c r="B149" s="29" t="n">
        <v>144</v>
      </c>
      <c r="C14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9" s="29"/>
      <c r="E149" s="30"/>
      <c r="F149" s="29"/>
      <c r="G149" s="29"/>
      <c r="H149" s="29"/>
      <c r="I149" s="29"/>
      <c r="J149" s="29"/>
      <c r="K149" s="29"/>
      <c r="L149" s="29"/>
      <c r="M149" s="29"/>
      <c r="N149" s="73"/>
      <c r="O149" s="73"/>
      <c r="P149" s="25" t="str">
        <f aca="false">IF(Tasks[[#This Row],[Task Name]]="","",IF(N(Tasks[[#This Row],[Baseline Start]])&gt;0,Tasks[[#This Row],[Baseline Start]],Tasks[[#This Row],[_CalcStart]]))</f>
        <v/>
      </c>
      <c r="Q149" s="25" t="str">
        <f aca="false">IF(Tasks[[#This Row],[Task Name]]="","",IF(N(Tasks[[#This Row],[Baseline Finish]])&gt;0,Tasks[[#This Row],[Baseline Finish]],Tasks[[#This Row],[_CalcFinish]]))</f>
        <v/>
      </c>
      <c r="R149" s="73"/>
      <c r="S149" s="73"/>
      <c r="T149" s="25" t="str">
        <f aca="false">IF(Tasks[[#This Row],[Task Name]]="","",IF(Tasks[[#This Row],[_IsSummary]],MIN(INDEX(Tasks[_LeafFcstStart],Tasks[[#This Row],[_Row]]+1):INDEX(Tasks[_LeafFcstStart],Tasks[[#This Row],[_Row]]+Tasks[[#This Row],[_Descendants]])),Tasks[[#This Row],[_LeafFcstStart]]))</f>
        <v/>
      </c>
      <c r="U149" s="25" t="str">
        <f aca="false">IF(Tasks[[#This Row],[Task Name]]="","",IF(Tasks[[#This Row],[_IsSummary]],MAX(INDEX(Tasks[_LeafFcstFinish],Tasks[[#This Row],[_Row]]+1):INDEX(Tasks[_LeafFcstFinish],Tasks[[#This Row],[_Row]]+Tasks[[#This Row],[_Descendants]])),Tasks[[#This Row],[_LeafFcstFinish]]))</f>
        <v/>
      </c>
      <c r="V14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4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9" s="25" t="str">
        <f aca="false">IF(Tasks[[#This Row],[Task Name]]="","",IF(Tasks[[#This Row],[_IsSummary]],MIN(INDEX(Tasks[_LeafLateStart],Tasks[[#This Row],[_Row]]+1):INDEX(Tasks[_LeafLateStart],Tasks[[#This Row],[_Row]]+Tasks[[#This Row],[_Descendants]])),Tasks[[#This Row],[_LeafLateStart]]))</f>
        <v/>
      </c>
      <c r="Y149" s="25" t="str">
        <f aca="false">IF(Tasks[[#This Row],[Task Name]]="","",IF(Tasks[[#This Row],[_IsSummary]],MAX(INDEX(Tasks[_LeafLateFinish],Tasks[[#This Row],[_Row]]+1):INDEX(Tasks[_LeafLateFinish],Tasks[[#This Row],[_Row]]+Tasks[[#This Row],[_Descendants]])),Tasks[[#This Row],[_LeafLateFinish]]))</f>
        <v/>
      </c>
      <c r="Z149" s="43" t="str">
        <f aca="false">IF(Tasks[[#This Row],[Task Name]]="","",IF(Tasks[[#This Row],[_IsSummary]],MIN(INDEX(Tasks[_LeafTotalSlack],Tasks[[#This Row],[_Row]]+1):INDEX(Tasks[_LeafTotalSlack],Tasks[[#This Row],[_Row]]+Tasks[[#This Row],[_Descendants]])),Tasks[[#This Row],[_LeafTotalSlack]]))</f>
        <v/>
      </c>
      <c r="AA14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9" s="28" t="str">
        <f aca="false">IF(Tasks[[#This Row],[Task Name]]="","",IF(IF(Tasks[[#This Row],[_IsSummary]],COUNTIF(INDEX(Tasks[_LeafCritical],Tasks[[#This Row],[_Row]]+1):INDEX(Tasks[_LeafCritical],Tasks[[#This Row],[_Row]]+Tasks[[#This Row],[_Descendants]]),TRUE())&gt;0,Tasks[[#This Row],[_LeafCritical]]),"Yes",""))</f>
        <v/>
      </c>
      <c r="AC14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9" s="24" t="str">
        <f aca="false">IF(Tasks[[#This Row],[Task Name]]="","",TRIM(IF(Tasks[[#This Row],[_Pred1Problem]]&lt;&gt;"","Pred 1: "&amp;Tasks[[#This Row],[_Pred1Problem]]&amp;". ","")&amp;IF(Tasks[[#This Row],[_Pred2Problem]]&lt;&gt;"","Pred 2: "&amp;Tasks[[#This Row],[_Pred2Problem]]&amp;".","")))</f>
        <v/>
      </c>
      <c r="AE149" s="88"/>
      <c r="AF149"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9" s="28" t="str">
        <f aca="false">IF(Tasks[[#This Row],[Task Name]]="","",IF(Tasks[[#This Row],[Progress]]&gt;=1,"Complete",IF(OR(N(Tasks[[#This Row],[Actual Start]])&gt;0,Tasks[[#This Row],[Progress]]&gt;0),IF(Tasks[[#This Row],[Finish Var]]&gt;0,"Behind","In Progress"),IF(Tasks[[#This Row],[Planned Start]]&lt;StatusDate,"Late Start","Not Started"))))</f>
        <v/>
      </c>
      <c r="AH149" s="30"/>
      <c r="AI149" s="88"/>
      <c r="AJ149" s="95" t="str">
        <f aca="false">IF(Tasks[[#This Row],[Task Name]]="","",IF(Tasks[[#This Row],[_IsSummary]],SUM(INDEX(Tasks[_LeafWork],Tasks[[#This Row],[_Row]]+1):INDEX(Tasks[_LeafWork],Tasks[[#This Row],[_Row]]+Tasks[[#This Row],[_Descendants]])),Tasks[[#This Row],[_LeafWork]]))</f>
        <v/>
      </c>
      <c r="AK149" s="96" t="str">
        <f aca="false">IF(Tasks[[#This Row],[Task Name]]="","",IF(Tasks[[#This Row],[_IsSummary]],SUM(INDEX(Tasks[_LeafCost],Tasks[[#This Row],[_Row]]+1):INDEX(Tasks[_LeafCost],Tasks[[#This Row],[_Row]]+Tasks[[#This Row],[_Descendants]])),Tasks[[#This Row],[_LeafCost]]))</f>
        <v/>
      </c>
      <c r="AL149" s="97"/>
      <c r="AM149" s="29"/>
      <c r="AN14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49" s="82"/>
      <c r="AP149" s="24" t="str">
        <f aca="false">IF(Tasks[[#This Row],[Task Name]]="","",Tasks[[#This Row],[_Pred1IDText]]&amp;IF(AND(Tasks[[#This Row],[_Pred1IDText]]&lt;&gt;"",Tasks[[#This Row],[_Pred2IDText]]&lt;&gt;""),",","")&amp;Tasks[[#This Row],[_Pred2IDText]])</f>
        <v/>
      </c>
      <c r="AQ149" s="30"/>
      <c r="AR149" s="25" t="str">
        <f aca="false">IF(Tasks[[#This Row],[Task Name]]="","",Tasks[[#This Row],[Forecast Start]])</f>
        <v/>
      </c>
      <c r="AS149" s="25" t="str">
        <f aca="false">IF(Tasks[[#This Row],[Task Name]]="","",Tasks[[#This Row],[Forecast Finish]])</f>
        <v/>
      </c>
      <c r="AT149" s="28" t="str">
        <f aca="false">IF(Tasks[[#This Row],[Task Name]]="","",IF(Tasks[[#This Row],[_IsSummary]],NETWORKDAYS.INTL(Tasks[[#This Row],[Forecast Start]],Tasks[[#This Row],[Forecast Finish]],WorkWeek,Holidays),N(Tasks[[#This Row],[Duration]])))</f>
        <v/>
      </c>
      <c r="AU149" s="95" t="str">
        <f aca="false">IF(Tasks[[#This Row],[Task Name]]="","",Tasks[[#This Row],[Work]])</f>
        <v/>
      </c>
      <c r="AV149" s="96" t="str">
        <f aca="false">IF(Tasks[[#This Row],[Task Name]]="","",Tasks[[#This Row],[Cost]])</f>
        <v/>
      </c>
      <c r="AW149" s="73"/>
      <c r="AX149" s="73"/>
      <c r="AY149" s="29"/>
      <c r="AZ149" s="98"/>
      <c r="BA149" s="97"/>
      <c r="BB149" s="28" t="str">
        <f aca="false">IF(OR(Tasks[[#This Row],[Task Name]]="",Tasks[[#This Row],[Baseline Duration]]=""),"",Tasks[[#This Row],[BL Source Duration]]-N(Tasks[[#This Row],[Baseline Duration]]))</f>
        <v/>
      </c>
      <c r="BC149" s="95" t="str">
        <f aca="false">IF(OR(Tasks[[#This Row],[Task Name]]="",Tasks[[#This Row],[Baseline Work]]=""),"",Tasks[[#This Row],[Work]]-N(Tasks[[#This Row],[Baseline Work]]))</f>
        <v/>
      </c>
      <c r="BD149" s="96" t="str">
        <f aca="false">IF(OR(Tasks[[#This Row],[Task Name]]="",Tasks[[#This Row],[Baseline Cost]]=""),"",Tasks[[#This Row],[Cost]]-N(Tasks[[#This Row],[Baseline Cost]]))</f>
        <v/>
      </c>
      <c r="BE149" s="96" t="str">
        <f aca="false">IF(Tasks[[#This Row],[Task Name]]="","",IF(Tasks[[#This Row],[_IsSummary]],SUM(INDEX(Tasks[_LeafBudget],Tasks[[#This Row],[_Row]]+1):INDEX(Tasks[_LeafBudget],Tasks[[#This Row],[_Row]]+Tasks[[#This Row],[_Descendants]])),Tasks[[#This Row],[_LeafBudget]]))</f>
        <v/>
      </c>
      <c r="BF149" s="96" t="str">
        <f aca="false">IF(Tasks[[#This Row],[Task Name]]="","",IF(Tasks[[#This Row],[_IsSummary]],SUM(INDEX(Tasks[_LeafPV],Tasks[[#This Row],[_Row]]+1):INDEX(Tasks[_LeafPV],Tasks[[#This Row],[_Row]]+Tasks[[#This Row],[_Descendants]])),Tasks[[#This Row],[_LeafPV]]))</f>
        <v/>
      </c>
      <c r="BG149" s="96" t="str">
        <f aca="false">IF(Tasks[[#This Row],[Task Name]]="","",IF(Tasks[[#This Row],[_IsSummary]],SUM(INDEX(Tasks[_LeafEV],Tasks[[#This Row],[_Row]]+1):INDEX(Tasks[_LeafEV],Tasks[[#This Row],[_Row]]+Tasks[[#This Row],[_Descendants]])),Tasks[[#This Row],[_LeafEV]]))</f>
        <v/>
      </c>
      <c r="BH149" s="96" t="str">
        <f aca="false">IF(Tasks[[#This Row],[Task Name]]="","",IF(Tasks[[#This Row],[_IsSummary]],SUM(INDEX(Tasks[_LeafAC],Tasks[[#This Row],[_Row]]+1):INDEX(Tasks[_LeafAC],Tasks[[#This Row],[_Row]]+Tasks[[#This Row],[_Descendants]])),Tasks[[#This Row],[_LeafAC]]))</f>
        <v/>
      </c>
      <c r="BI149" s="41" t="str">
        <f aca="false">IF(Tasks[[#This Row],[Task Name]]="","",MAX(1,N(Tasks[[#This Row],[Level]])))</f>
        <v/>
      </c>
      <c r="BJ149" s="41" t="n">
        <f aca="false">ROW()-ROW(Tasks[[#Headers],[ID]])</f>
        <v>144</v>
      </c>
      <c r="BK149" s="41" t="n">
        <f aca="false">IF(OR(Tasks[[#This Row],[Task Name]]="",Tasks[[#This Row],[_Level]]&lt;=1),0,IFERROR(LOOKUP(2,1/(Tasks[[#Headers],[_Level]]:Tasks[[#This Row],[_Level]]=Tasks[[#This Row],[_Level]]-1),ROW(Tasks[[#Headers],[_Level]]:Tasks[[#This Row],[_Level]])),0))</f>
        <v>0</v>
      </c>
      <c r="BL149" s="41" t="n">
        <f aca="false">IFERROR(N(INDEX(Tasks[_Level],Tasks[[#This Row],[_Row]]+1)),0)</f>
        <v>0</v>
      </c>
      <c r="BM149" s="99" t="b">
        <f aca="false">AND(Tasks[[#This Row],[Task Name]]&lt;&gt;"",Tasks[[#This Row],[_NextLevel]]&gt;Tasks[[#This Row],[_Level]])</f>
        <v>0</v>
      </c>
      <c r="BN149" s="41" t="n">
        <f aca="false">IF(Tasks[[#This Row],[_IsSummary]],COUNTIF(Tasks[WBS],Tasks[[#This Row],[WBS]]&amp;".*"),0)</f>
        <v>0</v>
      </c>
      <c r="BO149" s="41" t="n">
        <f aca="false">IF(AND(Tasks[[#This Row],[Task Name]]&lt;&gt;"",NOT(Tasks[[#This Row],[_IsSummary]])),1,0)</f>
        <v>0</v>
      </c>
      <c r="BP149" s="41" t="n">
        <f aca="false">IF(N(Tasks[[#This Row],[Pred1 UID]])=0,0,IFERROR(MATCH(Tasks[[#This Row],[Pred1 UID]],Tasks[UID],0),-1))</f>
        <v>0</v>
      </c>
      <c r="BQ149" s="41" t="n">
        <f aca="false">IF(N(Tasks[[#This Row],[Pred2 UID]])=0,0,IFERROR(MATCH(Tasks[[#This Row],[Pred2 UID]],Tasks[UID],0),-1))</f>
        <v>0</v>
      </c>
      <c r="BR149"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49" s="100" t="str">
        <f aca="false">IF(NOT(Tasks[[#This Row],[_IsLeaf]]=1),"",IF(N(Tasks[[#This Row],[Duration]])&lt;=0,Tasks[[#This Row],[_LeafCalcStart]],WORKDAY.INTL(Tasks[[#This Row],[_LeafCalcStart]],Tasks[[#This Row],[Duration]]-1,WorkWeek,Holidays)))</f>
        <v/>
      </c>
      <c r="BT149"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49"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49" s="41" t="n">
        <f aca="false">IF(NOT(Tasks[[#This Row],[_IsLeaf]]=1),0,IF(N(Tasks[[#This Row],[Actual Finish]])&gt;0,1,MIN(1,N(Tasks[[#This Row],[% Complete]]))))</f>
        <v>0</v>
      </c>
      <c r="BW149" s="41" t="n">
        <f aca="false">IF(OR(NOT(Tasks[[#This Row],[_IsLeaf]]=1),Tasks[[#This Row],[Resource]]=""),0,N(Tasks[[#This Row],[Duration]])*HoursPerDay*IF(Tasks[[#This Row],[Units]]="",DefaultUnits,Tasks[[#This Row],[Units]]))</f>
        <v>0</v>
      </c>
      <c r="BX149" s="41" t="n">
        <f aca="false">IF(Tasks[[#This Row],[_LeafWork]]=0,0,Tasks[[#This Row],[_LeafWork]]*IFERROR(INDEX(res_Rate,MATCH(Tasks[[#This Row],[Resource]],res_Name,0)),0))</f>
        <v>0</v>
      </c>
      <c r="BY14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4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4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4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49" s="41" t="n">
        <f aca="false">IF(NOT(Tasks[[#This Row],[_IsLeaf]]=1),0,MAX(_xlfn.MAXIFS(Tasks[_Row],Tasks[Pred1 UID],Tasks[[#This Row],[UID]]),_xlfn.MAXIFS(Tasks[_Row],Tasks[Pred2 UID],Tasks[[#This Row],[UID]])))</f>
        <v>0</v>
      </c>
      <c r="CD149"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49" s="100" t="str">
        <f aca="false">IF(NOT(Tasks[[#This Row],[_IsLeaf]]=1),"",MIN(ProjectFinish,IF(N(Tasks[[#This Row],[Deadline]])&gt;0,Tasks[[#This Row],[Deadline]],2958465),Tasks[[#This Row],[_SuccessorFinishLimit]]))</f>
        <v/>
      </c>
      <c r="CF149" s="100" t="str">
        <f aca="false">IF(NOT(Tasks[[#This Row],[_IsLeaf]]=1),"",IF(N(Tasks[[#This Row],[Duration]])&lt;=0,Tasks[[#This Row],[_LeafLateFinish]],WORKDAY.INTL(Tasks[[#This Row],[_LeafLateFinish]],-(Tasks[[#This Row],[Duration]]-1),WorkWeek,Holidays)))</f>
        <v/>
      </c>
      <c r="CG14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49" s="99" t="b">
        <f aca="false">AND(Tasks[[#This Row],[_IsLeaf]]=1,Tasks[[#This Row],[_LeafProgress]]&lt;1,N(Tasks[[#This Row],[_LeafTotalSlack]])&lt;=CriticalSlackDays)</f>
        <v>0</v>
      </c>
      <c r="CI149" s="100" t="str">
        <f aca="false">IF(Tasks[[#This Row],[Task Name]]="","",IF(Tasks[[#This Row],[_IsSummary]],MIN(INDEX(Tasks[_LeafCalcStart],Tasks[[#This Row],[_Row]]+1):INDEX(Tasks[_LeafCalcStart],Tasks[[#This Row],[_Row]]+Tasks[[#This Row],[_Descendants]])),Tasks[[#This Row],[_LeafCalcStart]]))</f>
        <v/>
      </c>
      <c r="CJ149" s="100" t="str">
        <f aca="false">IF(Tasks[[#This Row],[Task Name]]="","",IF(Tasks[[#This Row],[_IsSummary]],MAX(INDEX(Tasks[_LeafCalcFinish],Tasks[[#This Row],[_Row]]+1):INDEX(Tasks[_LeafCalcFinish],Tasks[[#This Row],[_Row]]+Tasks[[#This Row],[_Descendants]])),Tasks[[#This Row],[_LeafCalcFinish]]))</f>
        <v/>
      </c>
      <c r="CK14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4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49"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49"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49"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49"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49" s="41" t="n">
        <f aca="false">IF(AND(Tasks[[#This Row],[_IsLeaf]]=1,Tasks[[#This Row],[_LeafWork]]&gt;0),NETWORKDAYS.INTL(ProjectStart,Tasks[[#This Row],[_LeafFcstStart]],WorkWeek,Holidays),0)</f>
        <v>0</v>
      </c>
      <c r="CR149" s="41" t="n">
        <f aca="false">IF(AND(Tasks[[#This Row],[_IsLeaf]]=1,Tasks[[#This Row],[_LeafWork]]&gt;0),MAX(Tasks[[#This Row],[_StartWorkday]],NETWORKDAYS.INTL(ProjectStart,Tasks[[#This Row],[_LeafFcstFinish]],WorkWeek,Holidays)),0)</f>
        <v>0</v>
      </c>
      <c r="CS149" s="41" t="n">
        <f aca="false">IF(AND(Tasks[[#This Row],[_IsLeaf]]=1,Tasks[[#This Row],[_LeafWork]]&gt;0),Tasks[[#This Row],[_LeafWork]]/(Tasks[[#This Row],[_FinishWorkday]]-Tasks[[#This Row],[_StartWorkday]]+1),0)</f>
        <v>0</v>
      </c>
      <c r="CT149" s="41" t="n">
        <f aca="false">Tasks[[#This Row],[_WorkPerWorkday]]*(Tasks[[#This Row],[_StartWorkday]]-1)</f>
        <v>-0</v>
      </c>
      <c r="CU149" s="41" t="n">
        <f aca="false">IF(Tasks[[#This Row],[_IsLeaf]]=1,MAX(N(Tasks[[#This Row],[Duration]]),0.1),0)</f>
        <v>0</v>
      </c>
      <c r="CV149" s="41" t="n">
        <f aca="false">Tasks[[#This Row],[_WeightDur]]*Tasks[[#This Row],[_LeafProgress]]</f>
        <v>0</v>
      </c>
      <c r="CW14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4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4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4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49" s="41" t="str">
        <f aca="false">IF(Tasks[[#This Row],[Task Name]]="","",Tasks[[#This Row],[_Pred1UIDText]]&amp;IF(AND(Tasks[[#This Row],[_Pred1UIDText]]&lt;&gt;"",Tasks[[#This Row],[_Pred2UIDText]]&lt;&gt;""),",","")&amp;Tasks[[#This Row],[_Pred2UIDText]])</f>
        <v/>
      </c>
      <c r="DB149" s="41" t="str">
        <f aca="false">IF(AND(Tasks[[#This Row],[_IsLeaf]]=1,N(Tasks[[#This Row],[Duration]])=0,Tasks[[#This Row],[_LeafProgress]]&lt;1),Tasks[[#This Row],[_LeafFcstFinish]]+Tasks[[#This Row],[_Row]]/100000,"")</f>
        <v/>
      </c>
      <c r="DC14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49" s="41" t="n">
        <f aca="false">IF(NOT(Tasks[[#This Row],[_IsLeaf]]=1),0,IF(Tasks[[#This Row],[Baseline Cost]]="",Tasks[[#This Row],[_LeafCost]],N(Tasks[[#This Row],[Baseline Cost]])))</f>
        <v>0</v>
      </c>
      <c r="DE149" s="41" t="n">
        <f aca="false">Tasks[[#This Row],[_LeafBudget]]*Tasks[[#This Row],[_PlannedPct]]</f>
        <v>0</v>
      </c>
      <c r="DF149" s="41" t="n">
        <f aca="false">Tasks[[#This Row],[_LeafBudget]]*Tasks[[#This Row],[_LeafProgress]]</f>
        <v>0</v>
      </c>
      <c r="DG149" s="41" t="n">
        <f aca="false">IF(NOT(Tasks[[#This Row],[_IsLeaf]]=1),0,IF(Tasks[[#This Row],[Actual Cost]]="",Tasks[[#This Row],[_LeafCost]]*Tasks[[#This Row],[_LeafProgress]],N(Tasks[[#This Row],[Actual Cost]])))</f>
        <v>0</v>
      </c>
      <c r="DH149" s="41" t="str">
        <f aca="false">IF(Tasks[[#This Row],[Task Name]]="","",LEFT(Tasks[[#This Row],[WBS]],FIND(".",Tasks[[#This Row],[WBS]]&amp;".")-1))</f>
        <v/>
      </c>
      <c r="DI149" s="41" t="str">
        <f aca="false">IF(AND(Tasks[[#This Row],[Task Name]]&lt;&gt;"",Tasks[[#This Row],[_Level]]=1),Tasks[[#This Row],[_Row]],"")</f>
        <v/>
      </c>
      <c r="DJ149" s="41" t="str">
        <f aca="false">IF(AND(Tasks[[#This Row],[_IsLeaf]]=1,N(Tasks[[#This Row],[Duration]])=0),Tasks[[#This Row],[Planned Finish]]+Tasks[[#This Row],[_Row]]/100000,"")</f>
        <v/>
      </c>
      <c r="DK149" s="41" t="str">
        <f aca="false">IF(AND(Tasks[[#This Row],[_IsLeaf]]=1,Tasks[[#This Row],[_LeafProgress]]&lt;1,OR(N(Tasks[[#This Row],[Finish Var]])&gt;0,Tasks[[#This Row],[Status]]="Late Start")),MAX(0,Tasks[[#This Row],[Finish Var]])+1-Tasks[[#This Row],[_Row]]/1000000,"")</f>
        <v/>
      </c>
      <c r="DL149" s="41" t="str">
        <f aca="false">IF(AND(Tasks[[#This Row],[_IsLeaf]]=1,N(Tasks[[#This Row],[Actual Start]])=0,Tasks[[#This Row],[_LeafFcstStart]]&gt;=StatusDate,Tasks[[#This Row],[_LeafFcstStart]]&lt;=LookaheadEnd),Tasks[[#This Row],[_LeafFcstStart]]+Tasks[[#This Row],[_Row]]/100000,"")</f>
        <v/>
      </c>
      <c r="DM149" s="41" t="str">
        <f aca="false">IF(AND(Tasks[[#This Row],[_IsLeaf]]=1,Tasks[[#This Row],[_LeafProgress]]&lt;1,Tasks[[#This Row],[_LeafFcstFinish]]&gt;=StatusDate,Tasks[[#This Row],[_LeafFcstFinish]]&lt;=LookaheadEnd),Tasks[[#This Row],[_LeafFcstFinish]]+Tasks[[#This Row],[_Row]]/100000,"")</f>
        <v/>
      </c>
      <c r="DN149" s="41" t="str">
        <f aca="false">IF(Tasks[[#This Row],[_LeafCritical]],Tasks[[#This Row],[_LeafFcstStart]]+Tasks[[#This Row],[_Row]]/100000,"")</f>
        <v/>
      </c>
      <c r="DO149" s="41" t="n">
        <f aca="false">Tasks[[#This Row],[_LeafWork]]*Tasks[[#This Row],[_LeafProgress]]</f>
        <v>0</v>
      </c>
      <c r="DP149" s="100" t="str">
        <f aca="false">IF(AND(Tasks[[#This Row],[_IsLeaf]]=1,Tasks[[#This Row],[_LeafProgress]]&gt;=1),IF(N(Tasks[[#This Row],[Actual Finish]])&gt;0,Tasks[[#This Row],[Actual Finish]],Tasks[[#This Row],[_LeafFcstFinish]]),"")</f>
        <v/>
      </c>
      <c r="DQ149" s="41" t="n">
        <f aca="false">IF(Tasks[[#This Row],[_IsLeaf]]=1,N(Tasks[[#This Row],[Story Points]]),0)</f>
        <v>0</v>
      </c>
      <c r="DR149" s="41" t="str">
        <f aca="false">IF(AND(Tasks[[#This Row],[_IsLeaf]]=1,CurrentSprint&lt;&gt;"",Tasks[[#This Row],[Sprint]]=CurrentSprint),Tasks[[#This Row],[_Row]],"")</f>
        <v/>
      </c>
    </row>
    <row r="150" customFormat="false" ht="15" hidden="false" customHeight="false" outlineLevel="0" collapsed="false">
      <c r="A150" s="28" t="str">
        <f aca="false">IF(Tasks[[#This Row],[Task Name]]="","",COUNTA(Tasks[[#Headers],[Task Name]]:Tasks[[#This Row],[Task Name]])-1)</f>
        <v/>
      </c>
      <c r="B150" s="29" t="n">
        <v>145</v>
      </c>
      <c r="C15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0" s="29"/>
      <c r="E150" s="30"/>
      <c r="F150" s="29"/>
      <c r="G150" s="29"/>
      <c r="H150" s="29"/>
      <c r="I150" s="29"/>
      <c r="J150" s="29"/>
      <c r="K150" s="29"/>
      <c r="L150" s="29"/>
      <c r="M150" s="29"/>
      <c r="N150" s="73"/>
      <c r="O150" s="73"/>
      <c r="P150" s="25" t="str">
        <f aca="false">IF(Tasks[[#This Row],[Task Name]]="","",IF(N(Tasks[[#This Row],[Baseline Start]])&gt;0,Tasks[[#This Row],[Baseline Start]],Tasks[[#This Row],[_CalcStart]]))</f>
        <v/>
      </c>
      <c r="Q150" s="25" t="str">
        <f aca="false">IF(Tasks[[#This Row],[Task Name]]="","",IF(N(Tasks[[#This Row],[Baseline Finish]])&gt;0,Tasks[[#This Row],[Baseline Finish]],Tasks[[#This Row],[_CalcFinish]]))</f>
        <v/>
      </c>
      <c r="R150" s="73"/>
      <c r="S150" s="73"/>
      <c r="T150" s="25" t="str">
        <f aca="false">IF(Tasks[[#This Row],[Task Name]]="","",IF(Tasks[[#This Row],[_IsSummary]],MIN(INDEX(Tasks[_LeafFcstStart],Tasks[[#This Row],[_Row]]+1):INDEX(Tasks[_LeafFcstStart],Tasks[[#This Row],[_Row]]+Tasks[[#This Row],[_Descendants]])),Tasks[[#This Row],[_LeafFcstStart]]))</f>
        <v/>
      </c>
      <c r="U150" s="25" t="str">
        <f aca="false">IF(Tasks[[#This Row],[Task Name]]="","",IF(Tasks[[#This Row],[_IsSummary]],MAX(INDEX(Tasks[_LeafFcstFinish],Tasks[[#This Row],[_Row]]+1):INDEX(Tasks[_LeafFcstFinish],Tasks[[#This Row],[_Row]]+Tasks[[#This Row],[_Descendants]])),Tasks[[#This Row],[_LeafFcstFinish]]))</f>
        <v/>
      </c>
      <c r="V15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5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0" s="25" t="str">
        <f aca="false">IF(Tasks[[#This Row],[Task Name]]="","",IF(Tasks[[#This Row],[_IsSummary]],MIN(INDEX(Tasks[_LeafLateStart],Tasks[[#This Row],[_Row]]+1):INDEX(Tasks[_LeafLateStart],Tasks[[#This Row],[_Row]]+Tasks[[#This Row],[_Descendants]])),Tasks[[#This Row],[_LeafLateStart]]))</f>
        <v/>
      </c>
      <c r="Y150" s="25" t="str">
        <f aca="false">IF(Tasks[[#This Row],[Task Name]]="","",IF(Tasks[[#This Row],[_IsSummary]],MAX(INDEX(Tasks[_LeafLateFinish],Tasks[[#This Row],[_Row]]+1):INDEX(Tasks[_LeafLateFinish],Tasks[[#This Row],[_Row]]+Tasks[[#This Row],[_Descendants]])),Tasks[[#This Row],[_LeafLateFinish]]))</f>
        <v/>
      </c>
      <c r="Z150" s="43" t="str">
        <f aca="false">IF(Tasks[[#This Row],[Task Name]]="","",IF(Tasks[[#This Row],[_IsSummary]],MIN(INDEX(Tasks[_LeafTotalSlack],Tasks[[#This Row],[_Row]]+1):INDEX(Tasks[_LeafTotalSlack],Tasks[[#This Row],[_Row]]+Tasks[[#This Row],[_Descendants]])),Tasks[[#This Row],[_LeafTotalSlack]]))</f>
        <v/>
      </c>
      <c r="AA15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0" s="28" t="str">
        <f aca="false">IF(Tasks[[#This Row],[Task Name]]="","",IF(IF(Tasks[[#This Row],[_IsSummary]],COUNTIF(INDEX(Tasks[_LeafCritical],Tasks[[#This Row],[_Row]]+1):INDEX(Tasks[_LeafCritical],Tasks[[#This Row],[_Row]]+Tasks[[#This Row],[_Descendants]]),TRUE())&gt;0,Tasks[[#This Row],[_LeafCritical]]),"Yes",""))</f>
        <v/>
      </c>
      <c r="AC15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0" s="24" t="str">
        <f aca="false">IF(Tasks[[#This Row],[Task Name]]="","",TRIM(IF(Tasks[[#This Row],[_Pred1Problem]]&lt;&gt;"","Pred 1: "&amp;Tasks[[#This Row],[_Pred1Problem]]&amp;". ","")&amp;IF(Tasks[[#This Row],[_Pred2Problem]]&lt;&gt;"","Pred 2: "&amp;Tasks[[#This Row],[_Pred2Problem]]&amp;".","")))</f>
        <v/>
      </c>
      <c r="AE150" s="88"/>
      <c r="AF150"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0" s="28" t="str">
        <f aca="false">IF(Tasks[[#This Row],[Task Name]]="","",IF(Tasks[[#This Row],[Progress]]&gt;=1,"Complete",IF(OR(N(Tasks[[#This Row],[Actual Start]])&gt;0,Tasks[[#This Row],[Progress]]&gt;0),IF(Tasks[[#This Row],[Finish Var]]&gt;0,"Behind","In Progress"),IF(Tasks[[#This Row],[Planned Start]]&lt;StatusDate,"Late Start","Not Started"))))</f>
        <v/>
      </c>
      <c r="AH150" s="30"/>
      <c r="AI150" s="88"/>
      <c r="AJ150" s="95" t="str">
        <f aca="false">IF(Tasks[[#This Row],[Task Name]]="","",IF(Tasks[[#This Row],[_IsSummary]],SUM(INDEX(Tasks[_LeafWork],Tasks[[#This Row],[_Row]]+1):INDEX(Tasks[_LeafWork],Tasks[[#This Row],[_Row]]+Tasks[[#This Row],[_Descendants]])),Tasks[[#This Row],[_LeafWork]]))</f>
        <v/>
      </c>
      <c r="AK150" s="96" t="str">
        <f aca="false">IF(Tasks[[#This Row],[Task Name]]="","",IF(Tasks[[#This Row],[_IsSummary]],SUM(INDEX(Tasks[_LeafCost],Tasks[[#This Row],[_Row]]+1):INDEX(Tasks[_LeafCost],Tasks[[#This Row],[_Row]]+Tasks[[#This Row],[_Descendants]])),Tasks[[#This Row],[_LeafCost]]))</f>
        <v/>
      </c>
      <c r="AL150" s="97"/>
      <c r="AM150" s="29"/>
      <c r="AN15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50" s="82"/>
      <c r="AP150" s="24" t="str">
        <f aca="false">IF(Tasks[[#This Row],[Task Name]]="","",Tasks[[#This Row],[_Pred1IDText]]&amp;IF(AND(Tasks[[#This Row],[_Pred1IDText]]&lt;&gt;"",Tasks[[#This Row],[_Pred2IDText]]&lt;&gt;""),",","")&amp;Tasks[[#This Row],[_Pred2IDText]])</f>
        <v/>
      </c>
      <c r="AQ150" s="30"/>
      <c r="AR150" s="25" t="str">
        <f aca="false">IF(Tasks[[#This Row],[Task Name]]="","",Tasks[[#This Row],[Forecast Start]])</f>
        <v/>
      </c>
      <c r="AS150" s="25" t="str">
        <f aca="false">IF(Tasks[[#This Row],[Task Name]]="","",Tasks[[#This Row],[Forecast Finish]])</f>
        <v/>
      </c>
      <c r="AT150" s="28" t="str">
        <f aca="false">IF(Tasks[[#This Row],[Task Name]]="","",IF(Tasks[[#This Row],[_IsSummary]],NETWORKDAYS.INTL(Tasks[[#This Row],[Forecast Start]],Tasks[[#This Row],[Forecast Finish]],WorkWeek,Holidays),N(Tasks[[#This Row],[Duration]])))</f>
        <v/>
      </c>
      <c r="AU150" s="95" t="str">
        <f aca="false">IF(Tasks[[#This Row],[Task Name]]="","",Tasks[[#This Row],[Work]])</f>
        <v/>
      </c>
      <c r="AV150" s="96" t="str">
        <f aca="false">IF(Tasks[[#This Row],[Task Name]]="","",Tasks[[#This Row],[Cost]])</f>
        <v/>
      </c>
      <c r="AW150" s="73"/>
      <c r="AX150" s="73"/>
      <c r="AY150" s="29"/>
      <c r="AZ150" s="98"/>
      <c r="BA150" s="97"/>
      <c r="BB150" s="28" t="str">
        <f aca="false">IF(OR(Tasks[[#This Row],[Task Name]]="",Tasks[[#This Row],[Baseline Duration]]=""),"",Tasks[[#This Row],[BL Source Duration]]-N(Tasks[[#This Row],[Baseline Duration]]))</f>
        <v/>
      </c>
      <c r="BC150" s="95" t="str">
        <f aca="false">IF(OR(Tasks[[#This Row],[Task Name]]="",Tasks[[#This Row],[Baseline Work]]=""),"",Tasks[[#This Row],[Work]]-N(Tasks[[#This Row],[Baseline Work]]))</f>
        <v/>
      </c>
      <c r="BD150" s="96" t="str">
        <f aca="false">IF(OR(Tasks[[#This Row],[Task Name]]="",Tasks[[#This Row],[Baseline Cost]]=""),"",Tasks[[#This Row],[Cost]]-N(Tasks[[#This Row],[Baseline Cost]]))</f>
        <v/>
      </c>
      <c r="BE150" s="96" t="str">
        <f aca="false">IF(Tasks[[#This Row],[Task Name]]="","",IF(Tasks[[#This Row],[_IsSummary]],SUM(INDEX(Tasks[_LeafBudget],Tasks[[#This Row],[_Row]]+1):INDEX(Tasks[_LeafBudget],Tasks[[#This Row],[_Row]]+Tasks[[#This Row],[_Descendants]])),Tasks[[#This Row],[_LeafBudget]]))</f>
        <v/>
      </c>
      <c r="BF150" s="96" t="str">
        <f aca="false">IF(Tasks[[#This Row],[Task Name]]="","",IF(Tasks[[#This Row],[_IsSummary]],SUM(INDEX(Tasks[_LeafPV],Tasks[[#This Row],[_Row]]+1):INDEX(Tasks[_LeafPV],Tasks[[#This Row],[_Row]]+Tasks[[#This Row],[_Descendants]])),Tasks[[#This Row],[_LeafPV]]))</f>
        <v/>
      </c>
      <c r="BG150" s="96" t="str">
        <f aca="false">IF(Tasks[[#This Row],[Task Name]]="","",IF(Tasks[[#This Row],[_IsSummary]],SUM(INDEX(Tasks[_LeafEV],Tasks[[#This Row],[_Row]]+1):INDEX(Tasks[_LeafEV],Tasks[[#This Row],[_Row]]+Tasks[[#This Row],[_Descendants]])),Tasks[[#This Row],[_LeafEV]]))</f>
        <v/>
      </c>
      <c r="BH150" s="96" t="str">
        <f aca="false">IF(Tasks[[#This Row],[Task Name]]="","",IF(Tasks[[#This Row],[_IsSummary]],SUM(INDEX(Tasks[_LeafAC],Tasks[[#This Row],[_Row]]+1):INDEX(Tasks[_LeafAC],Tasks[[#This Row],[_Row]]+Tasks[[#This Row],[_Descendants]])),Tasks[[#This Row],[_LeafAC]]))</f>
        <v/>
      </c>
      <c r="BI150" s="41" t="str">
        <f aca="false">IF(Tasks[[#This Row],[Task Name]]="","",MAX(1,N(Tasks[[#This Row],[Level]])))</f>
        <v/>
      </c>
      <c r="BJ150" s="41" t="n">
        <f aca="false">ROW()-ROW(Tasks[[#Headers],[ID]])</f>
        <v>145</v>
      </c>
      <c r="BK150" s="41" t="n">
        <f aca="false">IF(OR(Tasks[[#This Row],[Task Name]]="",Tasks[[#This Row],[_Level]]&lt;=1),0,IFERROR(LOOKUP(2,1/(Tasks[[#Headers],[_Level]]:Tasks[[#This Row],[_Level]]=Tasks[[#This Row],[_Level]]-1),ROW(Tasks[[#Headers],[_Level]]:Tasks[[#This Row],[_Level]])),0))</f>
        <v>0</v>
      </c>
      <c r="BL150" s="41" t="n">
        <f aca="false">IFERROR(N(INDEX(Tasks[_Level],Tasks[[#This Row],[_Row]]+1)),0)</f>
        <v>0</v>
      </c>
      <c r="BM150" s="99" t="b">
        <f aca="false">AND(Tasks[[#This Row],[Task Name]]&lt;&gt;"",Tasks[[#This Row],[_NextLevel]]&gt;Tasks[[#This Row],[_Level]])</f>
        <v>0</v>
      </c>
      <c r="BN150" s="41" t="n">
        <f aca="false">IF(Tasks[[#This Row],[_IsSummary]],COUNTIF(Tasks[WBS],Tasks[[#This Row],[WBS]]&amp;".*"),0)</f>
        <v>0</v>
      </c>
      <c r="BO150" s="41" t="n">
        <f aca="false">IF(AND(Tasks[[#This Row],[Task Name]]&lt;&gt;"",NOT(Tasks[[#This Row],[_IsSummary]])),1,0)</f>
        <v>0</v>
      </c>
      <c r="BP150" s="41" t="n">
        <f aca="false">IF(N(Tasks[[#This Row],[Pred1 UID]])=0,0,IFERROR(MATCH(Tasks[[#This Row],[Pred1 UID]],Tasks[UID],0),-1))</f>
        <v>0</v>
      </c>
      <c r="BQ150" s="41" t="n">
        <f aca="false">IF(N(Tasks[[#This Row],[Pred2 UID]])=0,0,IFERROR(MATCH(Tasks[[#This Row],[Pred2 UID]],Tasks[UID],0),-1))</f>
        <v>0</v>
      </c>
      <c r="BR150"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50" s="100" t="str">
        <f aca="false">IF(NOT(Tasks[[#This Row],[_IsLeaf]]=1),"",IF(N(Tasks[[#This Row],[Duration]])&lt;=0,Tasks[[#This Row],[_LeafCalcStart]],WORKDAY.INTL(Tasks[[#This Row],[_LeafCalcStart]],Tasks[[#This Row],[Duration]]-1,WorkWeek,Holidays)))</f>
        <v/>
      </c>
      <c r="BT150"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50"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50" s="41" t="n">
        <f aca="false">IF(NOT(Tasks[[#This Row],[_IsLeaf]]=1),0,IF(N(Tasks[[#This Row],[Actual Finish]])&gt;0,1,MIN(1,N(Tasks[[#This Row],[% Complete]]))))</f>
        <v>0</v>
      </c>
      <c r="BW150" s="41" t="n">
        <f aca="false">IF(OR(NOT(Tasks[[#This Row],[_IsLeaf]]=1),Tasks[[#This Row],[Resource]]=""),0,N(Tasks[[#This Row],[Duration]])*HoursPerDay*IF(Tasks[[#This Row],[Units]]="",DefaultUnits,Tasks[[#This Row],[Units]]))</f>
        <v>0</v>
      </c>
      <c r="BX150" s="41" t="n">
        <f aca="false">IF(Tasks[[#This Row],[_LeafWork]]=0,0,Tasks[[#This Row],[_LeafWork]]*IFERROR(INDEX(res_Rate,MATCH(Tasks[[#This Row],[Resource]],res_Name,0)),0))</f>
        <v>0</v>
      </c>
      <c r="BY15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5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5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5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50" s="41" t="n">
        <f aca="false">IF(NOT(Tasks[[#This Row],[_IsLeaf]]=1),0,MAX(_xlfn.MAXIFS(Tasks[_Row],Tasks[Pred1 UID],Tasks[[#This Row],[UID]]),_xlfn.MAXIFS(Tasks[_Row],Tasks[Pred2 UID],Tasks[[#This Row],[UID]])))</f>
        <v>0</v>
      </c>
      <c r="CD150"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50" s="100" t="str">
        <f aca="false">IF(NOT(Tasks[[#This Row],[_IsLeaf]]=1),"",MIN(ProjectFinish,IF(N(Tasks[[#This Row],[Deadline]])&gt;0,Tasks[[#This Row],[Deadline]],2958465),Tasks[[#This Row],[_SuccessorFinishLimit]]))</f>
        <v/>
      </c>
      <c r="CF150" s="100" t="str">
        <f aca="false">IF(NOT(Tasks[[#This Row],[_IsLeaf]]=1),"",IF(N(Tasks[[#This Row],[Duration]])&lt;=0,Tasks[[#This Row],[_LeafLateFinish]],WORKDAY.INTL(Tasks[[#This Row],[_LeafLateFinish]],-(Tasks[[#This Row],[Duration]]-1),WorkWeek,Holidays)))</f>
        <v/>
      </c>
      <c r="CG15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50" s="99" t="b">
        <f aca="false">AND(Tasks[[#This Row],[_IsLeaf]]=1,Tasks[[#This Row],[_LeafProgress]]&lt;1,N(Tasks[[#This Row],[_LeafTotalSlack]])&lt;=CriticalSlackDays)</f>
        <v>0</v>
      </c>
      <c r="CI150" s="100" t="str">
        <f aca="false">IF(Tasks[[#This Row],[Task Name]]="","",IF(Tasks[[#This Row],[_IsSummary]],MIN(INDEX(Tasks[_LeafCalcStart],Tasks[[#This Row],[_Row]]+1):INDEX(Tasks[_LeafCalcStart],Tasks[[#This Row],[_Row]]+Tasks[[#This Row],[_Descendants]])),Tasks[[#This Row],[_LeafCalcStart]]))</f>
        <v/>
      </c>
      <c r="CJ150" s="100" t="str">
        <f aca="false">IF(Tasks[[#This Row],[Task Name]]="","",IF(Tasks[[#This Row],[_IsSummary]],MAX(INDEX(Tasks[_LeafCalcFinish],Tasks[[#This Row],[_Row]]+1):INDEX(Tasks[_LeafCalcFinish],Tasks[[#This Row],[_Row]]+Tasks[[#This Row],[_Descendants]])),Tasks[[#This Row],[_LeafCalcFinish]]))</f>
        <v/>
      </c>
      <c r="CK15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5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50"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50"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50"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50"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50" s="41" t="n">
        <f aca="false">IF(AND(Tasks[[#This Row],[_IsLeaf]]=1,Tasks[[#This Row],[_LeafWork]]&gt;0),NETWORKDAYS.INTL(ProjectStart,Tasks[[#This Row],[_LeafFcstStart]],WorkWeek,Holidays),0)</f>
        <v>0</v>
      </c>
      <c r="CR150" s="41" t="n">
        <f aca="false">IF(AND(Tasks[[#This Row],[_IsLeaf]]=1,Tasks[[#This Row],[_LeafWork]]&gt;0),MAX(Tasks[[#This Row],[_StartWorkday]],NETWORKDAYS.INTL(ProjectStart,Tasks[[#This Row],[_LeafFcstFinish]],WorkWeek,Holidays)),0)</f>
        <v>0</v>
      </c>
      <c r="CS150" s="41" t="n">
        <f aca="false">IF(AND(Tasks[[#This Row],[_IsLeaf]]=1,Tasks[[#This Row],[_LeafWork]]&gt;0),Tasks[[#This Row],[_LeafWork]]/(Tasks[[#This Row],[_FinishWorkday]]-Tasks[[#This Row],[_StartWorkday]]+1),0)</f>
        <v>0</v>
      </c>
      <c r="CT150" s="41" t="n">
        <f aca="false">Tasks[[#This Row],[_WorkPerWorkday]]*(Tasks[[#This Row],[_StartWorkday]]-1)</f>
        <v>-0</v>
      </c>
      <c r="CU150" s="41" t="n">
        <f aca="false">IF(Tasks[[#This Row],[_IsLeaf]]=1,MAX(N(Tasks[[#This Row],[Duration]]),0.1),0)</f>
        <v>0</v>
      </c>
      <c r="CV150" s="41" t="n">
        <f aca="false">Tasks[[#This Row],[_WeightDur]]*Tasks[[#This Row],[_LeafProgress]]</f>
        <v>0</v>
      </c>
      <c r="CW15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5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5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5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50" s="41" t="str">
        <f aca="false">IF(Tasks[[#This Row],[Task Name]]="","",Tasks[[#This Row],[_Pred1UIDText]]&amp;IF(AND(Tasks[[#This Row],[_Pred1UIDText]]&lt;&gt;"",Tasks[[#This Row],[_Pred2UIDText]]&lt;&gt;""),",","")&amp;Tasks[[#This Row],[_Pred2UIDText]])</f>
        <v/>
      </c>
      <c r="DB150" s="41" t="str">
        <f aca="false">IF(AND(Tasks[[#This Row],[_IsLeaf]]=1,N(Tasks[[#This Row],[Duration]])=0,Tasks[[#This Row],[_LeafProgress]]&lt;1),Tasks[[#This Row],[_LeafFcstFinish]]+Tasks[[#This Row],[_Row]]/100000,"")</f>
        <v/>
      </c>
      <c r="DC15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50" s="41" t="n">
        <f aca="false">IF(NOT(Tasks[[#This Row],[_IsLeaf]]=1),0,IF(Tasks[[#This Row],[Baseline Cost]]="",Tasks[[#This Row],[_LeafCost]],N(Tasks[[#This Row],[Baseline Cost]])))</f>
        <v>0</v>
      </c>
      <c r="DE150" s="41" t="n">
        <f aca="false">Tasks[[#This Row],[_LeafBudget]]*Tasks[[#This Row],[_PlannedPct]]</f>
        <v>0</v>
      </c>
      <c r="DF150" s="41" t="n">
        <f aca="false">Tasks[[#This Row],[_LeafBudget]]*Tasks[[#This Row],[_LeafProgress]]</f>
        <v>0</v>
      </c>
      <c r="DG150" s="41" t="n">
        <f aca="false">IF(NOT(Tasks[[#This Row],[_IsLeaf]]=1),0,IF(Tasks[[#This Row],[Actual Cost]]="",Tasks[[#This Row],[_LeafCost]]*Tasks[[#This Row],[_LeafProgress]],N(Tasks[[#This Row],[Actual Cost]])))</f>
        <v>0</v>
      </c>
      <c r="DH150" s="41" t="str">
        <f aca="false">IF(Tasks[[#This Row],[Task Name]]="","",LEFT(Tasks[[#This Row],[WBS]],FIND(".",Tasks[[#This Row],[WBS]]&amp;".")-1))</f>
        <v/>
      </c>
      <c r="DI150" s="41" t="str">
        <f aca="false">IF(AND(Tasks[[#This Row],[Task Name]]&lt;&gt;"",Tasks[[#This Row],[_Level]]=1),Tasks[[#This Row],[_Row]],"")</f>
        <v/>
      </c>
      <c r="DJ150" s="41" t="str">
        <f aca="false">IF(AND(Tasks[[#This Row],[_IsLeaf]]=1,N(Tasks[[#This Row],[Duration]])=0),Tasks[[#This Row],[Planned Finish]]+Tasks[[#This Row],[_Row]]/100000,"")</f>
        <v/>
      </c>
      <c r="DK150" s="41" t="str">
        <f aca="false">IF(AND(Tasks[[#This Row],[_IsLeaf]]=1,Tasks[[#This Row],[_LeafProgress]]&lt;1,OR(N(Tasks[[#This Row],[Finish Var]])&gt;0,Tasks[[#This Row],[Status]]="Late Start")),MAX(0,Tasks[[#This Row],[Finish Var]])+1-Tasks[[#This Row],[_Row]]/1000000,"")</f>
        <v/>
      </c>
      <c r="DL150" s="41" t="str">
        <f aca="false">IF(AND(Tasks[[#This Row],[_IsLeaf]]=1,N(Tasks[[#This Row],[Actual Start]])=0,Tasks[[#This Row],[_LeafFcstStart]]&gt;=StatusDate,Tasks[[#This Row],[_LeafFcstStart]]&lt;=LookaheadEnd),Tasks[[#This Row],[_LeafFcstStart]]+Tasks[[#This Row],[_Row]]/100000,"")</f>
        <v/>
      </c>
      <c r="DM150" s="41" t="str">
        <f aca="false">IF(AND(Tasks[[#This Row],[_IsLeaf]]=1,Tasks[[#This Row],[_LeafProgress]]&lt;1,Tasks[[#This Row],[_LeafFcstFinish]]&gt;=StatusDate,Tasks[[#This Row],[_LeafFcstFinish]]&lt;=LookaheadEnd),Tasks[[#This Row],[_LeafFcstFinish]]+Tasks[[#This Row],[_Row]]/100000,"")</f>
        <v/>
      </c>
      <c r="DN150" s="41" t="str">
        <f aca="false">IF(Tasks[[#This Row],[_LeafCritical]],Tasks[[#This Row],[_LeafFcstStart]]+Tasks[[#This Row],[_Row]]/100000,"")</f>
        <v/>
      </c>
      <c r="DO150" s="41" t="n">
        <f aca="false">Tasks[[#This Row],[_LeafWork]]*Tasks[[#This Row],[_LeafProgress]]</f>
        <v>0</v>
      </c>
      <c r="DP150" s="100" t="str">
        <f aca="false">IF(AND(Tasks[[#This Row],[_IsLeaf]]=1,Tasks[[#This Row],[_LeafProgress]]&gt;=1),IF(N(Tasks[[#This Row],[Actual Finish]])&gt;0,Tasks[[#This Row],[Actual Finish]],Tasks[[#This Row],[_LeafFcstFinish]]),"")</f>
        <v/>
      </c>
      <c r="DQ150" s="41" t="n">
        <f aca="false">IF(Tasks[[#This Row],[_IsLeaf]]=1,N(Tasks[[#This Row],[Story Points]]),0)</f>
        <v>0</v>
      </c>
      <c r="DR150" s="41" t="str">
        <f aca="false">IF(AND(Tasks[[#This Row],[_IsLeaf]]=1,CurrentSprint&lt;&gt;"",Tasks[[#This Row],[Sprint]]=CurrentSprint),Tasks[[#This Row],[_Row]],"")</f>
        <v/>
      </c>
    </row>
    <row r="151" customFormat="false" ht="15" hidden="false" customHeight="false" outlineLevel="0" collapsed="false">
      <c r="A151" s="28" t="str">
        <f aca="false">IF(Tasks[[#This Row],[Task Name]]="","",COUNTA(Tasks[[#Headers],[Task Name]]:Tasks[[#This Row],[Task Name]])-1)</f>
        <v/>
      </c>
      <c r="B151" s="29" t="n">
        <v>146</v>
      </c>
      <c r="C15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1" s="29"/>
      <c r="E151" s="30"/>
      <c r="F151" s="29"/>
      <c r="G151" s="29"/>
      <c r="H151" s="29"/>
      <c r="I151" s="29"/>
      <c r="J151" s="29"/>
      <c r="K151" s="29"/>
      <c r="L151" s="29"/>
      <c r="M151" s="29"/>
      <c r="N151" s="73"/>
      <c r="O151" s="73"/>
      <c r="P151" s="25" t="str">
        <f aca="false">IF(Tasks[[#This Row],[Task Name]]="","",IF(N(Tasks[[#This Row],[Baseline Start]])&gt;0,Tasks[[#This Row],[Baseline Start]],Tasks[[#This Row],[_CalcStart]]))</f>
        <v/>
      </c>
      <c r="Q151" s="25" t="str">
        <f aca="false">IF(Tasks[[#This Row],[Task Name]]="","",IF(N(Tasks[[#This Row],[Baseline Finish]])&gt;0,Tasks[[#This Row],[Baseline Finish]],Tasks[[#This Row],[_CalcFinish]]))</f>
        <v/>
      </c>
      <c r="R151" s="73"/>
      <c r="S151" s="73"/>
      <c r="T151" s="25" t="str">
        <f aca="false">IF(Tasks[[#This Row],[Task Name]]="","",IF(Tasks[[#This Row],[_IsSummary]],MIN(INDEX(Tasks[_LeafFcstStart],Tasks[[#This Row],[_Row]]+1):INDEX(Tasks[_LeafFcstStart],Tasks[[#This Row],[_Row]]+Tasks[[#This Row],[_Descendants]])),Tasks[[#This Row],[_LeafFcstStart]]))</f>
        <v/>
      </c>
      <c r="U151" s="25" t="str">
        <f aca="false">IF(Tasks[[#This Row],[Task Name]]="","",IF(Tasks[[#This Row],[_IsSummary]],MAX(INDEX(Tasks[_LeafFcstFinish],Tasks[[#This Row],[_Row]]+1):INDEX(Tasks[_LeafFcstFinish],Tasks[[#This Row],[_Row]]+Tasks[[#This Row],[_Descendants]])),Tasks[[#This Row],[_LeafFcstFinish]]))</f>
        <v/>
      </c>
      <c r="V15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5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1" s="25" t="str">
        <f aca="false">IF(Tasks[[#This Row],[Task Name]]="","",IF(Tasks[[#This Row],[_IsSummary]],MIN(INDEX(Tasks[_LeafLateStart],Tasks[[#This Row],[_Row]]+1):INDEX(Tasks[_LeafLateStart],Tasks[[#This Row],[_Row]]+Tasks[[#This Row],[_Descendants]])),Tasks[[#This Row],[_LeafLateStart]]))</f>
        <v/>
      </c>
      <c r="Y151" s="25" t="str">
        <f aca="false">IF(Tasks[[#This Row],[Task Name]]="","",IF(Tasks[[#This Row],[_IsSummary]],MAX(INDEX(Tasks[_LeafLateFinish],Tasks[[#This Row],[_Row]]+1):INDEX(Tasks[_LeafLateFinish],Tasks[[#This Row],[_Row]]+Tasks[[#This Row],[_Descendants]])),Tasks[[#This Row],[_LeafLateFinish]]))</f>
        <v/>
      </c>
      <c r="Z151" s="43" t="str">
        <f aca="false">IF(Tasks[[#This Row],[Task Name]]="","",IF(Tasks[[#This Row],[_IsSummary]],MIN(INDEX(Tasks[_LeafTotalSlack],Tasks[[#This Row],[_Row]]+1):INDEX(Tasks[_LeafTotalSlack],Tasks[[#This Row],[_Row]]+Tasks[[#This Row],[_Descendants]])),Tasks[[#This Row],[_LeafTotalSlack]]))</f>
        <v/>
      </c>
      <c r="AA15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1" s="28" t="str">
        <f aca="false">IF(Tasks[[#This Row],[Task Name]]="","",IF(IF(Tasks[[#This Row],[_IsSummary]],COUNTIF(INDEX(Tasks[_LeafCritical],Tasks[[#This Row],[_Row]]+1):INDEX(Tasks[_LeafCritical],Tasks[[#This Row],[_Row]]+Tasks[[#This Row],[_Descendants]]),TRUE())&gt;0,Tasks[[#This Row],[_LeafCritical]]),"Yes",""))</f>
        <v/>
      </c>
      <c r="AC15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1" s="24" t="str">
        <f aca="false">IF(Tasks[[#This Row],[Task Name]]="","",TRIM(IF(Tasks[[#This Row],[_Pred1Problem]]&lt;&gt;"","Pred 1: "&amp;Tasks[[#This Row],[_Pred1Problem]]&amp;". ","")&amp;IF(Tasks[[#This Row],[_Pred2Problem]]&lt;&gt;"","Pred 2: "&amp;Tasks[[#This Row],[_Pred2Problem]]&amp;".","")))</f>
        <v/>
      </c>
      <c r="AE151" s="88"/>
      <c r="AF151"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1" s="28" t="str">
        <f aca="false">IF(Tasks[[#This Row],[Task Name]]="","",IF(Tasks[[#This Row],[Progress]]&gt;=1,"Complete",IF(OR(N(Tasks[[#This Row],[Actual Start]])&gt;0,Tasks[[#This Row],[Progress]]&gt;0),IF(Tasks[[#This Row],[Finish Var]]&gt;0,"Behind","In Progress"),IF(Tasks[[#This Row],[Planned Start]]&lt;StatusDate,"Late Start","Not Started"))))</f>
        <v/>
      </c>
      <c r="AH151" s="30"/>
      <c r="AI151" s="88"/>
      <c r="AJ151" s="95" t="str">
        <f aca="false">IF(Tasks[[#This Row],[Task Name]]="","",IF(Tasks[[#This Row],[_IsSummary]],SUM(INDEX(Tasks[_LeafWork],Tasks[[#This Row],[_Row]]+1):INDEX(Tasks[_LeafWork],Tasks[[#This Row],[_Row]]+Tasks[[#This Row],[_Descendants]])),Tasks[[#This Row],[_LeafWork]]))</f>
        <v/>
      </c>
      <c r="AK151" s="96" t="str">
        <f aca="false">IF(Tasks[[#This Row],[Task Name]]="","",IF(Tasks[[#This Row],[_IsSummary]],SUM(INDEX(Tasks[_LeafCost],Tasks[[#This Row],[_Row]]+1):INDEX(Tasks[_LeafCost],Tasks[[#This Row],[_Row]]+Tasks[[#This Row],[_Descendants]])),Tasks[[#This Row],[_LeafCost]]))</f>
        <v/>
      </c>
      <c r="AL151" s="97"/>
      <c r="AM151" s="29"/>
      <c r="AN15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51" s="82"/>
      <c r="AP151" s="24" t="str">
        <f aca="false">IF(Tasks[[#This Row],[Task Name]]="","",Tasks[[#This Row],[_Pred1IDText]]&amp;IF(AND(Tasks[[#This Row],[_Pred1IDText]]&lt;&gt;"",Tasks[[#This Row],[_Pred2IDText]]&lt;&gt;""),",","")&amp;Tasks[[#This Row],[_Pred2IDText]])</f>
        <v/>
      </c>
      <c r="AQ151" s="30"/>
      <c r="AR151" s="25" t="str">
        <f aca="false">IF(Tasks[[#This Row],[Task Name]]="","",Tasks[[#This Row],[Forecast Start]])</f>
        <v/>
      </c>
      <c r="AS151" s="25" t="str">
        <f aca="false">IF(Tasks[[#This Row],[Task Name]]="","",Tasks[[#This Row],[Forecast Finish]])</f>
        <v/>
      </c>
      <c r="AT151" s="28" t="str">
        <f aca="false">IF(Tasks[[#This Row],[Task Name]]="","",IF(Tasks[[#This Row],[_IsSummary]],NETWORKDAYS.INTL(Tasks[[#This Row],[Forecast Start]],Tasks[[#This Row],[Forecast Finish]],WorkWeek,Holidays),N(Tasks[[#This Row],[Duration]])))</f>
        <v/>
      </c>
      <c r="AU151" s="95" t="str">
        <f aca="false">IF(Tasks[[#This Row],[Task Name]]="","",Tasks[[#This Row],[Work]])</f>
        <v/>
      </c>
      <c r="AV151" s="96" t="str">
        <f aca="false">IF(Tasks[[#This Row],[Task Name]]="","",Tasks[[#This Row],[Cost]])</f>
        <v/>
      </c>
      <c r="AW151" s="73"/>
      <c r="AX151" s="73"/>
      <c r="AY151" s="29"/>
      <c r="AZ151" s="98"/>
      <c r="BA151" s="97"/>
      <c r="BB151" s="28" t="str">
        <f aca="false">IF(OR(Tasks[[#This Row],[Task Name]]="",Tasks[[#This Row],[Baseline Duration]]=""),"",Tasks[[#This Row],[BL Source Duration]]-N(Tasks[[#This Row],[Baseline Duration]]))</f>
        <v/>
      </c>
      <c r="BC151" s="95" t="str">
        <f aca="false">IF(OR(Tasks[[#This Row],[Task Name]]="",Tasks[[#This Row],[Baseline Work]]=""),"",Tasks[[#This Row],[Work]]-N(Tasks[[#This Row],[Baseline Work]]))</f>
        <v/>
      </c>
      <c r="BD151" s="96" t="str">
        <f aca="false">IF(OR(Tasks[[#This Row],[Task Name]]="",Tasks[[#This Row],[Baseline Cost]]=""),"",Tasks[[#This Row],[Cost]]-N(Tasks[[#This Row],[Baseline Cost]]))</f>
        <v/>
      </c>
      <c r="BE151" s="96" t="str">
        <f aca="false">IF(Tasks[[#This Row],[Task Name]]="","",IF(Tasks[[#This Row],[_IsSummary]],SUM(INDEX(Tasks[_LeafBudget],Tasks[[#This Row],[_Row]]+1):INDEX(Tasks[_LeafBudget],Tasks[[#This Row],[_Row]]+Tasks[[#This Row],[_Descendants]])),Tasks[[#This Row],[_LeafBudget]]))</f>
        <v/>
      </c>
      <c r="BF151" s="96" t="str">
        <f aca="false">IF(Tasks[[#This Row],[Task Name]]="","",IF(Tasks[[#This Row],[_IsSummary]],SUM(INDEX(Tasks[_LeafPV],Tasks[[#This Row],[_Row]]+1):INDEX(Tasks[_LeafPV],Tasks[[#This Row],[_Row]]+Tasks[[#This Row],[_Descendants]])),Tasks[[#This Row],[_LeafPV]]))</f>
        <v/>
      </c>
      <c r="BG151" s="96" t="str">
        <f aca="false">IF(Tasks[[#This Row],[Task Name]]="","",IF(Tasks[[#This Row],[_IsSummary]],SUM(INDEX(Tasks[_LeafEV],Tasks[[#This Row],[_Row]]+1):INDEX(Tasks[_LeafEV],Tasks[[#This Row],[_Row]]+Tasks[[#This Row],[_Descendants]])),Tasks[[#This Row],[_LeafEV]]))</f>
        <v/>
      </c>
      <c r="BH151" s="96" t="str">
        <f aca="false">IF(Tasks[[#This Row],[Task Name]]="","",IF(Tasks[[#This Row],[_IsSummary]],SUM(INDEX(Tasks[_LeafAC],Tasks[[#This Row],[_Row]]+1):INDEX(Tasks[_LeafAC],Tasks[[#This Row],[_Row]]+Tasks[[#This Row],[_Descendants]])),Tasks[[#This Row],[_LeafAC]]))</f>
        <v/>
      </c>
      <c r="BI151" s="41" t="str">
        <f aca="false">IF(Tasks[[#This Row],[Task Name]]="","",MAX(1,N(Tasks[[#This Row],[Level]])))</f>
        <v/>
      </c>
      <c r="BJ151" s="41" t="n">
        <f aca="false">ROW()-ROW(Tasks[[#Headers],[ID]])</f>
        <v>146</v>
      </c>
      <c r="BK151" s="41" t="n">
        <f aca="false">IF(OR(Tasks[[#This Row],[Task Name]]="",Tasks[[#This Row],[_Level]]&lt;=1),0,IFERROR(LOOKUP(2,1/(Tasks[[#Headers],[_Level]]:Tasks[[#This Row],[_Level]]=Tasks[[#This Row],[_Level]]-1),ROW(Tasks[[#Headers],[_Level]]:Tasks[[#This Row],[_Level]])),0))</f>
        <v>0</v>
      </c>
      <c r="BL151" s="41" t="n">
        <f aca="false">IFERROR(N(INDEX(Tasks[_Level],Tasks[[#This Row],[_Row]]+1)),0)</f>
        <v>0</v>
      </c>
      <c r="BM151" s="99" t="b">
        <f aca="false">AND(Tasks[[#This Row],[Task Name]]&lt;&gt;"",Tasks[[#This Row],[_NextLevel]]&gt;Tasks[[#This Row],[_Level]])</f>
        <v>0</v>
      </c>
      <c r="BN151" s="41" t="n">
        <f aca="false">IF(Tasks[[#This Row],[_IsSummary]],COUNTIF(Tasks[WBS],Tasks[[#This Row],[WBS]]&amp;".*"),0)</f>
        <v>0</v>
      </c>
      <c r="BO151" s="41" t="n">
        <f aca="false">IF(AND(Tasks[[#This Row],[Task Name]]&lt;&gt;"",NOT(Tasks[[#This Row],[_IsSummary]])),1,0)</f>
        <v>0</v>
      </c>
      <c r="BP151" s="41" t="n">
        <f aca="false">IF(N(Tasks[[#This Row],[Pred1 UID]])=0,0,IFERROR(MATCH(Tasks[[#This Row],[Pred1 UID]],Tasks[UID],0),-1))</f>
        <v>0</v>
      </c>
      <c r="BQ151" s="41" t="n">
        <f aca="false">IF(N(Tasks[[#This Row],[Pred2 UID]])=0,0,IFERROR(MATCH(Tasks[[#This Row],[Pred2 UID]],Tasks[UID],0),-1))</f>
        <v>0</v>
      </c>
      <c r="BR151"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51" s="100" t="str">
        <f aca="false">IF(NOT(Tasks[[#This Row],[_IsLeaf]]=1),"",IF(N(Tasks[[#This Row],[Duration]])&lt;=0,Tasks[[#This Row],[_LeafCalcStart]],WORKDAY.INTL(Tasks[[#This Row],[_LeafCalcStart]],Tasks[[#This Row],[Duration]]-1,WorkWeek,Holidays)))</f>
        <v/>
      </c>
      <c r="BT151"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51"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51" s="41" t="n">
        <f aca="false">IF(NOT(Tasks[[#This Row],[_IsLeaf]]=1),0,IF(N(Tasks[[#This Row],[Actual Finish]])&gt;0,1,MIN(1,N(Tasks[[#This Row],[% Complete]]))))</f>
        <v>0</v>
      </c>
      <c r="BW151" s="41" t="n">
        <f aca="false">IF(OR(NOT(Tasks[[#This Row],[_IsLeaf]]=1),Tasks[[#This Row],[Resource]]=""),0,N(Tasks[[#This Row],[Duration]])*HoursPerDay*IF(Tasks[[#This Row],[Units]]="",DefaultUnits,Tasks[[#This Row],[Units]]))</f>
        <v>0</v>
      </c>
      <c r="BX151" s="41" t="n">
        <f aca="false">IF(Tasks[[#This Row],[_LeafWork]]=0,0,Tasks[[#This Row],[_LeafWork]]*IFERROR(INDEX(res_Rate,MATCH(Tasks[[#This Row],[Resource]],res_Name,0)),0))</f>
        <v>0</v>
      </c>
      <c r="BY15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5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5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5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51" s="41" t="n">
        <f aca="false">IF(NOT(Tasks[[#This Row],[_IsLeaf]]=1),0,MAX(_xlfn.MAXIFS(Tasks[_Row],Tasks[Pred1 UID],Tasks[[#This Row],[UID]]),_xlfn.MAXIFS(Tasks[_Row],Tasks[Pred2 UID],Tasks[[#This Row],[UID]])))</f>
        <v>0</v>
      </c>
      <c r="CD151"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51" s="100" t="str">
        <f aca="false">IF(NOT(Tasks[[#This Row],[_IsLeaf]]=1),"",MIN(ProjectFinish,IF(N(Tasks[[#This Row],[Deadline]])&gt;0,Tasks[[#This Row],[Deadline]],2958465),Tasks[[#This Row],[_SuccessorFinishLimit]]))</f>
        <v/>
      </c>
      <c r="CF151" s="100" t="str">
        <f aca="false">IF(NOT(Tasks[[#This Row],[_IsLeaf]]=1),"",IF(N(Tasks[[#This Row],[Duration]])&lt;=0,Tasks[[#This Row],[_LeafLateFinish]],WORKDAY.INTL(Tasks[[#This Row],[_LeafLateFinish]],-(Tasks[[#This Row],[Duration]]-1),WorkWeek,Holidays)))</f>
        <v/>
      </c>
      <c r="CG15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51" s="99" t="b">
        <f aca="false">AND(Tasks[[#This Row],[_IsLeaf]]=1,Tasks[[#This Row],[_LeafProgress]]&lt;1,N(Tasks[[#This Row],[_LeafTotalSlack]])&lt;=CriticalSlackDays)</f>
        <v>0</v>
      </c>
      <c r="CI151" s="100" t="str">
        <f aca="false">IF(Tasks[[#This Row],[Task Name]]="","",IF(Tasks[[#This Row],[_IsSummary]],MIN(INDEX(Tasks[_LeafCalcStart],Tasks[[#This Row],[_Row]]+1):INDEX(Tasks[_LeafCalcStart],Tasks[[#This Row],[_Row]]+Tasks[[#This Row],[_Descendants]])),Tasks[[#This Row],[_LeafCalcStart]]))</f>
        <v/>
      </c>
      <c r="CJ151" s="100" t="str">
        <f aca="false">IF(Tasks[[#This Row],[Task Name]]="","",IF(Tasks[[#This Row],[_IsSummary]],MAX(INDEX(Tasks[_LeafCalcFinish],Tasks[[#This Row],[_Row]]+1):INDEX(Tasks[_LeafCalcFinish],Tasks[[#This Row],[_Row]]+Tasks[[#This Row],[_Descendants]])),Tasks[[#This Row],[_LeafCalcFinish]]))</f>
        <v/>
      </c>
      <c r="CK15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5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51"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51"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51"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51"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51" s="41" t="n">
        <f aca="false">IF(AND(Tasks[[#This Row],[_IsLeaf]]=1,Tasks[[#This Row],[_LeafWork]]&gt;0),NETWORKDAYS.INTL(ProjectStart,Tasks[[#This Row],[_LeafFcstStart]],WorkWeek,Holidays),0)</f>
        <v>0</v>
      </c>
      <c r="CR151" s="41" t="n">
        <f aca="false">IF(AND(Tasks[[#This Row],[_IsLeaf]]=1,Tasks[[#This Row],[_LeafWork]]&gt;0),MAX(Tasks[[#This Row],[_StartWorkday]],NETWORKDAYS.INTL(ProjectStart,Tasks[[#This Row],[_LeafFcstFinish]],WorkWeek,Holidays)),0)</f>
        <v>0</v>
      </c>
      <c r="CS151" s="41" t="n">
        <f aca="false">IF(AND(Tasks[[#This Row],[_IsLeaf]]=1,Tasks[[#This Row],[_LeafWork]]&gt;0),Tasks[[#This Row],[_LeafWork]]/(Tasks[[#This Row],[_FinishWorkday]]-Tasks[[#This Row],[_StartWorkday]]+1),0)</f>
        <v>0</v>
      </c>
      <c r="CT151" s="41" t="n">
        <f aca="false">Tasks[[#This Row],[_WorkPerWorkday]]*(Tasks[[#This Row],[_StartWorkday]]-1)</f>
        <v>-0</v>
      </c>
      <c r="CU151" s="41" t="n">
        <f aca="false">IF(Tasks[[#This Row],[_IsLeaf]]=1,MAX(N(Tasks[[#This Row],[Duration]]),0.1),0)</f>
        <v>0</v>
      </c>
      <c r="CV151" s="41" t="n">
        <f aca="false">Tasks[[#This Row],[_WeightDur]]*Tasks[[#This Row],[_LeafProgress]]</f>
        <v>0</v>
      </c>
      <c r="CW15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5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5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5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51" s="41" t="str">
        <f aca="false">IF(Tasks[[#This Row],[Task Name]]="","",Tasks[[#This Row],[_Pred1UIDText]]&amp;IF(AND(Tasks[[#This Row],[_Pred1UIDText]]&lt;&gt;"",Tasks[[#This Row],[_Pred2UIDText]]&lt;&gt;""),",","")&amp;Tasks[[#This Row],[_Pred2UIDText]])</f>
        <v/>
      </c>
      <c r="DB151" s="41" t="str">
        <f aca="false">IF(AND(Tasks[[#This Row],[_IsLeaf]]=1,N(Tasks[[#This Row],[Duration]])=0,Tasks[[#This Row],[_LeafProgress]]&lt;1),Tasks[[#This Row],[_LeafFcstFinish]]+Tasks[[#This Row],[_Row]]/100000,"")</f>
        <v/>
      </c>
      <c r="DC15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51" s="41" t="n">
        <f aca="false">IF(NOT(Tasks[[#This Row],[_IsLeaf]]=1),0,IF(Tasks[[#This Row],[Baseline Cost]]="",Tasks[[#This Row],[_LeafCost]],N(Tasks[[#This Row],[Baseline Cost]])))</f>
        <v>0</v>
      </c>
      <c r="DE151" s="41" t="n">
        <f aca="false">Tasks[[#This Row],[_LeafBudget]]*Tasks[[#This Row],[_PlannedPct]]</f>
        <v>0</v>
      </c>
      <c r="DF151" s="41" t="n">
        <f aca="false">Tasks[[#This Row],[_LeafBudget]]*Tasks[[#This Row],[_LeafProgress]]</f>
        <v>0</v>
      </c>
      <c r="DG151" s="41" t="n">
        <f aca="false">IF(NOT(Tasks[[#This Row],[_IsLeaf]]=1),0,IF(Tasks[[#This Row],[Actual Cost]]="",Tasks[[#This Row],[_LeafCost]]*Tasks[[#This Row],[_LeafProgress]],N(Tasks[[#This Row],[Actual Cost]])))</f>
        <v>0</v>
      </c>
      <c r="DH151" s="41" t="str">
        <f aca="false">IF(Tasks[[#This Row],[Task Name]]="","",LEFT(Tasks[[#This Row],[WBS]],FIND(".",Tasks[[#This Row],[WBS]]&amp;".")-1))</f>
        <v/>
      </c>
      <c r="DI151" s="41" t="str">
        <f aca="false">IF(AND(Tasks[[#This Row],[Task Name]]&lt;&gt;"",Tasks[[#This Row],[_Level]]=1),Tasks[[#This Row],[_Row]],"")</f>
        <v/>
      </c>
      <c r="DJ151" s="41" t="str">
        <f aca="false">IF(AND(Tasks[[#This Row],[_IsLeaf]]=1,N(Tasks[[#This Row],[Duration]])=0),Tasks[[#This Row],[Planned Finish]]+Tasks[[#This Row],[_Row]]/100000,"")</f>
        <v/>
      </c>
      <c r="DK151" s="41" t="str">
        <f aca="false">IF(AND(Tasks[[#This Row],[_IsLeaf]]=1,Tasks[[#This Row],[_LeafProgress]]&lt;1,OR(N(Tasks[[#This Row],[Finish Var]])&gt;0,Tasks[[#This Row],[Status]]="Late Start")),MAX(0,Tasks[[#This Row],[Finish Var]])+1-Tasks[[#This Row],[_Row]]/1000000,"")</f>
        <v/>
      </c>
      <c r="DL151" s="41" t="str">
        <f aca="false">IF(AND(Tasks[[#This Row],[_IsLeaf]]=1,N(Tasks[[#This Row],[Actual Start]])=0,Tasks[[#This Row],[_LeafFcstStart]]&gt;=StatusDate,Tasks[[#This Row],[_LeafFcstStart]]&lt;=LookaheadEnd),Tasks[[#This Row],[_LeafFcstStart]]+Tasks[[#This Row],[_Row]]/100000,"")</f>
        <v/>
      </c>
      <c r="DM151" s="41" t="str">
        <f aca="false">IF(AND(Tasks[[#This Row],[_IsLeaf]]=1,Tasks[[#This Row],[_LeafProgress]]&lt;1,Tasks[[#This Row],[_LeafFcstFinish]]&gt;=StatusDate,Tasks[[#This Row],[_LeafFcstFinish]]&lt;=LookaheadEnd),Tasks[[#This Row],[_LeafFcstFinish]]+Tasks[[#This Row],[_Row]]/100000,"")</f>
        <v/>
      </c>
      <c r="DN151" s="41" t="str">
        <f aca="false">IF(Tasks[[#This Row],[_LeafCritical]],Tasks[[#This Row],[_LeafFcstStart]]+Tasks[[#This Row],[_Row]]/100000,"")</f>
        <v/>
      </c>
      <c r="DO151" s="41" t="n">
        <f aca="false">Tasks[[#This Row],[_LeafWork]]*Tasks[[#This Row],[_LeafProgress]]</f>
        <v>0</v>
      </c>
      <c r="DP151" s="100" t="str">
        <f aca="false">IF(AND(Tasks[[#This Row],[_IsLeaf]]=1,Tasks[[#This Row],[_LeafProgress]]&gt;=1),IF(N(Tasks[[#This Row],[Actual Finish]])&gt;0,Tasks[[#This Row],[Actual Finish]],Tasks[[#This Row],[_LeafFcstFinish]]),"")</f>
        <v/>
      </c>
      <c r="DQ151" s="41" t="n">
        <f aca="false">IF(Tasks[[#This Row],[_IsLeaf]]=1,N(Tasks[[#This Row],[Story Points]]),0)</f>
        <v>0</v>
      </c>
      <c r="DR151" s="41" t="str">
        <f aca="false">IF(AND(Tasks[[#This Row],[_IsLeaf]]=1,CurrentSprint&lt;&gt;"",Tasks[[#This Row],[Sprint]]=CurrentSprint),Tasks[[#This Row],[_Row]],"")</f>
        <v/>
      </c>
    </row>
    <row r="152" customFormat="false" ht="15" hidden="false" customHeight="false" outlineLevel="0" collapsed="false">
      <c r="A152" s="28" t="str">
        <f aca="false">IF(Tasks[[#This Row],[Task Name]]="","",COUNTA(Tasks[[#Headers],[Task Name]]:Tasks[[#This Row],[Task Name]])-1)</f>
        <v/>
      </c>
      <c r="B152" s="29" t="n">
        <v>147</v>
      </c>
      <c r="C15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2" s="29"/>
      <c r="E152" s="30"/>
      <c r="F152" s="29"/>
      <c r="G152" s="29"/>
      <c r="H152" s="29"/>
      <c r="I152" s="29"/>
      <c r="J152" s="29"/>
      <c r="K152" s="29"/>
      <c r="L152" s="29"/>
      <c r="M152" s="29"/>
      <c r="N152" s="73"/>
      <c r="O152" s="73"/>
      <c r="P152" s="25" t="str">
        <f aca="false">IF(Tasks[[#This Row],[Task Name]]="","",IF(N(Tasks[[#This Row],[Baseline Start]])&gt;0,Tasks[[#This Row],[Baseline Start]],Tasks[[#This Row],[_CalcStart]]))</f>
        <v/>
      </c>
      <c r="Q152" s="25" t="str">
        <f aca="false">IF(Tasks[[#This Row],[Task Name]]="","",IF(N(Tasks[[#This Row],[Baseline Finish]])&gt;0,Tasks[[#This Row],[Baseline Finish]],Tasks[[#This Row],[_CalcFinish]]))</f>
        <v/>
      </c>
      <c r="R152" s="73"/>
      <c r="S152" s="73"/>
      <c r="T152" s="25" t="str">
        <f aca="false">IF(Tasks[[#This Row],[Task Name]]="","",IF(Tasks[[#This Row],[_IsSummary]],MIN(INDEX(Tasks[_LeafFcstStart],Tasks[[#This Row],[_Row]]+1):INDEX(Tasks[_LeafFcstStart],Tasks[[#This Row],[_Row]]+Tasks[[#This Row],[_Descendants]])),Tasks[[#This Row],[_LeafFcstStart]]))</f>
        <v/>
      </c>
      <c r="U152" s="25" t="str">
        <f aca="false">IF(Tasks[[#This Row],[Task Name]]="","",IF(Tasks[[#This Row],[_IsSummary]],MAX(INDEX(Tasks[_LeafFcstFinish],Tasks[[#This Row],[_Row]]+1):INDEX(Tasks[_LeafFcstFinish],Tasks[[#This Row],[_Row]]+Tasks[[#This Row],[_Descendants]])),Tasks[[#This Row],[_LeafFcstFinish]]))</f>
        <v/>
      </c>
      <c r="V15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5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2" s="25" t="str">
        <f aca="false">IF(Tasks[[#This Row],[Task Name]]="","",IF(Tasks[[#This Row],[_IsSummary]],MIN(INDEX(Tasks[_LeafLateStart],Tasks[[#This Row],[_Row]]+1):INDEX(Tasks[_LeafLateStart],Tasks[[#This Row],[_Row]]+Tasks[[#This Row],[_Descendants]])),Tasks[[#This Row],[_LeafLateStart]]))</f>
        <v/>
      </c>
      <c r="Y152" s="25" t="str">
        <f aca="false">IF(Tasks[[#This Row],[Task Name]]="","",IF(Tasks[[#This Row],[_IsSummary]],MAX(INDEX(Tasks[_LeafLateFinish],Tasks[[#This Row],[_Row]]+1):INDEX(Tasks[_LeafLateFinish],Tasks[[#This Row],[_Row]]+Tasks[[#This Row],[_Descendants]])),Tasks[[#This Row],[_LeafLateFinish]]))</f>
        <v/>
      </c>
      <c r="Z152" s="43" t="str">
        <f aca="false">IF(Tasks[[#This Row],[Task Name]]="","",IF(Tasks[[#This Row],[_IsSummary]],MIN(INDEX(Tasks[_LeafTotalSlack],Tasks[[#This Row],[_Row]]+1):INDEX(Tasks[_LeafTotalSlack],Tasks[[#This Row],[_Row]]+Tasks[[#This Row],[_Descendants]])),Tasks[[#This Row],[_LeafTotalSlack]]))</f>
        <v/>
      </c>
      <c r="AA15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2" s="28" t="str">
        <f aca="false">IF(Tasks[[#This Row],[Task Name]]="","",IF(IF(Tasks[[#This Row],[_IsSummary]],COUNTIF(INDEX(Tasks[_LeafCritical],Tasks[[#This Row],[_Row]]+1):INDEX(Tasks[_LeafCritical],Tasks[[#This Row],[_Row]]+Tasks[[#This Row],[_Descendants]]),TRUE())&gt;0,Tasks[[#This Row],[_LeafCritical]]),"Yes",""))</f>
        <v/>
      </c>
      <c r="AC15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2" s="24" t="str">
        <f aca="false">IF(Tasks[[#This Row],[Task Name]]="","",TRIM(IF(Tasks[[#This Row],[_Pred1Problem]]&lt;&gt;"","Pred 1: "&amp;Tasks[[#This Row],[_Pred1Problem]]&amp;". ","")&amp;IF(Tasks[[#This Row],[_Pred2Problem]]&lt;&gt;"","Pred 2: "&amp;Tasks[[#This Row],[_Pred2Problem]]&amp;".","")))</f>
        <v/>
      </c>
      <c r="AE152" s="88"/>
      <c r="AF152"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2" s="28" t="str">
        <f aca="false">IF(Tasks[[#This Row],[Task Name]]="","",IF(Tasks[[#This Row],[Progress]]&gt;=1,"Complete",IF(OR(N(Tasks[[#This Row],[Actual Start]])&gt;0,Tasks[[#This Row],[Progress]]&gt;0),IF(Tasks[[#This Row],[Finish Var]]&gt;0,"Behind","In Progress"),IF(Tasks[[#This Row],[Planned Start]]&lt;StatusDate,"Late Start","Not Started"))))</f>
        <v/>
      </c>
      <c r="AH152" s="30"/>
      <c r="AI152" s="88"/>
      <c r="AJ152" s="95" t="str">
        <f aca="false">IF(Tasks[[#This Row],[Task Name]]="","",IF(Tasks[[#This Row],[_IsSummary]],SUM(INDEX(Tasks[_LeafWork],Tasks[[#This Row],[_Row]]+1):INDEX(Tasks[_LeafWork],Tasks[[#This Row],[_Row]]+Tasks[[#This Row],[_Descendants]])),Tasks[[#This Row],[_LeafWork]]))</f>
        <v/>
      </c>
      <c r="AK152" s="96" t="str">
        <f aca="false">IF(Tasks[[#This Row],[Task Name]]="","",IF(Tasks[[#This Row],[_IsSummary]],SUM(INDEX(Tasks[_LeafCost],Tasks[[#This Row],[_Row]]+1):INDEX(Tasks[_LeafCost],Tasks[[#This Row],[_Row]]+Tasks[[#This Row],[_Descendants]])),Tasks[[#This Row],[_LeafCost]]))</f>
        <v/>
      </c>
      <c r="AL152" s="97"/>
      <c r="AM152" s="29"/>
      <c r="AN15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52" s="82"/>
      <c r="AP152" s="24" t="str">
        <f aca="false">IF(Tasks[[#This Row],[Task Name]]="","",Tasks[[#This Row],[_Pred1IDText]]&amp;IF(AND(Tasks[[#This Row],[_Pred1IDText]]&lt;&gt;"",Tasks[[#This Row],[_Pred2IDText]]&lt;&gt;""),",","")&amp;Tasks[[#This Row],[_Pred2IDText]])</f>
        <v/>
      </c>
      <c r="AQ152" s="30"/>
      <c r="AR152" s="25" t="str">
        <f aca="false">IF(Tasks[[#This Row],[Task Name]]="","",Tasks[[#This Row],[Forecast Start]])</f>
        <v/>
      </c>
      <c r="AS152" s="25" t="str">
        <f aca="false">IF(Tasks[[#This Row],[Task Name]]="","",Tasks[[#This Row],[Forecast Finish]])</f>
        <v/>
      </c>
      <c r="AT152" s="28" t="str">
        <f aca="false">IF(Tasks[[#This Row],[Task Name]]="","",IF(Tasks[[#This Row],[_IsSummary]],NETWORKDAYS.INTL(Tasks[[#This Row],[Forecast Start]],Tasks[[#This Row],[Forecast Finish]],WorkWeek,Holidays),N(Tasks[[#This Row],[Duration]])))</f>
        <v/>
      </c>
      <c r="AU152" s="95" t="str">
        <f aca="false">IF(Tasks[[#This Row],[Task Name]]="","",Tasks[[#This Row],[Work]])</f>
        <v/>
      </c>
      <c r="AV152" s="96" t="str">
        <f aca="false">IF(Tasks[[#This Row],[Task Name]]="","",Tasks[[#This Row],[Cost]])</f>
        <v/>
      </c>
      <c r="AW152" s="73"/>
      <c r="AX152" s="73"/>
      <c r="AY152" s="29"/>
      <c r="AZ152" s="98"/>
      <c r="BA152" s="97"/>
      <c r="BB152" s="28" t="str">
        <f aca="false">IF(OR(Tasks[[#This Row],[Task Name]]="",Tasks[[#This Row],[Baseline Duration]]=""),"",Tasks[[#This Row],[BL Source Duration]]-N(Tasks[[#This Row],[Baseline Duration]]))</f>
        <v/>
      </c>
      <c r="BC152" s="95" t="str">
        <f aca="false">IF(OR(Tasks[[#This Row],[Task Name]]="",Tasks[[#This Row],[Baseline Work]]=""),"",Tasks[[#This Row],[Work]]-N(Tasks[[#This Row],[Baseline Work]]))</f>
        <v/>
      </c>
      <c r="BD152" s="96" t="str">
        <f aca="false">IF(OR(Tasks[[#This Row],[Task Name]]="",Tasks[[#This Row],[Baseline Cost]]=""),"",Tasks[[#This Row],[Cost]]-N(Tasks[[#This Row],[Baseline Cost]]))</f>
        <v/>
      </c>
      <c r="BE152" s="96" t="str">
        <f aca="false">IF(Tasks[[#This Row],[Task Name]]="","",IF(Tasks[[#This Row],[_IsSummary]],SUM(INDEX(Tasks[_LeafBudget],Tasks[[#This Row],[_Row]]+1):INDEX(Tasks[_LeafBudget],Tasks[[#This Row],[_Row]]+Tasks[[#This Row],[_Descendants]])),Tasks[[#This Row],[_LeafBudget]]))</f>
        <v/>
      </c>
      <c r="BF152" s="96" t="str">
        <f aca="false">IF(Tasks[[#This Row],[Task Name]]="","",IF(Tasks[[#This Row],[_IsSummary]],SUM(INDEX(Tasks[_LeafPV],Tasks[[#This Row],[_Row]]+1):INDEX(Tasks[_LeafPV],Tasks[[#This Row],[_Row]]+Tasks[[#This Row],[_Descendants]])),Tasks[[#This Row],[_LeafPV]]))</f>
        <v/>
      </c>
      <c r="BG152" s="96" t="str">
        <f aca="false">IF(Tasks[[#This Row],[Task Name]]="","",IF(Tasks[[#This Row],[_IsSummary]],SUM(INDEX(Tasks[_LeafEV],Tasks[[#This Row],[_Row]]+1):INDEX(Tasks[_LeafEV],Tasks[[#This Row],[_Row]]+Tasks[[#This Row],[_Descendants]])),Tasks[[#This Row],[_LeafEV]]))</f>
        <v/>
      </c>
      <c r="BH152" s="96" t="str">
        <f aca="false">IF(Tasks[[#This Row],[Task Name]]="","",IF(Tasks[[#This Row],[_IsSummary]],SUM(INDEX(Tasks[_LeafAC],Tasks[[#This Row],[_Row]]+1):INDEX(Tasks[_LeafAC],Tasks[[#This Row],[_Row]]+Tasks[[#This Row],[_Descendants]])),Tasks[[#This Row],[_LeafAC]]))</f>
        <v/>
      </c>
      <c r="BI152" s="41" t="str">
        <f aca="false">IF(Tasks[[#This Row],[Task Name]]="","",MAX(1,N(Tasks[[#This Row],[Level]])))</f>
        <v/>
      </c>
      <c r="BJ152" s="41" t="n">
        <f aca="false">ROW()-ROW(Tasks[[#Headers],[ID]])</f>
        <v>147</v>
      </c>
      <c r="BK152" s="41" t="n">
        <f aca="false">IF(OR(Tasks[[#This Row],[Task Name]]="",Tasks[[#This Row],[_Level]]&lt;=1),0,IFERROR(LOOKUP(2,1/(Tasks[[#Headers],[_Level]]:Tasks[[#This Row],[_Level]]=Tasks[[#This Row],[_Level]]-1),ROW(Tasks[[#Headers],[_Level]]:Tasks[[#This Row],[_Level]])),0))</f>
        <v>0</v>
      </c>
      <c r="BL152" s="41" t="n">
        <f aca="false">IFERROR(N(INDEX(Tasks[_Level],Tasks[[#This Row],[_Row]]+1)),0)</f>
        <v>0</v>
      </c>
      <c r="BM152" s="99" t="b">
        <f aca="false">AND(Tasks[[#This Row],[Task Name]]&lt;&gt;"",Tasks[[#This Row],[_NextLevel]]&gt;Tasks[[#This Row],[_Level]])</f>
        <v>0</v>
      </c>
      <c r="BN152" s="41" t="n">
        <f aca="false">IF(Tasks[[#This Row],[_IsSummary]],COUNTIF(Tasks[WBS],Tasks[[#This Row],[WBS]]&amp;".*"),0)</f>
        <v>0</v>
      </c>
      <c r="BO152" s="41" t="n">
        <f aca="false">IF(AND(Tasks[[#This Row],[Task Name]]&lt;&gt;"",NOT(Tasks[[#This Row],[_IsSummary]])),1,0)</f>
        <v>0</v>
      </c>
      <c r="BP152" s="41" t="n">
        <f aca="false">IF(N(Tasks[[#This Row],[Pred1 UID]])=0,0,IFERROR(MATCH(Tasks[[#This Row],[Pred1 UID]],Tasks[UID],0),-1))</f>
        <v>0</v>
      </c>
      <c r="BQ152" s="41" t="n">
        <f aca="false">IF(N(Tasks[[#This Row],[Pred2 UID]])=0,0,IFERROR(MATCH(Tasks[[#This Row],[Pred2 UID]],Tasks[UID],0),-1))</f>
        <v>0</v>
      </c>
      <c r="BR152"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52" s="100" t="str">
        <f aca="false">IF(NOT(Tasks[[#This Row],[_IsLeaf]]=1),"",IF(N(Tasks[[#This Row],[Duration]])&lt;=0,Tasks[[#This Row],[_LeafCalcStart]],WORKDAY.INTL(Tasks[[#This Row],[_LeafCalcStart]],Tasks[[#This Row],[Duration]]-1,WorkWeek,Holidays)))</f>
        <v/>
      </c>
      <c r="BT152"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52"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52" s="41" t="n">
        <f aca="false">IF(NOT(Tasks[[#This Row],[_IsLeaf]]=1),0,IF(N(Tasks[[#This Row],[Actual Finish]])&gt;0,1,MIN(1,N(Tasks[[#This Row],[% Complete]]))))</f>
        <v>0</v>
      </c>
      <c r="BW152" s="41" t="n">
        <f aca="false">IF(OR(NOT(Tasks[[#This Row],[_IsLeaf]]=1),Tasks[[#This Row],[Resource]]=""),0,N(Tasks[[#This Row],[Duration]])*HoursPerDay*IF(Tasks[[#This Row],[Units]]="",DefaultUnits,Tasks[[#This Row],[Units]]))</f>
        <v>0</v>
      </c>
      <c r="BX152" s="41" t="n">
        <f aca="false">IF(Tasks[[#This Row],[_LeafWork]]=0,0,Tasks[[#This Row],[_LeafWork]]*IFERROR(INDEX(res_Rate,MATCH(Tasks[[#This Row],[Resource]],res_Name,0)),0))</f>
        <v>0</v>
      </c>
      <c r="BY15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5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5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5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52" s="41" t="n">
        <f aca="false">IF(NOT(Tasks[[#This Row],[_IsLeaf]]=1),0,MAX(_xlfn.MAXIFS(Tasks[_Row],Tasks[Pred1 UID],Tasks[[#This Row],[UID]]),_xlfn.MAXIFS(Tasks[_Row],Tasks[Pred2 UID],Tasks[[#This Row],[UID]])))</f>
        <v>0</v>
      </c>
      <c r="CD152"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52" s="100" t="str">
        <f aca="false">IF(NOT(Tasks[[#This Row],[_IsLeaf]]=1),"",MIN(ProjectFinish,IF(N(Tasks[[#This Row],[Deadline]])&gt;0,Tasks[[#This Row],[Deadline]],2958465),Tasks[[#This Row],[_SuccessorFinishLimit]]))</f>
        <v/>
      </c>
      <c r="CF152" s="100" t="str">
        <f aca="false">IF(NOT(Tasks[[#This Row],[_IsLeaf]]=1),"",IF(N(Tasks[[#This Row],[Duration]])&lt;=0,Tasks[[#This Row],[_LeafLateFinish]],WORKDAY.INTL(Tasks[[#This Row],[_LeafLateFinish]],-(Tasks[[#This Row],[Duration]]-1),WorkWeek,Holidays)))</f>
        <v/>
      </c>
      <c r="CG15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52" s="99" t="b">
        <f aca="false">AND(Tasks[[#This Row],[_IsLeaf]]=1,Tasks[[#This Row],[_LeafProgress]]&lt;1,N(Tasks[[#This Row],[_LeafTotalSlack]])&lt;=CriticalSlackDays)</f>
        <v>0</v>
      </c>
      <c r="CI152" s="100" t="str">
        <f aca="false">IF(Tasks[[#This Row],[Task Name]]="","",IF(Tasks[[#This Row],[_IsSummary]],MIN(INDEX(Tasks[_LeafCalcStart],Tasks[[#This Row],[_Row]]+1):INDEX(Tasks[_LeafCalcStart],Tasks[[#This Row],[_Row]]+Tasks[[#This Row],[_Descendants]])),Tasks[[#This Row],[_LeafCalcStart]]))</f>
        <v/>
      </c>
      <c r="CJ152" s="100" t="str">
        <f aca="false">IF(Tasks[[#This Row],[Task Name]]="","",IF(Tasks[[#This Row],[_IsSummary]],MAX(INDEX(Tasks[_LeafCalcFinish],Tasks[[#This Row],[_Row]]+1):INDEX(Tasks[_LeafCalcFinish],Tasks[[#This Row],[_Row]]+Tasks[[#This Row],[_Descendants]])),Tasks[[#This Row],[_LeafCalcFinish]]))</f>
        <v/>
      </c>
      <c r="CK15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5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52"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52"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52"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52"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52" s="41" t="n">
        <f aca="false">IF(AND(Tasks[[#This Row],[_IsLeaf]]=1,Tasks[[#This Row],[_LeafWork]]&gt;0),NETWORKDAYS.INTL(ProjectStart,Tasks[[#This Row],[_LeafFcstStart]],WorkWeek,Holidays),0)</f>
        <v>0</v>
      </c>
      <c r="CR152" s="41" t="n">
        <f aca="false">IF(AND(Tasks[[#This Row],[_IsLeaf]]=1,Tasks[[#This Row],[_LeafWork]]&gt;0),MAX(Tasks[[#This Row],[_StartWorkday]],NETWORKDAYS.INTL(ProjectStart,Tasks[[#This Row],[_LeafFcstFinish]],WorkWeek,Holidays)),0)</f>
        <v>0</v>
      </c>
      <c r="CS152" s="41" t="n">
        <f aca="false">IF(AND(Tasks[[#This Row],[_IsLeaf]]=1,Tasks[[#This Row],[_LeafWork]]&gt;0),Tasks[[#This Row],[_LeafWork]]/(Tasks[[#This Row],[_FinishWorkday]]-Tasks[[#This Row],[_StartWorkday]]+1),0)</f>
        <v>0</v>
      </c>
      <c r="CT152" s="41" t="n">
        <f aca="false">Tasks[[#This Row],[_WorkPerWorkday]]*(Tasks[[#This Row],[_StartWorkday]]-1)</f>
        <v>-0</v>
      </c>
      <c r="CU152" s="41" t="n">
        <f aca="false">IF(Tasks[[#This Row],[_IsLeaf]]=1,MAX(N(Tasks[[#This Row],[Duration]]),0.1),0)</f>
        <v>0</v>
      </c>
      <c r="CV152" s="41" t="n">
        <f aca="false">Tasks[[#This Row],[_WeightDur]]*Tasks[[#This Row],[_LeafProgress]]</f>
        <v>0</v>
      </c>
      <c r="CW15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5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5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5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52" s="41" t="str">
        <f aca="false">IF(Tasks[[#This Row],[Task Name]]="","",Tasks[[#This Row],[_Pred1UIDText]]&amp;IF(AND(Tasks[[#This Row],[_Pred1UIDText]]&lt;&gt;"",Tasks[[#This Row],[_Pred2UIDText]]&lt;&gt;""),",","")&amp;Tasks[[#This Row],[_Pred2UIDText]])</f>
        <v/>
      </c>
      <c r="DB152" s="41" t="str">
        <f aca="false">IF(AND(Tasks[[#This Row],[_IsLeaf]]=1,N(Tasks[[#This Row],[Duration]])=0,Tasks[[#This Row],[_LeafProgress]]&lt;1),Tasks[[#This Row],[_LeafFcstFinish]]+Tasks[[#This Row],[_Row]]/100000,"")</f>
        <v/>
      </c>
      <c r="DC15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52" s="41" t="n">
        <f aca="false">IF(NOT(Tasks[[#This Row],[_IsLeaf]]=1),0,IF(Tasks[[#This Row],[Baseline Cost]]="",Tasks[[#This Row],[_LeafCost]],N(Tasks[[#This Row],[Baseline Cost]])))</f>
        <v>0</v>
      </c>
      <c r="DE152" s="41" t="n">
        <f aca="false">Tasks[[#This Row],[_LeafBudget]]*Tasks[[#This Row],[_PlannedPct]]</f>
        <v>0</v>
      </c>
      <c r="DF152" s="41" t="n">
        <f aca="false">Tasks[[#This Row],[_LeafBudget]]*Tasks[[#This Row],[_LeafProgress]]</f>
        <v>0</v>
      </c>
      <c r="DG152" s="41" t="n">
        <f aca="false">IF(NOT(Tasks[[#This Row],[_IsLeaf]]=1),0,IF(Tasks[[#This Row],[Actual Cost]]="",Tasks[[#This Row],[_LeafCost]]*Tasks[[#This Row],[_LeafProgress]],N(Tasks[[#This Row],[Actual Cost]])))</f>
        <v>0</v>
      </c>
      <c r="DH152" s="41" t="str">
        <f aca="false">IF(Tasks[[#This Row],[Task Name]]="","",LEFT(Tasks[[#This Row],[WBS]],FIND(".",Tasks[[#This Row],[WBS]]&amp;".")-1))</f>
        <v/>
      </c>
      <c r="DI152" s="41" t="str">
        <f aca="false">IF(AND(Tasks[[#This Row],[Task Name]]&lt;&gt;"",Tasks[[#This Row],[_Level]]=1),Tasks[[#This Row],[_Row]],"")</f>
        <v/>
      </c>
      <c r="DJ152" s="41" t="str">
        <f aca="false">IF(AND(Tasks[[#This Row],[_IsLeaf]]=1,N(Tasks[[#This Row],[Duration]])=0),Tasks[[#This Row],[Planned Finish]]+Tasks[[#This Row],[_Row]]/100000,"")</f>
        <v/>
      </c>
      <c r="DK152" s="41" t="str">
        <f aca="false">IF(AND(Tasks[[#This Row],[_IsLeaf]]=1,Tasks[[#This Row],[_LeafProgress]]&lt;1,OR(N(Tasks[[#This Row],[Finish Var]])&gt;0,Tasks[[#This Row],[Status]]="Late Start")),MAX(0,Tasks[[#This Row],[Finish Var]])+1-Tasks[[#This Row],[_Row]]/1000000,"")</f>
        <v/>
      </c>
      <c r="DL152" s="41" t="str">
        <f aca="false">IF(AND(Tasks[[#This Row],[_IsLeaf]]=1,N(Tasks[[#This Row],[Actual Start]])=0,Tasks[[#This Row],[_LeafFcstStart]]&gt;=StatusDate,Tasks[[#This Row],[_LeafFcstStart]]&lt;=LookaheadEnd),Tasks[[#This Row],[_LeafFcstStart]]+Tasks[[#This Row],[_Row]]/100000,"")</f>
        <v/>
      </c>
      <c r="DM152" s="41" t="str">
        <f aca="false">IF(AND(Tasks[[#This Row],[_IsLeaf]]=1,Tasks[[#This Row],[_LeafProgress]]&lt;1,Tasks[[#This Row],[_LeafFcstFinish]]&gt;=StatusDate,Tasks[[#This Row],[_LeafFcstFinish]]&lt;=LookaheadEnd),Tasks[[#This Row],[_LeafFcstFinish]]+Tasks[[#This Row],[_Row]]/100000,"")</f>
        <v/>
      </c>
      <c r="DN152" s="41" t="str">
        <f aca="false">IF(Tasks[[#This Row],[_LeafCritical]],Tasks[[#This Row],[_LeafFcstStart]]+Tasks[[#This Row],[_Row]]/100000,"")</f>
        <v/>
      </c>
      <c r="DO152" s="41" t="n">
        <f aca="false">Tasks[[#This Row],[_LeafWork]]*Tasks[[#This Row],[_LeafProgress]]</f>
        <v>0</v>
      </c>
      <c r="DP152" s="100" t="str">
        <f aca="false">IF(AND(Tasks[[#This Row],[_IsLeaf]]=1,Tasks[[#This Row],[_LeafProgress]]&gt;=1),IF(N(Tasks[[#This Row],[Actual Finish]])&gt;0,Tasks[[#This Row],[Actual Finish]],Tasks[[#This Row],[_LeafFcstFinish]]),"")</f>
        <v/>
      </c>
      <c r="DQ152" s="41" t="n">
        <f aca="false">IF(Tasks[[#This Row],[_IsLeaf]]=1,N(Tasks[[#This Row],[Story Points]]),0)</f>
        <v>0</v>
      </c>
      <c r="DR152" s="41" t="str">
        <f aca="false">IF(AND(Tasks[[#This Row],[_IsLeaf]]=1,CurrentSprint&lt;&gt;"",Tasks[[#This Row],[Sprint]]=CurrentSprint),Tasks[[#This Row],[_Row]],"")</f>
        <v/>
      </c>
    </row>
    <row r="153" customFormat="false" ht="15" hidden="false" customHeight="false" outlineLevel="0" collapsed="false">
      <c r="A153" s="28" t="str">
        <f aca="false">IF(Tasks[[#This Row],[Task Name]]="","",COUNTA(Tasks[[#Headers],[Task Name]]:Tasks[[#This Row],[Task Name]])-1)</f>
        <v/>
      </c>
      <c r="B153" s="29" t="n">
        <v>148</v>
      </c>
      <c r="C15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3" s="29"/>
      <c r="E153" s="30"/>
      <c r="F153" s="29"/>
      <c r="G153" s="29"/>
      <c r="H153" s="29"/>
      <c r="I153" s="29"/>
      <c r="J153" s="29"/>
      <c r="K153" s="29"/>
      <c r="L153" s="29"/>
      <c r="M153" s="29"/>
      <c r="N153" s="73"/>
      <c r="O153" s="73"/>
      <c r="P153" s="25" t="str">
        <f aca="false">IF(Tasks[[#This Row],[Task Name]]="","",IF(N(Tasks[[#This Row],[Baseline Start]])&gt;0,Tasks[[#This Row],[Baseline Start]],Tasks[[#This Row],[_CalcStart]]))</f>
        <v/>
      </c>
      <c r="Q153" s="25" t="str">
        <f aca="false">IF(Tasks[[#This Row],[Task Name]]="","",IF(N(Tasks[[#This Row],[Baseline Finish]])&gt;0,Tasks[[#This Row],[Baseline Finish]],Tasks[[#This Row],[_CalcFinish]]))</f>
        <v/>
      </c>
      <c r="R153" s="73"/>
      <c r="S153" s="73"/>
      <c r="T153" s="25" t="str">
        <f aca="false">IF(Tasks[[#This Row],[Task Name]]="","",IF(Tasks[[#This Row],[_IsSummary]],MIN(INDEX(Tasks[_LeafFcstStart],Tasks[[#This Row],[_Row]]+1):INDEX(Tasks[_LeafFcstStart],Tasks[[#This Row],[_Row]]+Tasks[[#This Row],[_Descendants]])),Tasks[[#This Row],[_LeafFcstStart]]))</f>
        <v/>
      </c>
      <c r="U153" s="25" t="str">
        <f aca="false">IF(Tasks[[#This Row],[Task Name]]="","",IF(Tasks[[#This Row],[_IsSummary]],MAX(INDEX(Tasks[_LeafFcstFinish],Tasks[[#This Row],[_Row]]+1):INDEX(Tasks[_LeafFcstFinish],Tasks[[#This Row],[_Row]]+Tasks[[#This Row],[_Descendants]])),Tasks[[#This Row],[_LeafFcstFinish]]))</f>
        <v/>
      </c>
      <c r="V15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5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3" s="25" t="str">
        <f aca="false">IF(Tasks[[#This Row],[Task Name]]="","",IF(Tasks[[#This Row],[_IsSummary]],MIN(INDEX(Tasks[_LeafLateStart],Tasks[[#This Row],[_Row]]+1):INDEX(Tasks[_LeafLateStart],Tasks[[#This Row],[_Row]]+Tasks[[#This Row],[_Descendants]])),Tasks[[#This Row],[_LeafLateStart]]))</f>
        <v/>
      </c>
      <c r="Y153" s="25" t="str">
        <f aca="false">IF(Tasks[[#This Row],[Task Name]]="","",IF(Tasks[[#This Row],[_IsSummary]],MAX(INDEX(Tasks[_LeafLateFinish],Tasks[[#This Row],[_Row]]+1):INDEX(Tasks[_LeafLateFinish],Tasks[[#This Row],[_Row]]+Tasks[[#This Row],[_Descendants]])),Tasks[[#This Row],[_LeafLateFinish]]))</f>
        <v/>
      </c>
      <c r="Z153" s="43" t="str">
        <f aca="false">IF(Tasks[[#This Row],[Task Name]]="","",IF(Tasks[[#This Row],[_IsSummary]],MIN(INDEX(Tasks[_LeafTotalSlack],Tasks[[#This Row],[_Row]]+1):INDEX(Tasks[_LeafTotalSlack],Tasks[[#This Row],[_Row]]+Tasks[[#This Row],[_Descendants]])),Tasks[[#This Row],[_LeafTotalSlack]]))</f>
        <v/>
      </c>
      <c r="AA15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3" s="28" t="str">
        <f aca="false">IF(Tasks[[#This Row],[Task Name]]="","",IF(IF(Tasks[[#This Row],[_IsSummary]],COUNTIF(INDEX(Tasks[_LeafCritical],Tasks[[#This Row],[_Row]]+1):INDEX(Tasks[_LeafCritical],Tasks[[#This Row],[_Row]]+Tasks[[#This Row],[_Descendants]]),TRUE())&gt;0,Tasks[[#This Row],[_LeafCritical]]),"Yes",""))</f>
        <v/>
      </c>
      <c r="AC15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3" s="24" t="str">
        <f aca="false">IF(Tasks[[#This Row],[Task Name]]="","",TRIM(IF(Tasks[[#This Row],[_Pred1Problem]]&lt;&gt;"","Pred 1: "&amp;Tasks[[#This Row],[_Pred1Problem]]&amp;". ","")&amp;IF(Tasks[[#This Row],[_Pred2Problem]]&lt;&gt;"","Pred 2: "&amp;Tasks[[#This Row],[_Pred2Problem]]&amp;".","")))</f>
        <v/>
      </c>
      <c r="AE153" s="88"/>
      <c r="AF153"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3" s="28" t="str">
        <f aca="false">IF(Tasks[[#This Row],[Task Name]]="","",IF(Tasks[[#This Row],[Progress]]&gt;=1,"Complete",IF(OR(N(Tasks[[#This Row],[Actual Start]])&gt;0,Tasks[[#This Row],[Progress]]&gt;0),IF(Tasks[[#This Row],[Finish Var]]&gt;0,"Behind","In Progress"),IF(Tasks[[#This Row],[Planned Start]]&lt;StatusDate,"Late Start","Not Started"))))</f>
        <v/>
      </c>
      <c r="AH153" s="30"/>
      <c r="AI153" s="88"/>
      <c r="AJ153" s="95" t="str">
        <f aca="false">IF(Tasks[[#This Row],[Task Name]]="","",IF(Tasks[[#This Row],[_IsSummary]],SUM(INDEX(Tasks[_LeafWork],Tasks[[#This Row],[_Row]]+1):INDEX(Tasks[_LeafWork],Tasks[[#This Row],[_Row]]+Tasks[[#This Row],[_Descendants]])),Tasks[[#This Row],[_LeafWork]]))</f>
        <v/>
      </c>
      <c r="AK153" s="96" t="str">
        <f aca="false">IF(Tasks[[#This Row],[Task Name]]="","",IF(Tasks[[#This Row],[_IsSummary]],SUM(INDEX(Tasks[_LeafCost],Tasks[[#This Row],[_Row]]+1):INDEX(Tasks[_LeafCost],Tasks[[#This Row],[_Row]]+Tasks[[#This Row],[_Descendants]])),Tasks[[#This Row],[_LeafCost]]))</f>
        <v/>
      </c>
      <c r="AL153" s="97"/>
      <c r="AM153" s="29"/>
      <c r="AN15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53" s="82"/>
      <c r="AP153" s="24" t="str">
        <f aca="false">IF(Tasks[[#This Row],[Task Name]]="","",Tasks[[#This Row],[_Pred1IDText]]&amp;IF(AND(Tasks[[#This Row],[_Pred1IDText]]&lt;&gt;"",Tasks[[#This Row],[_Pred2IDText]]&lt;&gt;""),",","")&amp;Tasks[[#This Row],[_Pred2IDText]])</f>
        <v/>
      </c>
      <c r="AQ153" s="30"/>
      <c r="AR153" s="25" t="str">
        <f aca="false">IF(Tasks[[#This Row],[Task Name]]="","",Tasks[[#This Row],[Forecast Start]])</f>
        <v/>
      </c>
      <c r="AS153" s="25" t="str">
        <f aca="false">IF(Tasks[[#This Row],[Task Name]]="","",Tasks[[#This Row],[Forecast Finish]])</f>
        <v/>
      </c>
      <c r="AT153" s="28" t="str">
        <f aca="false">IF(Tasks[[#This Row],[Task Name]]="","",IF(Tasks[[#This Row],[_IsSummary]],NETWORKDAYS.INTL(Tasks[[#This Row],[Forecast Start]],Tasks[[#This Row],[Forecast Finish]],WorkWeek,Holidays),N(Tasks[[#This Row],[Duration]])))</f>
        <v/>
      </c>
      <c r="AU153" s="95" t="str">
        <f aca="false">IF(Tasks[[#This Row],[Task Name]]="","",Tasks[[#This Row],[Work]])</f>
        <v/>
      </c>
      <c r="AV153" s="96" t="str">
        <f aca="false">IF(Tasks[[#This Row],[Task Name]]="","",Tasks[[#This Row],[Cost]])</f>
        <v/>
      </c>
      <c r="AW153" s="73"/>
      <c r="AX153" s="73"/>
      <c r="AY153" s="29"/>
      <c r="AZ153" s="98"/>
      <c r="BA153" s="97"/>
      <c r="BB153" s="28" t="str">
        <f aca="false">IF(OR(Tasks[[#This Row],[Task Name]]="",Tasks[[#This Row],[Baseline Duration]]=""),"",Tasks[[#This Row],[BL Source Duration]]-N(Tasks[[#This Row],[Baseline Duration]]))</f>
        <v/>
      </c>
      <c r="BC153" s="95" t="str">
        <f aca="false">IF(OR(Tasks[[#This Row],[Task Name]]="",Tasks[[#This Row],[Baseline Work]]=""),"",Tasks[[#This Row],[Work]]-N(Tasks[[#This Row],[Baseline Work]]))</f>
        <v/>
      </c>
      <c r="BD153" s="96" t="str">
        <f aca="false">IF(OR(Tasks[[#This Row],[Task Name]]="",Tasks[[#This Row],[Baseline Cost]]=""),"",Tasks[[#This Row],[Cost]]-N(Tasks[[#This Row],[Baseline Cost]]))</f>
        <v/>
      </c>
      <c r="BE153" s="96" t="str">
        <f aca="false">IF(Tasks[[#This Row],[Task Name]]="","",IF(Tasks[[#This Row],[_IsSummary]],SUM(INDEX(Tasks[_LeafBudget],Tasks[[#This Row],[_Row]]+1):INDEX(Tasks[_LeafBudget],Tasks[[#This Row],[_Row]]+Tasks[[#This Row],[_Descendants]])),Tasks[[#This Row],[_LeafBudget]]))</f>
        <v/>
      </c>
      <c r="BF153" s="96" t="str">
        <f aca="false">IF(Tasks[[#This Row],[Task Name]]="","",IF(Tasks[[#This Row],[_IsSummary]],SUM(INDEX(Tasks[_LeafPV],Tasks[[#This Row],[_Row]]+1):INDEX(Tasks[_LeafPV],Tasks[[#This Row],[_Row]]+Tasks[[#This Row],[_Descendants]])),Tasks[[#This Row],[_LeafPV]]))</f>
        <v/>
      </c>
      <c r="BG153" s="96" t="str">
        <f aca="false">IF(Tasks[[#This Row],[Task Name]]="","",IF(Tasks[[#This Row],[_IsSummary]],SUM(INDEX(Tasks[_LeafEV],Tasks[[#This Row],[_Row]]+1):INDEX(Tasks[_LeafEV],Tasks[[#This Row],[_Row]]+Tasks[[#This Row],[_Descendants]])),Tasks[[#This Row],[_LeafEV]]))</f>
        <v/>
      </c>
      <c r="BH153" s="96" t="str">
        <f aca="false">IF(Tasks[[#This Row],[Task Name]]="","",IF(Tasks[[#This Row],[_IsSummary]],SUM(INDEX(Tasks[_LeafAC],Tasks[[#This Row],[_Row]]+1):INDEX(Tasks[_LeafAC],Tasks[[#This Row],[_Row]]+Tasks[[#This Row],[_Descendants]])),Tasks[[#This Row],[_LeafAC]]))</f>
        <v/>
      </c>
      <c r="BI153" s="41" t="str">
        <f aca="false">IF(Tasks[[#This Row],[Task Name]]="","",MAX(1,N(Tasks[[#This Row],[Level]])))</f>
        <v/>
      </c>
      <c r="BJ153" s="41" t="n">
        <f aca="false">ROW()-ROW(Tasks[[#Headers],[ID]])</f>
        <v>148</v>
      </c>
      <c r="BK153" s="41" t="n">
        <f aca="false">IF(OR(Tasks[[#This Row],[Task Name]]="",Tasks[[#This Row],[_Level]]&lt;=1),0,IFERROR(LOOKUP(2,1/(Tasks[[#Headers],[_Level]]:Tasks[[#This Row],[_Level]]=Tasks[[#This Row],[_Level]]-1),ROW(Tasks[[#Headers],[_Level]]:Tasks[[#This Row],[_Level]])),0))</f>
        <v>0</v>
      </c>
      <c r="BL153" s="41" t="n">
        <f aca="false">IFERROR(N(INDEX(Tasks[_Level],Tasks[[#This Row],[_Row]]+1)),0)</f>
        <v>0</v>
      </c>
      <c r="BM153" s="99" t="b">
        <f aca="false">AND(Tasks[[#This Row],[Task Name]]&lt;&gt;"",Tasks[[#This Row],[_NextLevel]]&gt;Tasks[[#This Row],[_Level]])</f>
        <v>0</v>
      </c>
      <c r="BN153" s="41" t="n">
        <f aca="false">IF(Tasks[[#This Row],[_IsSummary]],COUNTIF(Tasks[WBS],Tasks[[#This Row],[WBS]]&amp;".*"),0)</f>
        <v>0</v>
      </c>
      <c r="BO153" s="41" t="n">
        <f aca="false">IF(AND(Tasks[[#This Row],[Task Name]]&lt;&gt;"",NOT(Tasks[[#This Row],[_IsSummary]])),1,0)</f>
        <v>0</v>
      </c>
      <c r="BP153" s="41" t="n">
        <f aca="false">IF(N(Tasks[[#This Row],[Pred1 UID]])=0,0,IFERROR(MATCH(Tasks[[#This Row],[Pred1 UID]],Tasks[UID],0),-1))</f>
        <v>0</v>
      </c>
      <c r="BQ153" s="41" t="n">
        <f aca="false">IF(N(Tasks[[#This Row],[Pred2 UID]])=0,0,IFERROR(MATCH(Tasks[[#This Row],[Pred2 UID]],Tasks[UID],0),-1))</f>
        <v>0</v>
      </c>
      <c r="BR153"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53" s="100" t="str">
        <f aca="false">IF(NOT(Tasks[[#This Row],[_IsLeaf]]=1),"",IF(N(Tasks[[#This Row],[Duration]])&lt;=0,Tasks[[#This Row],[_LeafCalcStart]],WORKDAY.INTL(Tasks[[#This Row],[_LeafCalcStart]],Tasks[[#This Row],[Duration]]-1,WorkWeek,Holidays)))</f>
        <v/>
      </c>
      <c r="BT153"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53"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53" s="41" t="n">
        <f aca="false">IF(NOT(Tasks[[#This Row],[_IsLeaf]]=1),0,IF(N(Tasks[[#This Row],[Actual Finish]])&gt;0,1,MIN(1,N(Tasks[[#This Row],[% Complete]]))))</f>
        <v>0</v>
      </c>
      <c r="BW153" s="41" t="n">
        <f aca="false">IF(OR(NOT(Tasks[[#This Row],[_IsLeaf]]=1),Tasks[[#This Row],[Resource]]=""),0,N(Tasks[[#This Row],[Duration]])*HoursPerDay*IF(Tasks[[#This Row],[Units]]="",DefaultUnits,Tasks[[#This Row],[Units]]))</f>
        <v>0</v>
      </c>
      <c r="BX153" s="41" t="n">
        <f aca="false">IF(Tasks[[#This Row],[_LeafWork]]=0,0,Tasks[[#This Row],[_LeafWork]]*IFERROR(INDEX(res_Rate,MATCH(Tasks[[#This Row],[Resource]],res_Name,0)),0))</f>
        <v>0</v>
      </c>
      <c r="BY15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5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5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5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53" s="41" t="n">
        <f aca="false">IF(NOT(Tasks[[#This Row],[_IsLeaf]]=1),0,MAX(_xlfn.MAXIFS(Tasks[_Row],Tasks[Pred1 UID],Tasks[[#This Row],[UID]]),_xlfn.MAXIFS(Tasks[_Row],Tasks[Pred2 UID],Tasks[[#This Row],[UID]])))</f>
        <v>0</v>
      </c>
      <c r="CD153"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53" s="100" t="str">
        <f aca="false">IF(NOT(Tasks[[#This Row],[_IsLeaf]]=1),"",MIN(ProjectFinish,IF(N(Tasks[[#This Row],[Deadline]])&gt;0,Tasks[[#This Row],[Deadline]],2958465),Tasks[[#This Row],[_SuccessorFinishLimit]]))</f>
        <v/>
      </c>
      <c r="CF153" s="100" t="str">
        <f aca="false">IF(NOT(Tasks[[#This Row],[_IsLeaf]]=1),"",IF(N(Tasks[[#This Row],[Duration]])&lt;=0,Tasks[[#This Row],[_LeafLateFinish]],WORKDAY.INTL(Tasks[[#This Row],[_LeafLateFinish]],-(Tasks[[#This Row],[Duration]]-1),WorkWeek,Holidays)))</f>
        <v/>
      </c>
      <c r="CG15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53" s="99" t="b">
        <f aca="false">AND(Tasks[[#This Row],[_IsLeaf]]=1,Tasks[[#This Row],[_LeafProgress]]&lt;1,N(Tasks[[#This Row],[_LeafTotalSlack]])&lt;=CriticalSlackDays)</f>
        <v>0</v>
      </c>
      <c r="CI153" s="100" t="str">
        <f aca="false">IF(Tasks[[#This Row],[Task Name]]="","",IF(Tasks[[#This Row],[_IsSummary]],MIN(INDEX(Tasks[_LeafCalcStart],Tasks[[#This Row],[_Row]]+1):INDEX(Tasks[_LeafCalcStart],Tasks[[#This Row],[_Row]]+Tasks[[#This Row],[_Descendants]])),Tasks[[#This Row],[_LeafCalcStart]]))</f>
        <v/>
      </c>
      <c r="CJ153" s="100" t="str">
        <f aca="false">IF(Tasks[[#This Row],[Task Name]]="","",IF(Tasks[[#This Row],[_IsSummary]],MAX(INDEX(Tasks[_LeafCalcFinish],Tasks[[#This Row],[_Row]]+1):INDEX(Tasks[_LeafCalcFinish],Tasks[[#This Row],[_Row]]+Tasks[[#This Row],[_Descendants]])),Tasks[[#This Row],[_LeafCalcFinish]]))</f>
        <v/>
      </c>
      <c r="CK15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5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53"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53"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53"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53"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53" s="41" t="n">
        <f aca="false">IF(AND(Tasks[[#This Row],[_IsLeaf]]=1,Tasks[[#This Row],[_LeafWork]]&gt;0),NETWORKDAYS.INTL(ProjectStart,Tasks[[#This Row],[_LeafFcstStart]],WorkWeek,Holidays),0)</f>
        <v>0</v>
      </c>
      <c r="CR153" s="41" t="n">
        <f aca="false">IF(AND(Tasks[[#This Row],[_IsLeaf]]=1,Tasks[[#This Row],[_LeafWork]]&gt;0),MAX(Tasks[[#This Row],[_StartWorkday]],NETWORKDAYS.INTL(ProjectStart,Tasks[[#This Row],[_LeafFcstFinish]],WorkWeek,Holidays)),0)</f>
        <v>0</v>
      </c>
      <c r="CS153" s="41" t="n">
        <f aca="false">IF(AND(Tasks[[#This Row],[_IsLeaf]]=1,Tasks[[#This Row],[_LeafWork]]&gt;0),Tasks[[#This Row],[_LeafWork]]/(Tasks[[#This Row],[_FinishWorkday]]-Tasks[[#This Row],[_StartWorkday]]+1),0)</f>
        <v>0</v>
      </c>
      <c r="CT153" s="41" t="n">
        <f aca="false">Tasks[[#This Row],[_WorkPerWorkday]]*(Tasks[[#This Row],[_StartWorkday]]-1)</f>
        <v>-0</v>
      </c>
      <c r="CU153" s="41" t="n">
        <f aca="false">IF(Tasks[[#This Row],[_IsLeaf]]=1,MAX(N(Tasks[[#This Row],[Duration]]),0.1),0)</f>
        <v>0</v>
      </c>
      <c r="CV153" s="41" t="n">
        <f aca="false">Tasks[[#This Row],[_WeightDur]]*Tasks[[#This Row],[_LeafProgress]]</f>
        <v>0</v>
      </c>
      <c r="CW15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5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5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5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53" s="41" t="str">
        <f aca="false">IF(Tasks[[#This Row],[Task Name]]="","",Tasks[[#This Row],[_Pred1UIDText]]&amp;IF(AND(Tasks[[#This Row],[_Pred1UIDText]]&lt;&gt;"",Tasks[[#This Row],[_Pred2UIDText]]&lt;&gt;""),",","")&amp;Tasks[[#This Row],[_Pred2UIDText]])</f>
        <v/>
      </c>
      <c r="DB153" s="41" t="str">
        <f aca="false">IF(AND(Tasks[[#This Row],[_IsLeaf]]=1,N(Tasks[[#This Row],[Duration]])=0,Tasks[[#This Row],[_LeafProgress]]&lt;1),Tasks[[#This Row],[_LeafFcstFinish]]+Tasks[[#This Row],[_Row]]/100000,"")</f>
        <v/>
      </c>
      <c r="DC15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53" s="41" t="n">
        <f aca="false">IF(NOT(Tasks[[#This Row],[_IsLeaf]]=1),0,IF(Tasks[[#This Row],[Baseline Cost]]="",Tasks[[#This Row],[_LeafCost]],N(Tasks[[#This Row],[Baseline Cost]])))</f>
        <v>0</v>
      </c>
      <c r="DE153" s="41" t="n">
        <f aca="false">Tasks[[#This Row],[_LeafBudget]]*Tasks[[#This Row],[_PlannedPct]]</f>
        <v>0</v>
      </c>
      <c r="DF153" s="41" t="n">
        <f aca="false">Tasks[[#This Row],[_LeafBudget]]*Tasks[[#This Row],[_LeafProgress]]</f>
        <v>0</v>
      </c>
      <c r="DG153" s="41" t="n">
        <f aca="false">IF(NOT(Tasks[[#This Row],[_IsLeaf]]=1),0,IF(Tasks[[#This Row],[Actual Cost]]="",Tasks[[#This Row],[_LeafCost]]*Tasks[[#This Row],[_LeafProgress]],N(Tasks[[#This Row],[Actual Cost]])))</f>
        <v>0</v>
      </c>
      <c r="DH153" s="41" t="str">
        <f aca="false">IF(Tasks[[#This Row],[Task Name]]="","",LEFT(Tasks[[#This Row],[WBS]],FIND(".",Tasks[[#This Row],[WBS]]&amp;".")-1))</f>
        <v/>
      </c>
      <c r="DI153" s="41" t="str">
        <f aca="false">IF(AND(Tasks[[#This Row],[Task Name]]&lt;&gt;"",Tasks[[#This Row],[_Level]]=1),Tasks[[#This Row],[_Row]],"")</f>
        <v/>
      </c>
      <c r="DJ153" s="41" t="str">
        <f aca="false">IF(AND(Tasks[[#This Row],[_IsLeaf]]=1,N(Tasks[[#This Row],[Duration]])=0),Tasks[[#This Row],[Planned Finish]]+Tasks[[#This Row],[_Row]]/100000,"")</f>
        <v/>
      </c>
      <c r="DK153" s="41" t="str">
        <f aca="false">IF(AND(Tasks[[#This Row],[_IsLeaf]]=1,Tasks[[#This Row],[_LeafProgress]]&lt;1,OR(N(Tasks[[#This Row],[Finish Var]])&gt;0,Tasks[[#This Row],[Status]]="Late Start")),MAX(0,Tasks[[#This Row],[Finish Var]])+1-Tasks[[#This Row],[_Row]]/1000000,"")</f>
        <v/>
      </c>
      <c r="DL153" s="41" t="str">
        <f aca="false">IF(AND(Tasks[[#This Row],[_IsLeaf]]=1,N(Tasks[[#This Row],[Actual Start]])=0,Tasks[[#This Row],[_LeafFcstStart]]&gt;=StatusDate,Tasks[[#This Row],[_LeafFcstStart]]&lt;=LookaheadEnd),Tasks[[#This Row],[_LeafFcstStart]]+Tasks[[#This Row],[_Row]]/100000,"")</f>
        <v/>
      </c>
      <c r="DM153" s="41" t="str">
        <f aca="false">IF(AND(Tasks[[#This Row],[_IsLeaf]]=1,Tasks[[#This Row],[_LeafProgress]]&lt;1,Tasks[[#This Row],[_LeafFcstFinish]]&gt;=StatusDate,Tasks[[#This Row],[_LeafFcstFinish]]&lt;=LookaheadEnd),Tasks[[#This Row],[_LeafFcstFinish]]+Tasks[[#This Row],[_Row]]/100000,"")</f>
        <v/>
      </c>
      <c r="DN153" s="41" t="str">
        <f aca="false">IF(Tasks[[#This Row],[_LeafCritical]],Tasks[[#This Row],[_LeafFcstStart]]+Tasks[[#This Row],[_Row]]/100000,"")</f>
        <v/>
      </c>
      <c r="DO153" s="41" t="n">
        <f aca="false">Tasks[[#This Row],[_LeafWork]]*Tasks[[#This Row],[_LeafProgress]]</f>
        <v>0</v>
      </c>
      <c r="DP153" s="100" t="str">
        <f aca="false">IF(AND(Tasks[[#This Row],[_IsLeaf]]=1,Tasks[[#This Row],[_LeafProgress]]&gt;=1),IF(N(Tasks[[#This Row],[Actual Finish]])&gt;0,Tasks[[#This Row],[Actual Finish]],Tasks[[#This Row],[_LeafFcstFinish]]),"")</f>
        <v/>
      </c>
      <c r="DQ153" s="41" t="n">
        <f aca="false">IF(Tasks[[#This Row],[_IsLeaf]]=1,N(Tasks[[#This Row],[Story Points]]),0)</f>
        <v>0</v>
      </c>
      <c r="DR153" s="41" t="str">
        <f aca="false">IF(AND(Tasks[[#This Row],[_IsLeaf]]=1,CurrentSprint&lt;&gt;"",Tasks[[#This Row],[Sprint]]=CurrentSprint),Tasks[[#This Row],[_Row]],"")</f>
        <v/>
      </c>
    </row>
    <row r="154" customFormat="false" ht="15" hidden="false" customHeight="false" outlineLevel="0" collapsed="false">
      <c r="A154" s="28" t="str">
        <f aca="false">IF(Tasks[[#This Row],[Task Name]]="","",COUNTA(Tasks[[#Headers],[Task Name]]:Tasks[[#This Row],[Task Name]])-1)</f>
        <v/>
      </c>
      <c r="B154" s="29" t="n">
        <v>149</v>
      </c>
      <c r="C15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4" s="29"/>
      <c r="E154" s="30"/>
      <c r="F154" s="29"/>
      <c r="G154" s="29"/>
      <c r="H154" s="29"/>
      <c r="I154" s="29"/>
      <c r="J154" s="29"/>
      <c r="K154" s="29"/>
      <c r="L154" s="29"/>
      <c r="M154" s="29"/>
      <c r="N154" s="73"/>
      <c r="O154" s="73"/>
      <c r="P154" s="25" t="str">
        <f aca="false">IF(Tasks[[#This Row],[Task Name]]="","",IF(N(Tasks[[#This Row],[Baseline Start]])&gt;0,Tasks[[#This Row],[Baseline Start]],Tasks[[#This Row],[_CalcStart]]))</f>
        <v/>
      </c>
      <c r="Q154" s="25" t="str">
        <f aca="false">IF(Tasks[[#This Row],[Task Name]]="","",IF(N(Tasks[[#This Row],[Baseline Finish]])&gt;0,Tasks[[#This Row],[Baseline Finish]],Tasks[[#This Row],[_CalcFinish]]))</f>
        <v/>
      </c>
      <c r="R154" s="73"/>
      <c r="S154" s="73"/>
      <c r="T154" s="25" t="str">
        <f aca="false">IF(Tasks[[#This Row],[Task Name]]="","",IF(Tasks[[#This Row],[_IsSummary]],MIN(INDEX(Tasks[_LeafFcstStart],Tasks[[#This Row],[_Row]]+1):INDEX(Tasks[_LeafFcstStart],Tasks[[#This Row],[_Row]]+Tasks[[#This Row],[_Descendants]])),Tasks[[#This Row],[_LeafFcstStart]]))</f>
        <v/>
      </c>
      <c r="U154" s="25" t="str">
        <f aca="false">IF(Tasks[[#This Row],[Task Name]]="","",IF(Tasks[[#This Row],[_IsSummary]],MAX(INDEX(Tasks[_LeafFcstFinish],Tasks[[#This Row],[_Row]]+1):INDEX(Tasks[_LeafFcstFinish],Tasks[[#This Row],[_Row]]+Tasks[[#This Row],[_Descendants]])),Tasks[[#This Row],[_LeafFcstFinish]]))</f>
        <v/>
      </c>
      <c r="V15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5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4" s="25" t="str">
        <f aca="false">IF(Tasks[[#This Row],[Task Name]]="","",IF(Tasks[[#This Row],[_IsSummary]],MIN(INDEX(Tasks[_LeafLateStart],Tasks[[#This Row],[_Row]]+1):INDEX(Tasks[_LeafLateStart],Tasks[[#This Row],[_Row]]+Tasks[[#This Row],[_Descendants]])),Tasks[[#This Row],[_LeafLateStart]]))</f>
        <v/>
      </c>
      <c r="Y154" s="25" t="str">
        <f aca="false">IF(Tasks[[#This Row],[Task Name]]="","",IF(Tasks[[#This Row],[_IsSummary]],MAX(INDEX(Tasks[_LeafLateFinish],Tasks[[#This Row],[_Row]]+1):INDEX(Tasks[_LeafLateFinish],Tasks[[#This Row],[_Row]]+Tasks[[#This Row],[_Descendants]])),Tasks[[#This Row],[_LeafLateFinish]]))</f>
        <v/>
      </c>
      <c r="Z154" s="43" t="str">
        <f aca="false">IF(Tasks[[#This Row],[Task Name]]="","",IF(Tasks[[#This Row],[_IsSummary]],MIN(INDEX(Tasks[_LeafTotalSlack],Tasks[[#This Row],[_Row]]+1):INDEX(Tasks[_LeafTotalSlack],Tasks[[#This Row],[_Row]]+Tasks[[#This Row],[_Descendants]])),Tasks[[#This Row],[_LeafTotalSlack]]))</f>
        <v/>
      </c>
      <c r="AA15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4" s="28" t="str">
        <f aca="false">IF(Tasks[[#This Row],[Task Name]]="","",IF(IF(Tasks[[#This Row],[_IsSummary]],COUNTIF(INDEX(Tasks[_LeafCritical],Tasks[[#This Row],[_Row]]+1):INDEX(Tasks[_LeafCritical],Tasks[[#This Row],[_Row]]+Tasks[[#This Row],[_Descendants]]),TRUE())&gt;0,Tasks[[#This Row],[_LeafCritical]]),"Yes",""))</f>
        <v/>
      </c>
      <c r="AC15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4" s="24" t="str">
        <f aca="false">IF(Tasks[[#This Row],[Task Name]]="","",TRIM(IF(Tasks[[#This Row],[_Pred1Problem]]&lt;&gt;"","Pred 1: "&amp;Tasks[[#This Row],[_Pred1Problem]]&amp;". ","")&amp;IF(Tasks[[#This Row],[_Pred2Problem]]&lt;&gt;"","Pred 2: "&amp;Tasks[[#This Row],[_Pred2Problem]]&amp;".","")))</f>
        <v/>
      </c>
      <c r="AE154" s="88"/>
      <c r="AF154"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4" s="28" t="str">
        <f aca="false">IF(Tasks[[#This Row],[Task Name]]="","",IF(Tasks[[#This Row],[Progress]]&gt;=1,"Complete",IF(OR(N(Tasks[[#This Row],[Actual Start]])&gt;0,Tasks[[#This Row],[Progress]]&gt;0),IF(Tasks[[#This Row],[Finish Var]]&gt;0,"Behind","In Progress"),IF(Tasks[[#This Row],[Planned Start]]&lt;StatusDate,"Late Start","Not Started"))))</f>
        <v/>
      </c>
      <c r="AH154" s="30"/>
      <c r="AI154" s="88"/>
      <c r="AJ154" s="95" t="str">
        <f aca="false">IF(Tasks[[#This Row],[Task Name]]="","",IF(Tasks[[#This Row],[_IsSummary]],SUM(INDEX(Tasks[_LeafWork],Tasks[[#This Row],[_Row]]+1):INDEX(Tasks[_LeafWork],Tasks[[#This Row],[_Row]]+Tasks[[#This Row],[_Descendants]])),Tasks[[#This Row],[_LeafWork]]))</f>
        <v/>
      </c>
      <c r="AK154" s="96" t="str">
        <f aca="false">IF(Tasks[[#This Row],[Task Name]]="","",IF(Tasks[[#This Row],[_IsSummary]],SUM(INDEX(Tasks[_LeafCost],Tasks[[#This Row],[_Row]]+1):INDEX(Tasks[_LeafCost],Tasks[[#This Row],[_Row]]+Tasks[[#This Row],[_Descendants]])),Tasks[[#This Row],[_LeafCost]]))</f>
        <v/>
      </c>
      <c r="AL154" s="97"/>
      <c r="AM154" s="29"/>
      <c r="AN15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54" s="82"/>
      <c r="AP154" s="24" t="str">
        <f aca="false">IF(Tasks[[#This Row],[Task Name]]="","",Tasks[[#This Row],[_Pred1IDText]]&amp;IF(AND(Tasks[[#This Row],[_Pred1IDText]]&lt;&gt;"",Tasks[[#This Row],[_Pred2IDText]]&lt;&gt;""),",","")&amp;Tasks[[#This Row],[_Pred2IDText]])</f>
        <v/>
      </c>
      <c r="AQ154" s="30"/>
      <c r="AR154" s="25" t="str">
        <f aca="false">IF(Tasks[[#This Row],[Task Name]]="","",Tasks[[#This Row],[Forecast Start]])</f>
        <v/>
      </c>
      <c r="AS154" s="25" t="str">
        <f aca="false">IF(Tasks[[#This Row],[Task Name]]="","",Tasks[[#This Row],[Forecast Finish]])</f>
        <v/>
      </c>
      <c r="AT154" s="28" t="str">
        <f aca="false">IF(Tasks[[#This Row],[Task Name]]="","",IF(Tasks[[#This Row],[_IsSummary]],NETWORKDAYS.INTL(Tasks[[#This Row],[Forecast Start]],Tasks[[#This Row],[Forecast Finish]],WorkWeek,Holidays),N(Tasks[[#This Row],[Duration]])))</f>
        <v/>
      </c>
      <c r="AU154" s="95" t="str">
        <f aca="false">IF(Tasks[[#This Row],[Task Name]]="","",Tasks[[#This Row],[Work]])</f>
        <v/>
      </c>
      <c r="AV154" s="96" t="str">
        <f aca="false">IF(Tasks[[#This Row],[Task Name]]="","",Tasks[[#This Row],[Cost]])</f>
        <v/>
      </c>
      <c r="AW154" s="73"/>
      <c r="AX154" s="73"/>
      <c r="AY154" s="29"/>
      <c r="AZ154" s="98"/>
      <c r="BA154" s="97"/>
      <c r="BB154" s="28" t="str">
        <f aca="false">IF(OR(Tasks[[#This Row],[Task Name]]="",Tasks[[#This Row],[Baseline Duration]]=""),"",Tasks[[#This Row],[BL Source Duration]]-N(Tasks[[#This Row],[Baseline Duration]]))</f>
        <v/>
      </c>
      <c r="BC154" s="95" t="str">
        <f aca="false">IF(OR(Tasks[[#This Row],[Task Name]]="",Tasks[[#This Row],[Baseline Work]]=""),"",Tasks[[#This Row],[Work]]-N(Tasks[[#This Row],[Baseline Work]]))</f>
        <v/>
      </c>
      <c r="BD154" s="96" t="str">
        <f aca="false">IF(OR(Tasks[[#This Row],[Task Name]]="",Tasks[[#This Row],[Baseline Cost]]=""),"",Tasks[[#This Row],[Cost]]-N(Tasks[[#This Row],[Baseline Cost]]))</f>
        <v/>
      </c>
      <c r="BE154" s="96" t="str">
        <f aca="false">IF(Tasks[[#This Row],[Task Name]]="","",IF(Tasks[[#This Row],[_IsSummary]],SUM(INDEX(Tasks[_LeafBudget],Tasks[[#This Row],[_Row]]+1):INDEX(Tasks[_LeafBudget],Tasks[[#This Row],[_Row]]+Tasks[[#This Row],[_Descendants]])),Tasks[[#This Row],[_LeafBudget]]))</f>
        <v/>
      </c>
      <c r="BF154" s="96" t="str">
        <f aca="false">IF(Tasks[[#This Row],[Task Name]]="","",IF(Tasks[[#This Row],[_IsSummary]],SUM(INDEX(Tasks[_LeafPV],Tasks[[#This Row],[_Row]]+1):INDEX(Tasks[_LeafPV],Tasks[[#This Row],[_Row]]+Tasks[[#This Row],[_Descendants]])),Tasks[[#This Row],[_LeafPV]]))</f>
        <v/>
      </c>
      <c r="BG154" s="96" t="str">
        <f aca="false">IF(Tasks[[#This Row],[Task Name]]="","",IF(Tasks[[#This Row],[_IsSummary]],SUM(INDEX(Tasks[_LeafEV],Tasks[[#This Row],[_Row]]+1):INDEX(Tasks[_LeafEV],Tasks[[#This Row],[_Row]]+Tasks[[#This Row],[_Descendants]])),Tasks[[#This Row],[_LeafEV]]))</f>
        <v/>
      </c>
      <c r="BH154" s="96" t="str">
        <f aca="false">IF(Tasks[[#This Row],[Task Name]]="","",IF(Tasks[[#This Row],[_IsSummary]],SUM(INDEX(Tasks[_LeafAC],Tasks[[#This Row],[_Row]]+1):INDEX(Tasks[_LeafAC],Tasks[[#This Row],[_Row]]+Tasks[[#This Row],[_Descendants]])),Tasks[[#This Row],[_LeafAC]]))</f>
        <v/>
      </c>
      <c r="BI154" s="41" t="str">
        <f aca="false">IF(Tasks[[#This Row],[Task Name]]="","",MAX(1,N(Tasks[[#This Row],[Level]])))</f>
        <v/>
      </c>
      <c r="BJ154" s="41" t="n">
        <f aca="false">ROW()-ROW(Tasks[[#Headers],[ID]])</f>
        <v>149</v>
      </c>
      <c r="BK154" s="41" t="n">
        <f aca="false">IF(OR(Tasks[[#This Row],[Task Name]]="",Tasks[[#This Row],[_Level]]&lt;=1),0,IFERROR(LOOKUP(2,1/(Tasks[[#Headers],[_Level]]:Tasks[[#This Row],[_Level]]=Tasks[[#This Row],[_Level]]-1),ROW(Tasks[[#Headers],[_Level]]:Tasks[[#This Row],[_Level]])),0))</f>
        <v>0</v>
      </c>
      <c r="BL154" s="41" t="n">
        <f aca="false">IFERROR(N(INDEX(Tasks[_Level],Tasks[[#This Row],[_Row]]+1)),0)</f>
        <v>0</v>
      </c>
      <c r="BM154" s="99" t="b">
        <f aca="false">AND(Tasks[[#This Row],[Task Name]]&lt;&gt;"",Tasks[[#This Row],[_NextLevel]]&gt;Tasks[[#This Row],[_Level]])</f>
        <v>0</v>
      </c>
      <c r="BN154" s="41" t="n">
        <f aca="false">IF(Tasks[[#This Row],[_IsSummary]],COUNTIF(Tasks[WBS],Tasks[[#This Row],[WBS]]&amp;".*"),0)</f>
        <v>0</v>
      </c>
      <c r="BO154" s="41" t="n">
        <f aca="false">IF(AND(Tasks[[#This Row],[Task Name]]&lt;&gt;"",NOT(Tasks[[#This Row],[_IsSummary]])),1,0)</f>
        <v>0</v>
      </c>
      <c r="BP154" s="41" t="n">
        <f aca="false">IF(N(Tasks[[#This Row],[Pred1 UID]])=0,0,IFERROR(MATCH(Tasks[[#This Row],[Pred1 UID]],Tasks[UID],0),-1))</f>
        <v>0</v>
      </c>
      <c r="BQ154" s="41" t="n">
        <f aca="false">IF(N(Tasks[[#This Row],[Pred2 UID]])=0,0,IFERROR(MATCH(Tasks[[#This Row],[Pred2 UID]],Tasks[UID],0),-1))</f>
        <v>0</v>
      </c>
      <c r="BR154"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54" s="100" t="str">
        <f aca="false">IF(NOT(Tasks[[#This Row],[_IsLeaf]]=1),"",IF(N(Tasks[[#This Row],[Duration]])&lt;=0,Tasks[[#This Row],[_LeafCalcStart]],WORKDAY.INTL(Tasks[[#This Row],[_LeafCalcStart]],Tasks[[#This Row],[Duration]]-1,WorkWeek,Holidays)))</f>
        <v/>
      </c>
      <c r="BT154"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54"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54" s="41" t="n">
        <f aca="false">IF(NOT(Tasks[[#This Row],[_IsLeaf]]=1),0,IF(N(Tasks[[#This Row],[Actual Finish]])&gt;0,1,MIN(1,N(Tasks[[#This Row],[% Complete]]))))</f>
        <v>0</v>
      </c>
      <c r="BW154" s="41" t="n">
        <f aca="false">IF(OR(NOT(Tasks[[#This Row],[_IsLeaf]]=1),Tasks[[#This Row],[Resource]]=""),0,N(Tasks[[#This Row],[Duration]])*HoursPerDay*IF(Tasks[[#This Row],[Units]]="",DefaultUnits,Tasks[[#This Row],[Units]]))</f>
        <v>0</v>
      </c>
      <c r="BX154" s="41" t="n">
        <f aca="false">IF(Tasks[[#This Row],[_LeafWork]]=0,0,Tasks[[#This Row],[_LeafWork]]*IFERROR(INDEX(res_Rate,MATCH(Tasks[[#This Row],[Resource]],res_Name,0)),0))</f>
        <v>0</v>
      </c>
      <c r="BY15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5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5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5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54" s="41" t="n">
        <f aca="false">IF(NOT(Tasks[[#This Row],[_IsLeaf]]=1),0,MAX(_xlfn.MAXIFS(Tasks[_Row],Tasks[Pred1 UID],Tasks[[#This Row],[UID]]),_xlfn.MAXIFS(Tasks[_Row],Tasks[Pred2 UID],Tasks[[#This Row],[UID]])))</f>
        <v>0</v>
      </c>
      <c r="CD154"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54" s="100" t="str">
        <f aca="false">IF(NOT(Tasks[[#This Row],[_IsLeaf]]=1),"",MIN(ProjectFinish,IF(N(Tasks[[#This Row],[Deadline]])&gt;0,Tasks[[#This Row],[Deadline]],2958465),Tasks[[#This Row],[_SuccessorFinishLimit]]))</f>
        <v/>
      </c>
      <c r="CF154" s="100" t="str">
        <f aca="false">IF(NOT(Tasks[[#This Row],[_IsLeaf]]=1),"",IF(N(Tasks[[#This Row],[Duration]])&lt;=0,Tasks[[#This Row],[_LeafLateFinish]],WORKDAY.INTL(Tasks[[#This Row],[_LeafLateFinish]],-(Tasks[[#This Row],[Duration]]-1),WorkWeek,Holidays)))</f>
        <v/>
      </c>
      <c r="CG15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54" s="99" t="b">
        <f aca="false">AND(Tasks[[#This Row],[_IsLeaf]]=1,Tasks[[#This Row],[_LeafProgress]]&lt;1,N(Tasks[[#This Row],[_LeafTotalSlack]])&lt;=CriticalSlackDays)</f>
        <v>0</v>
      </c>
      <c r="CI154" s="100" t="str">
        <f aca="false">IF(Tasks[[#This Row],[Task Name]]="","",IF(Tasks[[#This Row],[_IsSummary]],MIN(INDEX(Tasks[_LeafCalcStart],Tasks[[#This Row],[_Row]]+1):INDEX(Tasks[_LeafCalcStart],Tasks[[#This Row],[_Row]]+Tasks[[#This Row],[_Descendants]])),Tasks[[#This Row],[_LeafCalcStart]]))</f>
        <v/>
      </c>
      <c r="CJ154" s="100" t="str">
        <f aca="false">IF(Tasks[[#This Row],[Task Name]]="","",IF(Tasks[[#This Row],[_IsSummary]],MAX(INDEX(Tasks[_LeafCalcFinish],Tasks[[#This Row],[_Row]]+1):INDEX(Tasks[_LeafCalcFinish],Tasks[[#This Row],[_Row]]+Tasks[[#This Row],[_Descendants]])),Tasks[[#This Row],[_LeafCalcFinish]]))</f>
        <v/>
      </c>
      <c r="CK15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5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54"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54"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54"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54"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54" s="41" t="n">
        <f aca="false">IF(AND(Tasks[[#This Row],[_IsLeaf]]=1,Tasks[[#This Row],[_LeafWork]]&gt;0),NETWORKDAYS.INTL(ProjectStart,Tasks[[#This Row],[_LeafFcstStart]],WorkWeek,Holidays),0)</f>
        <v>0</v>
      </c>
      <c r="CR154" s="41" t="n">
        <f aca="false">IF(AND(Tasks[[#This Row],[_IsLeaf]]=1,Tasks[[#This Row],[_LeafWork]]&gt;0),MAX(Tasks[[#This Row],[_StartWorkday]],NETWORKDAYS.INTL(ProjectStart,Tasks[[#This Row],[_LeafFcstFinish]],WorkWeek,Holidays)),0)</f>
        <v>0</v>
      </c>
      <c r="CS154" s="41" t="n">
        <f aca="false">IF(AND(Tasks[[#This Row],[_IsLeaf]]=1,Tasks[[#This Row],[_LeafWork]]&gt;0),Tasks[[#This Row],[_LeafWork]]/(Tasks[[#This Row],[_FinishWorkday]]-Tasks[[#This Row],[_StartWorkday]]+1),0)</f>
        <v>0</v>
      </c>
      <c r="CT154" s="41" t="n">
        <f aca="false">Tasks[[#This Row],[_WorkPerWorkday]]*(Tasks[[#This Row],[_StartWorkday]]-1)</f>
        <v>-0</v>
      </c>
      <c r="CU154" s="41" t="n">
        <f aca="false">IF(Tasks[[#This Row],[_IsLeaf]]=1,MAX(N(Tasks[[#This Row],[Duration]]),0.1),0)</f>
        <v>0</v>
      </c>
      <c r="CV154" s="41" t="n">
        <f aca="false">Tasks[[#This Row],[_WeightDur]]*Tasks[[#This Row],[_LeafProgress]]</f>
        <v>0</v>
      </c>
      <c r="CW15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5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5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5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54" s="41" t="str">
        <f aca="false">IF(Tasks[[#This Row],[Task Name]]="","",Tasks[[#This Row],[_Pred1UIDText]]&amp;IF(AND(Tasks[[#This Row],[_Pred1UIDText]]&lt;&gt;"",Tasks[[#This Row],[_Pred2UIDText]]&lt;&gt;""),",","")&amp;Tasks[[#This Row],[_Pred2UIDText]])</f>
        <v/>
      </c>
      <c r="DB154" s="41" t="str">
        <f aca="false">IF(AND(Tasks[[#This Row],[_IsLeaf]]=1,N(Tasks[[#This Row],[Duration]])=0,Tasks[[#This Row],[_LeafProgress]]&lt;1),Tasks[[#This Row],[_LeafFcstFinish]]+Tasks[[#This Row],[_Row]]/100000,"")</f>
        <v/>
      </c>
      <c r="DC15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54" s="41" t="n">
        <f aca="false">IF(NOT(Tasks[[#This Row],[_IsLeaf]]=1),0,IF(Tasks[[#This Row],[Baseline Cost]]="",Tasks[[#This Row],[_LeafCost]],N(Tasks[[#This Row],[Baseline Cost]])))</f>
        <v>0</v>
      </c>
      <c r="DE154" s="41" t="n">
        <f aca="false">Tasks[[#This Row],[_LeafBudget]]*Tasks[[#This Row],[_PlannedPct]]</f>
        <v>0</v>
      </c>
      <c r="DF154" s="41" t="n">
        <f aca="false">Tasks[[#This Row],[_LeafBudget]]*Tasks[[#This Row],[_LeafProgress]]</f>
        <v>0</v>
      </c>
      <c r="DG154" s="41" t="n">
        <f aca="false">IF(NOT(Tasks[[#This Row],[_IsLeaf]]=1),0,IF(Tasks[[#This Row],[Actual Cost]]="",Tasks[[#This Row],[_LeafCost]]*Tasks[[#This Row],[_LeafProgress]],N(Tasks[[#This Row],[Actual Cost]])))</f>
        <v>0</v>
      </c>
      <c r="DH154" s="41" t="str">
        <f aca="false">IF(Tasks[[#This Row],[Task Name]]="","",LEFT(Tasks[[#This Row],[WBS]],FIND(".",Tasks[[#This Row],[WBS]]&amp;".")-1))</f>
        <v/>
      </c>
      <c r="DI154" s="41" t="str">
        <f aca="false">IF(AND(Tasks[[#This Row],[Task Name]]&lt;&gt;"",Tasks[[#This Row],[_Level]]=1),Tasks[[#This Row],[_Row]],"")</f>
        <v/>
      </c>
      <c r="DJ154" s="41" t="str">
        <f aca="false">IF(AND(Tasks[[#This Row],[_IsLeaf]]=1,N(Tasks[[#This Row],[Duration]])=0),Tasks[[#This Row],[Planned Finish]]+Tasks[[#This Row],[_Row]]/100000,"")</f>
        <v/>
      </c>
      <c r="DK154" s="41" t="str">
        <f aca="false">IF(AND(Tasks[[#This Row],[_IsLeaf]]=1,Tasks[[#This Row],[_LeafProgress]]&lt;1,OR(N(Tasks[[#This Row],[Finish Var]])&gt;0,Tasks[[#This Row],[Status]]="Late Start")),MAX(0,Tasks[[#This Row],[Finish Var]])+1-Tasks[[#This Row],[_Row]]/1000000,"")</f>
        <v/>
      </c>
      <c r="DL154" s="41" t="str">
        <f aca="false">IF(AND(Tasks[[#This Row],[_IsLeaf]]=1,N(Tasks[[#This Row],[Actual Start]])=0,Tasks[[#This Row],[_LeafFcstStart]]&gt;=StatusDate,Tasks[[#This Row],[_LeafFcstStart]]&lt;=LookaheadEnd),Tasks[[#This Row],[_LeafFcstStart]]+Tasks[[#This Row],[_Row]]/100000,"")</f>
        <v/>
      </c>
      <c r="DM154" s="41" t="str">
        <f aca="false">IF(AND(Tasks[[#This Row],[_IsLeaf]]=1,Tasks[[#This Row],[_LeafProgress]]&lt;1,Tasks[[#This Row],[_LeafFcstFinish]]&gt;=StatusDate,Tasks[[#This Row],[_LeafFcstFinish]]&lt;=LookaheadEnd),Tasks[[#This Row],[_LeafFcstFinish]]+Tasks[[#This Row],[_Row]]/100000,"")</f>
        <v/>
      </c>
      <c r="DN154" s="41" t="str">
        <f aca="false">IF(Tasks[[#This Row],[_LeafCritical]],Tasks[[#This Row],[_LeafFcstStart]]+Tasks[[#This Row],[_Row]]/100000,"")</f>
        <v/>
      </c>
      <c r="DO154" s="41" t="n">
        <f aca="false">Tasks[[#This Row],[_LeafWork]]*Tasks[[#This Row],[_LeafProgress]]</f>
        <v>0</v>
      </c>
      <c r="DP154" s="100" t="str">
        <f aca="false">IF(AND(Tasks[[#This Row],[_IsLeaf]]=1,Tasks[[#This Row],[_LeafProgress]]&gt;=1),IF(N(Tasks[[#This Row],[Actual Finish]])&gt;0,Tasks[[#This Row],[Actual Finish]],Tasks[[#This Row],[_LeafFcstFinish]]),"")</f>
        <v/>
      </c>
      <c r="DQ154" s="41" t="n">
        <f aca="false">IF(Tasks[[#This Row],[_IsLeaf]]=1,N(Tasks[[#This Row],[Story Points]]),0)</f>
        <v>0</v>
      </c>
      <c r="DR154" s="41" t="str">
        <f aca="false">IF(AND(Tasks[[#This Row],[_IsLeaf]]=1,CurrentSprint&lt;&gt;"",Tasks[[#This Row],[Sprint]]=CurrentSprint),Tasks[[#This Row],[_Row]],"")</f>
        <v/>
      </c>
    </row>
    <row r="155" customFormat="false" ht="15" hidden="false" customHeight="false" outlineLevel="0" collapsed="false">
      <c r="A155" s="28" t="str">
        <f aca="false">IF(Tasks[[#This Row],[Task Name]]="","",COUNTA(Tasks[[#Headers],[Task Name]]:Tasks[[#This Row],[Task Name]])-1)</f>
        <v/>
      </c>
      <c r="B155" s="29" t="n">
        <v>150</v>
      </c>
      <c r="C15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5" s="29"/>
      <c r="E155" s="30"/>
      <c r="F155" s="29"/>
      <c r="G155" s="29"/>
      <c r="H155" s="29"/>
      <c r="I155" s="29"/>
      <c r="J155" s="29"/>
      <c r="K155" s="29"/>
      <c r="L155" s="29"/>
      <c r="M155" s="29"/>
      <c r="N155" s="73"/>
      <c r="O155" s="73"/>
      <c r="P155" s="25" t="str">
        <f aca="false">IF(Tasks[[#This Row],[Task Name]]="","",IF(N(Tasks[[#This Row],[Baseline Start]])&gt;0,Tasks[[#This Row],[Baseline Start]],Tasks[[#This Row],[_CalcStart]]))</f>
        <v/>
      </c>
      <c r="Q155" s="25" t="str">
        <f aca="false">IF(Tasks[[#This Row],[Task Name]]="","",IF(N(Tasks[[#This Row],[Baseline Finish]])&gt;0,Tasks[[#This Row],[Baseline Finish]],Tasks[[#This Row],[_CalcFinish]]))</f>
        <v/>
      </c>
      <c r="R155" s="73"/>
      <c r="S155" s="73"/>
      <c r="T155" s="25" t="str">
        <f aca="false">IF(Tasks[[#This Row],[Task Name]]="","",IF(Tasks[[#This Row],[_IsSummary]],MIN(INDEX(Tasks[_LeafFcstStart],Tasks[[#This Row],[_Row]]+1):INDEX(Tasks[_LeafFcstStart],Tasks[[#This Row],[_Row]]+Tasks[[#This Row],[_Descendants]])),Tasks[[#This Row],[_LeafFcstStart]]))</f>
        <v/>
      </c>
      <c r="U155" s="25" t="str">
        <f aca="false">IF(Tasks[[#This Row],[Task Name]]="","",IF(Tasks[[#This Row],[_IsSummary]],MAX(INDEX(Tasks[_LeafFcstFinish],Tasks[[#This Row],[_Row]]+1):INDEX(Tasks[_LeafFcstFinish],Tasks[[#This Row],[_Row]]+Tasks[[#This Row],[_Descendants]])),Tasks[[#This Row],[_LeafFcstFinish]]))</f>
        <v/>
      </c>
      <c r="V15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5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5" s="25" t="str">
        <f aca="false">IF(Tasks[[#This Row],[Task Name]]="","",IF(Tasks[[#This Row],[_IsSummary]],MIN(INDEX(Tasks[_LeafLateStart],Tasks[[#This Row],[_Row]]+1):INDEX(Tasks[_LeafLateStart],Tasks[[#This Row],[_Row]]+Tasks[[#This Row],[_Descendants]])),Tasks[[#This Row],[_LeafLateStart]]))</f>
        <v/>
      </c>
      <c r="Y155" s="25" t="str">
        <f aca="false">IF(Tasks[[#This Row],[Task Name]]="","",IF(Tasks[[#This Row],[_IsSummary]],MAX(INDEX(Tasks[_LeafLateFinish],Tasks[[#This Row],[_Row]]+1):INDEX(Tasks[_LeafLateFinish],Tasks[[#This Row],[_Row]]+Tasks[[#This Row],[_Descendants]])),Tasks[[#This Row],[_LeafLateFinish]]))</f>
        <v/>
      </c>
      <c r="Z155" s="43" t="str">
        <f aca="false">IF(Tasks[[#This Row],[Task Name]]="","",IF(Tasks[[#This Row],[_IsSummary]],MIN(INDEX(Tasks[_LeafTotalSlack],Tasks[[#This Row],[_Row]]+1):INDEX(Tasks[_LeafTotalSlack],Tasks[[#This Row],[_Row]]+Tasks[[#This Row],[_Descendants]])),Tasks[[#This Row],[_LeafTotalSlack]]))</f>
        <v/>
      </c>
      <c r="AA15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5" s="28" t="str">
        <f aca="false">IF(Tasks[[#This Row],[Task Name]]="","",IF(IF(Tasks[[#This Row],[_IsSummary]],COUNTIF(INDEX(Tasks[_LeafCritical],Tasks[[#This Row],[_Row]]+1):INDEX(Tasks[_LeafCritical],Tasks[[#This Row],[_Row]]+Tasks[[#This Row],[_Descendants]]),TRUE())&gt;0,Tasks[[#This Row],[_LeafCritical]]),"Yes",""))</f>
        <v/>
      </c>
      <c r="AC15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5" s="24" t="str">
        <f aca="false">IF(Tasks[[#This Row],[Task Name]]="","",TRIM(IF(Tasks[[#This Row],[_Pred1Problem]]&lt;&gt;"","Pred 1: "&amp;Tasks[[#This Row],[_Pred1Problem]]&amp;". ","")&amp;IF(Tasks[[#This Row],[_Pred2Problem]]&lt;&gt;"","Pred 2: "&amp;Tasks[[#This Row],[_Pred2Problem]]&amp;".","")))</f>
        <v/>
      </c>
      <c r="AE155" s="88"/>
      <c r="AF155"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5" s="28" t="str">
        <f aca="false">IF(Tasks[[#This Row],[Task Name]]="","",IF(Tasks[[#This Row],[Progress]]&gt;=1,"Complete",IF(OR(N(Tasks[[#This Row],[Actual Start]])&gt;0,Tasks[[#This Row],[Progress]]&gt;0),IF(Tasks[[#This Row],[Finish Var]]&gt;0,"Behind","In Progress"),IF(Tasks[[#This Row],[Planned Start]]&lt;StatusDate,"Late Start","Not Started"))))</f>
        <v/>
      </c>
      <c r="AH155" s="30"/>
      <c r="AI155" s="88"/>
      <c r="AJ155" s="95" t="str">
        <f aca="false">IF(Tasks[[#This Row],[Task Name]]="","",IF(Tasks[[#This Row],[_IsSummary]],SUM(INDEX(Tasks[_LeafWork],Tasks[[#This Row],[_Row]]+1):INDEX(Tasks[_LeafWork],Tasks[[#This Row],[_Row]]+Tasks[[#This Row],[_Descendants]])),Tasks[[#This Row],[_LeafWork]]))</f>
        <v/>
      </c>
      <c r="AK155" s="96" t="str">
        <f aca="false">IF(Tasks[[#This Row],[Task Name]]="","",IF(Tasks[[#This Row],[_IsSummary]],SUM(INDEX(Tasks[_LeafCost],Tasks[[#This Row],[_Row]]+1):INDEX(Tasks[_LeafCost],Tasks[[#This Row],[_Row]]+Tasks[[#This Row],[_Descendants]])),Tasks[[#This Row],[_LeafCost]]))</f>
        <v/>
      </c>
      <c r="AL155" s="97"/>
      <c r="AM155" s="29"/>
      <c r="AN15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55" s="82"/>
      <c r="AP155" s="24" t="str">
        <f aca="false">IF(Tasks[[#This Row],[Task Name]]="","",Tasks[[#This Row],[_Pred1IDText]]&amp;IF(AND(Tasks[[#This Row],[_Pred1IDText]]&lt;&gt;"",Tasks[[#This Row],[_Pred2IDText]]&lt;&gt;""),",","")&amp;Tasks[[#This Row],[_Pred2IDText]])</f>
        <v/>
      </c>
      <c r="AQ155" s="30"/>
      <c r="AR155" s="25" t="str">
        <f aca="false">IF(Tasks[[#This Row],[Task Name]]="","",Tasks[[#This Row],[Forecast Start]])</f>
        <v/>
      </c>
      <c r="AS155" s="25" t="str">
        <f aca="false">IF(Tasks[[#This Row],[Task Name]]="","",Tasks[[#This Row],[Forecast Finish]])</f>
        <v/>
      </c>
      <c r="AT155" s="28" t="str">
        <f aca="false">IF(Tasks[[#This Row],[Task Name]]="","",IF(Tasks[[#This Row],[_IsSummary]],NETWORKDAYS.INTL(Tasks[[#This Row],[Forecast Start]],Tasks[[#This Row],[Forecast Finish]],WorkWeek,Holidays),N(Tasks[[#This Row],[Duration]])))</f>
        <v/>
      </c>
      <c r="AU155" s="95" t="str">
        <f aca="false">IF(Tasks[[#This Row],[Task Name]]="","",Tasks[[#This Row],[Work]])</f>
        <v/>
      </c>
      <c r="AV155" s="96" t="str">
        <f aca="false">IF(Tasks[[#This Row],[Task Name]]="","",Tasks[[#This Row],[Cost]])</f>
        <v/>
      </c>
      <c r="AW155" s="73"/>
      <c r="AX155" s="73"/>
      <c r="AY155" s="29"/>
      <c r="AZ155" s="98"/>
      <c r="BA155" s="97"/>
      <c r="BB155" s="28" t="str">
        <f aca="false">IF(OR(Tasks[[#This Row],[Task Name]]="",Tasks[[#This Row],[Baseline Duration]]=""),"",Tasks[[#This Row],[BL Source Duration]]-N(Tasks[[#This Row],[Baseline Duration]]))</f>
        <v/>
      </c>
      <c r="BC155" s="95" t="str">
        <f aca="false">IF(OR(Tasks[[#This Row],[Task Name]]="",Tasks[[#This Row],[Baseline Work]]=""),"",Tasks[[#This Row],[Work]]-N(Tasks[[#This Row],[Baseline Work]]))</f>
        <v/>
      </c>
      <c r="BD155" s="96" t="str">
        <f aca="false">IF(OR(Tasks[[#This Row],[Task Name]]="",Tasks[[#This Row],[Baseline Cost]]=""),"",Tasks[[#This Row],[Cost]]-N(Tasks[[#This Row],[Baseline Cost]]))</f>
        <v/>
      </c>
      <c r="BE155" s="96" t="str">
        <f aca="false">IF(Tasks[[#This Row],[Task Name]]="","",IF(Tasks[[#This Row],[_IsSummary]],SUM(INDEX(Tasks[_LeafBudget],Tasks[[#This Row],[_Row]]+1):INDEX(Tasks[_LeafBudget],Tasks[[#This Row],[_Row]]+Tasks[[#This Row],[_Descendants]])),Tasks[[#This Row],[_LeafBudget]]))</f>
        <v/>
      </c>
      <c r="BF155" s="96" t="str">
        <f aca="false">IF(Tasks[[#This Row],[Task Name]]="","",IF(Tasks[[#This Row],[_IsSummary]],SUM(INDEX(Tasks[_LeafPV],Tasks[[#This Row],[_Row]]+1):INDEX(Tasks[_LeafPV],Tasks[[#This Row],[_Row]]+Tasks[[#This Row],[_Descendants]])),Tasks[[#This Row],[_LeafPV]]))</f>
        <v/>
      </c>
      <c r="BG155" s="96" t="str">
        <f aca="false">IF(Tasks[[#This Row],[Task Name]]="","",IF(Tasks[[#This Row],[_IsSummary]],SUM(INDEX(Tasks[_LeafEV],Tasks[[#This Row],[_Row]]+1):INDEX(Tasks[_LeafEV],Tasks[[#This Row],[_Row]]+Tasks[[#This Row],[_Descendants]])),Tasks[[#This Row],[_LeafEV]]))</f>
        <v/>
      </c>
      <c r="BH155" s="96" t="str">
        <f aca="false">IF(Tasks[[#This Row],[Task Name]]="","",IF(Tasks[[#This Row],[_IsSummary]],SUM(INDEX(Tasks[_LeafAC],Tasks[[#This Row],[_Row]]+1):INDEX(Tasks[_LeafAC],Tasks[[#This Row],[_Row]]+Tasks[[#This Row],[_Descendants]])),Tasks[[#This Row],[_LeafAC]]))</f>
        <v/>
      </c>
      <c r="BI155" s="41" t="str">
        <f aca="false">IF(Tasks[[#This Row],[Task Name]]="","",MAX(1,N(Tasks[[#This Row],[Level]])))</f>
        <v/>
      </c>
      <c r="BJ155" s="41" t="n">
        <f aca="false">ROW()-ROW(Tasks[[#Headers],[ID]])</f>
        <v>150</v>
      </c>
      <c r="BK155" s="41" t="n">
        <f aca="false">IF(OR(Tasks[[#This Row],[Task Name]]="",Tasks[[#This Row],[_Level]]&lt;=1),0,IFERROR(LOOKUP(2,1/(Tasks[[#Headers],[_Level]]:Tasks[[#This Row],[_Level]]=Tasks[[#This Row],[_Level]]-1),ROW(Tasks[[#Headers],[_Level]]:Tasks[[#This Row],[_Level]])),0))</f>
        <v>0</v>
      </c>
      <c r="BL155" s="41" t="n">
        <f aca="false">IFERROR(N(INDEX(Tasks[_Level],Tasks[[#This Row],[_Row]]+1)),0)</f>
        <v>0</v>
      </c>
      <c r="BM155" s="99" t="b">
        <f aca="false">AND(Tasks[[#This Row],[Task Name]]&lt;&gt;"",Tasks[[#This Row],[_NextLevel]]&gt;Tasks[[#This Row],[_Level]])</f>
        <v>0</v>
      </c>
      <c r="BN155" s="41" t="n">
        <f aca="false">IF(Tasks[[#This Row],[_IsSummary]],COUNTIF(Tasks[WBS],Tasks[[#This Row],[WBS]]&amp;".*"),0)</f>
        <v>0</v>
      </c>
      <c r="BO155" s="41" t="n">
        <f aca="false">IF(AND(Tasks[[#This Row],[Task Name]]&lt;&gt;"",NOT(Tasks[[#This Row],[_IsSummary]])),1,0)</f>
        <v>0</v>
      </c>
      <c r="BP155" s="41" t="n">
        <f aca="false">IF(N(Tasks[[#This Row],[Pred1 UID]])=0,0,IFERROR(MATCH(Tasks[[#This Row],[Pred1 UID]],Tasks[UID],0),-1))</f>
        <v>0</v>
      </c>
      <c r="BQ155" s="41" t="n">
        <f aca="false">IF(N(Tasks[[#This Row],[Pred2 UID]])=0,0,IFERROR(MATCH(Tasks[[#This Row],[Pred2 UID]],Tasks[UID],0),-1))</f>
        <v>0</v>
      </c>
      <c r="BR155"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55" s="100" t="str">
        <f aca="false">IF(NOT(Tasks[[#This Row],[_IsLeaf]]=1),"",IF(N(Tasks[[#This Row],[Duration]])&lt;=0,Tasks[[#This Row],[_LeafCalcStart]],WORKDAY.INTL(Tasks[[#This Row],[_LeafCalcStart]],Tasks[[#This Row],[Duration]]-1,WorkWeek,Holidays)))</f>
        <v/>
      </c>
      <c r="BT155"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55"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55" s="41" t="n">
        <f aca="false">IF(NOT(Tasks[[#This Row],[_IsLeaf]]=1),0,IF(N(Tasks[[#This Row],[Actual Finish]])&gt;0,1,MIN(1,N(Tasks[[#This Row],[% Complete]]))))</f>
        <v>0</v>
      </c>
      <c r="BW155" s="41" t="n">
        <f aca="false">IF(OR(NOT(Tasks[[#This Row],[_IsLeaf]]=1),Tasks[[#This Row],[Resource]]=""),0,N(Tasks[[#This Row],[Duration]])*HoursPerDay*IF(Tasks[[#This Row],[Units]]="",DefaultUnits,Tasks[[#This Row],[Units]]))</f>
        <v>0</v>
      </c>
      <c r="BX155" s="41" t="n">
        <f aca="false">IF(Tasks[[#This Row],[_LeafWork]]=0,0,Tasks[[#This Row],[_LeafWork]]*IFERROR(INDEX(res_Rate,MATCH(Tasks[[#This Row],[Resource]],res_Name,0)),0))</f>
        <v>0</v>
      </c>
      <c r="BY15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5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5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5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55" s="41" t="n">
        <f aca="false">IF(NOT(Tasks[[#This Row],[_IsLeaf]]=1),0,MAX(_xlfn.MAXIFS(Tasks[_Row],Tasks[Pred1 UID],Tasks[[#This Row],[UID]]),_xlfn.MAXIFS(Tasks[_Row],Tasks[Pred2 UID],Tasks[[#This Row],[UID]])))</f>
        <v>0</v>
      </c>
      <c r="CD155"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55" s="100" t="str">
        <f aca="false">IF(NOT(Tasks[[#This Row],[_IsLeaf]]=1),"",MIN(ProjectFinish,IF(N(Tasks[[#This Row],[Deadline]])&gt;0,Tasks[[#This Row],[Deadline]],2958465),Tasks[[#This Row],[_SuccessorFinishLimit]]))</f>
        <v/>
      </c>
      <c r="CF155" s="100" t="str">
        <f aca="false">IF(NOT(Tasks[[#This Row],[_IsLeaf]]=1),"",IF(N(Tasks[[#This Row],[Duration]])&lt;=0,Tasks[[#This Row],[_LeafLateFinish]],WORKDAY.INTL(Tasks[[#This Row],[_LeafLateFinish]],-(Tasks[[#This Row],[Duration]]-1),WorkWeek,Holidays)))</f>
        <v/>
      </c>
      <c r="CG15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55" s="99" t="b">
        <f aca="false">AND(Tasks[[#This Row],[_IsLeaf]]=1,Tasks[[#This Row],[_LeafProgress]]&lt;1,N(Tasks[[#This Row],[_LeafTotalSlack]])&lt;=CriticalSlackDays)</f>
        <v>0</v>
      </c>
      <c r="CI155" s="100" t="str">
        <f aca="false">IF(Tasks[[#This Row],[Task Name]]="","",IF(Tasks[[#This Row],[_IsSummary]],MIN(INDEX(Tasks[_LeafCalcStart],Tasks[[#This Row],[_Row]]+1):INDEX(Tasks[_LeafCalcStart],Tasks[[#This Row],[_Row]]+Tasks[[#This Row],[_Descendants]])),Tasks[[#This Row],[_LeafCalcStart]]))</f>
        <v/>
      </c>
      <c r="CJ155" s="100" t="str">
        <f aca="false">IF(Tasks[[#This Row],[Task Name]]="","",IF(Tasks[[#This Row],[_IsSummary]],MAX(INDEX(Tasks[_LeafCalcFinish],Tasks[[#This Row],[_Row]]+1):INDEX(Tasks[_LeafCalcFinish],Tasks[[#This Row],[_Row]]+Tasks[[#This Row],[_Descendants]])),Tasks[[#This Row],[_LeafCalcFinish]]))</f>
        <v/>
      </c>
      <c r="CK15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5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55"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55"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55"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55"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55" s="41" t="n">
        <f aca="false">IF(AND(Tasks[[#This Row],[_IsLeaf]]=1,Tasks[[#This Row],[_LeafWork]]&gt;0),NETWORKDAYS.INTL(ProjectStart,Tasks[[#This Row],[_LeafFcstStart]],WorkWeek,Holidays),0)</f>
        <v>0</v>
      </c>
      <c r="CR155" s="41" t="n">
        <f aca="false">IF(AND(Tasks[[#This Row],[_IsLeaf]]=1,Tasks[[#This Row],[_LeafWork]]&gt;0),MAX(Tasks[[#This Row],[_StartWorkday]],NETWORKDAYS.INTL(ProjectStart,Tasks[[#This Row],[_LeafFcstFinish]],WorkWeek,Holidays)),0)</f>
        <v>0</v>
      </c>
      <c r="CS155" s="41" t="n">
        <f aca="false">IF(AND(Tasks[[#This Row],[_IsLeaf]]=1,Tasks[[#This Row],[_LeafWork]]&gt;0),Tasks[[#This Row],[_LeafWork]]/(Tasks[[#This Row],[_FinishWorkday]]-Tasks[[#This Row],[_StartWorkday]]+1),0)</f>
        <v>0</v>
      </c>
      <c r="CT155" s="41" t="n">
        <f aca="false">Tasks[[#This Row],[_WorkPerWorkday]]*(Tasks[[#This Row],[_StartWorkday]]-1)</f>
        <v>-0</v>
      </c>
      <c r="CU155" s="41" t="n">
        <f aca="false">IF(Tasks[[#This Row],[_IsLeaf]]=1,MAX(N(Tasks[[#This Row],[Duration]]),0.1),0)</f>
        <v>0</v>
      </c>
      <c r="CV155" s="41" t="n">
        <f aca="false">Tasks[[#This Row],[_WeightDur]]*Tasks[[#This Row],[_LeafProgress]]</f>
        <v>0</v>
      </c>
      <c r="CW15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5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5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5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55" s="41" t="str">
        <f aca="false">IF(Tasks[[#This Row],[Task Name]]="","",Tasks[[#This Row],[_Pred1UIDText]]&amp;IF(AND(Tasks[[#This Row],[_Pred1UIDText]]&lt;&gt;"",Tasks[[#This Row],[_Pred2UIDText]]&lt;&gt;""),",","")&amp;Tasks[[#This Row],[_Pred2UIDText]])</f>
        <v/>
      </c>
      <c r="DB155" s="41" t="str">
        <f aca="false">IF(AND(Tasks[[#This Row],[_IsLeaf]]=1,N(Tasks[[#This Row],[Duration]])=0,Tasks[[#This Row],[_LeafProgress]]&lt;1),Tasks[[#This Row],[_LeafFcstFinish]]+Tasks[[#This Row],[_Row]]/100000,"")</f>
        <v/>
      </c>
      <c r="DC15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55" s="41" t="n">
        <f aca="false">IF(NOT(Tasks[[#This Row],[_IsLeaf]]=1),0,IF(Tasks[[#This Row],[Baseline Cost]]="",Tasks[[#This Row],[_LeafCost]],N(Tasks[[#This Row],[Baseline Cost]])))</f>
        <v>0</v>
      </c>
      <c r="DE155" s="41" t="n">
        <f aca="false">Tasks[[#This Row],[_LeafBudget]]*Tasks[[#This Row],[_PlannedPct]]</f>
        <v>0</v>
      </c>
      <c r="DF155" s="41" t="n">
        <f aca="false">Tasks[[#This Row],[_LeafBudget]]*Tasks[[#This Row],[_LeafProgress]]</f>
        <v>0</v>
      </c>
      <c r="DG155" s="41" t="n">
        <f aca="false">IF(NOT(Tasks[[#This Row],[_IsLeaf]]=1),0,IF(Tasks[[#This Row],[Actual Cost]]="",Tasks[[#This Row],[_LeafCost]]*Tasks[[#This Row],[_LeafProgress]],N(Tasks[[#This Row],[Actual Cost]])))</f>
        <v>0</v>
      </c>
      <c r="DH155" s="41" t="str">
        <f aca="false">IF(Tasks[[#This Row],[Task Name]]="","",LEFT(Tasks[[#This Row],[WBS]],FIND(".",Tasks[[#This Row],[WBS]]&amp;".")-1))</f>
        <v/>
      </c>
      <c r="DI155" s="41" t="str">
        <f aca="false">IF(AND(Tasks[[#This Row],[Task Name]]&lt;&gt;"",Tasks[[#This Row],[_Level]]=1),Tasks[[#This Row],[_Row]],"")</f>
        <v/>
      </c>
      <c r="DJ155" s="41" t="str">
        <f aca="false">IF(AND(Tasks[[#This Row],[_IsLeaf]]=1,N(Tasks[[#This Row],[Duration]])=0),Tasks[[#This Row],[Planned Finish]]+Tasks[[#This Row],[_Row]]/100000,"")</f>
        <v/>
      </c>
      <c r="DK155" s="41" t="str">
        <f aca="false">IF(AND(Tasks[[#This Row],[_IsLeaf]]=1,Tasks[[#This Row],[_LeafProgress]]&lt;1,OR(N(Tasks[[#This Row],[Finish Var]])&gt;0,Tasks[[#This Row],[Status]]="Late Start")),MAX(0,Tasks[[#This Row],[Finish Var]])+1-Tasks[[#This Row],[_Row]]/1000000,"")</f>
        <v/>
      </c>
      <c r="DL155" s="41" t="str">
        <f aca="false">IF(AND(Tasks[[#This Row],[_IsLeaf]]=1,N(Tasks[[#This Row],[Actual Start]])=0,Tasks[[#This Row],[_LeafFcstStart]]&gt;=StatusDate,Tasks[[#This Row],[_LeafFcstStart]]&lt;=LookaheadEnd),Tasks[[#This Row],[_LeafFcstStart]]+Tasks[[#This Row],[_Row]]/100000,"")</f>
        <v/>
      </c>
      <c r="DM155" s="41" t="str">
        <f aca="false">IF(AND(Tasks[[#This Row],[_IsLeaf]]=1,Tasks[[#This Row],[_LeafProgress]]&lt;1,Tasks[[#This Row],[_LeafFcstFinish]]&gt;=StatusDate,Tasks[[#This Row],[_LeafFcstFinish]]&lt;=LookaheadEnd),Tasks[[#This Row],[_LeafFcstFinish]]+Tasks[[#This Row],[_Row]]/100000,"")</f>
        <v/>
      </c>
      <c r="DN155" s="41" t="str">
        <f aca="false">IF(Tasks[[#This Row],[_LeafCritical]],Tasks[[#This Row],[_LeafFcstStart]]+Tasks[[#This Row],[_Row]]/100000,"")</f>
        <v/>
      </c>
      <c r="DO155" s="41" t="n">
        <f aca="false">Tasks[[#This Row],[_LeafWork]]*Tasks[[#This Row],[_LeafProgress]]</f>
        <v>0</v>
      </c>
      <c r="DP155" s="100" t="str">
        <f aca="false">IF(AND(Tasks[[#This Row],[_IsLeaf]]=1,Tasks[[#This Row],[_LeafProgress]]&gt;=1),IF(N(Tasks[[#This Row],[Actual Finish]])&gt;0,Tasks[[#This Row],[Actual Finish]],Tasks[[#This Row],[_LeafFcstFinish]]),"")</f>
        <v/>
      </c>
      <c r="DQ155" s="41" t="n">
        <f aca="false">IF(Tasks[[#This Row],[_IsLeaf]]=1,N(Tasks[[#This Row],[Story Points]]),0)</f>
        <v>0</v>
      </c>
      <c r="DR155" s="41" t="str">
        <f aca="false">IF(AND(Tasks[[#This Row],[_IsLeaf]]=1,CurrentSprint&lt;&gt;"",Tasks[[#This Row],[Sprint]]=CurrentSprint),Tasks[[#This Row],[_Row]],"")</f>
        <v/>
      </c>
    </row>
    <row r="156" customFormat="false" ht="15" hidden="false" customHeight="false" outlineLevel="0" collapsed="false">
      <c r="A156" s="28" t="str">
        <f aca="false">IF(Tasks[[#This Row],[Task Name]]="","",COUNTA(Tasks[[#Headers],[Task Name]]:Tasks[[#This Row],[Task Name]])-1)</f>
        <v/>
      </c>
      <c r="B156" s="29" t="n">
        <v>151</v>
      </c>
      <c r="C15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6" s="29"/>
      <c r="E156" s="30"/>
      <c r="F156" s="29"/>
      <c r="G156" s="29"/>
      <c r="H156" s="29"/>
      <c r="I156" s="29"/>
      <c r="J156" s="29"/>
      <c r="K156" s="29"/>
      <c r="L156" s="29"/>
      <c r="M156" s="29"/>
      <c r="N156" s="73"/>
      <c r="O156" s="73"/>
      <c r="P156" s="25" t="str">
        <f aca="false">IF(Tasks[[#This Row],[Task Name]]="","",IF(N(Tasks[[#This Row],[Baseline Start]])&gt;0,Tasks[[#This Row],[Baseline Start]],Tasks[[#This Row],[_CalcStart]]))</f>
        <v/>
      </c>
      <c r="Q156" s="25" t="str">
        <f aca="false">IF(Tasks[[#This Row],[Task Name]]="","",IF(N(Tasks[[#This Row],[Baseline Finish]])&gt;0,Tasks[[#This Row],[Baseline Finish]],Tasks[[#This Row],[_CalcFinish]]))</f>
        <v/>
      </c>
      <c r="R156" s="73"/>
      <c r="S156" s="73"/>
      <c r="T156" s="25" t="str">
        <f aca="false">IF(Tasks[[#This Row],[Task Name]]="","",IF(Tasks[[#This Row],[_IsSummary]],MIN(INDEX(Tasks[_LeafFcstStart],Tasks[[#This Row],[_Row]]+1):INDEX(Tasks[_LeafFcstStart],Tasks[[#This Row],[_Row]]+Tasks[[#This Row],[_Descendants]])),Tasks[[#This Row],[_LeafFcstStart]]))</f>
        <v/>
      </c>
      <c r="U156" s="25" t="str">
        <f aca="false">IF(Tasks[[#This Row],[Task Name]]="","",IF(Tasks[[#This Row],[_IsSummary]],MAX(INDEX(Tasks[_LeafFcstFinish],Tasks[[#This Row],[_Row]]+1):INDEX(Tasks[_LeafFcstFinish],Tasks[[#This Row],[_Row]]+Tasks[[#This Row],[_Descendants]])),Tasks[[#This Row],[_LeafFcstFinish]]))</f>
        <v/>
      </c>
      <c r="V15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5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6" s="25" t="str">
        <f aca="false">IF(Tasks[[#This Row],[Task Name]]="","",IF(Tasks[[#This Row],[_IsSummary]],MIN(INDEX(Tasks[_LeafLateStart],Tasks[[#This Row],[_Row]]+1):INDEX(Tasks[_LeafLateStart],Tasks[[#This Row],[_Row]]+Tasks[[#This Row],[_Descendants]])),Tasks[[#This Row],[_LeafLateStart]]))</f>
        <v/>
      </c>
      <c r="Y156" s="25" t="str">
        <f aca="false">IF(Tasks[[#This Row],[Task Name]]="","",IF(Tasks[[#This Row],[_IsSummary]],MAX(INDEX(Tasks[_LeafLateFinish],Tasks[[#This Row],[_Row]]+1):INDEX(Tasks[_LeafLateFinish],Tasks[[#This Row],[_Row]]+Tasks[[#This Row],[_Descendants]])),Tasks[[#This Row],[_LeafLateFinish]]))</f>
        <v/>
      </c>
      <c r="Z156" s="43" t="str">
        <f aca="false">IF(Tasks[[#This Row],[Task Name]]="","",IF(Tasks[[#This Row],[_IsSummary]],MIN(INDEX(Tasks[_LeafTotalSlack],Tasks[[#This Row],[_Row]]+1):INDEX(Tasks[_LeafTotalSlack],Tasks[[#This Row],[_Row]]+Tasks[[#This Row],[_Descendants]])),Tasks[[#This Row],[_LeafTotalSlack]]))</f>
        <v/>
      </c>
      <c r="AA15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6" s="28" t="str">
        <f aca="false">IF(Tasks[[#This Row],[Task Name]]="","",IF(IF(Tasks[[#This Row],[_IsSummary]],COUNTIF(INDEX(Tasks[_LeafCritical],Tasks[[#This Row],[_Row]]+1):INDEX(Tasks[_LeafCritical],Tasks[[#This Row],[_Row]]+Tasks[[#This Row],[_Descendants]]),TRUE())&gt;0,Tasks[[#This Row],[_LeafCritical]]),"Yes",""))</f>
        <v/>
      </c>
      <c r="AC15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6" s="24" t="str">
        <f aca="false">IF(Tasks[[#This Row],[Task Name]]="","",TRIM(IF(Tasks[[#This Row],[_Pred1Problem]]&lt;&gt;"","Pred 1: "&amp;Tasks[[#This Row],[_Pred1Problem]]&amp;". ","")&amp;IF(Tasks[[#This Row],[_Pred2Problem]]&lt;&gt;"","Pred 2: "&amp;Tasks[[#This Row],[_Pred2Problem]]&amp;".","")))</f>
        <v/>
      </c>
      <c r="AE156" s="88"/>
      <c r="AF156"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6" s="28" t="str">
        <f aca="false">IF(Tasks[[#This Row],[Task Name]]="","",IF(Tasks[[#This Row],[Progress]]&gt;=1,"Complete",IF(OR(N(Tasks[[#This Row],[Actual Start]])&gt;0,Tasks[[#This Row],[Progress]]&gt;0),IF(Tasks[[#This Row],[Finish Var]]&gt;0,"Behind","In Progress"),IF(Tasks[[#This Row],[Planned Start]]&lt;StatusDate,"Late Start","Not Started"))))</f>
        <v/>
      </c>
      <c r="AH156" s="30"/>
      <c r="AI156" s="88"/>
      <c r="AJ156" s="95" t="str">
        <f aca="false">IF(Tasks[[#This Row],[Task Name]]="","",IF(Tasks[[#This Row],[_IsSummary]],SUM(INDEX(Tasks[_LeafWork],Tasks[[#This Row],[_Row]]+1):INDEX(Tasks[_LeafWork],Tasks[[#This Row],[_Row]]+Tasks[[#This Row],[_Descendants]])),Tasks[[#This Row],[_LeafWork]]))</f>
        <v/>
      </c>
      <c r="AK156" s="96" t="str">
        <f aca="false">IF(Tasks[[#This Row],[Task Name]]="","",IF(Tasks[[#This Row],[_IsSummary]],SUM(INDEX(Tasks[_LeafCost],Tasks[[#This Row],[_Row]]+1):INDEX(Tasks[_LeafCost],Tasks[[#This Row],[_Row]]+Tasks[[#This Row],[_Descendants]])),Tasks[[#This Row],[_LeafCost]]))</f>
        <v/>
      </c>
      <c r="AL156" s="97"/>
      <c r="AM156" s="29"/>
      <c r="AN15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56" s="82"/>
      <c r="AP156" s="24" t="str">
        <f aca="false">IF(Tasks[[#This Row],[Task Name]]="","",Tasks[[#This Row],[_Pred1IDText]]&amp;IF(AND(Tasks[[#This Row],[_Pred1IDText]]&lt;&gt;"",Tasks[[#This Row],[_Pred2IDText]]&lt;&gt;""),",","")&amp;Tasks[[#This Row],[_Pred2IDText]])</f>
        <v/>
      </c>
      <c r="AQ156" s="30"/>
      <c r="AR156" s="25" t="str">
        <f aca="false">IF(Tasks[[#This Row],[Task Name]]="","",Tasks[[#This Row],[Forecast Start]])</f>
        <v/>
      </c>
      <c r="AS156" s="25" t="str">
        <f aca="false">IF(Tasks[[#This Row],[Task Name]]="","",Tasks[[#This Row],[Forecast Finish]])</f>
        <v/>
      </c>
      <c r="AT156" s="28" t="str">
        <f aca="false">IF(Tasks[[#This Row],[Task Name]]="","",IF(Tasks[[#This Row],[_IsSummary]],NETWORKDAYS.INTL(Tasks[[#This Row],[Forecast Start]],Tasks[[#This Row],[Forecast Finish]],WorkWeek,Holidays),N(Tasks[[#This Row],[Duration]])))</f>
        <v/>
      </c>
      <c r="AU156" s="95" t="str">
        <f aca="false">IF(Tasks[[#This Row],[Task Name]]="","",Tasks[[#This Row],[Work]])</f>
        <v/>
      </c>
      <c r="AV156" s="96" t="str">
        <f aca="false">IF(Tasks[[#This Row],[Task Name]]="","",Tasks[[#This Row],[Cost]])</f>
        <v/>
      </c>
      <c r="AW156" s="73"/>
      <c r="AX156" s="73"/>
      <c r="AY156" s="29"/>
      <c r="AZ156" s="98"/>
      <c r="BA156" s="97"/>
      <c r="BB156" s="28" t="str">
        <f aca="false">IF(OR(Tasks[[#This Row],[Task Name]]="",Tasks[[#This Row],[Baseline Duration]]=""),"",Tasks[[#This Row],[BL Source Duration]]-N(Tasks[[#This Row],[Baseline Duration]]))</f>
        <v/>
      </c>
      <c r="BC156" s="95" t="str">
        <f aca="false">IF(OR(Tasks[[#This Row],[Task Name]]="",Tasks[[#This Row],[Baseline Work]]=""),"",Tasks[[#This Row],[Work]]-N(Tasks[[#This Row],[Baseline Work]]))</f>
        <v/>
      </c>
      <c r="BD156" s="96" t="str">
        <f aca="false">IF(OR(Tasks[[#This Row],[Task Name]]="",Tasks[[#This Row],[Baseline Cost]]=""),"",Tasks[[#This Row],[Cost]]-N(Tasks[[#This Row],[Baseline Cost]]))</f>
        <v/>
      </c>
      <c r="BE156" s="96" t="str">
        <f aca="false">IF(Tasks[[#This Row],[Task Name]]="","",IF(Tasks[[#This Row],[_IsSummary]],SUM(INDEX(Tasks[_LeafBudget],Tasks[[#This Row],[_Row]]+1):INDEX(Tasks[_LeafBudget],Tasks[[#This Row],[_Row]]+Tasks[[#This Row],[_Descendants]])),Tasks[[#This Row],[_LeafBudget]]))</f>
        <v/>
      </c>
      <c r="BF156" s="96" t="str">
        <f aca="false">IF(Tasks[[#This Row],[Task Name]]="","",IF(Tasks[[#This Row],[_IsSummary]],SUM(INDEX(Tasks[_LeafPV],Tasks[[#This Row],[_Row]]+1):INDEX(Tasks[_LeafPV],Tasks[[#This Row],[_Row]]+Tasks[[#This Row],[_Descendants]])),Tasks[[#This Row],[_LeafPV]]))</f>
        <v/>
      </c>
      <c r="BG156" s="96" t="str">
        <f aca="false">IF(Tasks[[#This Row],[Task Name]]="","",IF(Tasks[[#This Row],[_IsSummary]],SUM(INDEX(Tasks[_LeafEV],Tasks[[#This Row],[_Row]]+1):INDEX(Tasks[_LeafEV],Tasks[[#This Row],[_Row]]+Tasks[[#This Row],[_Descendants]])),Tasks[[#This Row],[_LeafEV]]))</f>
        <v/>
      </c>
      <c r="BH156" s="96" t="str">
        <f aca="false">IF(Tasks[[#This Row],[Task Name]]="","",IF(Tasks[[#This Row],[_IsSummary]],SUM(INDEX(Tasks[_LeafAC],Tasks[[#This Row],[_Row]]+1):INDEX(Tasks[_LeafAC],Tasks[[#This Row],[_Row]]+Tasks[[#This Row],[_Descendants]])),Tasks[[#This Row],[_LeafAC]]))</f>
        <v/>
      </c>
      <c r="BI156" s="41" t="str">
        <f aca="false">IF(Tasks[[#This Row],[Task Name]]="","",MAX(1,N(Tasks[[#This Row],[Level]])))</f>
        <v/>
      </c>
      <c r="BJ156" s="41" t="n">
        <f aca="false">ROW()-ROW(Tasks[[#Headers],[ID]])</f>
        <v>151</v>
      </c>
      <c r="BK156" s="41" t="n">
        <f aca="false">IF(OR(Tasks[[#This Row],[Task Name]]="",Tasks[[#This Row],[_Level]]&lt;=1),0,IFERROR(LOOKUP(2,1/(Tasks[[#Headers],[_Level]]:Tasks[[#This Row],[_Level]]=Tasks[[#This Row],[_Level]]-1),ROW(Tasks[[#Headers],[_Level]]:Tasks[[#This Row],[_Level]])),0))</f>
        <v>0</v>
      </c>
      <c r="BL156" s="41" t="n">
        <f aca="false">IFERROR(N(INDEX(Tasks[_Level],Tasks[[#This Row],[_Row]]+1)),0)</f>
        <v>0</v>
      </c>
      <c r="BM156" s="99" t="b">
        <f aca="false">AND(Tasks[[#This Row],[Task Name]]&lt;&gt;"",Tasks[[#This Row],[_NextLevel]]&gt;Tasks[[#This Row],[_Level]])</f>
        <v>0</v>
      </c>
      <c r="BN156" s="41" t="n">
        <f aca="false">IF(Tasks[[#This Row],[_IsSummary]],COUNTIF(Tasks[WBS],Tasks[[#This Row],[WBS]]&amp;".*"),0)</f>
        <v>0</v>
      </c>
      <c r="BO156" s="41" t="n">
        <f aca="false">IF(AND(Tasks[[#This Row],[Task Name]]&lt;&gt;"",NOT(Tasks[[#This Row],[_IsSummary]])),1,0)</f>
        <v>0</v>
      </c>
      <c r="BP156" s="41" t="n">
        <f aca="false">IF(N(Tasks[[#This Row],[Pred1 UID]])=0,0,IFERROR(MATCH(Tasks[[#This Row],[Pred1 UID]],Tasks[UID],0),-1))</f>
        <v>0</v>
      </c>
      <c r="BQ156" s="41" t="n">
        <f aca="false">IF(N(Tasks[[#This Row],[Pred2 UID]])=0,0,IFERROR(MATCH(Tasks[[#This Row],[Pred2 UID]],Tasks[UID],0),-1))</f>
        <v>0</v>
      </c>
      <c r="BR156"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56" s="100" t="str">
        <f aca="false">IF(NOT(Tasks[[#This Row],[_IsLeaf]]=1),"",IF(N(Tasks[[#This Row],[Duration]])&lt;=0,Tasks[[#This Row],[_LeafCalcStart]],WORKDAY.INTL(Tasks[[#This Row],[_LeafCalcStart]],Tasks[[#This Row],[Duration]]-1,WorkWeek,Holidays)))</f>
        <v/>
      </c>
      <c r="BT156"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56"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56" s="41" t="n">
        <f aca="false">IF(NOT(Tasks[[#This Row],[_IsLeaf]]=1),0,IF(N(Tasks[[#This Row],[Actual Finish]])&gt;0,1,MIN(1,N(Tasks[[#This Row],[% Complete]]))))</f>
        <v>0</v>
      </c>
      <c r="BW156" s="41" t="n">
        <f aca="false">IF(OR(NOT(Tasks[[#This Row],[_IsLeaf]]=1),Tasks[[#This Row],[Resource]]=""),0,N(Tasks[[#This Row],[Duration]])*HoursPerDay*IF(Tasks[[#This Row],[Units]]="",DefaultUnits,Tasks[[#This Row],[Units]]))</f>
        <v>0</v>
      </c>
      <c r="BX156" s="41" t="n">
        <f aca="false">IF(Tasks[[#This Row],[_LeafWork]]=0,0,Tasks[[#This Row],[_LeafWork]]*IFERROR(INDEX(res_Rate,MATCH(Tasks[[#This Row],[Resource]],res_Name,0)),0))</f>
        <v>0</v>
      </c>
      <c r="BY15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5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5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5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56" s="41" t="n">
        <f aca="false">IF(NOT(Tasks[[#This Row],[_IsLeaf]]=1),0,MAX(_xlfn.MAXIFS(Tasks[_Row],Tasks[Pred1 UID],Tasks[[#This Row],[UID]]),_xlfn.MAXIFS(Tasks[_Row],Tasks[Pred2 UID],Tasks[[#This Row],[UID]])))</f>
        <v>0</v>
      </c>
      <c r="CD156"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56" s="100" t="str">
        <f aca="false">IF(NOT(Tasks[[#This Row],[_IsLeaf]]=1),"",MIN(ProjectFinish,IF(N(Tasks[[#This Row],[Deadline]])&gt;0,Tasks[[#This Row],[Deadline]],2958465),Tasks[[#This Row],[_SuccessorFinishLimit]]))</f>
        <v/>
      </c>
      <c r="CF156" s="100" t="str">
        <f aca="false">IF(NOT(Tasks[[#This Row],[_IsLeaf]]=1),"",IF(N(Tasks[[#This Row],[Duration]])&lt;=0,Tasks[[#This Row],[_LeafLateFinish]],WORKDAY.INTL(Tasks[[#This Row],[_LeafLateFinish]],-(Tasks[[#This Row],[Duration]]-1),WorkWeek,Holidays)))</f>
        <v/>
      </c>
      <c r="CG15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56" s="99" t="b">
        <f aca="false">AND(Tasks[[#This Row],[_IsLeaf]]=1,Tasks[[#This Row],[_LeafProgress]]&lt;1,N(Tasks[[#This Row],[_LeafTotalSlack]])&lt;=CriticalSlackDays)</f>
        <v>0</v>
      </c>
      <c r="CI156" s="100" t="str">
        <f aca="false">IF(Tasks[[#This Row],[Task Name]]="","",IF(Tasks[[#This Row],[_IsSummary]],MIN(INDEX(Tasks[_LeafCalcStart],Tasks[[#This Row],[_Row]]+1):INDEX(Tasks[_LeafCalcStart],Tasks[[#This Row],[_Row]]+Tasks[[#This Row],[_Descendants]])),Tasks[[#This Row],[_LeafCalcStart]]))</f>
        <v/>
      </c>
      <c r="CJ156" s="100" t="str">
        <f aca="false">IF(Tasks[[#This Row],[Task Name]]="","",IF(Tasks[[#This Row],[_IsSummary]],MAX(INDEX(Tasks[_LeafCalcFinish],Tasks[[#This Row],[_Row]]+1):INDEX(Tasks[_LeafCalcFinish],Tasks[[#This Row],[_Row]]+Tasks[[#This Row],[_Descendants]])),Tasks[[#This Row],[_LeafCalcFinish]]))</f>
        <v/>
      </c>
      <c r="CK15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5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56"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56"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56"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56"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56" s="41" t="n">
        <f aca="false">IF(AND(Tasks[[#This Row],[_IsLeaf]]=1,Tasks[[#This Row],[_LeafWork]]&gt;0),NETWORKDAYS.INTL(ProjectStart,Tasks[[#This Row],[_LeafFcstStart]],WorkWeek,Holidays),0)</f>
        <v>0</v>
      </c>
      <c r="CR156" s="41" t="n">
        <f aca="false">IF(AND(Tasks[[#This Row],[_IsLeaf]]=1,Tasks[[#This Row],[_LeafWork]]&gt;0),MAX(Tasks[[#This Row],[_StartWorkday]],NETWORKDAYS.INTL(ProjectStart,Tasks[[#This Row],[_LeafFcstFinish]],WorkWeek,Holidays)),0)</f>
        <v>0</v>
      </c>
      <c r="CS156" s="41" t="n">
        <f aca="false">IF(AND(Tasks[[#This Row],[_IsLeaf]]=1,Tasks[[#This Row],[_LeafWork]]&gt;0),Tasks[[#This Row],[_LeafWork]]/(Tasks[[#This Row],[_FinishWorkday]]-Tasks[[#This Row],[_StartWorkday]]+1),0)</f>
        <v>0</v>
      </c>
      <c r="CT156" s="41" t="n">
        <f aca="false">Tasks[[#This Row],[_WorkPerWorkday]]*(Tasks[[#This Row],[_StartWorkday]]-1)</f>
        <v>-0</v>
      </c>
      <c r="CU156" s="41" t="n">
        <f aca="false">IF(Tasks[[#This Row],[_IsLeaf]]=1,MAX(N(Tasks[[#This Row],[Duration]]),0.1),0)</f>
        <v>0</v>
      </c>
      <c r="CV156" s="41" t="n">
        <f aca="false">Tasks[[#This Row],[_WeightDur]]*Tasks[[#This Row],[_LeafProgress]]</f>
        <v>0</v>
      </c>
      <c r="CW15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5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5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5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56" s="41" t="str">
        <f aca="false">IF(Tasks[[#This Row],[Task Name]]="","",Tasks[[#This Row],[_Pred1UIDText]]&amp;IF(AND(Tasks[[#This Row],[_Pred1UIDText]]&lt;&gt;"",Tasks[[#This Row],[_Pred2UIDText]]&lt;&gt;""),",","")&amp;Tasks[[#This Row],[_Pred2UIDText]])</f>
        <v/>
      </c>
      <c r="DB156" s="41" t="str">
        <f aca="false">IF(AND(Tasks[[#This Row],[_IsLeaf]]=1,N(Tasks[[#This Row],[Duration]])=0,Tasks[[#This Row],[_LeafProgress]]&lt;1),Tasks[[#This Row],[_LeafFcstFinish]]+Tasks[[#This Row],[_Row]]/100000,"")</f>
        <v/>
      </c>
      <c r="DC15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56" s="41" t="n">
        <f aca="false">IF(NOT(Tasks[[#This Row],[_IsLeaf]]=1),0,IF(Tasks[[#This Row],[Baseline Cost]]="",Tasks[[#This Row],[_LeafCost]],N(Tasks[[#This Row],[Baseline Cost]])))</f>
        <v>0</v>
      </c>
      <c r="DE156" s="41" t="n">
        <f aca="false">Tasks[[#This Row],[_LeafBudget]]*Tasks[[#This Row],[_PlannedPct]]</f>
        <v>0</v>
      </c>
      <c r="DF156" s="41" t="n">
        <f aca="false">Tasks[[#This Row],[_LeafBudget]]*Tasks[[#This Row],[_LeafProgress]]</f>
        <v>0</v>
      </c>
      <c r="DG156" s="41" t="n">
        <f aca="false">IF(NOT(Tasks[[#This Row],[_IsLeaf]]=1),0,IF(Tasks[[#This Row],[Actual Cost]]="",Tasks[[#This Row],[_LeafCost]]*Tasks[[#This Row],[_LeafProgress]],N(Tasks[[#This Row],[Actual Cost]])))</f>
        <v>0</v>
      </c>
      <c r="DH156" s="41" t="str">
        <f aca="false">IF(Tasks[[#This Row],[Task Name]]="","",LEFT(Tasks[[#This Row],[WBS]],FIND(".",Tasks[[#This Row],[WBS]]&amp;".")-1))</f>
        <v/>
      </c>
      <c r="DI156" s="41" t="str">
        <f aca="false">IF(AND(Tasks[[#This Row],[Task Name]]&lt;&gt;"",Tasks[[#This Row],[_Level]]=1),Tasks[[#This Row],[_Row]],"")</f>
        <v/>
      </c>
      <c r="DJ156" s="41" t="str">
        <f aca="false">IF(AND(Tasks[[#This Row],[_IsLeaf]]=1,N(Tasks[[#This Row],[Duration]])=0),Tasks[[#This Row],[Planned Finish]]+Tasks[[#This Row],[_Row]]/100000,"")</f>
        <v/>
      </c>
      <c r="DK156" s="41" t="str">
        <f aca="false">IF(AND(Tasks[[#This Row],[_IsLeaf]]=1,Tasks[[#This Row],[_LeafProgress]]&lt;1,OR(N(Tasks[[#This Row],[Finish Var]])&gt;0,Tasks[[#This Row],[Status]]="Late Start")),MAX(0,Tasks[[#This Row],[Finish Var]])+1-Tasks[[#This Row],[_Row]]/1000000,"")</f>
        <v/>
      </c>
      <c r="DL156" s="41" t="str">
        <f aca="false">IF(AND(Tasks[[#This Row],[_IsLeaf]]=1,N(Tasks[[#This Row],[Actual Start]])=0,Tasks[[#This Row],[_LeafFcstStart]]&gt;=StatusDate,Tasks[[#This Row],[_LeafFcstStart]]&lt;=LookaheadEnd),Tasks[[#This Row],[_LeafFcstStart]]+Tasks[[#This Row],[_Row]]/100000,"")</f>
        <v/>
      </c>
      <c r="DM156" s="41" t="str">
        <f aca="false">IF(AND(Tasks[[#This Row],[_IsLeaf]]=1,Tasks[[#This Row],[_LeafProgress]]&lt;1,Tasks[[#This Row],[_LeafFcstFinish]]&gt;=StatusDate,Tasks[[#This Row],[_LeafFcstFinish]]&lt;=LookaheadEnd),Tasks[[#This Row],[_LeafFcstFinish]]+Tasks[[#This Row],[_Row]]/100000,"")</f>
        <v/>
      </c>
      <c r="DN156" s="41" t="str">
        <f aca="false">IF(Tasks[[#This Row],[_LeafCritical]],Tasks[[#This Row],[_LeafFcstStart]]+Tasks[[#This Row],[_Row]]/100000,"")</f>
        <v/>
      </c>
      <c r="DO156" s="41" t="n">
        <f aca="false">Tasks[[#This Row],[_LeafWork]]*Tasks[[#This Row],[_LeafProgress]]</f>
        <v>0</v>
      </c>
      <c r="DP156" s="100" t="str">
        <f aca="false">IF(AND(Tasks[[#This Row],[_IsLeaf]]=1,Tasks[[#This Row],[_LeafProgress]]&gt;=1),IF(N(Tasks[[#This Row],[Actual Finish]])&gt;0,Tasks[[#This Row],[Actual Finish]],Tasks[[#This Row],[_LeafFcstFinish]]),"")</f>
        <v/>
      </c>
      <c r="DQ156" s="41" t="n">
        <f aca="false">IF(Tasks[[#This Row],[_IsLeaf]]=1,N(Tasks[[#This Row],[Story Points]]),0)</f>
        <v>0</v>
      </c>
      <c r="DR156" s="41" t="str">
        <f aca="false">IF(AND(Tasks[[#This Row],[_IsLeaf]]=1,CurrentSprint&lt;&gt;"",Tasks[[#This Row],[Sprint]]=CurrentSprint),Tasks[[#This Row],[_Row]],"")</f>
        <v/>
      </c>
    </row>
    <row r="157" customFormat="false" ht="15" hidden="false" customHeight="false" outlineLevel="0" collapsed="false">
      <c r="A157" s="28" t="str">
        <f aca="false">IF(Tasks[[#This Row],[Task Name]]="","",COUNTA(Tasks[[#Headers],[Task Name]]:Tasks[[#This Row],[Task Name]])-1)</f>
        <v/>
      </c>
      <c r="B157" s="29" t="n">
        <v>152</v>
      </c>
      <c r="C15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7" s="29"/>
      <c r="E157" s="30"/>
      <c r="F157" s="29"/>
      <c r="G157" s="29"/>
      <c r="H157" s="29"/>
      <c r="I157" s="29"/>
      <c r="J157" s="29"/>
      <c r="K157" s="29"/>
      <c r="L157" s="29"/>
      <c r="M157" s="29"/>
      <c r="N157" s="73"/>
      <c r="O157" s="73"/>
      <c r="P157" s="25" t="str">
        <f aca="false">IF(Tasks[[#This Row],[Task Name]]="","",IF(N(Tasks[[#This Row],[Baseline Start]])&gt;0,Tasks[[#This Row],[Baseline Start]],Tasks[[#This Row],[_CalcStart]]))</f>
        <v/>
      </c>
      <c r="Q157" s="25" t="str">
        <f aca="false">IF(Tasks[[#This Row],[Task Name]]="","",IF(N(Tasks[[#This Row],[Baseline Finish]])&gt;0,Tasks[[#This Row],[Baseline Finish]],Tasks[[#This Row],[_CalcFinish]]))</f>
        <v/>
      </c>
      <c r="R157" s="73"/>
      <c r="S157" s="73"/>
      <c r="T157" s="25" t="str">
        <f aca="false">IF(Tasks[[#This Row],[Task Name]]="","",IF(Tasks[[#This Row],[_IsSummary]],MIN(INDEX(Tasks[_LeafFcstStart],Tasks[[#This Row],[_Row]]+1):INDEX(Tasks[_LeafFcstStart],Tasks[[#This Row],[_Row]]+Tasks[[#This Row],[_Descendants]])),Tasks[[#This Row],[_LeafFcstStart]]))</f>
        <v/>
      </c>
      <c r="U157" s="25" t="str">
        <f aca="false">IF(Tasks[[#This Row],[Task Name]]="","",IF(Tasks[[#This Row],[_IsSummary]],MAX(INDEX(Tasks[_LeafFcstFinish],Tasks[[#This Row],[_Row]]+1):INDEX(Tasks[_LeafFcstFinish],Tasks[[#This Row],[_Row]]+Tasks[[#This Row],[_Descendants]])),Tasks[[#This Row],[_LeafFcstFinish]]))</f>
        <v/>
      </c>
      <c r="V15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5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7" s="25" t="str">
        <f aca="false">IF(Tasks[[#This Row],[Task Name]]="","",IF(Tasks[[#This Row],[_IsSummary]],MIN(INDEX(Tasks[_LeafLateStart],Tasks[[#This Row],[_Row]]+1):INDEX(Tasks[_LeafLateStart],Tasks[[#This Row],[_Row]]+Tasks[[#This Row],[_Descendants]])),Tasks[[#This Row],[_LeafLateStart]]))</f>
        <v/>
      </c>
      <c r="Y157" s="25" t="str">
        <f aca="false">IF(Tasks[[#This Row],[Task Name]]="","",IF(Tasks[[#This Row],[_IsSummary]],MAX(INDEX(Tasks[_LeafLateFinish],Tasks[[#This Row],[_Row]]+1):INDEX(Tasks[_LeafLateFinish],Tasks[[#This Row],[_Row]]+Tasks[[#This Row],[_Descendants]])),Tasks[[#This Row],[_LeafLateFinish]]))</f>
        <v/>
      </c>
      <c r="Z157" s="43" t="str">
        <f aca="false">IF(Tasks[[#This Row],[Task Name]]="","",IF(Tasks[[#This Row],[_IsSummary]],MIN(INDEX(Tasks[_LeafTotalSlack],Tasks[[#This Row],[_Row]]+1):INDEX(Tasks[_LeafTotalSlack],Tasks[[#This Row],[_Row]]+Tasks[[#This Row],[_Descendants]])),Tasks[[#This Row],[_LeafTotalSlack]]))</f>
        <v/>
      </c>
      <c r="AA15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7" s="28" t="str">
        <f aca="false">IF(Tasks[[#This Row],[Task Name]]="","",IF(IF(Tasks[[#This Row],[_IsSummary]],COUNTIF(INDEX(Tasks[_LeafCritical],Tasks[[#This Row],[_Row]]+1):INDEX(Tasks[_LeafCritical],Tasks[[#This Row],[_Row]]+Tasks[[#This Row],[_Descendants]]),TRUE())&gt;0,Tasks[[#This Row],[_LeafCritical]]),"Yes",""))</f>
        <v/>
      </c>
      <c r="AC15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7" s="24" t="str">
        <f aca="false">IF(Tasks[[#This Row],[Task Name]]="","",TRIM(IF(Tasks[[#This Row],[_Pred1Problem]]&lt;&gt;"","Pred 1: "&amp;Tasks[[#This Row],[_Pred1Problem]]&amp;". ","")&amp;IF(Tasks[[#This Row],[_Pred2Problem]]&lt;&gt;"","Pred 2: "&amp;Tasks[[#This Row],[_Pred2Problem]]&amp;".","")))</f>
        <v/>
      </c>
      <c r="AE157" s="88"/>
      <c r="AF157"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7" s="28" t="str">
        <f aca="false">IF(Tasks[[#This Row],[Task Name]]="","",IF(Tasks[[#This Row],[Progress]]&gt;=1,"Complete",IF(OR(N(Tasks[[#This Row],[Actual Start]])&gt;0,Tasks[[#This Row],[Progress]]&gt;0),IF(Tasks[[#This Row],[Finish Var]]&gt;0,"Behind","In Progress"),IF(Tasks[[#This Row],[Planned Start]]&lt;StatusDate,"Late Start","Not Started"))))</f>
        <v/>
      </c>
      <c r="AH157" s="30"/>
      <c r="AI157" s="88"/>
      <c r="AJ157" s="95" t="str">
        <f aca="false">IF(Tasks[[#This Row],[Task Name]]="","",IF(Tasks[[#This Row],[_IsSummary]],SUM(INDEX(Tasks[_LeafWork],Tasks[[#This Row],[_Row]]+1):INDEX(Tasks[_LeafWork],Tasks[[#This Row],[_Row]]+Tasks[[#This Row],[_Descendants]])),Tasks[[#This Row],[_LeafWork]]))</f>
        <v/>
      </c>
      <c r="AK157" s="96" t="str">
        <f aca="false">IF(Tasks[[#This Row],[Task Name]]="","",IF(Tasks[[#This Row],[_IsSummary]],SUM(INDEX(Tasks[_LeafCost],Tasks[[#This Row],[_Row]]+1):INDEX(Tasks[_LeafCost],Tasks[[#This Row],[_Row]]+Tasks[[#This Row],[_Descendants]])),Tasks[[#This Row],[_LeafCost]]))</f>
        <v/>
      </c>
      <c r="AL157" s="97"/>
      <c r="AM157" s="29"/>
      <c r="AN15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57" s="82"/>
      <c r="AP157" s="24" t="str">
        <f aca="false">IF(Tasks[[#This Row],[Task Name]]="","",Tasks[[#This Row],[_Pred1IDText]]&amp;IF(AND(Tasks[[#This Row],[_Pred1IDText]]&lt;&gt;"",Tasks[[#This Row],[_Pred2IDText]]&lt;&gt;""),",","")&amp;Tasks[[#This Row],[_Pred2IDText]])</f>
        <v/>
      </c>
      <c r="AQ157" s="30"/>
      <c r="AR157" s="25" t="str">
        <f aca="false">IF(Tasks[[#This Row],[Task Name]]="","",Tasks[[#This Row],[Forecast Start]])</f>
        <v/>
      </c>
      <c r="AS157" s="25" t="str">
        <f aca="false">IF(Tasks[[#This Row],[Task Name]]="","",Tasks[[#This Row],[Forecast Finish]])</f>
        <v/>
      </c>
      <c r="AT157" s="28" t="str">
        <f aca="false">IF(Tasks[[#This Row],[Task Name]]="","",IF(Tasks[[#This Row],[_IsSummary]],NETWORKDAYS.INTL(Tasks[[#This Row],[Forecast Start]],Tasks[[#This Row],[Forecast Finish]],WorkWeek,Holidays),N(Tasks[[#This Row],[Duration]])))</f>
        <v/>
      </c>
      <c r="AU157" s="95" t="str">
        <f aca="false">IF(Tasks[[#This Row],[Task Name]]="","",Tasks[[#This Row],[Work]])</f>
        <v/>
      </c>
      <c r="AV157" s="96" t="str">
        <f aca="false">IF(Tasks[[#This Row],[Task Name]]="","",Tasks[[#This Row],[Cost]])</f>
        <v/>
      </c>
      <c r="AW157" s="73"/>
      <c r="AX157" s="73"/>
      <c r="AY157" s="29"/>
      <c r="AZ157" s="98"/>
      <c r="BA157" s="97"/>
      <c r="BB157" s="28" t="str">
        <f aca="false">IF(OR(Tasks[[#This Row],[Task Name]]="",Tasks[[#This Row],[Baseline Duration]]=""),"",Tasks[[#This Row],[BL Source Duration]]-N(Tasks[[#This Row],[Baseline Duration]]))</f>
        <v/>
      </c>
      <c r="BC157" s="95" t="str">
        <f aca="false">IF(OR(Tasks[[#This Row],[Task Name]]="",Tasks[[#This Row],[Baseline Work]]=""),"",Tasks[[#This Row],[Work]]-N(Tasks[[#This Row],[Baseline Work]]))</f>
        <v/>
      </c>
      <c r="BD157" s="96" t="str">
        <f aca="false">IF(OR(Tasks[[#This Row],[Task Name]]="",Tasks[[#This Row],[Baseline Cost]]=""),"",Tasks[[#This Row],[Cost]]-N(Tasks[[#This Row],[Baseline Cost]]))</f>
        <v/>
      </c>
      <c r="BE157" s="96" t="str">
        <f aca="false">IF(Tasks[[#This Row],[Task Name]]="","",IF(Tasks[[#This Row],[_IsSummary]],SUM(INDEX(Tasks[_LeafBudget],Tasks[[#This Row],[_Row]]+1):INDEX(Tasks[_LeafBudget],Tasks[[#This Row],[_Row]]+Tasks[[#This Row],[_Descendants]])),Tasks[[#This Row],[_LeafBudget]]))</f>
        <v/>
      </c>
      <c r="BF157" s="96" t="str">
        <f aca="false">IF(Tasks[[#This Row],[Task Name]]="","",IF(Tasks[[#This Row],[_IsSummary]],SUM(INDEX(Tasks[_LeafPV],Tasks[[#This Row],[_Row]]+1):INDEX(Tasks[_LeafPV],Tasks[[#This Row],[_Row]]+Tasks[[#This Row],[_Descendants]])),Tasks[[#This Row],[_LeafPV]]))</f>
        <v/>
      </c>
      <c r="BG157" s="96" t="str">
        <f aca="false">IF(Tasks[[#This Row],[Task Name]]="","",IF(Tasks[[#This Row],[_IsSummary]],SUM(INDEX(Tasks[_LeafEV],Tasks[[#This Row],[_Row]]+1):INDEX(Tasks[_LeafEV],Tasks[[#This Row],[_Row]]+Tasks[[#This Row],[_Descendants]])),Tasks[[#This Row],[_LeafEV]]))</f>
        <v/>
      </c>
      <c r="BH157" s="96" t="str">
        <f aca="false">IF(Tasks[[#This Row],[Task Name]]="","",IF(Tasks[[#This Row],[_IsSummary]],SUM(INDEX(Tasks[_LeafAC],Tasks[[#This Row],[_Row]]+1):INDEX(Tasks[_LeafAC],Tasks[[#This Row],[_Row]]+Tasks[[#This Row],[_Descendants]])),Tasks[[#This Row],[_LeafAC]]))</f>
        <v/>
      </c>
      <c r="BI157" s="41" t="str">
        <f aca="false">IF(Tasks[[#This Row],[Task Name]]="","",MAX(1,N(Tasks[[#This Row],[Level]])))</f>
        <v/>
      </c>
      <c r="BJ157" s="41" t="n">
        <f aca="false">ROW()-ROW(Tasks[[#Headers],[ID]])</f>
        <v>152</v>
      </c>
      <c r="BK157" s="41" t="n">
        <f aca="false">IF(OR(Tasks[[#This Row],[Task Name]]="",Tasks[[#This Row],[_Level]]&lt;=1),0,IFERROR(LOOKUP(2,1/(Tasks[[#Headers],[_Level]]:Tasks[[#This Row],[_Level]]=Tasks[[#This Row],[_Level]]-1),ROW(Tasks[[#Headers],[_Level]]:Tasks[[#This Row],[_Level]])),0))</f>
        <v>0</v>
      </c>
      <c r="BL157" s="41" t="n">
        <f aca="false">IFERROR(N(INDEX(Tasks[_Level],Tasks[[#This Row],[_Row]]+1)),0)</f>
        <v>0</v>
      </c>
      <c r="BM157" s="99" t="b">
        <f aca="false">AND(Tasks[[#This Row],[Task Name]]&lt;&gt;"",Tasks[[#This Row],[_NextLevel]]&gt;Tasks[[#This Row],[_Level]])</f>
        <v>0</v>
      </c>
      <c r="BN157" s="41" t="n">
        <f aca="false">IF(Tasks[[#This Row],[_IsSummary]],COUNTIF(Tasks[WBS],Tasks[[#This Row],[WBS]]&amp;".*"),0)</f>
        <v>0</v>
      </c>
      <c r="BO157" s="41" t="n">
        <f aca="false">IF(AND(Tasks[[#This Row],[Task Name]]&lt;&gt;"",NOT(Tasks[[#This Row],[_IsSummary]])),1,0)</f>
        <v>0</v>
      </c>
      <c r="BP157" s="41" t="n">
        <f aca="false">IF(N(Tasks[[#This Row],[Pred1 UID]])=0,0,IFERROR(MATCH(Tasks[[#This Row],[Pred1 UID]],Tasks[UID],0),-1))</f>
        <v>0</v>
      </c>
      <c r="BQ157" s="41" t="n">
        <f aca="false">IF(N(Tasks[[#This Row],[Pred2 UID]])=0,0,IFERROR(MATCH(Tasks[[#This Row],[Pred2 UID]],Tasks[UID],0),-1))</f>
        <v>0</v>
      </c>
      <c r="BR157"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57" s="100" t="str">
        <f aca="false">IF(NOT(Tasks[[#This Row],[_IsLeaf]]=1),"",IF(N(Tasks[[#This Row],[Duration]])&lt;=0,Tasks[[#This Row],[_LeafCalcStart]],WORKDAY.INTL(Tasks[[#This Row],[_LeafCalcStart]],Tasks[[#This Row],[Duration]]-1,WorkWeek,Holidays)))</f>
        <v/>
      </c>
      <c r="BT157"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57"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57" s="41" t="n">
        <f aca="false">IF(NOT(Tasks[[#This Row],[_IsLeaf]]=1),0,IF(N(Tasks[[#This Row],[Actual Finish]])&gt;0,1,MIN(1,N(Tasks[[#This Row],[% Complete]]))))</f>
        <v>0</v>
      </c>
      <c r="BW157" s="41" t="n">
        <f aca="false">IF(OR(NOT(Tasks[[#This Row],[_IsLeaf]]=1),Tasks[[#This Row],[Resource]]=""),0,N(Tasks[[#This Row],[Duration]])*HoursPerDay*IF(Tasks[[#This Row],[Units]]="",DefaultUnits,Tasks[[#This Row],[Units]]))</f>
        <v>0</v>
      </c>
      <c r="BX157" s="41" t="n">
        <f aca="false">IF(Tasks[[#This Row],[_LeafWork]]=0,0,Tasks[[#This Row],[_LeafWork]]*IFERROR(INDEX(res_Rate,MATCH(Tasks[[#This Row],[Resource]],res_Name,0)),0))</f>
        <v>0</v>
      </c>
      <c r="BY15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5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5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5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57" s="41" t="n">
        <f aca="false">IF(NOT(Tasks[[#This Row],[_IsLeaf]]=1),0,MAX(_xlfn.MAXIFS(Tasks[_Row],Tasks[Pred1 UID],Tasks[[#This Row],[UID]]),_xlfn.MAXIFS(Tasks[_Row],Tasks[Pred2 UID],Tasks[[#This Row],[UID]])))</f>
        <v>0</v>
      </c>
      <c r="CD157"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57" s="100" t="str">
        <f aca="false">IF(NOT(Tasks[[#This Row],[_IsLeaf]]=1),"",MIN(ProjectFinish,IF(N(Tasks[[#This Row],[Deadline]])&gt;0,Tasks[[#This Row],[Deadline]],2958465),Tasks[[#This Row],[_SuccessorFinishLimit]]))</f>
        <v/>
      </c>
      <c r="CF157" s="100" t="str">
        <f aca="false">IF(NOT(Tasks[[#This Row],[_IsLeaf]]=1),"",IF(N(Tasks[[#This Row],[Duration]])&lt;=0,Tasks[[#This Row],[_LeafLateFinish]],WORKDAY.INTL(Tasks[[#This Row],[_LeafLateFinish]],-(Tasks[[#This Row],[Duration]]-1),WorkWeek,Holidays)))</f>
        <v/>
      </c>
      <c r="CG15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57" s="99" t="b">
        <f aca="false">AND(Tasks[[#This Row],[_IsLeaf]]=1,Tasks[[#This Row],[_LeafProgress]]&lt;1,N(Tasks[[#This Row],[_LeafTotalSlack]])&lt;=CriticalSlackDays)</f>
        <v>0</v>
      </c>
      <c r="CI157" s="100" t="str">
        <f aca="false">IF(Tasks[[#This Row],[Task Name]]="","",IF(Tasks[[#This Row],[_IsSummary]],MIN(INDEX(Tasks[_LeafCalcStart],Tasks[[#This Row],[_Row]]+1):INDEX(Tasks[_LeafCalcStart],Tasks[[#This Row],[_Row]]+Tasks[[#This Row],[_Descendants]])),Tasks[[#This Row],[_LeafCalcStart]]))</f>
        <v/>
      </c>
      <c r="CJ157" s="100" t="str">
        <f aca="false">IF(Tasks[[#This Row],[Task Name]]="","",IF(Tasks[[#This Row],[_IsSummary]],MAX(INDEX(Tasks[_LeafCalcFinish],Tasks[[#This Row],[_Row]]+1):INDEX(Tasks[_LeafCalcFinish],Tasks[[#This Row],[_Row]]+Tasks[[#This Row],[_Descendants]])),Tasks[[#This Row],[_LeafCalcFinish]]))</f>
        <v/>
      </c>
      <c r="CK15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5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57"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57"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57"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57"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57" s="41" t="n">
        <f aca="false">IF(AND(Tasks[[#This Row],[_IsLeaf]]=1,Tasks[[#This Row],[_LeafWork]]&gt;0),NETWORKDAYS.INTL(ProjectStart,Tasks[[#This Row],[_LeafFcstStart]],WorkWeek,Holidays),0)</f>
        <v>0</v>
      </c>
      <c r="CR157" s="41" t="n">
        <f aca="false">IF(AND(Tasks[[#This Row],[_IsLeaf]]=1,Tasks[[#This Row],[_LeafWork]]&gt;0),MAX(Tasks[[#This Row],[_StartWorkday]],NETWORKDAYS.INTL(ProjectStart,Tasks[[#This Row],[_LeafFcstFinish]],WorkWeek,Holidays)),0)</f>
        <v>0</v>
      </c>
      <c r="CS157" s="41" t="n">
        <f aca="false">IF(AND(Tasks[[#This Row],[_IsLeaf]]=1,Tasks[[#This Row],[_LeafWork]]&gt;0),Tasks[[#This Row],[_LeafWork]]/(Tasks[[#This Row],[_FinishWorkday]]-Tasks[[#This Row],[_StartWorkday]]+1),0)</f>
        <v>0</v>
      </c>
      <c r="CT157" s="41" t="n">
        <f aca="false">Tasks[[#This Row],[_WorkPerWorkday]]*(Tasks[[#This Row],[_StartWorkday]]-1)</f>
        <v>-0</v>
      </c>
      <c r="CU157" s="41" t="n">
        <f aca="false">IF(Tasks[[#This Row],[_IsLeaf]]=1,MAX(N(Tasks[[#This Row],[Duration]]),0.1),0)</f>
        <v>0</v>
      </c>
      <c r="CV157" s="41" t="n">
        <f aca="false">Tasks[[#This Row],[_WeightDur]]*Tasks[[#This Row],[_LeafProgress]]</f>
        <v>0</v>
      </c>
      <c r="CW15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5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5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5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57" s="41" t="str">
        <f aca="false">IF(Tasks[[#This Row],[Task Name]]="","",Tasks[[#This Row],[_Pred1UIDText]]&amp;IF(AND(Tasks[[#This Row],[_Pred1UIDText]]&lt;&gt;"",Tasks[[#This Row],[_Pred2UIDText]]&lt;&gt;""),",","")&amp;Tasks[[#This Row],[_Pred2UIDText]])</f>
        <v/>
      </c>
      <c r="DB157" s="41" t="str">
        <f aca="false">IF(AND(Tasks[[#This Row],[_IsLeaf]]=1,N(Tasks[[#This Row],[Duration]])=0,Tasks[[#This Row],[_LeafProgress]]&lt;1),Tasks[[#This Row],[_LeafFcstFinish]]+Tasks[[#This Row],[_Row]]/100000,"")</f>
        <v/>
      </c>
      <c r="DC15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57" s="41" t="n">
        <f aca="false">IF(NOT(Tasks[[#This Row],[_IsLeaf]]=1),0,IF(Tasks[[#This Row],[Baseline Cost]]="",Tasks[[#This Row],[_LeafCost]],N(Tasks[[#This Row],[Baseline Cost]])))</f>
        <v>0</v>
      </c>
      <c r="DE157" s="41" t="n">
        <f aca="false">Tasks[[#This Row],[_LeafBudget]]*Tasks[[#This Row],[_PlannedPct]]</f>
        <v>0</v>
      </c>
      <c r="DF157" s="41" t="n">
        <f aca="false">Tasks[[#This Row],[_LeafBudget]]*Tasks[[#This Row],[_LeafProgress]]</f>
        <v>0</v>
      </c>
      <c r="DG157" s="41" t="n">
        <f aca="false">IF(NOT(Tasks[[#This Row],[_IsLeaf]]=1),0,IF(Tasks[[#This Row],[Actual Cost]]="",Tasks[[#This Row],[_LeafCost]]*Tasks[[#This Row],[_LeafProgress]],N(Tasks[[#This Row],[Actual Cost]])))</f>
        <v>0</v>
      </c>
      <c r="DH157" s="41" t="str">
        <f aca="false">IF(Tasks[[#This Row],[Task Name]]="","",LEFT(Tasks[[#This Row],[WBS]],FIND(".",Tasks[[#This Row],[WBS]]&amp;".")-1))</f>
        <v/>
      </c>
      <c r="DI157" s="41" t="str">
        <f aca="false">IF(AND(Tasks[[#This Row],[Task Name]]&lt;&gt;"",Tasks[[#This Row],[_Level]]=1),Tasks[[#This Row],[_Row]],"")</f>
        <v/>
      </c>
      <c r="DJ157" s="41" t="str">
        <f aca="false">IF(AND(Tasks[[#This Row],[_IsLeaf]]=1,N(Tasks[[#This Row],[Duration]])=0),Tasks[[#This Row],[Planned Finish]]+Tasks[[#This Row],[_Row]]/100000,"")</f>
        <v/>
      </c>
      <c r="DK157" s="41" t="str">
        <f aca="false">IF(AND(Tasks[[#This Row],[_IsLeaf]]=1,Tasks[[#This Row],[_LeafProgress]]&lt;1,OR(N(Tasks[[#This Row],[Finish Var]])&gt;0,Tasks[[#This Row],[Status]]="Late Start")),MAX(0,Tasks[[#This Row],[Finish Var]])+1-Tasks[[#This Row],[_Row]]/1000000,"")</f>
        <v/>
      </c>
      <c r="DL157" s="41" t="str">
        <f aca="false">IF(AND(Tasks[[#This Row],[_IsLeaf]]=1,N(Tasks[[#This Row],[Actual Start]])=0,Tasks[[#This Row],[_LeafFcstStart]]&gt;=StatusDate,Tasks[[#This Row],[_LeafFcstStart]]&lt;=LookaheadEnd),Tasks[[#This Row],[_LeafFcstStart]]+Tasks[[#This Row],[_Row]]/100000,"")</f>
        <v/>
      </c>
      <c r="DM157" s="41" t="str">
        <f aca="false">IF(AND(Tasks[[#This Row],[_IsLeaf]]=1,Tasks[[#This Row],[_LeafProgress]]&lt;1,Tasks[[#This Row],[_LeafFcstFinish]]&gt;=StatusDate,Tasks[[#This Row],[_LeafFcstFinish]]&lt;=LookaheadEnd),Tasks[[#This Row],[_LeafFcstFinish]]+Tasks[[#This Row],[_Row]]/100000,"")</f>
        <v/>
      </c>
      <c r="DN157" s="41" t="str">
        <f aca="false">IF(Tasks[[#This Row],[_LeafCritical]],Tasks[[#This Row],[_LeafFcstStart]]+Tasks[[#This Row],[_Row]]/100000,"")</f>
        <v/>
      </c>
      <c r="DO157" s="41" t="n">
        <f aca="false">Tasks[[#This Row],[_LeafWork]]*Tasks[[#This Row],[_LeafProgress]]</f>
        <v>0</v>
      </c>
      <c r="DP157" s="100" t="str">
        <f aca="false">IF(AND(Tasks[[#This Row],[_IsLeaf]]=1,Tasks[[#This Row],[_LeafProgress]]&gt;=1),IF(N(Tasks[[#This Row],[Actual Finish]])&gt;0,Tasks[[#This Row],[Actual Finish]],Tasks[[#This Row],[_LeafFcstFinish]]),"")</f>
        <v/>
      </c>
      <c r="DQ157" s="41" t="n">
        <f aca="false">IF(Tasks[[#This Row],[_IsLeaf]]=1,N(Tasks[[#This Row],[Story Points]]),0)</f>
        <v>0</v>
      </c>
      <c r="DR157" s="41" t="str">
        <f aca="false">IF(AND(Tasks[[#This Row],[_IsLeaf]]=1,CurrentSprint&lt;&gt;"",Tasks[[#This Row],[Sprint]]=CurrentSprint),Tasks[[#This Row],[_Row]],"")</f>
        <v/>
      </c>
    </row>
    <row r="158" customFormat="false" ht="15" hidden="false" customHeight="false" outlineLevel="0" collapsed="false">
      <c r="A158" s="28" t="str">
        <f aca="false">IF(Tasks[[#This Row],[Task Name]]="","",COUNTA(Tasks[[#Headers],[Task Name]]:Tasks[[#This Row],[Task Name]])-1)</f>
        <v/>
      </c>
      <c r="B158" s="29" t="n">
        <v>153</v>
      </c>
      <c r="C15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8" s="29"/>
      <c r="E158" s="30"/>
      <c r="F158" s="29"/>
      <c r="G158" s="29"/>
      <c r="H158" s="29"/>
      <c r="I158" s="29"/>
      <c r="J158" s="29"/>
      <c r="K158" s="29"/>
      <c r="L158" s="29"/>
      <c r="M158" s="29"/>
      <c r="N158" s="73"/>
      <c r="O158" s="73"/>
      <c r="P158" s="25" t="str">
        <f aca="false">IF(Tasks[[#This Row],[Task Name]]="","",IF(N(Tasks[[#This Row],[Baseline Start]])&gt;0,Tasks[[#This Row],[Baseline Start]],Tasks[[#This Row],[_CalcStart]]))</f>
        <v/>
      </c>
      <c r="Q158" s="25" t="str">
        <f aca="false">IF(Tasks[[#This Row],[Task Name]]="","",IF(N(Tasks[[#This Row],[Baseline Finish]])&gt;0,Tasks[[#This Row],[Baseline Finish]],Tasks[[#This Row],[_CalcFinish]]))</f>
        <v/>
      </c>
      <c r="R158" s="73"/>
      <c r="S158" s="73"/>
      <c r="T158" s="25" t="str">
        <f aca="false">IF(Tasks[[#This Row],[Task Name]]="","",IF(Tasks[[#This Row],[_IsSummary]],MIN(INDEX(Tasks[_LeafFcstStart],Tasks[[#This Row],[_Row]]+1):INDEX(Tasks[_LeafFcstStart],Tasks[[#This Row],[_Row]]+Tasks[[#This Row],[_Descendants]])),Tasks[[#This Row],[_LeafFcstStart]]))</f>
        <v/>
      </c>
      <c r="U158" s="25" t="str">
        <f aca="false">IF(Tasks[[#This Row],[Task Name]]="","",IF(Tasks[[#This Row],[_IsSummary]],MAX(INDEX(Tasks[_LeafFcstFinish],Tasks[[#This Row],[_Row]]+1):INDEX(Tasks[_LeafFcstFinish],Tasks[[#This Row],[_Row]]+Tasks[[#This Row],[_Descendants]])),Tasks[[#This Row],[_LeafFcstFinish]]))</f>
        <v/>
      </c>
      <c r="V15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5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8" s="25" t="str">
        <f aca="false">IF(Tasks[[#This Row],[Task Name]]="","",IF(Tasks[[#This Row],[_IsSummary]],MIN(INDEX(Tasks[_LeafLateStart],Tasks[[#This Row],[_Row]]+1):INDEX(Tasks[_LeafLateStart],Tasks[[#This Row],[_Row]]+Tasks[[#This Row],[_Descendants]])),Tasks[[#This Row],[_LeafLateStart]]))</f>
        <v/>
      </c>
      <c r="Y158" s="25" t="str">
        <f aca="false">IF(Tasks[[#This Row],[Task Name]]="","",IF(Tasks[[#This Row],[_IsSummary]],MAX(INDEX(Tasks[_LeafLateFinish],Tasks[[#This Row],[_Row]]+1):INDEX(Tasks[_LeafLateFinish],Tasks[[#This Row],[_Row]]+Tasks[[#This Row],[_Descendants]])),Tasks[[#This Row],[_LeafLateFinish]]))</f>
        <v/>
      </c>
      <c r="Z158" s="43" t="str">
        <f aca="false">IF(Tasks[[#This Row],[Task Name]]="","",IF(Tasks[[#This Row],[_IsSummary]],MIN(INDEX(Tasks[_LeafTotalSlack],Tasks[[#This Row],[_Row]]+1):INDEX(Tasks[_LeafTotalSlack],Tasks[[#This Row],[_Row]]+Tasks[[#This Row],[_Descendants]])),Tasks[[#This Row],[_LeafTotalSlack]]))</f>
        <v/>
      </c>
      <c r="AA15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8" s="28" t="str">
        <f aca="false">IF(Tasks[[#This Row],[Task Name]]="","",IF(IF(Tasks[[#This Row],[_IsSummary]],COUNTIF(INDEX(Tasks[_LeafCritical],Tasks[[#This Row],[_Row]]+1):INDEX(Tasks[_LeafCritical],Tasks[[#This Row],[_Row]]+Tasks[[#This Row],[_Descendants]]),TRUE())&gt;0,Tasks[[#This Row],[_LeafCritical]]),"Yes",""))</f>
        <v/>
      </c>
      <c r="AC15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8" s="24" t="str">
        <f aca="false">IF(Tasks[[#This Row],[Task Name]]="","",TRIM(IF(Tasks[[#This Row],[_Pred1Problem]]&lt;&gt;"","Pred 1: "&amp;Tasks[[#This Row],[_Pred1Problem]]&amp;". ","")&amp;IF(Tasks[[#This Row],[_Pred2Problem]]&lt;&gt;"","Pred 2: "&amp;Tasks[[#This Row],[_Pred2Problem]]&amp;".","")))</f>
        <v/>
      </c>
      <c r="AE158" s="88"/>
      <c r="AF158"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8" s="28" t="str">
        <f aca="false">IF(Tasks[[#This Row],[Task Name]]="","",IF(Tasks[[#This Row],[Progress]]&gt;=1,"Complete",IF(OR(N(Tasks[[#This Row],[Actual Start]])&gt;0,Tasks[[#This Row],[Progress]]&gt;0),IF(Tasks[[#This Row],[Finish Var]]&gt;0,"Behind","In Progress"),IF(Tasks[[#This Row],[Planned Start]]&lt;StatusDate,"Late Start","Not Started"))))</f>
        <v/>
      </c>
      <c r="AH158" s="30"/>
      <c r="AI158" s="88"/>
      <c r="AJ158" s="95" t="str">
        <f aca="false">IF(Tasks[[#This Row],[Task Name]]="","",IF(Tasks[[#This Row],[_IsSummary]],SUM(INDEX(Tasks[_LeafWork],Tasks[[#This Row],[_Row]]+1):INDEX(Tasks[_LeafWork],Tasks[[#This Row],[_Row]]+Tasks[[#This Row],[_Descendants]])),Tasks[[#This Row],[_LeafWork]]))</f>
        <v/>
      </c>
      <c r="AK158" s="96" t="str">
        <f aca="false">IF(Tasks[[#This Row],[Task Name]]="","",IF(Tasks[[#This Row],[_IsSummary]],SUM(INDEX(Tasks[_LeafCost],Tasks[[#This Row],[_Row]]+1):INDEX(Tasks[_LeafCost],Tasks[[#This Row],[_Row]]+Tasks[[#This Row],[_Descendants]])),Tasks[[#This Row],[_LeafCost]]))</f>
        <v/>
      </c>
      <c r="AL158" s="97"/>
      <c r="AM158" s="29"/>
      <c r="AN15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58" s="82"/>
      <c r="AP158" s="24" t="str">
        <f aca="false">IF(Tasks[[#This Row],[Task Name]]="","",Tasks[[#This Row],[_Pred1IDText]]&amp;IF(AND(Tasks[[#This Row],[_Pred1IDText]]&lt;&gt;"",Tasks[[#This Row],[_Pred2IDText]]&lt;&gt;""),",","")&amp;Tasks[[#This Row],[_Pred2IDText]])</f>
        <v/>
      </c>
      <c r="AQ158" s="30"/>
      <c r="AR158" s="25" t="str">
        <f aca="false">IF(Tasks[[#This Row],[Task Name]]="","",Tasks[[#This Row],[Forecast Start]])</f>
        <v/>
      </c>
      <c r="AS158" s="25" t="str">
        <f aca="false">IF(Tasks[[#This Row],[Task Name]]="","",Tasks[[#This Row],[Forecast Finish]])</f>
        <v/>
      </c>
      <c r="AT158" s="28" t="str">
        <f aca="false">IF(Tasks[[#This Row],[Task Name]]="","",IF(Tasks[[#This Row],[_IsSummary]],NETWORKDAYS.INTL(Tasks[[#This Row],[Forecast Start]],Tasks[[#This Row],[Forecast Finish]],WorkWeek,Holidays),N(Tasks[[#This Row],[Duration]])))</f>
        <v/>
      </c>
      <c r="AU158" s="95" t="str">
        <f aca="false">IF(Tasks[[#This Row],[Task Name]]="","",Tasks[[#This Row],[Work]])</f>
        <v/>
      </c>
      <c r="AV158" s="96" t="str">
        <f aca="false">IF(Tasks[[#This Row],[Task Name]]="","",Tasks[[#This Row],[Cost]])</f>
        <v/>
      </c>
      <c r="AW158" s="73"/>
      <c r="AX158" s="73"/>
      <c r="AY158" s="29"/>
      <c r="AZ158" s="98"/>
      <c r="BA158" s="97"/>
      <c r="BB158" s="28" t="str">
        <f aca="false">IF(OR(Tasks[[#This Row],[Task Name]]="",Tasks[[#This Row],[Baseline Duration]]=""),"",Tasks[[#This Row],[BL Source Duration]]-N(Tasks[[#This Row],[Baseline Duration]]))</f>
        <v/>
      </c>
      <c r="BC158" s="95" t="str">
        <f aca="false">IF(OR(Tasks[[#This Row],[Task Name]]="",Tasks[[#This Row],[Baseline Work]]=""),"",Tasks[[#This Row],[Work]]-N(Tasks[[#This Row],[Baseline Work]]))</f>
        <v/>
      </c>
      <c r="BD158" s="96" t="str">
        <f aca="false">IF(OR(Tasks[[#This Row],[Task Name]]="",Tasks[[#This Row],[Baseline Cost]]=""),"",Tasks[[#This Row],[Cost]]-N(Tasks[[#This Row],[Baseline Cost]]))</f>
        <v/>
      </c>
      <c r="BE158" s="96" t="str">
        <f aca="false">IF(Tasks[[#This Row],[Task Name]]="","",IF(Tasks[[#This Row],[_IsSummary]],SUM(INDEX(Tasks[_LeafBudget],Tasks[[#This Row],[_Row]]+1):INDEX(Tasks[_LeafBudget],Tasks[[#This Row],[_Row]]+Tasks[[#This Row],[_Descendants]])),Tasks[[#This Row],[_LeafBudget]]))</f>
        <v/>
      </c>
      <c r="BF158" s="96" t="str">
        <f aca="false">IF(Tasks[[#This Row],[Task Name]]="","",IF(Tasks[[#This Row],[_IsSummary]],SUM(INDEX(Tasks[_LeafPV],Tasks[[#This Row],[_Row]]+1):INDEX(Tasks[_LeafPV],Tasks[[#This Row],[_Row]]+Tasks[[#This Row],[_Descendants]])),Tasks[[#This Row],[_LeafPV]]))</f>
        <v/>
      </c>
      <c r="BG158" s="96" t="str">
        <f aca="false">IF(Tasks[[#This Row],[Task Name]]="","",IF(Tasks[[#This Row],[_IsSummary]],SUM(INDEX(Tasks[_LeafEV],Tasks[[#This Row],[_Row]]+1):INDEX(Tasks[_LeafEV],Tasks[[#This Row],[_Row]]+Tasks[[#This Row],[_Descendants]])),Tasks[[#This Row],[_LeafEV]]))</f>
        <v/>
      </c>
      <c r="BH158" s="96" t="str">
        <f aca="false">IF(Tasks[[#This Row],[Task Name]]="","",IF(Tasks[[#This Row],[_IsSummary]],SUM(INDEX(Tasks[_LeafAC],Tasks[[#This Row],[_Row]]+1):INDEX(Tasks[_LeafAC],Tasks[[#This Row],[_Row]]+Tasks[[#This Row],[_Descendants]])),Tasks[[#This Row],[_LeafAC]]))</f>
        <v/>
      </c>
      <c r="BI158" s="41" t="str">
        <f aca="false">IF(Tasks[[#This Row],[Task Name]]="","",MAX(1,N(Tasks[[#This Row],[Level]])))</f>
        <v/>
      </c>
      <c r="BJ158" s="41" t="n">
        <f aca="false">ROW()-ROW(Tasks[[#Headers],[ID]])</f>
        <v>153</v>
      </c>
      <c r="BK158" s="41" t="n">
        <f aca="false">IF(OR(Tasks[[#This Row],[Task Name]]="",Tasks[[#This Row],[_Level]]&lt;=1),0,IFERROR(LOOKUP(2,1/(Tasks[[#Headers],[_Level]]:Tasks[[#This Row],[_Level]]=Tasks[[#This Row],[_Level]]-1),ROW(Tasks[[#Headers],[_Level]]:Tasks[[#This Row],[_Level]])),0))</f>
        <v>0</v>
      </c>
      <c r="BL158" s="41" t="n">
        <f aca="false">IFERROR(N(INDEX(Tasks[_Level],Tasks[[#This Row],[_Row]]+1)),0)</f>
        <v>0</v>
      </c>
      <c r="BM158" s="99" t="b">
        <f aca="false">AND(Tasks[[#This Row],[Task Name]]&lt;&gt;"",Tasks[[#This Row],[_NextLevel]]&gt;Tasks[[#This Row],[_Level]])</f>
        <v>0</v>
      </c>
      <c r="BN158" s="41" t="n">
        <f aca="false">IF(Tasks[[#This Row],[_IsSummary]],COUNTIF(Tasks[WBS],Tasks[[#This Row],[WBS]]&amp;".*"),0)</f>
        <v>0</v>
      </c>
      <c r="BO158" s="41" t="n">
        <f aca="false">IF(AND(Tasks[[#This Row],[Task Name]]&lt;&gt;"",NOT(Tasks[[#This Row],[_IsSummary]])),1,0)</f>
        <v>0</v>
      </c>
      <c r="BP158" s="41" t="n">
        <f aca="false">IF(N(Tasks[[#This Row],[Pred1 UID]])=0,0,IFERROR(MATCH(Tasks[[#This Row],[Pred1 UID]],Tasks[UID],0),-1))</f>
        <v>0</v>
      </c>
      <c r="BQ158" s="41" t="n">
        <f aca="false">IF(N(Tasks[[#This Row],[Pred2 UID]])=0,0,IFERROR(MATCH(Tasks[[#This Row],[Pred2 UID]],Tasks[UID],0),-1))</f>
        <v>0</v>
      </c>
      <c r="BR158"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58" s="100" t="str">
        <f aca="false">IF(NOT(Tasks[[#This Row],[_IsLeaf]]=1),"",IF(N(Tasks[[#This Row],[Duration]])&lt;=0,Tasks[[#This Row],[_LeafCalcStart]],WORKDAY.INTL(Tasks[[#This Row],[_LeafCalcStart]],Tasks[[#This Row],[Duration]]-1,WorkWeek,Holidays)))</f>
        <v/>
      </c>
      <c r="BT158"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58"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58" s="41" t="n">
        <f aca="false">IF(NOT(Tasks[[#This Row],[_IsLeaf]]=1),0,IF(N(Tasks[[#This Row],[Actual Finish]])&gt;0,1,MIN(1,N(Tasks[[#This Row],[% Complete]]))))</f>
        <v>0</v>
      </c>
      <c r="BW158" s="41" t="n">
        <f aca="false">IF(OR(NOT(Tasks[[#This Row],[_IsLeaf]]=1),Tasks[[#This Row],[Resource]]=""),0,N(Tasks[[#This Row],[Duration]])*HoursPerDay*IF(Tasks[[#This Row],[Units]]="",DefaultUnits,Tasks[[#This Row],[Units]]))</f>
        <v>0</v>
      </c>
      <c r="BX158" s="41" t="n">
        <f aca="false">IF(Tasks[[#This Row],[_LeafWork]]=0,0,Tasks[[#This Row],[_LeafWork]]*IFERROR(INDEX(res_Rate,MATCH(Tasks[[#This Row],[Resource]],res_Name,0)),0))</f>
        <v>0</v>
      </c>
      <c r="BY15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5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5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5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58" s="41" t="n">
        <f aca="false">IF(NOT(Tasks[[#This Row],[_IsLeaf]]=1),0,MAX(_xlfn.MAXIFS(Tasks[_Row],Tasks[Pred1 UID],Tasks[[#This Row],[UID]]),_xlfn.MAXIFS(Tasks[_Row],Tasks[Pred2 UID],Tasks[[#This Row],[UID]])))</f>
        <v>0</v>
      </c>
      <c r="CD158"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58" s="100" t="str">
        <f aca="false">IF(NOT(Tasks[[#This Row],[_IsLeaf]]=1),"",MIN(ProjectFinish,IF(N(Tasks[[#This Row],[Deadline]])&gt;0,Tasks[[#This Row],[Deadline]],2958465),Tasks[[#This Row],[_SuccessorFinishLimit]]))</f>
        <v/>
      </c>
      <c r="CF158" s="100" t="str">
        <f aca="false">IF(NOT(Tasks[[#This Row],[_IsLeaf]]=1),"",IF(N(Tasks[[#This Row],[Duration]])&lt;=0,Tasks[[#This Row],[_LeafLateFinish]],WORKDAY.INTL(Tasks[[#This Row],[_LeafLateFinish]],-(Tasks[[#This Row],[Duration]]-1),WorkWeek,Holidays)))</f>
        <v/>
      </c>
      <c r="CG15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58" s="99" t="b">
        <f aca="false">AND(Tasks[[#This Row],[_IsLeaf]]=1,Tasks[[#This Row],[_LeafProgress]]&lt;1,N(Tasks[[#This Row],[_LeafTotalSlack]])&lt;=CriticalSlackDays)</f>
        <v>0</v>
      </c>
      <c r="CI158" s="100" t="str">
        <f aca="false">IF(Tasks[[#This Row],[Task Name]]="","",IF(Tasks[[#This Row],[_IsSummary]],MIN(INDEX(Tasks[_LeafCalcStart],Tasks[[#This Row],[_Row]]+1):INDEX(Tasks[_LeafCalcStart],Tasks[[#This Row],[_Row]]+Tasks[[#This Row],[_Descendants]])),Tasks[[#This Row],[_LeafCalcStart]]))</f>
        <v/>
      </c>
      <c r="CJ158" s="100" t="str">
        <f aca="false">IF(Tasks[[#This Row],[Task Name]]="","",IF(Tasks[[#This Row],[_IsSummary]],MAX(INDEX(Tasks[_LeafCalcFinish],Tasks[[#This Row],[_Row]]+1):INDEX(Tasks[_LeafCalcFinish],Tasks[[#This Row],[_Row]]+Tasks[[#This Row],[_Descendants]])),Tasks[[#This Row],[_LeafCalcFinish]]))</f>
        <v/>
      </c>
      <c r="CK15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5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58"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58"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58"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58"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58" s="41" t="n">
        <f aca="false">IF(AND(Tasks[[#This Row],[_IsLeaf]]=1,Tasks[[#This Row],[_LeafWork]]&gt;0),NETWORKDAYS.INTL(ProjectStart,Tasks[[#This Row],[_LeafFcstStart]],WorkWeek,Holidays),0)</f>
        <v>0</v>
      </c>
      <c r="CR158" s="41" t="n">
        <f aca="false">IF(AND(Tasks[[#This Row],[_IsLeaf]]=1,Tasks[[#This Row],[_LeafWork]]&gt;0),MAX(Tasks[[#This Row],[_StartWorkday]],NETWORKDAYS.INTL(ProjectStart,Tasks[[#This Row],[_LeafFcstFinish]],WorkWeek,Holidays)),0)</f>
        <v>0</v>
      </c>
      <c r="CS158" s="41" t="n">
        <f aca="false">IF(AND(Tasks[[#This Row],[_IsLeaf]]=1,Tasks[[#This Row],[_LeafWork]]&gt;0),Tasks[[#This Row],[_LeafWork]]/(Tasks[[#This Row],[_FinishWorkday]]-Tasks[[#This Row],[_StartWorkday]]+1),0)</f>
        <v>0</v>
      </c>
      <c r="CT158" s="41" t="n">
        <f aca="false">Tasks[[#This Row],[_WorkPerWorkday]]*(Tasks[[#This Row],[_StartWorkday]]-1)</f>
        <v>-0</v>
      </c>
      <c r="CU158" s="41" t="n">
        <f aca="false">IF(Tasks[[#This Row],[_IsLeaf]]=1,MAX(N(Tasks[[#This Row],[Duration]]),0.1),0)</f>
        <v>0</v>
      </c>
      <c r="CV158" s="41" t="n">
        <f aca="false">Tasks[[#This Row],[_WeightDur]]*Tasks[[#This Row],[_LeafProgress]]</f>
        <v>0</v>
      </c>
      <c r="CW15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5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5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5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58" s="41" t="str">
        <f aca="false">IF(Tasks[[#This Row],[Task Name]]="","",Tasks[[#This Row],[_Pred1UIDText]]&amp;IF(AND(Tasks[[#This Row],[_Pred1UIDText]]&lt;&gt;"",Tasks[[#This Row],[_Pred2UIDText]]&lt;&gt;""),",","")&amp;Tasks[[#This Row],[_Pred2UIDText]])</f>
        <v/>
      </c>
      <c r="DB158" s="41" t="str">
        <f aca="false">IF(AND(Tasks[[#This Row],[_IsLeaf]]=1,N(Tasks[[#This Row],[Duration]])=0,Tasks[[#This Row],[_LeafProgress]]&lt;1),Tasks[[#This Row],[_LeafFcstFinish]]+Tasks[[#This Row],[_Row]]/100000,"")</f>
        <v/>
      </c>
      <c r="DC15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58" s="41" t="n">
        <f aca="false">IF(NOT(Tasks[[#This Row],[_IsLeaf]]=1),0,IF(Tasks[[#This Row],[Baseline Cost]]="",Tasks[[#This Row],[_LeafCost]],N(Tasks[[#This Row],[Baseline Cost]])))</f>
        <v>0</v>
      </c>
      <c r="DE158" s="41" t="n">
        <f aca="false">Tasks[[#This Row],[_LeafBudget]]*Tasks[[#This Row],[_PlannedPct]]</f>
        <v>0</v>
      </c>
      <c r="DF158" s="41" t="n">
        <f aca="false">Tasks[[#This Row],[_LeafBudget]]*Tasks[[#This Row],[_LeafProgress]]</f>
        <v>0</v>
      </c>
      <c r="DG158" s="41" t="n">
        <f aca="false">IF(NOT(Tasks[[#This Row],[_IsLeaf]]=1),0,IF(Tasks[[#This Row],[Actual Cost]]="",Tasks[[#This Row],[_LeafCost]]*Tasks[[#This Row],[_LeafProgress]],N(Tasks[[#This Row],[Actual Cost]])))</f>
        <v>0</v>
      </c>
      <c r="DH158" s="41" t="str">
        <f aca="false">IF(Tasks[[#This Row],[Task Name]]="","",LEFT(Tasks[[#This Row],[WBS]],FIND(".",Tasks[[#This Row],[WBS]]&amp;".")-1))</f>
        <v/>
      </c>
      <c r="DI158" s="41" t="str">
        <f aca="false">IF(AND(Tasks[[#This Row],[Task Name]]&lt;&gt;"",Tasks[[#This Row],[_Level]]=1),Tasks[[#This Row],[_Row]],"")</f>
        <v/>
      </c>
      <c r="DJ158" s="41" t="str">
        <f aca="false">IF(AND(Tasks[[#This Row],[_IsLeaf]]=1,N(Tasks[[#This Row],[Duration]])=0),Tasks[[#This Row],[Planned Finish]]+Tasks[[#This Row],[_Row]]/100000,"")</f>
        <v/>
      </c>
      <c r="DK158" s="41" t="str">
        <f aca="false">IF(AND(Tasks[[#This Row],[_IsLeaf]]=1,Tasks[[#This Row],[_LeafProgress]]&lt;1,OR(N(Tasks[[#This Row],[Finish Var]])&gt;0,Tasks[[#This Row],[Status]]="Late Start")),MAX(0,Tasks[[#This Row],[Finish Var]])+1-Tasks[[#This Row],[_Row]]/1000000,"")</f>
        <v/>
      </c>
      <c r="DL158" s="41" t="str">
        <f aca="false">IF(AND(Tasks[[#This Row],[_IsLeaf]]=1,N(Tasks[[#This Row],[Actual Start]])=0,Tasks[[#This Row],[_LeafFcstStart]]&gt;=StatusDate,Tasks[[#This Row],[_LeafFcstStart]]&lt;=LookaheadEnd),Tasks[[#This Row],[_LeafFcstStart]]+Tasks[[#This Row],[_Row]]/100000,"")</f>
        <v/>
      </c>
      <c r="DM158" s="41" t="str">
        <f aca="false">IF(AND(Tasks[[#This Row],[_IsLeaf]]=1,Tasks[[#This Row],[_LeafProgress]]&lt;1,Tasks[[#This Row],[_LeafFcstFinish]]&gt;=StatusDate,Tasks[[#This Row],[_LeafFcstFinish]]&lt;=LookaheadEnd),Tasks[[#This Row],[_LeafFcstFinish]]+Tasks[[#This Row],[_Row]]/100000,"")</f>
        <v/>
      </c>
      <c r="DN158" s="41" t="str">
        <f aca="false">IF(Tasks[[#This Row],[_LeafCritical]],Tasks[[#This Row],[_LeafFcstStart]]+Tasks[[#This Row],[_Row]]/100000,"")</f>
        <v/>
      </c>
      <c r="DO158" s="41" t="n">
        <f aca="false">Tasks[[#This Row],[_LeafWork]]*Tasks[[#This Row],[_LeafProgress]]</f>
        <v>0</v>
      </c>
      <c r="DP158" s="100" t="str">
        <f aca="false">IF(AND(Tasks[[#This Row],[_IsLeaf]]=1,Tasks[[#This Row],[_LeafProgress]]&gt;=1),IF(N(Tasks[[#This Row],[Actual Finish]])&gt;0,Tasks[[#This Row],[Actual Finish]],Tasks[[#This Row],[_LeafFcstFinish]]),"")</f>
        <v/>
      </c>
      <c r="DQ158" s="41" t="n">
        <f aca="false">IF(Tasks[[#This Row],[_IsLeaf]]=1,N(Tasks[[#This Row],[Story Points]]),0)</f>
        <v>0</v>
      </c>
      <c r="DR158" s="41" t="str">
        <f aca="false">IF(AND(Tasks[[#This Row],[_IsLeaf]]=1,CurrentSprint&lt;&gt;"",Tasks[[#This Row],[Sprint]]=CurrentSprint),Tasks[[#This Row],[_Row]],"")</f>
        <v/>
      </c>
    </row>
    <row r="159" customFormat="false" ht="15" hidden="false" customHeight="false" outlineLevel="0" collapsed="false">
      <c r="A159" s="28" t="str">
        <f aca="false">IF(Tasks[[#This Row],[Task Name]]="","",COUNTA(Tasks[[#Headers],[Task Name]]:Tasks[[#This Row],[Task Name]])-1)</f>
        <v/>
      </c>
      <c r="B159" s="29" t="n">
        <v>154</v>
      </c>
      <c r="C15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9" s="29"/>
      <c r="E159" s="30"/>
      <c r="F159" s="29"/>
      <c r="G159" s="29"/>
      <c r="H159" s="29"/>
      <c r="I159" s="29"/>
      <c r="J159" s="29"/>
      <c r="K159" s="29"/>
      <c r="L159" s="29"/>
      <c r="M159" s="29"/>
      <c r="N159" s="73"/>
      <c r="O159" s="73"/>
      <c r="P159" s="25" t="str">
        <f aca="false">IF(Tasks[[#This Row],[Task Name]]="","",IF(N(Tasks[[#This Row],[Baseline Start]])&gt;0,Tasks[[#This Row],[Baseline Start]],Tasks[[#This Row],[_CalcStart]]))</f>
        <v/>
      </c>
      <c r="Q159" s="25" t="str">
        <f aca="false">IF(Tasks[[#This Row],[Task Name]]="","",IF(N(Tasks[[#This Row],[Baseline Finish]])&gt;0,Tasks[[#This Row],[Baseline Finish]],Tasks[[#This Row],[_CalcFinish]]))</f>
        <v/>
      </c>
      <c r="R159" s="73"/>
      <c r="S159" s="73"/>
      <c r="T159" s="25" t="str">
        <f aca="false">IF(Tasks[[#This Row],[Task Name]]="","",IF(Tasks[[#This Row],[_IsSummary]],MIN(INDEX(Tasks[_LeafFcstStart],Tasks[[#This Row],[_Row]]+1):INDEX(Tasks[_LeafFcstStart],Tasks[[#This Row],[_Row]]+Tasks[[#This Row],[_Descendants]])),Tasks[[#This Row],[_LeafFcstStart]]))</f>
        <v/>
      </c>
      <c r="U159" s="25" t="str">
        <f aca="false">IF(Tasks[[#This Row],[Task Name]]="","",IF(Tasks[[#This Row],[_IsSummary]],MAX(INDEX(Tasks[_LeafFcstFinish],Tasks[[#This Row],[_Row]]+1):INDEX(Tasks[_LeafFcstFinish],Tasks[[#This Row],[_Row]]+Tasks[[#This Row],[_Descendants]])),Tasks[[#This Row],[_LeafFcstFinish]]))</f>
        <v/>
      </c>
      <c r="V15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5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9" s="25" t="str">
        <f aca="false">IF(Tasks[[#This Row],[Task Name]]="","",IF(Tasks[[#This Row],[_IsSummary]],MIN(INDEX(Tasks[_LeafLateStart],Tasks[[#This Row],[_Row]]+1):INDEX(Tasks[_LeafLateStart],Tasks[[#This Row],[_Row]]+Tasks[[#This Row],[_Descendants]])),Tasks[[#This Row],[_LeafLateStart]]))</f>
        <v/>
      </c>
      <c r="Y159" s="25" t="str">
        <f aca="false">IF(Tasks[[#This Row],[Task Name]]="","",IF(Tasks[[#This Row],[_IsSummary]],MAX(INDEX(Tasks[_LeafLateFinish],Tasks[[#This Row],[_Row]]+1):INDEX(Tasks[_LeafLateFinish],Tasks[[#This Row],[_Row]]+Tasks[[#This Row],[_Descendants]])),Tasks[[#This Row],[_LeafLateFinish]]))</f>
        <v/>
      </c>
      <c r="Z159" s="43" t="str">
        <f aca="false">IF(Tasks[[#This Row],[Task Name]]="","",IF(Tasks[[#This Row],[_IsSummary]],MIN(INDEX(Tasks[_LeafTotalSlack],Tasks[[#This Row],[_Row]]+1):INDEX(Tasks[_LeafTotalSlack],Tasks[[#This Row],[_Row]]+Tasks[[#This Row],[_Descendants]])),Tasks[[#This Row],[_LeafTotalSlack]]))</f>
        <v/>
      </c>
      <c r="AA15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9" s="28" t="str">
        <f aca="false">IF(Tasks[[#This Row],[Task Name]]="","",IF(IF(Tasks[[#This Row],[_IsSummary]],COUNTIF(INDEX(Tasks[_LeafCritical],Tasks[[#This Row],[_Row]]+1):INDEX(Tasks[_LeafCritical],Tasks[[#This Row],[_Row]]+Tasks[[#This Row],[_Descendants]]),TRUE())&gt;0,Tasks[[#This Row],[_LeafCritical]]),"Yes",""))</f>
        <v/>
      </c>
      <c r="AC15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9" s="24" t="str">
        <f aca="false">IF(Tasks[[#This Row],[Task Name]]="","",TRIM(IF(Tasks[[#This Row],[_Pred1Problem]]&lt;&gt;"","Pred 1: "&amp;Tasks[[#This Row],[_Pred1Problem]]&amp;". ","")&amp;IF(Tasks[[#This Row],[_Pred2Problem]]&lt;&gt;"","Pred 2: "&amp;Tasks[[#This Row],[_Pred2Problem]]&amp;".","")))</f>
        <v/>
      </c>
      <c r="AE159" s="88"/>
      <c r="AF159"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9" s="28" t="str">
        <f aca="false">IF(Tasks[[#This Row],[Task Name]]="","",IF(Tasks[[#This Row],[Progress]]&gt;=1,"Complete",IF(OR(N(Tasks[[#This Row],[Actual Start]])&gt;0,Tasks[[#This Row],[Progress]]&gt;0),IF(Tasks[[#This Row],[Finish Var]]&gt;0,"Behind","In Progress"),IF(Tasks[[#This Row],[Planned Start]]&lt;StatusDate,"Late Start","Not Started"))))</f>
        <v/>
      </c>
      <c r="AH159" s="30"/>
      <c r="AI159" s="88"/>
      <c r="AJ159" s="95" t="str">
        <f aca="false">IF(Tasks[[#This Row],[Task Name]]="","",IF(Tasks[[#This Row],[_IsSummary]],SUM(INDEX(Tasks[_LeafWork],Tasks[[#This Row],[_Row]]+1):INDEX(Tasks[_LeafWork],Tasks[[#This Row],[_Row]]+Tasks[[#This Row],[_Descendants]])),Tasks[[#This Row],[_LeafWork]]))</f>
        <v/>
      </c>
      <c r="AK159" s="96" t="str">
        <f aca="false">IF(Tasks[[#This Row],[Task Name]]="","",IF(Tasks[[#This Row],[_IsSummary]],SUM(INDEX(Tasks[_LeafCost],Tasks[[#This Row],[_Row]]+1):INDEX(Tasks[_LeafCost],Tasks[[#This Row],[_Row]]+Tasks[[#This Row],[_Descendants]])),Tasks[[#This Row],[_LeafCost]]))</f>
        <v/>
      </c>
      <c r="AL159" s="97"/>
      <c r="AM159" s="29"/>
      <c r="AN15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59" s="82"/>
      <c r="AP159" s="24" t="str">
        <f aca="false">IF(Tasks[[#This Row],[Task Name]]="","",Tasks[[#This Row],[_Pred1IDText]]&amp;IF(AND(Tasks[[#This Row],[_Pred1IDText]]&lt;&gt;"",Tasks[[#This Row],[_Pred2IDText]]&lt;&gt;""),",","")&amp;Tasks[[#This Row],[_Pred2IDText]])</f>
        <v/>
      </c>
      <c r="AQ159" s="30"/>
      <c r="AR159" s="25" t="str">
        <f aca="false">IF(Tasks[[#This Row],[Task Name]]="","",Tasks[[#This Row],[Forecast Start]])</f>
        <v/>
      </c>
      <c r="AS159" s="25" t="str">
        <f aca="false">IF(Tasks[[#This Row],[Task Name]]="","",Tasks[[#This Row],[Forecast Finish]])</f>
        <v/>
      </c>
      <c r="AT159" s="28" t="str">
        <f aca="false">IF(Tasks[[#This Row],[Task Name]]="","",IF(Tasks[[#This Row],[_IsSummary]],NETWORKDAYS.INTL(Tasks[[#This Row],[Forecast Start]],Tasks[[#This Row],[Forecast Finish]],WorkWeek,Holidays),N(Tasks[[#This Row],[Duration]])))</f>
        <v/>
      </c>
      <c r="AU159" s="95" t="str">
        <f aca="false">IF(Tasks[[#This Row],[Task Name]]="","",Tasks[[#This Row],[Work]])</f>
        <v/>
      </c>
      <c r="AV159" s="96" t="str">
        <f aca="false">IF(Tasks[[#This Row],[Task Name]]="","",Tasks[[#This Row],[Cost]])</f>
        <v/>
      </c>
      <c r="AW159" s="73"/>
      <c r="AX159" s="73"/>
      <c r="AY159" s="29"/>
      <c r="AZ159" s="98"/>
      <c r="BA159" s="97"/>
      <c r="BB159" s="28" t="str">
        <f aca="false">IF(OR(Tasks[[#This Row],[Task Name]]="",Tasks[[#This Row],[Baseline Duration]]=""),"",Tasks[[#This Row],[BL Source Duration]]-N(Tasks[[#This Row],[Baseline Duration]]))</f>
        <v/>
      </c>
      <c r="BC159" s="95" t="str">
        <f aca="false">IF(OR(Tasks[[#This Row],[Task Name]]="",Tasks[[#This Row],[Baseline Work]]=""),"",Tasks[[#This Row],[Work]]-N(Tasks[[#This Row],[Baseline Work]]))</f>
        <v/>
      </c>
      <c r="BD159" s="96" t="str">
        <f aca="false">IF(OR(Tasks[[#This Row],[Task Name]]="",Tasks[[#This Row],[Baseline Cost]]=""),"",Tasks[[#This Row],[Cost]]-N(Tasks[[#This Row],[Baseline Cost]]))</f>
        <v/>
      </c>
      <c r="BE159" s="96" t="str">
        <f aca="false">IF(Tasks[[#This Row],[Task Name]]="","",IF(Tasks[[#This Row],[_IsSummary]],SUM(INDEX(Tasks[_LeafBudget],Tasks[[#This Row],[_Row]]+1):INDEX(Tasks[_LeafBudget],Tasks[[#This Row],[_Row]]+Tasks[[#This Row],[_Descendants]])),Tasks[[#This Row],[_LeafBudget]]))</f>
        <v/>
      </c>
      <c r="BF159" s="96" t="str">
        <f aca="false">IF(Tasks[[#This Row],[Task Name]]="","",IF(Tasks[[#This Row],[_IsSummary]],SUM(INDEX(Tasks[_LeafPV],Tasks[[#This Row],[_Row]]+1):INDEX(Tasks[_LeafPV],Tasks[[#This Row],[_Row]]+Tasks[[#This Row],[_Descendants]])),Tasks[[#This Row],[_LeafPV]]))</f>
        <v/>
      </c>
      <c r="BG159" s="96" t="str">
        <f aca="false">IF(Tasks[[#This Row],[Task Name]]="","",IF(Tasks[[#This Row],[_IsSummary]],SUM(INDEX(Tasks[_LeafEV],Tasks[[#This Row],[_Row]]+1):INDEX(Tasks[_LeafEV],Tasks[[#This Row],[_Row]]+Tasks[[#This Row],[_Descendants]])),Tasks[[#This Row],[_LeafEV]]))</f>
        <v/>
      </c>
      <c r="BH159" s="96" t="str">
        <f aca="false">IF(Tasks[[#This Row],[Task Name]]="","",IF(Tasks[[#This Row],[_IsSummary]],SUM(INDEX(Tasks[_LeafAC],Tasks[[#This Row],[_Row]]+1):INDEX(Tasks[_LeafAC],Tasks[[#This Row],[_Row]]+Tasks[[#This Row],[_Descendants]])),Tasks[[#This Row],[_LeafAC]]))</f>
        <v/>
      </c>
      <c r="BI159" s="41" t="str">
        <f aca="false">IF(Tasks[[#This Row],[Task Name]]="","",MAX(1,N(Tasks[[#This Row],[Level]])))</f>
        <v/>
      </c>
      <c r="BJ159" s="41" t="n">
        <f aca="false">ROW()-ROW(Tasks[[#Headers],[ID]])</f>
        <v>154</v>
      </c>
      <c r="BK159" s="41" t="n">
        <f aca="false">IF(OR(Tasks[[#This Row],[Task Name]]="",Tasks[[#This Row],[_Level]]&lt;=1),0,IFERROR(LOOKUP(2,1/(Tasks[[#Headers],[_Level]]:Tasks[[#This Row],[_Level]]=Tasks[[#This Row],[_Level]]-1),ROW(Tasks[[#Headers],[_Level]]:Tasks[[#This Row],[_Level]])),0))</f>
        <v>0</v>
      </c>
      <c r="BL159" s="41" t="n">
        <f aca="false">IFERROR(N(INDEX(Tasks[_Level],Tasks[[#This Row],[_Row]]+1)),0)</f>
        <v>0</v>
      </c>
      <c r="BM159" s="99" t="b">
        <f aca="false">AND(Tasks[[#This Row],[Task Name]]&lt;&gt;"",Tasks[[#This Row],[_NextLevel]]&gt;Tasks[[#This Row],[_Level]])</f>
        <v>0</v>
      </c>
      <c r="BN159" s="41" t="n">
        <f aca="false">IF(Tasks[[#This Row],[_IsSummary]],COUNTIF(Tasks[WBS],Tasks[[#This Row],[WBS]]&amp;".*"),0)</f>
        <v>0</v>
      </c>
      <c r="BO159" s="41" t="n">
        <f aca="false">IF(AND(Tasks[[#This Row],[Task Name]]&lt;&gt;"",NOT(Tasks[[#This Row],[_IsSummary]])),1,0)</f>
        <v>0</v>
      </c>
      <c r="BP159" s="41" t="n">
        <f aca="false">IF(N(Tasks[[#This Row],[Pred1 UID]])=0,0,IFERROR(MATCH(Tasks[[#This Row],[Pred1 UID]],Tasks[UID],0),-1))</f>
        <v>0</v>
      </c>
      <c r="BQ159" s="41" t="n">
        <f aca="false">IF(N(Tasks[[#This Row],[Pred2 UID]])=0,0,IFERROR(MATCH(Tasks[[#This Row],[Pred2 UID]],Tasks[UID],0),-1))</f>
        <v>0</v>
      </c>
      <c r="BR159"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59" s="100" t="str">
        <f aca="false">IF(NOT(Tasks[[#This Row],[_IsLeaf]]=1),"",IF(N(Tasks[[#This Row],[Duration]])&lt;=0,Tasks[[#This Row],[_LeafCalcStart]],WORKDAY.INTL(Tasks[[#This Row],[_LeafCalcStart]],Tasks[[#This Row],[Duration]]-1,WorkWeek,Holidays)))</f>
        <v/>
      </c>
      <c r="BT159"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59"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59" s="41" t="n">
        <f aca="false">IF(NOT(Tasks[[#This Row],[_IsLeaf]]=1),0,IF(N(Tasks[[#This Row],[Actual Finish]])&gt;0,1,MIN(1,N(Tasks[[#This Row],[% Complete]]))))</f>
        <v>0</v>
      </c>
      <c r="BW159" s="41" t="n">
        <f aca="false">IF(OR(NOT(Tasks[[#This Row],[_IsLeaf]]=1),Tasks[[#This Row],[Resource]]=""),0,N(Tasks[[#This Row],[Duration]])*HoursPerDay*IF(Tasks[[#This Row],[Units]]="",DefaultUnits,Tasks[[#This Row],[Units]]))</f>
        <v>0</v>
      </c>
      <c r="BX159" s="41" t="n">
        <f aca="false">IF(Tasks[[#This Row],[_LeafWork]]=0,0,Tasks[[#This Row],[_LeafWork]]*IFERROR(INDEX(res_Rate,MATCH(Tasks[[#This Row],[Resource]],res_Name,0)),0))</f>
        <v>0</v>
      </c>
      <c r="BY15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5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5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5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59" s="41" t="n">
        <f aca="false">IF(NOT(Tasks[[#This Row],[_IsLeaf]]=1),0,MAX(_xlfn.MAXIFS(Tasks[_Row],Tasks[Pred1 UID],Tasks[[#This Row],[UID]]),_xlfn.MAXIFS(Tasks[_Row],Tasks[Pred2 UID],Tasks[[#This Row],[UID]])))</f>
        <v>0</v>
      </c>
      <c r="CD159"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59" s="100" t="str">
        <f aca="false">IF(NOT(Tasks[[#This Row],[_IsLeaf]]=1),"",MIN(ProjectFinish,IF(N(Tasks[[#This Row],[Deadline]])&gt;0,Tasks[[#This Row],[Deadline]],2958465),Tasks[[#This Row],[_SuccessorFinishLimit]]))</f>
        <v/>
      </c>
      <c r="CF159" s="100" t="str">
        <f aca="false">IF(NOT(Tasks[[#This Row],[_IsLeaf]]=1),"",IF(N(Tasks[[#This Row],[Duration]])&lt;=0,Tasks[[#This Row],[_LeafLateFinish]],WORKDAY.INTL(Tasks[[#This Row],[_LeafLateFinish]],-(Tasks[[#This Row],[Duration]]-1),WorkWeek,Holidays)))</f>
        <v/>
      </c>
      <c r="CG15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59" s="99" t="b">
        <f aca="false">AND(Tasks[[#This Row],[_IsLeaf]]=1,Tasks[[#This Row],[_LeafProgress]]&lt;1,N(Tasks[[#This Row],[_LeafTotalSlack]])&lt;=CriticalSlackDays)</f>
        <v>0</v>
      </c>
      <c r="CI159" s="100" t="str">
        <f aca="false">IF(Tasks[[#This Row],[Task Name]]="","",IF(Tasks[[#This Row],[_IsSummary]],MIN(INDEX(Tasks[_LeafCalcStart],Tasks[[#This Row],[_Row]]+1):INDEX(Tasks[_LeafCalcStart],Tasks[[#This Row],[_Row]]+Tasks[[#This Row],[_Descendants]])),Tasks[[#This Row],[_LeafCalcStart]]))</f>
        <v/>
      </c>
      <c r="CJ159" s="100" t="str">
        <f aca="false">IF(Tasks[[#This Row],[Task Name]]="","",IF(Tasks[[#This Row],[_IsSummary]],MAX(INDEX(Tasks[_LeafCalcFinish],Tasks[[#This Row],[_Row]]+1):INDEX(Tasks[_LeafCalcFinish],Tasks[[#This Row],[_Row]]+Tasks[[#This Row],[_Descendants]])),Tasks[[#This Row],[_LeafCalcFinish]]))</f>
        <v/>
      </c>
      <c r="CK15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5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59"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59"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59"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59"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59" s="41" t="n">
        <f aca="false">IF(AND(Tasks[[#This Row],[_IsLeaf]]=1,Tasks[[#This Row],[_LeafWork]]&gt;0),NETWORKDAYS.INTL(ProjectStart,Tasks[[#This Row],[_LeafFcstStart]],WorkWeek,Holidays),0)</f>
        <v>0</v>
      </c>
      <c r="CR159" s="41" t="n">
        <f aca="false">IF(AND(Tasks[[#This Row],[_IsLeaf]]=1,Tasks[[#This Row],[_LeafWork]]&gt;0),MAX(Tasks[[#This Row],[_StartWorkday]],NETWORKDAYS.INTL(ProjectStart,Tasks[[#This Row],[_LeafFcstFinish]],WorkWeek,Holidays)),0)</f>
        <v>0</v>
      </c>
      <c r="CS159" s="41" t="n">
        <f aca="false">IF(AND(Tasks[[#This Row],[_IsLeaf]]=1,Tasks[[#This Row],[_LeafWork]]&gt;0),Tasks[[#This Row],[_LeafWork]]/(Tasks[[#This Row],[_FinishWorkday]]-Tasks[[#This Row],[_StartWorkday]]+1),0)</f>
        <v>0</v>
      </c>
      <c r="CT159" s="41" t="n">
        <f aca="false">Tasks[[#This Row],[_WorkPerWorkday]]*(Tasks[[#This Row],[_StartWorkday]]-1)</f>
        <v>-0</v>
      </c>
      <c r="CU159" s="41" t="n">
        <f aca="false">IF(Tasks[[#This Row],[_IsLeaf]]=1,MAX(N(Tasks[[#This Row],[Duration]]),0.1),0)</f>
        <v>0</v>
      </c>
      <c r="CV159" s="41" t="n">
        <f aca="false">Tasks[[#This Row],[_WeightDur]]*Tasks[[#This Row],[_LeafProgress]]</f>
        <v>0</v>
      </c>
      <c r="CW15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5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5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5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59" s="41" t="str">
        <f aca="false">IF(Tasks[[#This Row],[Task Name]]="","",Tasks[[#This Row],[_Pred1UIDText]]&amp;IF(AND(Tasks[[#This Row],[_Pred1UIDText]]&lt;&gt;"",Tasks[[#This Row],[_Pred2UIDText]]&lt;&gt;""),",","")&amp;Tasks[[#This Row],[_Pred2UIDText]])</f>
        <v/>
      </c>
      <c r="DB159" s="41" t="str">
        <f aca="false">IF(AND(Tasks[[#This Row],[_IsLeaf]]=1,N(Tasks[[#This Row],[Duration]])=0,Tasks[[#This Row],[_LeafProgress]]&lt;1),Tasks[[#This Row],[_LeafFcstFinish]]+Tasks[[#This Row],[_Row]]/100000,"")</f>
        <v/>
      </c>
      <c r="DC15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59" s="41" t="n">
        <f aca="false">IF(NOT(Tasks[[#This Row],[_IsLeaf]]=1),0,IF(Tasks[[#This Row],[Baseline Cost]]="",Tasks[[#This Row],[_LeafCost]],N(Tasks[[#This Row],[Baseline Cost]])))</f>
        <v>0</v>
      </c>
      <c r="DE159" s="41" t="n">
        <f aca="false">Tasks[[#This Row],[_LeafBudget]]*Tasks[[#This Row],[_PlannedPct]]</f>
        <v>0</v>
      </c>
      <c r="DF159" s="41" t="n">
        <f aca="false">Tasks[[#This Row],[_LeafBudget]]*Tasks[[#This Row],[_LeafProgress]]</f>
        <v>0</v>
      </c>
      <c r="DG159" s="41" t="n">
        <f aca="false">IF(NOT(Tasks[[#This Row],[_IsLeaf]]=1),0,IF(Tasks[[#This Row],[Actual Cost]]="",Tasks[[#This Row],[_LeafCost]]*Tasks[[#This Row],[_LeafProgress]],N(Tasks[[#This Row],[Actual Cost]])))</f>
        <v>0</v>
      </c>
      <c r="DH159" s="41" t="str">
        <f aca="false">IF(Tasks[[#This Row],[Task Name]]="","",LEFT(Tasks[[#This Row],[WBS]],FIND(".",Tasks[[#This Row],[WBS]]&amp;".")-1))</f>
        <v/>
      </c>
      <c r="DI159" s="41" t="str">
        <f aca="false">IF(AND(Tasks[[#This Row],[Task Name]]&lt;&gt;"",Tasks[[#This Row],[_Level]]=1),Tasks[[#This Row],[_Row]],"")</f>
        <v/>
      </c>
      <c r="DJ159" s="41" t="str">
        <f aca="false">IF(AND(Tasks[[#This Row],[_IsLeaf]]=1,N(Tasks[[#This Row],[Duration]])=0),Tasks[[#This Row],[Planned Finish]]+Tasks[[#This Row],[_Row]]/100000,"")</f>
        <v/>
      </c>
      <c r="DK159" s="41" t="str">
        <f aca="false">IF(AND(Tasks[[#This Row],[_IsLeaf]]=1,Tasks[[#This Row],[_LeafProgress]]&lt;1,OR(N(Tasks[[#This Row],[Finish Var]])&gt;0,Tasks[[#This Row],[Status]]="Late Start")),MAX(0,Tasks[[#This Row],[Finish Var]])+1-Tasks[[#This Row],[_Row]]/1000000,"")</f>
        <v/>
      </c>
      <c r="DL159" s="41" t="str">
        <f aca="false">IF(AND(Tasks[[#This Row],[_IsLeaf]]=1,N(Tasks[[#This Row],[Actual Start]])=0,Tasks[[#This Row],[_LeafFcstStart]]&gt;=StatusDate,Tasks[[#This Row],[_LeafFcstStart]]&lt;=LookaheadEnd),Tasks[[#This Row],[_LeafFcstStart]]+Tasks[[#This Row],[_Row]]/100000,"")</f>
        <v/>
      </c>
      <c r="DM159" s="41" t="str">
        <f aca="false">IF(AND(Tasks[[#This Row],[_IsLeaf]]=1,Tasks[[#This Row],[_LeafProgress]]&lt;1,Tasks[[#This Row],[_LeafFcstFinish]]&gt;=StatusDate,Tasks[[#This Row],[_LeafFcstFinish]]&lt;=LookaheadEnd),Tasks[[#This Row],[_LeafFcstFinish]]+Tasks[[#This Row],[_Row]]/100000,"")</f>
        <v/>
      </c>
      <c r="DN159" s="41" t="str">
        <f aca="false">IF(Tasks[[#This Row],[_LeafCritical]],Tasks[[#This Row],[_LeafFcstStart]]+Tasks[[#This Row],[_Row]]/100000,"")</f>
        <v/>
      </c>
      <c r="DO159" s="41" t="n">
        <f aca="false">Tasks[[#This Row],[_LeafWork]]*Tasks[[#This Row],[_LeafProgress]]</f>
        <v>0</v>
      </c>
      <c r="DP159" s="100" t="str">
        <f aca="false">IF(AND(Tasks[[#This Row],[_IsLeaf]]=1,Tasks[[#This Row],[_LeafProgress]]&gt;=1),IF(N(Tasks[[#This Row],[Actual Finish]])&gt;0,Tasks[[#This Row],[Actual Finish]],Tasks[[#This Row],[_LeafFcstFinish]]),"")</f>
        <v/>
      </c>
      <c r="DQ159" s="41" t="n">
        <f aca="false">IF(Tasks[[#This Row],[_IsLeaf]]=1,N(Tasks[[#This Row],[Story Points]]),0)</f>
        <v>0</v>
      </c>
      <c r="DR159" s="41" t="str">
        <f aca="false">IF(AND(Tasks[[#This Row],[_IsLeaf]]=1,CurrentSprint&lt;&gt;"",Tasks[[#This Row],[Sprint]]=CurrentSprint),Tasks[[#This Row],[_Row]],"")</f>
        <v/>
      </c>
    </row>
    <row r="160" customFormat="false" ht="15" hidden="false" customHeight="false" outlineLevel="0" collapsed="false">
      <c r="A160" s="28" t="str">
        <f aca="false">IF(Tasks[[#This Row],[Task Name]]="","",COUNTA(Tasks[[#Headers],[Task Name]]:Tasks[[#This Row],[Task Name]])-1)</f>
        <v/>
      </c>
      <c r="B160" s="29" t="n">
        <v>155</v>
      </c>
      <c r="C16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0" s="29"/>
      <c r="E160" s="30"/>
      <c r="F160" s="29"/>
      <c r="G160" s="29"/>
      <c r="H160" s="29"/>
      <c r="I160" s="29"/>
      <c r="J160" s="29"/>
      <c r="K160" s="29"/>
      <c r="L160" s="29"/>
      <c r="M160" s="29"/>
      <c r="N160" s="73"/>
      <c r="O160" s="73"/>
      <c r="P160" s="25" t="str">
        <f aca="false">IF(Tasks[[#This Row],[Task Name]]="","",IF(N(Tasks[[#This Row],[Baseline Start]])&gt;0,Tasks[[#This Row],[Baseline Start]],Tasks[[#This Row],[_CalcStart]]))</f>
        <v/>
      </c>
      <c r="Q160" s="25" t="str">
        <f aca="false">IF(Tasks[[#This Row],[Task Name]]="","",IF(N(Tasks[[#This Row],[Baseline Finish]])&gt;0,Tasks[[#This Row],[Baseline Finish]],Tasks[[#This Row],[_CalcFinish]]))</f>
        <v/>
      </c>
      <c r="R160" s="73"/>
      <c r="S160" s="73"/>
      <c r="T160" s="25" t="str">
        <f aca="false">IF(Tasks[[#This Row],[Task Name]]="","",IF(Tasks[[#This Row],[_IsSummary]],MIN(INDEX(Tasks[_LeafFcstStart],Tasks[[#This Row],[_Row]]+1):INDEX(Tasks[_LeafFcstStart],Tasks[[#This Row],[_Row]]+Tasks[[#This Row],[_Descendants]])),Tasks[[#This Row],[_LeafFcstStart]]))</f>
        <v/>
      </c>
      <c r="U160" s="25" t="str">
        <f aca="false">IF(Tasks[[#This Row],[Task Name]]="","",IF(Tasks[[#This Row],[_IsSummary]],MAX(INDEX(Tasks[_LeafFcstFinish],Tasks[[#This Row],[_Row]]+1):INDEX(Tasks[_LeafFcstFinish],Tasks[[#This Row],[_Row]]+Tasks[[#This Row],[_Descendants]])),Tasks[[#This Row],[_LeafFcstFinish]]))</f>
        <v/>
      </c>
      <c r="V16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6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0" s="25" t="str">
        <f aca="false">IF(Tasks[[#This Row],[Task Name]]="","",IF(Tasks[[#This Row],[_IsSummary]],MIN(INDEX(Tasks[_LeafLateStart],Tasks[[#This Row],[_Row]]+1):INDEX(Tasks[_LeafLateStart],Tasks[[#This Row],[_Row]]+Tasks[[#This Row],[_Descendants]])),Tasks[[#This Row],[_LeafLateStart]]))</f>
        <v/>
      </c>
      <c r="Y160" s="25" t="str">
        <f aca="false">IF(Tasks[[#This Row],[Task Name]]="","",IF(Tasks[[#This Row],[_IsSummary]],MAX(INDEX(Tasks[_LeafLateFinish],Tasks[[#This Row],[_Row]]+1):INDEX(Tasks[_LeafLateFinish],Tasks[[#This Row],[_Row]]+Tasks[[#This Row],[_Descendants]])),Tasks[[#This Row],[_LeafLateFinish]]))</f>
        <v/>
      </c>
      <c r="Z160" s="43" t="str">
        <f aca="false">IF(Tasks[[#This Row],[Task Name]]="","",IF(Tasks[[#This Row],[_IsSummary]],MIN(INDEX(Tasks[_LeafTotalSlack],Tasks[[#This Row],[_Row]]+1):INDEX(Tasks[_LeafTotalSlack],Tasks[[#This Row],[_Row]]+Tasks[[#This Row],[_Descendants]])),Tasks[[#This Row],[_LeafTotalSlack]]))</f>
        <v/>
      </c>
      <c r="AA16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0" s="28" t="str">
        <f aca="false">IF(Tasks[[#This Row],[Task Name]]="","",IF(IF(Tasks[[#This Row],[_IsSummary]],COUNTIF(INDEX(Tasks[_LeafCritical],Tasks[[#This Row],[_Row]]+1):INDEX(Tasks[_LeafCritical],Tasks[[#This Row],[_Row]]+Tasks[[#This Row],[_Descendants]]),TRUE())&gt;0,Tasks[[#This Row],[_LeafCritical]]),"Yes",""))</f>
        <v/>
      </c>
      <c r="AC16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0" s="24" t="str">
        <f aca="false">IF(Tasks[[#This Row],[Task Name]]="","",TRIM(IF(Tasks[[#This Row],[_Pred1Problem]]&lt;&gt;"","Pred 1: "&amp;Tasks[[#This Row],[_Pred1Problem]]&amp;". ","")&amp;IF(Tasks[[#This Row],[_Pred2Problem]]&lt;&gt;"","Pred 2: "&amp;Tasks[[#This Row],[_Pred2Problem]]&amp;".","")))</f>
        <v/>
      </c>
      <c r="AE160" s="88"/>
      <c r="AF160"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0" s="28" t="str">
        <f aca="false">IF(Tasks[[#This Row],[Task Name]]="","",IF(Tasks[[#This Row],[Progress]]&gt;=1,"Complete",IF(OR(N(Tasks[[#This Row],[Actual Start]])&gt;0,Tasks[[#This Row],[Progress]]&gt;0),IF(Tasks[[#This Row],[Finish Var]]&gt;0,"Behind","In Progress"),IF(Tasks[[#This Row],[Planned Start]]&lt;StatusDate,"Late Start","Not Started"))))</f>
        <v/>
      </c>
      <c r="AH160" s="30"/>
      <c r="AI160" s="88"/>
      <c r="AJ160" s="95" t="str">
        <f aca="false">IF(Tasks[[#This Row],[Task Name]]="","",IF(Tasks[[#This Row],[_IsSummary]],SUM(INDEX(Tasks[_LeafWork],Tasks[[#This Row],[_Row]]+1):INDEX(Tasks[_LeafWork],Tasks[[#This Row],[_Row]]+Tasks[[#This Row],[_Descendants]])),Tasks[[#This Row],[_LeafWork]]))</f>
        <v/>
      </c>
      <c r="AK160" s="96" t="str">
        <f aca="false">IF(Tasks[[#This Row],[Task Name]]="","",IF(Tasks[[#This Row],[_IsSummary]],SUM(INDEX(Tasks[_LeafCost],Tasks[[#This Row],[_Row]]+1):INDEX(Tasks[_LeafCost],Tasks[[#This Row],[_Row]]+Tasks[[#This Row],[_Descendants]])),Tasks[[#This Row],[_LeafCost]]))</f>
        <v/>
      </c>
      <c r="AL160" s="97"/>
      <c r="AM160" s="29"/>
      <c r="AN16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60" s="82"/>
      <c r="AP160" s="24" t="str">
        <f aca="false">IF(Tasks[[#This Row],[Task Name]]="","",Tasks[[#This Row],[_Pred1IDText]]&amp;IF(AND(Tasks[[#This Row],[_Pred1IDText]]&lt;&gt;"",Tasks[[#This Row],[_Pred2IDText]]&lt;&gt;""),",","")&amp;Tasks[[#This Row],[_Pred2IDText]])</f>
        <v/>
      </c>
      <c r="AQ160" s="30"/>
      <c r="AR160" s="25" t="str">
        <f aca="false">IF(Tasks[[#This Row],[Task Name]]="","",Tasks[[#This Row],[Forecast Start]])</f>
        <v/>
      </c>
      <c r="AS160" s="25" t="str">
        <f aca="false">IF(Tasks[[#This Row],[Task Name]]="","",Tasks[[#This Row],[Forecast Finish]])</f>
        <v/>
      </c>
      <c r="AT160" s="28" t="str">
        <f aca="false">IF(Tasks[[#This Row],[Task Name]]="","",IF(Tasks[[#This Row],[_IsSummary]],NETWORKDAYS.INTL(Tasks[[#This Row],[Forecast Start]],Tasks[[#This Row],[Forecast Finish]],WorkWeek,Holidays),N(Tasks[[#This Row],[Duration]])))</f>
        <v/>
      </c>
      <c r="AU160" s="95" t="str">
        <f aca="false">IF(Tasks[[#This Row],[Task Name]]="","",Tasks[[#This Row],[Work]])</f>
        <v/>
      </c>
      <c r="AV160" s="96" t="str">
        <f aca="false">IF(Tasks[[#This Row],[Task Name]]="","",Tasks[[#This Row],[Cost]])</f>
        <v/>
      </c>
      <c r="AW160" s="73"/>
      <c r="AX160" s="73"/>
      <c r="AY160" s="29"/>
      <c r="AZ160" s="98"/>
      <c r="BA160" s="97"/>
      <c r="BB160" s="28" t="str">
        <f aca="false">IF(OR(Tasks[[#This Row],[Task Name]]="",Tasks[[#This Row],[Baseline Duration]]=""),"",Tasks[[#This Row],[BL Source Duration]]-N(Tasks[[#This Row],[Baseline Duration]]))</f>
        <v/>
      </c>
      <c r="BC160" s="95" t="str">
        <f aca="false">IF(OR(Tasks[[#This Row],[Task Name]]="",Tasks[[#This Row],[Baseline Work]]=""),"",Tasks[[#This Row],[Work]]-N(Tasks[[#This Row],[Baseline Work]]))</f>
        <v/>
      </c>
      <c r="BD160" s="96" t="str">
        <f aca="false">IF(OR(Tasks[[#This Row],[Task Name]]="",Tasks[[#This Row],[Baseline Cost]]=""),"",Tasks[[#This Row],[Cost]]-N(Tasks[[#This Row],[Baseline Cost]]))</f>
        <v/>
      </c>
      <c r="BE160" s="96" t="str">
        <f aca="false">IF(Tasks[[#This Row],[Task Name]]="","",IF(Tasks[[#This Row],[_IsSummary]],SUM(INDEX(Tasks[_LeafBudget],Tasks[[#This Row],[_Row]]+1):INDEX(Tasks[_LeafBudget],Tasks[[#This Row],[_Row]]+Tasks[[#This Row],[_Descendants]])),Tasks[[#This Row],[_LeafBudget]]))</f>
        <v/>
      </c>
      <c r="BF160" s="96" t="str">
        <f aca="false">IF(Tasks[[#This Row],[Task Name]]="","",IF(Tasks[[#This Row],[_IsSummary]],SUM(INDEX(Tasks[_LeafPV],Tasks[[#This Row],[_Row]]+1):INDEX(Tasks[_LeafPV],Tasks[[#This Row],[_Row]]+Tasks[[#This Row],[_Descendants]])),Tasks[[#This Row],[_LeafPV]]))</f>
        <v/>
      </c>
      <c r="BG160" s="96" t="str">
        <f aca="false">IF(Tasks[[#This Row],[Task Name]]="","",IF(Tasks[[#This Row],[_IsSummary]],SUM(INDEX(Tasks[_LeafEV],Tasks[[#This Row],[_Row]]+1):INDEX(Tasks[_LeafEV],Tasks[[#This Row],[_Row]]+Tasks[[#This Row],[_Descendants]])),Tasks[[#This Row],[_LeafEV]]))</f>
        <v/>
      </c>
      <c r="BH160" s="96" t="str">
        <f aca="false">IF(Tasks[[#This Row],[Task Name]]="","",IF(Tasks[[#This Row],[_IsSummary]],SUM(INDEX(Tasks[_LeafAC],Tasks[[#This Row],[_Row]]+1):INDEX(Tasks[_LeafAC],Tasks[[#This Row],[_Row]]+Tasks[[#This Row],[_Descendants]])),Tasks[[#This Row],[_LeafAC]]))</f>
        <v/>
      </c>
      <c r="BI160" s="41" t="str">
        <f aca="false">IF(Tasks[[#This Row],[Task Name]]="","",MAX(1,N(Tasks[[#This Row],[Level]])))</f>
        <v/>
      </c>
      <c r="BJ160" s="41" t="n">
        <f aca="false">ROW()-ROW(Tasks[[#Headers],[ID]])</f>
        <v>155</v>
      </c>
      <c r="BK160" s="41" t="n">
        <f aca="false">IF(OR(Tasks[[#This Row],[Task Name]]="",Tasks[[#This Row],[_Level]]&lt;=1),0,IFERROR(LOOKUP(2,1/(Tasks[[#Headers],[_Level]]:Tasks[[#This Row],[_Level]]=Tasks[[#This Row],[_Level]]-1),ROW(Tasks[[#Headers],[_Level]]:Tasks[[#This Row],[_Level]])),0))</f>
        <v>0</v>
      </c>
      <c r="BL160" s="41" t="n">
        <f aca="false">IFERROR(N(INDEX(Tasks[_Level],Tasks[[#This Row],[_Row]]+1)),0)</f>
        <v>0</v>
      </c>
      <c r="BM160" s="99" t="b">
        <f aca="false">AND(Tasks[[#This Row],[Task Name]]&lt;&gt;"",Tasks[[#This Row],[_NextLevel]]&gt;Tasks[[#This Row],[_Level]])</f>
        <v>0</v>
      </c>
      <c r="BN160" s="41" t="n">
        <f aca="false">IF(Tasks[[#This Row],[_IsSummary]],COUNTIF(Tasks[WBS],Tasks[[#This Row],[WBS]]&amp;".*"),0)</f>
        <v>0</v>
      </c>
      <c r="BO160" s="41" t="n">
        <f aca="false">IF(AND(Tasks[[#This Row],[Task Name]]&lt;&gt;"",NOT(Tasks[[#This Row],[_IsSummary]])),1,0)</f>
        <v>0</v>
      </c>
      <c r="BP160" s="41" t="n">
        <f aca="false">IF(N(Tasks[[#This Row],[Pred1 UID]])=0,0,IFERROR(MATCH(Tasks[[#This Row],[Pred1 UID]],Tasks[UID],0),-1))</f>
        <v>0</v>
      </c>
      <c r="BQ160" s="41" t="n">
        <f aca="false">IF(N(Tasks[[#This Row],[Pred2 UID]])=0,0,IFERROR(MATCH(Tasks[[#This Row],[Pred2 UID]],Tasks[UID],0),-1))</f>
        <v>0</v>
      </c>
      <c r="BR160"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60" s="100" t="str">
        <f aca="false">IF(NOT(Tasks[[#This Row],[_IsLeaf]]=1),"",IF(N(Tasks[[#This Row],[Duration]])&lt;=0,Tasks[[#This Row],[_LeafCalcStart]],WORKDAY.INTL(Tasks[[#This Row],[_LeafCalcStart]],Tasks[[#This Row],[Duration]]-1,WorkWeek,Holidays)))</f>
        <v/>
      </c>
      <c r="BT160"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60"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60" s="41" t="n">
        <f aca="false">IF(NOT(Tasks[[#This Row],[_IsLeaf]]=1),0,IF(N(Tasks[[#This Row],[Actual Finish]])&gt;0,1,MIN(1,N(Tasks[[#This Row],[% Complete]]))))</f>
        <v>0</v>
      </c>
      <c r="BW160" s="41" t="n">
        <f aca="false">IF(OR(NOT(Tasks[[#This Row],[_IsLeaf]]=1),Tasks[[#This Row],[Resource]]=""),0,N(Tasks[[#This Row],[Duration]])*HoursPerDay*IF(Tasks[[#This Row],[Units]]="",DefaultUnits,Tasks[[#This Row],[Units]]))</f>
        <v>0</v>
      </c>
      <c r="BX160" s="41" t="n">
        <f aca="false">IF(Tasks[[#This Row],[_LeafWork]]=0,0,Tasks[[#This Row],[_LeafWork]]*IFERROR(INDEX(res_Rate,MATCH(Tasks[[#This Row],[Resource]],res_Name,0)),0))</f>
        <v>0</v>
      </c>
      <c r="BY16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6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6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6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60" s="41" t="n">
        <f aca="false">IF(NOT(Tasks[[#This Row],[_IsLeaf]]=1),0,MAX(_xlfn.MAXIFS(Tasks[_Row],Tasks[Pred1 UID],Tasks[[#This Row],[UID]]),_xlfn.MAXIFS(Tasks[_Row],Tasks[Pred2 UID],Tasks[[#This Row],[UID]])))</f>
        <v>0</v>
      </c>
      <c r="CD160"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60" s="100" t="str">
        <f aca="false">IF(NOT(Tasks[[#This Row],[_IsLeaf]]=1),"",MIN(ProjectFinish,IF(N(Tasks[[#This Row],[Deadline]])&gt;0,Tasks[[#This Row],[Deadline]],2958465),Tasks[[#This Row],[_SuccessorFinishLimit]]))</f>
        <v/>
      </c>
      <c r="CF160" s="100" t="str">
        <f aca="false">IF(NOT(Tasks[[#This Row],[_IsLeaf]]=1),"",IF(N(Tasks[[#This Row],[Duration]])&lt;=0,Tasks[[#This Row],[_LeafLateFinish]],WORKDAY.INTL(Tasks[[#This Row],[_LeafLateFinish]],-(Tasks[[#This Row],[Duration]]-1),WorkWeek,Holidays)))</f>
        <v/>
      </c>
      <c r="CG16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60" s="99" t="b">
        <f aca="false">AND(Tasks[[#This Row],[_IsLeaf]]=1,Tasks[[#This Row],[_LeafProgress]]&lt;1,N(Tasks[[#This Row],[_LeafTotalSlack]])&lt;=CriticalSlackDays)</f>
        <v>0</v>
      </c>
      <c r="CI160" s="100" t="str">
        <f aca="false">IF(Tasks[[#This Row],[Task Name]]="","",IF(Tasks[[#This Row],[_IsSummary]],MIN(INDEX(Tasks[_LeafCalcStart],Tasks[[#This Row],[_Row]]+1):INDEX(Tasks[_LeafCalcStart],Tasks[[#This Row],[_Row]]+Tasks[[#This Row],[_Descendants]])),Tasks[[#This Row],[_LeafCalcStart]]))</f>
        <v/>
      </c>
      <c r="CJ160" s="100" t="str">
        <f aca="false">IF(Tasks[[#This Row],[Task Name]]="","",IF(Tasks[[#This Row],[_IsSummary]],MAX(INDEX(Tasks[_LeafCalcFinish],Tasks[[#This Row],[_Row]]+1):INDEX(Tasks[_LeafCalcFinish],Tasks[[#This Row],[_Row]]+Tasks[[#This Row],[_Descendants]])),Tasks[[#This Row],[_LeafCalcFinish]]))</f>
        <v/>
      </c>
      <c r="CK16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6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60"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60"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60"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60"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60" s="41" t="n">
        <f aca="false">IF(AND(Tasks[[#This Row],[_IsLeaf]]=1,Tasks[[#This Row],[_LeafWork]]&gt;0),NETWORKDAYS.INTL(ProjectStart,Tasks[[#This Row],[_LeafFcstStart]],WorkWeek,Holidays),0)</f>
        <v>0</v>
      </c>
      <c r="CR160" s="41" t="n">
        <f aca="false">IF(AND(Tasks[[#This Row],[_IsLeaf]]=1,Tasks[[#This Row],[_LeafWork]]&gt;0),MAX(Tasks[[#This Row],[_StartWorkday]],NETWORKDAYS.INTL(ProjectStart,Tasks[[#This Row],[_LeafFcstFinish]],WorkWeek,Holidays)),0)</f>
        <v>0</v>
      </c>
      <c r="CS160" s="41" t="n">
        <f aca="false">IF(AND(Tasks[[#This Row],[_IsLeaf]]=1,Tasks[[#This Row],[_LeafWork]]&gt;0),Tasks[[#This Row],[_LeafWork]]/(Tasks[[#This Row],[_FinishWorkday]]-Tasks[[#This Row],[_StartWorkday]]+1),0)</f>
        <v>0</v>
      </c>
      <c r="CT160" s="41" t="n">
        <f aca="false">Tasks[[#This Row],[_WorkPerWorkday]]*(Tasks[[#This Row],[_StartWorkday]]-1)</f>
        <v>-0</v>
      </c>
      <c r="CU160" s="41" t="n">
        <f aca="false">IF(Tasks[[#This Row],[_IsLeaf]]=1,MAX(N(Tasks[[#This Row],[Duration]]),0.1),0)</f>
        <v>0</v>
      </c>
      <c r="CV160" s="41" t="n">
        <f aca="false">Tasks[[#This Row],[_WeightDur]]*Tasks[[#This Row],[_LeafProgress]]</f>
        <v>0</v>
      </c>
      <c r="CW16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6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6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6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60" s="41" t="str">
        <f aca="false">IF(Tasks[[#This Row],[Task Name]]="","",Tasks[[#This Row],[_Pred1UIDText]]&amp;IF(AND(Tasks[[#This Row],[_Pred1UIDText]]&lt;&gt;"",Tasks[[#This Row],[_Pred2UIDText]]&lt;&gt;""),",","")&amp;Tasks[[#This Row],[_Pred2UIDText]])</f>
        <v/>
      </c>
      <c r="DB160" s="41" t="str">
        <f aca="false">IF(AND(Tasks[[#This Row],[_IsLeaf]]=1,N(Tasks[[#This Row],[Duration]])=0,Tasks[[#This Row],[_LeafProgress]]&lt;1),Tasks[[#This Row],[_LeafFcstFinish]]+Tasks[[#This Row],[_Row]]/100000,"")</f>
        <v/>
      </c>
      <c r="DC16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60" s="41" t="n">
        <f aca="false">IF(NOT(Tasks[[#This Row],[_IsLeaf]]=1),0,IF(Tasks[[#This Row],[Baseline Cost]]="",Tasks[[#This Row],[_LeafCost]],N(Tasks[[#This Row],[Baseline Cost]])))</f>
        <v>0</v>
      </c>
      <c r="DE160" s="41" t="n">
        <f aca="false">Tasks[[#This Row],[_LeafBudget]]*Tasks[[#This Row],[_PlannedPct]]</f>
        <v>0</v>
      </c>
      <c r="DF160" s="41" t="n">
        <f aca="false">Tasks[[#This Row],[_LeafBudget]]*Tasks[[#This Row],[_LeafProgress]]</f>
        <v>0</v>
      </c>
      <c r="DG160" s="41" t="n">
        <f aca="false">IF(NOT(Tasks[[#This Row],[_IsLeaf]]=1),0,IF(Tasks[[#This Row],[Actual Cost]]="",Tasks[[#This Row],[_LeafCost]]*Tasks[[#This Row],[_LeafProgress]],N(Tasks[[#This Row],[Actual Cost]])))</f>
        <v>0</v>
      </c>
      <c r="DH160" s="41" t="str">
        <f aca="false">IF(Tasks[[#This Row],[Task Name]]="","",LEFT(Tasks[[#This Row],[WBS]],FIND(".",Tasks[[#This Row],[WBS]]&amp;".")-1))</f>
        <v/>
      </c>
      <c r="DI160" s="41" t="str">
        <f aca="false">IF(AND(Tasks[[#This Row],[Task Name]]&lt;&gt;"",Tasks[[#This Row],[_Level]]=1),Tasks[[#This Row],[_Row]],"")</f>
        <v/>
      </c>
      <c r="DJ160" s="41" t="str">
        <f aca="false">IF(AND(Tasks[[#This Row],[_IsLeaf]]=1,N(Tasks[[#This Row],[Duration]])=0),Tasks[[#This Row],[Planned Finish]]+Tasks[[#This Row],[_Row]]/100000,"")</f>
        <v/>
      </c>
      <c r="DK160" s="41" t="str">
        <f aca="false">IF(AND(Tasks[[#This Row],[_IsLeaf]]=1,Tasks[[#This Row],[_LeafProgress]]&lt;1,OR(N(Tasks[[#This Row],[Finish Var]])&gt;0,Tasks[[#This Row],[Status]]="Late Start")),MAX(0,Tasks[[#This Row],[Finish Var]])+1-Tasks[[#This Row],[_Row]]/1000000,"")</f>
        <v/>
      </c>
      <c r="DL160" s="41" t="str">
        <f aca="false">IF(AND(Tasks[[#This Row],[_IsLeaf]]=1,N(Tasks[[#This Row],[Actual Start]])=0,Tasks[[#This Row],[_LeafFcstStart]]&gt;=StatusDate,Tasks[[#This Row],[_LeafFcstStart]]&lt;=LookaheadEnd),Tasks[[#This Row],[_LeafFcstStart]]+Tasks[[#This Row],[_Row]]/100000,"")</f>
        <v/>
      </c>
      <c r="DM160" s="41" t="str">
        <f aca="false">IF(AND(Tasks[[#This Row],[_IsLeaf]]=1,Tasks[[#This Row],[_LeafProgress]]&lt;1,Tasks[[#This Row],[_LeafFcstFinish]]&gt;=StatusDate,Tasks[[#This Row],[_LeafFcstFinish]]&lt;=LookaheadEnd),Tasks[[#This Row],[_LeafFcstFinish]]+Tasks[[#This Row],[_Row]]/100000,"")</f>
        <v/>
      </c>
      <c r="DN160" s="41" t="str">
        <f aca="false">IF(Tasks[[#This Row],[_LeafCritical]],Tasks[[#This Row],[_LeafFcstStart]]+Tasks[[#This Row],[_Row]]/100000,"")</f>
        <v/>
      </c>
      <c r="DO160" s="41" t="n">
        <f aca="false">Tasks[[#This Row],[_LeafWork]]*Tasks[[#This Row],[_LeafProgress]]</f>
        <v>0</v>
      </c>
      <c r="DP160" s="100" t="str">
        <f aca="false">IF(AND(Tasks[[#This Row],[_IsLeaf]]=1,Tasks[[#This Row],[_LeafProgress]]&gt;=1),IF(N(Tasks[[#This Row],[Actual Finish]])&gt;0,Tasks[[#This Row],[Actual Finish]],Tasks[[#This Row],[_LeafFcstFinish]]),"")</f>
        <v/>
      </c>
      <c r="DQ160" s="41" t="n">
        <f aca="false">IF(Tasks[[#This Row],[_IsLeaf]]=1,N(Tasks[[#This Row],[Story Points]]),0)</f>
        <v>0</v>
      </c>
      <c r="DR160" s="41" t="str">
        <f aca="false">IF(AND(Tasks[[#This Row],[_IsLeaf]]=1,CurrentSprint&lt;&gt;"",Tasks[[#This Row],[Sprint]]=CurrentSprint),Tasks[[#This Row],[_Row]],"")</f>
        <v/>
      </c>
    </row>
    <row r="161" customFormat="false" ht="15" hidden="false" customHeight="false" outlineLevel="0" collapsed="false">
      <c r="A161" s="28" t="str">
        <f aca="false">IF(Tasks[[#This Row],[Task Name]]="","",COUNTA(Tasks[[#Headers],[Task Name]]:Tasks[[#This Row],[Task Name]])-1)</f>
        <v/>
      </c>
      <c r="B161" s="29" t="n">
        <v>156</v>
      </c>
      <c r="C16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1" s="29"/>
      <c r="E161" s="30"/>
      <c r="F161" s="29"/>
      <c r="G161" s="29"/>
      <c r="H161" s="29"/>
      <c r="I161" s="29"/>
      <c r="J161" s="29"/>
      <c r="K161" s="29"/>
      <c r="L161" s="29"/>
      <c r="M161" s="29"/>
      <c r="N161" s="73"/>
      <c r="O161" s="73"/>
      <c r="P161" s="25" t="str">
        <f aca="false">IF(Tasks[[#This Row],[Task Name]]="","",IF(N(Tasks[[#This Row],[Baseline Start]])&gt;0,Tasks[[#This Row],[Baseline Start]],Tasks[[#This Row],[_CalcStart]]))</f>
        <v/>
      </c>
      <c r="Q161" s="25" t="str">
        <f aca="false">IF(Tasks[[#This Row],[Task Name]]="","",IF(N(Tasks[[#This Row],[Baseline Finish]])&gt;0,Tasks[[#This Row],[Baseline Finish]],Tasks[[#This Row],[_CalcFinish]]))</f>
        <v/>
      </c>
      <c r="R161" s="73"/>
      <c r="S161" s="73"/>
      <c r="T161" s="25" t="str">
        <f aca="false">IF(Tasks[[#This Row],[Task Name]]="","",IF(Tasks[[#This Row],[_IsSummary]],MIN(INDEX(Tasks[_LeafFcstStart],Tasks[[#This Row],[_Row]]+1):INDEX(Tasks[_LeafFcstStart],Tasks[[#This Row],[_Row]]+Tasks[[#This Row],[_Descendants]])),Tasks[[#This Row],[_LeafFcstStart]]))</f>
        <v/>
      </c>
      <c r="U161" s="25" t="str">
        <f aca="false">IF(Tasks[[#This Row],[Task Name]]="","",IF(Tasks[[#This Row],[_IsSummary]],MAX(INDEX(Tasks[_LeafFcstFinish],Tasks[[#This Row],[_Row]]+1):INDEX(Tasks[_LeafFcstFinish],Tasks[[#This Row],[_Row]]+Tasks[[#This Row],[_Descendants]])),Tasks[[#This Row],[_LeafFcstFinish]]))</f>
        <v/>
      </c>
      <c r="V16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6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1" s="25" t="str">
        <f aca="false">IF(Tasks[[#This Row],[Task Name]]="","",IF(Tasks[[#This Row],[_IsSummary]],MIN(INDEX(Tasks[_LeafLateStart],Tasks[[#This Row],[_Row]]+1):INDEX(Tasks[_LeafLateStart],Tasks[[#This Row],[_Row]]+Tasks[[#This Row],[_Descendants]])),Tasks[[#This Row],[_LeafLateStart]]))</f>
        <v/>
      </c>
      <c r="Y161" s="25" t="str">
        <f aca="false">IF(Tasks[[#This Row],[Task Name]]="","",IF(Tasks[[#This Row],[_IsSummary]],MAX(INDEX(Tasks[_LeafLateFinish],Tasks[[#This Row],[_Row]]+1):INDEX(Tasks[_LeafLateFinish],Tasks[[#This Row],[_Row]]+Tasks[[#This Row],[_Descendants]])),Tasks[[#This Row],[_LeafLateFinish]]))</f>
        <v/>
      </c>
      <c r="Z161" s="43" t="str">
        <f aca="false">IF(Tasks[[#This Row],[Task Name]]="","",IF(Tasks[[#This Row],[_IsSummary]],MIN(INDEX(Tasks[_LeafTotalSlack],Tasks[[#This Row],[_Row]]+1):INDEX(Tasks[_LeafTotalSlack],Tasks[[#This Row],[_Row]]+Tasks[[#This Row],[_Descendants]])),Tasks[[#This Row],[_LeafTotalSlack]]))</f>
        <v/>
      </c>
      <c r="AA16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1" s="28" t="str">
        <f aca="false">IF(Tasks[[#This Row],[Task Name]]="","",IF(IF(Tasks[[#This Row],[_IsSummary]],COUNTIF(INDEX(Tasks[_LeafCritical],Tasks[[#This Row],[_Row]]+1):INDEX(Tasks[_LeafCritical],Tasks[[#This Row],[_Row]]+Tasks[[#This Row],[_Descendants]]),TRUE())&gt;0,Tasks[[#This Row],[_LeafCritical]]),"Yes",""))</f>
        <v/>
      </c>
      <c r="AC16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1" s="24" t="str">
        <f aca="false">IF(Tasks[[#This Row],[Task Name]]="","",TRIM(IF(Tasks[[#This Row],[_Pred1Problem]]&lt;&gt;"","Pred 1: "&amp;Tasks[[#This Row],[_Pred1Problem]]&amp;". ","")&amp;IF(Tasks[[#This Row],[_Pred2Problem]]&lt;&gt;"","Pred 2: "&amp;Tasks[[#This Row],[_Pred2Problem]]&amp;".","")))</f>
        <v/>
      </c>
      <c r="AE161" s="88"/>
      <c r="AF161"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1" s="28" t="str">
        <f aca="false">IF(Tasks[[#This Row],[Task Name]]="","",IF(Tasks[[#This Row],[Progress]]&gt;=1,"Complete",IF(OR(N(Tasks[[#This Row],[Actual Start]])&gt;0,Tasks[[#This Row],[Progress]]&gt;0),IF(Tasks[[#This Row],[Finish Var]]&gt;0,"Behind","In Progress"),IF(Tasks[[#This Row],[Planned Start]]&lt;StatusDate,"Late Start","Not Started"))))</f>
        <v/>
      </c>
      <c r="AH161" s="30"/>
      <c r="AI161" s="88"/>
      <c r="AJ161" s="95" t="str">
        <f aca="false">IF(Tasks[[#This Row],[Task Name]]="","",IF(Tasks[[#This Row],[_IsSummary]],SUM(INDEX(Tasks[_LeafWork],Tasks[[#This Row],[_Row]]+1):INDEX(Tasks[_LeafWork],Tasks[[#This Row],[_Row]]+Tasks[[#This Row],[_Descendants]])),Tasks[[#This Row],[_LeafWork]]))</f>
        <v/>
      </c>
      <c r="AK161" s="96" t="str">
        <f aca="false">IF(Tasks[[#This Row],[Task Name]]="","",IF(Tasks[[#This Row],[_IsSummary]],SUM(INDEX(Tasks[_LeafCost],Tasks[[#This Row],[_Row]]+1):INDEX(Tasks[_LeafCost],Tasks[[#This Row],[_Row]]+Tasks[[#This Row],[_Descendants]])),Tasks[[#This Row],[_LeafCost]]))</f>
        <v/>
      </c>
      <c r="AL161" s="97"/>
      <c r="AM161" s="29"/>
      <c r="AN16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61" s="82"/>
      <c r="AP161" s="24" t="str">
        <f aca="false">IF(Tasks[[#This Row],[Task Name]]="","",Tasks[[#This Row],[_Pred1IDText]]&amp;IF(AND(Tasks[[#This Row],[_Pred1IDText]]&lt;&gt;"",Tasks[[#This Row],[_Pred2IDText]]&lt;&gt;""),",","")&amp;Tasks[[#This Row],[_Pred2IDText]])</f>
        <v/>
      </c>
      <c r="AQ161" s="30"/>
      <c r="AR161" s="25" t="str">
        <f aca="false">IF(Tasks[[#This Row],[Task Name]]="","",Tasks[[#This Row],[Forecast Start]])</f>
        <v/>
      </c>
      <c r="AS161" s="25" t="str">
        <f aca="false">IF(Tasks[[#This Row],[Task Name]]="","",Tasks[[#This Row],[Forecast Finish]])</f>
        <v/>
      </c>
      <c r="AT161" s="28" t="str">
        <f aca="false">IF(Tasks[[#This Row],[Task Name]]="","",IF(Tasks[[#This Row],[_IsSummary]],NETWORKDAYS.INTL(Tasks[[#This Row],[Forecast Start]],Tasks[[#This Row],[Forecast Finish]],WorkWeek,Holidays),N(Tasks[[#This Row],[Duration]])))</f>
        <v/>
      </c>
      <c r="AU161" s="95" t="str">
        <f aca="false">IF(Tasks[[#This Row],[Task Name]]="","",Tasks[[#This Row],[Work]])</f>
        <v/>
      </c>
      <c r="AV161" s="96" t="str">
        <f aca="false">IF(Tasks[[#This Row],[Task Name]]="","",Tasks[[#This Row],[Cost]])</f>
        <v/>
      </c>
      <c r="AW161" s="73"/>
      <c r="AX161" s="73"/>
      <c r="AY161" s="29"/>
      <c r="AZ161" s="98"/>
      <c r="BA161" s="97"/>
      <c r="BB161" s="28" t="str">
        <f aca="false">IF(OR(Tasks[[#This Row],[Task Name]]="",Tasks[[#This Row],[Baseline Duration]]=""),"",Tasks[[#This Row],[BL Source Duration]]-N(Tasks[[#This Row],[Baseline Duration]]))</f>
        <v/>
      </c>
      <c r="BC161" s="95" t="str">
        <f aca="false">IF(OR(Tasks[[#This Row],[Task Name]]="",Tasks[[#This Row],[Baseline Work]]=""),"",Tasks[[#This Row],[Work]]-N(Tasks[[#This Row],[Baseline Work]]))</f>
        <v/>
      </c>
      <c r="BD161" s="96" t="str">
        <f aca="false">IF(OR(Tasks[[#This Row],[Task Name]]="",Tasks[[#This Row],[Baseline Cost]]=""),"",Tasks[[#This Row],[Cost]]-N(Tasks[[#This Row],[Baseline Cost]]))</f>
        <v/>
      </c>
      <c r="BE161" s="96" t="str">
        <f aca="false">IF(Tasks[[#This Row],[Task Name]]="","",IF(Tasks[[#This Row],[_IsSummary]],SUM(INDEX(Tasks[_LeafBudget],Tasks[[#This Row],[_Row]]+1):INDEX(Tasks[_LeafBudget],Tasks[[#This Row],[_Row]]+Tasks[[#This Row],[_Descendants]])),Tasks[[#This Row],[_LeafBudget]]))</f>
        <v/>
      </c>
      <c r="BF161" s="96" t="str">
        <f aca="false">IF(Tasks[[#This Row],[Task Name]]="","",IF(Tasks[[#This Row],[_IsSummary]],SUM(INDEX(Tasks[_LeafPV],Tasks[[#This Row],[_Row]]+1):INDEX(Tasks[_LeafPV],Tasks[[#This Row],[_Row]]+Tasks[[#This Row],[_Descendants]])),Tasks[[#This Row],[_LeafPV]]))</f>
        <v/>
      </c>
      <c r="BG161" s="96" t="str">
        <f aca="false">IF(Tasks[[#This Row],[Task Name]]="","",IF(Tasks[[#This Row],[_IsSummary]],SUM(INDEX(Tasks[_LeafEV],Tasks[[#This Row],[_Row]]+1):INDEX(Tasks[_LeafEV],Tasks[[#This Row],[_Row]]+Tasks[[#This Row],[_Descendants]])),Tasks[[#This Row],[_LeafEV]]))</f>
        <v/>
      </c>
      <c r="BH161" s="96" t="str">
        <f aca="false">IF(Tasks[[#This Row],[Task Name]]="","",IF(Tasks[[#This Row],[_IsSummary]],SUM(INDEX(Tasks[_LeafAC],Tasks[[#This Row],[_Row]]+1):INDEX(Tasks[_LeafAC],Tasks[[#This Row],[_Row]]+Tasks[[#This Row],[_Descendants]])),Tasks[[#This Row],[_LeafAC]]))</f>
        <v/>
      </c>
      <c r="BI161" s="41" t="str">
        <f aca="false">IF(Tasks[[#This Row],[Task Name]]="","",MAX(1,N(Tasks[[#This Row],[Level]])))</f>
        <v/>
      </c>
      <c r="BJ161" s="41" t="n">
        <f aca="false">ROW()-ROW(Tasks[[#Headers],[ID]])</f>
        <v>156</v>
      </c>
      <c r="BK161" s="41" t="n">
        <f aca="false">IF(OR(Tasks[[#This Row],[Task Name]]="",Tasks[[#This Row],[_Level]]&lt;=1),0,IFERROR(LOOKUP(2,1/(Tasks[[#Headers],[_Level]]:Tasks[[#This Row],[_Level]]=Tasks[[#This Row],[_Level]]-1),ROW(Tasks[[#Headers],[_Level]]:Tasks[[#This Row],[_Level]])),0))</f>
        <v>0</v>
      </c>
      <c r="BL161" s="41" t="n">
        <f aca="false">IFERROR(N(INDEX(Tasks[_Level],Tasks[[#This Row],[_Row]]+1)),0)</f>
        <v>0</v>
      </c>
      <c r="BM161" s="99" t="b">
        <f aca="false">AND(Tasks[[#This Row],[Task Name]]&lt;&gt;"",Tasks[[#This Row],[_NextLevel]]&gt;Tasks[[#This Row],[_Level]])</f>
        <v>0</v>
      </c>
      <c r="BN161" s="41" t="n">
        <f aca="false">IF(Tasks[[#This Row],[_IsSummary]],COUNTIF(Tasks[WBS],Tasks[[#This Row],[WBS]]&amp;".*"),0)</f>
        <v>0</v>
      </c>
      <c r="BO161" s="41" t="n">
        <f aca="false">IF(AND(Tasks[[#This Row],[Task Name]]&lt;&gt;"",NOT(Tasks[[#This Row],[_IsSummary]])),1,0)</f>
        <v>0</v>
      </c>
      <c r="BP161" s="41" t="n">
        <f aca="false">IF(N(Tasks[[#This Row],[Pred1 UID]])=0,0,IFERROR(MATCH(Tasks[[#This Row],[Pred1 UID]],Tasks[UID],0),-1))</f>
        <v>0</v>
      </c>
      <c r="BQ161" s="41" t="n">
        <f aca="false">IF(N(Tasks[[#This Row],[Pred2 UID]])=0,0,IFERROR(MATCH(Tasks[[#This Row],[Pred2 UID]],Tasks[UID],0),-1))</f>
        <v>0</v>
      </c>
      <c r="BR161"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61" s="100" t="str">
        <f aca="false">IF(NOT(Tasks[[#This Row],[_IsLeaf]]=1),"",IF(N(Tasks[[#This Row],[Duration]])&lt;=0,Tasks[[#This Row],[_LeafCalcStart]],WORKDAY.INTL(Tasks[[#This Row],[_LeafCalcStart]],Tasks[[#This Row],[Duration]]-1,WorkWeek,Holidays)))</f>
        <v/>
      </c>
      <c r="BT161"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61"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61" s="41" t="n">
        <f aca="false">IF(NOT(Tasks[[#This Row],[_IsLeaf]]=1),0,IF(N(Tasks[[#This Row],[Actual Finish]])&gt;0,1,MIN(1,N(Tasks[[#This Row],[% Complete]]))))</f>
        <v>0</v>
      </c>
      <c r="BW161" s="41" t="n">
        <f aca="false">IF(OR(NOT(Tasks[[#This Row],[_IsLeaf]]=1),Tasks[[#This Row],[Resource]]=""),0,N(Tasks[[#This Row],[Duration]])*HoursPerDay*IF(Tasks[[#This Row],[Units]]="",DefaultUnits,Tasks[[#This Row],[Units]]))</f>
        <v>0</v>
      </c>
      <c r="BX161" s="41" t="n">
        <f aca="false">IF(Tasks[[#This Row],[_LeafWork]]=0,0,Tasks[[#This Row],[_LeafWork]]*IFERROR(INDEX(res_Rate,MATCH(Tasks[[#This Row],[Resource]],res_Name,0)),0))</f>
        <v>0</v>
      </c>
      <c r="BY16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6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6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6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61" s="41" t="n">
        <f aca="false">IF(NOT(Tasks[[#This Row],[_IsLeaf]]=1),0,MAX(_xlfn.MAXIFS(Tasks[_Row],Tasks[Pred1 UID],Tasks[[#This Row],[UID]]),_xlfn.MAXIFS(Tasks[_Row],Tasks[Pred2 UID],Tasks[[#This Row],[UID]])))</f>
        <v>0</v>
      </c>
      <c r="CD161"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61" s="100" t="str">
        <f aca="false">IF(NOT(Tasks[[#This Row],[_IsLeaf]]=1),"",MIN(ProjectFinish,IF(N(Tasks[[#This Row],[Deadline]])&gt;0,Tasks[[#This Row],[Deadline]],2958465),Tasks[[#This Row],[_SuccessorFinishLimit]]))</f>
        <v/>
      </c>
      <c r="CF161" s="100" t="str">
        <f aca="false">IF(NOT(Tasks[[#This Row],[_IsLeaf]]=1),"",IF(N(Tasks[[#This Row],[Duration]])&lt;=0,Tasks[[#This Row],[_LeafLateFinish]],WORKDAY.INTL(Tasks[[#This Row],[_LeafLateFinish]],-(Tasks[[#This Row],[Duration]]-1),WorkWeek,Holidays)))</f>
        <v/>
      </c>
      <c r="CG16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61" s="99" t="b">
        <f aca="false">AND(Tasks[[#This Row],[_IsLeaf]]=1,Tasks[[#This Row],[_LeafProgress]]&lt;1,N(Tasks[[#This Row],[_LeafTotalSlack]])&lt;=CriticalSlackDays)</f>
        <v>0</v>
      </c>
      <c r="CI161" s="100" t="str">
        <f aca="false">IF(Tasks[[#This Row],[Task Name]]="","",IF(Tasks[[#This Row],[_IsSummary]],MIN(INDEX(Tasks[_LeafCalcStart],Tasks[[#This Row],[_Row]]+1):INDEX(Tasks[_LeafCalcStart],Tasks[[#This Row],[_Row]]+Tasks[[#This Row],[_Descendants]])),Tasks[[#This Row],[_LeafCalcStart]]))</f>
        <v/>
      </c>
      <c r="CJ161" s="100" t="str">
        <f aca="false">IF(Tasks[[#This Row],[Task Name]]="","",IF(Tasks[[#This Row],[_IsSummary]],MAX(INDEX(Tasks[_LeafCalcFinish],Tasks[[#This Row],[_Row]]+1):INDEX(Tasks[_LeafCalcFinish],Tasks[[#This Row],[_Row]]+Tasks[[#This Row],[_Descendants]])),Tasks[[#This Row],[_LeafCalcFinish]]))</f>
        <v/>
      </c>
      <c r="CK16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6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61"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61"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61"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61"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61" s="41" t="n">
        <f aca="false">IF(AND(Tasks[[#This Row],[_IsLeaf]]=1,Tasks[[#This Row],[_LeafWork]]&gt;0),NETWORKDAYS.INTL(ProjectStart,Tasks[[#This Row],[_LeafFcstStart]],WorkWeek,Holidays),0)</f>
        <v>0</v>
      </c>
      <c r="CR161" s="41" t="n">
        <f aca="false">IF(AND(Tasks[[#This Row],[_IsLeaf]]=1,Tasks[[#This Row],[_LeafWork]]&gt;0),MAX(Tasks[[#This Row],[_StartWorkday]],NETWORKDAYS.INTL(ProjectStart,Tasks[[#This Row],[_LeafFcstFinish]],WorkWeek,Holidays)),0)</f>
        <v>0</v>
      </c>
      <c r="CS161" s="41" t="n">
        <f aca="false">IF(AND(Tasks[[#This Row],[_IsLeaf]]=1,Tasks[[#This Row],[_LeafWork]]&gt;0),Tasks[[#This Row],[_LeafWork]]/(Tasks[[#This Row],[_FinishWorkday]]-Tasks[[#This Row],[_StartWorkday]]+1),0)</f>
        <v>0</v>
      </c>
      <c r="CT161" s="41" t="n">
        <f aca="false">Tasks[[#This Row],[_WorkPerWorkday]]*(Tasks[[#This Row],[_StartWorkday]]-1)</f>
        <v>-0</v>
      </c>
      <c r="CU161" s="41" t="n">
        <f aca="false">IF(Tasks[[#This Row],[_IsLeaf]]=1,MAX(N(Tasks[[#This Row],[Duration]]),0.1),0)</f>
        <v>0</v>
      </c>
      <c r="CV161" s="41" t="n">
        <f aca="false">Tasks[[#This Row],[_WeightDur]]*Tasks[[#This Row],[_LeafProgress]]</f>
        <v>0</v>
      </c>
      <c r="CW16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6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6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6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61" s="41" t="str">
        <f aca="false">IF(Tasks[[#This Row],[Task Name]]="","",Tasks[[#This Row],[_Pred1UIDText]]&amp;IF(AND(Tasks[[#This Row],[_Pred1UIDText]]&lt;&gt;"",Tasks[[#This Row],[_Pred2UIDText]]&lt;&gt;""),",","")&amp;Tasks[[#This Row],[_Pred2UIDText]])</f>
        <v/>
      </c>
      <c r="DB161" s="41" t="str">
        <f aca="false">IF(AND(Tasks[[#This Row],[_IsLeaf]]=1,N(Tasks[[#This Row],[Duration]])=0,Tasks[[#This Row],[_LeafProgress]]&lt;1),Tasks[[#This Row],[_LeafFcstFinish]]+Tasks[[#This Row],[_Row]]/100000,"")</f>
        <v/>
      </c>
      <c r="DC16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61" s="41" t="n">
        <f aca="false">IF(NOT(Tasks[[#This Row],[_IsLeaf]]=1),0,IF(Tasks[[#This Row],[Baseline Cost]]="",Tasks[[#This Row],[_LeafCost]],N(Tasks[[#This Row],[Baseline Cost]])))</f>
        <v>0</v>
      </c>
      <c r="DE161" s="41" t="n">
        <f aca="false">Tasks[[#This Row],[_LeafBudget]]*Tasks[[#This Row],[_PlannedPct]]</f>
        <v>0</v>
      </c>
      <c r="DF161" s="41" t="n">
        <f aca="false">Tasks[[#This Row],[_LeafBudget]]*Tasks[[#This Row],[_LeafProgress]]</f>
        <v>0</v>
      </c>
      <c r="DG161" s="41" t="n">
        <f aca="false">IF(NOT(Tasks[[#This Row],[_IsLeaf]]=1),0,IF(Tasks[[#This Row],[Actual Cost]]="",Tasks[[#This Row],[_LeafCost]]*Tasks[[#This Row],[_LeafProgress]],N(Tasks[[#This Row],[Actual Cost]])))</f>
        <v>0</v>
      </c>
      <c r="DH161" s="41" t="str">
        <f aca="false">IF(Tasks[[#This Row],[Task Name]]="","",LEFT(Tasks[[#This Row],[WBS]],FIND(".",Tasks[[#This Row],[WBS]]&amp;".")-1))</f>
        <v/>
      </c>
      <c r="DI161" s="41" t="str">
        <f aca="false">IF(AND(Tasks[[#This Row],[Task Name]]&lt;&gt;"",Tasks[[#This Row],[_Level]]=1),Tasks[[#This Row],[_Row]],"")</f>
        <v/>
      </c>
      <c r="DJ161" s="41" t="str">
        <f aca="false">IF(AND(Tasks[[#This Row],[_IsLeaf]]=1,N(Tasks[[#This Row],[Duration]])=0),Tasks[[#This Row],[Planned Finish]]+Tasks[[#This Row],[_Row]]/100000,"")</f>
        <v/>
      </c>
      <c r="DK161" s="41" t="str">
        <f aca="false">IF(AND(Tasks[[#This Row],[_IsLeaf]]=1,Tasks[[#This Row],[_LeafProgress]]&lt;1,OR(N(Tasks[[#This Row],[Finish Var]])&gt;0,Tasks[[#This Row],[Status]]="Late Start")),MAX(0,Tasks[[#This Row],[Finish Var]])+1-Tasks[[#This Row],[_Row]]/1000000,"")</f>
        <v/>
      </c>
      <c r="DL161" s="41" t="str">
        <f aca="false">IF(AND(Tasks[[#This Row],[_IsLeaf]]=1,N(Tasks[[#This Row],[Actual Start]])=0,Tasks[[#This Row],[_LeafFcstStart]]&gt;=StatusDate,Tasks[[#This Row],[_LeafFcstStart]]&lt;=LookaheadEnd),Tasks[[#This Row],[_LeafFcstStart]]+Tasks[[#This Row],[_Row]]/100000,"")</f>
        <v/>
      </c>
      <c r="DM161" s="41" t="str">
        <f aca="false">IF(AND(Tasks[[#This Row],[_IsLeaf]]=1,Tasks[[#This Row],[_LeafProgress]]&lt;1,Tasks[[#This Row],[_LeafFcstFinish]]&gt;=StatusDate,Tasks[[#This Row],[_LeafFcstFinish]]&lt;=LookaheadEnd),Tasks[[#This Row],[_LeafFcstFinish]]+Tasks[[#This Row],[_Row]]/100000,"")</f>
        <v/>
      </c>
      <c r="DN161" s="41" t="str">
        <f aca="false">IF(Tasks[[#This Row],[_LeafCritical]],Tasks[[#This Row],[_LeafFcstStart]]+Tasks[[#This Row],[_Row]]/100000,"")</f>
        <v/>
      </c>
      <c r="DO161" s="41" t="n">
        <f aca="false">Tasks[[#This Row],[_LeafWork]]*Tasks[[#This Row],[_LeafProgress]]</f>
        <v>0</v>
      </c>
      <c r="DP161" s="100" t="str">
        <f aca="false">IF(AND(Tasks[[#This Row],[_IsLeaf]]=1,Tasks[[#This Row],[_LeafProgress]]&gt;=1),IF(N(Tasks[[#This Row],[Actual Finish]])&gt;0,Tasks[[#This Row],[Actual Finish]],Tasks[[#This Row],[_LeafFcstFinish]]),"")</f>
        <v/>
      </c>
      <c r="DQ161" s="41" t="n">
        <f aca="false">IF(Tasks[[#This Row],[_IsLeaf]]=1,N(Tasks[[#This Row],[Story Points]]),0)</f>
        <v>0</v>
      </c>
      <c r="DR161" s="41" t="str">
        <f aca="false">IF(AND(Tasks[[#This Row],[_IsLeaf]]=1,CurrentSprint&lt;&gt;"",Tasks[[#This Row],[Sprint]]=CurrentSprint),Tasks[[#This Row],[_Row]],"")</f>
        <v/>
      </c>
    </row>
    <row r="162" customFormat="false" ht="15" hidden="false" customHeight="false" outlineLevel="0" collapsed="false">
      <c r="A162" s="28" t="str">
        <f aca="false">IF(Tasks[[#This Row],[Task Name]]="","",COUNTA(Tasks[[#Headers],[Task Name]]:Tasks[[#This Row],[Task Name]])-1)</f>
        <v/>
      </c>
      <c r="B162" s="29" t="n">
        <v>157</v>
      </c>
      <c r="C16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2" s="29"/>
      <c r="E162" s="30"/>
      <c r="F162" s="29"/>
      <c r="G162" s="29"/>
      <c r="H162" s="29"/>
      <c r="I162" s="29"/>
      <c r="J162" s="29"/>
      <c r="K162" s="29"/>
      <c r="L162" s="29"/>
      <c r="M162" s="29"/>
      <c r="N162" s="73"/>
      <c r="O162" s="73"/>
      <c r="P162" s="25" t="str">
        <f aca="false">IF(Tasks[[#This Row],[Task Name]]="","",IF(N(Tasks[[#This Row],[Baseline Start]])&gt;0,Tasks[[#This Row],[Baseline Start]],Tasks[[#This Row],[_CalcStart]]))</f>
        <v/>
      </c>
      <c r="Q162" s="25" t="str">
        <f aca="false">IF(Tasks[[#This Row],[Task Name]]="","",IF(N(Tasks[[#This Row],[Baseline Finish]])&gt;0,Tasks[[#This Row],[Baseline Finish]],Tasks[[#This Row],[_CalcFinish]]))</f>
        <v/>
      </c>
      <c r="R162" s="73"/>
      <c r="S162" s="73"/>
      <c r="T162" s="25" t="str">
        <f aca="false">IF(Tasks[[#This Row],[Task Name]]="","",IF(Tasks[[#This Row],[_IsSummary]],MIN(INDEX(Tasks[_LeafFcstStart],Tasks[[#This Row],[_Row]]+1):INDEX(Tasks[_LeafFcstStart],Tasks[[#This Row],[_Row]]+Tasks[[#This Row],[_Descendants]])),Tasks[[#This Row],[_LeafFcstStart]]))</f>
        <v/>
      </c>
      <c r="U162" s="25" t="str">
        <f aca="false">IF(Tasks[[#This Row],[Task Name]]="","",IF(Tasks[[#This Row],[_IsSummary]],MAX(INDEX(Tasks[_LeafFcstFinish],Tasks[[#This Row],[_Row]]+1):INDEX(Tasks[_LeafFcstFinish],Tasks[[#This Row],[_Row]]+Tasks[[#This Row],[_Descendants]])),Tasks[[#This Row],[_LeafFcstFinish]]))</f>
        <v/>
      </c>
      <c r="V16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6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2" s="25" t="str">
        <f aca="false">IF(Tasks[[#This Row],[Task Name]]="","",IF(Tasks[[#This Row],[_IsSummary]],MIN(INDEX(Tasks[_LeafLateStart],Tasks[[#This Row],[_Row]]+1):INDEX(Tasks[_LeafLateStart],Tasks[[#This Row],[_Row]]+Tasks[[#This Row],[_Descendants]])),Tasks[[#This Row],[_LeafLateStart]]))</f>
        <v/>
      </c>
      <c r="Y162" s="25" t="str">
        <f aca="false">IF(Tasks[[#This Row],[Task Name]]="","",IF(Tasks[[#This Row],[_IsSummary]],MAX(INDEX(Tasks[_LeafLateFinish],Tasks[[#This Row],[_Row]]+1):INDEX(Tasks[_LeafLateFinish],Tasks[[#This Row],[_Row]]+Tasks[[#This Row],[_Descendants]])),Tasks[[#This Row],[_LeafLateFinish]]))</f>
        <v/>
      </c>
      <c r="Z162" s="43" t="str">
        <f aca="false">IF(Tasks[[#This Row],[Task Name]]="","",IF(Tasks[[#This Row],[_IsSummary]],MIN(INDEX(Tasks[_LeafTotalSlack],Tasks[[#This Row],[_Row]]+1):INDEX(Tasks[_LeafTotalSlack],Tasks[[#This Row],[_Row]]+Tasks[[#This Row],[_Descendants]])),Tasks[[#This Row],[_LeafTotalSlack]]))</f>
        <v/>
      </c>
      <c r="AA16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2" s="28" t="str">
        <f aca="false">IF(Tasks[[#This Row],[Task Name]]="","",IF(IF(Tasks[[#This Row],[_IsSummary]],COUNTIF(INDEX(Tasks[_LeafCritical],Tasks[[#This Row],[_Row]]+1):INDEX(Tasks[_LeafCritical],Tasks[[#This Row],[_Row]]+Tasks[[#This Row],[_Descendants]]),TRUE())&gt;0,Tasks[[#This Row],[_LeafCritical]]),"Yes",""))</f>
        <v/>
      </c>
      <c r="AC16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2" s="24" t="str">
        <f aca="false">IF(Tasks[[#This Row],[Task Name]]="","",TRIM(IF(Tasks[[#This Row],[_Pred1Problem]]&lt;&gt;"","Pred 1: "&amp;Tasks[[#This Row],[_Pred1Problem]]&amp;". ","")&amp;IF(Tasks[[#This Row],[_Pred2Problem]]&lt;&gt;"","Pred 2: "&amp;Tasks[[#This Row],[_Pred2Problem]]&amp;".","")))</f>
        <v/>
      </c>
      <c r="AE162" s="88"/>
      <c r="AF162"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2" s="28" t="str">
        <f aca="false">IF(Tasks[[#This Row],[Task Name]]="","",IF(Tasks[[#This Row],[Progress]]&gt;=1,"Complete",IF(OR(N(Tasks[[#This Row],[Actual Start]])&gt;0,Tasks[[#This Row],[Progress]]&gt;0),IF(Tasks[[#This Row],[Finish Var]]&gt;0,"Behind","In Progress"),IF(Tasks[[#This Row],[Planned Start]]&lt;StatusDate,"Late Start","Not Started"))))</f>
        <v/>
      </c>
      <c r="AH162" s="30"/>
      <c r="AI162" s="88"/>
      <c r="AJ162" s="95" t="str">
        <f aca="false">IF(Tasks[[#This Row],[Task Name]]="","",IF(Tasks[[#This Row],[_IsSummary]],SUM(INDEX(Tasks[_LeafWork],Tasks[[#This Row],[_Row]]+1):INDEX(Tasks[_LeafWork],Tasks[[#This Row],[_Row]]+Tasks[[#This Row],[_Descendants]])),Tasks[[#This Row],[_LeafWork]]))</f>
        <v/>
      </c>
      <c r="AK162" s="96" t="str">
        <f aca="false">IF(Tasks[[#This Row],[Task Name]]="","",IF(Tasks[[#This Row],[_IsSummary]],SUM(INDEX(Tasks[_LeafCost],Tasks[[#This Row],[_Row]]+1):INDEX(Tasks[_LeafCost],Tasks[[#This Row],[_Row]]+Tasks[[#This Row],[_Descendants]])),Tasks[[#This Row],[_LeafCost]]))</f>
        <v/>
      </c>
      <c r="AL162" s="97"/>
      <c r="AM162" s="29"/>
      <c r="AN16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62" s="82"/>
      <c r="AP162" s="24" t="str">
        <f aca="false">IF(Tasks[[#This Row],[Task Name]]="","",Tasks[[#This Row],[_Pred1IDText]]&amp;IF(AND(Tasks[[#This Row],[_Pred1IDText]]&lt;&gt;"",Tasks[[#This Row],[_Pred2IDText]]&lt;&gt;""),",","")&amp;Tasks[[#This Row],[_Pred2IDText]])</f>
        <v/>
      </c>
      <c r="AQ162" s="30"/>
      <c r="AR162" s="25" t="str">
        <f aca="false">IF(Tasks[[#This Row],[Task Name]]="","",Tasks[[#This Row],[Forecast Start]])</f>
        <v/>
      </c>
      <c r="AS162" s="25" t="str">
        <f aca="false">IF(Tasks[[#This Row],[Task Name]]="","",Tasks[[#This Row],[Forecast Finish]])</f>
        <v/>
      </c>
      <c r="AT162" s="28" t="str">
        <f aca="false">IF(Tasks[[#This Row],[Task Name]]="","",IF(Tasks[[#This Row],[_IsSummary]],NETWORKDAYS.INTL(Tasks[[#This Row],[Forecast Start]],Tasks[[#This Row],[Forecast Finish]],WorkWeek,Holidays),N(Tasks[[#This Row],[Duration]])))</f>
        <v/>
      </c>
      <c r="AU162" s="95" t="str">
        <f aca="false">IF(Tasks[[#This Row],[Task Name]]="","",Tasks[[#This Row],[Work]])</f>
        <v/>
      </c>
      <c r="AV162" s="96" t="str">
        <f aca="false">IF(Tasks[[#This Row],[Task Name]]="","",Tasks[[#This Row],[Cost]])</f>
        <v/>
      </c>
      <c r="AW162" s="73"/>
      <c r="AX162" s="73"/>
      <c r="AY162" s="29"/>
      <c r="AZ162" s="98"/>
      <c r="BA162" s="97"/>
      <c r="BB162" s="28" t="str">
        <f aca="false">IF(OR(Tasks[[#This Row],[Task Name]]="",Tasks[[#This Row],[Baseline Duration]]=""),"",Tasks[[#This Row],[BL Source Duration]]-N(Tasks[[#This Row],[Baseline Duration]]))</f>
        <v/>
      </c>
      <c r="BC162" s="95" t="str">
        <f aca="false">IF(OR(Tasks[[#This Row],[Task Name]]="",Tasks[[#This Row],[Baseline Work]]=""),"",Tasks[[#This Row],[Work]]-N(Tasks[[#This Row],[Baseline Work]]))</f>
        <v/>
      </c>
      <c r="BD162" s="96" t="str">
        <f aca="false">IF(OR(Tasks[[#This Row],[Task Name]]="",Tasks[[#This Row],[Baseline Cost]]=""),"",Tasks[[#This Row],[Cost]]-N(Tasks[[#This Row],[Baseline Cost]]))</f>
        <v/>
      </c>
      <c r="BE162" s="96" t="str">
        <f aca="false">IF(Tasks[[#This Row],[Task Name]]="","",IF(Tasks[[#This Row],[_IsSummary]],SUM(INDEX(Tasks[_LeafBudget],Tasks[[#This Row],[_Row]]+1):INDEX(Tasks[_LeafBudget],Tasks[[#This Row],[_Row]]+Tasks[[#This Row],[_Descendants]])),Tasks[[#This Row],[_LeafBudget]]))</f>
        <v/>
      </c>
      <c r="BF162" s="96" t="str">
        <f aca="false">IF(Tasks[[#This Row],[Task Name]]="","",IF(Tasks[[#This Row],[_IsSummary]],SUM(INDEX(Tasks[_LeafPV],Tasks[[#This Row],[_Row]]+1):INDEX(Tasks[_LeafPV],Tasks[[#This Row],[_Row]]+Tasks[[#This Row],[_Descendants]])),Tasks[[#This Row],[_LeafPV]]))</f>
        <v/>
      </c>
      <c r="BG162" s="96" t="str">
        <f aca="false">IF(Tasks[[#This Row],[Task Name]]="","",IF(Tasks[[#This Row],[_IsSummary]],SUM(INDEX(Tasks[_LeafEV],Tasks[[#This Row],[_Row]]+1):INDEX(Tasks[_LeafEV],Tasks[[#This Row],[_Row]]+Tasks[[#This Row],[_Descendants]])),Tasks[[#This Row],[_LeafEV]]))</f>
        <v/>
      </c>
      <c r="BH162" s="96" t="str">
        <f aca="false">IF(Tasks[[#This Row],[Task Name]]="","",IF(Tasks[[#This Row],[_IsSummary]],SUM(INDEX(Tasks[_LeafAC],Tasks[[#This Row],[_Row]]+1):INDEX(Tasks[_LeafAC],Tasks[[#This Row],[_Row]]+Tasks[[#This Row],[_Descendants]])),Tasks[[#This Row],[_LeafAC]]))</f>
        <v/>
      </c>
      <c r="BI162" s="41" t="str">
        <f aca="false">IF(Tasks[[#This Row],[Task Name]]="","",MAX(1,N(Tasks[[#This Row],[Level]])))</f>
        <v/>
      </c>
      <c r="BJ162" s="41" t="n">
        <f aca="false">ROW()-ROW(Tasks[[#Headers],[ID]])</f>
        <v>157</v>
      </c>
      <c r="BK162" s="41" t="n">
        <f aca="false">IF(OR(Tasks[[#This Row],[Task Name]]="",Tasks[[#This Row],[_Level]]&lt;=1),0,IFERROR(LOOKUP(2,1/(Tasks[[#Headers],[_Level]]:Tasks[[#This Row],[_Level]]=Tasks[[#This Row],[_Level]]-1),ROW(Tasks[[#Headers],[_Level]]:Tasks[[#This Row],[_Level]])),0))</f>
        <v>0</v>
      </c>
      <c r="BL162" s="41" t="n">
        <f aca="false">IFERROR(N(INDEX(Tasks[_Level],Tasks[[#This Row],[_Row]]+1)),0)</f>
        <v>0</v>
      </c>
      <c r="BM162" s="99" t="b">
        <f aca="false">AND(Tasks[[#This Row],[Task Name]]&lt;&gt;"",Tasks[[#This Row],[_NextLevel]]&gt;Tasks[[#This Row],[_Level]])</f>
        <v>0</v>
      </c>
      <c r="BN162" s="41" t="n">
        <f aca="false">IF(Tasks[[#This Row],[_IsSummary]],COUNTIF(Tasks[WBS],Tasks[[#This Row],[WBS]]&amp;".*"),0)</f>
        <v>0</v>
      </c>
      <c r="BO162" s="41" t="n">
        <f aca="false">IF(AND(Tasks[[#This Row],[Task Name]]&lt;&gt;"",NOT(Tasks[[#This Row],[_IsSummary]])),1,0)</f>
        <v>0</v>
      </c>
      <c r="BP162" s="41" t="n">
        <f aca="false">IF(N(Tasks[[#This Row],[Pred1 UID]])=0,0,IFERROR(MATCH(Tasks[[#This Row],[Pred1 UID]],Tasks[UID],0),-1))</f>
        <v>0</v>
      </c>
      <c r="BQ162" s="41" t="n">
        <f aca="false">IF(N(Tasks[[#This Row],[Pred2 UID]])=0,0,IFERROR(MATCH(Tasks[[#This Row],[Pred2 UID]],Tasks[UID],0),-1))</f>
        <v>0</v>
      </c>
      <c r="BR162"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62" s="100" t="str">
        <f aca="false">IF(NOT(Tasks[[#This Row],[_IsLeaf]]=1),"",IF(N(Tasks[[#This Row],[Duration]])&lt;=0,Tasks[[#This Row],[_LeafCalcStart]],WORKDAY.INTL(Tasks[[#This Row],[_LeafCalcStart]],Tasks[[#This Row],[Duration]]-1,WorkWeek,Holidays)))</f>
        <v/>
      </c>
      <c r="BT162"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62"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62" s="41" t="n">
        <f aca="false">IF(NOT(Tasks[[#This Row],[_IsLeaf]]=1),0,IF(N(Tasks[[#This Row],[Actual Finish]])&gt;0,1,MIN(1,N(Tasks[[#This Row],[% Complete]]))))</f>
        <v>0</v>
      </c>
      <c r="BW162" s="41" t="n">
        <f aca="false">IF(OR(NOT(Tasks[[#This Row],[_IsLeaf]]=1),Tasks[[#This Row],[Resource]]=""),0,N(Tasks[[#This Row],[Duration]])*HoursPerDay*IF(Tasks[[#This Row],[Units]]="",DefaultUnits,Tasks[[#This Row],[Units]]))</f>
        <v>0</v>
      </c>
      <c r="BX162" s="41" t="n">
        <f aca="false">IF(Tasks[[#This Row],[_LeafWork]]=0,0,Tasks[[#This Row],[_LeafWork]]*IFERROR(INDEX(res_Rate,MATCH(Tasks[[#This Row],[Resource]],res_Name,0)),0))</f>
        <v>0</v>
      </c>
      <c r="BY16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6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6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6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62" s="41" t="n">
        <f aca="false">IF(NOT(Tasks[[#This Row],[_IsLeaf]]=1),0,MAX(_xlfn.MAXIFS(Tasks[_Row],Tasks[Pred1 UID],Tasks[[#This Row],[UID]]),_xlfn.MAXIFS(Tasks[_Row],Tasks[Pred2 UID],Tasks[[#This Row],[UID]])))</f>
        <v>0</v>
      </c>
      <c r="CD162"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62" s="100" t="str">
        <f aca="false">IF(NOT(Tasks[[#This Row],[_IsLeaf]]=1),"",MIN(ProjectFinish,IF(N(Tasks[[#This Row],[Deadline]])&gt;0,Tasks[[#This Row],[Deadline]],2958465),Tasks[[#This Row],[_SuccessorFinishLimit]]))</f>
        <v/>
      </c>
      <c r="CF162" s="100" t="str">
        <f aca="false">IF(NOT(Tasks[[#This Row],[_IsLeaf]]=1),"",IF(N(Tasks[[#This Row],[Duration]])&lt;=0,Tasks[[#This Row],[_LeafLateFinish]],WORKDAY.INTL(Tasks[[#This Row],[_LeafLateFinish]],-(Tasks[[#This Row],[Duration]]-1),WorkWeek,Holidays)))</f>
        <v/>
      </c>
      <c r="CG16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62" s="99" t="b">
        <f aca="false">AND(Tasks[[#This Row],[_IsLeaf]]=1,Tasks[[#This Row],[_LeafProgress]]&lt;1,N(Tasks[[#This Row],[_LeafTotalSlack]])&lt;=CriticalSlackDays)</f>
        <v>0</v>
      </c>
      <c r="CI162" s="100" t="str">
        <f aca="false">IF(Tasks[[#This Row],[Task Name]]="","",IF(Tasks[[#This Row],[_IsSummary]],MIN(INDEX(Tasks[_LeafCalcStart],Tasks[[#This Row],[_Row]]+1):INDEX(Tasks[_LeafCalcStart],Tasks[[#This Row],[_Row]]+Tasks[[#This Row],[_Descendants]])),Tasks[[#This Row],[_LeafCalcStart]]))</f>
        <v/>
      </c>
      <c r="CJ162" s="100" t="str">
        <f aca="false">IF(Tasks[[#This Row],[Task Name]]="","",IF(Tasks[[#This Row],[_IsSummary]],MAX(INDEX(Tasks[_LeafCalcFinish],Tasks[[#This Row],[_Row]]+1):INDEX(Tasks[_LeafCalcFinish],Tasks[[#This Row],[_Row]]+Tasks[[#This Row],[_Descendants]])),Tasks[[#This Row],[_LeafCalcFinish]]))</f>
        <v/>
      </c>
      <c r="CK16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6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62"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62"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62"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62"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62" s="41" t="n">
        <f aca="false">IF(AND(Tasks[[#This Row],[_IsLeaf]]=1,Tasks[[#This Row],[_LeafWork]]&gt;0),NETWORKDAYS.INTL(ProjectStart,Tasks[[#This Row],[_LeafFcstStart]],WorkWeek,Holidays),0)</f>
        <v>0</v>
      </c>
      <c r="CR162" s="41" t="n">
        <f aca="false">IF(AND(Tasks[[#This Row],[_IsLeaf]]=1,Tasks[[#This Row],[_LeafWork]]&gt;0),MAX(Tasks[[#This Row],[_StartWorkday]],NETWORKDAYS.INTL(ProjectStart,Tasks[[#This Row],[_LeafFcstFinish]],WorkWeek,Holidays)),0)</f>
        <v>0</v>
      </c>
      <c r="CS162" s="41" t="n">
        <f aca="false">IF(AND(Tasks[[#This Row],[_IsLeaf]]=1,Tasks[[#This Row],[_LeafWork]]&gt;0),Tasks[[#This Row],[_LeafWork]]/(Tasks[[#This Row],[_FinishWorkday]]-Tasks[[#This Row],[_StartWorkday]]+1),0)</f>
        <v>0</v>
      </c>
      <c r="CT162" s="41" t="n">
        <f aca="false">Tasks[[#This Row],[_WorkPerWorkday]]*(Tasks[[#This Row],[_StartWorkday]]-1)</f>
        <v>-0</v>
      </c>
      <c r="CU162" s="41" t="n">
        <f aca="false">IF(Tasks[[#This Row],[_IsLeaf]]=1,MAX(N(Tasks[[#This Row],[Duration]]),0.1),0)</f>
        <v>0</v>
      </c>
      <c r="CV162" s="41" t="n">
        <f aca="false">Tasks[[#This Row],[_WeightDur]]*Tasks[[#This Row],[_LeafProgress]]</f>
        <v>0</v>
      </c>
      <c r="CW16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6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6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6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62" s="41" t="str">
        <f aca="false">IF(Tasks[[#This Row],[Task Name]]="","",Tasks[[#This Row],[_Pred1UIDText]]&amp;IF(AND(Tasks[[#This Row],[_Pred1UIDText]]&lt;&gt;"",Tasks[[#This Row],[_Pred2UIDText]]&lt;&gt;""),",","")&amp;Tasks[[#This Row],[_Pred2UIDText]])</f>
        <v/>
      </c>
      <c r="DB162" s="41" t="str">
        <f aca="false">IF(AND(Tasks[[#This Row],[_IsLeaf]]=1,N(Tasks[[#This Row],[Duration]])=0,Tasks[[#This Row],[_LeafProgress]]&lt;1),Tasks[[#This Row],[_LeafFcstFinish]]+Tasks[[#This Row],[_Row]]/100000,"")</f>
        <v/>
      </c>
      <c r="DC16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62" s="41" t="n">
        <f aca="false">IF(NOT(Tasks[[#This Row],[_IsLeaf]]=1),0,IF(Tasks[[#This Row],[Baseline Cost]]="",Tasks[[#This Row],[_LeafCost]],N(Tasks[[#This Row],[Baseline Cost]])))</f>
        <v>0</v>
      </c>
      <c r="DE162" s="41" t="n">
        <f aca="false">Tasks[[#This Row],[_LeafBudget]]*Tasks[[#This Row],[_PlannedPct]]</f>
        <v>0</v>
      </c>
      <c r="DF162" s="41" t="n">
        <f aca="false">Tasks[[#This Row],[_LeafBudget]]*Tasks[[#This Row],[_LeafProgress]]</f>
        <v>0</v>
      </c>
      <c r="DG162" s="41" t="n">
        <f aca="false">IF(NOT(Tasks[[#This Row],[_IsLeaf]]=1),0,IF(Tasks[[#This Row],[Actual Cost]]="",Tasks[[#This Row],[_LeafCost]]*Tasks[[#This Row],[_LeafProgress]],N(Tasks[[#This Row],[Actual Cost]])))</f>
        <v>0</v>
      </c>
      <c r="DH162" s="41" t="str">
        <f aca="false">IF(Tasks[[#This Row],[Task Name]]="","",LEFT(Tasks[[#This Row],[WBS]],FIND(".",Tasks[[#This Row],[WBS]]&amp;".")-1))</f>
        <v/>
      </c>
      <c r="DI162" s="41" t="str">
        <f aca="false">IF(AND(Tasks[[#This Row],[Task Name]]&lt;&gt;"",Tasks[[#This Row],[_Level]]=1),Tasks[[#This Row],[_Row]],"")</f>
        <v/>
      </c>
      <c r="DJ162" s="41" t="str">
        <f aca="false">IF(AND(Tasks[[#This Row],[_IsLeaf]]=1,N(Tasks[[#This Row],[Duration]])=0),Tasks[[#This Row],[Planned Finish]]+Tasks[[#This Row],[_Row]]/100000,"")</f>
        <v/>
      </c>
      <c r="DK162" s="41" t="str">
        <f aca="false">IF(AND(Tasks[[#This Row],[_IsLeaf]]=1,Tasks[[#This Row],[_LeafProgress]]&lt;1,OR(N(Tasks[[#This Row],[Finish Var]])&gt;0,Tasks[[#This Row],[Status]]="Late Start")),MAX(0,Tasks[[#This Row],[Finish Var]])+1-Tasks[[#This Row],[_Row]]/1000000,"")</f>
        <v/>
      </c>
      <c r="DL162" s="41" t="str">
        <f aca="false">IF(AND(Tasks[[#This Row],[_IsLeaf]]=1,N(Tasks[[#This Row],[Actual Start]])=0,Tasks[[#This Row],[_LeafFcstStart]]&gt;=StatusDate,Tasks[[#This Row],[_LeafFcstStart]]&lt;=LookaheadEnd),Tasks[[#This Row],[_LeafFcstStart]]+Tasks[[#This Row],[_Row]]/100000,"")</f>
        <v/>
      </c>
      <c r="DM162" s="41" t="str">
        <f aca="false">IF(AND(Tasks[[#This Row],[_IsLeaf]]=1,Tasks[[#This Row],[_LeafProgress]]&lt;1,Tasks[[#This Row],[_LeafFcstFinish]]&gt;=StatusDate,Tasks[[#This Row],[_LeafFcstFinish]]&lt;=LookaheadEnd),Tasks[[#This Row],[_LeafFcstFinish]]+Tasks[[#This Row],[_Row]]/100000,"")</f>
        <v/>
      </c>
      <c r="DN162" s="41" t="str">
        <f aca="false">IF(Tasks[[#This Row],[_LeafCritical]],Tasks[[#This Row],[_LeafFcstStart]]+Tasks[[#This Row],[_Row]]/100000,"")</f>
        <v/>
      </c>
      <c r="DO162" s="41" t="n">
        <f aca="false">Tasks[[#This Row],[_LeafWork]]*Tasks[[#This Row],[_LeafProgress]]</f>
        <v>0</v>
      </c>
      <c r="DP162" s="100" t="str">
        <f aca="false">IF(AND(Tasks[[#This Row],[_IsLeaf]]=1,Tasks[[#This Row],[_LeafProgress]]&gt;=1),IF(N(Tasks[[#This Row],[Actual Finish]])&gt;0,Tasks[[#This Row],[Actual Finish]],Tasks[[#This Row],[_LeafFcstFinish]]),"")</f>
        <v/>
      </c>
      <c r="DQ162" s="41" t="n">
        <f aca="false">IF(Tasks[[#This Row],[_IsLeaf]]=1,N(Tasks[[#This Row],[Story Points]]),0)</f>
        <v>0</v>
      </c>
      <c r="DR162" s="41" t="str">
        <f aca="false">IF(AND(Tasks[[#This Row],[_IsLeaf]]=1,CurrentSprint&lt;&gt;"",Tasks[[#This Row],[Sprint]]=CurrentSprint),Tasks[[#This Row],[_Row]],"")</f>
        <v/>
      </c>
    </row>
    <row r="163" customFormat="false" ht="15" hidden="false" customHeight="false" outlineLevel="0" collapsed="false">
      <c r="A163" s="28" t="str">
        <f aca="false">IF(Tasks[[#This Row],[Task Name]]="","",COUNTA(Tasks[[#Headers],[Task Name]]:Tasks[[#This Row],[Task Name]])-1)</f>
        <v/>
      </c>
      <c r="B163" s="29" t="n">
        <v>158</v>
      </c>
      <c r="C16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3" s="29"/>
      <c r="E163" s="30"/>
      <c r="F163" s="29"/>
      <c r="G163" s="29"/>
      <c r="H163" s="29"/>
      <c r="I163" s="29"/>
      <c r="J163" s="29"/>
      <c r="K163" s="29"/>
      <c r="L163" s="29"/>
      <c r="M163" s="29"/>
      <c r="N163" s="73"/>
      <c r="O163" s="73"/>
      <c r="P163" s="25" t="str">
        <f aca="false">IF(Tasks[[#This Row],[Task Name]]="","",IF(N(Tasks[[#This Row],[Baseline Start]])&gt;0,Tasks[[#This Row],[Baseline Start]],Tasks[[#This Row],[_CalcStart]]))</f>
        <v/>
      </c>
      <c r="Q163" s="25" t="str">
        <f aca="false">IF(Tasks[[#This Row],[Task Name]]="","",IF(N(Tasks[[#This Row],[Baseline Finish]])&gt;0,Tasks[[#This Row],[Baseline Finish]],Tasks[[#This Row],[_CalcFinish]]))</f>
        <v/>
      </c>
      <c r="R163" s="73"/>
      <c r="S163" s="73"/>
      <c r="T163" s="25" t="str">
        <f aca="false">IF(Tasks[[#This Row],[Task Name]]="","",IF(Tasks[[#This Row],[_IsSummary]],MIN(INDEX(Tasks[_LeafFcstStart],Tasks[[#This Row],[_Row]]+1):INDEX(Tasks[_LeafFcstStart],Tasks[[#This Row],[_Row]]+Tasks[[#This Row],[_Descendants]])),Tasks[[#This Row],[_LeafFcstStart]]))</f>
        <v/>
      </c>
      <c r="U163" s="25" t="str">
        <f aca="false">IF(Tasks[[#This Row],[Task Name]]="","",IF(Tasks[[#This Row],[_IsSummary]],MAX(INDEX(Tasks[_LeafFcstFinish],Tasks[[#This Row],[_Row]]+1):INDEX(Tasks[_LeafFcstFinish],Tasks[[#This Row],[_Row]]+Tasks[[#This Row],[_Descendants]])),Tasks[[#This Row],[_LeafFcstFinish]]))</f>
        <v/>
      </c>
      <c r="V16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6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3" s="25" t="str">
        <f aca="false">IF(Tasks[[#This Row],[Task Name]]="","",IF(Tasks[[#This Row],[_IsSummary]],MIN(INDEX(Tasks[_LeafLateStart],Tasks[[#This Row],[_Row]]+1):INDEX(Tasks[_LeafLateStart],Tasks[[#This Row],[_Row]]+Tasks[[#This Row],[_Descendants]])),Tasks[[#This Row],[_LeafLateStart]]))</f>
        <v/>
      </c>
      <c r="Y163" s="25" t="str">
        <f aca="false">IF(Tasks[[#This Row],[Task Name]]="","",IF(Tasks[[#This Row],[_IsSummary]],MAX(INDEX(Tasks[_LeafLateFinish],Tasks[[#This Row],[_Row]]+1):INDEX(Tasks[_LeafLateFinish],Tasks[[#This Row],[_Row]]+Tasks[[#This Row],[_Descendants]])),Tasks[[#This Row],[_LeafLateFinish]]))</f>
        <v/>
      </c>
      <c r="Z163" s="43" t="str">
        <f aca="false">IF(Tasks[[#This Row],[Task Name]]="","",IF(Tasks[[#This Row],[_IsSummary]],MIN(INDEX(Tasks[_LeafTotalSlack],Tasks[[#This Row],[_Row]]+1):INDEX(Tasks[_LeafTotalSlack],Tasks[[#This Row],[_Row]]+Tasks[[#This Row],[_Descendants]])),Tasks[[#This Row],[_LeafTotalSlack]]))</f>
        <v/>
      </c>
      <c r="AA16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3" s="28" t="str">
        <f aca="false">IF(Tasks[[#This Row],[Task Name]]="","",IF(IF(Tasks[[#This Row],[_IsSummary]],COUNTIF(INDEX(Tasks[_LeafCritical],Tasks[[#This Row],[_Row]]+1):INDEX(Tasks[_LeafCritical],Tasks[[#This Row],[_Row]]+Tasks[[#This Row],[_Descendants]]),TRUE())&gt;0,Tasks[[#This Row],[_LeafCritical]]),"Yes",""))</f>
        <v/>
      </c>
      <c r="AC16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3" s="24" t="str">
        <f aca="false">IF(Tasks[[#This Row],[Task Name]]="","",TRIM(IF(Tasks[[#This Row],[_Pred1Problem]]&lt;&gt;"","Pred 1: "&amp;Tasks[[#This Row],[_Pred1Problem]]&amp;". ","")&amp;IF(Tasks[[#This Row],[_Pred2Problem]]&lt;&gt;"","Pred 2: "&amp;Tasks[[#This Row],[_Pred2Problem]]&amp;".","")))</f>
        <v/>
      </c>
      <c r="AE163" s="88"/>
      <c r="AF163"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3" s="28" t="str">
        <f aca="false">IF(Tasks[[#This Row],[Task Name]]="","",IF(Tasks[[#This Row],[Progress]]&gt;=1,"Complete",IF(OR(N(Tasks[[#This Row],[Actual Start]])&gt;0,Tasks[[#This Row],[Progress]]&gt;0),IF(Tasks[[#This Row],[Finish Var]]&gt;0,"Behind","In Progress"),IF(Tasks[[#This Row],[Planned Start]]&lt;StatusDate,"Late Start","Not Started"))))</f>
        <v/>
      </c>
      <c r="AH163" s="30"/>
      <c r="AI163" s="88"/>
      <c r="AJ163" s="95" t="str">
        <f aca="false">IF(Tasks[[#This Row],[Task Name]]="","",IF(Tasks[[#This Row],[_IsSummary]],SUM(INDEX(Tasks[_LeafWork],Tasks[[#This Row],[_Row]]+1):INDEX(Tasks[_LeafWork],Tasks[[#This Row],[_Row]]+Tasks[[#This Row],[_Descendants]])),Tasks[[#This Row],[_LeafWork]]))</f>
        <v/>
      </c>
      <c r="AK163" s="96" t="str">
        <f aca="false">IF(Tasks[[#This Row],[Task Name]]="","",IF(Tasks[[#This Row],[_IsSummary]],SUM(INDEX(Tasks[_LeafCost],Tasks[[#This Row],[_Row]]+1):INDEX(Tasks[_LeafCost],Tasks[[#This Row],[_Row]]+Tasks[[#This Row],[_Descendants]])),Tasks[[#This Row],[_LeafCost]]))</f>
        <v/>
      </c>
      <c r="AL163" s="97"/>
      <c r="AM163" s="29"/>
      <c r="AN16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63" s="82"/>
      <c r="AP163" s="24" t="str">
        <f aca="false">IF(Tasks[[#This Row],[Task Name]]="","",Tasks[[#This Row],[_Pred1IDText]]&amp;IF(AND(Tasks[[#This Row],[_Pred1IDText]]&lt;&gt;"",Tasks[[#This Row],[_Pred2IDText]]&lt;&gt;""),",","")&amp;Tasks[[#This Row],[_Pred2IDText]])</f>
        <v/>
      </c>
      <c r="AQ163" s="30"/>
      <c r="AR163" s="25" t="str">
        <f aca="false">IF(Tasks[[#This Row],[Task Name]]="","",Tasks[[#This Row],[Forecast Start]])</f>
        <v/>
      </c>
      <c r="AS163" s="25" t="str">
        <f aca="false">IF(Tasks[[#This Row],[Task Name]]="","",Tasks[[#This Row],[Forecast Finish]])</f>
        <v/>
      </c>
      <c r="AT163" s="28" t="str">
        <f aca="false">IF(Tasks[[#This Row],[Task Name]]="","",IF(Tasks[[#This Row],[_IsSummary]],NETWORKDAYS.INTL(Tasks[[#This Row],[Forecast Start]],Tasks[[#This Row],[Forecast Finish]],WorkWeek,Holidays),N(Tasks[[#This Row],[Duration]])))</f>
        <v/>
      </c>
      <c r="AU163" s="95" t="str">
        <f aca="false">IF(Tasks[[#This Row],[Task Name]]="","",Tasks[[#This Row],[Work]])</f>
        <v/>
      </c>
      <c r="AV163" s="96" t="str">
        <f aca="false">IF(Tasks[[#This Row],[Task Name]]="","",Tasks[[#This Row],[Cost]])</f>
        <v/>
      </c>
      <c r="AW163" s="73"/>
      <c r="AX163" s="73"/>
      <c r="AY163" s="29"/>
      <c r="AZ163" s="98"/>
      <c r="BA163" s="97"/>
      <c r="BB163" s="28" t="str">
        <f aca="false">IF(OR(Tasks[[#This Row],[Task Name]]="",Tasks[[#This Row],[Baseline Duration]]=""),"",Tasks[[#This Row],[BL Source Duration]]-N(Tasks[[#This Row],[Baseline Duration]]))</f>
        <v/>
      </c>
      <c r="BC163" s="95" t="str">
        <f aca="false">IF(OR(Tasks[[#This Row],[Task Name]]="",Tasks[[#This Row],[Baseline Work]]=""),"",Tasks[[#This Row],[Work]]-N(Tasks[[#This Row],[Baseline Work]]))</f>
        <v/>
      </c>
      <c r="BD163" s="96" t="str">
        <f aca="false">IF(OR(Tasks[[#This Row],[Task Name]]="",Tasks[[#This Row],[Baseline Cost]]=""),"",Tasks[[#This Row],[Cost]]-N(Tasks[[#This Row],[Baseline Cost]]))</f>
        <v/>
      </c>
      <c r="BE163" s="96" t="str">
        <f aca="false">IF(Tasks[[#This Row],[Task Name]]="","",IF(Tasks[[#This Row],[_IsSummary]],SUM(INDEX(Tasks[_LeafBudget],Tasks[[#This Row],[_Row]]+1):INDEX(Tasks[_LeafBudget],Tasks[[#This Row],[_Row]]+Tasks[[#This Row],[_Descendants]])),Tasks[[#This Row],[_LeafBudget]]))</f>
        <v/>
      </c>
      <c r="BF163" s="96" t="str">
        <f aca="false">IF(Tasks[[#This Row],[Task Name]]="","",IF(Tasks[[#This Row],[_IsSummary]],SUM(INDEX(Tasks[_LeafPV],Tasks[[#This Row],[_Row]]+1):INDEX(Tasks[_LeafPV],Tasks[[#This Row],[_Row]]+Tasks[[#This Row],[_Descendants]])),Tasks[[#This Row],[_LeafPV]]))</f>
        <v/>
      </c>
      <c r="BG163" s="96" t="str">
        <f aca="false">IF(Tasks[[#This Row],[Task Name]]="","",IF(Tasks[[#This Row],[_IsSummary]],SUM(INDEX(Tasks[_LeafEV],Tasks[[#This Row],[_Row]]+1):INDEX(Tasks[_LeafEV],Tasks[[#This Row],[_Row]]+Tasks[[#This Row],[_Descendants]])),Tasks[[#This Row],[_LeafEV]]))</f>
        <v/>
      </c>
      <c r="BH163" s="96" t="str">
        <f aca="false">IF(Tasks[[#This Row],[Task Name]]="","",IF(Tasks[[#This Row],[_IsSummary]],SUM(INDEX(Tasks[_LeafAC],Tasks[[#This Row],[_Row]]+1):INDEX(Tasks[_LeafAC],Tasks[[#This Row],[_Row]]+Tasks[[#This Row],[_Descendants]])),Tasks[[#This Row],[_LeafAC]]))</f>
        <v/>
      </c>
      <c r="BI163" s="41" t="str">
        <f aca="false">IF(Tasks[[#This Row],[Task Name]]="","",MAX(1,N(Tasks[[#This Row],[Level]])))</f>
        <v/>
      </c>
      <c r="BJ163" s="41" t="n">
        <f aca="false">ROW()-ROW(Tasks[[#Headers],[ID]])</f>
        <v>158</v>
      </c>
      <c r="BK163" s="41" t="n">
        <f aca="false">IF(OR(Tasks[[#This Row],[Task Name]]="",Tasks[[#This Row],[_Level]]&lt;=1),0,IFERROR(LOOKUP(2,1/(Tasks[[#Headers],[_Level]]:Tasks[[#This Row],[_Level]]=Tasks[[#This Row],[_Level]]-1),ROW(Tasks[[#Headers],[_Level]]:Tasks[[#This Row],[_Level]])),0))</f>
        <v>0</v>
      </c>
      <c r="BL163" s="41" t="n">
        <f aca="false">IFERROR(N(INDEX(Tasks[_Level],Tasks[[#This Row],[_Row]]+1)),0)</f>
        <v>0</v>
      </c>
      <c r="BM163" s="99" t="b">
        <f aca="false">AND(Tasks[[#This Row],[Task Name]]&lt;&gt;"",Tasks[[#This Row],[_NextLevel]]&gt;Tasks[[#This Row],[_Level]])</f>
        <v>0</v>
      </c>
      <c r="BN163" s="41" t="n">
        <f aca="false">IF(Tasks[[#This Row],[_IsSummary]],COUNTIF(Tasks[WBS],Tasks[[#This Row],[WBS]]&amp;".*"),0)</f>
        <v>0</v>
      </c>
      <c r="BO163" s="41" t="n">
        <f aca="false">IF(AND(Tasks[[#This Row],[Task Name]]&lt;&gt;"",NOT(Tasks[[#This Row],[_IsSummary]])),1,0)</f>
        <v>0</v>
      </c>
      <c r="BP163" s="41" t="n">
        <f aca="false">IF(N(Tasks[[#This Row],[Pred1 UID]])=0,0,IFERROR(MATCH(Tasks[[#This Row],[Pred1 UID]],Tasks[UID],0),-1))</f>
        <v>0</v>
      </c>
      <c r="BQ163" s="41" t="n">
        <f aca="false">IF(N(Tasks[[#This Row],[Pred2 UID]])=0,0,IFERROR(MATCH(Tasks[[#This Row],[Pred2 UID]],Tasks[UID],0),-1))</f>
        <v>0</v>
      </c>
      <c r="BR163"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63" s="100" t="str">
        <f aca="false">IF(NOT(Tasks[[#This Row],[_IsLeaf]]=1),"",IF(N(Tasks[[#This Row],[Duration]])&lt;=0,Tasks[[#This Row],[_LeafCalcStart]],WORKDAY.INTL(Tasks[[#This Row],[_LeafCalcStart]],Tasks[[#This Row],[Duration]]-1,WorkWeek,Holidays)))</f>
        <v/>
      </c>
      <c r="BT163"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63"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63" s="41" t="n">
        <f aca="false">IF(NOT(Tasks[[#This Row],[_IsLeaf]]=1),0,IF(N(Tasks[[#This Row],[Actual Finish]])&gt;0,1,MIN(1,N(Tasks[[#This Row],[% Complete]]))))</f>
        <v>0</v>
      </c>
      <c r="BW163" s="41" t="n">
        <f aca="false">IF(OR(NOT(Tasks[[#This Row],[_IsLeaf]]=1),Tasks[[#This Row],[Resource]]=""),0,N(Tasks[[#This Row],[Duration]])*HoursPerDay*IF(Tasks[[#This Row],[Units]]="",DefaultUnits,Tasks[[#This Row],[Units]]))</f>
        <v>0</v>
      </c>
      <c r="BX163" s="41" t="n">
        <f aca="false">IF(Tasks[[#This Row],[_LeafWork]]=0,0,Tasks[[#This Row],[_LeafWork]]*IFERROR(INDEX(res_Rate,MATCH(Tasks[[#This Row],[Resource]],res_Name,0)),0))</f>
        <v>0</v>
      </c>
      <c r="BY16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6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6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6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63" s="41" t="n">
        <f aca="false">IF(NOT(Tasks[[#This Row],[_IsLeaf]]=1),0,MAX(_xlfn.MAXIFS(Tasks[_Row],Tasks[Pred1 UID],Tasks[[#This Row],[UID]]),_xlfn.MAXIFS(Tasks[_Row],Tasks[Pred2 UID],Tasks[[#This Row],[UID]])))</f>
        <v>0</v>
      </c>
      <c r="CD163"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63" s="100" t="str">
        <f aca="false">IF(NOT(Tasks[[#This Row],[_IsLeaf]]=1),"",MIN(ProjectFinish,IF(N(Tasks[[#This Row],[Deadline]])&gt;0,Tasks[[#This Row],[Deadline]],2958465),Tasks[[#This Row],[_SuccessorFinishLimit]]))</f>
        <v/>
      </c>
      <c r="CF163" s="100" t="str">
        <f aca="false">IF(NOT(Tasks[[#This Row],[_IsLeaf]]=1),"",IF(N(Tasks[[#This Row],[Duration]])&lt;=0,Tasks[[#This Row],[_LeafLateFinish]],WORKDAY.INTL(Tasks[[#This Row],[_LeafLateFinish]],-(Tasks[[#This Row],[Duration]]-1),WorkWeek,Holidays)))</f>
        <v/>
      </c>
      <c r="CG16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63" s="99" t="b">
        <f aca="false">AND(Tasks[[#This Row],[_IsLeaf]]=1,Tasks[[#This Row],[_LeafProgress]]&lt;1,N(Tasks[[#This Row],[_LeafTotalSlack]])&lt;=CriticalSlackDays)</f>
        <v>0</v>
      </c>
      <c r="CI163" s="100" t="str">
        <f aca="false">IF(Tasks[[#This Row],[Task Name]]="","",IF(Tasks[[#This Row],[_IsSummary]],MIN(INDEX(Tasks[_LeafCalcStart],Tasks[[#This Row],[_Row]]+1):INDEX(Tasks[_LeafCalcStart],Tasks[[#This Row],[_Row]]+Tasks[[#This Row],[_Descendants]])),Tasks[[#This Row],[_LeafCalcStart]]))</f>
        <v/>
      </c>
      <c r="CJ163" s="100" t="str">
        <f aca="false">IF(Tasks[[#This Row],[Task Name]]="","",IF(Tasks[[#This Row],[_IsSummary]],MAX(INDEX(Tasks[_LeafCalcFinish],Tasks[[#This Row],[_Row]]+1):INDEX(Tasks[_LeafCalcFinish],Tasks[[#This Row],[_Row]]+Tasks[[#This Row],[_Descendants]])),Tasks[[#This Row],[_LeafCalcFinish]]))</f>
        <v/>
      </c>
      <c r="CK16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6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63"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63"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63"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63"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63" s="41" t="n">
        <f aca="false">IF(AND(Tasks[[#This Row],[_IsLeaf]]=1,Tasks[[#This Row],[_LeafWork]]&gt;0),NETWORKDAYS.INTL(ProjectStart,Tasks[[#This Row],[_LeafFcstStart]],WorkWeek,Holidays),0)</f>
        <v>0</v>
      </c>
      <c r="CR163" s="41" t="n">
        <f aca="false">IF(AND(Tasks[[#This Row],[_IsLeaf]]=1,Tasks[[#This Row],[_LeafWork]]&gt;0),MAX(Tasks[[#This Row],[_StartWorkday]],NETWORKDAYS.INTL(ProjectStart,Tasks[[#This Row],[_LeafFcstFinish]],WorkWeek,Holidays)),0)</f>
        <v>0</v>
      </c>
      <c r="CS163" s="41" t="n">
        <f aca="false">IF(AND(Tasks[[#This Row],[_IsLeaf]]=1,Tasks[[#This Row],[_LeafWork]]&gt;0),Tasks[[#This Row],[_LeafWork]]/(Tasks[[#This Row],[_FinishWorkday]]-Tasks[[#This Row],[_StartWorkday]]+1),0)</f>
        <v>0</v>
      </c>
      <c r="CT163" s="41" t="n">
        <f aca="false">Tasks[[#This Row],[_WorkPerWorkday]]*(Tasks[[#This Row],[_StartWorkday]]-1)</f>
        <v>-0</v>
      </c>
      <c r="CU163" s="41" t="n">
        <f aca="false">IF(Tasks[[#This Row],[_IsLeaf]]=1,MAX(N(Tasks[[#This Row],[Duration]]),0.1),0)</f>
        <v>0</v>
      </c>
      <c r="CV163" s="41" t="n">
        <f aca="false">Tasks[[#This Row],[_WeightDur]]*Tasks[[#This Row],[_LeafProgress]]</f>
        <v>0</v>
      </c>
      <c r="CW16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6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6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6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63" s="41" t="str">
        <f aca="false">IF(Tasks[[#This Row],[Task Name]]="","",Tasks[[#This Row],[_Pred1UIDText]]&amp;IF(AND(Tasks[[#This Row],[_Pred1UIDText]]&lt;&gt;"",Tasks[[#This Row],[_Pred2UIDText]]&lt;&gt;""),",","")&amp;Tasks[[#This Row],[_Pred2UIDText]])</f>
        <v/>
      </c>
      <c r="DB163" s="41" t="str">
        <f aca="false">IF(AND(Tasks[[#This Row],[_IsLeaf]]=1,N(Tasks[[#This Row],[Duration]])=0,Tasks[[#This Row],[_LeafProgress]]&lt;1),Tasks[[#This Row],[_LeafFcstFinish]]+Tasks[[#This Row],[_Row]]/100000,"")</f>
        <v/>
      </c>
      <c r="DC16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63" s="41" t="n">
        <f aca="false">IF(NOT(Tasks[[#This Row],[_IsLeaf]]=1),0,IF(Tasks[[#This Row],[Baseline Cost]]="",Tasks[[#This Row],[_LeafCost]],N(Tasks[[#This Row],[Baseline Cost]])))</f>
        <v>0</v>
      </c>
      <c r="DE163" s="41" t="n">
        <f aca="false">Tasks[[#This Row],[_LeafBudget]]*Tasks[[#This Row],[_PlannedPct]]</f>
        <v>0</v>
      </c>
      <c r="DF163" s="41" t="n">
        <f aca="false">Tasks[[#This Row],[_LeafBudget]]*Tasks[[#This Row],[_LeafProgress]]</f>
        <v>0</v>
      </c>
      <c r="DG163" s="41" t="n">
        <f aca="false">IF(NOT(Tasks[[#This Row],[_IsLeaf]]=1),0,IF(Tasks[[#This Row],[Actual Cost]]="",Tasks[[#This Row],[_LeafCost]]*Tasks[[#This Row],[_LeafProgress]],N(Tasks[[#This Row],[Actual Cost]])))</f>
        <v>0</v>
      </c>
      <c r="DH163" s="41" t="str">
        <f aca="false">IF(Tasks[[#This Row],[Task Name]]="","",LEFT(Tasks[[#This Row],[WBS]],FIND(".",Tasks[[#This Row],[WBS]]&amp;".")-1))</f>
        <v/>
      </c>
      <c r="DI163" s="41" t="str">
        <f aca="false">IF(AND(Tasks[[#This Row],[Task Name]]&lt;&gt;"",Tasks[[#This Row],[_Level]]=1),Tasks[[#This Row],[_Row]],"")</f>
        <v/>
      </c>
      <c r="DJ163" s="41" t="str">
        <f aca="false">IF(AND(Tasks[[#This Row],[_IsLeaf]]=1,N(Tasks[[#This Row],[Duration]])=0),Tasks[[#This Row],[Planned Finish]]+Tasks[[#This Row],[_Row]]/100000,"")</f>
        <v/>
      </c>
      <c r="DK163" s="41" t="str">
        <f aca="false">IF(AND(Tasks[[#This Row],[_IsLeaf]]=1,Tasks[[#This Row],[_LeafProgress]]&lt;1,OR(N(Tasks[[#This Row],[Finish Var]])&gt;0,Tasks[[#This Row],[Status]]="Late Start")),MAX(0,Tasks[[#This Row],[Finish Var]])+1-Tasks[[#This Row],[_Row]]/1000000,"")</f>
        <v/>
      </c>
      <c r="DL163" s="41" t="str">
        <f aca="false">IF(AND(Tasks[[#This Row],[_IsLeaf]]=1,N(Tasks[[#This Row],[Actual Start]])=0,Tasks[[#This Row],[_LeafFcstStart]]&gt;=StatusDate,Tasks[[#This Row],[_LeafFcstStart]]&lt;=LookaheadEnd),Tasks[[#This Row],[_LeafFcstStart]]+Tasks[[#This Row],[_Row]]/100000,"")</f>
        <v/>
      </c>
      <c r="DM163" s="41" t="str">
        <f aca="false">IF(AND(Tasks[[#This Row],[_IsLeaf]]=1,Tasks[[#This Row],[_LeafProgress]]&lt;1,Tasks[[#This Row],[_LeafFcstFinish]]&gt;=StatusDate,Tasks[[#This Row],[_LeafFcstFinish]]&lt;=LookaheadEnd),Tasks[[#This Row],[_LeafFcstFinish]]+Tasks[[#This Row],[_Row]]/100000,"")</f>
        <v/>
      </c>
      <c r="DN163" s="41" t="str">
        <f aca="false">IF(Tasks[[#This Row],[_LeafCritical]],Tasks[[#This Row],[_LeafFcstStart]]+Tasks[[#This Row],[_Row]]/100000,"")</f>
        <v/>
      </c>
      <c r="DO163" s="41" t="n">
        <f aca="false">Tasks[[#This Row],[_LeafWork]]*Tasks[[#This Row],[_LeafProgress]]</f>
        <v>0</v>
      </c>
      <c r="DP163" s="100" t="str">
        <f aca="false">IF(AND(Tasks[[#This Row],[_IsLeaf]]=1,Tasks[[#This Row],[_LeafProgress]]&gt;=1),IF(N(Tasks[[#This Row],[Actual Finish]])&gt;0,Tasks[[#This Row],[Actual Finish]],Tasks[[#This Row],[_LeafFcstFinish]]),"")</f>
        <v/>
      </c>
      <c r="DQ163" s="41" t="n">
        <f aca="false">IF(Tasks[[#This Row],[_IsLeaf]]=1,N(Tasks[[#This Row],[Story Points]]),0)</f>
        <v>0</v>
      </c>
      <c r="DR163" s="41" t="str">
        <f aca="false">IF(AND(Tasks[[#This Row],[_IsLeaf]]=1,CurrentSprint&lt;&gt;"",Tasks[[#This Row],[Sprint]]=CurrentSprint),Tasks[[#This Row],[_Row]],"")</f>
        <v/>
      </c>
    </row>
    <row r="164" customFormat="false" ht="15" hidden="false" customHeight="false" outlineLevel="0" collapsed="false">
      <c r="A164" s="28" t="str">
        <f aca="false">IF(Tasks[[#This Row],[Task Name]]="","",COUNTA(Tasks[[#Headers],[Task Name]]:Tasks[[#This Row],[Task Name]])-1)</f>
        <v/>
      </c>
      <c r="B164" s="29" t="n">
        <v>159</v>
      </c>
      <c r="C16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4" s="29"/>
      <c r="E164" s="30"/>
      <c r="F164" s="29"/>
      <c r="G164" s="29"/>
      <c r="H164" s="29"/>
      <c r="I164" s="29"/>
      <c r="J164" s="29"/>
      <c r="K164" s="29"/>
      <c r="L164" s="29"/>
      <c r="M164" s="29"/>
      <c r="N164" s="73"/>
      <c r="O164" s="73"/>
      <c r="P164" s="25" t="str">
        <f aca="false">IF(Tasks[[#This Row],[Task Name]]="","",IF(N(Tasks[[#This Row],[Baseline Start]])&gt;0,Tasks[[#This Row],[Baseline Start]],Tasks[[#This Row],[_CalcStart]]))</f>
        <v/>
      </c>
      <c r="Q164" s="25" t="str">
        <f aca="false">IF(Tasks[[#This Row],[Task Name]]="","",IF(N(Tasks[[#This Row],[Baseline Finish]])&gt;0,Tasks[[#This Row],[Baseline Finish]],Tasks[[#This Row],[_CalcFinish]]))</f>
        <v/>
      </c>
      <c r="R164" s="73"/>
      <c r="S164" s="73"/>
      <c r="T164" s="25" t="str">
        <f aca="false">IF(Tasks[[#This Row],[Task Name]]="","",IF(Tasks[[#This Row],[_IsSummary]],MIN(INDEX(Tasks[_LeafFcstStart],Tasks[[#This Row],[_Row]]+1):INDEX(Tasks[_LeafFcstStart],Tasks[[#This Row],[_Row]]+Tasks[[#This Row],[_Descendants]])),Tasks[[#This Row],[_LeafFcstStart]]))</f>
        <v/>
      </c>
      <c r="U164" s="25" t="str">
        <f aca="false">IF(Tasks[[#This Row],[Task Name]]="","",IF(Tasks[[#This Row],[_IsSummary]],MAX(INDEX(Tasks[_LeafFcstFinish],Tasks[[#This Row],[_Row]]+1):INDEX(Tasks[_LeafFcstFinish],Tasks[[#This Row],[_Row]]+Tasks[[#This Row],[_Descendants]])),Tasks[[#This Row],[_LeafFcstFinish]]))</f>
        <v/>
      </c>
      <c r="V16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6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4" s="25" t="str">
        <f aca="false">IF(Tasks[[#This Row],[Task Name]]="","",IF(Tasks[[#This Row],[_IsSummary]],MIN(INDEX(Tasks[_LeafLateStart],Tasks[[#This Row],[_Row]]+1):INDEX(Tasks[_LeafLateStart],Tasks[[#This Row],[_Row]]+Tasks[[#This Row],[_Descendants]])),Tasks[[#This Row],[_LeafLateStart]]))</f>
        <v/>
      </c>
      <c r="Y164" s="25" t="str">
        <f aca="false">IF(Tasks[[#This Row],[Task Name]]="","",IF(Tasks[[#This Row],[_IsSummary]],MAX(INDEX(Tasks[_LeafLateFinish],Tasks[[#This Row],[_Row]]+1):INDEX(Tasks[_LeafLateFinish],Tasks[[#This Row],[_Row]]+Tasks[[#This Row],[_Descendants]])),Tasks[[#This Row],[_LeafLateFinish]]))</f>
        <v/>
      </c>
      <c r="Z164" s="43" t="str">
        <f aca="false">IF(Tasks[[#This Row],[Task Name]]="","",IF(Tasks[[#This Row],[_IsSummary]],MIN(INDEX(Tasks[_LeafTotalSlack],Tasks[[#This Row],[_Row]]+1):INDEX(Tasks[_LeafTotalSlack],Tasks[[#This Row],[_Row]]+Tasks[[#This Row],[_Descendants]])),Tasks[[#This Row],[_LeafTotalSlack]]))</f>
        <v/>
      </c>
      <c r="AA16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4" s="28" t="str">
        <f aca="false">IF(Tasks[[#This Row],[Task Name]]="","",IF(IF(Tasks[[#This Row],[_IsSummary]],COUNTIF(INDEX(Tasks[_LeafCritical],Tasks[[#This Row],[_Row]]+1):INDEX(Tasks[_LeafCritical],Tasks[[#This Row],[_Row]]+Tasks[[#This Row],[_Descendants]]),TRUE())&gt;0,Tasks[[#This Row],[_LeafCritical]]),"Yes",""))</f>
        <v/>
      </c>
      <c r="AC16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4" s="24" t="str">
        <f aca="false">IF(Tasks[[#This Row],[Task Name]]="","",TRIM(IF(Tasks[[#This Row],[_Pred1Problem]]&lt;&gt;"","Pred 1: "&amp;Tasks[[#This Row],[_Pred1Problem]]&amp;". ","")&amp;IF(Tasks[[#This Row],[_Pred2Problem]]&lt;&gt;"","Pred 2: "&amp;Tasks[[#This Row],[_Pred2Problem]]&amp;".","")))</f>
        <v/>
      </c>
      <c r="AE164" s="88"/>
      <c r="AF164"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4" s="28" t="str">
        <f aca="false">IF(Tasks[[#This Row],[Task Name]]="","",IF(Tasks[[#This Row],[Progress]]&gt;=1,"Complete",IF(OR(N(Tasks[[#This Row],[Actual Start]])&gt;0,Tasks[[#This Row],[Progress]]&gt;0),IF(Tasks[[#This Row],[Finish Var]]&gt;0,"Behind","In Progress"),IF(Tasks[[#This Row],[Planned Start]]&lt;StatusDate,"Late Start","Not Started"))))</f>
        <v/>
      </c>
      <c r="AH164" s="30"/>
      <c r="AI164" s="88"/>
      <c r="AJ164" s="95" t="str">
        <f aca="false">IF(Tasks[[#This Row],[Task Name]]="","",IF(Tasks[[#This Row],[_IsSummary]],SUM(INDEX(Tasks[_LeafWork],Tasks[[#This Row],[_Row]]+1):INDEX(Tasks[_LeafWork],Tasks[[#This Row],[_Row]]+Tasks[[#This Row],[_Descendants]])),Tasks[[#This Row],[_LeafWork]]))</f>
        <v/>
      </c>
      <c r="AK164" s="96" t="str">
        <f aca="false">IF(Tasks[[#This Row],[Task Name]]="","",IF(Tasks[[#This Row],[_IsSummary]],SUM(INDEX(Tasks[_LeafCost],Tasks[[#This Row],[_Row]]+1):INDEX(Tasks[_LeafCost],Tasks[[#This Row],[_Row]]+Tasks[[#This Row],[_Descendants]])),Tasks[[#This Row],[_LeafCost]]))</f>
        <v/>
      </c>
      <c r="AL164" s="97"/>
      <c r="AM164" s="29"/>
      <c r="AN16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64" s="82"/>
      <c r="AP164" s="24" t="str">
        <f aca="false">IF(Tasks[[#This Row],[Task Name]]="","",Tasks[[#This Row],[_Pred1IDText]]&amp;IF(AND(Tasks[[#This Row],[_Pred1IDText]]&lt;&gt;"",Tasks[[#This Row],[_Pred2IDText]]&lt;&gt;""),",","")&amp;Tasks[[#This Row],[_Pred2IDText]])</f>
        <v/>
      </c>
      <c r="AQ164" s="30"/>
      <c r="AR164" s="25" t="str">
        <f aca="false">IF(Tasks[[#This Row],[Task Name]]="","",Tasks[[#This Row],[Forecast Start]])</f>
        <v/>
      </c>
      <c r="AS164" s="25" t="str">
        <f aca="false">IF(Tasks[[#This Row],[Task Name]]="","",Tasks[[#This Row],[Forecast Finish]])</f>
        <v/>
      </c>
      <c r="AT164" s="28" t="str">
        <f aca="false">IF(Tasks[[#This Row],[Task Name]]="","",IF(Tasks[[#This Row],[_IsSummary]],NETWORKDAYS.INTL(Tasks[[#This Row],[Forecast Start]],Tasks[[#This Row],[Forecast Finish]],WorkWeek,Holidays),N(Tasks[[#This Row],[Duration]])))</f>
        <v/>
      </c>
      <c r="AU164" s="95" t="str">
        <f aca="false">IF(Tasks[[#This Row],[Task Name]]="","",Tasks[[#This Row],[Work]])</f>
        <v/>
      </c>
      <c r="AV164" s="96" t="str">
        <f aca="false">IF(Tasks[[#This Row],[Task Name]]="","",Tasks[[#This Row],[Cost]])</f>
        <v/>
      </c>
      <c r="AW164" s="73"/>
      <c r="AX164" s="73"/>
      <c r="AY164" s="29"/>
      <c r="AZ164" s="98"/>
      <c r="BA164" s="97"/>
      <c r="BB164" s="28" t="str">
        <f aca="false">IF(OR(Tasks[[#This Row],[Task Name]]="",Tasks[[#This Row],[Baseline Duration]]=""),"",Tasks[[#This Row],[BL Source Duration]]-N(Tasks[[#This Row],[Baseline Duration]]))</f>
        <v/>
      </c>
      <c r="BC164" s="95" t="str">
        <f aca="false">IF(OR(Tasks[[#This Row],[Task Name]]="",Tasks[[#This Row],[Baseline Work]]=""),"",Tasks[[#This Row],[Work]]-N(Tasks[[#This Row],[Baseline Work]]))</f>
        <v/>
      </c>
      <c r="BD164" s="96" t="str">
        <f aca="false">IF(OR(Tasks[[#This Row],[Task Name]]="",Tasks[[#This Row],[Baseline Cost]]=""),"",Tasks[[#This Row],[Cost]]-N(Tasks[[#This Row],[Baseline Cost]]))</f>
        <v/>
      </c>
      <c r="BE164" s="96" t="str">
        <f aca="false">IF(Tasks[[#This Row],[Task Name]]="","",IF(Tasks[[#This Row],[_IsSummary]],SUM(INDEX(Tasks[_LeafBudget],Tasks[[#This Row],[_Row]]+1):INDEX(Tasks[_LeafBudget],Tasks[[#This Row],[_Row]]+Tasks[[#This Row],[_Descendants]])),Tasks[[#This Row],[_LeafBudget]]))</f>
        <v/>
      </c>
      <c r="BF164" s="96" t="str">
        <f aca="false">IF(Tasks[[#This Row],[Task Name]]="","",IF(Tasks[[#This Row],[_IsSummary]],SUM(INDEX(Tasks[_LeafPV],Tasks[[#This Row],[_Row]]+1):INDEX(Tasks[_LeafPV],Tasks[[#This Row],[_Row]]+Tasks[[#This Row],[_Descendants]])),Tasks[[#This Row],[_LeafPV]]))</f>
        <v/>
      </c>
      <c r="BG164" s="96" t="str">
        <f aca="false">IF(Tasks[[#This Row],[Task Name]]="","",IF(Tasks[[#This Row],[_IsSummary]],SUM(INDEX(Tasks[_LeafEV],Tasks[[#This Row],[_Row]]+1):INDEX(Tasks[_LeafEV],Tasks[[#This Row],[_Row]]+Tasks[[#This Row],[_Descendants]])),Tasks[[#This Row],[_LeafEV]]))</f>
        <v/>
      </c>
      <c r="BH164" s="96" t="str">
        <f aca="false">IF(Tasks[[#This Row],[Task Name]]="","",IF(Tasks[[#This Row],[_IsSummary]],SUM(INDEX(Tasks[_LeafAC],Tasks[[#This Row],[_Row]]+1):INDEX(Tasks[_LeafAC],Tasks[[#This Row],[_Row]]+Tasks[[#This Row],[_Descendants]])),Tasks[[#This Row],[_LeafAC]]))</f>
        <v/>
      </c>
      <c r="BI164" s="41" t="str">
        <f aca="false">IF(Tasks[[#This Row],[Task Name]]="","",MAX(1,N(Tasks[[#This Row],[Level]])))</f>
        <v/>
      </c>
      <c r="BJ164" s="41" t="n">
        <f aca="false">ROW()-ROW(Tasks[[#Headers],[ID]])</f>
        <v>159</v>
      </c>
      <c r="BK164" s="41" t="n">
        <f aca="false">IF(OR(Tasks[[#This Row],[Task Name]]="",Tasks[[#This Row],[_Level]]&lt;=1),0,IFERROR(LOOKUP(2,1/(Tasks[[#Headers],[_Level]]:Tasks[[#This Row],[_Level]]=Tasks[[#This Row],[_Level]]-1),ROW(Tasks[[#Headers],[_Level]]:Tasks[[#This Row],[_Level]])),0))</f>
        <v>0</v>
      </c>
      <c r="BL164" s="41" t="n">
        <f aca="false">IFERROR(N(INDEX(Tasks[_Level],Tasks[[#This Row],[_Row]]+1)),0)</f>
        <v>0</v>
      </c>
      <c r="BM164" s="99" t="b">
        <f aca="false">AND(Tasks[[#This Row],[Task Name]]&lt;&gt;"",Tasks[[#This Row],[_NextLevel]]&gt;Tasks[[#This Row],[_Level]])</f>
        <v>0</v>
      </c>
      <c r="BN164" s="41" t="n">
        <f aca="false">IF(Tasks[[#This Row],[_IsSummary]],COUNTIF(Tasks[WBS],Tasks[[#This Row],[WBS]]&amp;".*"),0)</f>
        <v>0</v>
      </c>
      <c r="BO164" s="41" t="n">
        <f aca="false">IF(AND(Tasks[[#This Row],[Task Name]]&lt;&gt;"",NOT(Tasks[[#This Row],[_IsSummary]])),1,0)</f>
        <v>0</v>
      </c>
      <c r="BP164" s="41" t="n">
        <f aca="false">IF(N(Tasks[[#This Row],[Pred1 UID]])=0,0,IFERROR(MATCH(Tasks[[#This Row],[Pred1 UID]],Tasks[UID],0),-1))</f>
        <v>0</v>
      </c>
      <c r="BQ164" s="41" t="n">
        <f aca="false">IF(N(Tasks[[#This Row],[Pred2 UID]])=0,0,IFERROR(MATCH(Tasks[[#This Row],[Pred2 UID]],Tasks[UID],0),-1))</f>
        <v>0</v>
      </c>
      <c r="BR164"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64" s="100" t="str">
        <f aca="false">IF(NOT(Tasks[[#This Row],[_IsLeaf]]=1),"",IF(N(Tasks[[#This Row],[Duration]])&lt;=0,Tasks[[#This Row],[_LeafCalcStart]],WORKDAY.INTL(Tasks[[#This Row],[_LeafCalcStart]],Tasks[[#This Row],[Duration]]-1,WorkWeek,Holidays)))</f>
        <v/>
      </c>
      <c r="BT164"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64"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64" s="41" t="n">
        <f aca="false">IF(NOT(Tasks[[#This Row],[_IsLeaf]]=1),0,IF(N(Tasks[[#This Row],[Actual Finish]])&gt;0,1,MIN(1,N(Tasks[[#This Row],[% Complete]]))))</f>
        <v>0</v>
      </c>
      <c r="BW164" s="41" t="n">
        <f aca="false">IF(OR(NOT(Tasks[[#This Row],[_IsLeaf]]=1),Tasks[[#This Row],[Resource]]=""),0,N(Tasks[[#This Row],[Duration]])*HoursPerDay*IF(Tasks[[#This Row],[Units]]="",DefaultUnits,Tasks[[#This Row],[Units]]))</f>
        <v>0</v>
      </c>
      <c r="BX164" s="41" t="n">
        <f aca="false">IF(Tasks[[#This Row],[_LeafWork]]=0,0,Tasks[[#This Row],[_LeafWork]]*IFERROR(INDEX(res_Rate,MATCH(Tasks[[#This Row],[Resource]],res_Name,0)),0))</f>
        <v>0</v>
      </c>
      <c r="BY16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6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6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6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64" s="41" t="n">
        <f aca="false">IF(NOT(Tasks[[#This Row],[_IsLeaf]]=1),0,MAX(_xlfn.MAXIFS(Tasks[_Row],Tasks[Pred1 UID],Tasks[[#This Row],[UID]]),_xlfn.MAXIFS(Tasks[_Row],Tasks[Pred2 UID],Tasks[[#This Row],[UID]])))</f>
        <v>0</v>
      </c>
      <c r="CD164"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64" s="100" t="str">
        <f aca="false">IF(NOT(Tasks[[#This Row],[_IsLeaf]]=1),"",MIN(ProjectFinish,IF(N(Tasks[[#This Row],[Deadline]])&gt;0,Tasks[[#This Row],[Deadline]],2958465),Tasks[[#This Row],[_SuccessorFinishLimit]]))</f>
        <v/>
      </c>
      <c r="CF164" s="100" t="str">
        <f aca="false">IF(NOT(Tasks[[#This Row],[_IsLeaf]]=1),"",IF(N(Tasks[[#This Row],[Duration]])&lt;=0,Tasks[[#This Row],[_LeafLateFinish]],WORKDAY.INTL(Tasks[[#This Row],[_LeafLateFinish]],-(Tasks[[#This Row],[Duration]]-1),WorkWeek,Holidays)))</f>
        <v/>
      </c>
      <c r="CG16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64" s="99" t="b">
        <f aca="false">AND(Tasks[[#This Row],[_IsLeaf]]=1,Tasks[[#This Row],[_LeafProgress]]&lt;1,N(Tasks[[#This Row],[_LeafTotalSlack]])&lt;=CriticalSlackDays)</f>
        <v>0</v>
      </c>
      <c r="CI164" s="100" t="str">
        <f aca="false">IF(Tasks[[#This Row],[Task Name]]="","",IF(Tasks[[#This Row],[_IsSummary]],MIN(INDEX(Tasks[_LeafCalcStart],Tasks[[#This Row],[_Row]]+1):INDEX(Tasks[_LeafCalcStart],Tasks[[#This Row],[_Row]]+Tasks[[#This Row],[_Descendants]])),Tasks[[#This Row],[_LeafCalcStart]]))</f>
        <v/>
      </c>
      <c r="CJ164" s="100" t="str">
        <f aca="false">IF(Tasks[[#This Row],[Task Name]]="","",IF(Tasks[[#This Row],[_IsSummary]],MAX(INDEX(Tasks[_LeafCalcFinish],Tasks[[#This Row],[_Row]]+1):INDEX(Tasks[_LeafCalcFinish],Tasks[[#This Row],[_Row]]+Tasks[[#This Row],[_Descendants]])),Tasks[[#This Row],[_LeafCalcFinish]]))</f>
        <v/>
      </c>
      <c r="CK16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6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64"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64"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64"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64"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64" s="41" t="n">
        <f aca="false">IF(AND(Tasks[[#This Row],[_IsLeaf]]=1,Tasks[[#This Row],[_LeafWork]]&gt;0),NETWORKDAYS.INTL(ProjectStart,Tasks[[#This Row],[_LeafFcstStart]],WorkWeek,Holidays),0)</f>
        <v>0</v>
      </c>
      <c r="CR164" s="41" t="n">
        <f aca="false">IF(AND(Tasks[[#This Row],[_IsLeaf]]=1,Tasks[[#This Row],[_LeafWork]]&gt;0),MAX(Tasks[[#This Row],[_StartWorkday]],NETWORKDAYS.INTL(ProjectStart,Tasks[[#This Row],[_LeafFcstFinish]],WorkWeek,Holidays)),0)</f>
        <v>0</v>
      </c>
      <c r="CS164" s="41" t="n">
        <f aca="false">IF(AND(Tasks[[#This Row],[_IsLeaf]]=1,Tasks[[#This Row],[_LeafWork]]&gt;0),Tasks[[#This Row],[_LeafWork]]/(Tasks[[#This Row],[_FinishWorkday]]-Tasks[[#This Row],[_StartWorkday]]+1),0)</f>
        <v>0</v>
      </c>
      <c r="CT164" s="41" t="n">
        <f aca="false">Tasks[[#This Row],[_WorkPerWorkday]]*(Tasks[[#This Row],[_StartWorkday]]-1)</f>
        <v>-0</v>
      </c>
      <c r="CU164" s="41" t="n">
        <f aca="false">IF(Tasks[[#This Row],[_IsLeaf]]=1,MAX(N(Tasks[[#This Row],[Duration]]),0.1),0)</f>
        <v>0</v>
      </c>
      <c r="CV164" s="41" t="n">
        <f aca="false">Tasks[[#This Row],[_WeightDur]]*Tasks[[#This Row],[_LeafProgress]]</f>
        <v>0</v>
      </c>
      <c r="CW16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6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6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6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64" s="41" t="str">
        <f aca="false">IF(Tasks[[#This Row],[Task Name]]="","",Tasks[[#This Row],[_Pred1UIDText]]&amp;IF(AND(Tasks[[#This Row],[_Pred1UIDText]]&lt;&gt;"",Tasks[[#This Row],[_Pred2UIDText]]&lt;&gt;""),",","")&amp;Tasks[[#This Row],[_Pred2UIDText]])</f>
        <v/>
      </c>
      <c r="DB164" s="41" t="str">
        <f aca="false">IF(AND(Tasks[[#This Row],[_IsLeaf]]=1,N(Tasks[[#This Row],[Duration]])=0,Tasks[[#This Row],[_LeafProgress]]&lt;1),Tasks[[#This Row],[_LeafFcstFinish]]+Tasks[[#This Row],[_Row]]/100000,"")</f>
        <v/>
      </c>
      <c r="DC16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64" s="41" t="n">
        <f aca="false">IF(NOT(Tasks[[#This Row],[_IsLeaf]]=1),0,IF(Tasks[[#This Row],[Baseline Cost]]="",Tasks[[#This Row],[_LeafCost]],N(Tasks[[#This Row],[Baseline Cost]])))</f>
        <v>0</v>
      </c>
      <c r="DE164" s="41" t="n">
        <f aca="false">Tasks[[#This Row],[_LeafBudget]]*Tasks[[#This Row],[_PlannedPct]]</f>
        <v>0</v>
      </c>
      <c r="DF164" s="41" t="n">
        <f aca="false">Tasks[[#This Row],[_LeafBudget]]*Tasks[[#This Row],[_LeafProgress]]</f>
        <v>0</v>
      </c>
      <c r="DG164" s="41" t="n">
        <f aca="false">IF(NOT(Tasks[[#This Row],[_IsLeaf]]=1),0,IF(Tasks[[#This Row],[Actual Cost]]="",Tasks[[#This Row],[_LeafCost]]*Tasks[[#This Row],[_LeafProgress]],N(Tasks[[#This Row],[Actual Cost]])))</f>
        <v>0</v>
      </c>
      <c r="DH164" s="41" t="str">
        <f aca="false">IF(Tasks[[#This Row],[Task Name]]="","",LEFT(Tasks[[#This Row],[WBS]],FIND(".",Tasks[[#This Row],[WBS]]&amp;".")-1))</f>
        <v/>
      </c>
      <c r="DI164" s="41" t="str">
        <f aca="false">IF(AND(Tasks[[#This Row],[Task Name]]&lt;&gt;"",Tasks[[#This Row],[_Level]]=1),Tasks[[#This Row],[_Row]],"")</f>
        <v/>
      </c>
      <c r="DJ164" s="41" t="str">
        <f aca="false">IF(AND(Tasks[[#This Row],[_IsLeaf]]=1,N(Tasks[[#This Row],[Duration]])=0),Tasks[[#This Row],[Planned Finish]]+Tasks[[#This Row],[_Row]]/100000,"")</f>
        <v/>
      </c>
      <c r="DK164" s="41" t="str">
        <f aca="false">IF(AND(Tasks[[#This Row],[_IsLeaf]]=1,Tasks[[#This Row],[_LeafProgress]]&lt;1,OR(N(Tasks[[#This Row],[Finish Var]])&gt;0,Tasks[[#This Row],[Status]]="Late Start")),MAX(0,Tasks[[#This Row],[Finish Var]])+1-Tasks[[#This Row],[_Row]]/1000000,"")</f>
        <v/>
      </c>
      <c r="DL164" s="41" t="str">
        <f aca="false">IF(AND(Tasks[[#This Row],[_IsLeaf]]=1,N(Tasks[[#This Row],[Actual Start]])=0,Tasks[[#This Row],[_LeafFcstStart]]&gt;=StatusDate,Tasks[[#This Row],[_LeafFcstStart]]&lt;=LookaheadEnd),Tasks[[#This Row],[_LeafFcstStart]]+Tasks[[#This Row],[_Row]]/100000,"")</f>
        <v/>
      </c>
      <c r="DM164" s="41" t="str">
        <f aca="false">IF(AND(Tasks[[#This Row],[_IsLeaf]]=1,Tasks[[#This Row],[_LeafProgress]]&lt;1,Tasks[[#This Row],[_LeafFcstFinish]]&gt;=StatusDate,Tasks[[#This Row],[_LeafFcstFinish]]&lt;=LookaheadEnd),Tasks[[#This Row],[_LeafFcstFinish]]+Tasks[[#This Row],[_Row]]/100000,"")</f>
        <v/>
      </c>
      <c r="DN164" s="41" t="str">
        <f aca="false">IF(Tasks[[#This Row],[_LeafCritical]],Tasks[[#This Row],[_LeafFcstStart]]+Tasks[[#This Row],[_Row]]/100000,"")</f>
        <v/>
      </c>
      <c r="DO164" s="41" t="n">
        <f aca="false">Tasks[[#This Row],[_LeafWork]]*Tasks[[#This Row],[_LeafProgress]]</f>
        <v>0</v>
      </c>
      <c r="DP164" s="100" t="str">
        <f aca="false">IF(AND(Tasks[[#This Row],[_IsLeaf]]=1,Tasks[[#This Row],[_LeafProgress]]&gt;=1),IF(N(Tasks[[#This Row],[Actual Finish]])&gt;0,Tasks[[#This Row],[Actual Finish]],Tasks[[#This Row],[_LeafFcstFinish]]),"")</f>
        <v/>
      </c>
      <c r="DQ164" s="41" t="n">
        <f aca="false">IF(Tasks[[#This Row],[_IsLeaf]]=1,N(Tasks[[#This Row],[Story Points]]),0)</f>
        <v>0</v>
      </c>
      <c r="DR164" s="41" t="str">
        <f aca="false">IF(AND(Tasks[[#This Row],[_IsLeaf]]=1,CurrentSprint&lt;&gt;"",Tasks[[#This Row],[Sprint]]=CurrentSprint),Tasks[[#This Row],[_Row]],"")</f>
        <v/>
      </c>
    </row>
    <row r="165" customFormat="false" ht="15" hidden="false" customHeight="false" outlineLevel="0" collapsed="false">
      <c r="A165" s="28" t="str">
        <f aca="false">IF(Tasks[[#This Row],[Task Name]]="","",COUNTA(Tasks[[#Headers],[Task Name]]:Tasks[[#This Row],[Task Name]])-1)</f>
        <v/>
      </c>
      <c r="B165" s="29" t="n">
        <v>160</v>
      </c>
      <c r="C16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5" s="29"/>
      <c r="E165" s="30"/>
      <c r="F165" s="29"/>
      <c r="G165" s="29"/>
      <c r="H165" s="29"/>
      <c r="I165" s="29"/>
      <c r="J165" s="29"/>
      <c r="K165" s="29"/>
      <c r="L165" s="29"/>
      <c r="M165" s="29"/>
      <c r="N165" s="73"/>
      <c r="O165" s="73"/>
      <c r="P165" s="25" t="str">
        <f aca="false">IF(Tasks[[#This Row],[Task Name]]="","",IF(N(Tasks[[#This Row],[Baseline Start]])&gt;0,Tasks[[#This Row],[Baseline Start]],Tasks[[#This Row],[_CalcStart]]))</f>
        <v/>
      </c>
      <c r="Q165" s="25" t="str">
        <f aca="false">IF(Tasks[[#This Row],[Task Name]]="","",IF(N(Tasks[[#This Row],[Baseline Finish]])&gt;0,Tasks[[#This Row],[Baseline Finish]],Tasks[[#This Row],[_CalcFinish]]))</f>
        <v/>
      </c>
      <c r="R165" s="73"/>
      <c r="S165" s="73"/>
      <c r="T165" s="25" t="str">
        <f aca="false">IF(Tasks[[#This Row],[Task Name]]="","",IF(Tasks[[#This Row],[_IsSummary]],MIN(INDEX(Tasks[_LeafFcstStart],Tasks[[#This Row],[_Row]]+1):INDEX(Tasks[_LeafFcstStart],Tasks[[#This Row],[_Row]]+Tasks[[#This Row],[_Descendants]])),Tasks[[#This Row],[_LeafFcstStart]]))</f>
        <v/>
      </c>
      <c r="U165" s="25" t="str">
        <f aca="false">IF(Tasks[[#This Row],[Task Name]]="","",IF(Tasks[[#This Row],[_IsSummary]],MAX(INDEX(Tasks[_LeafFcstFinish],Tasks[[#This Row],[_Row]]+1):INDEX(Tasks[_LeafFcstFinish],Tasks[[#This Row],[_Row]]+Tasks[[#This Row],[_Descendants]])),Tasks[[#This Row],[_LeafFcstFinish]]))</f>
        <v/>
      </c>
      <c r="V16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6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5" s="25" t="str">
        <f aca="false">IF(Tasks[[#This Row],[Task Name]]="","",IF(Tasks[[#This Row],[_IsSummary]],MIN(INDEX(Tasks[_LeafLateStart],Tasks[[#This Row],[_Row]]+1):INDEX(Tasks[_LeafLateStart],Tasks[[#This Row],[_Row]]+Tasks[[#This Row],[_Descendants]])),Tasks[[#This Row],[_LeafLateStart]]))</f>
        <v/>
      </c>
      <c r="Y165" s="25" t="str">
        <f aca="false">IF(Tasks[[#This Row],[Task Name]]="","",IF(Tasks[[#This Row],[_IsSummary]],MAX(INDEX(Tasks[_LeafLateFinish],Tasks[[#This Row],[_Row]]+1):INDEX(Tasks[_LeafLateFinish],Tasks[[#This Row],[_Row]]+Tasks[[#This Row],[_Descendants]])),Tasks[[#This Row],[_LeafLateFinish]]))</f>
        <v/>
      </c>
      <c r="Z165" s="43" t="str">
        <f aca="false">IF(Tasks[[#This Row],[Task Name]]="","",IF(Tasks[[#This Row],[_IsSummary]],MIN(INDEX(Tasks[_LeafTotalSlack],Tasks[[#This Row],[_Row]]+1):INDEX(Tasks[_LeafTotalSlack],Tasks[[#This Row],[_Row]]+Tasks[[#This Row],[_Descendants]])),Tasks[[#This Row],[_LeafTotalSlack]]))</f>
        <v/>
      </c>
      <c r="AA16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5" s="28" t="str">
        <f aca="false">IF(Tasks[[#This Row],[Task Name]]="","",IF(IF(Tasks[[#This Row],[_IsSummary]],COUNTIF(INDEX(Tasks[_LeafCritical],Tasks[[#This Row],[_Row]]+1):INDEX(Tasks[_LeafCritical],Tasks[[#This Row],[_Row]]+Tasks[[#This Row],[_Descendants]]),TRUE())&gt;0,Tasks[[#This Row],[_LeafCritical]]),"Yes",""))</f>
        <v/>
      </c>
      <c r="AC16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5" s="24" t="str">
        <f aca="false">IF(Tasks[[#This Row],[Task Name]]="","",TRIM(IF(Tasks[[#This Row],[_Pred1Problem]]&lt;&gt;"","Pred 1: "&amp;Tasks[[#This Row],[_Pred1Problem]]&amp;". ","")&amp;IF(Tasks[[#This Row],[_Pred2Problem]]&lt;&gt;"","Pred 2: "&amp;Tasks[[#This Row],[_Pred2Problem]]&amp;".","")))</f>
        <v/>
      </c>
      <c r="AE165" s="88"/>
      <c r="AF165"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5" s="28" t="str">
        <f aca="false">IF(Tasks[[#This Row],[Task Name]]="","",IF(Tasks[[#This Row],[Progress]]&gt;=1,"Complete",IF(OR(N(Tasks[[#This Row],[Actual Start]])&gt;0,Tasks[[#This Row],[Progress]]&gt;0),IF(Tasks[[#This Row],[Finish Var]]&gt;0,"Behind","In Progress"),IF(Tasks[[#This Row],[Planned Start]]&lt;StatusDate,"Late Start","Not Started"))))</f>
        <v/>
      </c>
      <c r="AH165" s="30"/>
      <c r="AI165" s="88"/>
      <c r="AJ165" s="95" t="str">
        <f aca="false">IF(Tasks[[#This Row],[Task Name]]="","",IF(Tasks[[#This Row],[_IsSummary]],SUM(INDEX(Tasks[_LeafWork],Tasks[[#This Row],[_Row]]+1):INDEX(Tasks[_LeafWork],Tasks[[#This Row],[_Row]]+Tasks[[#This Row],[_Descendants]])),Tasks[[#This Row],[_LeafWork]]))</f>
        <v/>
      </c>
      <c r="AK165" s="96" t="str">
        <f aca="false">IF(Tasks[[#This Row],[Task Name]]="","",IF(Tasks[[#This Row],[_IsSummary]],SUM(INDEX(Tasks[_LeafCost],Tasks[[#This Row],[_Row]]+1):INDEX(Tasks[_LeafCost],Tasks[[#This Row],[_Row]]+Tasks[[#This Row],[_Descendants]])),Tasks[[#This Row],[_LeafCost]]))</f>
        <v/>
      </c>
      <c r="AL165" s="97"/>
      <c r="AM165" s="29"/>
      <c r="AN16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65" s="82"/>
      <c r="AP165" s="24" t="str">
        <f aca="false">IF(Tasks[[#This Row],[Task Name]]="","",Tasks[[#This Row],[_Pred1IDText]]&amp;IF(AND(Tasks[[#This Row],[_Pred1IDText]]&lt;&gt;"",Tasks[[#This Row],[_Pred2IDText]]&lt;&gt;""),",","")&amp;Tasks[[#This Row],[_Pred2IDText]])</f>
        <v/>
      </c>
      <c r="AQ165" s="30"/>
      <c r="AR165" s="25" t="str">
        <f aca="false">IF(Tasks[[#This Row],[Task Name]]="","",Tasks[[#This Row],[Forecast Start]])</f>
        <v/>
      </c>
      <c r="AS165" s="25" t="str">
        <f aca="false">IF(Tasks[[#This Row],[Task Name]]="","",Tasks[[#This Row],[Forecast Finish]])</f>
        <v/>
      </c>
      <c r="AT165" s="28" t="str">
        <f aca="false">IF(Tasks[[#This Row],[Task Name]]="","",IF(Tasks[[#This Row],[_IsSummary]],NETWORKDAYS.INTL(Tasks[[#This Row],[Forecast Start]],Tasks[[#This Row],[Forecast Finish]],WorkWeek,Holidays),N(Tasks[[#This Row],[Duration]])))</f>
        <v/>
      </c>
      <c r="AU165" s="95" t="str">
        <f aca="false">IF(Tasks[[#This Row],[Task Name]]="","",Tasks[[#This Row],[Work]])</f>
        <v/>
      </c>
      <c r="AV165" s="96" t="str">
        <f aca="false">IF(Tasks[[#This Row],[Task Name]]="","",Tasks[[#This Row],[Cost]])</f>
        <v/>
      </c>
      <c r="AW165" s="73"/>
      <c r="AX165" s="73"/>
      <c r="AY165" s="29"/>
      <c r="AZ165" s="98"/>
      <c r="BA165" s="97"/>
      <c r="BB165" s="28" t="str">
        <f aca="false">IF(OR(Tasks[[#This Row],[Task Name]]="",Tasks[[#This Row],[Baseline Duration]]=""),"",Tasks[[#This Row],[BL Source Duration]]-N(Tasks[[#This Row],[Baseline Duration]]))</f>
        <v/>
      </c>
      <c r="BC165" s="95" t="str">
        <f aca="false">IF(OR(Tasks[[#This Row],[Task Name]]="",Tasks[[#This Row],[Baseline Work]]=""),"",Tasks[[#This Row],[Work]]-N(Tasks[[#This Row],[Baseline Work]]))</f>
        <v/>
      </c>
      <c r="BD165" s="96" t="str">
        <f aca="false">IF(OR(Tasks[[#This Row],[Task Name]]="",Tasks[[#This Row],[Baseline Cost]]=""),"",Tasks[[#This Row],[Cost]]-N(Tasks[[#This Row],[Baseline Cost]]))</f>
        <v/>
      </c>
      <c r="BE165" s="96" t="str">
        <f aca="false">IF(Tasks[[#This Row],[Task Name]]="","",IF(Tasks[[#This Row],[_IsSummary]],SUM(INDEX(Tasks[_LeafBudget],Tasks[[#This Row],[_Row]]+1):INDEX(Tasks[_LeafBudget],Tasks[[#This Row],[_Row]]+Tasks[[#This Row],[_Descendants]])),Tasks[[#This Row],[_LeafBudget]]))</f>
        <v/>
      </c>
      <c r="BF165" s="96" t="str">
        <f aca="false">IF(Tasks[[#This Row],[Task Name]]="","",IF(Tasks[[#This Row],[_IsSummary]],SUM(INDEX(Tasks[_LeafPV],Tasks[[#This Row],[_Row]]+1):INDEX(Tasks[_LeafPV],Tasks[[#This Row],[_Row]]+Tasks[[#This Row],[_Descendants]])),Tasks[[#This Row],[_LeafPV]]))</f>
        <v/>
      </c>
      <c r="BG165" s="96" t="str">
        <f aca="false">IF(Tasks[[#This Row],[Task Name]]="","",IF(Tasks[[#This Row],[_IsSummary]],SUM(INDEX(Tasks[_LeafEV],Tasks[[#This Row],[_Row]]+1):INDEX(Tasks[_LeafEV],Tasks[[#This Row],[_Row]]+Tasks[[#This Row],[_Descendants]])),Tasks[[#This Row],[_LeafEV]]))</f>
        <v/>
      </c>
      <c r="BH165" s="96" t="str">
        <f aca="false">IF(Tasks[[#This Row],[Task Name]]="","",IF(Tasks[[#This Row],[_IsSummary]],SUM(INDEX(Tasks[_LeafAC],Tasks[[#This Row],[_Row]]+1):INDEX(Tasks[_LeafAC],Tasks[[#This Row],[_Row]]+Tasks[[#This Row],[_Descendants]])),Tasks[[#This Row],[_LeafAC]]))</f>
        <v/>
      </c>
      <c r="BI165" s="41" t="str">
        <f aca="false">IF(Tasks[[#This Row],[Task Name]]="","",MAX(1,N(Tasks[[#This Row],[Level]])))</f>
        <v/>
      </c>
      <c r="BJ165" s="41" t="n">
        <f aca="false">ROW()-ROW(Tasks[[#Headers],[ID]])</f>
        <v>160</v>
      </c>
      <c r="BK165" s="41" t="n">
        <f aca="false">IF(OR(Tasks[[#This Row],[Task Name]]="",Tasks[[#This Row],[_Level]]&lt;=1),0,IFERROR(LOOKUP(2,1/(Tasks[[#Headers],[_Level]]:Tasks[[#This Row],[_Level]]=Tasks[[#This Row],[_Level]]-1),ROW(Tasks[[#Headers],[_Level]]:Tasks[[#This Row],[_Level]])),0))</f>
        <v>0</v>
      </c>
      <c r="BL165" s="41" t="n">
        <f aca="false">IFERROR(N(INDEX(Tasks[_Level],Tasks[[#This Row],[_Row]]+1)),0)</f>
        <v>0</v>
      </c>
      <c r="BM165" s="99" t="b">
        <f aca="false">AND(Tasks[[#This Row],[Task Name]]&lt;&gt;"",Tasks[[#This Row],[_NextLevel]]&gt;Tasks[[#This Row],[_Level]])</f>
        <v>0</v>
      </c>
      <c r="BN165" s="41" t="n">
        <f aca="false">IF(Tasks[[#This Row],[_IsSummary]],COUNTIF(Tasks[WBS],Tasks[[#This Row],[WBS]]&amp;".*"),0)</f>
        <v>0</v>
      </c>
      <c r="BO165" s="41" t="n">
        <f aca="false">IF(AND(Tasks[[#This Row],[Task Name]]&lt;&gt;"",NOT(Tasks[[#This Row],[_IsSummary]])),1,0)</f>
        <v>0</v>
      </c>
      <c r="BP165" s="41" t="n">
        <f aca="false">IF(N(Tasks[[#This Row],[Pred1 UID]])=0,0,IFERROR(MATCH(Tasks[[#This Row],[Pred1 UID]],Tasks[UID],0),-1))</f>
        <v>0</v>
      </c>
      <c r="BQ165" s="41" t="n">
        <f aca="false">IF(N(Tasks[[#This Row],[Pred2 UID]])=0,0,IFERROR(MATCH(Tasks[[#This Row],[Pred2 UID]],Tasks[UID],0),-1))</f>
        <v>0</v>
      </c>
      <c r="BR165"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65" s="100" t="str">
        <f aca="false">IF(NOT(Tasks[[#This Row],[_IsLeaf]]=1),"",IF(N(Tasks[[#This Row],[Duration]])&lt;=0,Tasks[[#This Row],[_LeafCalcStart]],WORKDAY.INTL(Tasks[[#This Row],[_LeafCalcStart]],Tasks[[#This Row],[Duration]]-1,WorkWeek,Holidays)))</f>
        <v/>
      </c>
      <c r="BT165"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65"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65" s="41" t="n">
        <f aca="false">IF(NOT(Tasks[[#This Row],[_IsLeaf]]=1),0,IF(N(Tasks[[#This Row],[Actual Finish]])&gt;0,1,MIN(1,N(Tasks[[#This Row],[% Complete]]))))</f>
        <v>0</v>
      </c>
      <c r="BW165" s="41" t="n">
        <f aca="false">IF(OR(NOT(Tasks[[#This Row],[_IsLeaf]]=1),Tasks[[#This Row],[Resource]]=""),0,N(Tasks[[#This Row],[Duration]])*HoursPerDay*IF(Tasks[[#This Row],[Units]]="",DefaultUnits,Tasks[[#This Row],[Units]]))</f>
        <v>0</v>
      </c>
      <c r="BX165" s="41" t="n">
        <f aca="false">IF(Tasks[[#This Row],[_LeafWork]]=0,0,Tasks[[#This Row],[_LeafWork]]*IFERROR(INDEX(res_Rate,MATCH(Tasks[[#This Row],[Resource]],res_Name,0)),0))</f>
        <v>0</v>
      </c>
      <c r="BY16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6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6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6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65" s="41" t="n">
        <f aca="false">IF(NOT(Tasks[[#This Row],[_IsLeaf]]=1),0,MAX(_xlfn.MAXIFS(Tasks[_Row],Tasks[Pred1 UID],Tasks[[#This Row],[UID]]),_xlfn.MAXIFS(Tasks[_Row],Tasks[Pred2 UID],Tasks[[#This Row],[UID]])))</f>
        <v>0</v>
      </c>
      <c r="CD165"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65" s="100" t="str">
        <f aca="false">IF(NOT(Tasks[[#This Row],[_IsLeaf]]=1),"",MIN(ProjectFinish,IF(N(Tasks[[#This Row],[Deadline]])&gt;0,Tasks[[#This Row],[Deadline]],2958465),Tasks[[#This Row],[_SuccessorFinishLimit]]))</f>
        <v/>
      </c>
      <c r="CF165" s="100" t="str">
        <f aca="false">IF(NOT(Tasks[[#This Row],[_IsLeaf]]=1),"",IF(N(Tasks[[#This Row],[Duration]])&lt;=0,Tasks[[#This Row],[_LeafLateFinish]],WORKDAY.INTL(Tasks[[#This Row],[_LeafLateFinish]],-(Tasks[[#This Row],[Duration]]-1),WorkWeek,Holidays)))</f>
        <v/>
      </c>
      <c r="CG16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65" s="99" t="b">
        <f aca="false">AND(Tasks[[#This Row],[_IsLeaf]]=1,Tasks[[#This Row],[_LeafProgress]]&lt;1,N(Tasks[[#This Row],[_LeafTotalSlack]])&lt;=CriticalSlackDays)</f>
        <v>0</v>
      </c>
      <c r="CI165" s="100" t="str">
        <f aca="false">IF(Tasks[[#This Row],[Task Name]]="","",IF(Tasks[[#This Row],[_IsSummary]],MIN(INDEX(Tasks[_LeafCalcStart],Tasks[[#This Row],[_Row]]+1):INDEX(Tasks[_LeafCalcStart],Tasks[[#This Row],[_Row]]+Tasks[[#This Row],[_Descendants]])),Tasks[[#This Row],[_LeafCalcStart]]))</f>
        <v/>
      </c>
      <c r="CJ165" s="100" t="str">
        <f aca="false">IF(Tasks[[#This Row],[Task Name]]="","",IF(Tasks[[#This Row],[_IsSummary]],MAX(INDEX(Tasks[_LeafCalcFinish],Tasks[[#This Row],[_Row]]+1):INDEX(Tasks[_LeafCalcFinish],Tasks[[#This Row],[_Row]]+Tasks[[#This Row],[_Descendants]])),Tasks[[#This Row],[_LeafCalcFinish]]))</f>
        <v/>
      </c>
      <c r="CK16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6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65"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65"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65"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65"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65" s="41" t="n">
        <f aca="false">IF(AND(Tasks[[#This Row],[_IsLeaf]]=1,Tasks[[#This Row],[_LeafWork]]&gt;0),NETWORKDAYS.INTL(ProjectStart,Tasks[[#This Row],[_LeafFcstStart]],WorkWeek,Holidays),0)</f>
        <v>0</v>
      </c>
      <c r="CR165" s="41" t="n">
        <f aca="false">IF(AND(Tasks[[#This Row],[_IsLeaf]]=1,Tasks[[#This Row],[_LeafWork]]&gt;0),MAX(Tasks[[#This Row],[_StartWorkday]],NETWORKDAYS.INTL(ProjectStart,Tasks[[#This Row],[_LeafFcstFinish]],WorkWeek,Holidays)),0)</f>
        <v>0</v>
      </c>
      <c r="CS165" s="41" t="n">
        <f aca="false">IF(AND(Tasks[[#This Row],[_IsLeaf]]=1,Tasks[[#This Row],[_LeafWork]]&gt;0),Tasks[[#This Row],[_LeafWork]]/(Tasks[[#This Row],[_FinishWorkday]]-Tasks[[#This Row],[_StartWorkday]]+1),0)</f>
        <v>0</v>
      </c>
      <c r="CT165" s="41" t="n">
        <f aca="false">Tasks[[#This Row],[_WorkPerWorkday]]*(Tasks[[#This Row],[_StartWorkday]]-1)</f>
        <v>-0</v>
      </c>
      <c r="CU165" s="41" t="n">
        <f aca="false">IF(Tasks[[#This Row],[_IsLeaf]]=1,MAX(N(Tasks[[#This Row],[Duration]]),0.1),0)</f>
        <v>0</v>
      </c>
      <c r="CV165" s="41" t="n">
        <f aca="false">Tasks[[#This Row],[_WeightDur]]*Tasks[[#This Row],[_LeafProgress]]</f>
        <v>0</v>
      </c>
      <c r="CW16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6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6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6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65" s="41" t="str">
        <f aca="false">IF(Tasks[[#This Row],[Task Name]]="","",Tasks[[#This Row],[_Pred1UIDText]]&amp;IF(AND(Tasks[[#This Row],[_Pred1UIDText]]&lt;&gt;"",Tasks[[#This Row],[_Pred2UIDText]]&lt;&gt;""),",","")&amp;Tasks[[#This Row],[_Pred2UIDText]])</f>
        <v/>
      </c>
      <c r="DB165" s="41" t="str">
        <f aca="false">IF(AND(Tasks[[#This Row],[_IsLeaf]]=1,N(Tasks[[#This Row],[Duration]])=0,Tasks[[#This Row],[_LeafProgress]]&lt;1),Tasks[[#This Row],[_LeafFcstFinish]]+Tasks[[#This Row],[_Row]]/100000,"")</f>
        <v/>
      </c>
      <c r="DC16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65" s="41" t="n">
        <f aca="false">IF(NOT(Tasks[[#This Row],[_IsLeaf]]=1),0,IF(Tasks[[#This Row],[Baseline Cost]]="",Tasks[[#This Row],[_LeafCost]],N(Tasks[[#This Row],[Baseline Cost]])))</f>
        <v>0</v>
      </c>
      <c r="DE165" s="41" t="n">
        <f aca="false">Tasks[[#This Row],[_LeafBudget]]*Tasks[[#This Row],[_PlannedPct]]</f>
        <v>0</v>
      </c>
      <c r="DF165" s="41" t="n">
        <f aca="false">Tasks[[#This Row],[_LeafBudget]]*Tasks[[#This Row],[_LeafProgress]]</f>
        <v>0</v>
      </c>
      <c r="DG165" s="41" t="n">
        <f aca="false">IF(NOT(Tasks[[#This Row],[_IsLeaf]]=1),0,IF(Tasks[[#This Row],[Actual Cost]]="",Tasks[[#This Row],[_LeafCost]]*Tasks[[#This Row],[_LeafProgress]],N(Tasks[[#This Row],[Actual Cost]])))</f>
        <v>0</v>
      </c>
      <c r="DH165" s="41" t="str">
        <f aca="false">IF(Tasks[[#This Row],[Task Name]]="","",LEFT(Tasks[[#This Row],[WBS]],FIND(".",Tasks[[#This Row],[WBS]]&amp;".")-1))</f>
        <v/>
      </c>
      <c r="DI165" s="41" t="str">
        <f aca="false">IF(AND(Tasks[[#This Row],[Task Name]]&lt;&gt;"",Tasks[[#This Row],[_Level]]=1),Tasks[[#This Row],[_Row]],"")</f>
        <v/>
      </c>
      <c r="DJ165" s="41" t="str">
        <f aca="false">IF(AND(Tasks[[#This Row],[_IsLeaf]]=1,N(Tasks[[#This Row],[Duration]])=0),Tasks[[#This Row],[Planned Finish]]+Tasks[[#This Row],[_Row]]/100000,"")</f>
        <v/>
      </c>
      <c r="DK165" s="41" t="str">
        <f aca="false">IF(AND(Tasks[[#This Row],[_IsLeaf]]=1,Tasks[[#This Row],[_LeafProgress]]&lt;1,OR(N(Tasks[[#This Row],[Finish Var]])&gt;0,Tasks[[#This Row],[Status]]="Late Start")),MAX(0,Tasks[[#This Row],[Finish Var]])+1-Tasks[[#This Row],[_Row]]/1000000,"")</f>
        <v/>
      </c>
      <c r="DL165" s="41" t="str">
        <f aca="false">IF(AND(Tasks[[#This Row],[_IsLeaf]]=1,N(Tasks[[#This Row],[Actual Start]])=0,Tasks[[#This Row],[_LeafFcstStart]]&gt;=StatusDate,Tasks[[#This Row],[_LeafFcstStart]]&lt;=LookaheadEnd),Tasks[[#This Row],[_LeafFcstStart]]+Tasks[[#This Row],[_Row]]/100000,"")</f>
        <v/>
      </c>
      <c r="DM165" s="41" t="str">
        <f aca="false">IF(AND(Tasks[[#This Row],[_IsLeaf]]=1,Tasks[[#This Row],[_LeafProgress]]&lt;1,Tasks[[#This Row],[_LeafFcstFinish]]&gt;=StatusDate,Tasks[[#This Row],[_LeafFcstFinish]]&lt;=LookaheadEnd),Tasks[[#This Row],[_LeafFcstFinish]]+Tasks[[#This Row],[_Row]]/100000,"")</f>
        <v/>
      </c>
      <c r="DN165" s="41" t="str">
        <f aca="false">IF(Tasks[[#This Row],[_LeafCritical]],Tasks[[#This Row],[_LeafFcstStart]]+Tasks[[#This Row],[_Row]]/100000,"")</f>
        <v/>
      </c>
      <c r="DO165" s="41" t="n">
        <f aca="false">Tasks[[#This Row],[_LeafWork]]*Tasks[[#This Row],[_LeafProgress]]</f>
        <v>0</v>
      </c>
      <c r="DP165" s="100" t="str">
        <f aca="false">IF(AND(Tasks[[#This Row],[_IsLeaf]]=1,Tasks[[#This Row],[_LeafProgress]]&gt;=1),IF(N(Tasks[[#This Row],[Actual Finish]])&gt;0,Tasks[[#This Row],[Actual Finish]],Tasks[[#This Row],[_LeafFcstFinish]]),"")</f>
        <v/>
      </c>
      <c r="DQ165" s="41" t="n">
        <f aca="false">IF(Tasks[[#This Row],[_IsLeaf]]=1,N(Tasks[[#This Row],[Story Points]]),0)</f>
        <v>0</v>
      </c>
      <c r="DR165" s="41" t="str">
        <f aca="false">IF(AND(Tasks[[#This Row],[_IsLeaf]]=1,CurrentSprint&lt;&gt;"",Tasks[[#This Row],[Sprint]]=CurrentSprint),Tasks[[#This Row],[_Row]],"")</f>
        <v/>
      </c>
    </row>
    <row r="166" customFormat="false" ht="15" hidden="false" customHeight="false" outlineLevel="0" collapsed="false">
      <c r="A166" s="28" t="str">
        <f aca="false">IF(Tasks[[#This Row],[Task Name]]="","",COUNTA(Tasks[[#Headers],[Task Name]]:Tasks[[#This Row],[Task Name]])-1)</f>
        <v/>
      </c>
      <c r="B166" s="29" t="n">
        <v>161</v>
      </c>
      <c r="C16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6" s="29"/>
      <c r="E166" s="30"/>
      <c r="F166" s="29"/>
      <c r="G166" s="29"/>
      <c r="H166" s="29"/>
      <c r="I166" s="29"/>
      <c r="J166" s="29"/>
      <c r="K166" s="29"/>
      <c r="L166" s="29"/>
      <c r="M166" s="29"/>
      <c r="N166" s="73"/>
      <c r="O166" s="73"/>
      <c r="P166" s="25" t="str">
        <f aca="false">IF(Tasks[[#This Row],[Task Name]]="","",IF(N(Tasks[[#This Row],[Baseline Start]])&gt;0,Tasks[[#This Row],[Baseline Start]],Tasks[[#This Row],[_CalcStart]]))</f>
        <v/>
      </c>
      <c r="Q166" s="25" t="str">
        <f aca="false">IF(Tasks[[#This Row],[Task Name]]="","",IF(N(Tasks[[#This Row],[Baseline Finish]])&gt;0,Tasks[[#This Row],[Baseline Finish]],Tasks[[#This Row],[_CalcFinish]]))</f>
        <v/>
      </c>
      <c r="R166" s="73"/>
      <c r="S166" s="73"/>
      <c r="T166" s="25" t="str">
        <f aca="false">IF(Tasks[[#This Row],[Task Name]]="","",IF(Tasks[[#This Row],[_IsSummary]],MIN(INDEX(Tasks[_LeafFcstStart],Tasks[[#This Row],[_Row]]+1):INDEX(Tasks[_LeafFcstStart],Tasks[[#This Row],[_Row]]+Tasks[[#This Row],[_Descendants]])),Tasks[[#This Row],[_LeafFcstStart]]))</f>
        <v/>
      </c>
      <c r="U166" s="25" t="str">
        <f aca="false">IF(Tasks[[#This Row],[Task Name]]="","",IF(Tasks[[#This Row],[_IsSummary]],MAX(INDEX(Tasks[_LeafFcstFinish],Tasks[[#This Row],[_Row]]+1):INDEX(Tasks[_LeafFcstFinish],Tasks[[#This Row],[_Row]]+Tasks[[#This Row],[_Descendants]])),Tasks[[#This Row],[_LeafFcstFinish]]))</f>
        <v/>
      </c>
      <c r="V16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6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6" s="25" t="str">
        <f aca="false">IF(Tasks[[#This Row],[Task Name]]="","",IF(Tasks[[#This Row],[_IsSummary]],MIN(INDEX(Tasks[_LeafLateStart],Tasks[[#This Row],[_Row]]+1):INDEX(Tasks[_LeafLateStart],Tasks[[#This Row],[_Row]]+Tasks[[#This Row],[_Descendants]])),Tasks[[#This Row],[_LeafLateStart]]))</f>
        <v/>
      </c>
      <c r="Y166" s="25" t="str">
        <f aca="false">IF(Tasks[[#This Row],[Task Name]]="","",IF(Tasks[[#This Row],[_IsSummary]],MAX(INDEX(Tasks[_LeafLateFinish],Tasks[[#This Row],[_Row]]+1):INDEX(Tasks[_LeafLateFinish],Tasks[[#This Row],[_Row]]+Tasks[[#This Row],[_Descendants]])),Tasks[[#This Row],[_LeafLateFinish]]))</f>
        <v/>
      </c>
      <c r="Z166" s="43" t="str">
        <f aca="false">IF(Tasks[[#This Row],[Task Name]]="","",IF(Tasks[[#This Row],[_IsSummary]],MIN(INDEX(Tasks[_LeafTotalSlack],Tasks[[#This Row],[_Row]]+1):INDEX(Tasks[_LeafTotalSlack],Tasks[[#This Row],[_Row]]+Tasks[[#This Row],[_Descendants]])),Tasks[[#This Row],[_LeafTotalSlack]]))</f>
        <v/>
      </c>
      <c r="AA16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6" s="28" t="str">
        <f aca="false">IF(Tasks[[#This Row],[Task Name]]="","",IF(IF(Tasks[[#This Row],[_IsSummary]],COUNTIF(INDEX(Tasks[_LeafCritical],Tasks[[#This Row],[_Row]]+1):INDEX(Tasks[_LeafCritical],Tasks[[#This Row],[_Row]]+Tasks[[#This Row],[_Descendants]]),TRUE())&gt;0,Tasks[[#This Row],[_LeafCritical]]),"Yes",""))</f>
        <v/>
      </c>
      <c r="AC16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6" s="24" t="str">
        <f aca="false">IF(Tasks[[#This Row],[Task Name]]="","",TRIM(IF(Tasks[[#This Row],[_Pred1Problem]]&lt;&gt;"","Pred 1: "&amp;Tasks[[#This Row],[_Pred1Problem]]&amp;". ","")&amp;IF(Tasks[[#This Row],[_Pred2Problem]]&lt;&gt;"","Pred 2: "&amp;Tasks[[#This Row],[_Pred2Problem]]&amp;".","")))</f>
        <v/>
      </c>
      <c r="AE166" s="88"/>
      <c r="AF166"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6" s="28" t="str">
        <f aca="false">IF(Tasks[[#This Row],[Task Name]]="","",IF(Tasks[[#This Row],[Progress]]&gt;=1,"Complete",IF(OR(N(Tasks[[#This Row],[Actual Start]])&gt;0,Tasks[[#This Row],[Progress]]&gt;0),IF(Tasks[[#This Row],[Finish Var]]&gt;0,"Behind","In Progress"),IF(Tasks[[#This Row],[Planned Start]]&lt;StatusDate,"Late Start","Not Started"))))</f>
        <v/>
      </c>
      <c r="AH166" s="30"/>
      <c r="AI166" s="88"/>
      <c r="AJ166" s="95" t="str">
        <f aca="false">IF(Tasks[[#This Row],[Task Name]]="","",IF(Tasks[[#This Row],[_IsSummary]],SUM(INDEX(Tasks[_LeafWork],Tasks[[#This Row],[_Row]]+1):INDEX(Tasks[_LeafWork],Tasks[[#This Row],[_Row]]+Tasks[[#This Row],[_Descendants]])),Tasks[[#This Row],[_LeafWork]]))</f>
        <v/>
      </c>
      <c r="AK166" s="96" t="str">
        <f aca="false">IF(Tasks[[#This Row],[Task Name]]="","",IF(Tasks[[#This Row],[_IsSummary]],SUM(INDEX(Tasks[_LeafCost],Tasks[[#This Row],[_Row]]+1):INDEX(Tasks[_LeafCost],Tasks[[#This Row],[_Row]]+Tasks[[#This Row],[_Descendants]])),Tasks[[#This Row],[_LeafCost]]))</f>
        <v/>
      </c>
      <c r="AL166" s="97"/>
      <c r="AM166" s="29"/>
      <c r="AN16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66" s="82"/>
      <c r="AP166" s="24" t="str">
        <f aca="false">IF(Tasks[[#This Row],[Task Name]]="","",Tasks[[#This Row],[_Pred1IDText]]&amp;IF(AND(Tasks[[#This Row],[_Pred1IDText]]&lt;&gt;"",Tasks[[#This Row],[_Pred2IDText]]&lt;&gt;""),",","")&amp;Tasks[[#This Row],[_Pred2IDText]])</f>
        <v/>
      </c>
      <c r="AQ166" s="30"/>
      <c r="AR166" s="25" t="str">
        <f aca="false">IF(Tasks[[#This Row],[Task Name]]="","",Tasks[[#This Row],[Forecast Start]])</f>
        <v/>
      </c>
      <c r="AS166" s="25" t="str">
        <f aca="false">IF(Tasks[[#This Row],[Task Name]]="","",Tasks[[#This Row],[Forecast Finish]])</f>
        <v/>
      </c>
      <c r="AT166" s="28" t="str">
        <f aca="false">IF(Tasks[[#This Row],[Task Name]]="","",IF(Tasks[[#This Row],[_IsSummary]],NETWORKDAYS.INTL(Tasks[[#This Row],[Forecast Start]],Tasks[[#This Row],[Forecast Finish]],WorkWeek,Holidays),N(Tasks[[#This Row],[Duration]])))</f>
        <v/>
      </c>
      <c r="AU166" s="95" t="str">
        <f aca="false">IF(Tasks[[#This Row],[Task Name]]="","",Tasks[[#This Row],[Work]])</f>
        <v/>
      </c>
      <c r="AV166" s="96" t="str">
        <f aca="false">IF(Tasks[[#This Row],[Task Name]]="","",Tasks[[#This Row],[Cost]])</f>
        <v/>
      </c>
      <c r="AW166" s="73"/>
      <c r="AX166" s="73"/>
      <c r="AY166" s="29"/>
      <c r="AZ166" s="98"/>
      <c r="BA166" s="97"/>
      <c r="BB166" s="28" t="str">
        <f aca="false">IF(OR(Tasks[[#This Row],[Task Name]]="",Tasks[[#This Row],[Baseline Duration]]=""),"",Tasks[[#This Row],[BL Source Duration]]-N(Tasks[[#This Row],[Baseline Duration]]))</f>
        <v/>
      </c>
      <c r="BC166" s="95" t="str">
        <f aca="false">IF(OR(Tasks[[#This Row],[Task Name]]="",Tasks[[#This Row],[Baseline Work]]=""),"",Tasks[[#This Row],[Work]]-N(Tasks[[#This Row],[Baseline Work]]))</f>
        <v/>
      </c>
      <c r="BD166" s="96" t="str">
        <f aca="false">IF(OR(Tasks[[#This Row],[Task Name]]="",Tasks[[#This Row],[Baseline Cost]]=""),"",Tasks[[#This Row],[Cost]]-N(Tasks[[#This Row],[Baseline Cost]]))</f>
        <v/>
      </c>
      <c r="BE166" s="96" t="str">
        <f aca="false">IF(Tasks[[#This Row],[Task Name]]="","",IF(Tasks[[#This Row],[_IsSummary]],SUM(INDEX(Tasks[_LeafBudget],Tasks[[#This Row],[_Row]]+1):INDEX(Tasks[_LeafBudget],Tasks[[#This Row],[_Row]]+Tasks[[#This Row],[_Descendants]])),Tasks[[#This Row],[_LeafBudget]]))</f>
        <v/>
      </c>
      <c r="BF166" s="96" t="str">
        <f aca="false">IF(Tasks[[#This Row],[Task Name]]="","",IF(Tasks[[#This Row],[_IsSummary]],SUM(INDEX(Tasks[_LeafPV],Tasks[[#This Row],[_Row]]+1):INDEX(Tasks[_LeafPV],Tasks[[#This Row],[_Row]]+Tasks[[#This Row],[_Descendants]])),Tasks[[#This Row],[_LeafPV]]))</f>
        <v/>
      </c>
      <c r="BG166" s="96" t="str">
        <f aca="false">IF(Tasks[[#This Row],[Task Name]]="","",IF(Tasks[[#This Row],[_IsSummary]],SUM(INDEX(Tasks[_LeafEV],Tasks[[#This Row],[_Row]]+1):INDEX(Tasks[_LeafEV],Tasks[[#This Row],[_Row]]+Tasks[[#This Row],[_Descendants]])),Tasks[[#This Row],[_LeafEV]]))</f>
        <v/>
      </c>
      <c r="BH166" s="96" t="str">
        <f aca="false">IF(Tasks[[#This Row],[Task Name]]="","",IF(Tasks[[#This Row],[_IsSummary]],SUM(INDEX(Tasks[_LeafAC],Tasks[[#This Row],[_Row]]+1):INDEX(Tasks[_LeafAC],Tasks[[#This Row],[_Row]]+Tasks[[#This Row],[_Descendants]])),Tasks[[#This Row],[_LeafAC]]))</f>
        <v/>
      </c>
      <c r="BI166" s="41" t="str">
        <f aca="false">IF(Tasks[[#This Row],[Task Name]]="","",MAX(1,N(Tasks[[#This Row],[Level]])))</f>
        <v/>
      </c>
      <c r="BJ166" s="41" t="n">
        <f aca="false">ROW()-ROW(Tasks[[#Headers],[ID]])</f>
        <v>161</v>
      </c>
      <c r="BK166" s="41" t="n">
        <f aca="false">IF(OR(Tasks[[#This Row],[Task Name]]="",Tasks[[#This Row],[_Level]]&lt;=1),0,IFERROR(LOOKUP(2,1/(Tasks[[#Headers],[_Level]]:Tasks[[#This Row],[_Level]]=Tasks[[#This Row],[_Level]]-1),ROW(Tasks[[#Headers],[_Level]]:Tasks[[#This Row],[_Level]])),0))</f>
        <v>0</v>
      </c>
      <c r="BL166" s="41" t="n">
        <f aca="false">IFERROR(N(INDEX(Tasks[_Level],Tasks[[#This Row],[_Row]]+1)),0)</f>
        <v>0</v>
      </c>
      <c r="BM166" s="99" t="b">
        <f aca="false">AND(Tasks[[#This Row],[Task Name]]&lt;&gt;"",Tasks[[#This Row],[_NextLevel]]&gt;Tasks[[#This Row],[_Level]])</f>
        <v>0</v>
      </c>
      <c r="BN166" s="41" t="n">
        <f aca="false">IF(Tasks[[#This Row],[_IsSummary]],COUNTIF(Tasks[WBS],Tasks[[#This Row],[WBS]]&amp;".*"),0)</f>
        <v>0</v>
      </c>
      <c r="BO166" s="41" t="n">
        <f aca="false">IF(AND(Tasks[[#This Row],[Task Name]]&lt;&gt;"",NOT(Tasks[[#This Row],[_IsSummary]])),1,0)</f>
        <v>0</v>
      </c>
      <c r="BP166" s="41" t="n">
        <f aca="false">IF(N(Tasks[[#This Row],[Pred1 UID]])=0,0,IFERROR(MATCH(Tasks[[#This Row],[Pred1 UID]],Tasks[UID],0),-1))</f>
        <v>0</v>
      </c>
      <c r="BQ166" s="41" t="n">
        <f aca="false">IF(N(Tasks[[#This Row],[Pred2 UID]])=0,0,IFERROR(MATCH(Tasks[[#This Row],[Pred2 UID]],Tasks[UID],0),-1))</f>
        <v>0</v>
      </c>
      <c r="BR166"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66" s="100" t="str">
        <f aca="false">IF(NOT(Tasks[[#This Row],[_IsLeaf]]=1),"",IF(N(Tasks[[#This Row],[Duration]])&lt;=0,Tasks[[#This Row],[_LeafCalcStart]],WORKDAY.INTL(Tasks[[#This Row],[_LeafCalcStart]],Tasks[[#This Row],[Duration]]-1,WorkWeek,Holidays)))</f>
        <v/>
      </c>
      <c r="BT166"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66"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66" s="41" t="n">
        <f aca="false">IF(NOT(Tasks[[#This Row],[_IsLeaf]]=1),0,IF(N(Tasks[[#This Row],[Actual Finish]])&gt;0,1,MIN(1,N(Tasks[[#This Row],[% Complete]]))))</f>
        <v>0</v>
      </c>
      <c r="BW166" s="41" t="n">
        <f aca="false">IF(OR(NOT(Tasks[[#This Row],[_IsLeaf]]=1),Tasks[[#This Row],[Resource]]=""),0,N(Tasks[[#This Row],[Duration]])*HoursPerDay*IF(Tasks[[#This Row],[Units]]="",DefaultUnits,Tasks[[#This Row],[Units]]))</f>
        <v>0</v>
      </c>
      <c r="BX166" s="41" t="n">
        <f aca="false">IF(Tasks[[#This Row],[_LeafWork]]=0,0,Tasks[[#This Row],[_LeafWork]]*IFERROR(INDEX(res_Rate,MATCH(Tasks[[#This Row],[Resource]],res_Name,0)),0))</f>
        <v>0</v>
      </c>
      <c r="BY16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6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6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6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66" s="41" t="n">
        <f aca="false">IF(NOT(Tasks[[#This Row],[_IsLeaf]]=1),0,MAX(_xlfn.MAXIFS(Tasks[_Row],Tasks[Pred1 UID],Tasks[[#This Row],[UID]]),_xlfn.MAXIFS(Tasks[_Row],Tasks[Pred2 UID],Tasks[[#This Row],[UID]])))</f>
        <v>0</v>
      </c>
      <c r="CD166"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66" s="100" t="str">
        <f aca="false">IF(NOT(Tasks[[#This Row],[_IsLeaf]]=1),"",MIN(ProjectFinish,IF(N(Tasks[[#This Row],[Deadline]])&gt;0,Tasks[[#This Row],[Deadline]],2958465),Tasks[[#This Row],[_SuccessorFinishLimit]]))</f>
        <v/>
      </c>
      <c r="CF166" s="100" t="str">
        <f aca="false">IF(NOT(Tasks[[#This Row],[_IsLeaf]]=1),"",IF(N(Tasks[[#This Row],[Duration]])&lt;=0,Tasks[[#This Row],[_LeafLateFinish]],WORKDAY.INTL(Tasks[[#This Row],[_LeafLateFinish]],-(Tasks[[#This Row],[Duration]]-1),WorkWeek,Holidays)))</f>
        <v/>
      </c>
      <c r="CG16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66" s="99" t="b">
        <f aca="false">AND(Tasks[[#This Row],[_IsLeaf]]=1,Tasks[[#This Row],[_LeafProgress]]&lt;1,N(Tasks[[#This Row],[_LeafTotalSlack]])&lt;=CriticalSlackDays)</f>
        <v>0</v>
      </c>
      <c r="CI166" s="100" t="str">
        <f aca="false">IF(Tasks[[#This Row],[Task Name]]="","",IF(Tasks[[#This Row],[_IsSummary]],MIN(INDEX(Tasks[_LeafCalcStart],Tasks[[#This Row],[_Row]]+1):INDEX(Tasks[_LeafCalcStart],Tasks[[#This Row],[_Row]]+Tasks[[#This Row],[_Descendants]])),Tasks[[#This Row],[_LeafCalcStart]]))</f>
        <v/>
      </c>
      <c r="CJ166" s="100" t="str">
        <f aca="false">IF(Tasks[[#This Row],[Task Name]]="","",IF(Tasks[[#This Row],[_IsSummary]],MAX(INDEX(Tasks[_LeafCalcFinish],Tasks[[#This Row],[_Row]]+1):INDEX(Tasks[_LeafCalcFinish],Tasks[[#This Row],[_Row]]+Tasks[[#This Row],[_Descendants]])),Tasks[[#This Row],[_LeafCalcFinish]]))</f>
        <v/>
      </c>
      <c r="CK16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6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66"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66"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66"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66"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66" s="41" t="n">
        <f aca="false">IF(AND(Tasks[[#This Row],[_IsLeaf]]=1,Tasks[[#This Row],[_LeafWork]]&gt;0),NETWORKDAYS.INTL(ProjectStart,Tasks[[#This Row],[_LeafFcstStart]],WorkWeek,Holidays),0)</f>
        <v>0</v>
      </c>
      <c r="CR166" s="41" t="n">
        <f aca="false">IF(AND(Tasks[[#This Row],[_IsLeaf]]=1,Tasks[[#This Row],[_LeafWork]]&gt;0),MAX(Tasks[[#This Row],[_StartWorkday]],NETWORKDAYS.INTL(ProjectStart,Tasks[[#This Row],[_LeafFcstFinish]],WorkWeek,Holidays)),0)</f>
        <v>0</v>
      </c>
      <c r="CS166" s="41" t="n">
        <f aca="false">IF(AND(Tasks[[#This Row],[_IsLeaf]]=1,Tasks[[#This Row],[_LeafWork]]&gt;0),Tasks[[#This Row],[_LeafWork]]/(Tasks[[#This Row],[_FinishWorkday]]-Tasks[[#This Row],[_StartWorkday]]+1),0)</f>
        <v>0</v>
      </c>
      <c r="CT166" s="41" t="n">
        <f aca="false">Tasks[[#This Row],[_WorkPerWorkday]]*(Tasks[[#This Row],[_StartWorkday]]-1)</f>
        <v>-0</v>
      </c>
      <c r="CU166" s="41" t="n">
        <f aca="false">IF(Tasks[[#This Row],[_IsLeaf]]=1,MAX(N(Tasks[[#This Row],[Duration]]),0.1),0)</f>
        <v>0</v>
      </c>
      <c r="CV166" s="41" t="n">
        <f aca="false">Tasks[[#This Row],[_WeightDur]]*Tasks[[#This Row],[_LeafProgress]]</f>
        <v>0</v>
      </c>
      <c r="CW16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6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6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6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66" s="41" t="str">
        <f aca="false">IF(Tasks[[#This Row],[Task Name]]="","",Tasks[[#This Row],[_Pred1UIDText]]&amp;IF(AND(Tasks[[#This Row],[_Pred1UIDText]]&lt;&gt;"",Tasks[[#This Row],[_Pred2UIDText]]&lt;&gt;""),",","")&amp;Tasks[[#This Row],[_Pred2UIDText]])</f>
        <v/>
      </c>
      <c r="DB166" s="41" t="str">
        <f aca="false">IF(AND(Tasks[[#This Row],[_IsLeaf]]=1,N(Tasks[[#This Row],[Duration]])=0,Tasks[[#This Row],[_LeafProgress]]&lt;1),Tasks[[#This Row],[_LeafFcstFinish]]+Tasks[[#This Row],[_Row]]/100000,"")</f>
        <v/>
      </c>
      <c r="DC16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66" s="41" t="n">
        <f aca="false">IF(NOT(Tasks[[#This Row],[_IsLeaf]]=1),0,IF(Tasks[[#This Row],[Baseline Cost]]="",Tasks[[#This Row],[_LeafCost]],N(Tasks[[#This Row],[Baseline Cost]])))</f>
        <v>0</v>
      </c>
      <c r="DE166" s="41" t="n">
        <f aca="false">Tasks[[#This Row],[_LeafBudget]]*Tasks[[#This Row],[_PlannedPct]]</f>
        <v>0</v>
      </c>
      <c r="DF166" s="41" t="n">
        <f aca="false">Tasks[[#This Row],[_LeafBudget]]*Tasks[[#This Row],[_LeafProgress]]</f>
        <v>0</v>
      </c>
      <c r="DG166" s="41" t="n">
        <f aca="false">IF(NOT(Tasks[[#This Row],[_IsLeaf]]=1),0,IF(Tasks[[#This Row],[Actual Cost]]="",Tasks[[#This Row],[_LeafCost]]*Tasks[[#This Row],[_LeafProgress]],N(Tasks[[#This Row],[Actual Cost]])))</f>
        <v>0</v>
      </c>
      <c r="DH166" s="41" t="str">
        <f aca="false">IF(Tasks[[#This Row],[Task Name]]="","",LEFT(Tasks[[#This Row],[WBS]],FIND(".",Tasks[[#This Row],[WBS]]&amp;".")-1))</f>
        <v/>
      </c>
      <c r="DI166" s="41" t="str">
        <f aca="false">IF(AND(Tasks[[#This Row],[Task Name]]&lt;&gt;"",Tasks[[#This Row],[_Level]]=1),Tasks[[#This Row],[_Row]],"")</f>
        <v/>
      </c>
      <c r="DJ166" s="41" t="str">
        <f aca="false">IF(AND(Tasks[[#This Row],[_IsLeaf]]=1,N(Tasks[[#This Row],[Duration]])=0),Tasks[[#This Row],[Planned Finish]]+Tasks[[#This Row],[_Row]]/100000,"")</f>
        <v/>
      </c>
      <c r="DK166" s="41" t="str">
        <f aca="false">IF(AND(Tasks[[#This Row],[_IsLeaf]]=1,Tasks[[#This Row],[_LeafProgress]]&lt;1,OR(N(Tasks[[#This Row],[Finish Var]])&gt;0,Tasks[[#This Row],[Status]]="Late Start")),MAX(0,Tasks[[#This Row],[Finish Var]])+1-Tasks[[#This Row],[_Row]]/1000000,"")</f>
        <v/>
      </c>
      <c r="DL166" s="41" t="str">
        <f aca="false">IF(AND(Tasks[[#This Row],[_IsLeaf]]=1,N(Tasks[[#This Row],[Actual Start]])=0,Tasks[[#This Row],[_LeafFcstStart]]&gt;=StatusDate,Tasks[[#This Row],[_LeafFcstStart]]&lt;=LookaheadEnd),Tasks[[#This Row],[_LeafFcstStart]]+Tasks[[#This Row],[_Row]]/100000,"")</f>
        <v/>
      </c>
      <c r="DM166" s="41" t="str">
        <f aca="false">IF(AND(Tasks[[#This Row],[_IsLeaf]]=1,Tasks[[#This Row],[_LeafProgress]]&lt;1,Tasks[[#This Row],[_LeafFcstFinish]]&gt;=StatusDate,Tasks[[#This Row],[_LeafFcstFinish]]&lt;=LookaheadEnd),Tasks[[#This Row],[_LeafFcstFinish]]+Tasks[[#This Row],[_Row]]/100000,"")</f>
        <v/>
      </c>
      <c r="DN166" s="41" t="str">
        <f aca="false">IF(Tasks[[#This Row],[_LeafCritical]],Tasks[[#This Row],[_LeafFcstStart]]+Tasks[[#This Row],[_Row]]/100000,"")</f>
        <v/>
      </c>
      <c r="DO166" s="41" t="n">
        <f aca="false">Tasks[[#This Row],[_LeafWork]]*Tasks[[#This Row],[_LeafProgress]]</f>
        <v>0</v>
      </c>
      <c r="DP166" s="100" t="str">
        <f aca="false">IF(AND(Tasks[[#This Row],[_IsLeaf]]=1,Tasks[[#This Row],[_LeafProgress]]&gt;=1),IF(N(Tasks[[#This Row],[Actual Finish]])&gt;0,Tasks[[#This Row],[Actual Finish]],Tasks[[#This Row],[_LeafFcstFinish]]),"")</f>
        <v/>
      </c>
      <c r="DQ166" s="41" t="n">
        <f aca="false">IF(Tasks[[#This Row],[_IsLeaf]]=1,N(Tasks[[#This Row],[Story Points]]),0)</f>
        <v>0</v>
      </c>
      <c r="DR166" s="41" t="str">
        <f aca="false">IF(AND(Tasks[[#This Row],[_IsLeaf]]=1,CurrentSprint&lt;&gt;"",Tasks[[#This Row],[Sprint]]=CurrentSprint),Tasks[[#This Row],[_Row]],"")</f>
        <v/>
      </c>
    </row>
    <row r="167" customFormat="false" ht="15" hidden="false" customHeight="false" outlineLevel="0" collapsed="false">
      <c r="A167" s="28" t="str">
        <f aca="false">IF(Tasks[[#This Row],[Task Name]]="","",COUNTA(Tasks[[#Headers],[Task Name]]:Tasks[[#This Row],[Task Name]])-1)</f>
        <v/>
      </c>
      <c r="B167" s="29" t="n">
        <v>162</v>
      </c>
      <c r="C16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7" s="29"/>
      <c r="E167" s="30"/>
      <c r="F167" s="29"/>
      <c r="G167" s="29"/>
      <c r="H167" s="29"/>
      <c r="I167" s="29"/>
      <c r="J167" s="29"/>
      <c r="K167" s="29"/>
      <c r="L167" s="29"/>
      <c r="M167" s="29"/>
      <c r="N167" s="73"/>
      <c r="O167" s="73"/>
      <c r="P167" s="25" t="str">
        <f aca="false">IF(Tasks[[#This Row],[Task Name]]="","",IF(N(Tasks[[#This Row],[Baseline Start]])&gt;0,Tasks[[#This Row],[Baseline Start]],Tasks[[#This Row],[_CalcStart]]))</f>
        <v/>
      </c>
      <c r="Q167" s="25" t="str">
        <f aca="false">IF(Tasks[[#This Row],[Task Name]]="","",IF(N(Tasks[[#This Row],[Baseline Finish]])&gt;0,Tasks[[#This Row],[Baseline Finish]],Tasks[[#This Row],[_CalcFinish]]))</f>
        <v/>
      </c>
      <c r="R167" s="73"/>
      <c r="S167" s="73"/>
      <c r="T167" s="25" t="str">
        <f aca="false">IF(Tasks[[#This Row],[Task Name]]="","",IF(Tasks[[#This Row],[_IsSummary]],MIN(INDEX(Tasks[_LeafFcstStart],Tasks[[#This Row],[_Row]]+1):INDEX(Tasks[_LeafFcstStart],Tasks[[#This Row],[_Row]]+Tasks[[#This Row],[_Descendants]])),Tasks[[#This Row],[_LeafFcstStart]]))</f>
        <v/>
      </c>
      <c r="U167" s="25" t="str">
        <f aca="false">IF(Tasks[[#This Row],[Task Name]]="","",IF(Tasks[[#This Row],[_IsSummary]],MAX(INDEX(Tasks[_LeafFcstFinish],Tasks[[#This Row],[_Row]]+1):INDEX(Tasks[_LeafFcstFinish],Tasks[[#This Row],[_Row]]+Tasks[[#This Row],[_Descendants]])),Tasks[[#This Row],[_LeafFcstFinish]]))</f>
        <v/>
      </c>
      <c r="V16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6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7" s="25" t="str">
        <f aca="false">IF(Tasks[[#This Row],[Task Name]]="","",IF(Tasks[[#This Row],[_IsSummary]],MIN(INDEX(Tasks[_LeafLateStart],Tasks[[#This Row],[_Row]]+1):INDEX(Tasks[_LeafLateStart],Tasks[[#This Row],[_Row]]+Tasks[[#This Row],[_Descendants]])),Tasks[[#This Row],[_LeafLateStart]]))</f>
        <v/>
      </c>
      <c r="Y167" s="25" t="str">
        <f aca="false">IF(Tasks[[#This Row],[Task Name]]="","",IF(Tasks[[#This Row],[_IsSummary]],MAX(INDEX(Tasks[_LeafLateFinish],Tasks[[#This Row],[_Row]]+1):INDEX(Tasks[_LeafLateFinish],Tasks[[#This Row],[_Row]]+Tasks[[#This Row],[_Descendants]])),Tasks[[#This Row],[_LeafLateFinish]]))</f>
        <v/>
      </c>
      <c r="Z167" s="43" t="str">
        <f aca="false">IF(Tasks[[#This Row],[Task Name]]="","",IF(Tasks[[#This Row],[_IsSummary]],MIN(INDEX(Tasks[_LeafTotalSlack],Tasks[[#This Row],[_Row]]+1):INDEX(Tasks[_LeafTotalSlack],Tasks[[#This Row],[_Row]]+Tasks[[#This Row],[_Descendants]])),Tasks[[#This Row],[_LeafTotalSlack]]))</f>
        <v/>
      </c>
      <c r="AA16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7" s="28" t="str">
        <f aca="false">IF(Tasks[[#This Row],[Task Name]]="","",IF(IF(Tasks[[#This Row],[_IsSummary]],COUNTIF(INDEX(Tasks[_LeafCritical],Tasks[[#This Row],[_Row]]+1):INDEX(Tasks[_LeafCritical],Tasks[[#This Row],[_Row]]+Tasks[[#This Row],[_Descendants]]),TRUE())&gt;0,Tasks[[#This Row],[_LeafCritical]]),"Yes",""))</f>
        <v/>
      </c>
      <c r="AC16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7" s="24" t="str">
        <f aca="false">IF(Tasks[[#This Row],[Task Name]]="","",TRIM(IF(Tasks[[#This Row],[_Pred1Problem]]&lt;&gt;"","Pred 1: "&amp;Tasks[[#This Row],[_Pred1Problem]]&amp;". ","")&amp;IF(Tasks[[#This Row],[_Pred2Problem]]&lt;&gt;"","Pred 2: "&amp;Tasks[[#This Row],[_Pred2Problem]]&amp;".","")))</f>
        <v/>
      </c>
      <c r="AE167" s="88"/>
      <c r="AF167"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7" s="28" t="str">
        <f aca="false">IF(Tasks[[#This Row],[Task Name]]="","",IF(Tasks[[#This Row],[Progress]]&gt;=1,"Complete",IF(OR(N(Tasks[[#This Row],[Actual Start]])&gt;0,Tasks[[#This Row],[Progress]]&gt;0),IF(Tasks[[#This Row],[Finish Var]]&gt;0,"Behind","In Progress"),IF(Tasks[[#This Row],[Planned Start]]&lt;StatusDate,"Late Start","Not Started"))))</f>
        <v/>
      </c>
      <c r="AH167" s="30"/>
      <c r="AI167" s="88"/>
      <c r="AJ167" s="95" t="str">
        <f aca="false">IF(Tasks[[#This Row],[Task Name]]="","",IF(Tasks[[#This Row],[_IsSummary]],SUM(INDEX(Tasks[_LeafWork],Tasks[[#This Row],[_Row]]+1):INDEX(Tasks[_LeafWork],Tasks[[#This Row],[_Row]]+Tasks[[#This Row],[_Descendants]])),Tasks[[#This Row],[_LeafWork]]))</f>
        <v/>
      </c>
      <c r="AK167" s="96" t="str">
        <f aca="false">IF(Tasks[[#This Row],[Task Name]]="","",IF(Tasks[[#This Row],[_IsSummary]],SUM(INDEX(Tasks[_LeafCost],Tasks[[#This Row],[_Row]]+1):INDEX(Tasks[_LeafCost],Tasks[[#This Row],[_Row]]+Tasks[[#This Row],[_Descendants]])),Tasks[[#This Row],[_LeafCost]]))</f>
        <v/>
      </c>
      <c r="AL167" s="97"/>
      <c r="AM167" s="29"/>
      <c r="AN16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67" s="82"/>
      <c r="AP167" s="24" t="str">
        <f aca="false">IF(Tasks[[#This Row],[Task Name]]="","",Tasks[[#This Row],[_Pred1IDText]]&amp;IF(AND(Tasks[[#This Row],[_Pred1IDText]]&lt;&gt;"",Tasks[[#This Row],[_Pred2IDText]]&lt;&gt;""),",","")&amp;Tasks[[#This Row],[_Pred2IDText]])</f>
        <v/>
      </c>
      <c r="AQ167" s="30"/>
      <c r="AR167" s="25" t="str">
        <f aca="false">IF(Tasks[[#This Row],[Task Name]]="","",Tasks[[#This Row],[Forecast Start]])</f>
        <v/>
      </c>
      <c r="AS167" s="25" t="str">
        <f aca="false">IF(Tasks[[#This Row],[Task Name]]="","",Tasks[[#This Row],[Forecast Finish]])</f>
        <v/>
      </c>
      <c r="AT167" s="28" t="str">
        <f aca="false">IF(Tasks[[#This Row],[Task Name]]="","",IF(Tasks[[#This Row],[_IsSummary]],NETWORKDAYS.INTL(Tasks[[#This Row],[Forecast Start]],Tasks[[#This Row],[Forecast Finish]],WorkWeek,Holidays),N(Tasks[[#This Row],[Duration]])))</f>
        <v/>
      </c>
      <c r="AU167" s="95" t="str">
        <f aca="false">IF(Tasks[[#This Row],[Task Name]]="","",Tasks[[#This Row],[Work]])</f>
        <v/>
      </c>
      <c r="AV167" s="96" t="str">
        <f aca="false">IF(Tasks[[#This Row],[Task Name]]="","",Tasks[[#This Row],[Cost]])</f>
        <v/>
      </c>
      <c r="AW167" s="73"/>
      <c r="AX167" s="73"/>
      <c r="AY167" s="29"/>
      <c r="AZ167" s="98"/>
      <c r="BA167" s="97"/>
      <c r="BB167" s="28" t="str">
        <f aca="false">IF(OR(Tasks[[#This Row],[Task Name]]="",Tasks[[#This Row],[Baseline Duration]]=""),"",Tasks[[#This Row],[BL Source Duration]]-N(Tasks[[#This Row],[Baseline Duration]]))</f>
        <v/>
      </c>
      <c r="BC167" s="95" t="str">
        <f aca="false">IF(OR(Tasks[[#This Row],[Task Name]]="",Tasks[[#This Row],[Baseline Work]]=""),"",Tasks[[#This Row],[Work]]-N(Tasks[[#This Row],[Baseline Work]]))</f>
        <v/>
      </c>
      <c r="BD167" s="96" t="str">
        <f aca="false">IF(OR(Tasks[[#This Row],[Task Name]]="",Tasks[[#This Row],[Baseline Cost]]=""),"",Tasks[[#This Row],[Cost]]-N(Tasks[[#This Row],[Baseline Cost]]))</f>
        <v/>
      </c>
      <c r="BE167" s="96" t="str">
        <f aca="false">IF(Tasks[[#This Row],[Task Name]]="","",IF(Tasks[[#This Row],[_IsSummary]],SUM(INDEX(Tasks[_LeafBudget],Tasks[[#This Row],[_Row]]+1):INDEX(Tasks[_LeafBudget],Tasks[[#This Row],[_Row]]+Tasks[[#This Row],[_Descendants]])),Tasks[[#This Row],[_LeafBudget]]))</f>
        <v/>
      </c>
      <c r="BF167" s="96" t="str">
        <f aca="false">IF(Tasks[[#This Row],[Task Name]]="","",IF(Tasks[[#This Row],[_IsSummary]],SUM(INDEX(Tasks[_LeafPV],Tasks[[#This Row],[_Row]]+1):INDEX(Tasks[_LeafPV],Tasks[[#This Row],[_Row]]+Tasks[[#This Row],[_Descendants]])),Tasks[[#This Row],[_LeafPV]]))</f>
        <v/>
      </c>
      <c r="BG167" s="96" t="str">
        <f aca="false">IF(Tasks[[#This Row],[Task Name]]="","",IF(Tasks[[#This Row],[_IsSummary]],SUM(INDEX(Tasks[_LeafEV],Tasks[[#This Row],[_Row]]+1):INDEX(Tasks[_LeafEV],Tasks[[#This Row],[_Row]]+Tasks[[#This Row],[_Descendants]])),Tasks[[#This Row],[_LeafEV]]))</f>
        <v/>
      </c>
      <c r="BH167" s="96" t="str">
        <f aca="false">IF(Tasks[[#This Row],[Task Name]]="","",IF(Tasks[[#This Row],[_IsSummary]],SUM(INDEX(Tasks[_LeafAC],Tasks[[#This Row],[_Row]]+1):INDEX(Tasks[_LeafAC],Tasks[[#This Row],[_Row]]+Tasks[[#This Row],[_Descendants]])),Tasks[[#This Row],[_LeafAC]]))</f>
        <v/>
      </c>
      <c r="BI167" s="41" t="str">
        <f aca="false">IF(Tasks[[#This Row],[Task Name]]="","",MAX(1,N(Tasks[[#This Row],[Level]])))</f>
        <v/>
      </c>
      <c r="BJ167" s="41" t="n">
        <f aca="false">ROW()-ROW(Tasks[[#Headers],[ID]])</f>
        <v>162</v>
      </c>
      <c r="BK167" s="41" t="n">
        <f aca="false">IF(OR(Tasks[[#This Row],[Task Name]]="",Tasks[[#This Row],[_Level]]&lt;=1),0,IFERROR(LOOKUP(2,1/(Tasks[[#Headers],[_Level]]:Tasks[[#This Row],[_Level]]=Tasks[[#This Row],[_Level]]-1),ROW(Tasks[[#Headers],[_Level]]:Tasks[[#This Row],[_Level]])),0))</f>
        <v>0</v>
      </c>
      <c r="BL167" s="41" t="n">
        <f aca="false">IFERROR(N(INDEX(Tasks[_Level],Tasks[[#This Row],[_Row]]+1)),0)</f>
        <v>0</v>
      </c>
      <c r="BM167" s="99" t="b">
        <f aca="false">AND(Tasks[[#This Row],[Task Name]]&lt;&gt;"",Tasks[[#This Row],[_NextLevel]]&gt;Tasks[[#This Row],[_Level]])</f>
        <v>0</v>
      </c>
      <c r="BN167" s="41" t="n">
        <f aca="false">IF(Tasks[[#This Row],[_IsSummary]],COUNTIF(Tasks[WBS],Tasks[[#This Row],[WBS]]&amp;".*"),0)</f>
        <v>0</v>
      </c>
      <c r="BO167" s="41" t="n">
        <f aca="false">IF(AND(Tasks[[#This Row],[Task Name]]&lt;&gt;"",NOT(Tasks[[#This Row],[_IsSummary]])),1,0)</f>
        <v>0</v>
      </c>
      <c r="BP167" s="41" t="n">
        <f aca="false">IF(N(Tasks[[#This Row],[Pred1 UID]])=0,0,IFERROR(MATCH(Tasks[[#This Row],[Pred1 UID]],Tasks[UID],0),-1))</f>
        <v>0</v>
      </c>
      <c r="BQ167" s="41" t="n">
        <f aca="false">IF(N(Tasks[[#This Row],[Pred2 UID]])=0,0,IFERROR(MATCH(Tasks[[#This Row],[Pred2 UID]],Tasks[UID],0),-1))</f>
        <v>0</v>
      </c>
      <c r="BR167"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67" s="100" t="str">
        <f aca="false">IF(NOT(Tasks[[#This Row],[_IsLeaf]]=1),"",IF(N(Tasks[[#This Row],[Duration]])&lt;=0,Tasks[[#This Row],[_LeafCalcStart]],WORKDAY.INTL(Tasks[[#This Row],[_LeafCalcStart]],Tasks[[#This Row],[Duration]]-1,WorkWeek,Holidays)))</f>
        <v/>
      </c>
      <c r="BT167"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67"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67" s="41" t="n">
        <f aca="false">IF(NOT(Tasks[[#This Row],[_IsLeaf]]=1),0,IF(N(Tasks[[#This Row],[Actual Finish]])&gt;0,1,MIN(1,N(Tasks[[#This Row],[% Complete]]))))</f>
        <v>0</v>
      </c>
      <c r="BW167" s="41" t="n">
        <f aca="false">IF(OR(NOT(Tasks[[#This Row],[_IsLeaf]]=1),Tasks[[#This Row],[Resource]]=""),0,N(Tasks[[#This Row],[Duration]])*HoursPerDay*IF(Tasks[[#This Row],[Units]]="",DefaultUnits,Tasks[[#This Row],[Units]]))</f>
        <v>0</v>
      </c>
      <c r="BX167" s="41" t="n">
        <f aca="false">IF(Tasks[[#This Row],[_LeafWork]]=0,0,Tasks[[#This Row],[_LeafWork]]*IFERROR(INDEX(res_Rate,MATCH(Tasks[[#This Row],[Resource]],res_Name,0)),0))</f>
        <v>0</v>
      </c>
      <c r="BY16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6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6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6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67" s="41" t="n">
        <f aca="false">IF(NOT(Tasks[[#This Row],[_IsLeaf]]=1),0,MAX(_xlfn.MAXIFS(Tasks[_Row],Tasks[Pred1 UID],Tasks[[#This Row],[UID]]),_xlfn.MAXIFS(Tasks[_Row],Tasks[Pred2 UID],Tasks[[#This Row],[UID]])))</f>
        <v>0</v>
      </c>
      <c r="CD167"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67" s="100" t="str">
        <f aca="false">IF(NOT(Tasks[[#This Row],[_IsLeaf]]=1),"",MIN(ProjectFinish,IF(N(Tasks[[#This Row],[Deadline]])&gt;0,Tasks[[#This Row],[Deadline]],2958465),Tasks[[#This Row],[_SuccessorFinishLimit]]))</f>
        <v/>
      </c>
      <c r="CF167" s="100" t="str">
        <f aca="false">IF(NOT(Tasks[[#This Row],[_IsLeaf]]=1),"",IF(N(Tasks[[#This Row],[Duration]])&lt;=0,Tasks[[#This Row],[_LeafLateFinish]],WORKDAY.INTL(Tasks[[#This Row],[_LeafLateFinish]],-(Tasks[[#This Row],[Duration]]-1),WorkWeek,Holidays)))</f>
        <v/>
      </c>
      <c r="CG16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67" s="99" t="b">
        <f aca="false">AND(Tasks[[#This Row],[_IsLeaf]]=1,Tasks[[#This Row],[_LeafProgress]]&lt;1,N(Tasks[[#This Row],[_LeafTotalSlack]])&lt;=CriticalSlackDays)</f>
        <v>0</v>
      </c>
      <c r="CI167" s="100" t="str">
        <f aca="false">IF(Tasks[[#This Row],[Task Name]]="","",IF(Tasks[[#This Row],[_IsSummary]],MIN(INDEX(Tasks[_LeafCalcStart],Tasks[[#This Row],[_Row]]+1):INDEX(Tasks[_LeafCalcStart],Tasks[[#This Row],[_Row]]+Tasks[[#This Row],[_Descendants]])),Tasks[[#This Row],[_LeafCalcStart]]))</f>
        <v/>
      </c>
      <c r="CJ167" s="100" t="str">
        <f aca="false">IF(Tasks[[#This Row],[Task Name]]="","",IF(Tasks[[#This Row],[_IsSummary]],MAX(INDEX(Tasks[_LeafCalcFinish],Tasks[[#This Row],[_Row]]+1):INDEX(Tasks[_LeafCalcFinish],Tasks[[#This Row],[_Row]]+Tasks[[#This Row],[_Descendants]])),Tasks[[#This Row],[_LeafCalcFinish]]))</f>
        <v/>
      </c>
      <c r="CK16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6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67"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67"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67"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67"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67" s="41" t="n">
        <f aca="false">IF(AND(Tasks[[#This Row],[_IsLeaf]]=1,Tasks[[#This Row],[_LeafWork]]&gt;0),NETWORKDAYS.INTL(ProjectStart,Tasks[[#This Row],[_LeafFcstStart]],WorkWeek,Holidays),0)</f>
        <v>0</v>
      </c>
      <c r="CR167" s="41" t="n">
        <f aca="false">IF(AND(Tasks[[#This Row],[_IsLeaf]]=1,Tasks[[#This Row],[_LeafWork]]&gt;0),MAX(Tasks[[#This Row],[_StartWorkday]],NETWORKDAYS.INTL(ProjectStart,Tasks[[#This Row],[_LeafFcstFinish]],WorkWeek,Holidays)),0)</f>
        <v>0</v>
      </c>
      <c r="CS167" s="41" t="n">
        <f aca="false">IF(AND(Tasks[[#This Row],[_IsLeaf]]=1,Tasks[[#This Row],[_LeafWork]]&gt;0),Tasks[[#This Row],[_LeafWork]]/(Tasks[[#This Row],[_FinishWorkday]]-Tasks[[#This Row],[_StartWorkday]]+1),0)</f>
        <v>0</v>
      </c>
      <c r="CT167" s="41" t="n">
        <f aca="false">Tasks[[#This Row],[_WorkPerWorkday]]*(Tasks[[#This Row],[_StartWorkday]]-1)</f>
        <v>-0</v>
      </c>
      <c r="CU167" s="41" t="n">
        <f aca="false">IF(Tasks[[#This Row],[_IsLeaf]]=1,MAX(N(Tasks[[#This Row],[Duration]]),0.1),0)</f>
        <v>0</v>
      </c>
      <c r="CV167" s="41" t="n">
        <f aca="false">Tasks[[#This Row],[_WeightDur]]*Tasks[[#This Row],[_LeafProgress]]</f>
        <v>0</v>
      </c>
      <c r="CW16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6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6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6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67" s="41" t="str">
        <f aca="false">IF(Tasks[[#This Row],[Task Name]]="","",Tasks[[#This Row],[_Pred1UIDText]]&amp;IF(AND(Tasks[[#This Row],[_Pred1UIDText]]&lt;&gt;"",Tasks[[#This Row],[_Pred2UIDText]]&lt;&gt;""),",","")&amp;Tasks[[#This Row],[_Pred2UIDText]])</f>
        <v/>
      </c>
      <c r="DB167" s="41" t="str">
        <f aca="false">IF(AND(Tasks[[#This Row],[_IsLeaf]]=1,N(Tasks[[#This Row],[Duration]])=0,Tasks[[#This Row],[_LeafProgress]]&lt;1),Tasks[[#This Row],[_LeafFcstFinish]]+Tasks[[#This Row],[_Row]]/100000,"")</f>
        <v/>
      </c>
      <c r="DC16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67" s="41" t="n">
        <f aca="false">IF(NOT(Tasks[[#This Row],[_IsLeaf]]=1),0,IF(Tasks[[#This Row],[Baseline Cost]]="",Tasks[[#This Row],[_LeafCost]],N(Tasks[[#This Row],[Baseline Cost]])))</f>
        <v>0</v>
      </c>
      <c r="DE167" s="41" t="n">
        <f aca="false">Tasks[[#This Row],[_LeafBudget]]*Tasks[[#This Row],[_PlannedPct]]</f>
        <v>0</v>
      </c>
      <c r="DF167" s="41" t="n">
        <f aca="false">Tasks[[#This Row],[_LeafBudget]]*Tasks[[#This Row],[_LeafProgress]]</f>
        <v>0</v>
      </c>
      <c r="DG167" s="41" t="n">
        <f aca="false">IF(NOT(Tasks[[#This Row],[_IsLeaf]]=1),0,IF(Tasks[[#This Row],[Actual Cost]]="",Tasks[[#This Row],[_LeafCost]]*Tasks[[#This Row],[_LeafProgress]],N(Tasks[[#This Row],[Actual Cost]])))</f>
        <v>0</v>
      </c>
      <c r="DH167" s="41" t="str">
        <f aca="false">IF(Tasks[[#This Row],[Task Name]]="","",LEFT(Tasks[[#This Row],[WBS]],FIND(".",Tasks[[#This Row],[WBS]]&amp;".")-1))</f>
        <v/>
      </c>
      <c r="DI167" s="41" t="str">
        <f aca="false">IF(AND(Tasks[[#This Row],[Task Name]]&lt;&gt;"",Tasks[[#This Row],[_Level]]=1),Tasks[[#This Row],[_Row]],"")</f>
        <v/>
      </c>
      <c r="DJ167" s="41" t="str">
        <f aca="false">IF(AND(Tasks[[#This Row],[_IsLeaf]]=1,N(Tasks[[#This Row],[Duration]])=0),Tasks[[#This Row],[Planned Finish]]+Tasks[[#This Row],[_Row]]/100000,"")</f>
        <v/>
      </c>
      <c r="DK167" s="41" t="str">
        <f aca="false">IF(AND(Tasks[[#This Row],[_IsLeaf]]=1,Tasks[[#This Row],[_LeafProgress]]&lt;1,OR(N(Tasks[[#This Row],[Finish Var]])&gt;0,Tasks[[#This Row],[Status]]="Late Start")),MAX(0,Tasks[[#This Row],[Finish Var]])+1-Tasks[[#This Row],[_Row]]/1000000,"")</f>
        <v/>
      </c>
      <c r="DL167" s="41" t="str">
        <f aca="false">IF(AND(Tasks[[#This Row],[_IsLeaf]]=1,N(Tasks[[#This Row],[Actual Start]])=0,Tasks[[#This Row],[_LeafFcstStart]]&gt;=StatusDate,Tasks[[#This Row],[_LeafFcstStart]]&lt;=LookaheadEnd),Tasks[[#This Row],[_LeafFcstStart]]+Tasks[[#This Row],[_Row]]/100000,"")</f>
        <v/>
      </c>
      <c r="DM167" s="41" t="str">
        <f aca="false">IF(AND(Tasks[[#This Row],[_IsLeaf]]=1,Tasks[[#This Row],[_LeafProgress]]&lt;1,Tasks[[#This Row],[_LeafFcstFinish]]&gt;=StatusDate,Tasks[[#This Row],[_LeafFcstFinish]]&lt;=LookaheadEnd),Tasks[[#This Row],[_LeafFcstFinish]]+Tasks[[#This Row],[_Row]]/100000,"")</f>
        <v/>
      </c>
      <c r="DN167" s="41" t="str">
        <f aca="false">IF(Tasks[[#This Row],[_LeafCritical]],Tasks[[#This Row],[_LeafFcstStart]]+Tasks[[#This Row],[_Row]]/100000,"")</f>
        <v/>
      </c>
      <c r="DO167" s="41" t="n">
        <f aca="false">Tasks[[#This Row],[_LeafWork]]*Tasks[[#This Row],[_LeafProgress]]</f>
        <v>0</v>
      </c>
      <c r="DP167" s="100" t="str">
        <f aca="false">IF(AND(Tasks[[#This Row],[_IsLeaf]]=1,Tasks[[#This Row],[_LeafProgress]]&gt;=1),IF(N(Tasks[[#This Row],[Actual Finish]])&gt;0,Tasks[[#This Row],[Actual Finish]],Tasks[[#This Row],[_LeafFcstFinish]]),"")</f>
        <v/>
      </c>
      <c r="DQ167" s="41" t="n">
        <f aca="false">IF(Tasks[[#This Row],[_IsLeaf]]=1,N(Tasks[[#This Row],[Story Points]]),0)</f>
        <v>0</v>
      </c>
      <c r="DR167" s="41" t="str">
        <f aca="false">IF(AND(Tasks[[#This Row],[_IsLeaf]]=1,CurrentSprint&lt;&gt;"",Tasks[[#This Row],[Sprint]]=CurrentSprint),Tasks[[#This Row],[_Row]],"")</f>
        <v/>
      </c>
    </row>
    <row r="168" customFormat="false" ht="15" hidden="false" customHeight="false" outlineLevel="0" collapsed="false">
      <c r="A168" s="28" t="str">
        <f aca="false">IF(Tasks[[#This Row],[Task Name]]="","",COUNTA(Tasks[[#Headers],[Task Name]]:Tasks[[#This Row],[Task Name]])-1)</f>
        <v/>
      </c>
      <c r="B168" s="29" t="n">
        <v>163</v>
      </c>
      <c r="C16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8" s="29"/>
      <c r="E168" s="30"/>
      <c r="F168" s="29"/>
      <c r="G168" s="29"/>
      <c r="H168" s="29"/>
      <c r="I168" s="29"/>
      <c r="J168" s="29"/>
      <c r="K168" s="29"/>
      <c r="L168" s="29"/>
      <c r="M168" s="29"/>
      <c r="N168" s="73"/>
      <c r="O168" s="73"/>
      <c r="P168" s="25" t="str">
        <f aca="false">IF(Tasks[[#This Row],[Task Name]]="","",IF(N(Tasks[[#This Row],[Baseline Start]])&gt;0,Tasks[[#This Row],[Baseline Start]],Tasks[[#This Row],[_CalcStart]]))</f>
        <v/>
      </c>
      <c r="Q168" s="25" t="str">
        <f aca="false">IF(Tasks[[#This Row],[Task Name]]="","",IF(N(Tasks[[#This Row],[Baseline Finish]])&gt;0,Tasks[[#This Row],[Baseline Finish]],Tasks[[#This Row],[_CalcFinish]]))</f>
        <v/>
      </c>
      <c r="R168" s="73"/>
      <c r="S168" s="73"/>
      <c r="T168" s="25" t="str">
        <f aca="false">IF(Tasks[[#This Row],[Task Name]]="","",IF(Tasks[[#This Row],[_IsSummary]],MIN(INDEX(Tasks[_LeafFcstStart],Tasks[[#This Row],[_Row]]+1):INDEX(Tasks[_LeafFcstStart],Tasks[[#This Row],[_Row]]+Tasks[[#This Row],[_Descendants]])),Tasks[[#This Row],[_LeafFcstStart]]))</f>
        <v/>
      </c>
      <c r="U168" s="25" t="str">
        <f aca="false">IF(Tasks[[#This Row],[Task Name]]="","",IF(Tasks[[#This Row],[_IsSummary]],MAX(INDEX(Tasks[_LeafFcstFinish],Tasks[[#This Row],[_Row]]+1):INDEX(Tasks[_LeafFcstFinish],Tasks[[#This Row],[_Row]]+Tasks[[#This Row],[_Descendants]])),Tasks[[#This Row],[_LeafFcstFinish]]))</f>
        <v/>
      </c>
      <c r="V16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6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8" s="25" t="str">
        <f aca="false">IF(Tasks[[#This Row],[Task Name]]="","",IF(Tasks[[#This Row],[_IsSummary]],MIN(INDEX(Tasks[_LeafLateStart],Tasks[[#This Row],[_Row]]+1):INDEX(Tasks[_LeafLateStart],Tasks[[#This Row],[_Row]]+Tasks[[#This Row],[_Descendants]])),Tasks[[#This Row],[_LeafLateStart]]))</f>
        <v/>
      </c>
      <c r="Y168" s="25" t="str">
        <f aca="false">IF(Tasks[[#This Row],[Task Name]]="","",IF(Tasks[[#This Row],[_IsSummary]],MAX(INDEX(Tasks[_LeafLateFinish],Tasks[[#This Row],[_Row]]+1):INDEX(Tasks[_LeafLateFinish],Tasks[[#This Row],[_Row]]+Tasks[[#This Row],[_Descendants]])),Tasks[[#This Row],[_LeafLateFinish]]))</f>
        <v/>
      </c>
      <c r="Z168" s="43" t="str">
        <f aca="false">IF(Tasks[[#This Row],[Task Name]]="","",IF(Tasks[[#This Row],[_IsSummary]],MIN(INDEX(Tasks[_LeafTotalSlack],Tasks[[#This Row],[_Row]]+1):INDEX(Tasks[_LeafTotalSlack],Tasks[[#This Row],[_Row]]+Tasks[[#This Row],[_Descendants]])),Tasks[[#This Row],[_LeafTotalSlack]]))</f>
        <v/>
      </c>
      <c r="AA16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8" s="28" t="str">
        <f aca="false">IF(Tasks[[#This Row],[Task Name]]="","",IF(IF(Tasks[[#This Row],[_IsSummary]],COUNTIF(INDEX(Tasks[_LeafCritical],Tasks[[#This Row],[_Row]]+1):INDEX(Tasks[_LeafCritical],Tasks[[#This Row],[_Row]]+Tasks[[#This Row],[_Descendants]]),TRUE())&gt;0,Tasks[[#This Row],[_LeafCritical]]),"Yes",""))</f>
        <v/>
      </c>
      <c r="AC16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8" s="24" t="str">
        <f aca="false">IF(Tasks[[#This Row],[Task Name]]="","",TRIM(IF(Tasks[[#This Row],[_Pred1Problem]]&lt;&gt;"","Pred 1: "&amp;Tasks[[#This Row],[_Pred1Problem]]&amp;". ","")&amp;IF(Tasks[[#This Row],[_Pred2Problem]]&lt;&gt;"","Pred 2: "&amp;Tasks[[#This Row],[_Pred2Problem]]&amp;".","")))</f>
        <v/>
      </c>
      <c r="AE168" s="88"/>
      <c r="AF168"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8" s="28" t="str">
        <f aca="false">IF(Tasks[[#This Row],[Task Name]]="","",IF(Tasks[[#This Row],[Progress]]&gt;=1,"Complete",IF(OR(N(Tasks[[#This Row],[Actual Start]])&gt;0,Tasks[[#This Row],[Progress]]&gt;0),IF(Tasks[[#This Row],[Finish Var]]&gt;0,"Behind","In Progress"),IF(Tasks[[#This Row],[Planned Start]]&lt;StatusDate,"Late Start","Not Started"))))</f>
        <v/>
      </c>
      <c r="AH168" s="30"/>
      <c r="AI168" s="88"/>
      <c r="AJ168" s="95" t="str">
        <f aca="false">IF(Tasks[[#This Row],[Task Name]]="","",IF(Tasks[[#This Row],[_IsSummary]],SUM(INDEX(Tasks[_LeafWork],Tasks[[#This Row],[_Row]]+1):INDEX(Tasks[_LeafWork],Tasks[[#This Row],[_Row]]+Tasks[[#This Row],[_Descendants]])),Tasks[[#This Row],[_LeafWork]]))</f>
        <v/>
      </c>
      <c r="AK168" s="96" t="str">
        <f aca="false">IF(Tasks[[#This Row],[Task Name]]="","",IF(Tasks[[#This Row],[_IsSummary]],SUM(INDEX(Tasks[_LeafCost],Tasks[[#This Row],[_Row]]+1):INDEX(Tasks[_LeafCost],Tasks[[#This Row],[_Row]]+Tasks[[#This Row],[_Descendants]])),Tasks[[#This Row],[_LeafCost]]))</f>
        <v/>
      </c>
      <c r="AL168" s="97"/>
      <c r="AM168" s="29"/>
      <c r="AN16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68" s="82"/>
      <c r="AP168" s="24" t="str">
        <f aca="false">IF(Tasks[[#This Row],[Task Name]]="","",Tasks[[#This Row],[_Pred1IDText]]&amp;IF(AND(Tasks[[#This Row],[_Pred1IDText]]&lt;&gt;"",Tasks[[#This Row],[_Pred2IDText]]&lt;&gt;""),",","")&amp;Tasks[[#This Row],[_Pred2IDText]])</f>
        <v/>
      </c>
      <c r="AQ168" s="30"/>
      <c r="AR168" s="25" t="str">
        <f aca="false">IF(Tasks[[#This Row],[Task Name]]="","",Tasks[[#This Row],[Forecast Start]])</f>
        <v/>
      </c>
      <c r="AS168" s="25" t="str">
        <f aca="false">IF(Tasks[[#This Row],[Task Name]]="","",Tasks[[#This Row],[Forecast Finish]])</f>
        <v/>
      </c>
      <c r="AT168" s="28" t="str">
        <f aca="false">IF(Tasks[[#This Row],[Task Name]]="","",IF(Tasks[[#This Row],[_IsSummary]],NETWORKDAYS.INTL(Tasks[[#This Row],[Forecast Start]],Tasks[[#This Row],[Forecast Finish]],WorkWeek,Holidays),N(Tasks[[#This Row],[Duration]])))</f>
        <v/>
      </c>
      <c r="AU168" s="95" t="str">
        <f aca="false">IF(Tasks[[#This Row],[Task Name]]="","",Tasks[[#This Row],[Work]])</f>
        <v/>
      </c>
      <c r="AV168" s="96" t="str">
        <f aca="false">IF(Tasks[[#This Row],[Task Name]]="","",Tasks[[#This Row],[Cost]])</f>
        <v/>
      </c>
      <c r="AW168" s="73"/>
      <c r="AX168" s="73"/>
      <c r="AY168" s="29"/>
      <c r="AZ168" s="98"/>
      <c r="BA168" s="97"/>
      <c r="BB168" s="28" t="str">
        <f aca="false">IF(OR(Tasks[[#This Row],[Task Name]]="",Tasks[[#This Row],[Baseline Duration]]=""),"",Tasks[[#This Row],[BL Source Duration]]-N(Tasks[[#This Row],[Baseline Duration]]))</f>
        <v/>
      </c>
      <c r="BC168" s="95" t="str">
        <f aca="false">IF(OR(Tasks[[#This Row],[Task Name]]="",Tasks[[#This Row],[Baseline Work]]=""),"",Tasks[[#This Row],[Work]]-N(Tasks[[#This Row],[Baseline Work]]))</f>
        <v/>
      </c>
      <c r="BD168" s="96" t="str">
        <f aca="false">IF(OR(Tasks[[#This Row],[Task Name]]="",Tasks[[#This Row],[Baseline Cost]]=""),"",Tasks[[#This Row],[Cost]]-N(Tasks[[#This Row],[Baseline Cost]]))</f>
        <v/>
      </c>
      <c r="BE168" s="96" t="str">
        <f aca="false">IF(Tasks[[#This Row],[Task Name]]="","",IF(Tasks[[#This Row],[_IsSummary]],SUM(INDEX(Tasks[_LeafBudget],Tasks[[#This Row],[_Row]]+1):INDEX(Tasks[_LeafBudget],Tasks[[#This Row],[_Row]]+Tasks[[#This Row],[_Descendants]])),Tasks[[#This Row],[_LeafBudget]]))</f>
        <v/>
      </c>
      <c r="BF168" s="96" t="str">
        <f aca="false">IF(Tasks[[#This Row],[Task Name]]="","",IF(Tasks[[#This Row],[_IsSummary]],SUM(INDEX(Tasks[_LeafPV],Tasks[[#This Row],[_Row]]+1):INDEX(Tasks[_LeafPV],Tasks[[#This Row],[_Row]]+Tasks[[#This Row],[_Descendants]])),Tasks[[#This Row],[_LeafPV]]))</f>
        <v/>
      </c>
      <c r="BG168" s="96" t="str">
        <f aca="false">IF(Tasks[[#This Row],[Task Name]]="","",IF(Tasks[[#This Row],[_IsSummary]],SUM(INDEX(Tasks[_LeafEV],Tasks[[#This Row],[_Row]]+1):INDEX(Tasks[_LeafEV],Tasks[[#This Row],[_Row]]+Tasks[[#This Row],[_Descendants]])),Tasks[[#This Row],[_LeafEV]]))</f>
        <v/>
      </c>
      <c r="BH168" s="96" t="str">
        <f aca="false">IF(Tasks[[#This Row],[Task Name]]="","",IF(Tasks[[#This Row],[_IsSummary]],SUM(INDEX(Tasks[_LeafAC],Tasks[[#This Row],[_Row]]+1):INDEX(Tasks[_LeafAC],Tasks[[#This Row],[_Row]]+Tasks[[#This Row],[_Descendants]])),Tasks[[#This Row],[_LeafAC]]))</f>
        <v/>
      </c>
      <c r="BI168" s="41" t="str">
        <f aca="false">IF(Tasks[[#This Row],[Task Name]]="","",MAX(1,N(Tasks[[#This Row],[Level]])))</f>
        <v/>
      </c>
      <c r="BJ168" s="41" t="n">
        <f aca="false">ROW()-ROW(Tasks[[#Headers],[ID]])</f>
        <v>163</v>
      </c>
      <c r="BK168" s="41" t="n">
        <f aca="false">IF(OR(Tasks[[#This Row],[Task Name]]="",Tasks[[#This Row],[_Level]]&lt;=1),0,IFERROR(LOOKUP(2,1/(Tasks[[#Headers],[_Level]]:Tasks[[#This Row],[_Level]]=Tasks[[#This Row],[_Level]]-1),ROW(Tasks[[#Headers],[_Level]]:Tasks[[#This Row],[_Level]])),0))</f>
        <v>0</v>
      </c>
      <c r="BL168" s="41" t="n">
        <f aca="false">IFERROR(N(INDEX(Tasks[_Level],Tasks[[#This Row],[_Row]]+1)),0)</f>
        <v>0</v>
      </c>
      <c r="BM168" s="99" t="b">
        <f aca="false">AND(Tasks[[#This Row],[Task Name]]&lt;&gt;"",Tasks[[#This Row],[_NextLevel]]&gt;Tasks[[#This Row],[_Level]])</f>
        <v>0</v>
      </c>
      <c r="BN168" s="41" t="n">
        <f aca="false">IF(Tasks[[#This Row],[_IsSummary]],COUNTIF(Tasks[WBS],Tasks[[#This Row],[WBS]]&amp;".*"),0)</f>
        <v>0</v>
      </c>
      <c r="BO168" s="41" t="n">
        <f aca="false">IF(AND(Tasks[[#This Row],[Task Name]]&lt;&gt;"",NOT(Tasks[[#This Row],[_IsSummary]])),1,0)</f>
        <v>0</v>
      </c>
      <c r="BP168" s="41" t="n">
        <f aca="false">IF(N(Tasks[[#This Row],[Pred1 UID]])=0,0,IFERROR(MATCH(Tasks[[#This Row],[Pred1 UID]],Tasks[UID],0),-1))</f>
        <v>0</v>
      </c>
      <c r="BQ168" s="41" t="n">
        <f aca="false">IF(N(Tasks[[#This Row],[Pred2 UID]])=0,0,IFERROR(MATCH(Tasks[[#This Row],[Pred2 UID]],Tasks[UID],0),-1))</f>
        <v>0</v>
      </c>
      <c r="BR168"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68" s="100" t="str">
        <f aca="false">IF(NOT(Tasks[[#This Row],[_IsLeaf]]=1),"",IF(N(Tasks[[#This Row],[Duration]])&lt;=0,Tasks[[#This Row],[_LeafCalcStart]],WORKDAY.INTL(Tasks[[#This Row],[_LeafCalcStart]],Tasks[[#This Row],[Duration]]-1,WorkWeek,Holidays)))</f>
        <v/>
      </c>
      <c r="BT168"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68"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68" s="41" t="n">
        <f aca="false">IF(NOT(Tasks[[#This Row],[_IsLeaf]]=1),0,IF(N(Tasks[[#This Row],[Actual Finish]])&gt;0,1,MIN(1,N(Tasks[[#This Row],[% Complete]]))))</f>
        <v>0</v>
      </c>
      <c r="BW168" s="41" t="n">
        <f aca="false">IF(OR(NOT(Tasks[[#This Row],[_IsLeaf]]=1),Tasks[[#This Row],[Resource]]=""),0,N(Tasks[[#This Row],[Duration]])*HoursPerDay*IF(Tasks[[#This Row],[Units]]="",DefaultUnits,Tasks[[#This Row],[Units]]))</f>
        <v>0</v>
      </c>
      <c r="BX168" s="41" t="n">
        <f aca="false">IF(Tasks[[#This Row],[_LeafWork]]=0,0,Tasks[[#This Row],[_LeafWork]]*IFERROR(INDEX(res_Rate,MATCH(Tasks[[#This Row],[Resource]],res_Name,0)),0))</f>
        <v>0</v>
      </c>
      <c r="BY16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6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6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6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68" s="41" t="n">
        <f aca="false">IF(NOT(Tasks[[#This Row],[_IsLeaf]]=1),0,MAX(_xlfn.MAXIFS(Tasks[_Row],Tasks[Pred1 UID],Tasks[[#This Row],[UID]]),_xlfn.MAXIFS(Tasks[_Row],Tasks[Pred2 UID],Tasks[[#This Row],[UID]])))</f>
        <v>0</v>
      </c>
      <c r="CD168"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68" s="100" t="str">
        <f aca="false">IF(NOT(Tasks[[#This Row],[_IsLeaf]]=1),"",MIN(ProjectFinish,IF(N(Tasks[[#This Row],[Deadline]])&gt;0,Tasks[[#This Row],[Deadline]],2958465),Tasks[[#This Row],[_SuccessorFinishLimit]]))</f>
        <v/>
      </c>
      <c r="CF168" s="100" t="str">
        <f aca="false">IF(NOT(Tasks[[#This Row],[_IsLeaf]]=1),"",IF(N(Tasks[[#This Row],[Duration]])&lt;=0,Tasks[[#This Row],[_LeafLateFinish]],WORKDAY.INTL(Tasks[[#This Row],[_LeafLateFinish]],-(Tasks[[#This Row],[Duration]]-1),WorkWeek,Holidays)))</f>
        <v/>
      </c>
      <c r="CG16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68" s="99" t="b">
        <f aca="false">AND(Tasks[[#This Row],[_IsLeaf]]=1,Tasks[[#This Row],[_LeafProgress]]&lt;1,N(Tasks[[#This Row],[_LeafTotalSlack]])&lt;=CriticalSlackDays)</f>
        <v>0</v>
      </c>
      <c r="CI168" s="100" t="str">
        <f aca="false">IF(Tasks[[#This Row],[Task Name]]="","",IF(Tasks[[#This Row],[_IsSummary]],MIN(INDEX(Tasks[_LeafCalcStart],Tasks[[#This Row],[_Row]]+1):INDEX(Tasks[_LeafCalcStart],Tasks[[#This Row],[_Row]]+Tasks[[#This Row],[_Descendants]])),Tasks[[#This Row],[_LeafCalcStart]]))</f>
        <v/>
      </c>
      <c r="CJ168" s="100" t="str">
        <f aca="false">IF(Tasks[[#This Row],[Task Name]]="","",IF(Tasks[[#This Row],[_IsSummary]],MAX(INDEX(Tasks[_LeafCalcFinish],Tasks[[#This Row],[_Row]]+1):INDEX(Tasks[_LeafCalcFinish],Tasks[[#This Row],[_Row]]+Tasks[[#This Row],[_Descendants]])),Tasks[[#This Row],[_LeafCalcFinish]]))</f>
        <v/>
      </c>
      <c r="CK16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6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68"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68"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68"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68"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68" s="41" t="n">
        <f aca="false">IF(AND(Tasks[[#This Row],[_IsLeaf]]=1,Tasks[[#This Row],[_LeafWork]]&gt;0),NETWORKDAYS.INTL(ProjectStart,Tasks[[#This Row],[_LeafFcstStart]],WorkWeek,Holidays),0)</f>
        <v>0</v>
      </c>
      <c r="CR168" s="41" t="n">
        <f aca="false">IF(AND(Tasks[[#This Row],[_IsLeaf]]=1,Tasks[[#This Row],[_LeafWork]]&gt;0),MAX(Tasks[[#This Row],[_StartWorkday]],NETWORKDAYS.INTL(ProjectStart,Tasks[[#This Row],[_LeafFcstFinish]],WorkWeek,Holidays)),0)</f>
        <v>0</v>
      </c>
      <c r="CS168" s="41" t="n">
        <f aca="false">IF(AND(Tasks[[#This Row],[_IsLeaf]]=1,Tasks[[#This Row],[_LeafWork]]&gt;0),Tasks[[#This Row],[_LeafWork]]/(Tasks[[#This Row],[_FinishWorkday]]-Tasks[[#This Row],[_StartWorkday]]+1),0)</f>
        <v>0</v>
      </c>
      <c r="CT168" s="41" t="n">
        <f aca="false">Tasks[[#This Row],[_WorkPerWorkday]]*(Tasks[[#This Row],[_StartWorkday]]-1)</f>
        <v>-0</v>
      </c>
      <c r="CU168" s="41" t="n">
        <f aca="false">IF(Tasks[[#This Row],[_IsLeaf]]=1,MAX(N(Tasks[[#This Row],[Duration]]),0.1),0)</f>
        <v>0</v>
      </c>
      <c r="CV168" s="41" t="n">
        <f aca="false">Tasks[[#This Row],[_WeightDur]]*Tasks[[#This Row],[_LeafProgress]]</f>
        <v>0</v>
      </c>
      <c r="CW16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6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6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6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68" s="41" t="str">
        <f aca="false">IF(Tasks[[#This Row],[Task Name]]="","",Tasks[[#This Row],[_Pred1UIDText]]&amp;IF(AND(Tasks[[#This Row],[_Pred1UIDText]]&lt;&gt;"",Tasks[[#This Row],[_Pred2UIDText]]&lt;&gt;""),",","")&amp;Tasks[[#This Row],[_Pred2UIDText]])</f>
        <v/>
      </c>
      <c r="DB168" s="41" t="str">
        <f aca="false">IF(AND(Tasks[[#This Row],[_IsLeaf]]=1,N(Tasks[[#This Row],[Duration]])=0,Tasks[[#This Row],[_LeafProgress]]&lt;1),Tasks[[#This Row],[_LeafFcstFinish]]+Tasks[[#This Row],[_Row]]/100000,"")</f>
        <v/>
      </c>
      <c r="DC16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68" s="41" t="n">
        <f aca="false">IF(NOT(Tasks[[#This Row],[_IsLeaf]]=1),0,IF(Tasks[[#This Row],[Baseline Cost]]="",Tasks[[#This Row],[_LeafCost]],N(Tasks[[#This Row],[Baseline Cost]])))</f>
        <v>0</v>
      </c>
      <c r="DE168" s="41" t="n">
        <f aca="false">Tasks[[#This Row],[_LeafBudget]]*Tasks[[#This Row],[_PlannedPct]]</f>
        <v>0</v>
      </c>
      <c r="DF168" s="41" t="n">
        <f aca="false">Tasks[[#This Row],[_LeafBudget]]*Tasks[[#This Row],[_LeafProgress]]</f>
        <v>0</v>
      </c>
      <c r="DG168" s="41" t="n">
        <f aca="false">IF(NOT(Tasks[[#This Row],[_IsLeaf]]=1),0,IF(Tasks[[#This Row],[Actual Cost]]="",Tasks[[#This Row],[_LeafCost]]*Tasks[[#This Row],[_LeafProgress]],N(Tasks[[#This Row],[Actual Cost]])))</f>
        <v>0</v>
      </c>
      <c r="DH168" s="41" t="str">
        <f aca="false">IF(Tasks[[#This Row],[Task Name]]="","",LEFT(Tasks[[#This Row],[WBS]],FIND(".",Tasks[[#This Row],[WBS]]&amp;".")-1))</f>
        <v/>
      </c>
      <c r="DI168" s="41" t="str">
        <f aca="false">IF(AND(Tasks[[#This Row],[Task Name]]&lt;&gt;"",Tasks[[#This Row],[_Level]]=1),Tasks[[#This Row],[_Row]],"")</f>
        <v/>
      </c>
      <c r="DJ168" s="41" t="str">
        <f aca="false">IF(AND(Tasks[[#This Row],[_IsLeaf]]=1,N(Tasks[[#This Row],[Duration]])=0),Tasks[[#This Row],[Planned Finish]]+Tasks[[#This Row],[_Row]]/100000,"")</f>
        <v/>
      </c>
      <c r="DK168" s="41" t="str">
        <f aca="false">IF(AND(Tasks[[#This Row],[_IsLeaf]]=1,Tasks[[#This Row],[_LeafProgress]]&lt;1,OR(N(Tasks[[#This Row],[Finish Var]])&gt;0,Tasks[[#This Row],[Status]]="Late Start")),MAX(0,Tasks[[#This Row],[Finish Var]])+1-Tasks[[#This Row],[_Row]]/1000000,"")</f>
        <v/>
      </c>
      <c r="DL168" s="41" t="str">
        <f aca="false">IF(AND(Tasks[[#This Row],[_IsLeaf]]=1,N(Tasks[[#This Row],[Actual Start]])=0,Tasks[[#This Row],[_LeafFcstStart]]&gt;=StatusDate,Tasks[[#This Row],[_LeafFcstStart]]&lt;=LookaheadEnd),Tasks[[#This Row],[_LeafFcstStart]]+Tasks[[#This Row],[_Row]]/100000,"")</f>
        <v/>
      </c>
      <c r="DM168" s="41" t="str">
        <f aca="false">IF(AND(Tasks[[#This Row],[_IsLeaf]]=1,Tasks[[#This Row],[_LeafProgress]]&lt;1,Tasks[[#This Row],[_LeafFcstFinish]]&gt;=StatusDate,Tasks[[#This Row],[_LeafFcstFinish]]&lt;=LookaheadEnd),Tasks[[#This Row],[_LeafFcstFinish]]+Tasks[[#This Row],[_Row]]/100000,"")</f>
        <v/>
      </c>
      <c r="DN168" s="41" t="str">
        <f aca="false">IF(Tasks[[#This Row],[_LeafCritical]],Tasks[[#This Row],[_LeafFcstStart]]+Tasks[[#This Row],[_Row]]/100000,"")</f>
        <v/>
      </c>
      <c r="DO168" s="41" t="n">
        <f aca="false">Tasks[[#This Row],[_LeafWork]]*Tasks[[#This Row],[_LeafProgress]]</f>
        <v>0</v>
      </c>
      <c r="DP168" s="100" t="str">
        <f aca="false">IF(AND(Tasks[[#This Row],[_IsLeaf]]=1,Tasks[[#This Row],[_LeafProgress]]&gt;=1),IF(N(Tasks[[#This Row],[Actual Finish]])&gt;0,Tasks[[#This Row],[Actual Finish]],Tasks[[#This Row],[_LeafFcstFinish]]),"")</f>
        <v/>
      </c>
      <c r="DQ168" s="41" t="n">
        <f aca="false">IF(Tasks[[#This Row],[_IsLeaf]]=1,N(Tasks[[#This Row],[Story Points]]),0)</f>
        <v>0</v>
      </c>
      <c r="DR168" s="41" t="str">
        <f aca="false">IF(AND(Tasks[[#This Row],[_IsLeaf]]=1,CurrentSprint&lt;&gt;"",Tasks[[#This Row],[Sprint]]=CurrentSprint),Tasks[[#This Row],[_Row]],"")</f>
        <v/>
      </c>
    </row>
    <row r="169" customFormat="false" ht="15" hidden="false" customHeight="false" outlineLevel="0" collapsed="false">
      <c r="A169" s="28" t="str">
        <f aca="false">IF(Tasks[[#This Row],[Task Name]]="","",COUNTA(Tasks[[#Headers],[Task Name]]:Tasks[[#This Row],[Task Name]])-1)</f>
        <v/>
      </c>
      <c r="B169" s="29" t="n">
        <v>164</v>
      </c>
      <c r="C16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9" s="29"/>
      <c r="E169" s="30"/>
      <c r="F169" s="29"/>
      <c r="G169" s="29"/>
      <c r="H169" s="29"/>
      <c r="I169" s="29"/>
      <c r="J169" s="29"/>
      <c r="K169" s="29"/>
      <c r="L169" s="29"/>
      <c r="M169" s="29"/>
      <c r="N169" s="73"/>
      <c r="O169" s="73"/>
      <c r="P169" s="25" t="str">
        <f aca="false">IF(Tasks[[#This Row],[Task Name]]="","",IF(N(Tasks[[#This Row],[Baseline Start]])&gt;0,Tasks[[#This Row],[Baseline Start]],Tasks[[#This Row],[_CalcStart]]))</f>
        <v/>
      </c>
      <c r="Q169" s="25" t="str">
        <f aca="false">IF(Tasks[[#This Row],[Task Name]]="","",IF(N(Tasks[[#This Row],[Baseline Finish]])&gt;0,Tasks[[#This Row],[Baseline Finish]],Tasks[[#This Row],[_CalcFinish]]))</f>
        <v/>
      </c>
      <c r="R169" s="73"/>
      <c r="S169" s="73"/>
      <c r="T169" s="25" t="str">
        <f aca="false">IF(Tasks[[#This Row],[Task Name]]="","",IF(Tasks[[#This Row],[_IsSummary]],MIN(INDEX(Tasks[_LeafFcstStart],Tasks[[#This Row],[_Row]]+1):INDEX(Tasks[_LeafFcstStart],Tasks[[#This Row],[_Row]]+Tasks[[#This Row],[_Descendants]])),Tasks[[#This Row],[_LeafFcstStart]]))</f>
        <v/>
      </c>
      <c r="U169" s="25" t="str">
        <f aca="false">IF(Tasks[[#This Row],[Task Name]]="","",IF(Tasks[[#This Row],[_IsSummary]],MAX(INDEX(Tasks[_LeafFcstFinish],Tasks[[#This Row],[_Row]]+1):INDEX(Tasks[_LeafFcstFinish],Tasks[[#This Row],[_Row]]+Tasks[[#This Row],[_Descendants]])),Tasks[[#This Row],[_LeafFcstFinish]]))</f>
        <v/>
      </c>
      <c r="V16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6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9" s="25" t="str">
        <f aca="false">IF(Tasks[[#This Row],[Task Name]]="","",IF(Tasks[[#This Row],[_IsSummary]],MIN(INDEX(Tasks[_LeafLateStart],Tasks[[#This Row],[_Row]]+1):INDEX(Tasks[_LeafLateStart],Tasks[[#This Row],[_Row]]+Tasks[[#This Row],[_Descendants]])),Tasks[[#This Row],[_LeafLateStart]]))</f>
        <v/>
      </c>
      <c r="Y169" s="25" t="str">
        <f aca="false">IF(Tasks[[#This Row],[Task Name]]="","",IF(Tasks[[#This Row],[_IsSummary]],MAX(INDEX(Tasks[_LeafLateFinish],Tasks[[#This Row],[_Row]]+1):INDEX(Tasks[_LeafLateFinish],Tasks[[#This Row],[_Row]]+Tasks[[#This Row],[_Descendants]])),Tasks[[#This Row],[_LeafLateFinish]]))</f>
        <v/>
      </c>
      <c r="Z169" s="43" t="str">
        <f aca="false">IF(Tasks[[#This Row],[Task Name]]="","",IF(Tasks[[#This Row],[_IsSummary]],MIN(INDEX(Tasks[_LeafTotalSlack],Tasks[[#This Row],[_Row]]+1):INDEX(Tasks[_LeafTotalSlack],Tasks[[#This Row],[_Row]]+Tasks[[#This Row],[_Descendants]])),Tasks[[#This Row],[_LeafTotalSlack]]))</f>
        <v/>
      </c>
      <c r="AA16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9" s="28" t="str">
        <f aca="false">IF(Tasks[[#This Row],[Task Name]]="","",IF(IF(Tasks[[#This Row],[_IsSummary]],COUNTIF(INDEX(Tasks[_LeafCritical],Tasks[[#This Row],[_Row]]+1):INDEX(Tasks[_LeafCritical],Tasks[[#This Row],[_Row]]+Tasks[[#This Row],[_Descendants]]),TRUE())&gt;0,Tasks[[#This Row],[_LeafCritical]]),"Yes",""))</f>
        <v/>
      </c>
      <c r="AC16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9" s="24" t="str">
        <f aca="false">IF(Tasks[[#This Row],[Task Name]]="","",TRIM(IF(Tasks[[#This Row],[_Pred1Problem]]&lt;&gt;"","Pred 1: "&amp;Tasks[[#This Row],[_Pred1Problem]]&amp;". ","")&amp;IF(Tasks[[#This Row],[_Pred2Problem]]&lt;&gt;"","Pred 2: "&amp;Tasks[[#This Row],[_Pred2Problem]]&amp;".","")))</f>
        <v/>
      </c>
      <c r="AE169" s="88"/>
      <c r="AF169"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9" s="28" t="str">
        <f aca="false">IF(Tasks[[#This Row],[Task Name]]="","",IF(Tasks[[#This Row],[Progress]]&gt;=1,"Complete",IF(OR(N(Tasks[[#This Row],[Actual Start]])&gt;0,Tasks[[#This Row],[Progress]]&gt;0),IF(Tasks[[#This Row],[Finish Var]]&gt;0,"Behind","In Progress"),IF(Tasks[[#This Row],[Planned Start]]&lt;StatusDate,"Late Start","Not Started"))))</f>
        <v/>
      </c>
      <c r="AH169" s="30"/>
      <c r="AI169" s="88"/>
      <c r="AJ169" s="95" t="str">
        <f aca="false">IF(Tasks[[#This Row],[Task Name]]="","",IF(Tasks[[#This Row],[_IsSummary]],SUM(INDEX(Tasks[_LeafWork],Tasks[[#This Row],[_Row]]+1):INDEX(Tasks[_LeafWork],Tasks[[#This Row],[_Row]]+Tasks[[#This Row],[_Descendants]])),Tasks[[#This Row],[_LeafWork]]))</f>
        <v/>
      </c>
      <c r="AK169" s="96" t="str">
        <f aca="false">IF(Tasks[[#This Row],[Task Name]]="","",IF(Tasks[[#This Row],[_IsSummary]],SUM(INDEX(Tasks[_LeafCost],Tasks[[#This Row],[_Row]]+1):INDEX(Tasks[_LeafCost],Tasks[[#This Row],[_Row]]+Tasks[[#This Row],[_Descendants]])),Tasks[[#This Row],[_LeafCost]]))</f>
        <v/>
      </c>
      <c r="AL169" s="97"/>
      <c r="AM169" s="29"/>
      <c r="AN16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69" s="82"/>
      <c r="AP169" s="24" t="str">
        <f aca="false">IF(Tasks[[#This Row],[Task Name]]="","",Tasks[[#This Row],[_Pred1IDText]]&amp;IF(AND(Tasks[[#This Row],[_Pred1IDText]]&lt;&gt;"",Tasks[[#This Row],[_Pred2IDText]]&lt;&gt;""),",","")&amp;Tasks[[#This Row],[_Pred2IDText]])</f>
        <v/>
      </c>
      <c r="AQ169" s="30"/>
      <c r="AR169" s="25" t="str">
        <f aca="false">IF(Tasks[[#This Row],[Task Name]]="","",Tasks[[#This Row],[Forecast Start]])</f>
        <v/>
      </c>
      <c r="AS169" s="25" t="str">
        <f aca="false">IF(Tasks[[#This Row],[Task Name]]="","",Tasks[[#This Row],[Forecast Finish]])</f>
        <v/>
      </c>
      <c r="AT169" s="28" t="str">
        <f aca="false">IF(Tasks[[#This Row],[Task Name]]="","",IF(Tasks[[#This Row],[_IsSummary]],NETWORKDAYS.INTL(Tasks[[#This Row],[Forecast Start]],Tasks[[#This Row],[Forecast Finish]],WorkWeek,Holidays),N(Tasks[[#This Row],[Duration]])))</f>
        <v/>
      </c>
      <c r="AU169" s="95" t="str">
        <f aca="false">IF(Tasks[[#This Row],[Task Name]]="","",Tasks[[#This Row],[Work]])</f>
        <v/>
      </c>
      <c r="AV169" s="96" t="str">
        <f aca="false">IF(Tasks[[#This Row],[Task Name]]="","",Tasks[[#This Row],[Cost]])</f>
        <v/>
      </c>
      <c r="AW169" s="73"/>
      <c r="AX169" s="73"/>
      <c r="AY169" s="29"/>
      <c r="AZ169" s="98"/>
      <c r="BA169" s="97"/>
      <c r="BB169" s="28" t="str">
        <f aca="false">IF(OR(Tasks[[#This Row],[Task Name]]="",Tasks[[#This Row],[Baseline Duration]]=""),"",Tasks[[#This Row],[BL Source Duration]]-N(Tasks[[#This Row],[Baseline Duration]]))</f>
        <v/>
      </c>
      <c r="BC169" s="95" t="str">
        <f aca="false">IF(OR(Tasks[[#This Row],[Task Name]]="",Tasks[[#This Row],[Baseline Work]]=""),"",Tasks[[#This Row],[Work]]-N(Tasks[[#This Row],[Baseline Work]]))</f>
        <v/>
      </c>
      <c r="BD169" s="96" t="str">
        <f aca="false">IF(OR(Tasks[[#This Row],[Task Name]]="",Tasks[[#This Row],[Baseline Cost]]=""),"",Tasks[[#This Row],[Cost]]-N(Tasks[[#This Row],[Baseline Cost]]))</f>
        <v/>
      </c>
      <c r="BE169" s="96" t="str">
        <f aca="false">IF(Tasks[[#This Row],[Task Name]]="","",IF(Tasks[[#This Row],[_IsSummary]],SUM(INDEX(Tasks[_LeafBudget],Tasks[[#This Row],[_Row]]+1):INDEX(Tasks[_LeafBudget],Tasks[[#This Row],[_Row]]+Tasks[[#This Row],[_Descendants]])),Tasks[[#This Row],[_LeafBudget]]))</f>
        <v/>
      </c>
      <c r="BF169" s="96" t="str">
        <f aca="false">IF(Tasks[[#This Row],[Task Name]]="","",IF(Tasks[[#This Row],[_IsSummary]],SUM(INDEX(Tasks[_LeafPV],Tasks[[#This Row],[_Row]]+1):INDEX(Tasks[_LeafPV],Tasks[[#This Row],[_Row]]+Tasks[[#This Row],[_Descendants]])),Tasks[[#This Row],[_LeafPV]]))</f>
        <v/>
      </c>
      <c r="BG169" s="96" t="str">
        <f aca="false">IF(Tasks[[#This Row],[Task Name]]="","",IF(Tasks[[#This Row],[_IsSummary]],SUM(INDEX(Tasks[_LeafEV],Tasks[[#This Row],[_Row]]+1):INDEX(Tasks[_LeafEV],Tasks[[#This Row],[_Row]]+Tasks[[#This Row],[_Descendants]])),Tasks[[#This Row],[_LeafEV]]))</f>
        <v/>
      </c>
      <c r="BH169" s="96" t="str">
        <f aca="false">IF(Tasks[[#This Row],[Task Name]]="","",IF(Tasks[[#This Row],[_IsSummary]],SUM(INDEX(Tasks[_LeafAC],Tasks[[#This Row],[_Row]]+1):INDEX(Tasks[_LeafAC],Tasks[[#This Row],[_Row]]+Tasks[[#This Row],[_Descendants]])),Tasks[[#This Row],[_LeafAC]]))</f>
        <v/>
      </c>
      <c r="BI169" s="41" t="str">
        <f aca="false">IF(Tasks[[#This Row],[Task Name]]="","",MAX(1,N(Tasks[[#This Row],[Level]])))</f>
        <v/>
      </c>
      <c r="BJ169" s="41" t="n">
        <f aca="false">ROW()-ROW(Tasks[[#Headers],[ID]])</f>
        <v>164</v>
      </c>
      <c r="BK169" s="41" t="n">
        <f aca="false">IF(OR(Tasks[[#This Row],[Task Name]]="",Tasks[[#This Row],[_Level]]&lt;=1),0,IFERROR(LOOKUP(2,1/(Tasks[[#Headers],[_Level]]:Tasks[[#This Row],[_Level]]=Tasks[[#This Row],[_Level]]-1),ROW(Tasks[[#Headers],[_Level]]:Tasks[[#This Row],[_Level]])),0))</f>
        <v>0</v>
      </c>
      <c r="BL169" s="41" t="n">
        <f aca="false">IFERROR(N(INDEX(Tasks[_Level],Tasks[[#This Row],[_Row]]+1)),0)</f>
        <v>0</v>
      </c>
      <c r="BM169" s="99" t="b">
        <f aca="false">AND(Tasks[[#This Row],[Task Name]]&lt;&gt;"",Tasks[[#This Row],[_NextLevel]]&gt;Tasks[[#This Row],[_Level]])</f>
        <v>0</v>
      </c>
      <c r="BN169" s="41" t="n">
        <f aca="false">IF(Tasks[[#This Row],[_IsSummary]],COUNTIF(Tasks[WBS],Tasks[[#This Row],[WBS]]&amp;".*"),0)</f>
        <v>0</v>
      </c>
      <c r="BO169" s="41" t="n">
        <f aca="false">IF(AND(Tasks[[#This Row],[Task Name]]&lt;&gt;"",NOT(Tasks[[#This Row],[_IsSummary]])),1,0)</f>
        <v>0</v>
      </c>
      <c r="BP169" s="41" t="n">
        <f aca="false">IF(N(Tasks[[#This Row],[Pred1 UID]])=0,0,IFERROR(MATCH(Tasks[[#This Row],[Pred1 UID]],Tasks[UID],0),-1))</f>
        <v>0</v>
      </c>
      <c r="BQ169" s="41" t="n">
        <f aca="false">IF(N(Tasks[[#This Row],[Pred2 UID]])=0,0,IFERROR(MATCH(Tasks[[#This Row],[Pred2 UID]],Tasks[UID],0),-1))</f>
        <v>0</v>
      </c>
      <c r="BR169"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69" s="100" t="str">
        <f aca="false">IF(NOT(Tasks[[#This Row],[_IsLeaf]]=1),"",IF(N(Tasks[[#This Row],[Duration]])&lt;=0,Tasks[[#This Row],[_LeafCalcStart]],WORKDAY.INTL(Tasks[[#This Row],[_LeafCalcStart]],Tasks[[#This Row],[Duration]]-1,WorkWeek,Holidays)))</f>
        <v/>
      </c>
      <c r="BT169"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69"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69" s="41" t="n">
        <f aca="false">IF(NOT(Tasks[[#This Row],[_IsLeaf]]=1),0,IF(N(Tasks[[#This Row],[Actual Finish]])&gt;0,1,MIN(1,N(Tasks[[#This Row],[% Complete]]))))</f>
        <v>0</v>
      </c>
      <c r="BW169" s="41" t="n">
        <f aca="false">IF(OR(NOT(Tasks[[#This Row],[_IsLeaf]]=1),Tasks[[#This Row],[Resource]]=""),0,N(Tasks[[#This Row],[Duration]])*HoursPerDay*IF(Tasks[[#This Row],[Units]]="",DefaultUnits,Tasks[[#This Row],[Units]]))</f>
        <v>0</v>
      </c>
      <c r="BX169" s="41" t="n">
        <f aca="false">IF(Tasks[[#This Row],[_LeafWork]]=0,0,Tasks[[#This Row],[_LeafWork]]*IFERROR(INDEX(res_Rate,MATCH(Tasks[[#This Row],[Resource]],res_Name,0)),0))</f>
        <v>0</v>
      </c>
      <c r="BY16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6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6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6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69" s="41" t="n">
        <f aca="false">IF(NOT(Tasks[[#This Row],[_IsLeaf]]=1),0,MAX(_xlfn.MAXIFS(Tasks[_Row],Tasks[Pred1 UID],Tasks[[#This Row],[UID]]),_xlfn.MAXIFS(Tasks[_Row],Tasks[Pred2 UID],Tasks[[#This Row],[UID]])))</f>
        <v>0</v>
      </c>
      <c r="CD169"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69" s="100" t="str">
        <f aca="false">IF(NOT(Tasks[[#This Row],[_IsLeaf]]=1),"",MIN(ProjectFinish,IF(N(Tasks[[#This Row],[Deadline]])&gt;0,Tasks[[#This Row],[Deadline]],2958465),Tasks[[#This Row],[_SuccessorFinishLimit]]))</f>
        <v/>
      </c>
      <c r="CF169" s="100" t="str">
        <f aca="false">IF(NOT(Tasks[[#This Row],[_IsLeaf]]=1),"",IF(N(Tasks[[#This Row],[Duration]])&lt;=0,Tasks[[#This Row],[_LeafLateFinish]],WORKDAY.INTL(Tasks[[#This Row],[_LeafLateFinish]],-(Tasks[[#This Row],[Duration]]-1),WorkWeek,Holidays)))</f>
        <v/>
      </c>
      <c r="CG16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69" s="99" t="b">
        <f aca="false">AND(Tasks[[#This Row],[_IsLeaf]]=1,Tasks[[#This Row],[_LeafProgress]]&lt;1,N(Tasks[[#This Row],[_LeafTotalSlack]])&lt;=CriticalSlackDays)</f>
        <v>0</v>
      </c>
      <c r="CI169" s="100" t="str">
        <f aca="false">IF(Tasks[[#This Row],[Task Name]]="","",IF(Tasks[[#This Row],[_IsSummary]],MIN(INDEX(Tasks[_LeafCalcStart],Tasks[[#This Row],[_Row]]+1):INDEX(Tasks[_LeafCalcStart],Tasks[[#This Row],[_Row]]+Tasks[[#This Row],[_Descendants]])),Tasks[[#This Row],[_LeafCalcStart]]))</f>
        <v/>
      </c>
      <c r="CJ169" s="100" t="str">
        <f aca="false">IF(Tasks[[#This Row],[Task Name]]="","",IF(Tasks[[#This Row],[_IsSummary]],MAX(INDEX(Tasks[_LeafCalcFinish],Tasks[[#This Row],[_Row]]+1):INDEX(Tasks[_LeafCalcFinish],Tasks[[#This Row],[_Row]]+Tasks[[#This Row],[_Descendants]])),Tasks[[#This Row],[_LeafCalcFinish]]))</f>
        <v/>
      </c>
      <c r="CK16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6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69"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69"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69"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69"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69" s="41" t="n">
        <f aca="false">IF(AND(Tasks[[#This Row],[_IsLeaf]]=1,Tasks[[#This Row],[_LeafWork]]&gt;0),NETWORKDAYS.INTL(ProjectStart,Tasks[[#This Row],[_LeafFcstStart]],WorkWeek,Holidays),0)</f>
        <v>0</v>
      </c>
      <c r="CR169" s="41" t="n">
        <f aca="false">IF(AND(Tasks[[#This Row],[_IsLeaf]]=1,Tasks[[#This Row],[_LeafWork]]&gt;0),MAX(Tasks[[#This Row],[_StartWorkday]],NETWORKDAYS.INTL(ProjectStart,Tasks[[#This Row],[_LeafFcstFinish]],WorkWeek,Holidays)),0)</f>
        <v>0</v>
      </c>
      <c r="CS169" s="41" t="n">
        <f aca="false">IF(AND(Tasks[[#This Row],[_IsLeaf]]=1,Tasks[[#This Row],[_LeafWork]]&gt;0),Tasks[[#This Row],[_LeafWork]]/(Tasks[[#This Row],[_FinishWorkday]]-Tasks[[#This Row],[_StartWorkday]]+1),0)</f>
        <v>0</v>
      </c>
      <c r="CT169" s="41" t="n">
        <f aca="false">Tasks[[#This Row],[_WorkPerWorkday]]*(Tasks[[#This Row],[_StartWorkday]]-1)</f>
        <v>-0</v>
      </c>
      <c r="CU169" s="41" t="n">
        <f aca="false">IF(Tasks[[#This Row],[_IsLeaf]]=1,MAX(N(Tasks[[#This Row],[Duration]]),0.1),0)</f>
        <v>0</v>
      </c>
      <c r="CV169" s="41" t="n">
        <f aca="false">Tasks[[#This Row],[_WeightDur]]*Tasks[[#This Row],[_LeafProgress]]</f>
        <v>0</v>
      </c>
      <c r="CW16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6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6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6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69" s="41" t="str">
        <f aca="false">IF(Tasks[[#This Row],[Task Name]]="","",Tasks[[#This Row],[_Pred1UIDText]]&amp;IF(AND(Tasks[[#This Row],[_Pred1UIDText]]&lt;&gt;"",Tasks[[#This Row],[_Pred2UIDText]]&lt;&gt;""),",","")&amp;Tasks[[#This Row],[_Pred2UIDText]])</f>
        <v/>
      </c>
      <c r="DB169" s="41" t="str">
        <f aca="false">IF(AND(Tasks[[#This Row],[_IsLeaf]]=1,N(Tasks[[#This Row],[Duration]])=0,Tasks[[#This Row],[_LeafProgress]]&lt;1),Tasks[[#This Row],[_LeafFcstFinish]]+Tasks[[#This Row],[_Row]]/100000,"")</f>
        <v/>
      </c>
      <c r="DC16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69" s="41" t="n">
        <f aca="false">IF(NOT(Tasks[[#This Row],[_IsLeaf]]=1),0,IF(Tasks[[#This Row],[Baseline Cost]]="",Tasks[[#This Row],[_LeafCost]],N(Tasks[[#This Row],[Baseline Cost]])))</f>
        <v>0</v>
      </c>
      <c r="DE169" s="41" t="n">
        <f aca="false">Tasks[[#This Row],[_LeafBudget]]*Tasks[[#This Row],[_PlannedPct]]</f>
        <v>0</v>
      </c>
      <c r="DF169" s="41" t="n">
        <f aca="false">Tasks[[#This Row],[_LeafBudget]]*Tasks[[#This Row],[_LeafProgress]]</f>
        <v>0</v>
      </c>
      <c r="DG169" s="41" t="n">
        <f aca="false">IF(NOT(Tasks[[#This Row],[_IsLeaf]]=1),0,IF(Tasks[[#This Row],[Actual Cost]]="",Tasks[[#This Row],[_LeafCost]]*Tasks[[#This Row],[_LeafProgress]],N(Tasks[[#This Row],[Actual Cost]])))</f>
        <v>0</v>
      </c>
      <c r="DH169" s="41" t="str">
        <f aca="false">IF(Tasks[[#This Row],[Task Name]]="","",LEFT(Tasks[[#This Row],[WBS]],FIND(".",Tasks[[#This Row],[WBS]]&amp;".")-1))</f>
        <v/>
      </c>
      <c r="DI169" s="41" t="str">
        <f aca="false">IF(AND(Tasks[[#This Row],[Task Name]]&lt;&gt;"",Tasks[[#This Row],[_Level]]=1),Tasks[[#This Row],[_Row]],"")</f>
        <v/>
      </c>
      <c r="DJ169" s="41" t="str">
        <f aca="false">IF(AND(Tasks[[#This Row],[_IsLeaf]]=1,N(Tasks[[#This Row],[Duration]])=0),Tasks[[#This Row],[Planned Finish]]+Tasks[[#This Row],[_Row]]/100000,"")</f>
        <v/>
      </c>
      <c r="DK169" s="41" t="str">
        <f aca="false">IF(AND(Tasks[[#This Row],[_IsLeaf]]=1,Tasks[[#This Row],[_LeafProgress]]&lt;1,OR(N(Tasks[[#This Row],[Finish Var]])&gt;0,Tasks[[#This Row],[Status]]="Late Start")),MAX(0,Tasks[[#This Row],[Finish Var]])+1-Tasks[[#This Row],[_Row]]/1000000,"")</f>
        <v/>
      </c>
      <c r="DL169" s="41" t="str">
        <f aca="false">IF(AND(Tasks[[#This Row],[_IsLeaf]]=1,N(Tasks[[#This Row],[Actual Start]])=0,Tasks[[#This Row],[_LeafFcstStart]]&gt;=StatusDate,Tasks[[#This Row],[_LeafFcstStart]]&lt;=LookaheadEnd),Tasks[[#This Row],[_LeafFcstStart]]+Tasks[[#This Row],[_Row]]/100000,"")</f>
        <v/>
      </c>
      <c r="DM169" s="41" t="str">
        <f aca="false">IF(AND(Tasks[[#This Row],[_IsLeaf]]=1,Tasks[[#This Row],[_LeafProgress]]&lt;1,Tasks[[#This Row],[_LeafFcstFinish]]&gt;=StatusDate,Tasks[[#This Row],[_LeafFcstFinish]]&lt;=LookaheadEnd),Tasks[[#This Row],[_LeafFcstFinish]]+Tasks[[#This Row],[_Row]]/100000,"")</f>
        <v/>
      </c>
      <c r="DN169" s="41" t="str">
        <f aca="false">IF(Tasks[[#This Row],[_LeafCritical]],Tasks[[#This Row],[_LeafFcstStart]]+Tasks[[#This Row],[_Row]]/100000,"")</f>
        <v/>
      </c>
      <c r="DO169" s="41" t="n">
        <f aca="false">Tasks[[#This Row],[_LeafWork]]*Tasks[[#This Row],[_LeafProgress]]</f>
        <v>0</v>
      </c>
      <c r="DP169" s="100" t="str">
        <f aca="false">IF(AND(Tasks[[#This Row],[_IsLeaf]]=1,Tasks[[#This Row],[_LeafProgress]]&gt;=1),IF(N(Tasks[[#This Row],[Actual Finish]])&gt;0,Tasks[[#This Row],[Actual Finish]],Tasks[[#This Row],[_LeafFcstFinish]]),"")</f>
        <v/>
      </c>
      <c r="DQ169" s="41" t="n">
        <f aca="false">IF(Tasks[[#This Row],[_IsLeaf]]=1,N(Tasks[[#This Row],[Story Points]]),0)</f>
        <v>0</v>
      </c>
      <c r="DR169" s="41" t="str">
        <f aca="false">IF(AND(Tasks[[#This Row],[_IsLeaf]]=1,CurrentSprint&lt;&gt;"",Tasks[[#This Row],[Sprint]]=CurrentSprint),Tasks[[#This Row],[_Row]],"")</f>
        <v/>
      </c>
    </row>
    <row r="170" customFormat="false" ht="15" hidden="false" customHeight="false" outlineLevel="0" collapsed="false">
      <c r="A170" s="28" t="str">
        <f aca="false">IF(Tasks[[#This Row],[Task Name]]="","",COUNTA(Tasks[[#Headers],[Task Name]]:Tasks[[#This Row],[Task Name]])-1)</f>
        <v/>
      </c>
      <c r="B170" s="29" t="n">
        <v>165</v>
      </c>
      <c r="C17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0" s="29"/>
      <c r="E170" s="30"/>
      <c r="F170" s="29"/>
      <c r="G170" s="29"/>
      <c r="H170" s="29"/>
      <c r="I170" s="29"/>
      <c r="J170" s="29"/>
      <c r="K170" s="29"/>
      <c r="L170" s="29"/>
      <c r="M170" s="29"/>
      <c r="N170" s="73"/>
      <c r="O170" s="73"/>
      <c r="P170" s="25" t="str">
        <f aca="false">IF(Tasks[[#This Row],[Task Name]]="","",IF(N(Tasks[[#This Row],[Baseline Start]])&gt;0,Tasks[[#This Row],[Baseline Start]],Tasks[[#This Row],[_CalcStart]]))</f>
        <v/>
      </c>
      <c r="Q170" s="25" t="str">
        <f aca="false">IF(Tasks[[#This Row],[Task Name]]="","",IF(N(Tasks[[#This Row],[Baseline Finish]])&gt;0,Tasks[[#This Row],[Baseline Finish]],Tasks[[#This Row],[_CalcFinish]]))</f>
        <v/>
      </c>
      <c r="R170" s="73"/>
      <c r="S170" s="73"/>
      <c r="T170" s="25" t="str">
        <f aca="false">IF(Tasks[[#This Row],[Task Name]]="","",IF(Tasks[[#This Row],[_IsSummary]],MIN(INDEX(Tasks[_LeafFcstStart],Tasks[[#This Row],[_Row]]+1):INDEX(Tasks[_LeafFcstStart],Tasks[[#This Row],[_Row]]+Tasks[[#This Row],[_Descendants]])),Tasks[[#This Row],[_LeafFcstStart]]))</f>
        <v/>
      </c>
      <c r="U170" s="25" t="str">
        <f aca="false">IF(Tasks[[#This Row],[Task Name]]="","",IF(Tasks[[#This Row],[_IsSummary]],MAX(INDEX(Tasks[_LeafFcstFinish],Tasks[[#This Row],[_Row]]+1):INDEX(Tasks[_LeafFcstFinish],Tasks[[#This Row],[_Row]]+Tasks[[#This Row],[_Descendants]])),Tasks[[#This Row],[_LeafFcstFinish]]))</f>
        <v/>
      </c>
      <c r="V17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7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0" s="25" t="str">
        <f aca="false">IF(Tasks[[#This Row],[Task Name]]="","",IF(Tasks[[#This Row],[_IsSummary]],MIN(INDEX(Tasks[_LeafLateStart],Tasks[[#This Row],[_Row]]+1):INDEX(Tasks[_LeafLateStart],Tasks[[#This Row],[_Row]]+Tasks[[#This Row],[_Descendants]])),Tasks[[#This Row],[_LeafLateStart]]))</f>
        <v/>
      </c>
      <c r="Y170" s="25" t="str">
        <f aca="false">IF(Tasks[[#This Row],[Task Name]]="","",IF(Tasks[[#This Row],[_IsSummary]],MAX(INDEX(Tasks[_LeafLateFinish],Tasks[[#This Row],[_Row]]+1):INDEX(Tasks[_LeafLateFinish],Tasks[[#This Row],[_Row]]+Tasks[[#This Row],[_Descendants]])),Tasks[[#This Row],[_LeafLateFinish]]))</f>
        <v/>
      </c>
      <c r="Z170" s="43" t="str">
        <f aca="false">IF(Tasks[[#This Row],[Task Name]]="","",IF(Tasks[[#This Row],[_IsSummary]],MIN(INDEX(Tasks[_LeafTotalSlack],Tasks[[#This Row],[_Row]]+1):INDEX(Tasks[_LeafTotalSlack],Tasks[[#This Row],[_Row]]+Tasks[[#This Row],[_Descendants]])),Tasks[[#This Row],[_LeafTotalSlack]]))</f>
        <v/>
      </c>
      <c r="AA17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0" s="28" t="str">
        <f aca="false">IF(Tasks[[#This Row],[Task Name]]="","",IF(IF(Tasks[[#This Row],[_IsSummary]],COUNTIF(INDEX(Tasks[_LeafCritical],Tasks[[#This Row],[_Row]]+1):INDEX(Tasks[_LeafCritical],Tasks[[#This Row],[_Row]]+Tasks[[#This Row],[_Descendants]]),TRUE())&gt;0,Tasks[[#This Row],[_LeafCritical]]),"Yes",""))</f>
        <v/>
      </c>
      <c r="AC17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0" s="24" t="str">
        <f aca="false">IF(Tasks[[#This Row],[Task Name]]="","",TRIM(IF(Tasks[[#This Row],[_Pred1Problem]]&lt;&gt;"","Pred 1: "&amp;Tasks[[#This Row],[_Pred1Problem]]&amp;". ","")&amp;IF(Tasks[[#This Row],[_Pred2Problem]]&lt;&gt;"","Pred 2: "&amp;Tasks[[#This Row],[_Pred2Problem]]&amp;".","")))</f>
        <v/>
      </c>
      <c r="AE170" s="88"/>
      <c r="AF170"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0" s="28" t="str">
        <f aca="false">IF(Tasks[[#This Row],[Task Name]]="","",IF(Tasks[[#This Row],[Progress]]&gt;=1,"Complete",IF(OR(N(Tasks[[#This Row],[Actual Start]])&gt;0,Tasks[[#This Row],[Progress]]&gt;0),IF(Tasks[[#This Row],[Finish Var]]&gt;0,"Behind","In Progress"),IF(Tasks[[#This Row],[Planned Start]]&lt;StatusDate,"Late Start","Not Started"))))</f>
        <v/>
      </c>
      <c r="AH170" s="30"/>
      <c r="AI170" s="88"/>
      <c r="AJ170" s="95" t="str">
        <f aca="false">IF(Tasks[[#This Row],[Task Name]]="","",IF(Tasks[[#This Row],[_IsSummary]],SUM(INDEX(Tasks[_LeafWork],Tasks[[#This Row],[_Row]]+1):INDEX(Tasks[_LeafWork],Tasks[[#This Row],[_Row]]+Tasks[[#This Row],[_Descendants]])),Tasks[[#This Row],[_LeafWork]]))</f>
        <v/>
      </c>
      <c r="AK170" s="96" t="str">
        <f aca="false">IF(Tasks[[#This Row],[Task Name]]="","",IF(Tasks[[#This Row],[_IsSummary]],SUM(INDEX(Tasks[_LeafCost],Tasks[[#This Row],[_Row]]+1):INDEX(Tasks[_LeafCost],Tasks[[#This Row],[_Row]]+Tasks[[#This Row],[_Descendants]])),Tasks[[#This Row],[_LeafCost]]))</f>
        <v/>
      </c>
      <c r="AL170" s="97"/>
      <c r="AM170" s="29"/>
      <c r="AN17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70" s="82"/>
      <c r="AP170" s="24" t="str">
        <f aca="false">IF(Tasks[[#This Row],[Task Name]]="","",Tasks[[#This Row],[_Pred1IDText]]&amp;IF(AND(Tasks[[#This Row],[_Pred1IDText]]&lt;&gt;"",Tasks[[#This Row],[_Pred2IDText]]&lt;&gt;""),",","")&amp;Tasks[[#This Row],[_Pred2IDText]])</f>
        <v/>
      </c>
      <c r="AQ170" s="30"/>
      <c r="AR170" s="25" t="str">
        <f aca="false">IF(Tasks[[#This Row],[Task Name]]="","",Tasks[[#This Row],[Forecast Start]])</f>
        <v/>
      </c>
      <c r="AS170" s="25" t="str">
        <f aca="false">IF(Tasks[[#This Row],[Task Name]]="","",Tasks[[#This Row],[Forecast Finish]])</f>
        <v/>
      </c>
      <c r="AT170" s="28" t="str">
        <f aca="false">IF(Tasks[[#This Row],[Task Name]]="","",IF(Tasks[[#This Row],[_IsSummary]],NETWORKDAYS.INTL(Tasks[[#This Row],[Forecast Start]],Tasks[[#This Row],[Forecast Finish]],WorkWeek,Holidays),N(Tasks[[#This Row],[Duration]])))</f>
        <v/>
      </c>
      <c r="AU170" s="95" t="str">
        <f aca="false">IF(Tasks[[#This Row],[Task Name]]="","",Tasks[[#This Row],[Work]])</f>
        <v/>
      </c>
      <c r="AV170" s="96" t="str">
        <f aca="false">IF(Tasks[[#This Row],[Task Name]]="","",Tasks[[#This Row],[Cost]])</f>
        <v/>
      </c>
      <c r="AW170" s="73"/>
      <c r="AX170" s="73"/>
      <c r="AY170" s="29"/>
      <c r="AZ170" s="98"/>
      <c r="BA170" s="97"/>
      <c r="BB170" s="28" t="str">
        <f aca="false">IF(OR(Tasks[[#This Row],[Task Name]]="",Tasks[[#This Row],[Baseline Duration]]=""),"",Tasks[[#This Row],[BL Source Duration]]-N(Tasks[[#This Row],[Baseline Duration]]))</f>
        <v/>
      </c>
      <c r="BC170" s="95" t="str">
        <f aca="false">IF(OR(Tasks[[#This Row],[Task Name]]="",Tasks[[#This Row],[Baseline Work]]=""),"",Tasks[[#This Row],[Work]]-N(Tasks[[#This Row],[Baseline Work]]))</f>
        <v/>
      </c>
      <c r="BD170" s="96" t="str">
        <f aca="false">IF(OR(Tasks[[#This Row],[Task Name]]="",Tasks[[#This Row],[Baseline Cost]]=""),"",Tasks[[#This Row],[Cost]]-N(Tasks[[#This Row],[Baseline Cost]]))</f>
        <v/>
      </c>
      <c r="BE170" s="96" t="str">
        <f aca="false">IF(Tasks[[#This Row],[Task Name]]="","",IF(Tasks[[#This Row],[_IsSummary]],SUM(INDEX(Tasks[_LeafBudget],Tasks[[#This Row],[_Row]]+1):INDEX(Tasks[_LeafBudget],Tasks[[#This Row],[_Row]]+Tasks[[#This Row],[_Descendants]])),Tasks[[#This Row],[_LeafBudget]]))</f>
        <v/>
      </c>
      <c r="BF170" s="96" t="str">
        <f aca="false">IF(Tasks[[#This Row],[Task Name]]="","",IF(Tasks[[#This Row],[_IsSummary]],SUM(INDEX(Tasks[_LeafPV],Tasks[[#This Row],[_Row]]+1):INDEX(Tasks[_LeafPV],Tasks[[#This Row],[_Row]]+Tasks[[#This Row],[_Descendants]])),Tasks[[#This Row],[_LeafPV]]))</f>
        <v/>
      </c>
      <c r="BG170" s="96" t="str">
        <f aca="false">IF(Tasks[[#This Row],[Task Name]]="","",IF(Tasks[[#This Row],[_IsSummary]],SUM(INDEX(Tasks[_LeafEV],Tasks[[#This Row],[_Row]]+1):INDEX(Tasks[_LeafEV],Tasks[[#This Row],[_Row]]+Tasks[[#This Row],[_Descendants]])),Tasks[[#This Row],[_LeafEV]]))</f>
        <v/>
      </c>
      <c r="BH170" s="96" t="str">
        <f aca="false">IF(Tasks[[#This Row],[Task Name]]="","",IF(Tasks[[#This Row],[_IsSummary]],SUM(INDEX(Tasks[_LeafAC],Tasks[[#This Row],[_Row]]+1):INDEX(Tasks[_LeafAC],Tasks[[#This Row],[_Row]]+Tasks[[#This Row],[_Descendants]])),Tasks[[#This Row],[_LeafAC]]))</f>
        <v/>
      </c>
      <c r="BI170" s="41" t="str">
        <f aca="false">IF(Tasks[[#This Row],[Task Name]]="","",MAX(1,N(Tasks[[#This Row],[Level]])))</f>
        <v/>
      </c>
      <c r="BJ170" s="41" t="n">
        <f aca="false">ROW()-ROW(Tasks[[#Headers],[ID]])</f>
        <v>165</v>
      </c>
      <c r="BK170" s="41" t="n">
        <f aca="false">IF(OR(Tasks[[#This Row],[Task Name]]="",Tasks[[#This Row],[_Level]]&lt;=1),0,IFERROR(LOOKUP(2,1/(Tasks[[#Headers],[_Level]]:Tasks[[#This Row],[_Level]]=Tasks[[#This Row],[_Level]]-1),ROW(Tasks[[#Headers],[_Level]]:Tasks[[#This Row],[_Level]])),0))</f>
        <v>0</v>
      </c>
      <c r="BL170" s="41" t="n">
        <f aca="false">IFERROR(N(INDEX(Tasks[_Level],Tasks[[#This Row],[_Row]]+1)),0)</f>
        <v>0</v>
      </c>
      <c r="BM170" s="99" t="b">
        <f aca="false">AND(Tasks[[#This Row],[Task Name]]&lt;&gt;"",Tasks[[#This Row],[_NextLevel]]&gt;Tasks[[#This Row],[_Level]])</f>
        <v>0</v>
      </c>
      <c r="BN170" s="41" t="n">
        <f aca="false">IF(Tasks[[#This Row],[_IsSummary]],COUNTIF(Tasks[WBS],Tasks[[#This Row],[WBS]]&amp;".*"),0)</f>
        <v>0</v>
      </c>
      <c r="BO170" s="41" t="n">
        <f aca="false">IF(AND(Tasks[[#This Row],[Task Name]]&lt;&gt;"",NOT(Tasks[[#This Row],[_IsSummary]])),1,0)</f>
        <v>0</v>
      </c>
      <c r="BP170" s="41" t="n">
        <f aca="false">IF(N(Tasks[[#This Row],[Pred1 UID]])=0,0,IFERROR(MATCH(Tasks[[#This Row],[Pred1 UID]],Tasks[UID],0),-1))</f>
        <v>0</v>
      </c>
      <c r="BQ170" s="41" t="n">
        <f aca="false">IF(N(Tasks[[#This Row],[Pred2 UID]])=0,0,IFERROR(MATCH(Tasks[[#This Row],[Pred2 UID]],Tasks[UID],0),-1))</f>
        <v>0</v>
      </c>
      <c r="BR170"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70" s="100" t="str">
        <f aca="false">IF(NOT(Tasks[[#This Row],[_IsLeaf]]=1),"",IF(N(Tasks[[#This Row],[Duration]])&lt;=0,Tasks[[#This Row],[_LeafCalcStart]],WORKDAY.INTL(Tasks[[#This Row],[_LeafCalcStart]],Tasks[[#This Row],[Duration]]-1,WorkWeek,Holidays)))</f>
        <v/>
      </c>
      <c r="BT170"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70"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70" s="41" t="n">
        <f aca="false">IF(NOT(Tasks[[#This Row],[_IsLeaf]]=1),0,IF(N(Tasks[[#This Row],[Actual Finish]])&gt;0,1,MIN(1,N(Tasks[[#This Row],[% Complete]]))))</f>
        <v>0</v>
      </c>
      <c r="BW170" s="41" t="n">
        <f aca="false">IF(OR(NOT(Tasks[[#This Row],[_IsLeaf]]=1),Tasks[[#This Row],[Resource]]=""),0,N(Tasks[[#This Row],[Duration]])*HoursPerDay*IF(Tasks[[#This Row],[Units]]="",DefaultUnits,Tasks[[#This Row],[Units]]))</f>
        <v>0</v>
      </c>
      <c r="BX170" s="41" t="n">
        <f aca="false">IF(Tasks[[#This Row],[_LeafWork]]=0,0,Tasks[[#This Row],[_LeafWork]]*IFERROR(INDEX(res_Rate,MATCH(Tasks[[#This Row],[Resource]],res_Name,0)),0))</f>
        <v>0</v>
      </c>
      <c r="BY17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7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7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7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70" s="41" t="n">
        <f aca="false">IF(NOT(Tasks[[#This Row],[_IsLeaf]]=1),0,MAX(_xlfn.MAXIFS(Tasks[_Row],Tasks[Pred1 UID],Tasks[[#This Row],[UID]]),_xlfn.MAXIFS(Tasks[_Row],Tasks[Pred2 UID],Tasks[[#This Row],[UID]])))</f>
        <v>0</v>
      </c>
      <c r="CD170"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70" s="100" t="str">
        <f aca="false">IF(NOT(Tasks[[#This Row],[_IsLeaf]]=1),"",MIN(ProjectFinish,IF(N(Tasks[[#This Row],[Deadline]])&gt;0,Tasks[[#This Row],[Deadline]],2958465),Tasks[[#This Row],[_SuccessorFinishLimit]]))</f>
        <v/>
      </c>
      <c r="CF170" s="100" t="str">
        <f aca="false">IF(NOT(Tasks[[#This Row],[_IsLeaf]]=1),"",IF(N(Tasks[[#This Row],[Duration]])&lt;=0,Tasks[[#This Row],[_LeafLateFinish]],WORKDAY.INTL(Tasks[[#This Row],[_LeafLateFinish]],-(Tasks[[#This Row],[Duration]]-1),WorkWeek,Holidays)))</f>
        <v/>
      </c>
      <c r="CG17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70" s="99" t="b">
        <f aca="false">AND(Tasks[[#This Row],[_IsLeaf]]=1,Tasks[[#This Row],[_LeafProgress]]&lt;1,N(Tasks[[#This Row],[_LeafTotalSlack]])&lt;=CriticalSlackDays)</f>
        <v>0</v>
      </c>
      <c r="CI170" s="100" t="str">
        <f aca="false">IF(Tasks[[#This Row],[Task Name]]="","",IF(Tasks[[#This Row],[_IsSummary]],MIN(INDEX(Tasks[_LeafCalcStart],Tasks[[#This Row],[_Row]]+1):INDEX(Tasks[_LeafCalcStart],Tasks[[#This Row],[_Row]]+Tasks[[#This Row],[_Descendants]])),Tasks[[#This Row],[_LeafCalcStart]]))</f>
        <v/>
      </c>
      <c r="CJ170" s="100" t="str">
        <f aca="false">IF(Tasks[[#This Row],[Task Name]]="","",IF(Tasks[[#This Row],[_IsSummary]],MAX(INDEX(Tasks[_LeafCalcFinish],Tasks[[#This Row],[_Row]]+1):INDEX(Tasks[_LeafCalcFinish],Tasks[[#This Row],[_Row]]+Tasks[[#This Row],[_Descendants]])),Tasks[[#This Row],[_LeafCalcFinish]]))</f>
        <v/>
      </c>
      <c r="CK17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7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70"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70"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70"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70"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70" s="41" t="n">
        <f aca="false">IF(AND(Tasks[[#This Row],[_IsLeaf]]=1,Tasks[[#This Row],[_LeafWork]]&gt;0),NETWORKDAYS.INTL(ProjectStart,Tasks[[#This Row],[_LeafFcstStart]],WorkWeek,Holidays),0)</f>
        <v>0</v>
      </c>
      <c r="CR170" s="41" t="n">
        <f aca="false">IF(AND(Tasks[[#This Row],[_IsLeaf]]=1,Tasks[[#This Row],[_LeafWork]]&gt;0),MAX(Tasks[[#This Row],[_StartWorkday]],NETWORKDAYS.INTL(ProjectStart,Tasks[[#This Row],[_LeafFcstFinish]],WorkWeek,Holidays)),0)</f>
        <v>0</v>
      </c>
      <c r="CS170" s="41" t="n">
        <f aca="false">IF(AND(Tasks[[#This Row],[_IsLeaf]]=1,Tasks[[#This Row],[_LeafWork]]&gt;0),Tasks[[#This Row],[_LeafWork]]/(Tasks[[#This Row],[_FinishWorkday]]-Tasks[[#This Row],[_StartWorkday]]+1),0)</f>
        <v>0</v>
      </c>
      <c r="CT170" s="41" t="n">
        <f aca="false">Tasks[[#This Row],[_WorkPerWorkday]]*(Tasks[[#This Row],[_StartWorkday]]-1)</f>
        <v>-0</v>
      </c>
      <c r="CU170" s="41" t="n">
        <f aca="false">IF(Tasks[[#This Row],[_IsLeaf]]=1,MAX(N(Tasks[[#This Row],[Duration]]),0.1),0)</f>
        <v>0</v>
      </c>
      <c r="CV170" s="41" t="n">
        <f aca="false">Tasks[[#This Row],[_WeightDur]]*Tasks[[#This Row],[_LeafProgress]]</f>
        <v>0</v>
      </c>
      <c r="CW17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7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7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7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70" s="41" t="str">
        <f aca="false">IF(Tasks[[#This Row],[Task Name]]="","",Tasks[[#This Row],[_Pred1UIDText]]&amp;IF(AND(Tasks[[#This Row],[_Pred1UIDText]]&lt;&gt;"",Tasks[[#This Row],[_Pred2UIDText]]&lt;&gt;""),",","")&amp;Tasks[[#This Row],[_Pred2UIDText]])</f>
        <v/>
      </c>
      <c r="DB170" s="41" t="str">
        <f aca="false">IF(AND(Tasks[[#This Row],[_IsLeaf]]=1,N(Tasks[[#This Row],[Duration]])=0,Tasks[[#This Row],[_LeafProgress]]&lt;1),Tasks[[#This Row],[_LeafFcstFinish]]+Tasks[[#This Row],[_Row]]/100000,"")</f>
        <v/>
      </c>
      <c r="DC17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70" s="41" t="n">
        <f aca="false">IF(NOT(Tasks[[#This Row],[_IsLeaf]]=1),0,IF(Tasks[[#This Row],[Baseline Cost]]="",Tasks[[#This Row],[_LeafCost]],N(Tasks[[#This Row],[Baseline Cost]])))</f>
        <v>0</v>
      </c>
      <c r="DE170" s="41" t="n">
        <f aca="false">Tasks[[#This Row],[_LeafBudget]]*Tasks[[#This Row],[_PlannedPct]]</f>
        <v>0</v>
      </c>
      <c r="DF170" s="41" t="n">
        <f aca="false">Tasks[[#This Row],[_LeafBudget]]*Tasks[[#This Row],[_LeafProgress]]</f>
        <v>0</v>
      </c>
      <c r="DG170" s="41" t="n">
        <f aca="false">IF(NOT(Tasks[[#This Row],[_IsLeaf]]=1),0,IF(Tasks[[#This Row],[Actual Cost]]="",Tasks[[#This Row],[_LeafCost]]*Tasks[[#This Row],[_LeafProgress]],N(Tasks[[#This Row],[Actual Cost]])))</f>
        <v>0</v>
      </c>
      <c r="DH170" s="41" t="str">
        <f aca="false">IF(Tasks[[#This Row],[Task Name]]="","",LEFT(Tasks[[#This Row],[WBS]],FIND(".",Tasks[[#This Row],[WBS]]&amp;".")-1))</f>
        <v/>
      </c>
      <c r="DI170" s="41" t="str">
        <f aca="false">IF(AND(Tasks[[#This Row],[Task Name]]&lt;&gt;"",Tasks[[#This Row],[_Level]]=1),Tasks[[#This Row],[_Row]],"")</f>
        <v/>
      </c>
      <c r="DJ170" s="41" t="str">
        <f aca="false">IF(AND(Tasks[[#This Row],[_IsLeaf]]=1,N(Tasks[[#This Row],[Duration]])=0),Tasks[[#This Row],[Planned Finish]]+Tasks[[#This Row],[_Row]]/100000,"")</f>
        <v/>
      </c>
      <c r="DK170" s="41" t="str">
        <f aca="false">IF(AND(Tasks[[#This Row],[_IsLeaf]]=1,Tasks[[#This Row],[_LeafProgress]]&lt;1,OR(N(Tasks[[#This Row],[Finish Var]])&gt;0,Tasks[[#This Row],[Status]]="Late Start")),MAX(0,Tasks[[#This Row],[Finish Var]])+1-Tasks[[#This Row],[_Row]]/1000000,"")</f>
        <v/>
      </c>
      <c r="DL170" s="41" t="str">
        <f aca="false">IF(AND(Tasks[[#This Row],[_IsLeaf]]=1,N(Tasks[[#This Row],[Actual Start]])=0,Tasks[[#This Row],[_LeafFcstStart]]&gt;=StatusDate,Tasks[[#This Row],[_LeafFcstStart]]&lt;=LookaheadEnd),Tasks[[#This Row],[_LeafFcstStart]]+Tasks[[#This Row],[_Row]]/100000,"")</f>
        <v/>
      </c>
      <c r="DM170" s="41" t="str">
        <f aca="false">IF(AND(Tasks[[#This Row],[_IsLeaf]]=1,Tasks[[#This Row],[_LeafProgress]]&lt;1,Tasks[[#This Row],[_LeafFcstFinish]]&gt;=StatusDate,Tasks[[#This Row],[_LeafFcstFinish]]&lt;=LookaheadEnd),Tasks[[#This Row],[_LeafFcstFinish]]+Tasks[[#This Row],[_Row]]/100000,"")</f>
        <v/>
      </c>
      <c r="DN170" s="41" t="str">
        <f aca="false">IF(Tasks[[#This Row],[_LeafCritical]],Tasks[[#This Row],[_LeafFcstStart]]+Tasks[[#This Row],[_Row]]/100000,"")</f>
        <v/>
      </c>
      <c r="DO170" s="41" t="n">
        <f aca="false">Tasks[[#This Row],[_LeafWork]]*Tasks[[#This Row],[_LeafProgress]]</f>
        <v>0</v>
      </c>
      <c r="DP170" s="100" t="str">
        <f aca="false">IF(AND(Tasks[[#This Row],[_IsLeaf]]=1,Tasks[[#This Row],[_LeafProgress]]&gt;=1),IF(N(Tasks[[#This Row],[Actual Finish]])&gt;0,Tasks[[#This Row],[Actual Finish]],Tasks[[#This Row],[_LeafFcstFinish]]),"")</f>
        <v/>
      </c>
      <c r="DQ170" s="41" t="n">
        <f aca="false">IF(Tasks[[#This Row],[_IsLeaf]]=1,N(Tasks[[#This Row],[Story Points]]),0)</f>
        <v>0</v>
      </c>
      <c r="DR170" s="41" t="str">
        <f aca="false">IF(AND(Tasks[[#This Row],[_IsLeaf]]=1,CurrentSprint&lt;&gt;"",Tasks[[#This Row],[Sprint]]=CurrentSprint),Tasks[[#This Row],[_Row]],"")</f>
        <v/>
      </c>
    </row>
    <row r="171" customFormat="false" ht="15" hidden="false" customHeight="false" outlineLevel="0" collapsed="false">
      <c r="A171" s="28" t="str">
        <f aca="false">IF(Tasks[[#This Row],[Task Name]]="","",COUNTA(Tasks[[#Headers],[Task Name]]:Tasks[[#This Row],[Task Name]])-1)</f>
        <v/>
      </c>
      <c r="B171" s="29" t="n">
        <v>166</v>
      </c>
      <c r="C17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1" s="29"/>
      <c r="E171" s="30"/>
      <c r="F171" s="29"/>
      <c r="G171" s="29"/>
      <c r="H171" s="29"/>
      <c r="I171" s="29"/>
      <c r="J171" s="29"/>
      <c r="K171" s="29"/>
      <c r="L171" s="29"/>
      <c r="M171" s="29"/>
      <c r="N171" s="73"/>
      <c r="O171" s="73"/>
      <c r="P171" s="25" t="str">
        <f aca="false">IF(Tasks[[#This Row],[Task Name]]="","",IF(N(Tasks[[#This Row],[Baseline Start]])&gt;0,Tasks[[#This Row],[Baseline Start]],Tasks[[#This Row],[_CalcStart]]))</f>
        <v/>
      </c>
      <c r="Q171" s="25" t="str">
        <f aca="false">IF(Tasks[[#This Row],[Task Name]]="","",IF(N(Tasks[[#This Row],[Baseline Finish]])&gt;0,Tasks[[#This Row],[Baseline Finish]],Tasks[[#This Row],[_CalcFinish]]))</f>
        <v/>
      </c>
      <c r="R171" s="73"/>
      <c r="S171" s="73"/>
      <c r="T171" s="25" t="str">
        <f aca="false">IF(Tasks[[#This Row],[Task Name]]="","",IF(Tasks[[#This Row],[_IsSummary]],MIN(INDEX(Tasks[_LeafFcstStart],Tasks[[#This Row],[_Row]]+1):INDEX(Tasks[_LeafFcstStart],Tasks[[#This Row],[_Row]]+Tasks[[#This Row],[_Descendants]])),Tasks[[#This Row],[_LeafFcstStart]]))</f>
        <v/>
      </c>
      <c r="U171" s="25" t="str">
        <f aca="false">IF(Tasks[[#This Row],[Task Name]]="","",IF(Tasks[[#This Row],[_IsSummary]],MAX(INDEX(Tasks[_LeafFcstFinish],Tasks[[#This Row],[_Row]]+1):INDEX(Tasks[_LeafFcstFinish],Tasks[[#This Row],[_Row]]+Tasks[[#This Row],[_Descendants]])),Tasks[[#This Row],[_LeafFcstFinish]]))</f>
        <v/>
      </c>
      <c r="V17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7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1" s="25" t="str">
        <f aca="false">IF(Tasks[[#This Row],[Task Name]]="","",IF(Tasks[[#This Row],[_IsSummary]],MIN(INDEX(Tasks[_LeafLateStart],Tasks[[#This Row],[_Row]]+1):INDEX(Tasks[_LeafLateStart],Tasks[[#This Row],[_Row]]+Tasks[[#This Row],[_Descendants]])),Tasks[[#This Row],[_LeafLateStart]]))</f>
        <v/>
      </c>
      <c r="Y171" s="25" t="str">
        <f aca="false">IF(Tasks[[#This Row],[Task Name]]="","",IF(Tasks[[#This Row],[_IsSummary]],MAX(INDEX(Tasks[_LeafLateFinish],Tasks[[#This Row],[_Row]]+1):INDEX(Tasks[_LeafLateFinish],Tasks[[#This Row],[_Row]]+Tasks[[#This Row],[_Descendants]])),Tasks[[#This Row],[_LeafLateFinish]]))</f>
        <v/>
      </c>
      <c r="Z171" s="43" t="str">
        <f aca="false">IF(Tasks[[#This Row],[Task Name]]="","",IF(Tasks[[#This Row],[_IsSummary]],MIN(INDEX(Tasks[_LeafTotalSlack],Tasks[[#This Row],[_Row]]+1):INDEX(Tasks[_LeafTotalSlack],Tasks[[#This Row],[_Row]]+Tasks[[#This Row],[_Descendants]])),Tasks[[#This Row],[_LeafTotalSlack]]))</f>
        <v/>
      </c>
      <c r="AA17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1" s="28" t="str">
        <f aca="false">IF(Tasks[[#This Row],[Task Name]]="","",IF(IF(Tasks[[#This Row],[_IsSummary]],COUNTIF(INDEX(Tasks[_LeafCritical],Tasks[[#This Row],[_Row]]+1):INDEX(Tasks[_LeafCritical],Tasks[[#This Row],[_Row]]+Tasks[[#This Row],[_Descendants]]),TRUE())&gt;0,Tasks[[#This Row],[_LeafCritical]]),"Yes",""))</f>
        <v/>
      </c>
      <c r="AC17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1" s="24" t="str">
        <f aca="false">IF(Tasks[[#This Row],[Task Name]]="","",TRIM(IF(Tasks[[#This Row],[_Pred1Problem]]&lt;&gt;"","Pred 1: "&amp;Tasks[[#This Row],[_Pred1Problem]]&amp;". ","")&amp;IF(Tasks[[#This Row],[_Pred2Problem]]&lt;&gt;"","Pred 2: "&amp;Tasks[[#This Row],[_Pred2Problem]]&amp;".","")))</f>
        <v/>
      </c>
      <c r="AE171" s="88"/>
      <c r="AF171"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1" s="28" t="str">
        <f aca="false">IF(Tasks[[#This Row],[Task Name]]="","",IF(Tasks[[#This Row],[Progress]]&gt;=1,"Complete",IF(OR(N(Tasks[[#This Row],[Actual Start]])&gt;0,Tasks[[#This Row],[Progress]]&gt;0),IF(Tasks[[#This Row],[Finish Var]]&gt;0,"Behind","In Progress"),IF(Tasks[[#This Row],[Planned Start]]&lt;StatusDate,"Late Start","Not Started"))))</f>
        <v/>
      </c>
      <c r="AH171" s="30"/>
      <c r="AI171" s="88"/>
      <c r="AJ171" s="95" t="str">
        <f aca="false">IF(Tasks[[#This Row],[Task Name]]="","",IF(Tasks[[#This Row],[_IsSummary]],SUM(INDEX(Tasks[_LeafWork],Tasks[[#This Row],[_Row]]+1):INDEX(Tasks[_LeafWork],Tasks[[#This Row],[_Row]]+Tasks[[#This Row],[_Descendants]])),Tasks[[#This Row],[_LeafWork]]))</f>
        <v/>
      </c>
      <c r="AK171" s="96" t="str">
        <f aca="false">IF(Tasks[[#This Row],[Task Name]]="","",IF(Tasks[[#This Row],[_IsSummary]],SUM(INDEX(Tasks[_LeafCost],Tasks[[#This Row],[_Row]]+1):INDEX(Tasks[_LeafCost],Tasks[[#This Row],[_Row]]+Tasks[[#This Row],[_Descendants]])),Tasks[[#This Row],[_LeafCost]]))</f>
        <v/>
      </c>
      <c r="AL171" s="97"/>
      <c r="AM171" s="29"/>
      <c r="AN17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71" s="82"/>
      <c r="AP171" s="24" t="str">
        <f aca="false">IF(Tasks[[#This Row],[Task Name]]="","",Tasks[[#This Row],[_Pred1IDText]]&amp;IF(AND(Tasks[[#This Row],[_Pred1IDText]]&lt;&gt;"",Tasks[[#This Row],[_Pred2IDText]]&lt;&gt;""),",","")&amp;Tasks[[#This Row],[_Pred2IDText]])</f>
        <v/>
      </c>
      <c r="AQ171" s="30"/>
      <c r="AR171" s="25" t="str">
        <f aca="false">IF(Tasks[[#This Row],[Task Name]]="","",Tasks[[#This Row],[Forecast Start]])</f>
        <v/>
      </c>
      <c r="AS171" s="25" t="str">
        <f aca="false">IF(Tasks[[#This Row],[Task Name]]="","",Tasks[[#This Row],[Forecast Finish]])</f>
        <v/>
      </c>
      <c r="AT171" s="28" t="str">
        <f aca="false">IF(Tasks[[#This Row],[Task Name]]="","",IF(Tasks[[#This Row],[_IsSummary]],NETWORKDAYS.INTL(Tasks[[#This Row],[Forecast Start]],Tasks[[#This Row],[Forecast Finish]],WorkWeek,Holidays),N(Tasks[[#This Row],[Duration]])))</f>
        <v/>
      </c>
      <c r="AU171" s="95" t="str">
        <f aca="false">IF(Tasks[[#This Row],[Task Name]]="","",Tasks[[#This Row],[Work]])</f>
        <v/>
      </c>
      <c r="AV171" s="96" t="str">
        <f aca="false">IF(Tasks[[#This Row],[Task Name]]="","",Tasks[[#This Row],[Cost]])</f>
        <v/>
      </c>
      <c r="AW171" s="73"/>
      <c r="AX171" s="73"/>
      <c r="AY171" s="29"/>
      <c r="AZ171" s="98"/>
      <c r="BA171" s="97"/>
      <c r="BB171" s="28" t="str">
        <f aca="false">IF(OR(Tasks[[#This Row],[Task Name]]="",Tasks[[#This Row],[Baseline Duration]]=""),"",Tasks[[#This Row],[BL Source Duration]]-N(Tasks[[#This Row],[Baseline Duration]]))</f>
        <v/>
      </c>
      <c r="BC171" s="95" t="str">
        <f aca="false">IF(OR(Tasks[[#This Row],[Task Name]]="",Tasks[[#This Row],[Baseline Work]]=""),"",Tasks[[#This Row],[Work]]-N(Tasks[[#This Row],[Baseline Work]]))</f>
        <v/>
      </c>
      <c r="BD171" s="96" t="str">
        <f aca="false">IF(OR(Tasks[[#This Row],[Task Name]]="",Tasks[[#This Row],[Baseline Cost]]=""),"",Tasks[[#This Row],[Cost]]-N(Tasks[[#This Row],[Baseline Cost]]))</f>
        <v/>
      </c>
      <c r="BE171" s="96" t="str">
        <f aca="false">IF(Tasks[[#This Row],[Task Name]]="","",IF(Tasks[[#This Row],[_IsSummary]],SUM(INDEX(Tasks[_LeafBudget],Tasks[[#This Row],[_Row]]+1):INDEX(Tasks[_LeafBudget],Tasks[[#This Row],[_Row]]+Tasks[[#This Row],[_Descendants]])),Tasks[[#This Row],[_LeafBudget]]))</f>
        <v/>
      </c>
      <c r="BF171" s="96" t="str">
        <f aca="false">IF(Tasks[[#This Row],[Task Name]]="","",IF(Tasks[[#This Row],[_IsSummary]],SUM(INDEX(Tasks[_LeafPV],Tasks[[#This Row],[_Row]]+1):INDEX(Tasks[_LeafPV],Tasks[[#This Row],[_Row]]+Tasks[[#This Row],[_Descendants]])),Tasks[[#This Row],[_LeafPV]]))</f>
        <v/>
      </c>
      <c r="BG171" s="96" t="str">
        <f aca="false">IF(Tasks[[#This Row],[Task Name]]="","",IF(Tasks[[#This Row],[_IsSummary]],SUM(INDEX(Tasks[_LeafEV],Tasks[[#This Row],[_Row]]+1):INDEX(Tasks[_LeafEV],Tasks[[#This Row],[_Row]]+Tasks[[#This Row],[_Descendants]])),Tasks[[#This Row],[_LeafEV]]))</f>
        <v/>
      </c>
      <c r="BH171" s="96" t="str">
        <f aca="false">IF(Tasks[[#This Row],[Task Name]]="","",IF(Tasks[[#This Row],[_IsSummary]],SUM(INDEX(Tasks[_LeafAC],Tasks[[#This Row],[_Row]]+1):INDEX(Tasks[_LeafAC],Tasks[[#This Row],[_Row]]+Tasks[[#This Row],[_Descendants]])),Tasks[[#This Row],[_LeafAC]]))</f>
        <v/>
      </c>
      <c r="BI171" s="41" t="str">
        <f aca="false">IF(Tasks[[#This Row],[Task Name]]="","",MAX(1,N(Tasks[[#This Row],[Level]])))</f>
        <v/>
      </c>
      <c r="BJ171" s="41" t="n">
        <f aca="false">ROW()-ROW(Tasks[[#Headers],[ID]])</f>
        <v>166</v>
      </c>
      <c r="BK171" s="41" t="n">
        <f aca="false">IF(OR(Tasks[[#This Row],[Task Name]]="",Tasks[[#This Row],[_Level]]&lt;=1),0,IFERROR(LOOKUP(2,1/(Tasks[[#Headers],[_Level]]:Tasks[[#This Row],[_Level]]=Tasks[[#This Row],[_Level]]-1),ROW(Tasks[[#Headers],[_Level]]:Tasks[[#This Row],[_Level]])),0))</f>
        <v>0</v>
      </c>
      <c r="BL171" s="41" t="n">
        <f aca="false">IFERROR(N(INDEX(Tasks[_Level],Tasks[[#This Row],[_Row]]+1)),0)</f>
        <v>0</v>
      </c>
      <c r="BM171" s="99" t="b">
        <f aca="false">AND(Tasks[[#This Row],[Task Name]]&lt;&gt;"",Tasks[[#This Row],[_NextLevel]]&gt;Tasks[[#This Row],[_Level]])</f>
        <v>0</v>
      </c>
      <c r="BN171" s="41" t="n">
        <f aca="false">IF(Tasks[[#This Row],[_IsSummary]],COUNTIF(Tasks[WBS],Tasks[[#This Row],[WBS]]&amp;".*"),0)</f>
        <v>0</v>
      </c>
      <c r="BO171" s="41" t="n">
        <f aca="false">IF(AND(Tasks[[#This Row],[Task Name]]&lt;&gt;"",NOT(Tasks[[#This Row],[_IsSummary]])),1,0)</f>
        <v>0</v>
      </c>
      <c r="BP171" s="41" t="n">
        <f aca="false">IF(N(Tasks[[#This Row],[Pred1 UID]])=0,0,IFERROR(MATCH(Tasks[[#This Row],[Pred1 UID]],Tasks[UID],0),-1))</f>
        <v>0</v>
      </c>
      <c r="BQ171" s="41" t="n">
        <f aca="false">IF(N(Tasks[[#This Row],[Pred2 UID]])=0,0,IFERROR(MATCH(Tasks[[#This Row],[Pred2 UID]],Tasks[UID],0),-1))</f>
        <v>0</v>
      </c>
      <c r="BR171"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71" s="100" t="str">
        <f aca="false">IF(NOT(Tasks[[#This Row],[_IsLeaf]]=1),"",IF(N(Tasks[[#This Row],[Duration]])&lt;=0,Tasks[[#This Row],[_LeafCalcStart]],WORKDAY.INTL(Tasks[[#This Row],[_LeafCalcStart]],Tasks[[#This Row],[Duration]]-1,WorkWeek,Holidays)))</f>
        <v/>
      </c>
      <c r="BT171"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71"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71" s="41" t="n">
        <f aca="false">IF(NOT(Tasks[[#This Row],[_IsLeaf]]=1),0,IF(N(Tasks[[#This Row],[Actual Finish]])&gt;0,1,MIN(1,N(Tasks[[#This Row],[% Complete]]))))</f>
        <v>0</v>
      </c>
      <c r="BW171" s="41" t="n">
        <f aca="false">IF(OR(NOT(Tasks[[#This Row],[_IsLeaf]]=1),Tasks[[#This Row],[Resource]]=""),0,N(Tasks[[#This Row],[Duration]])*HoursPerDay*IF(Tasks[[#This Row],[Units]]="",DefaultUnits,Tasks[[#This Row],[Units]]))</f>
        <v>0</v>
      </c>
      <c r="BX171" s="41" t="n">
        <f aca="false">IF(Tasks[[#This Row],[_LeafWork]]=0,0,Tasks[[#This Row],[_LeafWork]]*IFERROR(INDEX(res_Rate,MATCH(Tasks[[#This Row],[Resource]],res_Name,0)),0))</f>
        <v>0</v>
      </c>
      <c r="BY17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7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7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7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71" s="41" t="n">
        <f aca="false">IF(NOT(Tasks[[#This Row],[_IsLeaf]]=1),0,MAX(_xlfn.MAXIFS(Tasks[_Row],Tasks[Pred1 UID],Tasks[[#This Row],[UID]]),_xlfn.MAXIFS(Tasks[_Row],Tasks[Pred2 UID],Tasks[[#This Row],[UID]])))</f>
        <v>0</v>
      </c>
      <c r="CD171"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71" s="100" t="str">
        <f aca="false">IF(NOT(Tasks[[#This Row],[_IsLeaf]]=1),"",MIN(ProjectFinish,IF(N(Tasks[[#This Row],[Deadline]])&gt;0,Tasks[[#This Row],[Deadline]],2958465),Tasks[[#This Row],[_SuccessorFinishLimit]]))</f>
        <v/>
      </c>
      <c r="CF171" s="100" t="str">
        <f aca="false">IF(NOT(Tasks[[#This Row],[_IsLeaf]]=1),"",IF(N(Tasks[[#This Row],[Duration]])&lt;=0,Tasks[[#This Row],[_LeafLateFinish]],WORKDAY.INTL(Tasks[[#This Row],[_LeafLateFinish]],-(Tasks[[#This Row],[Duration]]-1),WorkWeek,Holidays)))</f>
        <v/>
      </c>
      <c r="CG17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71" s="99" t="b">
        <f aca="false">AND(Tasks[[#This Row],[_IsLeaf]]=1,Tasks[[#This Row],[_LeafProgress]]&lt;1,N(Tasks[[#This Row],[_LeafTotalSlack]])&lt;=CriticalSlackDays)</f>
        <v>0</v>
      </c>
      <c r="CI171" s="100" t="str">
        <f aca="false">IF(Tasks[[#This Row],[Task Name]]="","",IF(Tasks[[#This Row],[_IsSummary]],MIN(INDEX(Tasks[_LeafCalcStart],Tasks[[#This Row],[_Row]]+1):INDEX(Tasks[_LeafCalcStart],Tasks[[#This Row],[_Row]]+Tasks[[#This Row],[_Descendants]])),Tasks[[#This Row],[_LeafCalcStart]]))</f>
        <v/>
      </c>
      <c r="CJ171" s="100" t="str">
        <f aca="false">IF(Tasks[[#This Row],[Task Name]]="","",IF(Tasks[[#This Row],[_IsSummary]],MAX(INDEX(Tasks[_LeafCalcFinish],Tasks[[#This Row],[_Row]]+1):INDEX(Tasks[_LeafCalcFinish],Tasks[[#This Row],[_Row]]+Tasks[[#This Row],[_Descendants]])),Tasks[[#This Row],[_LeafCalcFinish]]))</f>
        <v/>
      </c>
      <c r="CK17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7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71"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71"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71"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71"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71" s="41" t="n">
        <f aca="false">IF(AND(Tasks[[#This Row],[_IsLeaf]]=1,Tasks[[#This Row],[_LeafWork]]&gt;0),NETWORKDAYS.INTL(ProjectStart,Tasks[[#This Row],[_LeafFcstStart]],WorkWeek,Holidays),0)</f>
        <v>0</v>
      </c>
      <c r="CR171" s="41" t="n">
        <f aca="false">IF(AND(Tasks[[#This Row],[_IsLeaf]]=1,Tasks[[#This Row],[_LeafWork]]&gt;0),MAX(Tasks[[#This Row],[_StartWorkday]],NETWORKDAYS.INTL(ProjectStart,Tasks[[#This Row],[_LeafFcstFinish]],WorkWeek,Holidays)),0)</f>
        <v>0</v>
      </c>
      <c r="CS171" s="41" t="n">
        <f aca="false">IF(AND(Tasks[[#This Row],[_IsLeaf]]=1,Tasks[[#This Row],[_LeafWork]]&gt;0),Tasks[[#This Row],[_LeafWork]]/(Tasks[[#This Row],[_FinishWorkday]]-Tasks[[#This Row],[_StartWorkday]]+1),0)</f>
        <v>0</v>
      </c>
      <c r="CT171" s="41" t="n">
        <f aca="false">Tasks[[#This Row],[_WorkPerWorkday]]*(Tasks[[#This Row],[_StartWorkday]]-1)</f>
        <v>-0</v>
      </c>
      <c r="CU171" s="41" t="n">
        <f aca="false">IF(Tasks[[#This Row],[_IsLeaf]]=1,MAX(N(Tasks[[#This Row],[Duration]]),0.1),0)</f>
        <v>0</v>
      </c>
      <c r="CV171" s="41" t="n">
        <f aca="false">Tasks[[#This Row],[_WeightDur]]*Tasks[[#This Row],[_LeafProgress]]</f>
        <v>0</v>
      </c>
      <c r="CW17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7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7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7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71" s="41" t="str">
        <f aca="false">IF(Tasks[[#This Row],[Task Name]]="","",Tasks[[#This Row],[_Pred1UIDText]]&amp;IF(AND(Tasks[[#This Row],[_Pred1UIDText]]&lt;&gt;"",Tasks[[#This Row],[_Pred2UIDText]]&lt;&gt;""),",","")&amp;Tasks[[#This Row],[_Pred2UIDText]])</f>
        <v/>
      </c>
      <c r="DB171" s="41" t="str">
        <f aca="false">IF(AND(Tasks[[#This Row],[_IsLeaf]]=1,N(Tasks[[#This Row],[Duration]])=0,Tasks[[#This Row],[_LeafProgress]]&lt;1),Tasks[[#This Row],[_LeafFcstFinish]]+Tasks[[#This Row],[_Row]]/100000,"")</f>
        <v/>
      </c>
      <c r="DC17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71" s="41" t="n">
        <f aca="false">IF(NOT(Tasks[[#This Row],[_IsLeaf]]=1),0,IF(Tasks[[#This Row],[Baseline Cost]]="",Tasks[[#This Row],[_LeafCost]],N(Tasks[[#This Row],[Baseline Cost]])))</f>
        <v>0</v>
      </c>
      <c r="DE171" s="41" t="n">
        <f aca="false">Tasks[[#This Row],[_LeafBudget]]*Tasks[[#This Row],[_PlannedPct]]</f>
        <v>0</v>
      </c>
      <c r="DF171" s="41" t="n">
        <f aca="false">Tasks[[#This Row],[_LeafBudget]]*Tasks[[#This Row],[_LeafProgress]]</f>
        <v>0</v>
      </c>
      <c r="DG171" s="41" t="n">
        <f aca="false">IF(NOT(Tasks[[#This Row],[_IsLeaf]]=1),0,IF(Tasks[[#This Row],[Actual Cost]]="",Tasks[[#This Row],[_LeafCost]]*Tasks[[#This Row],[_LeafProgress]],N(Tasks[[#This Row],[Actual Cost]])))</f>
        <v>0</v>
      </c>
      <c r="DH171" s="41" t="str">
        <f aca="false">IF(Tasks[[#This Row],[Task Name]]="","",LEFT(Tasks[[#This Row],[WBS]],FIND(".",Tasks[[#This Row],[WBS]]&amp;".")-1))</f>
        <v/>
      </c>
      <c r="DI171" s="41" t="str">
        <f aca="false">IF(AND(Tasks[[#This Row],[Task Name]]&lt;&gt;"",Tasks[[#This Row],[_Level]]=1),Tasks[[#This Row],[_Row]],"")</f>
        <v/>
      </c>
      <c r="DJ171" s="41" t="str">
        <f aca="false">IF(AND(Tasks[[#This Row],[_IsLeaf]]=1,N(Tasks[[#This Row],[Duration]])=0),Tasks[[#This Row],[Planned Finish]]+Tasks[[#This Row],[_Row]]/100000,"")</f>
        <v/>
      </c>
      <c r="DK171" s="41" t="str">
        <f aca="false">IF(AND(Tasks[[#This Row],[_IsLeaf]]=1,Tasks[[#This Row],[_LeafProgress]]&lt;1,OR(N(Tasks[[#This Row],[Finish Var]])&gt;0,Tasks[[#This Row],[Status]]="Late Start")),MAX(0,Tasks[[#This Row],[Finish Var]])+1-Tasks[[#This Row],[_Row]]/1000000,"")</f>
        <v/>
      </c>
      <c r="DL171" s="41" t="str">
        <f aca="false">IF(AND(Tasks[[#This Row],[_IsLeaf]]=1,N(Tasks[[#This Row],[Actual Start]])=0,Tasks[[#This Row],[_LeafFcstStart]]&gt;=StatusDate,Tasks[[#This Row],[_LeafFcstStart]]&lt;=LookaheadEnd),Tasks[[#This Row],[_LeafFcstStart]]+Tasks[[#This Row],[_Row]]/100000,"")</f>
        <v/>
      </c>
      <c r="DM171" s="41" t="str">
        <f aca="false">IF(AND(Tasks[[#This Row],[_IsLeaf]]=1,Tasks[[#This Row],[_LeafProgress]]&lt;1,Tasks[[#This Row],[_LeafFcstFinish]]&gt;=StatusDate,Tasks[[#This Row],[_LeafFcstFinish]]&lt;=LookaheadEnd),Tasks[[#This Row],[_LeafFcstFinish]]+Tasks[[#This Row],[_Row]]/100000,"")</f>
        <v/>
      </c>
      <c r="DN171" s="41" t="str">
        <f aca="false">IF(Tasks[[#This Row],[_LeafCritical]],Tasks[[#This Row],[_LeafFcstStart]]+Tasks[[#This Row],[_Row]]/100000,"")</f>
        <v/>
      </c>
      <c r="DO171" s="41" t="n">
        <f aca="false">Tasks[[#This Row],[_LeafWork]]*Tasks[[#This Row],[_LeafProgress]]</f>
        <v>0</v>
      </c>
      <c r="DP171" s="100" t="str">
        <f aca="false">IF(AND(Tasks[[#This Row],[_IsLeaf]]=1,Tasks[[#This Row],[_LeafProgress]]&gt;=1),IF(N(Tasks[[#This Row],[Actual Finish]])&gt;0,Tasks[[#This Row],[Actual Finish]],Tasks[[#This Row],[_LeafFcstFinish]]),"")</f>
        <v/>
      </c>
      <c r="DQ171" s="41" t="n">
        <f aca="false">IF(Tasks[[#This Row],[_IsLeaf]]=1,N(Tasks[[#This Row],[Story Points]]),0)</f>
        <v>0</v>
      </c>
      <c r="DR171" s="41" t="str">
        <f aca="false">IF(AND(Tasks[[#This Row],[_IsLeaf]]=1,CurrentSprint&lt;&gt;"",Tasks[[#This Row],[Sprint]]=CurrentSprint),Tasks[[#This Row],[_Row]],"")</f>
        <v/>
      </c>
    </row>
    <row r="172" customFormat="false" ht="15" hidden="false" customHeight="false" outlineLevel="0" collapsed="false">
      <c r="A172" s="28" t="str">
        <f aca="false">IF(Tasks[[#This Row],[Task Name]]="","",COUNTA(Tasks[[#Headers],[Task Name]]:Tasks[[#This Row],[Task Name]])-1)</f>
        <v/>
      </c>
      <c r="B172" s="29" t="n">
        <v>167</v>
      </c>
      <c r="C17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2" s="29"/>
      <c r="E172" s="30"/>
      <c r="F172" s="29"/>
      <c r="G172" s="29"/>
      <c r="H172" s="29"/>
      <c r="I172" s="29"/>
      <c r="J172" s="29"/>
      <c r="K172" s="29"/>
      <c r="L172" s="29"/>
      <c r="M172" s="29"/>
      <c r="N172" s="73"/>
      <c r="O172" s="73"/>
      <c r="P172" s="25" t="str">
        <f aca="false">IF(Tasks[[#This Row],[Task Name]]="","",IF(N(Tasks[[#This Row],[Baseline Start]])&gt;0,Tasks[[#This Row],[Baseline Start]],Tasks[[#This Row],[_CalcStart]]))</f>
        <v/>
      </c>
      <c r="Q172" s="25" t="str">
        <f aca="false">IF(Tasks[[#This Row],[Task Name]]="","",IF(N(Tasks[[#This Row],[Baseline Finish]])&gt;0,Tasks[[#This Row],[Baseline Finish]],Tasks[[#This Row],[_CalcFinish]]))</f>
        <v/>
      </c>
      <c r="R172" s="73"/>
      <c r="S172" s="73"/>
      <c r="T172" s="25" t="str">
        <f aca="false">IF(Tasks[[#This Row],[Task Name]]="","",IF(Tasks[[#This Row],[_IsSummary]],MIN(INDEX(Tasks[_LeafFcstStart],Tasks[[#This Row],[_Row]]+1):INDEX(Tasks[_LeafFcstStart],Tasks[[#This Row],[_Row]]+Tasks[[#This Row],[_Descendants]])),Tasks[[#This Row],[_LeafFcstStart]]))</f>
        <v/>
      </c>
      <c r="U172" s="25" t="str">
        <f aca="false">IF(Tasks[[#This Row],[Task Name]]="","",IF(Tasks[[#This Row],[_IsSummary]],MAX(INDEX(Tasks[_LeafFcstFinish],Tasks[[#This Row],[_Row]]+1):INDEX(Tasks[_LeafFcstFinish],Tasks[[#This Row],[_Row]]+Tasks[[#This Row],[_Descendants]])),Tasks[[#This Row],[_LeafFcstFinish]]))</f>
        <v/>
      </c>
      <c r="V17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7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2" s="25" t="str">
        <f aca="false">IF(Tasks[[#This Row],[Task Name]]="","",IF(Tasks[[#This Row],[_IsSummary]],MIN(INDEX(Tasks[_LeafLateStart],Tasks[[#This Row],[_Row]]+1):INDEX(Tasks[_LeafLateStart],Tasks[[#This Row],[_Row]]+Tasks[[#This Row],[_Descendants]])),Tasks[[#This Row],[_LeafLateStart]]))</f>
        <v/>
      </c>
      <c r="Y172" s="25" t="str">
        <f aca="false">IF(Tasks[[#This Row],[Task Name]]="","",IF(Tasks[[#This Row],[_IsSummary]],MAX(INDEX(Tasks[_LeafLateFinish],Tasks[[#This Row],[_Row]]+1):INDEX(Tasks[_LeafLateFinish],Tasks[[#This Row],[_Row]]+Tasks[[#This Row],[_Descendants]])),Tasks[[#This Row],[_LeafLateFinish]]))</f>
        <v/>
      </c>
      <c r="Z172" s="43" t="str">
        <f aca="false">IF(Tasks[[#This Row],[Task Name]]="","",IF(Tasks[[#This Row],[_IsSummary]],MIN(INDEX(Tasks[_LeafTotalSlack],Tasks[[#This Row],[_Row]]+1):INDEX(Tasks[_LeafTotalSlack],Tasks[[#This Row],[_Row]]+Tasks[[#This Row],[_Descendants]])),Tasks[[#This Row],[_LeafTotalSlack]]))</f>
        <v/>
      </c>
      <c r="AA17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2" s="28" t="str">
        <f aca="false">IF(Tasks[[#This Row],[Task Name]]="","",IF(IF(Tasks[[#This Row],[_IsSummary]],COUNTIF(INDEX(Tasks[_LeafCritical],Tasks[[#This Row],[_Row]]+1):INDEX(Tasks[_LeafCritical],Tasks[[#This Row],[_Row]]+Tasks[[#This Row],[_Descendants]]),TRUE())&gt;0,Tasks[[#This Row],[_LeafCritical]]),"Yes",""))</f>
        <v/>
      </c>
      <c r="AC17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2" s="24" t="str">
        <f aca="false">IF(Tasks[[#This Row],[Task Name]]="","",TRIM(IF(Tasks[[#This Row],[_Pred1Problem]]&lt;&gt;"","Pred 1: "&amp;Tasks[[#This Row],[_Pred1Problem]]&amp;". ","")&amp;IF(Tasks[[#This Row],[_Pred2Problem]]&lt;&gt;"","Pred 2: "&amp;Tasks[[#This Row],[_Pred2Problem]]&amp;".","")))</f>
        <v/>
      </c>
      <c r="AE172" s="88"/>
      <c r="AF172"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2" s="28" t="str">
        <f aca="false">IF(Tasks[[#This Row],[Task Name]]="","",IF(Tasks[[#This Row],[Progress]]&gt;=1,"Complete",IF(OR(N(Tasks[[#This Row],[Actual Start]])&gt;0,Tasks[[#This Row],[Progress]]&gt;0),IF(Tasks[[#This Row],[Finish Var]]&gt;0,"Behind","In Progress"),IF(Tasks[[#This Row],[Planned Start]]&lt;StatusDate,"Late Start","Not Started"))))</f>
        <v/>
      </c>
      <c r="AH172" s="30"/>
      <c r="AI172" s="88"/>
      <c r="AJ172" s="95" t="str">
        <f aca="false">IF(Tasks[[#This Row],[Task Name]]="","",IF(Tasks[[#This Row],[_IsSummary]],SUM(INDEX(Tasks[_LeafWork],Tasks[[#This Row],[_Row]]+1):INDEX(Tasks[_LeafWork],Tasks[[#This Row],[_Row]]+Tasks[[#This Row],[_Descendants]])),Tasks[[#This Row],[_LeafWork]]))</f>
        <v/>
      </c>
      <c r="AK172" s="96" t="str">
        <f aca="false">IF(Tasks[[#This Row],[Task Name]]="","",IF(Tasks[[#This Row],[_IsSummary]],SUM(INDEX(Tasks[_LeafCost],Tasks[[#This Row],[_Row]]+1):INDEX(Tasks[_LeafCost],Tasks[[#This Row],[_Row]]+Tasks[[#This Row],[_Descendants]])),Tasks[[#This Row],[_LeafCost]]))</f>
        <v/>
      </c>
      <c r="AL172" s="97"/>
      <c r="AM172" s="29"/>
      <c r="AN17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72" s="82"/>
      <c r="AP172" s="24" t="str">
        <f aca="false">IF(Tasks[[#This Row],[Task Name]]="","",Tasks[[#This Row],[_Pred1IDText]]&amp;IF(AND(Tasks[[#This Row],[_Pred1IDText]]&lt;&gt;"",Tasks[[#This Row],[_Pred2IDText]]&lt;&gt;""),",","")&amp;Tasks[[#This Row],[_Pred2IDText]])</f>
        <v/>
      </c>
      <c r="AQ172" s="30"/>
      <c r="AR172" s="25" t="str">
        <f aca="false">IF(Tasks[[#This Row],[Task Name]]="","",Tasks[[#This Row],[Forecast Start]])</f>
        <v/>
      </c>
      <c r="AS172" s="25" t="str">
        <f aca="false">IF(Tasks[[#This Row],[Task Name]]="","",Tasks[[#This Row],[Forecast Finish]])</f>
        <v/>
      </c>
      <c r="AT172" s="28" t="str">
        <f aca="false">IF(Tasks[[#This Row],[Task Name]]="","",IF(Tasks[[#This Row],[_IsSummary]],NETWORKDAYS.INTL(Tasks[[#This Row],[Forecast Start]],Tasks[[#This Row],[Forecast Finish]],WorkWeek,Holidays),N(Tasks[[#This Row],[Duration]])))</f>
        <v/>
      </c>
      <c r="AU172" s="95" t="str">
        <f aca="false">IF(Tasks[[#This Row],[Task Name]]="","",Tasks[[#This Row],[Work]])</f>
        <v/>
      </c>
      <c r="AV172" s="96" t="str">
        <f aca="false">IF(Tasks[[#This Row],[Task Name]]="","",Tasks[[#This Row],[Cost]])</f>
        <v/>
      </c>
      <c r="AW172" s="73"/>
      <c r="AX172" s="73"/>
      <c r="AY172" s="29"/>
      <c r="AZ172" s="98"/>
      <c r="BA172" s="97"/>
      <c r="BB172" s="28" t="str">
        <f aca="false">IF(OR(Tasks[[#This Row],[Task Name]]="",Tasks[[#This Row],[Baseline Duration]]=""),"",Tasks[[#This Row],[BL Source Duration]]-N(Tasks[[#This Row],[Baseline Duration]]))</f>
        <v/>
      </c>
      <c r="BC172" s="95" t="str">
        <f aca="false">IF(OR(Tasks[[#This Row],[Task Name]]="",Tasks[[#This Row],[Baseline Work]]=""),"",Tasks[[#This Row],[Work]]-N(Tasks[[#This Row],[Baseline Work]]))</f>
        <v/>
      </c>
      <c r="BD172" s="96" t="str">
        <f aca="false">IF(OR(Tasks[[#This Row],[Task Name]]="",Tasks[[#This Row],[Baseline Cost]]=""),"",Tasks[[#This Row],[Cost]]-N(Tasks[[#This Row],[Baseline Cost]]))</f>
        <v/>
      </c>
      <c r="BE172" s="96" t="str">
        <f aca="false">IF(Tasks[[#This Row],[Task Name]]="","",IF(Tasks[[#This Row],[_IsSummary]],SUM(INDEX(Tasks[_LeafBudget],Tasks[[#This Row],[_Row]]+1):INDEX(Tasks[_LeafBudget],Tasks[[#This Row],[_Row]]+Tasks[[#This Row],[_Descendants]])),Tasks[[#This Row],[_LeafBudget]]))</f>
        <v/>
      </c>
      <c r="BF172" s="96" t="str">
        <f aca="false">IF(Tasks[[#This Row],[Task Name]]="","",IF(Tasks[[#This Row],[_IsSummary]],SUM(INDEX(Tasks[_LeafPV],Tasks[[#This Row],[_Row]]+1):INDEX(Tasks[_LeafPV],Tasks[[#This Row],[_Row]]+Tasks[[#This Row],[_Descendants]])),Tasks[[#This Row],[_LeafPV]]))</f>
        <v/>
      </c>
      <c r="BG172" s="96" t="str">
        <f aca="false">IF(Tasks[[#This Row],[Task Name]]="","",IF(Tasks[[#This Row],[_IsSummary]],SUM(INDEX(Tasks[_LeafEV],Tasks[[#This Row],[_Row]]+1):INDEX(Tasks[_LeafEV],Tasks[[#This Row],[_Row]]+Tasks[[#This Row],[_Descendants]])),Tasks[[#This Row],[_LeafEV]]))</f>
        <v/>
      </c>
      <c r="BH172" s="96" t="str">
        <f aca="false">IF(Tasks[[#This Row],[Task Name]]="","",IF(Tasks[[#This Row],[_IsSummary]],SUM(INDEX(Tasks[_LeafAC],Tasks[[#This Row],[_Row]]+1):INDEX(Tasks[_LeafAC],Tasks[[#This Row],[_Row]]+Tasks[[#This Row],[_Descendants]])),Tasks[[#This Row],[_LeafAC]]))</f>
        <v/>
      </c>
      <c r="BI172" s="41" t="str">
        <f aca="false">IF(Tasks[[#This Row],[Task Name]]="","",MAX(1,N(Tasks[[#This Row],[Level]])))</f>
        <v/>
      </c>
      <c r="BJ172" s="41" t="n">
        <f aca="false">ROW()-ROW(Tasks[[#Headers],[ID]])</f>
        <v>167</v>
      </c>
      <c r="BK172" s="41" t="n">
        <f aca="false">IF(OR(Tasks[[#This Row],[Task Name]]="",Tasks[[#This Row],[_Level]]&lt;=1),0,IFERROR(LOOKUP(2,1/(Tasks[[#Headers],[_Level]]:Tasks[[#This Row],[_Level]]=Tasks[[#This Row],[_Level]]-1),ROW(Tasks[[#Headers],[_Level]]:Tasks[[#This Row],[_Level]])),0))</f>
        <v>0</v>
      </c>
      <c r="BL172" s="41" t="n">
        <f aca="false">IFERROR(N(INDEX(Tasks[_Level],Tasks[[#This Row],[_Row]]+1)),0)</f>
        <v>0</v>
      </c>
      <c r="BM172" s="99" t="b">
        <f aca="false">AND(Tasks[[#This Row],[Task Name]]&lt;&gt;"",Tasks[[#This Row],[_NextLevel]]&gt;Tasks[[#This Row],[_Level]])</f>
        <v>0</v>
      </c>
      <c r="BN172" s="41" t="n">
        <f aca="false">IF(Tasks[[#This Row],[_IsSummary]],COUNTIF(Tasks[WBS],Tasks[[#This Row],[WBS]]&amp;".*"),0)</f>
        <v>0</v>
      </c>
      <c r="BO172" s="41" t="n">
        <f aca="false">IF(AND(Tasks[[#This Row],[Task Name]]&lt;&gt;"",NOT(Tasks[[#This Row],[_IsSummary]])),1,0)</f>
        <v>0</v>
      </c>
      <c r="BP172" s="41" t="n">
        <f aca="false">IF(N(Tasks[[#This Row],[Pred1 UID]])=0,0,IFERROR(MATCH(Tasks[[#This Row],[Pred1 UID]],Tasks[UID],0),-1))</f>
        <v>0</v>
      </c>
      <c r="BQ172" s="41" t="n">
        <f aca="false">IF(N(Tasks[[#This Row],[Pred2 UID]])=0,0,IFERROR(MATCH(Tasks[[#This Row],[Pred2 UID]],Tasks[UID],0),-1))</f>
        <v>0</v>
      </c>
      <c r="BR172"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72" s="100" t="str">
        <f aca="false">IF(NOT(Tasks[[#This Row],[_IsLeaf]]=1),"",IF(N(Tasks[[#This Row],[Duration]])&lt;=0,Tasks[[#This Row],[_LeafCalcStart]],WORKDAY.INTL(Tasks[[#This Row],[_LeafCalcStart]],Tasks[[#This Row],[Duration]]-1,WorkWeek,Holidays)))</f>
        <v/>
      </c>
      <c r="BT172"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72"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72" s="41" t="n">
        <f aca="false">IF(NOT(Tasks[[#This Row],[_IsLeaf]]=1),0,IF(N(Tasks[[#This Row],[Actual Finish]])&gt;0,1,MIN(1,N(Tasks[[#This Row],[% Complete]]))))</f>
        <v>0</v>
      </c>
      <c r="BW172" s="41" t="n">
        <f aca="false">IF(OR(NOT(Tasks[[#This Row],[_IsLeaf]]=1),Tasks[[#This Row],[Resource]]=""),0,N(Tasks[[#This Row],[Duration]])*HoursPerDay*IF(Tasks[[#This Row],[Units]]="",DefaultUnits,Tasks[[#This Row],[Units]]))</f>
        <v>0</v>
      </c>
      <c r="BX172" s="41" t="n">
        <f aca="false">IF(Tasks[[#This Row],[_LeafWork]]=0,0,Tasks[[#This Row],[_LeafWork]]*IFERROR(INDEX(res_Rate,MATCH(Tasks[[#This Row],[Resource]],res_Name,0)),0))</f>
        <v>0</v>
      </c>
      <c r="BY17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7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7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7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72" s="41" t="n">
        <f aca="false">IF(NOT(Tasks[[#This Row],[_IsLeaf]]=1),0,MAX(_xlfn.MAXIFS(Tasks[_Row],Tasks[Pred1 UID],Tasks[[#This Row],[UID]]),_xlfn.MAXIFS(Tasks[_Row],Tasks[Pred2 UID],Tasks[[#This Row],[UID]])))</f>
        <v>0</v>
      </c>
      <c r="CD172"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72" s="100" t="str">
        <f aca="false">IF(NOT(Tasks[[#This Row],[_IsLeaf]]=1),"",MIN(ProjectFinish,IF(N(Tasks[[#This Row],[Deadline]])&gt;0,Tasks[[#This Row],[Deadline]],2958465),Tasks[[#This Row],[_SuccessorFinishLimit]]))</f>
        <v/>
      </c>
      <c r="CF172" s="100" t="str">
        <f aca="false">IF(NOT(Tasks[[#This Row],[_IsLeaf]]=1),"",IF(N(Tasks[[#This Row],[Duration]])&lt;=0,Tasks[[#This Row],[_LeafLateFinish]],WORKDAY.INTL(Tasks[[#This Row],[_LeafLateFinish]],-(Tasks[[#This Row],[Duration]]-1),WorkWeek,Holidays)))</f>
        <v/>
      </c>
      <c r="CG17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72" s="99" t="b">
        <f aca="false">AND(Tasks[[#This Row],[_IsLeaf]]=1,Tasks[[#This Row],[_LeafProgress]]&lt;1,N(Tasks[[#This Row],[_LeafTotalSlack]])&lt;=CriticalSlackDays)</f>
        <v>0</v>
      </c>
      <c r="CI172" s="100" t="str">
        <f aca="false">IF(Tasks[[#This Row],[Task Name]]="","",IF(Tasks[[#This Row],[_IsSummary]],MIN(INDEX(Tasks[_LeafCalcStart],Tasks[[#This Row],[_Row]]+1):INDEX(Tasks[_LeafCalcStart],Tasks[[#This Row],[_Row]]+Tasks[[#This Row],[_Descendants]])),Tasks[[#This Row],[_LeafCalcStart]]))</f>
        <v/>
      </c>
      <c r="CJ172" s="100" t="str">
        <f aca="false">IF(Tasks[[#This Row],[Task Name]]="","",IF(Tasks[[#This Row],[_IsSummary]],MAX(INDEX(Tasks[_LeafCalcFinish],Tasks[[#This Row],[_Row]]+1):INDEX(Tasks[_LeafCalcFinish],Tasks[[#This Row],[_Row]]+Tasks[[#This Row],[_Descendants]])),Tasks[[#This Row],[_LeafCalcFinish]]))</f>
        <v/>
      </c>
      <c r="CK17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7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72"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72"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72"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72"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72" s="41" t="n">
        <f aca="false">IF(AND(Tasks[[#This Row],[_IsLeaf]]=1,Tasks[[#This Row],[_LeafWork]]&gt;0),NETWORKDAYS.INTL(ProjectStart,Tasks[[#This Row],[_LeafFcstStart]],WorkWeek,Holidays),0)</f>
        <v>0</v>
      </c>
      <c r="CR172" s="41" t="n">
        <f aca="false">IF(AND(Tasks[[#This Row],[_IsLeaf]]=1,Tasks[[#This Row],[_LeafWork]]&gt;0),MAX(Tasks[[#This Row],[_StartWorkday]],NETWORKDAYS.INTL(ProjectStart,Tasks[[#This Row],[_LeafFcstFinish]],WorkWeek,Holidays)),0)</f>
        <v>0</v>
      </c>
      <c r="CS172" s="41" t="n">
        <f aca="false">IF(AND(Tasks[[#This Row],[_IsLeaf]]=1,Tasks[[#This Row],[_LeafWork]]&gt;0),Tasks[[#This Row],[_LeafWork]]/(Tasks[[#This Row],[_FinishWorkday]]-Tasks[[#This Row],[_StartWorkday]]+1),0)</f>
        <v>0</v>
      </c>
      <c r="CT172" s="41" t="n">
        <f aca="false">Tasks[[#This Row],[_WorkPerWorkday]]*(Tasks[[#This Row],[_StartWorkday]]-1)</f>
        <v>-0</v>
      </c>
      <c r="CU172" s="41" t="n">
        <f aca="false">IF(Tasks[[#This Row],[_IsLeaf]]=1,MAX(N(Tasks[[#This Row],[Duration]]),0.1),0)</f>
        <v>0</v>
      </c>
      <c r="CV172" s="41" t="n">
        <f aca="false">Tasks[[#This Row],[_WeightDur]]*Tasks[[#This Row],[_LeafProgress]]</f>
        <v>0</v>
      </c>
      <c r="CW17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7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7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7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72" s="41" t="str">
        <f aca="false">IF(Tasks[[#This Row],[Task Name]]="","",Tasks[[#This Row],[_Pred1UIDText]]&amp;IF(AND(Tasks[[#This Row],[_Pred1UIDText]]&lt;&gt;"",Tasks[[#This Row],[_Pred2UIDText]]&lt;&gt;""),",","")&amp;Tasks[[#This Row],[_Pred2UIDText]])</f>
        <v/>
      </c>
      <c r="DB172" s="41" t="str">
        <f aca="false">IF(AND(Tasks[[#This Row],[_IsLeaf]]=1,N(Tasks[[#This Row],[Duration]])=0,Tasks[[#This Row],[_LeafProgress]]&lt;1),Tasks[[#This Row],[_LeafFcstFinish]]+Tasks[[#This Row],[_Row]]/100000,"")</f>
        <v/>
      </c>
      <c r="DC17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72" s="41" t="n">
        <f aca="false">IF(NOT(Tasks[[#This Row],[_IsLeaf]]=1),0,IF(Tasks[[#This Row],[Baseline Cost]]="",Tasks[[#This Row],[_LeafCost]],N(Tasks[[#This Row],[Baseline Cost]])))</f>
        <v>0</v>
      </c>
      <c r="DE172" s="41" t="n">
        <f aca="false">Tasks[[#This Row],[_LeafBudget]]*Tasks[[#This Row],[_PlannedPct]]</f>
        <v>0</v>
      </c>
      <c r="DF172" s="41" t="n">
        <f aca="false">Tasks[[#This Row],[_LeafBudget]]*Tasks[[#This Row],[_LeafProgress]]</f>
        <v>0</v>
      </c>
      <c r="DG172" s="41" t="n">
        <f aca="false">IF(NOT(Tasks[[#This Row],[_IsLeaf]]=1),0,IF(Tasks[[#This Row],[Actual Cost]]="",Tasks[[#This Row],[_LeafCost]]*Tasks[[#This Row],[_LeafProgress]],N(Tasks[[#This Row],[Actual Cost]])))</f>
        <v>0</v>
      </c>
      <c r="DH172" s="41" t="str">
        <f aca="false">IF(Tasks[[#This Row],[Task Name]]="","",LEFT(Tasks[[#This Row],[WBS]],FIND(".",Tasks[[#This Row],[WBS]]&amp;".")-1))</f>
        <v/>
      </c>
      <c r="DI172" s="41" t="str">
        <f aca="false">IF(AND(Tasks[[#This Row],[Task Name]]&lt;&gt;"",Tasks[[#This Row],[_Level]]=1),Tasks[[#This Row],[_Row]],"")</f>
        <v/>
      </c>
      <c r="DJ172" s="41" t="str">
        <f aca="false">IF(AND(Tasks[[#This Row],[_IsLeaf]]=1,N(Tasks[[#This Row],[Duration]])=0),Tasks[[#This Row],[Planned Finish]]+Tasks[[#This Row],[_Row]]/100000,"")</f>
        <v/>
      </c>
      <c r="DK172" s="41" t="str">
        <f aca="false">IF(AND(Tasks[[#This Row],[_IsLeaf]]=1,Tasks[[#This Row],[_LeafProgress]]&lt;1,OR(N(Tasks[[#This Row],[Finish Var]])&gt;0,Tasks[[#This Row],[Status]]="Late Start")),MAX(0,Tasks[[#This Row],[Finish Var]])+1-Tasks[[#This Row],[_Row]]/1000000,"")</f>
        <v/>
      </c>
      <c r="DL172" s="41" t="str">
        <f aca="false">IF(AND(Tasks[[#This Row],[_IsLeaf]]=1,N(Tasks[[#This Row],[Actual Start]])=0,Tasks[[#This Row],[_LeafFcstStart]]&gt;=StatusDate,Tasks[[#This Row],[_LeafFcstStart]]&lt;=LookaheadEnd),Tasks[[#This Row],[_LeafFcstStart]]+Tasks[[#This Row],[_Row]]/100000,"")</f>
        <v/>
      </c>
      <c r="DM172" s="41" t="str">
        <f aca="false">IF(AND(Tasks[[#This Row],[_IsLeaf]]=1,Tasks[[#This Row],[_LeafProgress]]&lt;1,Tasks[[#This Row],[_LeafFcstFinish]]&gt;=StatusDate,Tasks[[#This Row],[_LeafFcstFinish]]&lt;=LookaheadEnd),Tasks[[#This Row],[_LeafFcstFinish]]+Tasks[[#This Row],[_Row]]/100000,"")</f>
        <v/>
      </c>
      <c r="DN172" s="41" t="str">
        <f aca="false">IF(Tasks[[#This Row],[_LeafCritical]],Tasks[[#This Row],[_LeafFcstStart]]+Tasks[[#This Row],[_Row]]/100000,"")</f>
        <v/>
      </c>
      <c r="DO172" s="41" t="n">
        <f aca="false">Tasks[[#This Row],[_LeafWork]]*Tasks[[#This Row],[_LeafProgress]]</f>
        <v>0</v>
      </c>
      <c r="DP172" s="100" t="str">
        <f aca="false">IF(AND(Tasks[[#This Row],[_IsLeaf]]=1,Tasks[[#This Row],[_LeafProgress]]&gt;=1),IF(N(Tasks[[#This Row],[Actual Finish]])&gt;0,Tasks[[#This Row],[Actual Finish]],Tasks[[#This Row],[_LeafFcstFinish]]),"")</f>
        <v/>
      </c>
      <c r="DQ172" s="41" t="n">
        <f aca="false">IF(Tasks[[#This Row],[_IsLeaf]]=1,N(Tasks[[#This Row],[Story Points]]),0)</f>
        <v>0</v>
      </c>
      <c r="DR172" s="41" t="str">
        <f aca="false">IF(AND(Tasks[[#This Row],[_IsLeaf]]=1,CurrentSprint&lt;&gt;"",Tasks[[#This Row],[Sprint]]=CurrentSprint),Tasks[[#This Row],[_Row]],"")</f>
        <v/>
      </c>
    </row>
    <row r="173" customFormat="false" ht="15" hidden="false" customHeight="false" outlineLevel="0" collapsed="false">
      <c r="A173" s="28" t="str">
        <f aca="false">IF(Tasks[[#This Row],[Task Name]]="","",COUNTA(Tasks[[#Headers],[Task Name]]:Tasks[[#This Row],[Task Name]])-1)</f>
        <v/>
      </c>
      <c r="B173" s="29" t="n">
        <v>168</v>
      </c>
      <c r="C17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3" s="29"/>
      <c r="E173" s="30"/>
      <c r="F173" s="29"/>
      <c r="G173" s="29"/>
      <c r="H173" s="29"/>
      <c r="I173" s="29"/>
      <c r="J173" s="29"/>
      <c r="K173" s="29"/>
      <c r="L173" s="29"/>
      <c r="M173" s="29"/>
      <c r="N173" s="73"/>
      <c r="O173" s="73"/>
      <c r="P173" s="25" t="str">
        <f aca="false">IF(Tasks[[#This Row],[Task Name]]="","",IF(N(Tasks[[#This Row],[Baseline Start]])&gt;0,Tasks[[#This Row],[Baseline Start]],Tasks[[#This Row],[_CalcStart]]))</f>
        <v/>
      </c>
      <c r="Q173" s="25" t="str">
        <f aca="false">IF(Tasks[[#This Row],[Task Name]]="","",IF(N(Tasks[[#This Row],[Baseline Finish]])&gt;0,Tasks[[#This Row],[Baseline Finish]],Tasks[[#This Row],[_CalcFinish]]))</f>
        <v/>
      </c>
      <c r="R173" s="73"/>
      <c r="S173" s="73"/>
      <c r="T173" s="25" t="str">
        <f aca="false">IF(Tasks[[#This Row],[Task Name]]="","",IF(Tasks[[#This Row],[_IsSummary]],MIN(INDEX(Tasks[_LeafFcstStart],Tasks[[#This Row],[_Row]]+1):INDEX(Tasks[_LeafFcstStart],Tasks[[#This Row],[_Row]]+Tasks[[#This Row],[_Descendants]])),Tasks[[#This Row],[_LeafFcstStart]]))</f>
        <v/>
      </c>
      <c r="U173" s="25" t="str">
        <f aca="false">IF(Tasks[[#This Row],[Task Name]]="","",IF(Tasks[[#This Row],[_IsSummary]],MAX(INDEX(Tasks[_LeafFcstFinish],Tasks[[#This Row],[_Row]]+1):INDEX(Tasks[_LeafFcstFinish],Tasks[[#This Row],[_Row]]+Tasks[[#This Row],[_Descendants]])),Tasks[[#This Row],[_LeafFcstFinish]]))</f>
        <v/>
      </c>
      <c r="V17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7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3" s="25" t="str">
        <f aca="false">IF(Tasks[[#This Row],[Task Name]]="","",IF(Tasks[[#This Row],[_IsSummary]],MIN(INDEX(Tasks[_LeafLateStart],Tasks[[#This Row],[_Row]]+1):INDEX(Tasks[_LeafLateStart],Tasks[[#This Row],[_Row]]+Tasks[[#This Row],[_Descendants]])),Tasks[[#This Row],[_LeafLateStart]]))</f>
        <v/>
      </c>
      <c r="Y173" s="25" t="str">
        <f aca="false">IF(Tasks[[#This Row],[Task Name]]="","",IF(Tasks[[#This Row],[_IsSummary]],MAX(INDEX(Tasks[_LeafLateFinish],Tasks[[#This Row],[_Row]]+1):INDEX(Tasks[_LeafLateFinish],Tasks[[#This Row],[_Row]]+Tasks[[#This Row],[_Descendants]])),Tasks[[#This Row],[_LeafLateFinish]]))</f>
        <v/>
      </c>
      <c r="Z173" s="43" t="str">
        <f aca="false">IF(Tasks[[#This Row],[Task Name]]="","",IF(Tasks[[#This Row],[_IsSummary]],MIN(INDEX(Tasks[_LeafTotalSlack],Tasks[[#This Row],[_Row]]+1):INDEX(Tasks[_LeafTotalSlack],Tasks[[#This Row],[_Row]]+Tasks[[#This Row],[_Descendants]])),Tasks[[#This Row],[_LeafTotalSlack]]))</f>
        <v/>
      </c>
      <c r="AA17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3" s="28" t="str">
        <f aca="false">IF(Tasks[[#This Row],[Task Name]]="","",IF(IF(Tasks[[#This Row],[_IsSummary]],COUNTIF(INDEX(Tasks[_LeafCritical],Tasks[[#This Row],[_Row]]+1):INDEX(Tasks[_LeafCritical],Tasks[[#This Row],[_Row]]+Tasks[[#This Row],[_Descendants]]),TRUE())&gt;0,Tasks[[#This Row],[_LeafCritical]]),"Yes",""))</f>
        <v/>
      </c>
      <c r="AC17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3" s="24" t="str">
        <f aca="false">IF(Tasks[[#This Row],[Task Name]]="","",TRIM(IF(Tasks[[#This Row],[_Pred1Problem]]&lt;&gt;"","Pred 1: "&amp;Tasks[[#This Row],[_Pred1Problem]]&amp;". ","")&amp;IF(Tasks[[#This Row],[_Pred2Problem]]&lt;&gt;"","Pred 2: "&amp;Tasks[[#This Row],[_Pred2Problem]]&amp;".","")))</f>
        <v/>
      </c>
      <c r="AE173" s="88"/>
      <c r="AF173"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3" s="28" t="str">
        <f aca="false">IF(Tasks[[#This Row],[Task Name]]="","",IF(Tasks[[#This Row],[Progress]]&gt;=1,"Complete",IF(OR(N(Tasks[[#This Row],[Actual Start]])&gt;0,Tasks[[#This Row],[Progress]]&gt;0),IF(Tasks[[#This Row],[Finish Var]]&gt;0,"Behind","In Progress"),IF(Tasks[[#This Row],[Planned Start]]&lt;StatusDate,"Late Start","Not Started"))))</f>
        <v/>
      </c>
      <c r="AH173" s="30"/>
      <c r="AI173" s="88"/>
      <c r="AJ173" s="95" t="str">
        <f aca="false">IF(Tasks[[#This Row],[Task Name]]="","",IF(Tasks[[#This Row],[_IsSummary]],SUM(INDEX(Tasks[_LeafWork],Tasks[[#This Row],[_Row]]+1):INDEX(Tasks[_LeafWork],Tasks[[#This Row],[_Row]]+Tasks[[#This Row],[_Descendants]])),Tasks[[#This Row],[_LeafWork]]))</f>
        <v/>
      </c>
      <c r="AK173" s="96" t="str">
        <f aca="false">IF(Tasks[[#This Row],[Task Name]]="","",IF(Tasks[[#This Row],[_IsSummary]],SUM(INDEX(Tasks[_LeafCost],Tasks[[#This Row],[_Row]]+1):INDEX(Tasks[_LeafCost],Tasks[[#This Row],[_Row]]+Tasks[[#This Row],[_Descendants]])),Tasks[[#This Row],[_LeafCost]]))</f>
        <v/>
      </c>
      <c r="AL173" s="97"/>
      <c r="AM173" s="29"/>
      <c r="AN17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73" s="82"/>
      <c r="AP173" s="24" t="str">
        <f aca="false">IF(Tasks[[#This Row],[Task Name]]="","",Tasks[[#This Row],[_Pred1IDText]]&amp;IF(AND(Tasks[[#This Row],[_Pred1IDText]]&lt;&gt;"",Tasks[[#This Row],[_Pred2IDText]]&lt;&gt;""),",","")&amp;Tasks[[#This Row],[_Pred2IDText]])</f>
        <v/>
      </c>
      <c r="AQ173" s="30"/>
      <c r="AR173" s="25" t="str">
        <f aca="false">IF(Tasks[[#This Row],[Task Name]]="","",Tasks[[#This Row],[Forecast Start]])</f>
        <v/>
      </c>
      <c r="AS173" s="25" t="str">
        <f aca="false">IF(Tasks[[#This Row],[Task Name]]="","",Tasks[[#This Row],[Forecast Finish]])</f>
        <v/>
      </c>
      <c r="AT173" s="28" t="str">
        <f aca="false">IF(Tasks[[#This Row],[Task Name]]="","",IF(Tasks[[#This Row],[_IsSummary]],NETWORKDAYS.INTL(Tasks[[#This Row],[Forecast Start]],Tasks[[#This Row],[Forecast Finish]],WorkWeek,Holidays),N(Tasks[[#This Row],[Duration]])))</f>
        <v/>
      </c>
      <c r="AU173" s="95" t="str">
        <f aca="false">IF(Tasks[[#This Row],[Task Name]]="","",Tasks[[#This Row],[Work]])</f>
        <v/>
      </c>
      <c r="AV173" s="96" t="str">
        <f aca="false">IF(Tasks[[#This Row],[Task Name]]="","",Tasks[[#This Row],[Cost]])</f>
        <v/>
      </c>
      <c r="AW173" s="73"/>
      <c r="AX173" s="73"/>
      <c r="AY173" s="29"/>
      <c r="AZ173" s="98"/>
      <c r="BA173" s="97"/>
      <c r="BB173" s="28" t="str">
        <f aca="false">IF(OR(Tasks[[#This Row],[Task Name]]="",Tasks[[#This Row],[Baseline Duration]]=""),"",Tasks[[#This Row],[BL Source Duration]]-N(Tasks[[#This Row],[Baseline Duration]]))</f>
        <v/>
      </c>
      <c r="BC173" s="95" t="str">
        <f aca="false">IF(OR(Tasks[[#This Row],[Task Name]]="",Tasks[[#This Row],[Baseline Work]]=""),"",Tasks[[#This Row],[Work]]-N(Tasks[[#This Row],[Baseline Work]]))</f>
        <v/>
      </c>
      <c r="BD173" s="96" t="str">
        <f aca="false">IF(OR(Tasks[[#This Row],[Task Name]]="",Tasks[[#This Row],[Baseline Cost]]=""),"",Tasks[[#This Row],[Cost]]-N(Tasks[[#This Row],[Baseline Cost]]))</f>
        <v/>
      </c>
      <c r="BE173" s="96" t="str">
        <f aca="false">IF(Tasks[[#This Row],[Task Name]]="","",IF(Tasks[[#This Row],[_IsSummary]],SUM(INDEX(Tasks[_LeafBudget],Tasks[[#This Row],[_Row]]+1):INDEX(Tasks[_LeafBudget],Tasks[[#This Row],[_Row]]+Tasks[[#This Row],[_Descendants]])),Tasks[[#This Row],[_LeafBudget]]))</f>
        <v/>
      </c>
      <c r="BF173" s="96" t="str">
        <f aca="false">IF(Tasks[[#This Row],[Task Name]]="","",IF(Tasks[[#This Row],[_IsSummary]],SUM(INDEX(Tasks[_LeafPV],Tasks[[#This Row],[_Row]]+1):INDEX(Tasks[_LeafPV],Tasks[[#This Row],[_Row]]+Tasks[[#This Row],[_Descendants]])),Tasks[[#This Row],[_LeafPV]]))</f>
        <v/>
      </c>
      <c r="BG173" s="96" t="str">
        <f aca="false">IF(Tasks[[#This Row],[Task Name]]="","",IF(Tasks[[#This Row],[_IsSummary]],SUM(INDEX(Tasks[_LeafEV],Tasks[[#This Row],[_Row]]+1):INDEX(Tasks[_LeafEV],Tasks[[#This Row],[_Row]]+Tasks[[#This Row],[_Descendants]])),Tasks[[#This Row],[_LeafEV]]))</f>
        <v/>
      </c>
      <c r="BH173" s="96" t="str">
        <f aca="false">IF(Tasks[[#This Row],[Task Name]]="","",IF(Tasks[[#This Row],[_IsSummary]],SUM(INDEX(Tasks[_LeafAC],Tasks[[#This Row],[_Row]]+1):INDEX(Tasks[_LeafAC],Tasks[[#This Row],[_Row]]+Tasks[[#This Row],[_Descendants]])),Tasks[[#This Row],[_LeafAC]]))</f>
        <v/>
      </c>
      <c r="BI173" s="41" t="str">
        <f aca="false">IF(Tasks[[#This Row],[Task Name]]="","",MAX(1,N(Tasks[[#This Row],[Level]])))</f>
        <v/>
      </c>
      <c r="BJ173" s="41" t="n">
        <f aca="false">ROW()-ROW(Tasks[[#Headers],[ID]])</f>
        <v>168</v>
      </c>
      <c r="BK173" s="41" t="n">
        <f aca="false">IF(OR(Tasks[[#This Row],[Task Name]]="",Tasks[[#This Row],[_Level]]&lt;=1),0,IFERROR(LOOKUP(2,1/(Tasks[[#Headers],[_Level]]:Tasks[[#This Row],[_Level]]=Tasks[[#This Row],[_Level]]-1),ROW(Tasks[[#Headers],[_Level]]:Tasks[[#This Row],[_Level]])),0))</f>
        <v>0</v>
      </c>
      <c r="BL173" s="41" t="n">
        <f aca="false">IFERROR(N(INDEX(Tasks[_Level],Tasks[[#This Row],[_Row]]+1)),0)</f>
        <v>0</v>
      </c>
      <c r="BM173" s="99" t="b">
        <f aca="false">AND(Tasks[[#This Row],[Task Name]]&lt;&gt;"",Tasks[[#This Row],[_NextLevel]]&gt;Tasks[[#This Row],[_Level]])</f>
        <v>0</v>
      </c>
      <c r="BN173" s="41" t="n">
        <f aca="false">IF(Tasks[[#This Row],[_IsSummary]],COUNTIF(Tasks[WBS],Tasks[[#This Row],[WBS]]&amp;".*"),0)</f>
        <v>0</v>
      </c>
      <c r="BO173" s="41" t="n">
        <f aca="false">IF(AND(Tasks[[#This Row],[Task Name]]&lt;&gt;"",NOT(Tasks[[#This Row],[_IsSummary]])),1,0)</f>
        <v>0</v>
      </c>
      <c r="BP173" s="41" t="n">
        <f aca="false">IF(N(Tasks[[#This Row],[Pred1 UID]])=0,0,IFERROR(MATCH(Tasks[[#This Row],[Pred1 UID]],Tasks[UID],0),-1))</f>
        <v>0</v>
      </c>
      <c r="BQ173" s="41" t="n">
        <f aca="false">IF(N(Tasks[[#This Row],[Pred2 UID]])=0,0,IFERROR(MATCH(Tasks[[#This Row],[Pred2 UID]],Tasks[UID],0),-1))</f>
        <v>0</v>
      </c>
      <c r="BR173"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73" s="100" t="str">
        <f aca="false">IF(NOT(Tasks[[#This Row],[_IsLeaf]]=1),"",IF(N(Tasks[[#This Row],[Duration]])&lt;=0,Tasks[[#This Row],[_LeafCalcStart]],WORKDAY.INTL(Tasks[[#This Row],[_LeafCalcStart]],Tasks[[#This Row],[Duration]]-1,WorkWeek,Holidays)))</f>
        <v/>
      </c>
      <c r="BT173"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73"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73" s="41" t="n">
        <f aca="false">IF(NOT(Tasks[[#This Row],[_IsLeaf]]=1),0,IF(N(Tasks[[#This Row],[Actual Finish]])&gt;0,1,MIN(1,N(Tasks[[#This Row],[% Complete]]))))</f>
        <v>0</v>
      </c>
      <c r="BW173" s="41" t="n">
        <f aca="false">IF(OR(NOT(Tasks[[#This Row],[_IsLeaf]]=1),Tasks[[#This Row],[Resource]]=""),0,N(Tasks[[#This Row],[Duration]])*HoursPerDay*IF(Tasks[[#This Row],[Units]]="",DefaultUnits,Tasks[[#This Row],[Units]]))</f>
        <v>0</v>
      </c>
      <c r="BX173" s="41" t="n">
        <f aca="false">IF(Tasks[[#This Row],[_LeafWork]]=0,0,Tasks[[#This Row],[_LeafWork]]*IFERROR(INDEX(res_Rate,MATCH(Tasks[[#This Row],[Resource]],res_Name,0)),0))</f>
        <v>0</v>
      </c>
      <c r="BY17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7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7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7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73" s="41" t="n">
        <f aca="false">IF(NOT(Tasks[[#This Row],[_IsLeaf]]=1),0,MAX(_xlfn.MAXIFS(Tasks[_Row],Tasks[Pred1 UID],Tasks[[#This Row],[UID]]),_xlfn.MAXIFS(Tasks[_Row],Tasks[Pred2 UID],Tasks[[#This Row],[UID]])))</f>
        <v>0</v>
      </c>
      <c r="CD173"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73" s="100" t="str">
        <f aca="false">IF(NOT(Tasks[[#This Row],[_IsLeaf]]=1),"",MIN(ProjectFinish,IF(N(Tasks[[#This Row],[Deadline]])&gt;0,Tasks[[#This Row],[Deadline]],2958465),Tasks[[#This Row],[_SuccessorFinishLimit]]))</f>
        <v/>
      </c>
      <c r="CF173" s="100" t="str">
        <f aca="false">IF(NOT(Tasks[[#This Row],[_IsLeaf]]=1),"",IF(N(Tasks[[#This Row],[Duration]])&lt;=0,Tasks[[#This Row],[_LeafLateFinish]],WORKDAY.INTL(Tasks[[#This Row],[_LeafLateFinish]],-(Tasks[[#This Row],[Duration]]-1),WorkWeek,Holidays)))</f>
        <v/>
      </c>
      <c r="CG17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73" s="99" t="b">
        <f aca="false">AND(Tasks[[#This Row],[_IsLeaf]]=1,Tasks[[#This Row],[_LeafProgress]]&lt;1,N(Tasks[[#This Row],[_LeafTotalSlack]])&lt;=CriticalSlackDays)</f>
        <v>0</v>
      </c>
      <c r="CI173" s="100" t="str">
        <f aca="false">IF(Tasks[[#This Row],[Task Name]]="","",IF(Tasks[[#This Row],[_IsSummary]],MIN(INDEX(Tasks[_LeafCalcStart],Tasks[[#This Row],[_Row]]+1):INDEX(Tasks[_LeafCalcStart],Tasks[[#This Row],[_Row]]+Tasks[[#This Row],[_Descendants]])),Tasks[[#This Row],[_LeafCalcStart]]))</f>
        <v/>
      </c>
      <c r="CJ173" s="100" t="str">
        <f aca="false">IF(Tasks[[#This Row],[Task Name]]="","",IF(Tasks[[#This Row],[_IsSummary]],MAX(INDEX(Tasks[_LeafCalcFinish],Tasks[[#This Row],[_Row]]+1):INDEX(Tasks[_LeafCalcFinish],Tasks[[#This Row],[_Row]]+Tasks[[#This Row],[_Descendants]])),Tasks[[#This Row],[_LeafCalcFinish]]))</f>
        <v/>
      </c>
      <c r="CK17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7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73"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73"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73"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73"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73" s="41" t="n">
        <f aca="false">IF(AND(Tasks[[#This Row],[_IsLeaf]]=1,Tasks[[#This Row],[_LeafWork]]&gt;0),NETWORKDAYS.INTL(ProjectStart,Tasks[[#This Row],[_LeafFcstStart]],WorkWeek,Holidays),0)</f>
        <v>0</v>
      </c>
      <c r="CR173" s="41" t="n">
        <f aca="false">IF(AND(Tasks[[#This Row],[_IsLeaf]]=1,Tasks[[#This Row],[_LeafWork]]&gt;0),MAX(Tasks[[#This Row],[_StartWorkday]],NETWORKDAYS.INTL(ProjectStart,Tasks[[#This Row],[_LeafFcstFinish]],WorkWeek,Holidays)),0)</f>
        <v>0</v>
      </c>
      <c r="CS173" s="41" t="n">
        <f aca="false">IF(AND(Tasks[[#This Row],[_IsLeaf]]=1,Tasks[[#This Row],[_LeafWork]]&gt;0),Tasks[[#This Row],[_LeafWork]]/(Tasks[[#This Row],[_FinishWorkday]]-Tasks[[#This Row],[_StartWorkday]]+1),0)</f>
        <v>0</v>
      </c>
      <c r="CT173" s="41" t="n">
        <f aca="false">Tasks[[#This Row],[_WorkPerWorkday]]*(Tasks[[#This Row],[_StartWorkday]]-1)</f>
        <v>-0</v>
      </c>
      <c r="CU173" s="41" t="n">
        <f aca="false">IF(Tasks[[#This Row],[_IsLeaf]]=1,MAX(N(Tasks[[#This Row],[Duration]]),0.1),0)</f>
        <v>0</v>
      </c>
      <c r="CV173" s="41" t="n">
        <f aca="false">Tasks[[#This Row],[_WeightDur]]*Tasks[[#This Row],[_LeafProgress]]</f>
        <v>0</v>
      </c>
      <c r="CW17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7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7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7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73" s="41" t="str">
        <f aca="false">IF(Tasks[[#This Row],[Task Name]]="","",Tasks[[#This Row],[_Pred1UIDText]]&amp;IF(AND(Tasks[[#This Row],[_Pred1UIDText]]&lt;&gt;"",Tasks[[#This Row],[_Pred2UIDText]]&lt;&gt;""),",","")&amp;Tasks[[#This Row],[_Pred2UIDText]])</f>
        <v/>
      </c>
      <c r="DB173" s="41" t="str">
        <f aca="false">IF(AND(Tasks[[#This Row],[_IsLeaf]]=1,N(Tasks[[#This Row],[Duration]])=0,Tasks[[#This Row],[_LeafProgress]]&lt;1),Tasks[[#This Row],[_LeafFcstFinish]]+Tasks[[#This Row],[_Row]]/100000,"")</f>
        <v/>
      </c>
      <c r="DC17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73" s="41" t="n">
        <f aca="false">IF(NOT(Tasks[[#This Row],[_IsLeaf]]=1),0,IF(Tasks[[#This Row],[Baseline Cost]]="",Tasks[[#This Row],[_LeafCost]],N(Tasks[[#This Row],[Baseline Cost]])))</f>
        <v>0</v>
      </c>
      <c r="DE173" s="41" t="n">
        <f aca="false">Tasks[[#This Row],[_LeafBudget]]*Tasks[[#This Row],[_PlannedPct]]</f>
        <v>0</v>
      </c>
      <c r="DF173" s="41" t="n">
        <f aca="false">Tasks[[#This Row],[_LeafBudget]]*Tasks[[#This Row],[_LeafProgress]]</f>
        <v>0</v>
      </c>
      <c r="DG173" s="41" t="n">
        <f aca="false">IF(NOT(Tasks[[#This Row],[_IsLeaf]]=1),0,IF(Tasks[[#This Row],[Actual Cost]]="",Tasks[[#This Row],[_LeafCost]]*Tasks[[#This Row],[_LeafProgress]],N(Tasks[[#This Row],[Actual Cost]])))</f>
        <v>0</v>
      </c>
      <c r="DH173" s="41" t="str">
        <f aca="false">IF(Tasks[[#This Row],[Task Name]]="","",LEFT(Tasks[[#This Row],[WBS]],FIND(".",Tasks[[#This Row],[WBS]]&amp;".")-1))</f>
        <v/>
      </c>
      <c r="DI173" s="41" t="str">
        <f aca="false">IF(AND(Tasks[[#This Row],[Task Name]]&lt;&gt;"",Tasks[[#This Row],[_Level]]=1),Tasks[[#This Row],[_Row]],"")</f>
        <v/>
      </c>
      <c r="DJ173" s="41" t="str">
        <f aca="false">IF(AND(Tasks[[#This Row],[_IsLeaf]]=1,N(Tasks[[#This Row],[Duration]])=0),Tasks[[#This Row],[Planned Finish]]+Tasks[[#This Row],[_Row]]/100000,"")</f>
        <v/>
      </c>
      <c r="DK173" s="41" t="str">
        <f aca="false">IF(AND(Tasks[[#This Row],[_IsLeaf]]=1,Tasks[[#This Row],[_LeafProgress]]&lt;1,OR(N(Tasks[[#This Row],[Finish Var]])&gt;0,Tasks[[#This Row],[Status]]="Late Start")),MAX(0,Tasks[[#This Row],[Finish Var]])+1-Tasks[[#This Row],[_Row]]/1000000,"")</f>
        <v/>
      </c>
      <c r="DL173" s="41" t="str">
        <f aca="false">IF(AND(Tasks[[#This Row],[_IsLeaf]]=1,N(Tasks[[#This Row],[Actual Start]])=0,Tasks[[#This Row],[_LeafFcstStart]]&gt;=StatusDate,Tasks[[#This Row],[_LeafFcstStart]]&lt;=LookaheadEnd),Tasks[[#This Row],[_LeafFcstStart]]+Tasks[[#This Row],[_Row]]/100000,"")</f>
        <v/>
      </c>
      <c r="DM173" s="41" t="str">
        <f aca="false">IF(AND(Tasks[[#This Row],[_IsLeaf]]=1,Tasks[[#This Row],[_LeafProgress]]&lt;1,Tasks[[#This Row],[_LeafFcstFinish]]&gt;=StatusDate,Tasks[[#This Row],[_LeafFcstFinish]]&lt;=LookaheadEnd),Tasks[[#This Row],[_LeafFcstFinish]]+Tasks[[#This Row],[_Row]]/100000,"")</f>
        <v/>
      </c>
      <c r="DN173" s="41" t="str">
        <f aca="false">IF(Tasks[[#This Row],[_LeafCritical]],Tasks[[#This Row],[_LeafFcstStart]]+Tasks[[#This Row],[_Row]]/100000,"")</f>
        <v/>
      </c>
      <c r="DO173" s="41" t="n">
        <f aca="false">Tasks[[#This Row],[_LeafWork]]*Tasks[[#This Row],[_LeafProgress]]</f>
        <v>0</v>
      </c>
      <c r="DP173" s="100" t="str">
        <f aca="false">IF(AND(Tasks[[#This Row],[_IsLeaf]]=1,Tasks[[#This Row],[_LeafProgress]]&gt;=1),IF(N(Tasks[[#This Row],[Actual Finish]])&gt;0,Tasks[[#This Row],[Actual Finish]],Tasks[[#This Row],[_LeafFcstFinish]]),"")</f>
        <v/>
      </c>
      <c r="DQ173" s="41" t="n">
        <f aca="false">IF(Tasks[[#This Row],[_IsLeaf]]=1,N(Tasks[[#This Row],[Story Points]]),0)</f>
        <v>0</v>
      </c>
      <c r="DR173" s="41" t="str">
        <f aca="false">IF(AND(Tasks[[#This Row],[_IsLeaf]]=1,CurrentSprint&lt;&gt;"",Tasks[[#This Row],[Sprint]]=CurrentSprint),Tasks[[#This Row],[_Row]],"")</f>
        <v/>
      </c>
    </row>
    <row r="174" customFormat="false" ht="15" hidden="false" customHeight="false" outlineLevel="0" collapsed="false">
      <c r="A174" s="28" t="str">
        <f aca="false">IF(Tasks[[#This Row],[Task Name]]="","",COUNTA(Tasks[[#Headers],[Task Name]]:Tasks[[#This Row],[Task Name]])-1)</f>
        <v/>
      </c>
      <c r="B174" s="29" t="n">
        <v>169</v>
      </c>
      <c r="C17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4" s="29"/>
      <c r="E174" s="30"/>
      <c r="F174" s="29"/>
      <c r="G174" s="29"/>
      <c r="H174" s="29"/>
      <c r="I174" s="29"/>
      <c r="J174" s="29"/>
      <c r="K174" s="29"/>
      <c r="L174" s="29"/>
      <c r="M174" s="29"/>
      <c r="N174" s="73"/>
      <c r="O174" s="73"/>
      <c r="P174" s="25" t="str">
        <f aca="false">IF(Tasks[[#This Row],[Task Name]]="","",IF(N(Tasks[[#This Row],[Baseline Start]])&gt;0,Tasks[[#This Row],[Baseline Start]],Tasks[[#This Row],[_CalcStart]]))</f>
        <v/>
      </c>
      <c r="Q174" s="25" t="str">
        <f aca="false">IF(Tasks[[#This Row],[Task Name]]="","",IF(N(Tasks[[#This Row],[Baseline Finish]])&gt;0,Tasks[[#This Row],[Baseline Finish]],Tasks[[#This Row],[_CalcFinish]]))</f>
        <v/>
      </c>
      <c r="R174" s="73"/>
      <c r="S174" s="73"/>
      <c r="T174" s="25" t="str">
        <f aca="false">IF(Tasks[[#This Row],[Task Name]]="","",IF(Tasks[[#This Row],[_IsSummary]],MIN(INDEX(Tasks[_LeafFcstStart],Tasks[[#This Row],[_Row]]+1):INDEX(Tasks[_LeafFcstStart],Tasks[[#This Row],[_Row]]+Tasks[[#This Row],[_Descendants]])),Tasks[[#This Row],[_LeafFcstStart]]))</f>
        <v/>
      </c>
      <c r="U174" s="25" t="str">
        <f aca="false">IF(Tasks[[#This Row],[Task Name]]="","",IF(Tasks[[#This Row],[_IsSummary]],MAX(INDEX(Tasks[_LeafFcstFinish],Tasks[[#This Row],[_Row]]+1):INDEX(Tasks[_LeafFcstFinish],Tasks[[#This Row],[_Row]]+Tasks[[#This Row],[_Descendants]])),Tasks[[#This Row],[_LeafFcstFinish]]))</f>
        <v/>
      </c>
      <c r="V17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7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4" s="25" t="str">
        <f aca="false">IF(Tasks[[#This Row],[Task Name]]="","",IF(Tasks[[#This Row],[_IsSummary]],MIN(INDEX(Tasks[_LeafLateStart],Tasks[[#This Row],[_Row]]+1):INDEX(Tasks[_LeafLateStart],Tasks[[#This Row],[_Row]]+Tasks[[#This Row],[_Descendants]])),Tasks[[#This Row],[_LeafLateStart]]))</f>
        <v/>
      </c>
      <c r="Y174" s="25" t="str">
        <f aca="false">IF(Tasks[[#This Row],[Task Name]]="","",IF(Tasks[[#This Row],[_IsSummary]],MAX(INDEX(Tasks[_LeafLateFinish],Tasks[[#This Row],[_Row]]+1):INDEX(Tasks[_LeafLateFinish],Tasks[[#This Row],[_Row]]+Tasks[[#This Row],[_Descendants]])),Tasks[[#This Row],[_LeafLateFinish]]))</f>
        <v/>
      </c>
      <c r="Z174" s="43" t="str">
        <f aca="false">IF(Tasks[[#This Row],[Task Name]]="","",IF(Tasks[[#This Row],[_IsSummary]],MIN(INDEX(Tasks[_LeafTotalSlack],Tasks[[#This Row],[_Row]]+1):INDEX(Tasks[_LeafTotalSlack],Tasks[[#This Row],[_Row]]+Tasks[[#This Row],[_Descendants]])),Tasks[[#This Row],[_LeafTotalSlack]]))</f>
        <v/>
      </c>
      <c r="AA17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4" s="28" t="str">
        <f aca="false">IF(Tasks[[#This Row],[Task Name]]="","",IF(IF(Tasks[[#This Row],[_IsSummary]],COUNTIF(INDEX(Tasks[_LeafCritical],Tasks[[#This Row],[_Row]]+1):INDEX(Tasks[_LeafCritical],Tasks[[#This Row],[_Row]]+Tasks[[#This Row],[_Descendants]]),TRUE())&gt;0,Tasks[[#This Row],[_LeafCritical]]),"Yes",""))</f>
        <v/>
      </c>
      <c r="AC17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4" s="24" t="str">
        <f aca="false">IF(Tasks[[#This Row],[Task Name]]="","",TRIM(IF(Tasks[[#This Row],[_Pred1Problem]]&lt;&gt;"","Pred 1: "&amp;Tasks[[#This Row],[_Pred1Problem]]&amp;". ","")&amp;IF(Tasks[[#This Row],[_Pred2Problem]]&lt;&gt;"","Pred 2: "&amp;Tasks[[#This Row],[_Pred2Problem]]&amp;".","")))</f>
        <v/>
      </c>
      <c r="AE174" s="88"/>
      <c r="AF174"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4" s="28" t="str">
        <f aca="false">IF(Tasks[[#This Row],[Task Name]]="","",IF(Tasks[[#This Row],[Progress]]&gt;=1,"Complete",IF(OR(N(Tasks[[#This Row],[Actual Start]])&gt;0,Tasks[[#This Row],[Progress]]&gt;0),IF(Tasks[[#This Row],[Finish Var]]&gt;0,"Behind","In Progress"),IF(Tasks[[#This Row],[Planned Start]]&lt;StatusDate,"Late Start","Not Started"))))</f>
        <v/>
      </c>
      <c r="AH174" s="30"/>
      <c r="AI174" s="88"/>
      <c r="AJ174" s="95" t="str">
        <f aca="false">IF(Tasks[[#This Row],[Task Name]]="","",IF(Tasks[[#This Row],[_IsSummary]],SUM(INDEX(Tasks[_LeafWork],Tasks[[#This Row],[_Row]]+1):INDEX(Tasks[_LeafWork],Tasks[[#This Row],[_Row]]+Tasks[[#This Row],[_Descendants]])),Tasks[[#This Row],[_LeafWork]]))</f>
        <v/>
      </c>
      <c r="AK174" s="96" t="str">
        <f aca="false">IF(Tasks[[#This Row],[Task Name]]="","",IF(Tasks[[#This Row],[_IsSummary]],SUM(INDEX(Tasks[_LeafCost],Tasks[[#This Row],[_Row]]+1):INDEX(Tasks[_LeafCost],Tasks[[#This Row],[_Row]]+Tasks[[#This Row],[_Descendants]])),Tasks[[#This Row],[_LeafCost]]))</f>
        <v/>
      </c>
      <c r="AL174" s="97"/>
      <c r="AM174" s="29"/>
      <c r="AN17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74" s="82"/>
      <c r="AP174" s="24" t="str">
        <f aca="false">IF(Tasks[[#This Row],[Task Name]]="","",Tasks[[#This Row],[_Pred1IDText]]&amp;IF(AND(Tasks[[#This Row],[_Pred1IDText]]&lt;&gt;"",Tasks[[#This Row],[_Pred2IDText]]&lt;&gt;""),",","")&amp;Tasks[[#This Row],[_Pred2IDText]])</f>
        <v/>
      </c>
      <c r="AQ174" s="30"/>
      <c r="AR174" s="25" t="str">
        <f aca="false">IF(Tasks[[#This Row],[Task Name]]="","",Tasks[[#This Row],[Forecast Start]])</f>
        <v/>
      </c>
      <c r="AS174" s="25" t="str">
        <f aca="false">IF(Tasks[[#This Row],[Task Name]]="","",Tasks[[#This Row],[Forecast Finish]])</f>
        <v/>
      </c>
      <c r="AT174" s="28" t="str">
        <f aca="false">IF(Tasks[[#This Row],[Task Name]]="","",IF(Tasks[[#This Row],[_IsSummary]],NETWORKDAYS.INTL(Tasks[[#This Row],[Forecast Start]],Tasks[[#This Row],[Forecast Finish]],WorkWeek,Holidays),N(Tasks[[#This Row],[Duration]])))</f>
        <v/>
      </c>
      <c r="AU174" s="95" t="str">
        <f aca="false">IF(Tasks[[#This Row],[Task Name]]="","",Tasks[[#This Row],[Work]])</f>
        <v/>
      </c>
      <c r="AV174" s="96" t="str">
        <f aca="false">IF(Tasks[[#This Row],[Task Name]]="","",Tasks[[#This Row],[Cost]])</f>
        <v/>
      </c>
      <c r="AW174" s="73"/>
      <c r="AX174" s="73"/>
      <c r="AY174" s="29"/>
      <c r="AZ174" s="98"/>
      <c r="BA174" s="97"/>
      <c r="BB174" s="28" t="str">
        <f aca="false">IF(OR(Tasks[[#This Row],[Task Name]]="",Tasks[[#This Row],[Baseline Duration]]=""),"",Tasks[[#This Row],[BL Source Duration]]-N(Tasks[[#This Row],[Baseline Duration]]))</f>
        <v/>
      </c>
      <c r="BC174" s="95" t="str">
        <f aca="false">IF(OR(Tasks[[#This Row],[Task Name]]="",Tasks[[#This Row],[Baseline Work]]=""),"",Tasks[[#This Row],[Work]]-N(Tasks[[#This Row],[Baseline Work]]))</f>
        <v/>
      </c>
      <c r="BD174" s="96" t="str">
        <f aca="false">IF(OR(Tasks[[#This Row],[Task Name]]="",Tasks[[#This Row],[Baseline Cost]]=""),"",Tasks[[#This Row],[Cost]]-N(Tasks[[#This Row],[Baseline Cost]]))</f>
        <v/>
      </c>
      <c r="BE174" s="96" t="str">
        <f aca="false">IF(Tasks[[#This Row],[Task Name]]="","",IF(Tasks[[#This Row],[_IsSummary]],SUM(INDEX(Tasks[_LeafBudget],Tasks[[#This Row],[_Row]]+1):INDEX(Tasks[_LeafBudget],Tasks[[#This Row],[_Row]]+Tasks[[#This Row],[_Descendants]])),Tasks[[#This Row],[_LeafBudget]]))</f>
        <v/>
      </c>
      <c r="BF174" s="96" t="str">
        <f aca="false">IF(Tasks[[#This Row],[Task Name]]="","",IF(Tasks[[#This Row],[_IsSummary]],SUM(INDEX(Tasks[_LeafPV],Tasks[[#This Row],[_Row]]+1):INDEX(Tasks[_LeafPV],Tasks[[#This Row],[_Row]]+Tasks[[#This Row],[_Descendants]])),Tasks[[#This Row],[_LeafPV]]))</f>
        <v/>
      </c>
      <c r="BG174" s="96" t="str">
        <f aca="false">IF(Tasks[[#This Row],[Task Name]]="","",IF(Tasks[[#This Row],[_IsSummary]],SUM(INDEX(Tasks[_LeafEV],Tasks[[#This Row],[_Row]]+1):INDEX(Tasks[_LeafEV],Tasks[[#This Row],[_Row]]+Tasks[[#This Row],[_Descendants]])),Tasks[[#This Row],[_LeafEV]]))</f>
        <v/>
      </c>
      <c r="BH174" s="96" t="str">
        <f aca="false">IF(Tasks[[#This Row],[Task Name]]="","",IF(Tasks[[#This Row],[_IsSummary]],SUM(INDEX(Tasks[_LeafAC],Tasks[[#This Row],[_Row]]+1):INDEX(Tasks[_LeafAC],Tasks[[#This Row],[_Row]]+Tasks[[#This Row],[_Descendants]])),Tasks[[#This Row],[_LeafAC]]))</f>
        <v/>
      </c>
      <c r="BI174" s="41" t="str">
        <f aca="false">IF(Tasks[[#This Row],[Task Name]]="","",MAX(1,N(Tasks[[#This Row],[Level]])))</f>
        <v/>
      </c>
      <c r="BJ174" s="41" t="n">
        <f aca="false">ROW()-ROW(Tasks[[#Headers],[ID]])</f>
        <v>169</v>
      </c>
      <c r="BK174" s="41" t="n">
        <f aca="false">IF(OR(Tasks[[#This Row],[Task Name]]="",Tasks[[#This Row],[_Level]]&lt;=1),0,IFERROR(LOOKUP(2,1/(Tasks[[#Headers],[_Level]]:Tasks[[#This Row],[_Level]]=Tasks[[#This Row],[_Level]]-1),ROW(Tasks[[#Headers],[_Level]]:Tasks[[#This Row],[_Level]])),0))</f>
        <v>0</v>
      </c>
      <c r="BL174" s="41" t="n">
        <f aca="false">IFERROR(N(INDEX(Tasks[_Level],Tasks[[#This Row],[_Row]]+1)),0)</f>
        <v>0</v>
      </c>
      <c r="BM174" s="99" t="b">
        <f aca="false">AND(Tasks[[#This Row],[Task Name]]&lt;&gt;"",Tasks[[#This Row],[_NextLevel]]&gt;Tasks[[#This Row],[_Level]])</f>
        <v>0</v>
      </c>
      <c r="BN174" s="41" t="n">
        <f aca="false">IF(Tasks[[#This Row],[_IsSummary]],COUNTIF(Tasks[WBS],Tasks[[#This Row],[WBS]]&amp;".*"),0)</f>
        <v>0</v>
      </c>
      <c r="BO174" s="41" t="n">
        <f aca="false">IF(AND(Tasks[[#This Row],[Task Name]]&lt;&gt;"",NOT(Tasks[[#This Row],[_IsSummary]])),1,0)</f>
        <v>0</v>
      </c>
      <c r="BP174" s="41" t="n">
        <f aca="false">IF(N(Tasks[[#This Row],[Pred1 UID]])=0,0,IFERROR(MATCH(Tasks[[#This Row],[Pred1 UID]],Tasks[UID],0),-1))</f>
        <v>0</v>
      </c>
      <c r="BQ174" s="41" t="n">
        <f aca="false">IF(N(Tasks[[#This Row],[Pred2 UID]])=0,0,IFERROR(MATCH(Tasks[[#This Row],[Pred2 UID]],Tasks[UID],0),-1))</f>
        <v>0</v>
      </c>
      <c r="BR174"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74" s="100" t="str">
        <f aca="false">IF(NOT(Tasks[[#This Row],[_IsLeaf]]=1),"",IF(N(Tasks[[#This Row],[Duration]])&lt;=0,Tasks[[#This Row],[_LeafCalcStart]],WORKDAY.INTL(Tasks[[#This Row],[_LeafCalcStart]],Tasks[[#This Row],[Duration]]-1,WorkWeek,Holidays)))</f>
        <v/>
      </c>
      <c r="BT174"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74"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74" s="41" t="n">
        <f aca="false">IF(NOT(Tasks[[#This Row],[_IsLeaf]]=1),0,IF(N(Tasks[[#This Row],[Actual Finish]])&gt;0,1,MIN(1,N(Tasks[[#This Row],[% Complete]]))))</f>
        <v>0</v>
      </c>
      <c r="BW174" s="41" t="n">
        <f aca="false">IF(OR(NOT(Tasks[[#This Row],[_IsLeaf]]=1),Tasks[[#This Row],[Resource]]=""),0,N(Tasks[[#This Row],[Duration]])*HoursPerDay*IF(Tasks[[#This Row],[Units]]="",DefaultUnits,Tasks[[#This Row],[Units]]))</f>
        <v>0</v>
      </c>
      <c r="BX174" s="41" t="n">
        <f aca="false">IF(Tasks[[#This Row],[_LeafWork]]=0,0,Tasks[[#This Row],[_LeafWork]]*IFERROR(INDEX(res_Rate,MATCH(Tasks[[#This Row],[Resource]],res_Name,0)),0))</f>
        <v>0</v>
      </c>
      <c r="BY17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7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7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7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74" s="41" t="n">
        <f aca="false">IF(NOT(Tasks[[#This Row],[_IsLeaf]]=1),0,MAX(_xlfn.MAXIFS(Tasks[_Row],Tasks[Pred1 UID],Tasks[[#This Row],[UID]]),_xlfn.MAXIFS(Tasks[_Row],Tasks[Pred2 UID],Tasks[[#This Row],[UID]])))</f>
        <v>0</v>
      </c>
      <c r="CD174"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74" s="100" t="str">
        <f aca="false">IF(NOT(Tasks[[#This Row],[_IsLeaf]]=1),"",MIN(ProjectFinish,IF(N(Tasks[[#This Row],[Deadline]])&gt;0,Tasks[[#This Row],[Deadline]],2958465),Tasks[[#This Row],[_SuccessorFinishLimit]]))</f>
        <v/>
      </c>
      <c r="CF174" s="100" t="str">
        <f aca="false">IF(NOT(Tasks[[#This Row],[_IsLeaf]]=1),"",IF(N(Tasks[[#This Row],[Duration]])&lt;=0,Tasks[[#This Row],[_LeafLateFinish]],WORKDAY.INTL(Tasks[[#This Row],[_LeafLateFinish]],-(Tasks[[#This Row],[Duration]]-1),WorkWeek,Holidays)))</f>
        <v/>
      </c>
      <c r="CG17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74" s="99" t="b">
        <f aca="false">AND(Tasks[[#This Row],[_IsLeaf]]=1,Tasks[[#This Row],[_LeafProgress]]&lt;1,N(Tasks[[#This Row],[_LeafTotalSlack]])&lt;=CriticalSlackDays)</f>
        <v>0</v>
      </c>
      <c r="CI174" s="100" t="str">
        <f aca="false">IF(Tasks[[#This Row],[Task Name]]="","",IF(Tasks[[#This Row],[_IsSummary]],MIN(INDEX(Tasks[_LeafCalcStart],Tasks[[#This Row],[_Row]]+1):INDEX(Tasks[_LeafCalcStart],Tasks[[#This Row],[_Row]]+Tasks[[#This Row],[_Descendants]])),Tasks[[#This Row],[_LeafCalcStart]]))</f>
        <v/>
      </c>
      <c r="CJ174" s="100" t="str">
        <f aca="false">IF(Tasks[[#This Row],[Task Name]]="","",IF(Tasks[[#This Row],[_IsSummary]],MAX(INDEX(Tasks[_LeafCalcFinish],Tasks[[#This Row],[_Row]]+1):INDEX(Tasks[_LeafCalcFinish],Tasks[[#This Row],[_Row]]+Tasks[[#This Row],[_Descendants]])),Tasks[[#This Row],[_LeafCalcFinish]]))</f>
        <v/>
      </c>
      <c r="CK17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7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74"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74"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74"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74"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74" s="41" t="n">
        <f aca="false">IF(AND(Tasks[[#This Row],[_IsLeaf]]=1,Tasks[[#This Row],[_LeafWork]]&gt;0),NETWORKDAYS.INTL(ProjectStart,Tasks[[#This Row],[_LeafFcstStart]],WorkWeek,Holidays),0)</f>
        <v>0</v>
      </c>
      <c r="CR174" s="41" t="n">
        <f aca="false">IF(AND(Tasks[[#This Row],[_IsLeaf]]=1,Tasks[[#This Row],[_LeafWork]]&gt;0),MAX(Tasks[[#This Row],[_StartWorkday]],NETWORKDAYS.INTL(ProjectStart,Tasks[[#This Row],[_LeafFcstFinish]],WorkWeek,Holidays)),0)</f>
        <v>0</v>
      </c>
      <c r="CS174" s="41" t="n">
        <f aca="false">IF(AND(Tasks[[#This Row],[_IsLeaf]]=1,Tasks[[#This Row],[_LeafWork]]&gt;0),Tasks[[#This Row],[_LeafWork]]/(Tasks[[#This Row],[_FinishWorkday]]-Tasks[[#This Row],[_StartWorkday]]+1),0)</f>
        <v>0</v>
      </c>
      <c r="CT174" s="41" t="n">
        <f aca="false">Tasks[[#This Row],[_WorkPerWorkday]]*(Tasks[[#This Row],[_StartWorkday]]-1)</f>
        <v>-0</v>
      </c>
      <c r="CU174" s="41" t="n">
        <f aca="false">IF(Tasks[[#This Row],[_IsLeaf]]=1,MAX(N(Tasks[[#This Row],[Duration]]),0.1),0)</f>
        <v>0</v>
      </c>
      <c r="CV174" s="41" t="n">
        <f aca="false">Tasks[[#This Row],[_WeightDur]]*Tasks[[#This Row],[_LeafProgress]]</f>
        <v>0</v>
      </c>
      <c r="CW17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7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7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7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74" s="41" t="str">
        <f aca="false">IF(Tasks[[#This Row],[Task Name]]="","",Tasks[[#This Row],[_Pred1UIDText]]&amp;IF(AND(Tasks[[#This Row],[_Pred1UIDText]]&lt;&gt;"",Tasks[[#This Row],[_Pred2UIDText]]&lt;&gt;""),",","")&amp;Tasks[[#This Row],[_Pred2UIDText]])</f>
        <v/>
      </c>
      <c r="DB174" s="41" t="str">
        <f aca="false">IF(AND(Tasks[[#This Row],[_IsLeaf]]=1,N(Tasks[[#This Row],[Duration]])=0,Tasks[[#This Row],[_LeafProgress]]&lt;1),Tasks[[#This Row],[_LeafFcstFinish]]+Tasks[[#This Row],[_Row]]/100000,"")</f>
        <v/>
      </c>
      <c r="DC17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74" s="41" t="n">
        <f aca="false">IF(NOT(Tasks[[#This Row],[_IsLeaf]]=1),0,IF(Tasks[[#This Row],[Baseline Cost]]="",Tasks[[#This Row],[_LeafCost]],N(Tasks[[#This Row],[Baseline Cost]])))</f>
        <v>0</v>
      </c>
      <c r="DE174" s="41" t="n">
        <f aca="false">Tasks[[#This Row],[_LeafBudget]]*Tasks[[#This Row],[_PlannedPct]]</f>
        <v>0</v>
      </c>
      <c r="DF174" s="41" t="n">
        <f aca="false">Tasks[[#This Row],[_LeafBudget]]*Tasks[[#This Row],[_LeafProgress]]</f>
        <v>0</v>
      </c>
      <c r="DG174" s="41" t="n">
        <f aca="false">IF(NOT(Tasks[[#This Row],[_IsLeaf]]=1),0,IF(Tasks[[#This Row],[Actual Cost]]="",Tasks[[#This Row],[_LeafCost]]*Tasks[[#This Row],[_LeafProgress]],N(Tasks[[#This Row],[Actual Cost]])))</f>
        <v>0</v>
      </c>
      <c r="DH174" s="41" t="str">
        <f aca="false">IF(Tasks[[#This Row],[Task Name]]="","",LEFT(Tasks[[#This Row],[WBS]],FIND(".",Tasks[[#This Row],[WBS]]&amp;".")-1))</f>
        <v/>
      </c>
      <c r="DI174" s="41" t="str">
        <f aca="false">IF(AND(Tasks[[#This Row],[Task Name]]&lt;&gt;"",Tasks[[#This Row],[_Level]]=1),Tasks[[#This Row],[_Row]],"")</f>
        <v/>
      </c>
      <c r="DJ174" s="41" t="str">
        <f aca="false">IF(AND(Tasks[[#This Row],[_IsLeaf]]=1,N(Tasks[[#This Row],[Duration]])=0),Tasks[[#This Row],[Planned Finish]]+Tasks[[#This Row],[_Row]]/100000,"")</f>
        <v/>
      </c>
      <c r="DK174" s="41" t="str">
        <f aca="false">IF(AND(Tasks[[#This Row],[_IsLeaf]]=1,Tasks[[#This Row],[_LeafProgress]]&lt;1,OR(N(Tasks[[#This Row],[Finish Var]])&gt;0,Tasks[[#This Row],[Status]]="Late Start")),MAX(0,Tasks[[#This Row],[Finish Var]])+1-Tasks[[#This Row],[_Row]]/1000000,"")</f>
        <v/>
      </c>
      <c r="DL174" s="41" t="str">
        <f aca="false">IF(AND(Tasks[[#This Row],[_IsLeaf]]=1,N(Tasks[[#This Row],[Actual Start]])=0,Tasks[[#This Row],[_LeafFcstStart]]&gt;=StatusDate,Tasks[[#This Row],[_LeafFcstStart]]&lt;=LookaheadEnd),Tasks[[#This Row],[_LeafFcstStart]]+Tasks[[#This Row],[_Row]]/100000,"")</f>
        <v/>
      </c>
      <c r="DM174" s="41" t="str">
        <f aca="false">IF(AND(Tasks[[#This Row],[_IsLeaf]]=1,Tasks[[#This Row],[_LeafProgress]]&lt;1,Tasks[[#This Row],[_LeafFcstFinish]]&gt;=StatusDate,Tasks[[#This Row],[_LeafFcstFinish]]&lt;=LookaheadEnd),Tasks[[#This Row],[_LeafFcstFinish]]+Tasks[[#This Row],[_Row]]/100000,"")</f>
        <v/>
      </c>
      <c r="DN174" s="41" t="str">
        <f aca="false">IF(Tasks[[#This Row],[_LeafCritical]],Tasks[[#This Row],[_LeafFcstStart]]+Tasks[[#This Row],[_Row]]/100000,"")</f>
        <v/>
      </c>
      <c r="DO174" s="41" t="n">
        <f aca="false">Tasks[[#This Row],[_LeafWork]]*Tasks[[#This Row],[_LeafProgress]]</f>
        <v>0</v>
      </c>
      <c r="DP174" s="100" t="str">
        <f aca="false">IF(AND(Tasks[[#This Row],[_IsLeaf]]=1,Tasks[[#This Row],[_LeafProgress]]&gt;=1),IF(N(Tasks[[#This Row],[Actual Finish]])&gt;0,Tasks[[#This Row],[Actual Finish]],Tasks[[#This Row],[_LeafFcstFinish]]),"")</f>
        <v/>
      </c>
      <c r="DQ174" s="41" t="n">
        <f aca="false">IF(Tasks[[#This Row],[_IsLeaf]]=1,N(Tasks[[#This Row],[Story Points]]),0)</f>
        <v>0</v>
      </c>
      <c r="DR174" s="41" t="str">
        <f aca="false">IF(AND(Tasks[[#This Row],[_IsLeaf]]=1,CurrentSprint&lt;&gt;"",Tasks[[#This Row],[Sprint]]=CurrentSprint),Tasks[[#This Row],[_Row]],"")</f>
        <v/>
      </c>
    </row>
    <row r="175" customFormat="false" ht="15" hidden="false" customHeight="false" outlineLevel="0" collapsed="false">
      <c r="A175" s="28" t="str">
        <f aca="false">IF(Tasks[[#This Row],[Task Name]]="","",COUNTA(Tasks[[#Headers],[Task Name]]:Tasks[[#This Row],[Task Name]])-1)</f>
        <v/>
      </c>
      <c r="B175" s="29" t="n">
        <v>170</v>
      </c>
      <c r="C17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5" s="29"/>
      <c r="E175" s="30"/>
      <c r="F175" s="29"/>
      <c r="G175" s="29"/>
      <c r="H175" s="29"/>
      <c r="I175" s="29"/>
      <c r="J175" s="29"/>
      <c r="K175" s="29"/>
      <c r="L175" s="29"/>
      <c r="M175" s="29"/>
      <c r="N175" s="73"/>
      <c r="O175" s="73"/>
      <c r="P175" s="25" t="str">
        <f aca="false">IF(Tasks[[#This Row],[Task Name]]="","",IF(N(Tasks[[#This Row],[Baseline Start]])&gt;0,Tasks[[#This Row],[Baseline Start]],Tasks[[#This Row],[_CalcStart]]))</f>
        <v/>
      </c>
      <c r="Q175" s="25" t="str">
        <f aca="false">IF(Tasks[[#This Row],[Task Name]]="","",IF(N(Tasks[[#This Row],[Baseline Finish]])&gt;0,Tasks[[#This Row],[Baseline Finish]],Tasks[[#This Row],[_CalcFinish]]))</f>
        <v/>
      </c>
      <c r="R175" s="73"/>
      <c r="S175" s="73"/>
      <c r="T175" s="25" t="str">
        <f aca="false">IF(Tasks[[#This Row],[Task Name]]="","",IF(Tasks[[#This Row],[_IsSummary]],MIN(INDEX(Tasks[_LeafFcstStart],Tasks[[#This Row],[_Row]]+1):INDEX(Tasks[_LeafFcstStart],Tasks[[#This Row],[_Row]]+Tasks[[#This Row],[_Descendants]])),Tasks[[#This Row],[_LeafFcstStart]]))</f>
        <v/>
      </c>
      <c r="U175" s="25" t="str">
        <f aca="false">IF(Tasks[[#This Row],[Task Name]]="","",IF(Tasks[[#This Row],[_IsSummary]],MAX(INDEX(Tasks[_LeafFcstFinish],Tasks[[#This Row],[_Row]]+1):INDEX(Tasks[_LeafFcstFinish],Tasks[[#This Row],[_Row]]+Tasks[[#This Row],[_Descendants]])),Tasks[[#This Row],[_LeafFcstFinish]]))</f>
        <v/>
      </c>
      <c r="V17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7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5" s="25" t="str">
        <f aca="false">IF(Tasks[[#This Row],[Task Name]]="","",IF(Tasks[[#This Row],[_IsSummary]],MIN(INDEX(Tasks[_LeafLateStart],Tasks[[#This Row],[_Row]]+1):INDEX(Tasks[_LeafLateStart],Tasks[[#This Row],[_Row]]+Tasks[[#This Row],[_Descendants]])),Tasks[[#This Row],[_LeafLateStart]]))</f>
        <v/>
      </c>
      <c r="Y175" s="25" t="str">
        <f aca="false">IF(Tasks[[#This Row],[Task Name]]="","",IF(Tasks[[#This Row],[_IsSummary]],MAX(INDEX(Tasks[_LeafLateFinish],Tasks[[#This Row],[_Row]]+1):INDEX(Tasks[_LeafLateFinish],Tasks[[#This Row],[_Row]]+Tasks[[#This Row],[_Descendants]])),Tasks[[#This Row],[_LeafLateFinish]]))</f>
        <v/>
      </c>
      <c r="Z175" s="43" t="str">
        <f aca="false">IF(Tasks[[#This Row],[Task Name]]="","",IF(Tasks[[#This Row],[_IsSummary]],MIN(INDEX(Tasks[_LeafTotalSlack],Tasks[[#This Row],[_Row]]+1):INDEX(Tasks[_LeafTotalSlack],Tasks[[#This Row],[_Row]]+Tasks[[#This Row],[_Descendants]])),Tasks[[#This Row],[_LeafTotalSlack]]))</f>
        <v/>
      </c>
      <c r="AA17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5" s="28" t="str">
        <f aca="false">IF(Tasks[[#This Row],[Task Name]]="","",IF(IF(Tasks[[#This Row],[_IsSummary]],COUNTIF(INDEX(Tasks[_LeafCritical],Tasks[[#This Row],[_Row]]+1):INDEX(Tasks[_LeafCritical],Tasks[[#This Row],[_Row]]+Tasks[[#This Row],[_Descendants]]),TRUE())&gt;0,Tasks[[#This Row],[_LeafCritical]]),"Yes",""))</f>
        <v/>
      </c>
      <c r="AC17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5" s="24" t="str">
        <f aca="false">IF(Tasks[[#This Row],[Task Name]]="","",TRIM(IF(Tasks[[#This Row],[_Pred1Problem]]&lt;&gt;"","Pred 1: "&amp;Tasks[[#This Row],[_Pred1Problem]]&amp;". ","")&amp;IF(Tasks[[#This Row],[_Pred2Problem]]&lt;&gt;"","Pred 2: "&amp;Tasks[[#This Row],[_Pred2Problem]]&amp;".","")))</f>
        <v/>
      </c>
      <c r="AE175" s="88"/>
      <c r="AF175"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5" s="28" t="str">
        <f aca="false">IF(Tasks[[#This Row],[Task Name]]="","",IF(Tasks[[#This Row],[Progress]]&gt;=1,"Complete",IF(OR(N(Tasks[[#This Row],[Actual Start]])&gt;0,Tasks[[#This Row],[Progress]]&gt;0),IF(Tasks[[#This Row],[Finish Var]]&gt;0,"Behind","In Progress"),IF(Tasks[[#This Row],[Planned Start]]&lt;StatusDate,"Late Start","Not Started"))))</f>
        <v/>
      </c>
      <c r="AH175" s="30"/>
      <c r="AI175" s="88"/>
      <c r="AJ175" s="95" t="str">
        <f aca="false">IF(Tasks[[#This Row],[Task Name]]="","",IF(Tasks[[#This Row],[_IsSummary]],SUM(INDEX(Tasks[_LeafWork],Tasks[[#This Row],[_Row]]+1):INDEX(Tasks[_LeafWork],Tasks[[#This Row],[_Row]]+Tasks[[#This Row],[_Descendants]])),Tasks[[#This Row],[_LeafWork]]))</f>
        <v/>
      </c>
      <c r="AK175" s="96" t="str">
        <f aca="false">IF(Tasks[[#This Row],[Task Name]]="","",IF(Tasks[[#This Row],[_IsSummary]],SUM(INDEX(Tasks[_LeafCost],Tasks[[#This Row],[_Row]]+1):INDEX(Tasks[_LeafCost],Tasks[[#This Row],[_Row]]+Tasks[[#This Row],[_Descendants]])),Tasks[[#This Row],[_LeafCost]]))</f>
        <v/>
      </c>
      <c r="AL175" s="97"/>
      <c r="AM175" s="29"/>
      <c r="AN17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75" s="82"/>
      <c r="AP175" s="24" t="str">
        <f aca="false">IF(Tasks[[#This Row],[Task Name]]="","",Tasks[[#This Row],[_Pred1IDText]]&amp;IF(AND(Tasks[[#This Row],[_Pred1IDText]]&lt;&gt;"",Tasks[[#This Row],[_Pred2IDText]]&lt;&gt;""),",","")&amp;Tasks[[#This Row],[_Pred2IDText]])</f>
        <v/>
      </c>
      <c r="AQ175" s="30"/>
      <c r="AR175" s="25" t="str">
        <f aca="false">IF(Tasks[[#This Row],[Task Name]]="","",Tasks[[#This Row],[Forecast Start]])</f>
        <v/>
      </c>
      <c r="AS175" s="25" t="str">
        <f aca="false">IF(Tasks[[#This Row],[Task Name]]="","",Tasks[[#This Row],[Forecast Finish]])</f>
        <v/>
      </c>
      <c r="AT175" s="28" t="str">
        <f aca="false">IF(Tasks[[#This Row],[Task Name]]="","",IF(Tasks[[#This Row],[_IsSummary]],NETWORKDAYS.INTL(Tasks[[#This Row],[Forecast Start]],Tasks[[#This Row],[Forecast Finish]],WorkWeek,Holidays),N(Tasks[[#This Row],[Duration]])))</f>
        <v/>
      </c>
      <c r="AU175" s="95" t="str">
        <f aca="false">IF(Tasks[[#This Row],[Task Name]]="","",Tasks[[#This Row],[Work]])</f>
        <v/>
      </c>
      <c r="AV175" s="96" t="str">
        <f aca="false">IF(Tasks[[#This Row],[Task Name]]="","",Tasks[[#This Row],[Cost]])</f>
        <v/>
      </c>
      <c r="AW175" s="73"/>
      <c r="AX175" s="73"/>
      <c r="AY175" s="29"/>
      <c r="AZ175" s="98"/>
      <c r="BA175" s="97"/>
      <c r="BB175" s="28" t="str">
        <f aca="false">IF(OR(Tasks[[#This Row],[Task Name]]="",Tasks[[#This Row],[Baseline Duration]]=""),"",Tasks[[#This Row],[BL Source Duration]]-N(Tasks[[#This Row],[Baseline Duration]]))</f>
        <v/>
      </c>
      <c r="BC175" s="95" t="str">
        <f aca="false">IF(OR(Tasks[[#This Row],[Task Name]]="",Tasks[[#This Row],[Baseline Work]]=""),"",Tasks[[#This Row],[Work]]-N(Tasks[[#This Row],[Baseline Work]]))</f>
        <v/>
      </c>
      <c r="BD175" s="96" t="str">
        <f aca="false">IF(OR(Tasks[[#This Row],[Task Name]]="",Tasks[[#This Row],[Baseline Cost]]=""),"",Tasks[[#This Row],[Cost]]-N(Tasks[[#This Row],[Baseline Cost]]))</f>
        <v/>
      </c>
      <c r="BE175" s="96" t="str">
        <f aca="false">IF(Tasks[[#This Row],[Task Name]]="","",IF(Tasks[[#This Row],[_IsSummary]],SUM(INDEX(Tasks[_LeafBudget],Tasks[[#This Row],[_Row]]+1):INDEX(Tasks[_LeafBudget],Tasks[[#This Row],[_Row]]+Tasks[[#This Row],[_Descendants]])),Tasks[[#This Row],[_LeafBudget]]))</f>
        <v/>
      </c>
      <c r="BF175" s="96" t="str">
        <f aca="false">IF(Tasks[[#This Row],[Task Name]]="","",IF(Tasks[[#This Row],[_IsSummary]],SUM(INDEX(Tasks[_LeafPV],Tasks[[#This Row],[_Row]]+1):INDEX(Tasks[_LeafPV],Tasks[[#This Row],[_Row]]+Tasks[[#This Row],[_Descendants]])),Tasks[[#This Row],[_LeafPV]]))</f>
        <v/>
      </c>
      <c r="BG175" s="96" t="str">
        <f aca="false">IF(Tasks[[#This Row],[Task Name]]="","",IF(Tasks[[#This Row],[_IsSummary]],SUM(INDEX(Tasks[_LeafEV],Tasks[[#This Row],[_Row]]+1):INDEX(Tasks[_LeafEV],Tasks[[#This Row],[_Row]]+Tasks[[#This Row],[_Descendants]])),Tasks[[#This Row],[_LeafEV]]))</f>
        <v/>
      </c>
      <c r="BH175" s="96" t="str">
        <f aca="false">IF(Tasks[[#This Row],[Task Name]]="","",IF(Tasks[[#This Row],[_IsSummary]],SUM(INDEX(Tasks[_LeafAC],Tasks[[#This Row],[_Row]]+1):INDEX(Tasks[_LeafAC],Tasks[[#This Row],[_Row]]+Tasks[[#This Row],[_Descendants]])),Tasks[[#This Row],[_LeafAC]]))</f>
        <v/>
      </c>
      <c r="BI175" s="41" t="str">
        <f aca="false">IF(Tasks[[#This Row],[Task Name]]="","",MAX(1,N(Tasks[[#This Row],[Level]])))</f>
        <v/>
      </c>
      <c r="BJ175" s="41" t="n">
        <f aca="false">ROW()-ROW(Tasks[[#Headers],[ID]])</f>
        <v>170</v>
      </c>
      <c r="BK175" s="41" t="n">
        <f aca="false">IF(OR(Tasks[[#This Row],[Task Name]]="",Tasks[[#This Row],[_Level]]&lt;=1),0,IFERROR(LOOKUP(2,1/(Tasks[[#Headers],[_Level]]:Tasks[[#This Row],[_Level]]=Tasks[[#This Row],[_Level]]-1),ROW(Tasks[[#Headers],[_Level]]:Tasks[[#This Row],[_Level]])),0))</f>
        <v>0</v>
      </c>
      <c r="BL175" s="41" t="n">
        <f aca="false">IFERROR(N(INDEX(Tasks[_Level],Tasks[[#This Row],[_Row]]+1)),0)</f>
        <v>0</v>
      </c>
      <c r="BM175" s="99" t="b">
        <f aca="false">AND(Tasks[[#This Row],[Task Name]]&lt;&gt;"",Tasks[[#This Row],[_NextLevel]]&gt;Tasks[[#This Row],[_Level]])</f>
        <v>0</v>
      </c>
      <c r="BN175" s="41" t="n">
        <f aca="false">IF(Tasks[[#This Row],[_IsSummary]],COUNTIF(Tasks[WBS],Tasks[[#This Row],[WBS]]&amp;".*"),0)</f>
        <v>0</v>
      </c>
      <c r="BO175" s="41" t="n">
        <f aca="false">IF(AND(Tasks[[#This Row],[Task Name]]&lt;&gt;"",NOT(Tasks[[#This Row],[_IsSummary]])),1,0)</f>
        <v>0</v>
      </c>
      <c r="BP175" s="41" t="n">
        <f aca="false">IF(N(Tasks[[#This Row],[Pred1 UID]])=0,0,IFERROR(MATCH(Tasks[[#This Row],[Pred1 UID]],Tasks[UID],0),-1))</f>
        <v>0</v>
      </c>
      <c r="BQ175" s="41" t="n">
        <f aca="false">IF(N(Tasks[[#This Row],[Pred2 UID]])=0,0,IFERROR(MATCH(Tasks[[#This Row],[Pred2 UID]],Tasks[UID],0),-1))</f>
        <v>0</v>
      </c>
      <c r="BR175"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75" s="100" t="str">
        <f aca="false">IF(NOT(Tasks[[#This Row],[_IsLeaf]]=1),"",IF(N(Tasks[[#This Row],[Duration]])&lt;=0,Tasks[[#This Row],[_LeafCalcStart]],WORKDAY.INTL(Tasks[[#This Row],[_LeafCalcStart]],Tasks[[#This Row],[Duration]]-1,WorkWeek,Holidays)))</f>
        <v/>
      </c>
      <c r="BT175"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75"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75" s="41" t="n">
        <f aca="false">IF(NOT(Tasks[[#This Row],[_IsLeaf]]=1),0,IF(N(Tasks[[#This Row],[Actual Finish]])&gt;0,1,MIN(1,N(Tasks[[#This Row],[% Complete]]))))</f>
        <v>0</v>
      </c>
      <c r="BW175" s="41" t="n">
        <f aca="false">IF(OR(NOT(Tasks[[#This Row],[_IsLeaf]]=1),Tasks[[#This Row],[Resource]]=""),0,N(Tasks[[#This Row],[Duration]])*HoursPerDay*IF(Tasks[[#This Row],[Units]]="",DefaultUnits,Tasks[[#This Row],[Units]]))</f>
        <v>0</v>
      </c>
      <c r="BX175" s="41" t="n">
        <f aca="false">IF(Tasks[[#This Row],[_LeafWork]]=0,0,Tasks[[#This Row],[_LeafWork]]*IFERROR(INDEX(res_Rate,MATCH(Tasks[[#This Row],[Resource]],res_Name,0)),0))</f>
        <v>0</v>
      </c>
      <c r="BY17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7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7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7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75" s="41" t="n">
        <f aca="false">IF(NOT(Tasks[[#This Row],[_IsLeaf]]=1),0,MAX(_xlfn.MAXIFS(Tasks[_Row],Tasks[Pred1 UID],Tasks[[#This Row],[UID]]),_xlfn.MAXIFS(Tasks[_Row],Tasks[Pred2 UID],Tasks[[#This Row],[UID]])))</f>
        <v>0</v>
      </c>
      <c r="CD175"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75" s="100" t="str">
        <f aca="false">IF(NOT(Tasks[[#This Row],[_IsLeaf]]=1),"",MIN(ProjectFinish,IF(N(Tasks[[#This Row],[Deadline]])&gt;0,Tasks[[#This Row],[Deadline]],2958465),Tasks[[#This Row],[_SuccessorFinishLimit]]))</f>
        <v/>
      </c>
      <c r="CF175" s="100" t="str">
        <f aca="false">IF(NOT(Tasks[[#This Row],[_IsLeaf]]=1),"",IF(N(Tasks[[#This Row],[Duration]])&lt;=0,Tasks[[#This Row],[_LeafLateFinish]],WORKDAY.INTL(Tasks[[#This Row],[_LeafLateFinish]],-(Tasks[[#This Row],[Duration]]-1),WorkWeek,Holidays)))</f>
        <v/>
      </c>
      <c r="CG17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75" s="99" t="b">
        <f aca="false">AND(Tasks[[#This Row],[_IsLeaf]]=1,Tasks[[#This Row],[_LeafProgress]]&lt;1,N(Tasks[[#This Row],[_LeafTotalSlack]])&lt;=CriticalSlackDays)</f>
        <v>0</v>
      </c>
      <c r="CI175" s="100" t="str">
        <f aca="false">IF(Tasks[[#This Row],[Task Name]]="","",IF(Tasks[[#This Row],[_IsSummary]],MIN(INDEX(Tasks[_LeafCalcStart],Tasks[[#This Row],[_Row]]+1):INDEX(Tasks[_LeafCalcStart],Tasks[[#This Row],[_Row]]+Tasks[[#This Row],[_Descendants]])),Tasks[[#This Row],[_LeafCalcStart]]))</f>
        <v/>
      </c>
      <c r="CJ175" s="100" t="str">
        <f aca="false">IF(Tasks[[#This Row],[Task Name]]="","",IF(Tasks[[#This Row],[_IsSummary]],MAX(INDEX(Tasks[_LeafCalcFinish],Tasks[[#This Row],[_Row]]+1):INDEX(Tasks[_LeafCalcFinish],Tasks[[#This Row],[_Row]]+Tasks[[#This Row],[_Descendants]])),Tasks[[#This Row],[_LeafCalcFinish]]))</f>
        <v/>
      </c>
      <c r="CK17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7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75"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75"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75"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75"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75" s="41" t="n">
        <f aca="false">IF(AND(Tasks[[#This Row],[_IsLeaf]]=1,Tasks[[#This Row],[_LeafWork]]&gt;0),NETWORKDAYS.INTL(ProjectStart,Tasks[[#This Row],[_LeafFcstStart]],WorkWeek,Holidays),0)</f>
        <v>0</v>
      </c>
      <c r="CR175" s="41" t="n">
        <f aca="false">IF(AND(Tasks[[#This Row],[_IsLeaf]]=1,Tasks[[#This Row],[_LeafWork]]&gt;0),MAX(Tasks[[#This Row],[_StartWorkday]],NETWORKDAYS.INTL(ProjectStart,Tasks[[#This Row],[_LeafFcstFinish]],WorkWeek,Holidays)),0)</f>
        <v>0</v>
      </c>
      <c r="CS175" s="41" t="n">
        <f aca="false">IF(AND(Tasks[[#This Row],[_IsLeaf]]=1,Tasks[[#This Row],[_LeafWork]]&gt;0),Tasks[[#This Row],[_LeafWork]]/(Tasks[[#This Row],[_FinishWorkday]]-Tasks[[#This Row],[_StartWorkday]]+1),0)</f>
        <v>0</v>
      </c>
      <c r="CT175" s="41" t="n">
        <f aca="false">Tasks[[#This Row],[_WorkPerWorkday]]*(Tasks[[#This Row],[_StartWorkday]]-1)</f>
        <v>-0</v>
      </c>
      <c r="CU175" s="41" t="n">
        <f aca="false">IF(Tasks[[#This Row],[_IsLeaf]]=1,MAX(N(Tasks[[#This Row],[Duration]]),0.1),0)</f>
        <v>0</v>
      </c>
      <c r="CV175" s="41" t="n">
        <f aca="false">Tasks[[#This Row],[_WeightDur]]*Tasks[[#This Row],[_LeafProgress]]</f>
        <v>0</v>
      </c>
      <c r="CW17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7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7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7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75" s="41" t="str">
        <f aca="false">IF(Tasks[[#This Row],[Task Name]]="","",Tasks[[#This Row],[_Pred1UIDText]]&amp;IF(AND(Tasks[[#This Row],[_Pred1UIDText]]&lt;&gt;"",Tasks[[#This Row],[_Pred2UIDText]]&lt;&gt;""),",","")&amp;Tasks[[#This Row],[_Pred2UIDText]])</f>
        <v/>
      </c>
      <c r="DB175" s="41" t="str">
        <f aca="false">IF(AND(Tasks[[#This Row],[_IsLeaf]]=1,N(Tasks[[#This Row],[Duration]])=0,Tasks[[#This Row],[_LeafProgress]]&lt;1),Tasks[[#This Row],[_LeafFcstFinish]]+Tasks[[#This Row],[_Row]]/100000,"")</f>
        <v/>
      </c>
      <c r="DC17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75" s="41" t="n">
        <f aca="false">IF(NOT(Tasks[[#This Row],[_IsLeaf]]=1),0,IF(Tasks[[#This Row],[Baseline Cost]]="",Tasks[[#This Row],[_LeafCost]],N(Tasks[[#This Row],[Baseline Cost]])))</f>
        <v>0</v>
      </c>
      <c r="DE175" s="41" t="n">
        <f aca="false">Tasks[[#This Row],[_LeafBudget]]*Tasks[[#This Row],[_PlannedPct]]</f>
        <v>0</v>
      </c>
      <c r="DF175" s="41" t="n">
        <f aca="false">Tasks[[#This Row],[_LeafBudget]]*Tasks[[#This Row],[_LeafProgress]]</f>
        <v>0</v>
      </c>
      <c r="DG175" s="41" t="n">
        <f aca="false">IF(NOT(Tasks[[#This Row],[_IsLeaf]]=1),0,IF(Tasks[[#This Row],[Actual Cost]]="",Tasks[[#This Row],[_LeafCost]]*Tasks[[#This Row],[_LeafProgress]],N(Tasks[[#This Row],[Actual Cost]])))</f>
        <v>0</v>
      </c>
      <c r="DH175" s="41" t="str">
        <f aca="false">IF(Tasks[[#This Row],[Task Name]]="","",LEFT(Tasks[[#This Row],[WBS]],FIND(".",Tasks[[#This Row],[WBS]]&amp;".")-1))</f>
        <v/>
      </c>
      <c r="DI175" s="41" t="str">
        <f aca="false">IF(AND(Tasks[[#This Row],[Task Name]]&lt;&gt;"",Tasks[[#This Row],[_Level]]=1),Tasks[[#This Row],[_Row]],"")</f>
        <v/>
      </c>
      <c r="DJ175" s="41" t="str">
        <f aca="false">IF(AND(Tasks[[#This Row],[_IsLeaf]]=1,N(Tasks[[#This Row],[Duration]])=0),Tasks[[#This Row],[Planned Finish]]+Tasks[[#This Row],[_Row]]/100000,"")</f>
        <v/>
      </c>
      <c r="DK175" s="41" t="str">
        <f aca="false">IF(AND(Tasks[[#This Row],[_IsLeaf]]=1,Tasks[[#This Row],[_LeafProgress]]&lt;1,OR(N(Tasks[[#This Row],[Finish Var]])&gt;0,Tasks[[#This Row],[Status]]="Late Start")),MAX(0,Tasks[[#This Row],[Finish Var]])+1-Tasks[[#This Row],[_Row]]/1000000,"")</f>
        <v/>
      </c>
      <c r="DL175" s="41" t="str">
        <f aca="false">IF(AND(Tasks[[#This Row],[_IsLeaf]]=1,N(Tasks[[#This Row],[Actual Start]])=0,Tasks[[#This Row],[_LeafFcstStart]]&gt;=StatusDate,Tasks[[#This Row],[_LeafFcstStart]]&lt;=LookaheadEnd),Tasks[[#This Row],[_LeafFcstStart]]+Tasks[[#This Row],[_Row]]/100000,"")</f>
        <v/>
      </c>
      <c r="DM175" s="41" t="str">
        <f aca="false">IF(AND(Tasks[[#This Row],[_IsLeaf]]=1,Tasks[[#This Row],[_LeafProgress]]&lt;1,Tasks[[#This Row],[_LeafFcstFinish]]&gt;=StatusDate,Tasks[[#This Row],[_LeafFcstFinish]]&lt;=LookaheadEnd),Tasks[[#This Row],[_LeafFcstFinish]]+Tasks[[#This Row],[_Row]]/100000,"")</f>
        <v/>
      </c>
      <c r="DN175" s="41" t="str">
        <f aca="false">IF(Tasks[[#This Row],[_LeafCritical]],Tasks[[#This Row],[_LeafFcstStart]]+Tasks[[#This Row],[_Row]]/100000,"")</f>
        <v/>
      </c>
      <c r="DO175" s="41" t="n">
        <f aca="false">Tasks[[#This Row],[_LeafWork]]*Tasks[[#This Row],[_LeafProgress]]</f>
        <v>0</v>
      </c>
      <c r="DP175" s="100" t="str">
        <f aca="false">IF(AND(Tasks[[#This Row],[_IsLeaf]]=1,Tasks[[#This Row],[_LeafProgress]]&gt;=1),IF(N(Tasks[[#This Row],[Actual Finish]])&gt;0,Tasks[[#This Row],[Actual Finish]],Tasks[[#This Row],[_LeafFcstFinish]]),"")</f>
        <v/>
      </c>
      <c r="DQ175" s="41" t="n">
        <f aca="false">IF(Tasks[[#This Row],[_IsLeaf]]=1,N(Tasks[[#This Row],[Story Points]]),0)</f>
        <v>0</v>
      </c>
      <c r="DR175" s="41" t="str">
        <f aca="false">IF(AND(Tasks[[#This Row],[_IsLeaf]]=1,CurrentSprint&lt;&gt;"",Tasks[[#This Row],[Sprint]]=CurrentSprint),Tasks[[#This Row],[_Row]],"")</f>
        <v/>
      </c>
    </row>
    <row r="176" customFormat="false" ht="15" hidden="false" customHeight="false" outlineLevel="0" collapsed="false">
      <c r="A176" s="28" t="str">
        <f aca="false">IF(Tasks[[#This Row],[Task Name]]="","",COUNTA(Tasks[[#Headers],[Task Name]]:Tasks[[#This Row],[Task Name]])-1)</f>
        <v/>
      </c>
      <c r="B176" s="29" t="n">
        <v>171</v>
      </c>
      <c r="C17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6" s="29"/>
      <c r="E176" s="30"/>
      <c r="F176" s="29"/>
      <c r="G176" s="29"/>
      <c r="H176" s="29"/>
      <c r="I176" s="29"/>
      <c r="J176" s="29"/>
      <c r="K176" s="29"/>
      <c r="L176" s="29"/>
      <c r="M176" s="29"/>
      <c r="N176" s="73"/>
      <c r="O176" s="73"/>
      <c r="P176" s="25" t="str">
        <f aca="false">IF(Tasks[[#This Row],[Task Name]]="","",IF(N(Tasks[[#This Row],[Baseline Start]])&gt;0,Tasks[[#This Row],[Baseline Start]],Tasks[[#This Row],[_CalcStart]]))</f>
        <v/>
      </c>
      <c r="Q176" s="25" t="str">
        <f aca="false">IF(Tasks[[#This Row],[Task Name]]="","",IF(N(Tasks[[#This Row],[Baseline Finish]])&gt;0,Tasks[[#This Row],[Baseline Finish]],Tasks[[#This Row],[_CalcFinish]]))</f>
        <v/>
      </c>
      <c r="R176" s="73"/>
      <c r="S176" s="73"/>
      <c r="T176" s="25" t="str">
        <f aca="false">IF(Tasks[[#This Row],[Task Name]]="","",IF(Tasks[[#This Row],[_IsSummary]],MIN(INDEX(Tasks[_LeafFcstStart],Tasks[[#This Row],[_Row]]+1):INDEX(Tasks[_LeafFcstStart],Tasks[[#This Row],[_Row]]+Tasks[[#This Row],[_Descendants]])),Tasks[[#This Row],[_LeafFcstStart]]))</f>
        <v/>
      </c>
      <c r="U176" s="25" t="str">
        <f aca="false">IF(Tasks[[#This Row],[Task Name]]="","",IF(Tasks[[#This Row],[_IsSummary]],MAX(INDEX(Tasks[_LeafFcstFinish],Tasks[[#This Row],[_Row]]+1):INDEX(Tasks[_LeafFcstFinish],Tasks[[#This Row],[_Row]]+Tasks[[#This Row],[_Descendants]])),Tasks[[#This Row],[_LeafFcstFinish]]))</f>
        <v/>
      </c>
      <c r="V17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7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6" s="25" t="str">
        <f aca="false">IF(Tasks[[#This Row],[Task Name]]="","",IF(Tasks[[#This Row],[_IsSummary]],MIN(INDEX(Tasks[_LeafLateStart],Tasks[[#This Row],[_Row]]+1):INDEX(Tasks[_LeafLateStart],Tasks[[#This Row],[_Row]]+Tasks[[#This Row],[_Descendants]])),Tasks[[#This Row],[_LeafLateStart]]))</f>
        <v/>
      </c>
      <c r="Y176" s="25" t="str">
        <f aca="false">IF(Tasks[[#This Row],[Task Name]]="","",IF(Tasks[[#This Row],[_IsSummary]],MAX(INDEX(Tasks[_LeafLateFinish],Tasks[[#This Row],[_Row]]+1):INDEX(Tasks[_LeafLateFinish],Tasks[[#This Row],[_Row]]+Tasks[[#This Row],[_Descendants]])),Tasks[[#This Row],[_LeafLateFinish]]))</f>
        <v/>
      </c>
      <c r="Z176" s="43" t="str">
        <f aca="false">IF(Tasks[[#This Row],[Task Name]]="","",IF(Tasks[[#This Row],[_IsSummary]],MIN(INDEX(Tasks[_LeafTotalSlack],Tasks[[#This Row],[_Row]]+1):INDEX(Tasks[_LeafTotalSlack],Tasks[[#This Row],[_Row]]+Tasks[[#This Row],[_Descendants]])),Tasks[[#This Row],[_LeafTotalSlack]]))</f>
        <v/>
      </c>
      <c r="AA17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6" s="28" t="str">
        <f aca="false">IF(Tasks[[#This Row],[Task Name]]="","",IF(IF(Tasks[[#This Row],[_IsSummary]],COUNTIF(INDEX(Tasks[_LeafCritical],Tasks[[#This Row],[_Row]]+1):INDEX(Tasks[_LeafCritical],Tasks[[#This Row],[_Row]]+Tasks[[#This Row],[_Descendants]]),TRUE())&gt;0,Tasks[[#This Row],[_LeafCritical]]),"Yes",""))</f>
        <v/>
      </c>
      <c r="AC17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6" s="24" t="str">
        <f aca="false">IF(Tasks[[#This Row],[Task Name]]="","",TRIM(IF(Tasks[[#This Row],[_Pred1Problem]]&lt;&gt;"","Pred 1: "&amp;Tasks[[#This Row],[_Pred1Problem]]&amp;". ","")&amp;IF(Tasks[[#This Row],[_Pred2Problem]]&lt;&gt;"","Pred 2: "&amp;Tasks[[#This Row],[_Pred2Problem]]&amp;".","")))</f>
        <v/>
      </c>
      <c r="AE176" s="88"/>
      <c r="AF176"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6" s="28" t="str">
        <f aca="false">IF(Tasks[[#This Row],[Task Name]]="","",IF(Tasks[[#This Row],[Progress]]&gt;=1,"Complete",IF(OR(N(Tasks[[#This Row],[Actual Start]])&gt;0,Tasks[[#This Row],[Progress]]&gt;0),IF(Tasks[[#This Row],[Finish Var]]&gt;0,"Behind","In Progress"),IF(Tasks[[#This Row],[Planned Start]]&lt;StatusDate,"Late Start","Not Started"))))</f>
        <v/>
      </c>
      <c r="AH176" s="30"/>
      <c r="AI176" s="88"/>
      <c r="AJ176" s="95" t="str">
        <f aca="false">IF(Tasks[[#This Row],[Task Name]]="","",IF(Tasks[[#This Row],[_IsSummary]],SUM(INDEX(Tasks[_LeafWork],Tasks[[#This Row],[_Row]]+1):INDEX(Tasks[_LeafWork],Tasks[[#This Row],[_Row]]+Tasks[[#This Row],[_Descendants]])),Tasks[[#This Row],[_LeafWork]]))</f>
        <v/>
      </c>
      <c r="AK176" s="96" t="str">
        <f aca="false">IF(Tasks[[#This Row],[Task Name]]="","",IF(Tasks[[#This Row],[_IsSummary]],SUM(INDEX(Tasks[_LeafCost],Tasks[[#This Row],[_Row]]+1):INDEX(Tasks[_LeafCost],Tasks[[#This Row],[_Row]]+Tasks[[#This Row],[_Descendants]])),Tasks[[#This Row],[_LeafCost]]))</f>
        <v/>
      </c>
      <c r="AL176" s="97"/>
      <c r="AM176" s="29"/>
      <c r="AN17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76" s="82"/>
      <c r="AP176" s="24" t="str">
        <f aca="false">IF(Tasks[[#This Row],[Task Name]]="","",Tasks[[#This Row],[_Pred1IDText]]&amp;IF(AND(Tasks[[#This Row],[_Pred1IDText]]&lt;&gt;"",Tasks[[#This Row],[_Pred2IDText]]&lt;&gt;""),",","")&amp;Tasks[[#This Row],[_Pred2IDText]])</f>
        <v/>
      </c>
      <c r="AQ176" s="30"/>
      <c r="AR176" s="25" t="str">
        <f aca="false">IF(Tasks[[#This Row],[Task Name]]="","",Tasks[[#This Row],[Forecast Start]])</f>
        <v/>
      </c>
      <c r="AS176" s="25" t="str">
        <f aca="false">IF(Tasks[[#This Row],[Task Name]]="","",Tasks[[#This Row],[Forecast Finish]])</f>
        <v/>
      </c>
      <c r="AT176" s="28" t="str">
        <f aca="false">IF(Tasks[[#This Row],[Task Name]]="","",IF(Tasks[[#This Row],[_IsSummary]],NETWORKDAYS.INTL(Tasks[[#This Row],[Forecast Start]],Tasks[[#This Row],[Forecast Finish]],WorkWeek,Holidays),N(Tasks[[#This Row],[Duration]])))</f>
        <v/>
      </c>
      <c r="AU176" s="95" t="str">
        <f aca="false">IF(Tasks[[#This Row],[Task Name]]="","",Tasks[[#This Row],[Work]])</f>
        <v/>
      </c>
      <c r="AV176" s="96" t="str">
        <f aca="false">IF(Tasks[[#This Row],[Task Name]]="","",Tasks[[#This Row],[Cost]])</f>
        <v/>
      </c>
      <c r="AW176" s="73"/>
      <c r="AX176" s="73"/>
      <c r="AY176" s="29"/>
      <c r="AZ176" s="98"/>
      <c r="BA176" s="97"/>
      <c r="BB176" s="28" t="str">
        <f aca="false">IF(OR(Tasks[[#This Row],[Task Name]]="",Tasks[[#This Row],[Baseline Duration]]=""),"",Tasks[[#This Row],[BL Source Duration]]-N(Tasks[[#This Row],[Baseline Duration]]))</f>
        <v/>
      </c>
      <c r="BC176" s="95" t="str">
        <f aca="false">IF(OR(Tasks[[#This Row],[Task Name]]="",Tasks[[#This Row],[Baseline Work]]=""),"",Tasks[[#This Row],[Work]]-N(Tasks[[#This Row],[Baseline Work]]))</f>
        <v/>
      </c>
      <c r="BD176" s="96" t="str">
        <f aca="false">IF(OR(Tasks[[#This Row],[Task Name]]="",Tasks[[#This Row],[Baseline Cost]]=""),"",Tasks[[#This Row],[Cost]]-N(Tasks[[#This Row],[Baseline Cost]]))</f>
        <v/>
      </c>
      <c r="BE176" s="96" t="str">
        <f aca="false">IF(Tasks[[#This Row],[Task Name]]="","",IF(Tasks[[#This Row],[_IsSummary]],SUM(INDEX(Tasks[_LeafBudget],Tasks[[#This Row],[_Row]]+1):INDEX(Tasks[_LeafBudget],Tasks[[#This Row],[_Row]]+Tasks[[#This Row],[_Descendants]])),Tasks[[#This Row],[_LeafBudget]]))</f>
        <v/>
      </c>
      <c r="BF176" s="96" t="str">
        <f aca="false">IF(Tasks[[#This Row],[Task Name]]="","",IF(Tasks[[#This Row],[_IsSummary]],SUM(INDEX(Tasks[_LeafPV],Tasks[[#This Row],[_Row]]+1):INDEX(Tasks[_LeafPV],Tasks[[#This Row],[_Row]]+Tasks[[#This Row],[_Descendants]])),Tasks[[#This Row],[_LeafPV]]))</f>
        <v/>
      </c>
      <c r="BG176" s="96" t="str">
        <f aca="false">IF(Tasks[[#This Row],[Task Name]]="","",IF(Tasks[[#This Row],[_IsSummary]],SUM(INDEX(Tasks[_LeafEV],Tasks[[#This Row],[_Row]]+1):INDEX(Tasks[_LeafEV],Tasks[[#This Row],[_Row]]+Tasks[[#This Row],[_Descendants]])),Tasks[[#This Row],[_LeafEV]]))</f>
        <v/>
      </c>
      <c r="BH176" s="96" t="str">
        <f aca="false">IF(Tasks[[#This Row],[Task Name]]="","",IF(Tasks[[#This Row],[_IsSummary]],SUM(INDEX(Tasks[_LeafAC],Tasks[[#This Row],[_Row]]+1):INDEX(Tasks[_LeafAC],Tasks[[#This Row],[_Row]]+Tasks[[#This Row],[_Descendants]])),Tasks[[#This Row],[_LeafAC]]))</f>
        <v/>
      </c>
      <c r="BI176" s="41" t="str">
        <f aca="false">IF(Tasks[[#This Row],[Task Name]]="","",MAX(1,N(Tasks[[#This Row],[Level]])))</f>
        <v/>
      </c>
      <c r="BJ176" s="41" t="n">
        <f aca="false">ROW()-ROW(Tasks[[#Headers],[ID]])</f>
        <v>171</v>
      </c>
      <c r="BK176" s="41" t="n">
        <f aca="false">IF(OR(Tasks[[#This Row],[Task Name]]="",Tasks[[#This Row],[_Level]]&lt;=1),0,IFERROR(LOOKUP(2,1/(Tasks[[#Headers],[_Level]]:Tasks[[#This Row],[_Level]]=Tasks[[#This Row],[_Level]]-1),ROW(Tasks[[#Headers],[_Level]]:Tasks[[#This Row],[_Level]])),0))</f>
        <v>0</v>
      </c>
      <c r="BL176" s="41" t="n">
        <f aca="false">IFERROR(N(INDEX(Tasks[_Level],Tasks[[#This Row],[_Row]]+1)),0)</f>
        <v>0</v>
      </c>
      <c r="BM176" s="99" t="b">
        <f aca="false">AND(Tasks[[#This Row],[Task Name]]&lt;&gt;"",Tasks[[#This Row],[_NextLevel]]&gt;Tasks[[#This Row],[_Level]])</f>
        <v>0</v>
      </c>
      <c r="BN176" s="41" t="n">
        <f aca="false">IF(Tasks[[#This Row],[_IsSummary]],COUNTIF(Tasks[WBS],Tasks[[#This Row],[WBS]]&amp;".*"),0)</f>
        <v>0</v>
      </c>
      <c r="BO176" s="41" t="n">
        <f aca="false">IF(AND(Tasks[[#This Row],[Task Name]]&lt;&gt;"",NOT(Tasks[[#This Row],[_IsSummary]])),1,0)</f>
        <v>0</v>
      </c>
      <c r="BP176" s="41" t="n">
        <f aca="false">IF(N(Tasks[[#This Row],[Pred1 UID]])=0,0,IFERROR(MATCH(Tasks[[#This Row],[Pred1 UID]],Tasks[UID],0),-1))</f>
        <v>0</v>
      </c>
      <c r="BQ176" s="41" t="n">
        <f aca="false">IF(N(Tasks[[#This Row],[Pred2 UID]])=0,0,IFERROR(MATCH(Tasks[[#This Row],[Pred2 UID]],Tasks[UID],0),-1))</f>
        <v>0</v>
      </c>
      <c r="BR176"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76" s="100" t="str">
        <f aca="false">IF(NOT(Tasks[[#This Row],[_IsLeaf]]=1),"",IF(N(Tasks[[#This Row],[Duration]])&lt;=0,Tasks[[#This Row],[_LeafCalcStart]],WORKDAY.INTL(Tasks[[#This Row],[_LeafCalcStart]],Tasks[[#This Row],[Duration]]-1,WorkWeek,Holidays)))</f>
        <v/>
      </c>
      <c r="BT176"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76"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76" s="41" t="n">
        <f aca="false">IF(NOT(Tasks[[#This Row],[_IsLeaf]]=1),0,IF(N(Tasks[[#This Row],[Actual Finish]])&gt;0,1,MIN(1,N(Tasks[[#This Row],[% Complete]]))))</f>
        <v>0</v>
      </c>
      <c r="BW176" s="41" t="n">
        <f aca="false">IF(OR(NOT(Tasks[[#This Row],[_IsLeaf]]=1),Tasks[[#This Row],[Resource]]=""),0,N(Tasks[[#This Row],[Duration]])*HoursPerDay*IF(Tasks[[#This Row],[Units]]="",DefaultUnits,Tasks[[#This Row],[Units]]))</f>
        <v>0</v>
      </c>
      <c r="BX176" s="41" t="n">
        <f aca="false">IF(Tasks[[#This Row],[_LeafWork]]=0,0,Tasks[[#This Row],[_LeafWork]]*IFERROR(INDEX(res_Rate,MATCH(Tasks[[#This Row],[Resource]],res_Name,0)),0))</f>
        <v>0</v>
      </c>
      <c r="BY17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7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7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7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76" s="41" t="n">
        <f aca="false">IF(NOT(Tasks[[#This Row],[_IsLeaf]]=1),0,MAX(_xlfn.MAXIFS(Tasks[_Row],Tasks[Pred1 UID],Tasks[[#This Row],[UID]]),_xlfn.MAXIFS(Tasks[_Row],Tasks[Pred2 UID],Tasks[[#This Row],[UID]])))</f>
        <v>0</v>
      </c>
      <c r="CD176"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76" s="100" t="str">
        <f aca="false">IF(NOT(Tasks[[#This Row],[_IsLeaf]]=1),"",MIN(ProjectFinish,IF(N(Tasks[[#This Row],[Deadline]])&gt;0,Tasks[[#This Row],[Deadline]],2958465),Tasks[[#This Row],[_SuccessorFinishLimit]]))</f>
        <v/>
      </c>
      <c r="CF176" s="100" t="str">
        <f aca="false">IF(NOT(Tasks[[#This Row],[_IsLeaf]]=1),"",IF(N(Tasks[[#This Row],[Duration]])&lt;=0,Tasks[[#This Row],[_LeafLateFinish]],WORKDAY.INTL(Tasks[[#This Row],[_LeafLateFinish]],-(Tasks[[#This Row],[Duration]]-1),WorkWeek,Holidays)))</f>
        <v/>
      </c>
      <c r="CG17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76" s="99" t="b">
        <f aca="false">AND(Tasks[[#This Row],[_IsLeaf]]=1,Tasks[[#This Row],[_LeafProgress]]&lt;1,N(Tasks[[#This Row],[_LeafTotalSlack]])&lt;=CriticalSlackDays)</f>
        <v>0</v>
      </c>
      <c r="CI176" s="100" t="str">
        <f aca="false">IF(Tasks[[#This Row],[Task Name]]="","",IF(Tasks[[#This Row],[_IsSummary]],MIN(INDEX(Tasks[_LeafCalcStart],Tasks[[#This Row],[_Row]]+1):INDEX(Tasks[_LeafCalcStart],Tasks[[#This Row],[_Row]]+Tasks[[#This Row],[_Descendants]])),Tasks[[#This Row],[_LeafCalcStart]]))</f>
        <v/>
      </c>
      <c r="CJ176" s="100" t="str">
        <f aca="false">IF(Tasks[[#This Row],[Task Name]]="","",IF(Tasks[[#This Row],[_IsSummary]],MAX(INDEX(Tasks[_LeafCalcFinish],Tasks[[#This Row],[_Row]]+1):INDEX(Tasks[_LeafCalcFinish],Tasks[[#This Row],[_Row]]+Tasks[[#This Row],[_Descendants]])),Tasks[[#This Row],[_LeafCalcFinish]]))</f>
        <v/>
      </c>
      <c r="CK17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7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76"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76"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76"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76"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76" s="41" t="n">
        <f aca="false">IF(AND(Tasks[[#This Row],[_IsLeaf]]=1,Tasks[[#This Row],[_LeafWork]]&gt;0),NETWORKDAYS.INTL(ProjectStart,Tasks[[#This Row],[_LeafFcstStart]],WorkWeek,Holidays),0)</f>
        <v>0</v>
      </c>
      <c r="CR176" s="41" t="n">
        <f aca="false">IF(AND(Tasks[[#This Row],[_IsLeaf]]=1,Tasks[[#This Row],[_LeafWork]]&gt;0),MAX(Tasks[[#This Row],[_StartWorkday]],NETWORKDAYS.INTL(ProjectStart,Tasks[[#This Row],[_LeafFcstFinish]],WorkWeek,Holidays)),0)</f>
        <v>0</v>
      </c>
      <c r="CS176" s="41" t="n">
        <f aca="false">IF(AND(Tasks[[#This Row],[_IsLeaf]]=1,Tasks[[#This Row],[_LeafWork]]&gt;0),Tasks[[#This Row],[_LeafWork]]/(Tasks[[#This Row],[_FinishWorkday]]-Tasks[[#This Row],[_StartWorkday]]+1),0)</f>
        <v>0</v>
      </c>
      <c r="CT176" s="41" t="n">
        <f aca="false">Tasks[[#This Row],[_WorkPerWorkday]]*(Tasks[[#This Row],[_StartWorkday]]-1)</f>
        <v>-0</v>
      </c>
      <c r="CU176" s="41" t="n">
        <f aca="false">IF(Tasks[[#This Row],[_IsLeaf]]=1,MAX(N(Tasks[[#This Row],[Duration]]),0.1),0)</f>
        <v>0</v>
      </c>
      <c r="CV176" s="41" t="n">
        <f aca="false">Tasks[[#This Row],[_WeightDur]]*Tasks[[#This Row],[_LeafProgress]]</f>
        <v>0</v>
      </c>
      <c r="CW17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7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7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7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76" s="41" t="str">
        <f aca="false">IF(Tasks[[#This Row],[Task Name]]="","",Tasks[[#This Row],[_Pred1UIDText]]&amp;IF(AND(Tasks[[#This Row],[_Pred1UIDText]]&lt;&gt;"",Tasks[[#This Row],[_Pred2UIDText]]&lt;&gt;""),",","")&amp;Tasks[[#This Row],[_Pred2UIDText]])</f>
        <v/>
      </c>
      <c r="DB176" s="41" t="str">
        <f aca="false">IF(AND(Tasks[[#This Row],[_IsLeaf]]=1,N(Tasks[[#This Row],[Duration]])=0,Tasks[[#This Row],[_LeafProgress]]&lt;1),Tasks[[#This Row],[_LeafFcstFinish]]+Tasks[[#This Row],[_Row]]/100000,"")</f>
        <v/>
      </c>
      <c r="DC17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76" s="41" t="n">
        <f aca="false">IF(NOT(Tasks[[#This Row],[_IsLeaf]]=1),0,IF(Tasks[[#This Row],[Baseline Cost]]="",Tasks[[#This Row],[_LeafCost]],N(Tasks[[#This Row],[Baseline Cost]])))</f>
        <v>0</v>
      </c>
      <c r="DE176" s="41" t="n">
        <f aca="false">Tasks[[#This Row],[_LeafBudget]]*Tasks[[#This Row],[_PlannedPct]]</f>
        <v>0</v>
      </c>
      <c r="DF176" s="41" t="n">
        <f aca="false">Tasks[[#This Row],[_LeafBudget]]*Tasks[[#This Row],[_LeafProgress]]</f>
        <v>0</v>
      </c>
      <c r="DG176" s="41" t="n">
        <f aca="false">IF(NOT(Tasks[[#This Row],[_IsLeaf]]=1),0,IF(Tasks[[#This Row],[Actual Cost]]="",Tasks[[#This Row],[_LeafCost]]*Tasks[[#This Row],[_LeafProgress]],N(Tasks[[#This Row],[Actual Cost]])))</f>
        <v>0</v>
      </c>
      <c r="DH176" s="41" t="str">
        <f aca="false">IF(Tasks[[#This Row],[Task Name]]="","",LEFT(Tasks[[#This Row],[WBS]],FIND(".",Tasks[[#This Row],[WBS]]&amp;".")-1))</f>
        <v/>
      </c>
      <c r="DI176" s="41" t="str">
        <f aca="false">IF(AND(Tasks[[#This Row],[Task Name]]&lt;&gt;"",Tasks[[#This Row],[_Level]]=1),Tasks[[#This Row],[_Row]],"")</f>
        <v/>
      </c>
      <c r="DJ176" s="41" t="str">
        <f aca="false">IF(AND(Tasks[[#This Row],[_IsLeaf]]=1,N(Tasks[[#This Row],[Duration]])=0),Tasks[[#This Row],[Planned Finish]]+Tasks[[#This Row],[_Row]]/100000,"")</f>
        <v/>
      </c>
      <c r="DK176" s="41" t="str">
        <f aca="false">IF(AND(Tasks[[#This Row],[_IsLeaf]]=1,Tasks[[#This Row],[_LeafProgress]]&lt;1,OR(N(Tasks[[#This Row],[Finish Var]])&gt;0,Tasks[[#This Row],[Status]]="Late Start")),MAX(0,Tasks[[#This Row],[Finish Var]])+1-Tasks[[#This Row],[_Row]]/1000000,"")</f>
        <v/>
      </c>
      <c r="DL176" s="41" t="str">
        <f aca="false">IF(AND(Tasks[[#This Row],[_IsLeaf]]=1,N(Tasks[[#This Row],[Actual Start]])=0,Tasks[[#This Row],[_LeafFcstStart]]&gt;=StatusDate,Tasks[[#This Row],[_LeafFcstStart]]&lt;=LookaheadEnd),Tasks[[#This Row],[_LeafFcstStart]]+Tasks[[#This Row],[_Row]]/100000,"")</f>
        <v/>
      </c>
      <c r="DM176" s="41" t="str">
        <f aca="false">IF(AND(Tasks[[#This Row],[_IsLeaf]]=1,Tasks[[#This Row],[_LeafProgress]]&lt;1,Tasks[[#This Row],[_LeafFcstFinish]]&gt;=StatusDate,Tasks[[#This Row],[_LeafFcstFinish]]&lt;=LookaheadEnd),Tasks[[#This Row],[_LeafFcstFinish]]+Tasks[[#This Row],[_Row]]/100000,"")</f>
        <v/>
      </c>
      <c r="DN176" s="41" t="str">
        <f aca="false">IF(Tasks[[#This Row],[_LeafCritical]],Tasks[[#This Row],[_LeafFcstStart]]+Tasks[[#This Row],[_Row]]/100000,"")</f>
        <v/>
      </c>
      <c r="DO176" s="41" t="n">
        <f aca="false">Tasks[[#This Row],[_LeafWork]]*Tasks[[#This Row],[_LeafProgress]]</f>
        <v>0</v>
      </c>
      <c r="DP176" s="100" t="str">
        <f aca="false">IF(AND(Tasks[[#This Row],[_IsLeaf]]=1,Tasks[[#This Row],[_LeafProgress]]&gt;=1),IF(N(Tasks[[#This Row],[Actual Finish]])&gt;0,Tasks[[#This Row],[Actual Finish]],Tasks[[#This Row],[_LeafFcstFinish]]),"")</f>
        <v/>
      </c>
      <c r="DQ176" s="41" t="n">
        <f aca="false">IF(Tasks[[#This Row],[_IsLeaf]]=1,N(Tasks[[#This Row],[Story Points]]),0)</f>
        <v>0</v>
      </c>
      <c r="DR176" s="41" t="str">
        <f aca="false">IF(AND(Tasks[[#This Row],[_IsLeaf]]=1,CurrentSprint&lt;&gt;"",Tasks[[#This Row],[Sprint]]=CurrentSprint),Tasks[[#This Row],[_Row]],"")</f>
        <v/>
      </c>
    </row>
    <row r="177" customFormat="false" ht="15" hidden="false" customHeight="false" outlineLevel="0" collapsed="false">
      <c r="A177" s="28" t="str">
        <f aca="false">IF(Tasks[[#This Row],[Task Name]]="","",COUNTA(Tasks[[#Headers],[Task Name]]:Tasks[[#This Row],[Task Name]])-1)</f>
        <v/>
      </c>
      <c r="B177" s="29" t="n">
        <v>172</v>
      </c>
      <c r="C17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7" s="29"/>
      <c r="E177" s="30"/>
      <c r="F177" s="29"/>
      <c r="G177" s="29"/>
      <c r="H177" s="29"/>
      <c r="I177" s="29"/>
      <c r="J177" s="29"/>
      <c r="K177" s="29"/>
      <c r="L177" s="29"/>
      <c r="M177" s="29"/>
      <c r="N177" s="73"/>
      <c r="O177" s="73"/>
      <c r="P177" s="25" t="str">
        <f aca="false">IF(Tasks[[#This Row],[Task Name]]="","",IF(N(Tasks[[#This Row],[Baseline Start]])&gt;0,Tasks[[#This Row],[Baseline Start]],Tasks[[#This Row],[_CalcStart]]))</f>
        <v/>
      </c>
      <c r="Q177" s="25" t="str">
        <f aca="false">IF(Tasks[[#This Row],[Task Name]]="","",IF(N(Tasks[[#This Row],[Baseline Finish]])&gt;0,Tasks[[#This Row],[Baseline Finish]],Tasks[[#This Row],[_CalcFinish]]))</f>
        <v/>
      </c>
      <c r="R177" s="73"/>
      <c r="S177" s="73"/>
      <c r="T177" s="25" t="str">
        <f aca="false">IF(Tasks[[#This Row],[Task Name]]="","",IF(Tasks[[#This Row],[_IsSummary]],MIN(INDEX(Tasks[_LeafFcstStart],Tasks[[#This Row],[_Row]]+1):INDEX(Tasks[_LeafFcstStart],Tasks[[#This Row],[_Row]]+Tasks[[#This Row],[_Descendants]])),Tasks[[#This Row],[_LeafFcstStart]]))</f>
        <v/>
      </c>
      <c r="U177" s="25" t="str">
        <f aca="false">IF(Tasks[[#This Row],[Task Name]]="","",IF(Tasks[[#This Row],[_IsSummary]],MAX(INDEX(Tasks[_LeafFcstFinish],Tasks[[#This Row],[_Row]]+1):INDEX(Tasks[_LeafFcstFinish],Tasks[[#This Row],[_Row]]+Tasks[[#This Row],[_Descendants]])),Tasks[[#This Row],[_LeafFcstFinish]]))</f>
        <v/>
      </c>
      <c r="V17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7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7" s="25" t="str">
        <f aca="false">IF(Tasks[[#This Row],[Task Name]]="","",IF(Tasks[[#This Row],[_IsSummary]],MIN(INDEX(Tasks[_LeafLateStart],Tasks[[#This Row],[_Row]]+1):INDEX(Tasks[_LeafLateStart],Tasks[[#This Row],[_Row]]+Tasks[[#This Row],[_Descendants]])),Tasks[[#This Row],[_LeafLateStart]]))</f>
        <v/>
      </c>
      <c r="Y177" s="25" t="str">
        <f aca="false">IF(Tasks[[#This Row],[Task Name]]="","",IF(Tasks[[#This Row],[_IsSummary]],MAX(INDEX(Tasks[_LeafLateFinish],Tasks[[#This Row],[_Row]]+1):INDEX(Tasks[_LeafLateFinish],Tasks[[#This Row],[_Row]]+Tasks[[#This Row],[_Descendants]])),Tasks[[#This Row],[_LeafLateFinish]]))</f>
        <v/>
      </c>
      <c r="Z177" s="43" t="str">
        <f aca="false">IF(Tasks[[#This Row],[Task Name]]="","",IF(Tasks[[#This Row],[_IsSummary]],MIN(INDEX(Tasks[_LeafTotalSlack],Tasks[[#This Row],[_Row]]+1):INDEX(Tasks[_LeafTotalSlack],Tasks[[#This Row],[_Row]]+Tasks[[#This Row],[_Descendants]])),Tasks[[#This Row],[_LeafTotalSlack]]))</f>
        <v/>
      </c>
      <c r="AA17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7" s="28" t="str">
        <f aca="false">IF(Tasks[[#This Row],[Task Name]]="","",IF(IF(Tasks[[#This Row],[_IsSummary]],COUNTIF(INDEX(Tasks[_LeafCritical],Tasks[[#This Row],[_Row]]+1):INDEX(Tasks[_LeafCritical],Tasks[[#This Row],[_Row]]+Tasks[[#This Row],[_Descendants]]),TRUE())&gt;0,Tasks[[#This Row],[_LeafCritical]]),"Yes",""))</f>
        <v/>
      </c>
      <c r="AC17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7" s="24" t="str">
        <f aca="false">IF(Tasks[[#This Row],[Task Name]]="","",TRIM(IF(Tasks[[#This Row],[_Pred1Problem]]&lt;&gt;"","Pred 1: "&amp;Tasks[[#This Row],[_Pred1Problem]]&amp;". ","")&amp;IF(Tasks[[#This Row],[_Pred2Problem]]&lt;&gt;"","Pred 2: "&amp;Tasks[[#This Row],[_Pred2Problem]]&amp;".","")))</f>
        <v/>
      </c>
      <c r="AE177" s="88"/>
      <c r="AF177"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7" s="28" t="str">
        <f aca="false">IF(Tasks[[#This Row],[Task Name]]="","",IF(Tasks[[#This Row],[Progress]]&gt;=1,"Complete",IF(OR(N(Tasks[[#This Row],[Actual Start]])&gt;0,Tasks[[#This Row],[Progress]]&gt;0),IF(Tasks[[#This Row],[Finish Var]]&gt;0,"Behind","In Progress"),IF(Tasks[[#This Row],[Planned Start]]&lt;StatusDate,"Late Start","Not Started"))))</f>
        <v/>
      </c>
      <c r="AH177" s="30"/>
      <c r="AI177" s="88"/>
      <c r="AJ177" s="95" t="str">
        <f aca="false">IF(Tasks[[#This Row],[Task Name]]="","",IF(Tasks[[#This Row],[_IsSummary]],SUM(INDEX(Tasks[_LeafWork],Tasks[[#This Row],[_Row]]+1):INDEX(Tasks[_LeafWork],Tasks[[#This Row],[_Row]]+Tasks[[#This Row],[_Descendants]])),Tasks[[#This Row],[_LeafWork]]))</f>
        <v/>
      </c>
      <c r="AK177" s="96" t="str">
        <f aca="false">IF(Tasks[[#This Row],[Task Name]]="","",IF(Tasks[[#This Row],[_IsSummary]],SUM(INDEX(Tasks[_LeafCost],Tasks[[#This Row],[_Row]]+1):INDEX(Tasks[_LeafCost],Tasks[[#This Row],[_Row]]+Tasks[[#This Row],[_Descendants]])),Tasks[[#This Row],[_LeafCost]]))</f>
        <v/>
      </c>
      <c r="AL177" s="97"/>
      <c r="AM177" s="29"/>
      <c r="AN17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77" s="82"/>
      <c r="AP177" s="24" t="str">
        <f aca="false">IF(Tasks[[#This Row],[Task Name]]="","",Tasks[[#This Row],[_Pred1IDText]]&amp;IF(AND(Tasks[[#This Row],[_Pred1IDText]]&lt;&gt;"",Tasks[[#This Row],[_Pred2IDText]]&lt;&gt;""),",","")&amp;Tasks[[#This Row],[_Pred2IDText]])</f>
        <v/>
      </c>
      <c r="AQ177" s="30"/>
      <c r="AR177" s="25" t="str">
        <f aca="false">IF(Tasks[[#This Row],[Task Name]]="","",Tasks[[#This Row],[Forecast Start]])</f>
        <v/>
      </c>
      <c r="AS177" s="25" t="str">
        <f aca="false">IF(Tasks[[#This Row],[Task Name]]="","",Tasks[[#This Row],[Forecast Finish]])</f>
        <v/>
      </c>
      <c r="AT177" s="28" t="str">
        <f aca="false">IF(Tasks[[#This Row],[Task Name]]="","",IF(Tasks[[#This Row],[_IsSummary]],NETWORKDAYS.INTL(Tasks[[#This Row],[Forecast Start]],Tasks[[#This Row],[Forecast Finish]],WorkWeek,Holidays),N(Tasks[[#This Row],[Duration]])))</f>
        <v/>
      </c>
      <c r="AU177" s="95" t="str">
        <f aca="false">IF(Tasks[[#This Row],[Task Name]]="","",Tasks[[#This Row],[Work]])</f>
        <v/>
      </c>
      <c r="AV177" s="96" t="str">
        <f aca="false">IF(Tasks[[#This Row],[Task Name]]="","",Tasks[[#This Row],[Cost]])</f>
        <v/>
      </c>
      <c r="AW177" s="73"/>
      <c r="AX177" s="73"/>
      <c r="AY177" s="29"/>
      <c r="AZ177" s="98"/>
      <c r="BA177" s="97"/>
      <c r="BB177" s="28" t="str">
        <f aca="false">IF(OR(Tasks[[#This Row],[Task Name]]="",Tasks[[#This Row],[Baseline Duration]]=""),"",Tasks[[#This Row],[BL Source Duration]]-N(Tasks[[#This Row],[Baseline Duration]]))</f>
        <v/>
      </c>
      <c r="BC177" s="95" t="str">
        <f aca="false">IF(OR(Tasks[[#This Row],[Task Name]]="",Tasks[[#This Row],[Baseline Work]]=""),"",Tasks[[#This Row],[Work]]-N(Tasks[[#This Row],[Baseline Work]]))</f>
        <v/>
      </c>
      <c r="BD177" s="96" t="str">
        <f aca="false">IF(OR(Tasks[[#This Row],[Task Name]]="",Tasks[[#This Row],[Baseline Cost]]=""),"",Tasks[[#This Row],[Cost]]-N(Tasks[[#This Row],[Baseline Cost]]))</f>
        <v/>
      </c>
      <c r="BE177" s="96" t="str">
        <f aca="false">IF(Tasks[[#This Row],[Task Name]]="","",IF(Tasks[[#This Row],[_IsSummary]],SUM(INDEX(Tasks[_LeafBudget],Tasks[[#This Row],[_Row]]+1):INDEX(Tasks[_LeafBudget],Tasks[[#This Row],[_Row]]+Tasks[[#This Row],[_Descendants]])),Tasks[[#This Row],[_LeafBudget]]))</f>
        <v/>
      </c>
      <c r="BF177" s="96" t="str">
        <f aca="false">IF(Tasks[[#This Row],[Task Name]]="","",IF(Tasks[[#This Row],[_IsSummary]],SUM(INDEX(Tasks[_LeafPV],Tasks[[#This Row],[_Row]]+1):INDEX(Tasks[_LeafPV],Tasks[[#This Row],[_Row]]+Tasks[[#This Row],[_Descendants]])),Tasks[[#This Row],[_LeafPV]]))</f>
        <v/>
      </c>
      <c r="BG177" s="96" t="str">
        <f aca="false">IF(Tasks[[#This Row],[Task Name]]="","",IF(Tasks[[#This Row],[_IsSummary]],SUM(INDEX(Tasks[_LeafEV],Tasks[[#This Row],[_Row]]+1):INDEX(Tasks[_LeafEV],Tasks[[#This Row],[_Row]]+Tasks[[#This Row],[_Descendants]])),Tasks[[#This Row],[_LeafEV]]))</f>
        <v/>
      </c>
      <c r="BH177" s="96" t="str">
        <f aca="false">IF(Tasks[[#This Row],[Task Name]]="","",IF(Tasks[[#This Row],[_IsSummary]],SUM(INDEX(Tasks[_LeafAC],Tasks[[#This Row],[_Row]]+1):INDEX(Tasks[_LeafAC],Tasks[[#This Row],[_Row]]+Tasks[[#This Row],[_Descendants]])),Tasks[[#This Row],[_LeafAC]]))</f>
        <v/>
      </c>
      <c r="BI177" s="41" t="str">
        <f aca="false">IF(Tasks[[#This Row],[Task Name]]="","",MAX(1,N(Tasks[[#This Row],[Level]])))</f>
        <v/>
      </c>
      <c r="BJ177" s="41" t="n">
        <f aca="false">ROW()-ROW(Tasks[[#Headers],[ID]])</f>
        <v>172</v>
      </c>
      <c r="BK177" s="41" t="n">
        <f aca="false">IF(OR(Tasks[[#This Row],[Task Name]]="",Tasks[[#This Row],[_Level]]&lt;=1),0,IFERROR(LOOKUP(2,1/(Tasks[[#Headers],[_Level]]:Tasks[[#This Row],[_Level]]=Tasks[[#This Row],[_Level]]-1),ROW(Tasks[[#Headers],[_Level]]:Tasks[[#This Row],[_Level]])),0))</f>
        <v>0</v>
      </c>
      <c r="BL177" s="41" t="n">
        <f aca="false">IFERROR(N(INDEX(Tasks[_Level],Tasks[[#This Row],[_Row]]+1)),0)</f>
        <v>0</v>
      </c>
      <c r="BM177" s="99" t="b">
        <f aca="false">AND(Tasks[[#This Row],[Task Name]]&lt;&gt;"",Tasks[[#This Row],[_NextLevel]]&gt;Tasks[[#This Row],[_Level]])</f>
        <v>0</v>
      </c>
      <c r="BN177" s="41" t="n">
        <f aca="false">IF(Tasks[[#This Row],[_IsSummary]],COUNTIF(Tasks[WBS],Tasks[[#This Row],[WBS]]&amp;".*"),0)</f>
        <v>0</v>
      </c>
      <c r="BO177" s="41" t="n">
        <f aca="false">IF(AND(Tasks[[#This Row],[Task Name]]&lt;&gt;"",NOT(Tasks[[#This Row],[_IsSummary]])),1,0)</f>
        <v>0</v>
      </c>
      <c r="BP177" s="41" t="n">
        <f aca="false">IF(N(Tasks[[#This Row],[Pred1 UID]])=0,0,IFERROR(MATCH(Tasks[[#This Row],[Pred1 UID]],Tasks[UID],0),-1))</f>
        <v>0</v>
      </c>
      <c r="BQ177" s="41" t="n">
        <f aca="false">IF(N(Tasks[[#This Row],[Pred2 UID]])=0,0,IFERROR(MATCH(Tasks[[#This Row],[Pred2 UID]],Tasks[UID],0),-1))</f>
        <v>0</v>
      </c>
      <c r="BR177"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77" s="100" t="str">
        <f aca="false">IF(NOT(Tasks[[#This Row],[_IsLeaf]]=1),"",IF(N(Tasks[[#This Row],[Duration]])&lt;=0,Tasks[[#This Row],[_LeafCalcStart]],WORKDAY.INTL(Tasks[[#This Row],[_LeafCalcStart]],Tasks[[#This Row],[Duration]]-1,WorkWeek,Holidays)))</f>
        <v/>
      </c>
      <c r="BT177"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77"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77" s="41" t="n">
        <f aca="false">IF(NOT(Tasks[[#This Row],[_IsLeaf]]=1),0,IF(N(Tasks[[#This Row],[Actual Finish]])&gt;0,1,MIN(1,N(Tasks[[#This Row],[% Complete]]))))</f>
        <v>0</v>
      </c>
      <c r="BW177" s="41" t="n">
        <f aca="false">IF(OR(NOT(Tasks[[#This Row],[_IsLeaf]]=1),Tasks[[#This Row],[Resource]]=""),0,N(Tasks[[#This Row],[Duration]])*HoursPerDay*IF(Tasks[[#This Row],[Units]]="",DefaultUnits,Tasks[[#This Row],[Units]]))</f>
        <v>0</v>
      </c>
      <c r="BX177" s="41" t="n">
        <f aca="false">IF(Tasks[[#This Row],[_LeafWork]]=0,0,Tasks[[#This Row],[_LeafWork]]*IFERROR(INDEX(res_Rate,MATCH(Tasks[[#This Row],[Resource]],res_Name,0)),0))</f>
        <v>0</v>
      </c>
      <c r="BY17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7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7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7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77" s="41" t="n">
        <f aca="false">IF(NOT(Tasks[[#This Row],[_IsLeaf]]=1),0,MAX(_xlfn.MAXIFS(Tasks[_Row],Tasks[Pred1 UID],Tasks[[#This Row],[UID]]),_xlfn.MAXIFS(Tasks[_Row],Tasks[Pred2 UID],Tasks[[#This Row],[UID]])))</f>
        <v>0</v>
      </c>
      <c r="CD177"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77" s="100" t="str">
        <f aca="false">IF(NOT(Tasks[[#This Row],[_IsLeaf]]=1),"",MIN(ProjectFinish,IF(N(Tasks[[#This Row],[Deadline]])&gt;0,Tasks[[#This Row],[Deadline]],2958465),Tasks[[#This Row],[_SuccessorFinishLimit]]))</f>
        <v/>
      </c>
      <c r="CF177" s="100" t="str">
        <f aca="false">IF(NOT(Tasks[[#This Row],[_IsLeaf]]=1),"",IF(N(Tasks[[#This Row],[Duration]])&lt;=0,Tasks[[#This Row],[_LeafLateFinish]],WORKDAY.INTL(Tasks[[#This Row],[_LeafLateFinish]],-(Tasks[[#This Row],[Duration]]-1),WorkWeek,Holidays)))</f>
        <v/>
      </c>
      <c r="CG17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77" s="99" t="b">
        <f aca="false">AND(Tasks[[#This Row],[_IsLeaf]]=1,Tasks[[#This Row],[_LeafProgress]]&lt;1,N(Tasks[[#This Row],[_LeafTotalSlack]])&lt;=CriticalSlackDays)</f>
        <v>0</v>
      </c>
      <c r="CI177" s="100" t="str">
        <f aca="false">IF(Tasks[[#This Row],[Task Name]]="","",IF(Tasks[[#This Row],[_IsSummary]],MIN(INDEX(Tasks[_LeafCalcStart],Tasks[[#This Row],[_Row]]+1):INDEX(Tasks[_LeafCalcStart],Tasks[[#This Row],[_Row]]+Tasks[[#This Row],[_Descendants]])),Tasks[[#This Row],[_LeafCalcStart]]))</f>
        <v/>
      </c>
      <c r="CJ177" s="100" t="str">
        <f aca="false">IF(Tasks[[#This Row],[Task Name]]="","",IF(Tasks[[#This Row],[_IsSummary]],MAX(INDEX(Tasks[_LeafCalcFinish],Tasks[[#This Row],[_Row]]+1):INDEX(Tasks[_LeafCalcFinish],Tasks[[#This Row],[_Row]]+Tasks[[#This Row],[_Descendants]])),Tasks[[#This Row],[_LeafCalcFinish]]))</f>
        <v/>
      </c>
      <c r="CK17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7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77"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77"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77"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77"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77" s="41" t="n">
        <f aca="false">IF(AND(Tasks[[#This Row],[_IsLeaf]]=1,Tasks[[#This Row],[_LeafWork]]&gt;0),NETWORKDAYS.INTL(ProjectStart,Tasks[[#This Row],[_LeafFcstStart]],WorkWeek,Holidays),0)</f>
        <v>0</v>
      </c>
      <c r="CR177" s="41" t="n">
        <f aca="false">IF(AND(Tasks[[#This Row],[_IsLeaf]]=1,Tasks[[#This Row],[_LeafWork]]&gt;0),MAX(Tasks[[#This Row],[_StartWorkday]],NETWORKDAYS.INTL(ProjectStart,Tasks[[#This Row],[_LeafFcstFinish]],WorkWeek,Holidays)),0)</f>
        <v>0</v>
      </c>
      <c r="CS177" s="41" t="n">
        <f aca="false">IF(AND(Tasks[[#This Row],[_IsLeaf]]=1,Tasks[[#This Row],[_LeafWork]]&gt;0),Tasks[[#This Row],[_LeafWork]]/(Tasks[[#This Row],[_FinishWorkday]]-Tasks[[#This Row],[_StartWorkday]]+1),0)</f>
        <v>0</v>
      </c>
      <c r="CT177" s="41" t="n">
        <f aca="false">Tasks[[#This Row],[_WorkPerWorkday]]*(Tasks[[#This Row],[_StartWorkday]]-1)</f>
        <v>-0</v>
      </c>
      <c r="CU177" s="41" t="n">
        <f aca="false">IF(Tasks[[#This Row],[_IsLeaf]]=1,MAX(N(Tasks[[#This Row],[Duration]]),0.1),0)</f>
        <v>0</v>
      </c>
      <c r="CV177" s="41" t="n">
        <f aca="false">Tasks[[#This Row],[_WeightDur]]*Tasks[[#This Row],[_LeafProgress]]</f>
        <v>0</v>
      </c>
      <c r="CW17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7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7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7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77" s="41" t="str">
        <f aca="false">IF(Tasks[[#This Row],[Task Name]]="","",Tasks[[#This Row],[_Pred1UIDText]]&amp;IF(AND(Tasks[[#This Row],[_Pred1UIDText]]&lt;&gt;"",Tasks[[#This Row],[_Pred2UIDText]]&lt;&gt;""),",","")&amp;Tasks[[#This Row],[_Pred2UIDText]])</f>
        <v/>
      </c>
      <c r="DB177" s="41" t="str">
        <f aca="false">IF(AND(Tasks[[#This Row],[_IsLeaf]]=1,N(Tasks[[#This Row],[Duration]])=0,Tasks[[#This Row],[_LeafProgress]]&lt;1),Tasks[[#This Row],[_LeafFcstFinish]]+Tasks[[#This Row],[_Row]]/100000,"")</f>
        <v/>
      </c>
      <c r="DC17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77" s="41" t="n">
        <f aca="false">IF(NOT(Tasks[[#This Row],[_IsLeaf]]=1),0,IF(Tasks[[#This Row],[Baseline Cost]]="",Tasks[[#This Row],[_LeafCost]],N(Tasks[[#This Row],[Baseline Cost]])))</f>
        <v>0</v>
      </c>
      <c r="DE177" s="41" t="n">
        <f aca="false">Tasks[[#This Row],[_LeafBudget]]*Tasks[[#This Row],[_PlannedPct]]</f>
        <v>0</v>
      </c>
      <c r="DF177" s="41" t="n">
        <f aca="false">Tasks[[#This Row],[_LeafBudget]]*Tasks[[#This Row],[_LeafProgress]]</f>
        <v>0</v>
      </c>
      <c r="DG177" s="41" t="n">
        <f aca="false">IF(NOT(Tasks[[#This Row],[_IsLeaf]]=1),0,IF(Tasks[[#This Row],[Actual Cost]]="",Tasks[[#This Row],[_LeafCost]]*Tasks[[#This Row],[_LeafProgress]],N(Tasks[[#This Row],[Actual Cost]])))</f>
        <v>0</v>
      </c>
      <c r="DH177" s="41" t="str">
        <f aca="false">IF(Tasks[[#This Row],[Task Name]]="","",LEFT(Tasks[[#This Row],[WBS]],FIND(".",Tasks[[#This Row],[WBS]]&amp;".")-1))</f>
        <v/>
      </c>
      <c r="DI177" s="41" t="str">
        <f aca="false">IF(AND(Tasks[[#This Row],[Task Name]]&lt;&gt;"",Tasks[[#This Row],[_Level]]=1),Tasks[[#This Row],[_Row]],"")</f>
        <v/>
      </c>
      <c r="DJ177" s="41" t="str">
        <f aca="false">IF(AND(Tasks[[#This Row],[_IsLeaf]]=1,N(Tasks[[#This Row],[Duration]])=0),Tasks[[#This Row],[Planned Finish]]+Tasks[[#This Row],[_Row]]/100000,"")</f>
        <v/>
      </c>
      <c r="DK177" s="41" t="str">
        <f aca="false">IF(AND(Tasks[[#This Row],[_IsLeaf]]=1,Tasks[[#This Row],[_LeafProgress]]&lt;1,OR(N(Tasks[[#This Row],[Finish Var]])&gt;0,Tasks[[#This Row],[Status]]="Late Start")),MAX(0,Tasks[[#This Row],[Finish Var]])+1-Tasks[[#This Row],[_Row]]/1000000,"")</f>
        <v/>
      </c>
      <c r="DL177" s="41" t="str">
        <f aca="false">IF(AND(Tasks[[#This Row],[_IsLeaf]]=1,N(Tasks[[#This Row],[Actual Start]])=0,Tasks[[#This Row],[_LeafFcstStart]]&gt;=StatusDate,Tasks[[#This Row],[_LeafFcstStart]]&lt;=LookaheadEnd),Tasks[[#This Row],[_LeafFcstStart]]+Tasks[[#This Row],[_Row]]/100000,"")</f>
        <v/>
      </c>
      <c r="DM177" s="41" t="str">
        <f aca="false">IF(AND(Tasks[[#This Row],[_IsLeaf]]=1,Tasks[[#This Row],[_LeafProgress]]&lt;1,Tasks[[#This Row],[_LeafFcstFinish]]&gt;=StatusDate,Tasks[[#This Row],[_LeafFcstFinish]]&lt;=LookaheadEnd),Tasks[[#This Row],[_LeafFcstFinish]]+Tasks[[#This Row],[_Row]]/100000,"")</f>
        <v/>
      </c>
      <c r="DN177" s="41" t="str">
        <f aca="false">IF(Tasks[[#This Row],[_LeafCritical]],Tasks[[#This Row],[_LeafFcstStart]]+Tasks[[#This Row],[_Row]]/100000,"")</f>
        <v/>
      </c>
      <c r="DO177" s="41" t="n">
        <f aca="false">Tasks[[#This Row],[_LeafWork]]*Tasks[[#This Row],[_LeafProgress]]</f>
        <v>0</v>
      </c>
      <c r="DP177" s="100" t="str">
        <f aca="false">IF(AND(Tasks[[#This Row],[_IsLeaf]]=1,Tasks[[#This Row],[_LeafProgress]]&gt;=1),IF(N(Tasks[[#This Row],[Actual Finish]])&gt;0,Tasks[[#This Row],[Actual Finish]],Tasks[[#This Row],[_LeafFcstFinish]]),"")</f>
        <v/>
      </c>
      <c r="DQ177" s="41" t="n">
        <f aca="false">IF(Tasks[[#This Row],[_IsLeaf]]=1,N(Tasks[[#This Row],[Story Points]]),0)</f>
        <v>0</v>
      </c>
      <c r="DR177" s="41" t="str">
        <f aca="false">IF(AND(Tasks[[#This Row],[_IsLeaf]]=1,CurrentSprint&lt;&gt;"",Tasks[[#This Row],[Sprint]]=CurrentSprint),Tasks[[#This Row],[_Row]],"")</f>
        <v/>
      </c>
    </row>
    <row r="178" customFormat="false" ht="15" hidden="false" customHeight="false" outlineLevel="0" collapsed="false">
      <c r="A178" s="28" t="str">
        <f aca="false">IF(Tasks[[#This Row],[Task Name]]="","",COUNTA(Tasks[[#Headers],[Task Name]]:Tasks[[#This Row],[Task Name]])-1)</f>
        <v/>
      </c>
      <c r="B178" s="29" t="n">
        <v>173</v>
      </c>
      <c r="C17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8" s="29"/>
      <c r="E178" s="30"/>
      <c r="F178" s="29"/>
      <c r="G178" s="29"/>
      <c r="H178" s="29"/>
      <c r="I178" s="29"/>
      <c r="J178" s="29"/>
      <c r="K178" s="29"/>
      <c r="L178" s="29"/>
      <c r="M178" s="29"/>
      <c r="N178" s="73"/>
      <c r="O178" s="73"/>
      <c r="P178" s="25" t="str">
        <f aca="false">IF(Tasks[[#This Row],[Task Name]]="","",IF(N(Tasks[[#This Row],[Baseline Start]])&gt;0,Tasks[[#This Row],[Baseline Start]],Tasks[[#This Row],[_CalcStart]]))</f>
        <v/>
      </c>
      <c r="Q178" s="25" t="str">
        <f aca="false">IF(Tasks[[#This Row],[Task Name]]="","",IF(N(Tasks[[#This Row],[Baseline Finish]])&gt;0,Tasks[[#This Row],[Baseline Finish]],Tasks[[#This Row],[_CalcFinish]]))</f>
        <v/>
      </c>
      <c r="R178" s="73"/>
      <c r="S178" s="73"/>
      <c r="T178" s="25" t="str">
        <f aca="false">IF(Tasks[[#This Row],[Task Name]]="","",IF(Tasks[[#This Row],[_IsSummary]],MIN(INDEX(Tasks[_LeafFcstStart],Tasks[[#This Row],[_Row]]+1):INDEX(Tasks[_LeafFcstStart],Tasks[[#This Row],[_Row]]+Tasks[[#This Row],[_Descendants]])),Tasks[[#This Row],[_LeafFcstStart]]))</f>
        <v/>
      </c>
      <c r="U178" s="25" t="str">
        <f aca="false">IF(Tasks[[#This Row],[Task Name]]="","",IF(Tasks[[#This Row],[_IsSummary]],MAX(INDEX(Tasks[_LeafFcstFinish],Tasks[[#This Row],[_Row]]+1):INDEX(Tasks[_LeafFcstFinish],Tasks[[#This Row],[_Row]]+Tasks[[#This Row],[_Descendants]])),Tasks[[#This Row],[_LeafFcstFinish]]))</f>
        <v/>
      </c>
      <c r="V17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7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8" s="25" t="str">
        <f aca="false">IF(Tasks[[#This Row],[Task Name]]="","",IF(Tasks[[#This Row],[_IsSummary]],MIN(INDEX(Tasks[_LeafLateStart],Tasks[[#This Row],[_Row]]+1):INDEX(Tasks[_LeafLateStart],Tasks[[#This Row],[_Row]]+Tasks[[#This Row],[_Descendants]])),Tasks[[#This Row],[_LeafLateStart]]))</f>
        <v/>
      </c>
      <c r="Y178" s="25" t="str">
        <f aca="false">IF(Tasks[[#This Row],[Task Name]]="","",IF(Tasks[[#This Row],[_IsSummary]],MAX(INDEX(Tasks[_LeafLateFinish],Tasks[[#This Row],[_Row]]+1):INDEX(Tasks[_LeafLateFinish],Tasks[[#This Row],[_Row]]+Tasks[[#This Row],[_Descendants]])),Tasks[[#This Row],[_LeafLateFinish]]))</f>
        <v/>
      </c>
      <c r="Z178" s="43" t="str">
        <f aca="false">IF(Tasks[[#This Row],[Task Name]]="","",IF(Tasks[[#This Row],[_IsSummary]],MIN(INDEX(Tasks[_LeafTotalSlack],Tasks[[#This Row],[_Row]]+1):INDEX(Tasks[_LeafTotalSlack],Tasks[[#This Row],[_Row]]+Tasks[[#This Row],[_Descendants]])),Tasks[[#This Row],[_LeafTotalSlack]]))</f>
        <v/>
      </c>
      <c r="AA17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8" s="28" t="str">
        <f aca="false">IF(Tasks[[#This Row],[Task Name]]="","",IF(IF(Tasks[[#This Row],[_IsSummary]],COUNTIF(INDEX(Tasks[_LeafCritical],Tasks[[#This Row],[_Row]]+1):INDEX(Tasks[_LeafCritical],Tasks[[#This Row],[_Row]]+Tasks[[#This Row],[_Descendants]]),TRUE())&gt;0,Tasks[[#This Row],[_LeafCritical]]),"Yes",""))</f>
        <v/>
      </c>
      <c r="AC17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8" s="24" t="str">
        <f aca="false">IF(Tasks[[#This Row],[Task Name]]="","",TRIM(IF(Tasks[[#This Row],[_Pred1Problem]]&lt;&gt;"","Pred 1: "&amp;Tasks[[#This Row],[_Pred1Problem]]&amp;". ","")&amp;IF(Tasks[[#This Row],[_Pred2Problem]]&lt;&gt;"","Pred 2: "&amp;Tasks[[#This Row],[_Pred2Problem]]&amp;".","")))</f>
        <v/>
      </c>
      <c r="AE178" s="88"/>
      <c r="AF178"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8" s="28" t="str">
        <f aca="false">IF(Tasks[[#This Row],[Task Name]]="","",IF(Tasks[[#This Row],[Progress]]&gt;=1,"Complete",IF(OR(N(Tasks[[#This Row],[Actual Start]])&gt;0,Tasks[[#This Row],[Progress]]&gt;0),IF(Tasks[[#This Row],[Finish Var]]&gt;0,"Behind","In Progress"),IF(Tasks[[#This Row],[Planned Start]]&lt;StatusDate,"Late Start","Not Started"))))</f>
        <v/>
      </c>
      <c r="AH178" s="30"/>
      <c r="AI178" s="88"/>
      <c r="AJ178" s="95" t="str">
        <f aca="false">IF(Tasks[[#This Row],[Task Name]]="","",IF(Tasks[[#This Row],[_IsSummary]],SUM(INDEX(Tasks[_LeafWork],Tasks[[#This Row],[_Row]]+1):INDEX(Tasks[_LeafWork],Tasks[[#This Row],[_Row]]+Tasks[[#This Row],[_Descendants]])),Tasks[[#This Row],[_LeafWork]]))</f>
        <v/>
      </c>
      <c r="AK178" s="96" t="str">
        <f aca="false">IF(Tasks[[#This Row],[Task Name]]="","",IF(Tasks[[#This Row],[_IsSummary]],SUM(INDEX(Tasks[_LeafCost],Tasks[[#This Row],[_Row]]+1):INDEX(Tasks[_LeafCost],Tasks[[#This Row],[_Row]]+Tasks[[#This Row],[_Descendants]])),Tasks[[#This Row],[_LeafCost]]))</f>
        <v/>
      </c>
      <c r="AL178" s="97"/>
      <c r="AM178" s="29"/>
      <c r="AN17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78" s="82"/>
      <c r="AP178" s="24" t="str">
        <f aca="false">IF(Tasks[[#This Row],[Task Name]]="","",Tasks[[#This Row],[_Pred1IDText]]&amp;IF(AND(Tasks[[#This Row],[_Pred1IDText]]&lt;&gt;"",Tasks[[#This Row],[_Pred2IDText]]&lt;&gt;""),",","")&amp;Tasks[[#This Row],[_Pred2IDText]])</f>
        <v/>
      </c>
      <c r="AQ178" s="30"/>
      <c r="AR178" s="25" t="str">
        <f aca="false">IF(Tasks[[#This Row],[Task Name]]="","",Tasks[[#This Row],[Forecast Start]])</f>
        <v/>
      </c>
      <c r="AS178" s="25" t="str">
        <f aca="false">IF(Tasks[[#This Row],[Task Name]]="","",Tasks[[#This Row],[Forecast Finish]])</f>
        <v/>
      </c>
      <c r="AT178" s="28" t="str">
        <f aca="false">IF(Tasks[[#This Row],[Task Name]]="","",IF(Tasks[[#This Row],[_IsSummary]],NETWORKDAYS.INTL(Tasks[[#This Row],[Forecast Start]],Tasks[[#This Row],[Forecast Finish]],WorkWeek,Holidays),N(Tasks[[#This Row],[Duration]])))</f>
        <v/>
      </c>
      <c r="AU178" s="95" t="str">
        <f aca="false">IF(Tasks[[#This Row],[Task Name]]="","",Tasks[[#This Row],[Work]])</f>
        <v/>
      </c>
      <c r="AV178" s="96" t="str">
        <f aca="false">IF(Tasks[[#This Row],[Task Name]]="","",Tasks[[#This Row],[Cost]])</f>
        <v/>
      </c>
      <c r="AW178" s="73"/>
      <c r="AX178" s="73"/>
      <c r="AY178" s="29"/>
      <c r="AZ178" s="98"/>
      <c r="BA178" s="97"/>
      <c r="BB178" s="28" t="str">
        <f aca="false">IF(OR(Tasks[[#This Row],[Task Name]]="",Tasks[[#This Row],[Baseline Duration]]=""),"",Tasks[[#This Row],[BL Source Duration]]-N(Tasks[[#This Row],[Baseline Duration]]))</f>
        <v/>
      </c>
      <c r="BC178" s="95" t="str">
        <f aca="false">IF(OR(Tasks[[#This Row],[Task Name]]="",Tasks[[#This Row],[Baseline Work]]=""),"",Tasks[[#This Row],[Work]]-N(Tasks[[#This Row],[Baseline Work]]))</f>
        <v/>
      </c>
      <c r="BD178" s="96" t="str">
        <f aca="false">IF(OR(Tasks[[#This Row],[Task Name]]="",Tasks[[#This Row],[Baseline Cost]]=""),"",Tasks[[#This Row],[Cost]]-N(Tasks[[#This Row],[Baseline Cost]]))</f>
        <v/>
      </c>
      <c r="BE178" s="96" t="str">
        <f aca="false">IF(Tasks[[#This Row],[Task Name]]="","",IF(Tasks[[#This Row],[_IsSummary]],SUM(INDEX(Tasks[_LeafBudget],Tasks[[#This Row],[_Row]]+1):INDEX(Tasks[_LeafBudget],Tasks[[#This Row],[_Row]]+Tasks[[#This Row],[_Descendants]])),Tasks[[#This Row],[_LeafBudget]]))</f>
        <v/>
      </c>
      <c r="BF178" s="96" t="str">
        <f aca="false">IF(Tasks[[#This Row],[Task Name]]="","",IF(Tasks[[#This Row],[_IsSummary]],SUM(INDEX(Tasks[_LeafPV],Tasks[[#This Row],[_Row]]+1):INDEX(Tasks[_LeafPV],Tasks[[#This Row],[_Row]]+Tasks[[#This Row],[_Descendants]])),Tasks[[#This Row],[_LeafPV]]))</f>
        <v/>
      </c>
      <c r="BG178" s="96" t="str">
        <f aca="false">IF(Tasks[[#This Row],[Task Name]]="","",IF(Tasks[[#This Row],[_IsSummary]],SUM(INDEX(Tasks[_LeafEV],Tasks[[#This Row],[_Row]]+1):INDEX(Tasks[_LeafEV],Tasks[[#This Row],[_Row]]+Tasks[[#This Row],[_Descendants]])),Tasks[[#This Row],[_LeafEV]]))</f>
        <v/>
      </c>
      <c r="BH178" s="96" t="str">
        <f aca="false">IF(Tasks[[#This Row],[Task Name]]="","",IF(Tasks[[#This Row],[_IsSummary]],SUM(INDEX(Tasks[_LeafAC],Tasks[[#This Row],[_Row]]+1):INDEX(Tasks[_LeafAC],Tasks[[#This Row],[_Row]]+Tasks[[#This Row],[_Descendants]])),Tasks[[#This Row],[_LeafAC]]))</f>
        <v/>
      </c>
      <c r="BI178" s="41" t="str">
        <f aca="false">IF(Tasks[[#This Row],[Task Name]]="","",MAX(1,N(Tasks[[#This Row],[Level]])))</f>
        <v/>
      </c>
      <c r="BJ178" s="41" t="n">
        <f aca="false">ROW()-ROW(Tasks[[#Headers],[ID]])</f>
        <v>173</v>
      </c>
      <c r="BK178" s="41" t="n">
        <f aca="false">IF(OR(Tasks[[#This Row],[Task Name]]="",Tasks[[#This Row],[_Level]]&lt;=1),0,IFERROR(LOOKUP(2,1/(Tasks[[#Headers],[_Level]]:Tasks[[#This Row],[_Level]]=Tasks[[#This Row],[_Level]]-1),ROW(Tasks[[#Headers],[_Level]]:Tasks[[#This Row],[_Level]])),0))</f>
        <v>0</v>
      </c>
      <c r="BL178" s="41" t="n">
        <f aca="false">IFERROR(N(INDEX(Tasks[_Level],Tasks[[#This Row],[_Row]]+1)),0)</f>
        <v>0</v>
      </c>
      <c r="BM178" s="99" t="b">
        <f aca="false">AND(Tasks[[#This Row],[Task Name]]&lt;&gt;"",Tasks[[#This Row],[_NextLevel]]&gt;Tasks[[#This Row],[_Level]])</f>
        <v>0</v>
      </c>
      <c r="BN178" s="41" t="n">
        <f aca="false">IF(Tasks[[#This Row],[_IsSummary]],COUNTIF(Tasks[WBS],Tasks[[#This Row],[WBS]]&amp;".*"),0)</f>
        <v>0</v>
      </c>
      <c r="BO178" s="41" t="n">
        <f aca="false">IF(AND(Tasks[[#This Row],[Task Name]]&lt;&gt;"",NOT(Tasks[[#This Row],[_IsSummary]])),1,0)</f>
        <v>0</v>
      </c>
      <c r="BP178" s="41" t="n">
        <f aca="false">IF(N(Tasks[[#This Row],[Pred1 UID]])=0,0,IFERROR(MATCH(Tasks[[#This Row],[Pred1 UID]],Tasks[UID],0),-1))</f>
        <v>0</v>
      </c>
      <c r="BQ178" s="41" t="n">
        <f aca="false">IF(N(Tasks[[#This Row],[Pred2 UID]])=0,0,IFERROR(MATCH(Tasks[[#This Row],[Pred2 UID]],Tasks[UID],0),-1))</f>
        <v>0</v>
      </c>
      <c r="BR178"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78" s="100" t="str">
        <f aca="false">IF(NOT(Tasks[[#This Row],[_IsLeaf]]=1),"",IF(N(Tasks[[#This Row],[Duration]])&lt;=0,Tasks[[#This Row],[_LeafCalcStart]],WORKDAY.INTL(Tasks[[#This Row],[_LeafCalcStart]],Tasks[[#This Row],[Duration]]-1,WorkWeek,Holidays)))</f>
        <v/>
      </c>
      <c r="BT178"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78"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78" s="41" t="n">
        <f aca="false">IF(NOT(Tasks[[#This Row],[_IsLeaf]]=1),0,IF(N(Tasks[[#This Row],[Actual Finish]])&gt;0,1,MIN(1,N(Tasks[[#This Row],[% Complete]]))))</f>
        <v>0</v>
      </c>
      <c r="BW178" s="41" t="n">
        <f aca="false">IF(OR(NOT(Tasks[[#This Row],[_IsLeaf]]=1),Tasks[[#This Row],[Resource]]=""),0,N(Tasks[[#This Row],[Duration]])*HoursPerDay*IF(Tasks[[#This Row],[Units]]="",DefaultUnits,Tasks[[#This Row],[Units]]))</f>
        <v>0</v>
      </c>
      <c r="BX178" s="41" t="n">
        <f aca="false">IF(Tasks[[#This Row],[_LeafWork]]=0,0,Tasks[[#This Row],[_LeafWork]]*IFERROR(INDEX(res_Rate,MATCH(Tasks[[#This Row],[Resource]],res_Name,0)),0))</f>
        <v>0</v>
      </c>
      <c r="BY17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7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7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7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78" s="41" t="n">
        <f aca="false">IF(NOT(Tasks[[#This Row],[_IsLeaf]]=1),0,MAX(_xlfn.MAXIFS(Tasks[_Row],Tasks[Pred1 UID],Tasks[[#This Row],[UID]]),_xlfn.MAXIFS(Tasks[_Row],Tasks[Pred2 UID],Tasks[[#This Row],[UID]])))</f>
        <v>0</v>
      </c>
      <c r="CD178"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78" s="100" t="str">
        <f aca="false">IF(NOT(Tasks[[#This Row],[_IsLeaf]]=1),"",MIN(ProjectFinish,IF(N(Tasks[[#This Row],[Deadline]])&gt;0,Tasks[[#This Row],[Deadline]],2958465),Tasks[[#This Row],[_SuccessorFinishLimit]]))</f>
        <v/>
      </c>
      <c r="CF178" s="100" t="str">
        <f aca="false">IF(NOT(Tasks[[#This Row],[_IsLeaf]]=1),"",IF(N(Tasks[[#This Row],[Duration]])&lt;=0,Tasks[[#This Row],[_LeafLateFinish]],WORKDAY.INTL(Tasks[[#This Row],[_LeafLateFinish]],-(Tasks[[#This Row],[Duration]]-1),WorkWeek,Holidays)))</f>
        <v/>
      </c>
      <c r="CG17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78" s="99" t="b">
        <f aca="false">AND(Tasks[[#This Row],[_IsLeaf]]=1,Tasks[[#This Row],[_LeafProgress]]&lt;1,N(Tasks[[#This Row],[_LeafTotalSlack]])&lt;=CriticalSlackDays)</f>
        <v>0</v>
      </c>
      <c r="CI178" s="100" t="str">
        <f aca="false">IF(Tasks[[#This Row],[Task Name]]="","",IF(Tasks[[#This Row],[_IsSummary]],MIN(INDEX(Tasks[_LeafCalcStart],Tasks[[#This Row],[_Row]]+1):INDEX(Tasks[_LeafCalcStart],Tasks[[#This Row],[_Row]]+Tasks[[#This Row],[_Descendants]])),Tasks[[#This Row],[_LeafCalcStart]]))</f>
        <v/>
      </c>
      <c r="CJ178" s="100" t="str">
        <f aca="false">IF(Tasks[[#This Row],[Task Name]]="","",IF(Tasks[[#This Row],[_IsSummary]],MAX(INDEX(Tasks[_LeafCalcFinish],Tasks[[#This Row],[_Row]]+1):INDEX(Tasks[_LeafCalcFinish],Tasks[[#This Row],[_Row]]+Tasks[[#This Row],[_Descendants]])),Tasks[[#This Row],[_LeafCalcFinish]]))</f>
        <v/>
      </c>
      <c r="CK17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7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78"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78"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78"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78"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78" s="41" t="n">
        <f aca="false">IF(AND(Tasks[[#This Row],[_IsLeaf]]=1,Tasks[[#This Row],[_LeafWork]]&gt;0),NETWORKDAYS.INTL(ProjectStart,Tasks[[#This Row],[_LeafFcstStart]],WorkWeek,Holidays),0)</f>
        <v>0</v>
      </c>
      <c r="CR178" s="41" t="n">
        <f aca="false">IF(AND(Tasks[[#This Row],[_IsLeaf]]=1,Tasks[[#This Row],[_LeafWork]]&gt;0),MAX(Tasks[[#This Row],[_StartWorkday]],NETWORKDAYS.INTL(ProjectStart,Tasks[[#This Row],[_LeafFcstFinish]],WorkWeek,Holidays)),0)</f>
        <v>0</v>
      </c>
      <c r="CS178" s="41" t="n">
        <f aca="false">IF(AND(Tasks[[#This Row],[_IsLeaf]]=1,Tasks[[#This Row],[_LeafWork]]&gt;0),Tasks[[#This Row],[_LeafWork]]/(Tasks[[#This Row],[_FinishWorkday]]-Tasks[[#This Row],[_StartWorkday]]+1),0)</f>
        <v>0</v>
      </c>
      <c r="CT178" s="41" t="n">
        <f aca="false">Tasks[[#This Row],[_WorkPerWorkday]]*(Tasks[[#This Row],[_StartWorkday]]-1)</f>
        <v>-0</v>
      </c>
      <c r="CU178" s="41" t="n">
        <f aca="false">IF(Tasks[[#This Row],[_IsLeaf]]=1,MAX(N(Tasks[[#This Row],[Duration]]),0.1),0)</f>
        <v>0</v>
      </c>
      <c r="CV178" s="41" t="n">
        <f aca="false">Tasks[[#This Row],[_WeightDur]]*Tasks[[#This Row],[_LeafProgress]]</f>
        <v>0</v>
      </c>
      <c r="CW17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7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7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7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78" s="41" t="str">
        <f aca="false">IF(Tasks[[#This Row],[Task Name]]="","",Tasks[[#This Row],[_Pred1UIDText]]&amp;IF(AND(Tasks[[#This Row],[_Pred1UIDText]]&lt;&gt;"",Tasks[[#This Row],[_Pred2UIDText]]&lt;&gt;""),",","")&amp;Tasks[[#This Row],[_Pred2UIDText]])</f>
        <v/>
      </c>
      <c r="DB178" s="41" t="str">
        <f aca="false">IF(AND(Tasks[[#This Row],[_IsLeaf]]=1,N(Tasks[[#This Row],[Duration]])=0,Tasks[[#This Row],[_LeafProgress]]&lt;1),Tasks[[#This Row],[_LeafFcstFinish]]+Tasks[[#This Row],[_Row]]/100000,"")</f>
        <v/>
      </c>
      <c r="DC17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78" s="41" t="n">
        <f aca="false">IF(NOT(Tasks[[#This Row],[_IsLeaf]]=1),0,IF(Tasks[[#This Row],[Baseline Cost]]="",Tasks[[#This Row],[_LeafCost]],N(Tasks[[#This Row],[Baseline Cost]])))</f>
        <v>0</v>
      </c>
      <c r="DE178" s="41" t="n">
        <f aca="false">Tasks[[#This Row],[_LeafBudget]]*Tasks[[#This Row],[_PlannedPct]]</f>
        <v>0</v>
      </c>
      <c r="DF178" s="41" t="n">
        <f aca="false">Tasks[[#This Row],[_LeafBudget]]*Tasks[[#This Row],[_LeafProgress]]</f>
        <v>0</v>
      </c>
      <c r="DG178" s="41" t="n">
        <f aca="false">IF(NOT(Tasks[[#This Row],[_IsLeaf]]=1),0,IF(Tasks[[#This Row],[Actual Cost]]="",Tasks[[#This Row],[_LeafCost]]*Tasks[[#This Row],[_LeafProgress]],N(Tasks[[#This Row],[Actual Cost]])))</f>
        <v>0</v>
      </c>
      <c r="DH178" s="41" t="str">
        <f aca="false">IF(Tasks[[#This Row],[Task Name]]="","",LEFT(Tasks[[#This Row],[WBS]],FIND(".",Tasks[[#This Row],[WBS]]&amp;".")-1))</f>
        <v/>
      </c>
      <c r="DI178" s="41" t="str">
        <f aca="false">IF(AND(Tasks[[#This Row],[Task Name]]&lt;&gt;"",Tasks[[#This Row],[_Level]]=1),Tasks[[#This Row],[_Row]],"")</f>
        <v/>
      </c>
      <c r="DJ178" s="41" t="str">
        <f aca="false">IF(AND(Tasks[[#This Row],[_IsLeaf]]=1,N(Tasks[[#This Row],[Duration]])=0),Tasks[[#This Row],[Planned Finish]]+Tasks[[#This Row],[_Row]]/100000,"")</f>
        <v/>
      </c>
      <c r="DK178" s="41" t="str">
        <f aca="false">IF(AND(Tasks[[#This Row],[_IsLeaf]]=1,Tasks[[#This Row],[_LeafProgress]]&lt;1,OR(N(Tasks[[#This Row],[Finish Var]])&gt;0,Tasks[[#This Row],[Status]]="Late Start")),MAX(0,Tasks[[#This Row],[Finish Var]])+1-Tasks[[#This Row],[_Row]]/1000000,"")</f>
        <v/>
      </c>
      <c r="DL178" s="41" t="str">
        <f aca="false">IF(AND(Tasks[[#This Row],[_IsLeaf]]=1,N(Tasks[[#This Row],[Actual Start]])=0,Tasks[[#This Row],[_LeafFcstStart]]&gt;=StatusDate,Tasks[[#This Row],[_LeafFcstStart]]&lt;=LookaheadEnd),Tasks[[#This Row],[_LeafFcstStart]]+Tasks[[#This Row],[_Row]]/100000,"")</f>
        <v/>
      </c>
      <c r="DM178" s="41" t="str">
        <f aca="false">IF(AND(Tasks[[#This Row],[_IsLeaf]]=1,Tasks[[#This Row],[_LeafProgress]]&lt;1,Tasks[[#This Row],[_LeafFcstFinish]]&gt;=StatusDate,Tasks[[#This Row],[_LeafFcstFinish]]&lt;=LookaheadEnd),Tasks[[#This Row],[_LeafFcstFinish]]+Tasks[[#This Row],[_Row]]/100000,"")</f>
        <v/>
      </c>
      <c r="DN178" s="41" t="str">
        <f aca="false">IF(Tasks[[#This Row],[_LeafCritical]],Tasks[[#This Row],[_LeafFcstStart]]+Tasks[[#This Row],[_Row]]/100000,"")</f>
        <v/>
      </c>
      <c r="DO178" s="41" t="n">
        <f aca="false">Tasks[[#This Row],[_LeafWork]]*Tasks[[#This Row],[_LeafProgress]]</f>
        <v>0</v>
      </c>
      <c r="DP178" s="100" t="str">
        <f aca="false">IF(AND(Tasks[[#This Row],[_IsLeaf]]=1,Tasks[[#This Row],[_LeafProgress]]&gt;=1),IF(N(Tasks[[#This Row],[Actual Finish]])&gt;0,Tasks[[#This Row],[Actual Finish]],Tasks[[#This Row],[_LeafFcstFinish]]),"")</f>
        <v/>
      </c>
      <c r="DQ178" s="41" t="n">
        <f aca="false">IF(Tasks[[#This Row],[_IsLeaf]]=1,N(Tasks[[#This Row],[Story Points]]),0)</f>
        <v>0</v>
      </c>
      <c r="DR178" s="41" t="str">
        <f aca="false">IF(AND(Tasks[[#This Row],[_IsLeaf]]=1,CurrentSprint&lt;&gt;"",Tasks[[#This Row],[Sprint]]=CurrentSprint),Tasks[[#This Row],[_Row]],"")</f>
        <v/>
      </c>
    </row>
    <row r="179" customFormat="false" ht="15" hidden="false" customHeight="false" outlineLevel="0" collapsed="false">
      <c r="A179" s="28" t="str">
        <f aca="false">IF(Tasks[[#This Row],[Task Name]]="","",COUNTA(Tasks[[#Headers],[Task Name]]:Tasks[[#This Row],[Task Name]])-1)</f>
        <v/>
      </c>
      <c r="B179" s="29" t="n">
        <v>174</v>
      </c>
      <c r="C17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9" s="29"/>
      <c r="E179" s="30"/>
      <c r="F179" s="29"/>
      <c r="G179" s="29"/>
      <c r="H179" s="29"/>
      <c r="I179" s="29"/>
      <c r="J179" s="29"/>
      <c r="K179" s="29"/>
      <c r="L179" s="29"/>
      <c r="M179" s="29"/>
      <c r="N179" s="73"/>
      <c r="O179" s="73"/>
      <c r="P179" s="25" t="str">
        <f aca="false">IF(Tasks[[#This Row],[Task Name]]="","",IF(N(Tasks[[#This Row],[Baseline Start]])&gt;0,Tasks[[#This Row],[Baseline Start]],Tasks[[#This Row],[_CalcStart]]))</f>
        <v/>
      </c>
      <c r="Q179" s="25" t="str">
        <f aca="false">IF(Tasks[[#This Row],[Task Name]]="","",IF(N(Tasks[[#This Row],[Baseline Finish]])&gt;0,Tasks[[#This Row],[Baseline Finish]],Tasks[[#This Row],[_CalcFinish]]))</f>
        <v/>
      </c>
      <c r="R179" s="73"/>
      <c r="S179" s="73"/>
      <c r="T179" s="25" t="str">
        <f aca="false">IF(Tasks[[#This Row],[Task Name]]="","",IF(Tasks[[#This Row],[_IsSummary]],MIN(INDEX(Tasks[_LeafFcstStart],Tasks[[#This Row],[_Row]]+1):INDEX(Tasks[_LeafFcstStart],Tasks[[#This Row],[_Row]]+Tasks[[#This Row],[_Descendants]])),Tasks[[#This Row],[_LeafFcstStart]]))</f>
        <v/>
      </c>
      <c r="U179" s="25" t="str">
        <f aca="false">IF(Tasks[[#This Row],[Task Name]]="","",IF(Tasks[[#This Row],[_IsSummary]],MAX(INDEX(Tasks[_LeafFcstFinish],Tasks[[#This Row],[_Row]]+1):INDEX(Tasks[_LeafFcstFinish],Tasks[[#This Row],[_Row]]+Tasks[[#This Row],[_Descendants]])),Tasks[[#This Row],[_LeafFcstFinish]]))</f>
        <v/>
      </c>
      <c r="V17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7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9" s="25" t="str">
        <f aca="false">IF(Tasks[[#This Row],[Task Name]]="","",IF(Tasks[[#This Row],[_IsSummary]],MIN(INDEX(Tasks[_LeafLateStart],Tasks[[#This Row],[_Row]]+1):INDEX(Tasks[_LeafLateStart],Tasks[[#This Row],[_Row]]+Tasks[[#This Row],[_Descendants]])),Tasks[[#This Row],[_LeafLateStart]]))</f>
        <v/>
      </c>
      <c r="Y179" s="25" t="str">
        <f aca="false">IF(Tasks[[#This Row],[Task Name]]="","",IF(Tasks[[#This Row],[_IsSummary]],MAX(INDEX(Tasks[_LeafLateFinish],Tasks[[#This Row],[_Row]]+1):INDEX(Tasks[_LeafLateFinish],Tasks[[#This Row],[_Row]]+Tasks[[#This Row],[_Descendants]])),Tasks[[#This Row],[_LeafLateFinish]]))</f>
        <v/>
      </c>
      <c r="Z179" s="43" t="str">
        <f aca="false">IF(Tasks[[#This Row],[Task Name]]="","",IF(Tasks[[#This Row],[_IsSummary]],MIN(INDEX(Tasks[_LeafTotalSlack],Tasks[[#This Row],[_Row]]+1):INDEX(Tasks[_LeafTotalSlack],Tasks[[#This Row],[_Row]]+Tasks[[#This Row],[_Descendants]])),Tasks[[#This Row],[_LeafTotalSlack]]))</f>
        <v/>
      </c>
      <c r="AA17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9" s="28" t="str">
        <f aca="false">IF(Tasks[[#This Row],[Task Name]]="","",IF(IF(Tasks[[#This Row],[_IsSummary]],COUNTIF(INDEX(Tasks[_LeafCritical],Tasks[[#This Row],[_Row]]+1):INDEX(Tasks[_LeafCritical],Tasks[[#This Row],[_Row]]+Tasks[[#This Row],[_Descendants]]),TRUE())&gt;0,Tasks[[#This Row],[_LeafCritical]]),"Yes",""))</f>
        <v/>
      </c>
      <c r="AC17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9" s="24" t="str">
        <f aca="false">IF(Tasks[[#This Row],[Task Name]]="","",TRIM(IF(Tasks[[#This Row],[_Pred1Problem]]&lt;&gt;"","Pred 1: "&amp;Tasks[[#This Row],[_Pred1Problem]]&amp;". ","")&amp;IF(Tasks[[#This Row],[_Pred2Problem]]&lt;&gt;"","Pred 2: "&amp;Tasks[[#This Row],[_Pred2Problem]]&amp;".","")))</f>
        <v/>
      </c>
      <c r="AE179" s="88"/>
      <c r="AF179"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9" s="28" t="str">
        <f aca="false">IF(Tasks[[#This Row],[Task Name]]="","",IF(Tasks[[#This Row],[Progress]]&gt;=1,"Complete",IF(OR(N(Tasks[[#This Row],[Actual Start]])&gt;0,Tasks[[#This Row],[Progress]]&gt;0),IF(Tasks[[#This Row],[Finish Var]]&gt;0,"Behind","In Progress"),IF(Tasks[[#This Row],[Planned Start]]&lt;StatusDate,"Late Start","Not Started"))))</f>
        <v/>
      </c>
      <c r="AH179" s="30"/>
      <c r="AI179" s="88"/>
      <c r="AJ179" s="95" t="str">
        <f aca="false">IF(Tasks[[#This Row],[Task Name]]="","",IF(Tasks[[#This Row],[_IsSummary]],SUM(INDEX(Tasks[_LeafWork],Tasks[[#This Row],[_Row]]+1):INDEX(Tasks[_LeafWork],Tasks[[#This Row],[_Row]]+Tasks[[#This Row],[_Descendants]])),Tasks[[#This Row],[_LeafWork]]))</f>
        <v/>
      </c>
      <c r="AK179" s="96" t="str">
        <f aca="false">IF(Tasks[[#This Row],[Task Name]]="","",IF(Tasks[[#This Row],[_IsSummary]],SUM(INDEX(Tasks[_LeafCost],Tasks[[#This Row],[_Row]]+1):INDEX(Tasks[_LeafCost],Tasks[[#This Row],[_Row]]+Tasks[[#This Row],[_Descendants]])),Tasks[[#This Row],[_LeafCost]]))</f>
        <v/>
      </c>
      <c r="AL179" s="97"/>
      <c r="AM179" s="29"/>
      <c r="AN17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79" s="82"/>
      <c r="AP179" s="24" t="str">
        <f aca="false">IF(Tasks[[#This Row],[Task Name]]="","",Tasks[[#This Row],[_Pred1IDText]]&amp;IF(AND(Tasks[[#This Row],[_Pred1IDText]]&lt;&gt;"",Tasks[[#This Row],[_Pred2IDText]]&lt;&gt;""),",","")&amp;Tasks[[#This Row],[_Pred2IDText]])</f>
        <v/>
      </c>
      <c r="AQ179" s="30"/>
      <c r="AR179" s="25" t="str">
        <f aca="false">IF(Tasks[[#This Row],[Task Name]]="","",Tasks[[#This Row],[Forecast Start]])</f>
        <v/>
      </c>
      <c r="AS179" s="25" t="str">
        <f aca="false">IF(Tasks[[#This Row],[Task Name]]="","",Tasks[[#This Row],[Forecast Finish]])</f>
        <v/>
      </c>
      <c r="AT179" s="28" t="str">
        <f aca="false">IF(Tasks[[#This Row],[Task Name]]="","",IF(Tasks[[#This Row],[_IsSummary]],NETWORKDAYS.INTL(Tasks[[#This Row],[Forecast Start]],Tasks[[#This Row],[Forecast Finish]],WorkWeek,Holidays),N(Tasks[[#This Row],[Duration]])))</f>
        <v/>
      </c>
      <c r="AU179" s="95" t="str">
        <f aca="false">IF(Tasks[[#This Row],[Task Name]]="","",Tasks[[#This Row],[Work]])</f>
        <v/>
      </c>
      <c r="AV179" s="96" t="str">
        <f aca="false">IF(Tasks[[#This Row],[Task Name]]="","",Tasks[[#This Row],[Cost]])</f>
        <v/>
      </c>
      <c r="AW179" s="73"/>
      <c r="AX179" s="73"/>
      <c r="AY179" s="29"/>
      <c r="AZ179" s="98"/>
      <c r="BA179" s="97"/>
      <c r="BB179" s="28" t="str">
        <f aca="false">IF(OR(Tasks[[#This Row],[Task Name]]="",Tasks[[#This Row],[Baseline Duration]]=""),"",Tasks[[#This Row],[BL Source Duration]]-N(Tasks[[#This Row],[Baseline Duration]]))</f>
        <v/>
      </c>
      <c r="BC179" s="95" t="str">
        <f aca="false">IF(OR(Tasks[[#This Row],[Task Name]]="",Tasks[[#This Row],[Baseline Work]]=""),"",Tasks[[#This Row],[Work]]-N(Tasks[[#This Row],[Baseline Work]]))</f>
        <v/>
      </c>
      <c r="BD179" s="96" t="str">
        <f aca="false">IF(OR(Tasks[[#This Row],[Task Name]]="",Tasks[[#This Row],[Baseline Cost]]=""),"",Tasks[[#This Row],[Cost]]-N(Tasks[[#This Row],[Baseline Cost]]))</f>
        <v/>
      </c>
      <c r="BE179" s="96" t="str">
        <f aca="false">IF(Tasks[[#This Row],[Task Name]]="","",IF(Tasks[[#This Row],[_IsSummary]],SUM(INDEX(Tasks[_LeafBudget],Tasks[[#This Row],[_Row]]+1):INDEX(Tasks[_LeafBudget],Tasks[[#This Row],[_Row]]+Tasks[[#This Row],[_Descendants]])),Tasks[[#This Row],[_LeafBudget]]))</f>
        <v/>
      </c>
      <c r="BF179" s="96" t="str">
        <f aca="false">IF(Tasks[[#This Row],[Task Name]]="","",IF(Tasks[[#This Row],[_IsSummary]],SUM(INDEX(Tasks[_LeafPV],Tasks[[#This Row],[_Row]]+1):INDEX(Tasks[_LeafPV],Tasks[[#This Row],[_Row]]+Tasks[[#This Row],[_Descendants]])),Tasks[[#This Row],[_LeafPV]]))</f>
        <v/>
      </c>
      <c r="BG179" s="96" t="str">
        <f aca="false">IF(Tasks[[#This Row],[Task Name]]="","",IF(Tasks[[#This Row],[_IsSummary]],SUM(INDEX(Tasks[_LeafEV],Tasks[[#This Row],[_Row]]+1):INDEX(Tasks[_LeafEV],Tasks[[#This Row],[_Row]]+Tasks[[#This Row],[_Descendants]])),Tasks[[#This Row],[_LeafEV]]))</f>
        <v/>
      </c>
      <c r="BH179" s="96" t="str">
        <f aca="false">IF(Tasks[[#This Row],[Task Name]]="","",IF(Tasks[[#This Row],[_IsSummary]],SUM(INDEX(Tasks[_LeafAC],Tasks[[#This Row],[_Row]]+1):INDEX(Tasks[_LeafAC],Tasks[[#This Row],[_Row]]+Tasks[[#This Row],[_Descendants]])),Tasks[[#This Row],[_LeafAC]]))</f>
        <v/>
      </c>
      <c r="BI179" s="41" t="str">
        <f aca="false">IF(Tasks[[#This Row],[Task Name]]="","",MAX(1,N(Tasks[[#This Row],[Level]])))</f>
        <v/>
      </c>
      <c r="BJ179" s="41" t="n">
        <f aca="false">ROW()-ROW(Tasks[[#Headers],[ID]])</f>
        <v>174</v>
      </c>
      <c r="BK179" s="41" t="n">
        <f aca="false">IF(OR(Tasks[[#This Row],[Task Name]]="",Tasks[[#This Row],[_Level]]&lt;=1),0,IFERROR(LOOKUP(2,1/(Tasks[[#Headers],[_Level]]:Tasks[[#This Row],[_Level]]=Tasks[[#This Row],[_Level]]-1),ROW(Tasks[[#Headers],[_Level]]:Tasks[[#This Row],[_Level]])),0))</f>
        <v>0</v>
      </c>
      <c r="BL179" s="41" t="n">
        <f aca="false">IFERROR(N(INDEX(Tasks[_Level],Tasks[[#This Row],[_Row]]+1)),0)</f>
        <v>0</v>
      </c>
      <c r="BM179" s="99" t="b">
        <f aca="false">AND(Tasks[[#This Row],[Task Name]]&lt;&gt;"",Tasks[[#This Row],[_NextLevel]]&gt;Tasks[[#This Row],[_Level]])</f>
        <v>0</v>
      </c>
      <c r="BN179" s="41" t="n">
        <f aca="false">IF(Tasks[[#This Row],[_IsSummary]],COUNTIF(Tasks[WBS],Tasks[[#This Row],[WBS]]&amp;".*"),0)</f>
        <v>0</v>
      </c>
      <c r="BO179" s="41" t="n">
        <f aca="false">IF(AND(Tasks[[#This Row],[Task Name]]&lt;&gt;"",NOT(Tasks[[#This Row],[_IsSummary]])),1,0)</f>
        <v>0</v>
      </c>
      <c r="BP179" s="41" t="n">
        <f aca="false">IF(N(Tasks[[#This Row],[Pred1 UID]])=0,0,IFERROR(MATCH(Tasks[[#This Row],[Pred1 UID]],Tasks[UID],0),-1))</f>
        <v>0</v>
      </c>
      <c r="BQ179" s="41" t="n">
        <f aca="false">IF(N(Tasks[[#This Row],[Pred2 UID]])=0,0,IFERROR(MATCH(Tasks[[#This Row],[Pred2 UID]],Tasks[UID],0),-1))</f>
        <v>0</v>
      </c>
      <c r="BR179"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79" s="100" t="str">
        <f aca="false">IF(NOT(Tasks[[#This Row],[_IsLeaf]]=1),"",IF(N(Tasks[[#This Row],[Duration]])&lt;=0,Tasks[[#This Row],[_LeafCalcStart]],WORKDAY.INTL(Tasks[[#This Row],[_LeafCalcStart]],Tasks[[#This Row],[Duration]]-1,WorkWeek,Holidays)))</f>
        <v/>
      </c>
      <c r="BT179"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79"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79" s="41" t="n">
        <f aca="false">IF(NOT(Tasks[[#This Row],[_IsLeaf]]=1),0,IF(N(Tasks[[#This Row],[Actual Finish]])&gt;0,1,MIN(1,N(Tasks[[#This Row],[% Complete]]))))</f>
        <v>0</v>
      </c>
      <c r="BW179" s="41" t="n">
        <f aca="false">IF(OR(NOT(Tasks[[#This Row],[_IsLeaf]]=1),Tasks[[#This Row],[Resource]]=""),0,N(Tasks[[#This Row],[Duration]])*HoursPerDay*IF(Tasks[[#This Row],[Units]]="",DefaultUnits,Tasks[[#This Row],[Units]]))</f>
        <v>0</v>
      </c>
      <c r="BX179" s="41" t="n">
        <f aca="false">IF(Tasks[[#This Row],[_LeafWork]]=0,0,Tasks[[#This Row],[_LeafWork]]*IFERROR(INDEX(res_Rate,MATCH(Tasks[[#This Row],[Resource]],res_Name,0)),0))</f>
        <v>0</v>
      </c>
      <c r="BY17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7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7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7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79" s="41" t="n">
        <f aca="false">IF(NOT(Tasks[[#This Row],[_IsLeaf]]=1),0,MAX(_xlfn.MAXIFS(Tasks[_Row],Tasks[Pred1 UID],Tasks[[#This Row],[UID]]),_xlfn.MAXIFS(Tasks[_Row],Tasks[Pred2 UID],Tasks[[#This Row],[UID]])))</f>
        <v>0</v>
      </c>
      <c r="CD179"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79" s="100" t="str">
        <f aca="false">IF(NOT(Tasks[[#This Row],[_IsLeaf]]=1),"",MIN(ProjectFinish,IF(N(Tasks[[#This Row],[Deadline]])&gt;0,Tasks[[#This Row],[Deadline]],2958465),Tasks[[#This Row],[_SuccessorFinishLimit]]))</f>
        <v/>
      </c>
      <c r="CF179" s="100" t="str">
        <f aca="false">IF(NOT(Tasks[[#This Row],[_IsLeaf]]=1),"",IF(N(Tasks[[#This Row],[Duration]])&lt;=0,Tasks[[#This Row],[_LeafLateFinish]],WORKDAY.INTL(Tasks[[#This Row],[_LeafLateFinish]],-(Tasks[[#This Row],[Duration]]-1),WorkWeek,Holidays)))</f>
        <v/>
      </c>
      <c r="CG17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79" s="99" t="b">
        <f aca="false">AND(Tasks[[#This Row],[_IsLeaf]]=1,Tasks[[#This Row],[_LeafProgress]]&lt;1,N(Tasks[[#This Row],[_LeafTotalSlack]])&lt;=CriticalSlackDays)</f>
        <v>0</v>
      </c>
      <c r="CI179" s="100" t="str">
        <f aca="false">IF(Tasks[[#This Row],[Task Name]]="","",IF(Tasks[[#This Row],[_IsSummary]],MIN(INDEX(Tasks[_LeafCalcStart],Tasks[[#This Row],[_Row]]+1):INDEX(Tasks[_LeafCalcStart],Tasks[[#This Row],[_Row]]+Tasks[[#This Row],[_Descendants]])),Tasks[[#This Row],[_LeafCalcStart]]))</f>
        <v/>
      </c>
      <c r="CJ179" s="100" t="str">
        <f aca="false">IF(Tasks[[#This Row],[Task Name]]="","",IF(Tasks[[#This Row],[_IsSummary]],MAX(INDEX(Tasks[_LeafCalcFinish],Tasks[[#This Row],[_Row]]+1):INDEX(Tasks[_LeafCalcFinish],Tasks[[#This Row],[_Row]]+Tasks[[#This Row],[_Descendants]])),Tasks[[#This Row],[_LeafCalcFinish]]))</f>
        <v/>
      </c>
      <c r="CK17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7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79"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79"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79"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79"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79" s="41" t="n">
        <f aca="false">IF(AND(Tasks[[#This Row],[_IsLeaf]]=1,Tasks[[#This Row],[_LeafWork]]&gt;0),NETWORKDAYS.INTL(ProjectStart,Tasks[[#This Row],[_LeafFcstStart]],WorkWeek,Holidays),0)</f>
        <v>0</v>
      </c>
      <c r="CR179" s="41" t="n">
        <f aca="false">IF(AND(Tasks[[#This Row],[_IsLeaf]]=1,Tasks[[#This Row],[_LeafWork]]&gt;0),MAX(Tasks[[#This Row],[_StartWorkday]],NETWORKDAYS.INTL(ProjectStart,Tasks[[#This Row],[_LeafFcstFinish]],WorkWeek,Holidays)),0)</f>
        <v>0</v>
      </c>
      <c r="CS179" s="41" t="n">
        <f aca="false">IF(AND(Tasks[[#This Row],[_IsLeaf]]=1,Tasks[[#This Row],[_LeafWork]]&gt;0),Tasks[[#This Row],[_LeafWork]]/(Tasks[[#This Row],[_FinishWorkday]]-Tasks[[#This Row],[_StartWorkday]]+1),0)</f>
        <v>0</v>
      </c>
      <c r="CT179" s="41" t="n">
        <f aca="false">Tasks[[#This Row],[_WorkPerWorkday]]*(Tasks[[#This Row],[_StartWorkday]]-1)</f>
        <v>-0</v>
      </c>
      <c r="CU179" s="41" t="n">
        <f aca="false">IF(Tasks[[#This Row],[_IsLeaf]]=1,MAX(N(Tasks[[#This Row],[Duration]]),0.1),0)</f>
        <v>0</v>
      </c>
      <c r="CV179" s="41" t="n">
        <f aca="false">Tasks[[#This Row],[_WeightDur]]*Tasks[[#This Row],[_LeafProgress]]</f>
        <v>0</v>
      </c>
      <c r="CW17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7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7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7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79" s="41" t="str">
        <f aca="false">IF(Tasks[[#This Row],[Task Name]]="","",Tasks[[#This Row],[_Pred1UIDText]]&amp;IF(AND(Tasks[[#This Row],[_Pred1UIDText]]&lt;&gt;"",Tasks[[#This Row],[_Pred2UIDText]]&lt;&gt;""),",","")&amp;Tasks[[#This Row],[_Pred2UIDText]])</f>
        <v/>
      </c>
      <c r="DB179" s="41" t="str">
        <f aca="false">IF(AND(Tasks[[#This Row],[_IsLeaf]]=1,N(Tasks[[#This Row],[Duration]])=0,Tasks[[#This Row],[_LeafProgress]]&lt;1),Tasks[[#This Row],[_LeafFcstFinish]]+Tasks[[#This Row],[_Row]]/100000,"")</f>
        <v/>
      </c>
      <c r="DC17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79" s="41" t="n">
        <f aca="false">IF(NOT(Tasks[[#This Row],[_IsLeaf]]=1),0,IF(Tasks[[#This Row],[Baseline Cost]]="",Tasks[[#This Row],[_LeafCost]],N(Tasks[[#This Row],[Baseline Cost]])))</f>
        <v>0</v>
      </c>
      <c r="DE179" s="41" t="n">
        <f aca="false">Tasks[[#This Row],[_LeafBudget]]*Tasks[[#This Row],[_PlannedPct]]</f>
        <v>0</v>
      </c>
      <c r="DF179" s="41" t="n">
        <f aca="false">Tasks[[#This Row],[_LeafBudget]]*Tasks[[#This Row],[_LeafProgress]]</f>
        <v>0</v>
      </c>
      <c r="DG179" s="41" t="n">
        <f aca="false">IF(NOT(Tasks[[#This Row],[_IsLeaf]]=1),0,IF(Tasks[[#This Row],[Actual Cost]]="",Tasks[[#This Row],[_LeafCost]]*Tasks[[#This Row],[_LeafProgress]],N(Tasks[[#This Row],[Actual Cost]])))</f>
        <v>0</v>
      </c>
      <c r="DH179" s="41" t="str">
        <f aca="false">IF(Tasks[[#This Row],[Task Name]]="","",LEFT(Tasks[[#This Row],[WBS]],FIND(".",Tasks[[#This Row],[WBS]]&amp;".")-1))</f>
        <v/>
      </c>
      <c r="DI179" s="41" t="str">
        <f aca="false">IF(AND(Tasks[[#This Row],[Task Name]]&lt;&gt;"",Tasks[[#This Row],[_Level]]=1),Tasks[[#This Row],[_Row]],"")</f>
        <v/>
      </c>
      <c r="DJ179" s="41" t="str">
        <f aca="false">IF(AND(Tasks[[#This Row],[_IsLeaf]]=1,N(Tasks[[#This Row],[Duration]])=0),Tasks[[#This Row],[Planned Finish]]+Tasks[[#This Row],[_Row]]/100000,"")</f>
        <v/>
      </c>
      <c r="DK179" s="41" t="str">
        <f aca="false">IF(AND(Tasks[[#This Row],[_IsLeaf]]=1,Tasks[[#This Row],[_LeafProgress]]&lt;1,OR(N(Tasks[[#This Row],[Finish Var]])&gt;0,Tasks[[#This Row],[Status]]="Late Start")),MAX(0,Tasks[[#This Row],[Finish Var]])+1-Tasks[[#This Row],[_Row]]/1000000,"")</f>
        <v/>
      </c>
      <c r="DL179" s="41" t="str">
        <f aca="false">IF(AND(Tasks[[#This Row],[_IsLeaf]]=1,N(Tasks[[#This Row],[Actual Start]])=0,Tasks[[#This Row],[_LeafFcstStart]]&gt;=StatusDate,Tasks[[#This Row],[_LeafFcstStart]]&lt;=LookaheadEnd),Tasks[[#This Row],[_LeafFcstStart]]+Tasks[[#This Row],[_Row]]/100000,"")</f>
        <v/>
      </c>
      <c r="DM179" s="41" t="str">
        <f aca="false">IF(AND(Tasks[[#This Row],[_IsLeaf]]=1,Tasks[[#This Row],[_LeafProgress]]&lt;1,Tasks[[#This Row],[_LeafFcstFinish]]&gt;=StatusDate,Tasks[[#This Row],[_LeafFcstFinish]]&lt;=LookaheadEnd),Tasks[[#This Row],[_LeafFcstFinish]]+Tasks[[#This Row],[_Row]]/100000,"")</f>
        <v/>
      </c>
      <c r="DN179" s="41" t="str">
        <f aca="false">IF(Tasks[[#This Row],[_LeafCritical]],Tasks[[#This Row],[_LeafFcstStart]]+Tasks[[#This Row],[_Row]]/100000,"")</f>
        <v/>
      </c>
      <c r="DO179" s="41" t="n">
        <f aca="false">Tasks[[#This Row],[_LeafWork]]*Tasks[[#This Row],[_LeafProgress]]</f>
        <v>0</v>
      </c>
      <c r="DP179" s="100" t="str">
        <f aca="false">IF(AND(Tasks[[#This Row],[_IsLeaf]]=1,Tasks[[#This Row],[_LeafProgress]]&gt;=1),IF(N(Tasks[[#This Row],[Actual Finish]])&gt;0,Tasks[[#This Row],[Actual Finish]],Tasks[[#This Row],[_LeafFcstFinish]]),"")</f>
        <v/>
      </c>
      <c r="DQ179" s="41" t="n">
        <f aca="false">IF(Tasks[[#This Row],[_IsLeaf]]=1,N(Tasks[[#This Row],[Story Points]]),0)</f>
        <v>0</v>
      </c>
      <c r="DR179" s="41" t="str">
        <f aca="false">IF(AND(Tasks[[#This Row],[_IsLeaf]]=1,CurrentSprint&lt;&gt;"",Tasks[[#This Row],[Sprint]]=CurrentSprint),Tasks[[#This Row],[_Row]],"")</f>
        <v/>
      </c>
    </row>
    <row r="180" customFormat="false" ht="15" hidden="false" customHeight="false" outlineLevel="0" collapsed="false">
      <c r="A180" s="28" t="str">
        <f aca="false">IF(Tasks[[#This Row],[Task Name]]="","",COUNTA(Tasks[[#Headers],[Task Name]]:Tasks[[#This Row],[Task Name]])-1)</f>
        <v/>
      </c>
      <c r="B180" s="29" t="n">
        <v>175</v>
      </c>
      <c r="C18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0" s="29"/>
      <c r="E180" s="30"/>
      <c r="F180" s="29"/>
      <c r="G180" s="29"/>
      <c r="H180" s="29"/>
      <c r="I180" s="29"/>
      <c r="J180" s="29"/>
      <c r="K180" s="29"/>
      <c r="L180" s="29"/>
      <c r="M180" s="29"/>
      <c r="N180" s="73"/>
      <c r="O180" s="73"/>
      <c r="P180" s="25" t="str">
        <f aca="false">IF(Tasks[[#This Row],[Task Name]]="","",IF(N(Tasks[[#This Row],[Baseline Start]])&gt;0,Tasks[[#This Row],[Baseline Start]],Tasks[[#This Row],[_CalcStart]]))</f>
        <v/>
      </c>
      <c r="Q180" s="25" t="str">
        <f aca="false">IF(Tasks[[#This Row],[Task Name]]="","",IF(N(Tasks[[#This Row],[Baseline Finish]])&gt;0,Tasks[[#This Row],[Baseline Finish]],Tasks[[#This Row],[_CalcFinish]]))</f>
        <v/>
      </c>
      <c r="R180" s="73"/>
      <c r="S180" s="73"/>
      <c r="T180" s="25" t="str">
        <f aca="false">IF(Tasks[[#This Row],[Task Name]]="","",IF(Tasks[[#This Row],[_IsSummary]],MIN(INDEX(Tasks[_LeafFcstStart],Tasks[[#This Row],[_Row]]+1):INDEX(Tasks[_LeafFcstStart],Tasks[[#This Row],[_Row]]+Tasks[[#This Row],[_Descendants]])),Tasks[[#This Row],[_LeafFcstStart]]))</f>
        <v/>
      </c>
      <c r="U180" s="25" t="str">
        <f aca="false">IF(Tasks[[#This Row],[Task Name]]="","",IF(Tasks[[#This Row],[_IsSummary]],MAX(INDEX(Tasks[_LeafFcstFinish],Tasks[[#This Row],[_Row]]+1):INDEX(Tasks[_LeafFcstFinish],Tasks[[#This Row],[_Row]]+Tasks[[#This Row],[_Descendants]])),Tasks[[#This Row],[_LeafFcstFinish]]))</f>
        <v/>
      </c>
      <c r="V18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8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0" s="25" t="str">
        <f aca="false">IF(Tasks[[#This Row],[Task Name]]="","",IF(Tasks[[#This Row],[_IsSummary]],MIN(INDEX(Tasks[_LeafLateStart],Tasks[[#This Row],[_Row]]+1):INDEX(Tasks[_LeafLateStart],Tasks[[#This Row],[_Row]]+Tasks[[#This Row],[_Descendants]])),Tasks[[#This Row],[_LeafLateStart]]))</f>
        <v/>
      </c>
      <c r="Y180" s="25" t="str">
        <f aca="false">IF(Tasks[[#This Row],[Task Name]]="","",IF(Tasks[[#This Row],[_IsSummary]],MAX(INDEX(Tasks[_LeafLateFinish],Tasks[[#This Row],[_Row]]+1):INDEX(Tasks[_LeafLateFinish],Tasks[[#This Row],[_Row]]+Tasks[[#This Row],[_Descendants]])),Tasks[[#This Row],[_LeafLateFinish]]))</f>
        <v/>
      </c>
      <c r="Z180" s="43" t="str">
        <f aca="false">IF(Tasks[[#This Row],[Task Name]]="","",IF(Tasks[[#This Row],[_IsSummary]],MIN(INDEX(Tasks[_LeafTotalSlack],Tasks[[#This Row],[_Row]]+1):INDEX(Tasks[_LeafTotalSlack],Tasks[[#This Row],[_Row]]+Tasks[[#This Row],[_Descendants]])),Tasks[[#This Row],[_LeafTotalSlack]]))</f>
        <v/>
      </c>
      <c r="AA18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0" s="28" t="str">
        <f aca="false">IF(Tasks[[#This Row],[Task Name]]="","",IF(IF(Tasks[[#This Row],[_IsSummary]],COUNTIF(INDEX(Tasks[_LeafCritical],Tasks[[#This Row],[_Row]]+1):INDEX(Tasks[_LeafCritical],Tasks[[#This Row],[_Row]]+Tasks[[#This Row],[_Descendants]]),TRUE())&gt;0,Tasks[[#This Row],[_LeafCritical]]),"Yes",""))</f>
        <v/>
      </c>
      <c r="AC18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0" s="24" t="str">
        <f aca="false">IF(Tasks[[#This Row],[Task Name]]="","",TRIM(IF(Tasks[[#This Row],[_Pred1Problem]]&lt;&gt;"","Pred 1: "&amp;Tasks[[#This Row],[_Pred1Problem]]&amp;". ","")&amp;IF(Tasks[[#This Row],[_Pred2Problem]]&lt;&gt;"","Pred 2: "&amp;Tasks[[#This Row],[_Pred2Problem]]&amp;".","")))</f>
        <v/>
      </c>
      <c r="AE180" s="88"/>
      <c r="AF180"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0" s="28" t="str">
        <f aca="false">IF(Tasks[[#This Row],[Task Name]]="","",IF(Tasks[[#This Row],[Progress]]&gt;=1,"Complete",IF(OR(N(Tasks[[#This Row],[Actual Start]])&gt;0,Tasks[[#This Row],[Progress]]&gt;0),IF(Tasks[[#This Row],[Finish Var]]&gt;0,"Behind","In Progress"),IF(Tasks[[#This Row],[Planned Start]]&lt;StatusDate,"Late Start","Not Started"))))</f>
        <v/>
      </c>
      <c r="AH180" s="30"/>
      <c r="AI180" s="88"/>
      <c r="AJ180" s="95" t="str">
        <f aca="false">IF(Tasks[[#This Row],[Task Name]]="","",IF(Tasks[[#This Row],[_IsSummary]],SUM(INDEX(Tasks[_LeafWork],Tasks[[#This Row],[_Row]]+1):INDEX(Tasks[_LeafWork],Tasks[[#This Row],[_Row]]+Tasks[[#This Row],[_Descendants]])),Tasks[[#This Row],[_LeafWork]]))</f>
        <v/>
      </c>
      <c r="AK180" s="96" t="str">
        <f aca="false">IF(Tasks[[#This Row],[Task Name]]="","",IF(Tasks[[#This Row],[_IsSummary]],SUM(INDEX(Tasks[_LeafCost],Tasks[[#This Row],[_Row]]+1):INDEX(Tasks[_LeafCost],Tasks[[#This Row],[_Row]]+Tasks[[#This Row],[_Descendants]])),Tasks[[#This Row],[_LeafCost]]))</f>
        <v/>
      </c>
      <c r="AL180" s="97"/>
      <c r="AM180" s="29"/>
      <c r="AN18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80" s="82"/>
      <c r="AP180" s="24" t="str">
        <f aca="false">IF(Tasks[[#This Row],[Task Name]]="","",Tasks[[#This Row],[_Pred1IDText]]&amp;IF(AND(Tasks[[#This Row],[_Pred1IDText]]&lt;&gt;"",Tasks[[#This Row],[_Pred2IDText]]&lt;&gt;""),",","")&amp;Tasks[[#This Row],[_Pred2IDText]])</f>
        <v/>
      </c>
      <c r="AQ180" s="30"/>
      <c r="AR180" s="25" t="str">
        <f aca="false">IF(Tasks[[#This Row],[Task Name]]="","",Tasks[[#This Row],[Forecast Start]])</f>
        <v/>
      </c>
      <c r="AS180" s="25" t="str">
        <f aca="false">IF(Tasks[[#This Row],[Task Name]]="","",Tasks[[#This Row],[Forecast Finish]])</f>
        <v/>
      </c>
      <c r="AT180" s="28" t="str">
        <f aca="false">IF(Tasks[[#This Row],[Task Name]]="","",IF(Tasks[[#This Row],[_IsSummary]],NETWORKDAYS.INTL(Tasks[[#This Row],[Forecast Start]],Tasks[[#This Row],[Forecast Finish]],WorkWeek,Holidays),N(Tasks[[#This Row],[Duration]])))</f>
        <v/>
      </c>
      <c r="AU180" s="95" t="str">
        <f aca="false">IF(Tasks[[#This Row],[Task Name]]="","",Tasks[[#This Row],[Work]])</f>
        <v/>
      </c>
      <c r="AV180" s="96" t="str">
        <f aca="false">IF(Tasks[[#This Row],[Task Name]]="","",Tasks[[#This Row],[Cost]])</f>
        <v/>
      </c>
      <c r="AW180" s="73"/>
      <c r="AX180" s="73"/>
      <c r="AY180" s="29"/>
      <c r="AZ180" s="98"/>
      <c r="BA180" s="97"/>
      <c r="BB180" s="28" t="str">
        <f aca="false">IF(OR(Tasks[[#This Row],[Task Name]]="",Tasks[[#This Row],[Baseline Duration]]=""),"",Tasks[[#This Row],[BL Source Duration]]-N(Tasks[[#This Row],[Baseline Duration]]))</f>
        <v/>
      </c>
      <c r="BC180" s="95" t="str">
        <f aca="false">IF(OR(Tasks[[#This Row],[Task Name]]="",Tasks[[#This Row],[Baseline Work]]=""),"",Tasks[[#This Row],[Work]]-N(Tasks[[#This Row],[Baseline Work]]))</f>
        <v/>
      </c>
      <c r="BD180" s="96" t="str">
        <f aca="false">IF(OR(Tasks[[#This Row],[Task Name]]="",Tasks[[#This Row],[Baseline Cost]]=""),"",Tasks[[#This Row],[Cost]]-N(Tasks[[#This Row],[Baseline Cost]]))</f>
        <v/>
      </c>
      <c r="BE180" s="96" t="str">
        <f aca="false">IF(Tasks[[#This Row],[Task Name]]="","",IF(Tasks[[#This Row],[_IsSummary]],SUM(INDEX(Tasks[_LeafBudget],Tasks[[#This Row],[_Row]]+1):INDEX(Tasks[_LeafBudget],Tasks[[#This Row],[_Row]]+Tasks[[#This Row],[_Descendants]])),Tasks[[#This Row],[_LeafBudget]]))</f>
        <v/>
      </c>
      <c r="BF180" s="96" t="str">
        <f aca="false">IF(Tasks[[#This Row],[Task Name]]="","",IF(Tasks[[#This Row],[_IsSummary]],SUM(INDEX(Tasks[_LeafPV],Tasks[[#This Row],[_Row]]+1):INDEX(Tasks[_LeafPV],Tasks[[#This Row],[_Row]]+Tasks[[#This Row],[_Descendants]])),Tasks[[#This Row],[_LeafPV]]))</f>
        <v/>
      </c>
      <c r="BG180" s="96" t="str">
        <f aca="false">IF(Tasks[[#This Row],[Task Name]]="","",IF(Tasks[[#This Row],[_IsSummary]],SUM(INDEX(Tasks[_LeafEV],Tasks[[#This Row],[_Row]]+1):INDEX(Tasks[_LeafEV],Tasks[[#This Row],[_Row]]+Tasks[[#This Row],[_Descendants]])),Tasks[[#This Row],[_LeafEV]]))</f>
        <v/>
      </c>
      <c r="BH180" s="96" t="str">
        <f aca="false">IF(Tasks[[#This Row],[Task Name]]="","",IF(Tasks[[#This Row],[_IsSummary]],SUM(INDEX(Tasks[_LeafAC],Tasks[[#This Row],[_Row]]+1):INDEX(Tasks[_LeafAC],Tasks[[#This Row],[_Row]]+Tasks[[#This Row],[_Descendants]])),Tasks[[#This Row],[_LeafAC]]))</f>
        <v/>
      </c>
      <c r="BI180" s="41" t="str">
        <f aca="false">IF(Tasks[[#This Row],[Task Name]]="","",MAX(1,N(Tasks[[#This Row],[Level]])))</f>
        <v/>
      </c>
      <c r="BJ180" s="41" t="n">
        <f aca="false">ROW()-ROW(Tasks[[#Headers],[ID]])</f>
        <v>175</v>
      </c>
      <c r="BK180" s="41" t="n">
        <f aca="false">IF(OR(Tasks[[#This Row],[Task Name]]="",Tasks[[#This Row],[_Level]]&lt;=1),0,IFERROR(LOOKUP(2,1/(Tasks[[#Headers],[_Level]]:Tasks[[#This Row],[_Level]]=Tasks[[#This Row],[_Level]]-1),ROW(Tasks[[#Headers],[_Level]]:Tasks[[#This Row],[_Level]])),0))</f>
        <v>0</v>
      </c>
      <c r="BL180" s="41" t="n">
        <f aca="false">IFERROR(N(INDEX(Tasks[_Level],Tasks[[#This Row],[_Row]]+1)),0)</f>
        <v>0</v>
      </c>
      <c r="BM180" s="99" t="b">
        <f aca="false">AND(Tasks[[#This Row],[Task Name]]&lt;&gt;"",Tasks[[#This Row],[_NextLevel]]&gt;Tasks[[#This Row],[_Level]])</f>
        <v>0</v>
      </c>
      <c r="BN180" s="41" t="n">
        <f aca="false">IF(Tasks[[#This Row],[_IsSummary]],COUNTIF(Tasks[WBS],Tasks[[#This Row],[WBS]]&amp;".*"),0)</f>
        <v>0</v>
      </c>
      <c r="BO180" s="41" t="n">
        <f aca="false">IF(AND(Tasks[[#This Row],[Task Name]]&lt;&gt;"",NOT(Tasks[[#This Row],[_IsSummary]])),1,0)</f>
        <v>0</v>
      </c>
      <c r="BP180" s="41" t="n">
        <f aca="false">IF(N(Tasks[[#This Row],[Pred1 UID]])=0,0,IFERROR(MATCH(Tasks[[#This Row],[Pred1 UID]],Tasks[UID],0),-1))</f>
        <v>0</v>
      </c>
      <c r="BQ180" s="41" t="n">
        <f aca="false">IF(N(Tasks[[#This Row],[Pred2 UID]])=0,0,IFERROR(MATCH(Tasks[[#This Row],[Pred2 UID]],Tasks[UID],0),-1))</f>
        <v>0</v>
      </c>
      <c r="BR180"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80" s="100" t="str">
        <f aca="false">IF(NOT(Tasks[[#This Row],[_IsLeaf]]=1),"",IF(N(Tasks[[#This Row],[Duration]])&lt;=0,Tasks[[#This Row],[_LeafCalcStart]],WORKDAY.INTL(Tasks[[#This Row],[_LeafCalcStart]],Tasks[[#This Row],[Duration]]-1,WorkWeek,Holidays)))</f>
        <v/>
      </c>
      <c r="BT180"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80"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80" s="41" t="n">
        <f aca="false">IF(NOT(Tasks[[#This Row],[_IsLeaf]]=1),0,IF(N(Tasks[[#This Row],[Actual Finish]])&gt;0,1,MIN(1,N(Tasks[[#This Row],[% Complete]]))))</f>
        <v>0</v>
      </c>
      <c r="BW180" s="41" t="n">
        <f aca="false">IF(OR(NOT(Tasks[[#This Row],[_IsLeaf]]=1),Tasks[[#This Row],[Resource]]=""),0,N(Tasks[[#This Row],[Duration]])*HoursPerDay*IF(Tasks[[#This Row],[Units]]="",DefaultUnits,Tasks[[#This Row],[Units]]))</f>
        <v>0</v>
      </c>
      <c r="BX180" s="41" t="n">
        <f aca="false">IF(Tasks[[#This Row],[_LeafWork]]=0,0,Tasks[[#This Row],[_LeafWork]]*IFERROR(INDEX(res_Rate,MATCH(Tasks[[#This Row],[Resource]],res_Name,0)),0))</f>
        <v>0</v>
      </c>
      <c r="BY18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8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8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8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80" s="41" t="n">
        <f aca="false">IF(NOT(Tasks[[#This Row],[_IsLeaf]]=1),0,MAX(_xlfn.MAXIFS(Tasks[_Row],Tasks[Pred1 UID],Tasks[[#This Row],[UID]]),_xlfn.MAXIFS(Tasks[_Row],Tasks[Pred2 UID],Tasks[[#This Row],[UID]])))</f>
        <v>0</v>
      </c>
      <c r="CD180"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80" s="100" t="str">
        <f aca="false">IF(NOT(Tasks[[#This Row],[_IsLeaf]]=1),"",MIN(ProjectFinish,IF(N(Tasks[[#This Row],[Deadline]])&gt;0,Tasks[[#This Row],[Deadline]],2958465),Tasks[[#This Row],[_SuccessorFinishLimit]]))</f>
        <v/>
      </c>
      <c r="CF180" s="100" t="str">
        <f aca="false">IF(NOT(Tasks[[#This Row],[_IsLeaf]]=1),"",IF(N(Tasks[[#This Row],[Duration]])&lt;=0,Tasks[[#This Row],[_LeafLateFinish]],WORKDAY.INTL(Tasks[[#This Row],[_LeafLateFinish]],-(Tasks[[#This Row],[Duration]]-1),WorkWeek,Holidays)))</f>
        <v/>
      </c>
      <c r="CG18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80" s="99" t="b">
        <f aca="false">AND(Tasks[[#This Row],[_IsLeaf]]=1,Tasks[[#This Row],[_LeafProgress]]&lt;1,N(Tasks[[#This Row],[_LeafTotalSlack]])&lt;=CriticalSlackDays)</f>
        <v>0</v>
      </c>
      <c r="CI180" s="100" t="str">
        <f aca="false">IF(Tasks[[#This Row],[Task Name]]="","",IF(Tasks[[#This Row],[_IsSummary]],MIN(INDEX(Tasks[_LeafCalcStart],Tasks[[#This Row],[_Row]]+1):INDEX(Tasks[_LeafCalcStart],Tasks[[#This Row],[_Row]]+Tasks[[#This Row],[_Descendants]])),Tasks[[#This Row],[_LeafCalcStart]]))</f>
        <v/>
      </c>
      <c r="CJ180" s="100" t="str">
        <f aca="false">IF(Tasks[[#This Row],[Task Name]]="","",IF(Tasks[[#This Row],[_IsSummary]],MAX(INDEX(Tasks[_LeafCalcFinish],Tasks[[#This Row],[_Row]]+1):INDEX(Tasks[_LeafCalcFinish],Tasks[[#This Row],[_Row]]+Tasks[[#This Row],[_Descendants]])),Tasks[[#This Row],[_LeafCalcFinish]]))</f>
        <v/>
      </c>
      <c r="CK18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8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80"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80"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80"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80"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80" s="41" t="n">
        <f aca="false">IF(AND(Tasks[[#This Row],[_IsLeaf]]=1,Tasks[[#This Row],[_LeafWork]]&gt;0),NETWORKDAYS.INTL(ProjectStart,Tasks[[#This Row],[_LeafFcstStart]],WorkWeek,Holidays),0)</f>
        <v>0</v>
      </c>
      <c r="CR180" s="41" t="n">
        <f aca="false">IF(AND(Tasks[[#This Row],[_IsLeaf]]=1,Tasks[[#This Row],[_LeafWork]]&gt;0),MAX(Tasks[[#This Row],[_StartWorkday]],NETWORKDAYS.INTL(ProjectStart,Tasks[[#This Row],[_LeafFcstFinish]],WorkWeek,Holidays)),0)</f>
        <v>0</v>
      </c>
      <c r="CS180" s="41" t="n">
        <f aca="false">IF(AND(Tasks[[#This Row],[_IsLeaf]]=1,Tasks[[#This Row],[_LeafWork]]&gt;0),Tasks[[#This Row],[_LeafWork]]/(Tasks[[#This Row],[_FinishWorkday]]-Tasks[[#This Row],[_StartWorkday]]+1),0)</f>
        <v>0</v>
      </c>
      <c r="CT180" s="41" t="n">
        <f aca="false">Tasks[[#This Row],[_WorkPerWorkday]]*(Tasks[[#This Row],[_StartWorkday]]-1)</f>
        <v>-0</v>
      </c>
      <c r="CU180" s="41" t="n">
        <f aca="false">IF(Tasks[[#This Row],[_IsLeaf]]=1,MAX(N(Tasks[[#This Row],[Duration]]),0.1),0)</f>
        <v>0</v>
      </c>
      <c r="CV180" s="41" t="n">
        <f aca="false">Tasks[[#This Row],[_WeightDur]]*Tasks[[#This Row],[_LeafProgress]]</f>
        <v>0</v>
      </c>
      <c r="CW18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8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8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8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80" s="41" t="str">
        <f aca="false">IF(Tasks[[#This Row],[Task Name]]="","",Tasks[[#This Row],[_Pred1UIDText]]&amp;IF(AND(Tasks[[#This Row],[_Pred1UIDText]]&lt;&gt;"",Tasks[[#This Row],[_Pred2UIDText]]&lt;&gt;""),",","")&amp;Tasks[[#This Row],[_Pred2UIDText]])</f>
        <v/>
      </c>
      <c r="DB180" s="41" t="str">
        <f aca="false">IF(AND(Tasks[[#This Row],[_IsLeaf]]=1,N(Tasks[[#This Row],[Duration]])=0,Tasks[[#This Row],[_LeafProgress]]&lt;1),Tasks[[#This Row],[_LeafFcstFinish]]+Tasks[[#This Row],[_Row]]/100000,"")</f>
        <v/>
      </c>
      <c r="DC18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80" s="41" t="n">
        <f aca="false">IF(NOT(Tasks[[#This Row],[_IsLeaf]]=1),0,IF(Tasks[[#This Row],[Baseline Cost]]="",Tasks[[#This Row],[_LeafCost]],N(Tasks[[#This Row],[Baseline Cost]])))</f>
        <v>0</v>
      </c>
      <c r="DE180" s="41" t="n">
        <f aca="false">Tasks[[#This Row],[_LeafBudget]]*Tasks[[#This Row],[_PlannedPct]]</f>
        <v>0</v>
      </c>
      <c r="DF180" s="41" t="n">
        <f aca="false">Tasks[[#This Row],[_LeafBudget]]*Tasks[[#This Row],[_LeafProgress]]</f>
        <v>0</v>
      </c>
      <c r="DG180" s="41" t="n">
        <f aca="false">IF(NOT(Tasks[[#This Row],[_IsLeaf]]=1),0,IF(Tasks[[#This Row],[Actual Cost]]="",Tasks[[#This Row],[_LeafCost]]*Tasks[[#This Row],[_LeafProgress]],N(Tasks[[#This Row],[Actual Cost]])))</f>
        <v>0</v>
      </c>
      <c r="DH180" s="41" t="str">
        <f aca="false">IF(Tasks[[#This Row],[Task Name]]="","",LEFT(Tasks[[#This Row],[WBS]],FIND(".",Tasks[[#This Row],[WBS]]&amp;".")-1))</f>
        <v/>
      </c>
      <c r="DI180" s="41" t="str">
        <f aca="false">IF(AND(Tasks[[#This Row],[Task Name]]&lt;&gt;"",Tasks[[#This Row],[_Level]]=1),Tasks[[#This Row],[_Row]],"")</f>
        <v/>
      </c>
      <c r="DJ180" s="41" t="str">
        <f aca="false">IF(AND(Tasks[[#This Row],[_IsLeaf]]=1,N(Tasks[[#This Row],[Duration]])=0),Tasks[[#This Row],[Planned Finish]]+Tasks[[#This Row],[_Row]]/100000,"")</f>
        <v/>
      </c>
      <c r="DK180" s="41" t="str">
        <f aca="false">IF(AND(Tasks[[#This Row],[_IsLeaf]]=1,Tasks[[#This Row],[_LeafProgress]]&lt;1,OR(N(Tasks[[#This Row],[Finish Var]])&gt;0,Tasks[[#This Row],[Status]]="Late Start")),MAX(0,Tasks[[#This Row],[Finish Var]])+1-Tasks[[#This Row],[_Row]]/1000000,"")</f>
        <v/>
      </c>
      <c r="DL180" s="41" t="str">
        <f aca="false">IF(AND(Tasks[[#This Row],[_IsLeaf]]=1,N(Tasks[[#This Row],[Actual Start]])=0,Tasks[[#This Row],[_LeafFcstStart]]&gt;=StatusDate,Tasks[[#This Row],[_LeafFcstStart]]&lt;=LookaheadEnd),Tasks[[#This Row],[_LeafFcstStart]]+Tasks[[#This Row],[_Row]]/100000,"")</f>
        <v/>
      </c>
      <c r="DM180" s="41" t="str">
        <f aca="false">IF(AND(Tasks[[#This Row],[_IsLeaf]]=1,Tasks[[#This Row],[_LeafProgress]]&lt;1,Tasks[[#This Row],[_LeafFcstFinish]]&gt;=StatusDate,Tasks[[#This Row],[_LeafFcstFinish]]&lt;=LookaheadEnd),Tasks[[#This Row],[_LeafFcstFinish]]+Tasks[[#This Row],[_Row]]/100000,"")</f>
        <v/>
      </c>
      <c r="DN180" s="41" t="str">
        <f aca="false">IF(Tasks[[#This Row],[_LeafCritical]],Tasks[[#This Row],[_LeafFcstStart]]+Tasks[[#This Row],[_Row]]/100000,"")</f>
        <v/>
      </c>
      <c r="DO180" s="41" t="n">
        <f aca="false">Tasks[[#This Row],[_LeafWork]]*Tasks[[#This Row],[_LeafProgress]]</f>
        <v>0</v>
      </c>
      <c r="DP180" s="100" t="str">
        <f aca="false">IF(AND(Tasks[[#This Row],[_IsLeaf]]=1,Tasks[[#This Row],[_LeafProgress]]&gt;=1),IF(N(Tasks[[#This Row],[Actual Finish]])&gt;0,Tasks[[#This Row],[Actual Finish]],Tasks[[#This Row],[_LeafFcstFinish]]),"")</f>
        <v/>
      </c>
      <c r="DQ180" s="41" t="n">
        <f aca="false">IF(Tasks[[#This Row],[_IsLeaf]]=1,N(Tasks[[#This Row],[Story Points]]),0)</f>
        <v>0</v>
      </c>
      <c r="DR180" s="41" t="str">
        <f aca="false">IF(AND(Tasks[[#This Row],[_IsLeaf]]=1,CurrentSprint&lt;&gt;"",Tasks[[#This Row],[Sprint]]=CurrentSprint),Tasks[[#This Row],[_Row]],"")</f>
        <v/>
      </c>
    </row>
    <row r="181" customFormat="false" ht="15" hidden="false" customHeight="false" outlineLevel="0" collapsed="false">
      <c r="A181" s="28" t="str">
        <f aca="false">IF(Tasks[[#This Row],[Task Name]]="","",COUNTA(Tasks[[#Headers],[Task Name]]:Tasks[[#This Row],[Task Name]])-1)</f>
        <v/>
      </c>
      <c r="B181" s="29" t="n">
        <v>176</v>
      </c>
      <c r="C18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1" s="29"/>
      <c r="E181" s="30"/>
      <c r="F181" s="29"/>
      <c r="G181" s="29"/>
      <c r="H181" s="29"/>
      <c r="I181" s="29"/>
      <c r="J181" s="29"/>
      <c r="K181" s="29"/>
      <c r="L181" s="29"/>
      <c r="M181" s="29"/>
      <c r="N181" s="73"/>
      <c r="O181" s="73"/>
      <c r="P181" s="25" t="str">
        <f aca="false">IF(Tasks[[#This Row],[Task Name]]="","",IF(N(Tasks[[#This Row],[Baseline Start]])&gt;0,Tasks[[#This Row],[Baseline Start]],Tasks[[#This Row],[_CalcStart]]))</f>
        <v/>
      </c>
      <c r="Q181" s="25" t="str">
        <f aca="false">IF(Tasks[[#This Row],[Task Name]]="","",IF(N(Tasks[[#This Row],[Baseline Finish]])&gt;0,Tasks[[#This Row],[Baseline Finish]],Tasks[[#This Row],[_CalcFinish]]))</f>
        <v/>
      </c>
      <c r="R181" s="73"/>
      <c r="S181" s="73"/>
      <c r="T181" s="25" t="str">
        <f aca="false">IF(Tasks[[#This Row],[Task Name]]="","",IF(Tasks[[#This Row],[_IsSummary]],MIN(INDEX(Tasks[_LeafFcstStart],Tasks[[#This Row],[_Row]]+1):INDEX(Tasks[_LeafFcstStart],Tasks[[#This Row],[_Row]]+Tasks[[#This Row],[_Descendants]])),Tasks[[#This Row],[_LeafFcstStart]]))</f>
        <v/>
      </c>
      <c r="U181" s="25" t="str">
        <f aca="false">IF(Tasks[[#This Row],[Task Name]]="","",IF(Tasks[[#This Row],[_IsSummary]],MAX(INDEX(Tasks[_LeafFcstFinish],Tasks[[#This Row],[_Row]]+1):INDEX(Tasks[_LeafFcstFinish],Tasks[[#This Row],[_Row]]+Tasks[[#This Row],[_Descendants]])),Tasks[[#This Row],[_LeafFcstFinish]]))</f>
        <v/>
      </c>
      <c r="V18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8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1" s="25" t="str">
        <f aca="false">IF(Tasks[[#This Row],[Task Name]]="","",IF(Tasks[[#This Row],[_IsSummary]],MIN(INDEX(Tasks[_LeafLateStart],Tasks[[#This Row],[_Row]]+1):INDEX(Tasks[_LeafLateStart],Tasks[[#This Row],[_Row]]+Tasks[[#This Row],[_Descendants]])),Tasks[[#This Row],[_LeafLateStart]]))</f>
        <v/>
      </c>
      <c r="Y181" s="25" t="str">
        <f aca="false">IF(Tasks[[#This Row],[Task Name]]="","",IF(Tasks[[#This Row],[_IsSummary]],MAX(INDEX(Tasks[_LeafLateFinish],Tasks[[#This Row],[_Row]]+1):INDEX(Tasks[_LeafLateFinish],Tasks[[#This Row],[_Row]]+Tasks[[#This Row],[_Descendants]])),Tasks[[#This Row],[_LeafLateFinish]]))</f>
        <v/>
      </c>
      <c r="Z181" s="43" t="str">
        <f aca="false">IF(Tasks[[#This Row],[Task Name]]="","",IF(Tasks[[#This Row],[_IsSummary]],MIN(INDEX(Tasks[_LeafTotalSlack],Tasks[[#This Row],[_Row]]+1):INDEX(Tasks[_LeafTotalSlack],Tasks[[#This Row],[_Row]]+Tasks[[#This Row],[_Descendants]])),Tasks[[#This Row],[_LeafTotalSlack]]))</f>
        <v/>
      </c>
      <c r="AA18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1" s="28" t="str">
        <f aca="false">IF(Tasks[[#This Row],[Task Name]]="","",IF(IF(Tasks[[#This Row],[_IsSummary]],COUNTIF(INDEX(Tasks[_LeafCritical],Tasks[[#This Row],[_Row]]+1):INDEX(Tasks[_LeafCritical],Tasks[[#This Row],[_Row]]+Tasks[[#This Row],[_Descendants]]),TRUE())&gt;0,Tasks[[#This Row],[_LeafCritical]]),"Yes",""))</f>
        <v/>
      </c>
      <c r="AC18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1" s="24" t="str">
        <f aca="false">IF(Tasks[[#This Row],[Task Name]]="","",TRIM(IF(Tasks[[#This Row],[_Pred1Problem]]&lt;&gt;"","Pred 1: "&amp;Tasks[[#This Row],[_Pred1Problem]]&amp;". ","")&amp;IF(Tasks[[#This Row],[_Pred2Problem]]&lt;&gt;"","Pred 2: "&amp;Tasks[[#This Row],[_Pred2Problem]]&amp;".","")))</f>
        <v/>
      </c>
      <c r="AE181" s="88"/>
      <c r="AF181"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1" s="28" t="str">
        <f aca="false">IF(Tasks[[#This Row],[Task Name]]="","",IF(Tasks[[#This Row],[Progress]]&gt;=1,"Complete",IF(OR(N(Tasks[[#This Row],[Actual Start]])&gt;0,Tasks[[#This Row],[Progress]]&gt;0),IF(Tasks[[#This Row],[Finish Var]]&gt;0,"Behind","In Progress"),IF(Tasks[[#This Row],[Planned Start]]&lt;StatusDate,"Late Start","Not Started"))))</f>
        <v/>
      </c>
      <c r="AH181" s="30"/>
      <c r="AI181" s="88"/>
      <c r="AJ181" s="95" t="str">
        <f aca="false">IF(Tasks[[#This Row],[Task Name]]="","",IF(Tasks[[#This Row],[_IsSummary]],SUM(INDEX(Tasks[_LeafWork],Tasks[[#This Row],[_Row]]+1):INDEX(Tasks[_LeafWork],Tasks[[#This Row],[_Row]]+Tasks[[#This Row],[_Descendants]])),Tasks[[#This Row],[_LeafWork]]))</f>
        <v/>
      </c>
      <c r="AK181" s="96" t="str">
        <f aca="false">IF(Tasks[[#This Row],[Task Name]]="","",IF(Tasks[[#This Row],[_IsSummary]],SUM(INDEX(Tasks[_LeafCost],Tasks[[#This Row],[_Row]]+1):INDEX(Tasks[_LeafCost],Tasks[[#This Row],[_Row]]+Tasks[[#This Row],[_Descendants]])),Tasks[[#This Row],[_LeafCost]]))</f>
        <v/>
      </c>
      <c r="AL181" s="97"/>
      <c r="AM181" s="29"/>
      <c r="AN18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81" s="82"/>
      <c r="AP181" s="24" t="str">
        <f aca="false">IF(Tasks[[#This Row],[Task Name]]="","",Tasks[[#This Row],[_Pred1IDText]]&amp;IF(AND(Tasks[[#This Row],[_Pred1IDText]]&lt;&gt;"",Tasks[[#This Row],[_Pred2IDText]]&lt;&gt;""),",","")&amp;Tasks[[#This Row],[_Pred2IDText]])</f>
        <v/>
      </c>
      <c r="AQ181" s="30"/>
      <c r="AR181" s="25" t="str">
        <f aca="false">IF(Tasks[[#This Row],[Task Name]]="","",Tasks[[#This Row],[Forecast Start]])</f>
        <v/>
      </c>
      <c r="AS181" s="25" t="str">
        <f aca="false">IF(Tasks[[#This Row],[Task Name]]="","",Tasks[[#This Row],[Forecast Finish]])</f>
        <v/>
      </c>
      <c r="AT181" s="28" t="str">
        <f aca="false">IF(Tasks[[#This Row],[Task Name]]="","",IF(Tasks[[#This Row],[_IsSummary]],NETWORKDAYS.INTL(Tasks[[#This Row],[Forecast Start]],Tasks[[#This Row],[Forecast Finish]],WorkWeek,Holidays),N(Tasks[[#This Row],[Duration]])))</f>
        <v/>
      </c>
      <c r="AU181" s="95" t="str">
        <f aca="false">IF(Tasks[[#This Row],[Task Name]]="","",Tasks[[#This Row],[Work]])</f>
        <v/>
      </c>
      <c r="AV181" s="96" t="str">
        <f aca="false">IF(Tasks[[#This Row],[Task Name]]="","",Tasks[[#This Row],[Cost]])</f>
        <v/>
      </c>
      <c r="AW181" s="73"/>
      <c r="AX181" s="73"/>
      <c r="AY181" s="29"/>
      <c r="AZ181" s="98"/>
      <c r="BA181" s="97"/>
      <c r="BB181" s="28" t="str">
        <f aca="false">IF(OR(Tasks[[#This Row],[Task Name]]="",Tasks[[#This Row],[Baseline Duration]]=""),"",Tasks[[#This Row],[BL Source Duration]]-N(Tasks[[#This Row],[Baseline Duration]]))</f>
        <v/>
      </c>
      <c r="BC181" s="95" t="str">
        <f aca="false">IF(OR(Tasks[[#This Row],[Task Name]]="",Tasks[[#This Row],[Baseline Work]]=""),"",Tasks[[#This Row],[Work]]-N(Tasks[[#This Row],[Baseline Work]]))</f>
        <v/>
      </c>
      <c r="BD181" s="96" t="str">
        <f aca="false">IF(OR(Tasks[[#This Row],[Task Name]]="",Tasks[[#This Row],[Baseline Cost]]=""),"",Tasks[[#This Row],[Cost]]-N(Tasks[[#This Row],[Baseline Cost]]))</f>
        <v/>
      </c>
      <c r="BE181" s="96" t="str">
        <f aca="false">IF(Tasks[[#This Row],[Task Name]]="","",IF(Tasks[[#This Row],[_IsSummary]],SUM(INDEX(Tasks[_LeafBudget],Tasks[[#This Row],[_Row]]+1):INDEX(Tasks[_LeafBudget],Tasks[[#This Row],[_Row]]+Tasks[[#This Row],[_Descendants]])),Tasks[[#This Row],[_LeafBudget]]))</f>
        <v/>
      </c>
      <c r="BF181" s="96" t="str">
        <f aca="false">IF(Tasks[[#This Row],[Task Name]]="","",IF(Tasks[[#This Row],[_IsSummary]],SUM(INDEX(Tasks[_LeafPV],Tasks[[#This Row],[_Row]]+1):INDEX(Tasks[_LeafPV],Tasks[[#This Row],[_Row]]+Tasks[[#This Row],[_Descendants]])),Tasks[[#This Row],[_LeafPV]]))</f>
        <v/>
      </c>
      <c r="BG181" s="96" t="str">
        <f aca="false">IF(Tasks[[#This Row],[Task Name]]="","",IF(Tasks[[#This Row],[_IsSummary]],SUM(INDEX(Tasks[_LeafEV],Tasks[[#This Row],[_Row]]+1):INDEX(Tasks[_LeafEV],Tasks[[#This Row],[_Row]]+Tasks[[#This Row],[_Descendants]])),Tasks[[#This Row],[_LeafEV]]))</f>
        <v/>
      </c>
      <c r="BH181" s="96" t="str">
        <f aca="false">IF(Tasks[[#This Row],[Task Name]]="","",IF(Tasks[[#This Row],[_IsSummary]],SUM(INDEX(Tasks[_LeafAC],Tasks[[#This Row],[_Row]]+1):INDEX(Tasks[_LeafAC],Tasks[[#This Row],[_Row]]+Tasks[[#This Row],[_Descendants]])),Tasks[[#This Row],[_LeafAC]]))</f>
        <v/>
      </c>
      <c r="BI181" s="41" t="str">
        <f aca="false">IF(Tasks[[#This Row],[Task Name]]="","",MAX(1,N(Tasks[[#This Row],[Level]])))</f>
        <v/>
      </c>
      <c r="BJ181" s="41" t="n">
        <f aca="false">ROW()-ROW(Tasks[[#Headers],[ID]])</f>
        <v>176</v>
      </c>
      <c r="BK181" s="41" t="n">
        <f aca="false">IF(OR(Tasks[[#This Row],[Task Name]]="",Tasks[[#This Row],[_Level]]&lt;=1),0,IFERROR(LOOKUP(2,1/(Tasks[[#Headers],[_Level]]:Tasks[[#This Row],[_Level]]=Tasks[[#This Row],[_Level]]-1),ROW(Tasks[[#Headers],[_Level]]:Tasks[[#This Row],[_Level]])),0))</f>
        <v>0</v>
      </c>
      <c r="BL181" s="41" t="n">
        <f aca="false">IFERROR(N(INDEX(Tasks[_Level],Tasks[[#This Row],[_Row]]+1)),0)</f>
        <v>0</v>
      </c>
      <c r="BM181" s="99" t="b">
        <f aca="false">AND(Tasks[[#This Row],[Task Name]]&lt;&gt;"",Tasks[[#This Row],[_NextLevel]]&gt;Tasks[[#This Row],[_Level]])</f>
        <v>0</v>
      </c>
      <c r="BN181" s="41" t="n">
        <f aca="false">IF(Tasks[[#This Row],[_IsSummary]],COUNTIF(Tasks[WBS],Tasks[[#This Row],[WBS]]&amp;".*"),0)</f>
        <v>0</v>
      </c>
      <c r="BO181" s="41" t="n">
        <f aca="false">IF(AND(Tasks[[#This Row],[Task Name]]&lt;&gt;"",NOT(Tasks[[#This Row],[_IsSummary]])),1,0)</f>
        <v>0</v>
      </c>
      <c r="BP181" s="41" t="n">
        <f aca="false">IF(N(Tasks[[#This Row],[Pred1 UID]])=0,0,IFERROR(MATCH(Tasks[[#This Row],[Pred1 UID]],Tasks[UID],0),-1))</f>
        <v>0</v>
      </c>
      <c r="BQ181" s="41" t="n">
        <f aca="false">IF(N(Tasks[[#This Row],[Pred2 UID]])=0,0,IFERROR(MATCH(Tasks[[#This Row],[Pred2 UID]],Tasks[UID],0),-1))</f>
        <v>0</v>
      </c>
      <c r="BR181"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81" s="100" t="str">
        <f aca="false">IF(NOT(Tasks[[#This Row],[_IsLeaf]]=1),"",IF(N(Tasks[[#This Row],[Duration]])&lt;=0,Tasks[[#This Row],[_LeafCalcStart]],WORKDAY.INTL(Tasks[[#This Row],[_LeafCalcStart]],Tasks[[#This Row],[Duration]]-1,WorkWeek,Holidays)))</f>
        <v/>
      </c>
      <c r="BT181"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81"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81" s="41" t="n">
        <f aca="false">IF(NOT(Tasks[[#This Row],[_IsLeaf]]=1),0,IF(N(Tasks[[#This Row],[Actual Finish]])&gt;0,1,MIN(1,N(Tasks[[#This Row],[% Complete]]))))</f>
        <v>0</v>
      </c>
      <c r="BW181" s="41" t="n">
        <f aca="false">IF(OR(NOT(Tasks[[#This Row],[_IsLeaf]]=1),Tasks[[#This Row],[Resource]]=""),0,N(Tasks[[#This Row],[Duration]])*HoursPerDay*IF(Tasks[[#This Row],[Units]]="",DefaultUnits,Tasks[[#This Row],[Units]]))</f>
        <v>0</v>
      </c>
      <c r="BX181" s="41" t="n">
        <f aca="false">IF(Tasks[[#This Row],[_LeafWork]]=0,0,Tasks[[#This Row],[_LeafWork]]*IFERROR(INDEX(res_Rate,MATCH(Tasks[[#This Row],[Resource]],res_Name,0)),0))</f>
        <v>0</v>
      </c>
      <c r="BY18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8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8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8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81" s="41" t="n">
        <f aca="false">IF(NOT(Tasks[[#This Row],[_IsLeaf]]=1),0,MAX(_xlfn.MAXIFS(Tasks[_Row],Tasks[Pred1 UID],Tasks[[#This Row],[UID]]),_xlfn.MAXIFS(Tasks[_Row],Tasks[Pred2 UID],Tasks[[#This Row],[UID]])))</f>
        <v>0</v>
      </c>
      <c r="CD181"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81" s="100" t="str">
        <f aca="false">IF(NOT(Tasks[[#This Row],[_IsLeaf]]=1),"",MIN(ProjectFinish,IF(N(Tasks[[#This Row],[Deadline]])&gt;0,Tasks[[#This Row],[Deadline]],2958465),Tasks[[#This Row],[_SuccessorFinishLimit]]))</f>
        <v/>
      </c>
      <c r="CF181" s="100" t="str">
        <f aca="false">IF(NOT(Tasks[[#This Row],[_IsLeaf]]=1),"",IF(N(Tasks[[#This Row],[Duration]])&lt;=0,Tasks[[#This Row],[_LeafLateFinish]],WORKDAY.INTL(Tasks[[#This Row],[_LeafLateFinish]],-(Tasks[[#This Row],[Duration]]-1),WorkWeek,Holidays)))</f>
        <v/>
      </c>
      <c r="CG18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81" s="99" t="b">
        <f aca="false">AND(Tasks[[#This Row],[_IsLeaf]]=1,Tasks[[#This Row],[_LeafProgress]]&lt;1,N(Tasks[[#This Row],[_LeafTotalSlack]])&lt;=CriticalSlackDays)</f>
        <v>0</v>
      </c>
      <c r="CI181" s="100" t="str">
        <f aca="false">IF(Tasks[[#This Row],[Task Name]]="","",IF(Tasks[[#This Row],[_IsSummary]],MIN(INDEX(Tasks[_LeafCalcStart],Tasks[[#This Row],[_Row]]+1):INDEX(Tasks[_LeafCalcStart],Tasks[[#This Row],[_Row]]+Tasks[[#This Row],[_Descendants]])),Tasks[[#This Row],[_LeafCalcStart]]))</f>
        <v/>
      </c>
      <c r="CJ181" s="100" t="str">
        <f aca="false">IF(Tasks[[#This Row],[Task Name]]="","",IF(Tasks[[#This Row],[_IsSummary]],MAX(INDEX(Tasks[_LeafCalcFinish],Tasks[[#This Row],[_Row]]+1):INDEX(Tasks[_LeafCalcFinish],Tasks[[#This Row],[_Row]]+Tasks[[#This Row],[_Descendants]])),Tasks[[#This Row],[_LeafCalcFinish]]))</f>
        <v/>
      </c>
      <c r="CK18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8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81"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81"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81"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81"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81" s="41" t="n">
        <f aca="false">IF(AND(Tasks[[#This Row],[_IsLeaf]]=1,Tasks[[#This Row],[_LeafWork]]&gt;0),NETWORKDAYS.INTL(ProjectStart,Tasks[[#This Row],[_LeafFcstStart]],WorkWeek,Holidays),0)</f>
        <v>0</v>
      </c>
      <c r="CR181" s="41" t="n">
        <f aca="false">IF(AND(Tasks[[#This Row],[_IsLeaf]]=1,Tasks[[#This Row],[_LeafWork]]&gt;0),MAX(Tasks[[#This Row],[_StartWorkday]],NETWORKDAYS.INTL(ProjectStart,Tasks[[#This Row],[_LeafFcstFinish]],WorkWeek,Holidays)),0)</f>
        <v>0</v>
      </c>
      <c r="CS181" s="41" t="n">
        <f aca="false">IF(AND(Tasks[[#This Row],[_IsLeaf]]=1,Tasks[[#This Row],[_LeafWork]]&gt;0),Tasks[[#This Row],[_LeafWork]]/(Tasks[[#This Row],[_FinishWorkday]]-Tasks[[#This Row],[_StartWorkday]]+1),0)</f>
        <v>0</v>
      </c>
      <c r="CT181" s="41" t="n">
        <f aca="false">Tasks[[#This Row],[_WorkPerWorkday]]*(Tasks[[#This Row],[_StartWorkday]]-1)</f>
        <v>-0</v>
      </c>
      <c r="CU181" s="41" t="n">
        <f aca="false">IF(Tasks[[#This Row],[_IsLeaf]]=1,MAX(N(Tasks[[#This Row],[Duration]]),0.1),0)</f>
        <v>0</v>
      </c>
      <c r="CV181" s="41" t="n">
        <f aca="false">Tasks[[#This Row],[_WeightDur]]*Tasks[[#This Row],[_LeafProgress]]</f>
        <v>0</v>
      </c>
      <c r="CW18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8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8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8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81" s="41" t="str">
        <f aca="false">IF(Tasks[[#This Row],[Task Name]]="","",Tasks[[#This Row],[_Pred1UIDText]]&amp;IF(AND(Tasks[[#This Row],[_Pred1UIDText]]&lt;&gt;"",Tasks[[#This Row],[_Pred2UIDText]]&lt;&gt;""),",","")&amp;Tasks[[#This Row],[_Pred2UIDText]])</f>
        <v/>
      </c>
      <c r="DB181" s="41" t="str">
        <f aca="false">IF(AND(Tasks[[#This Row],[_IsLeaf]]=1,N(Tasks[[#This Row],[Duration]])=0,Tasks[[#This Row],[_LeafProgress]]&lt;1),Tasks[[#This Row],[_LeafFcstFinish]]+Tasks[[#This Row],[_Row]]/100000,"")</f>
        <v/>
      </c>
      <c r="DC18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81" s="41" t="n">
        <f aca="false">IF(NOT(Tasks[[#This Row],[_IsLeaf]]=1),0,IF(Tasks[[#This Row],[Baseline Cost]]="",Tasks[[#This Row],[_LeafCost]],N(Tasks[[#This Row],[Baseline Cost]])))</f>
        <v>0</v>
      </c>
      <c r="DE181" s="41" t="n">
        <f aca="false">Tasks[[#This Row],[_LeafBudget]]*Tasks[[#This Row],[_PlannedPct]]</f>
        <v>0</v>
      </c>
      <c r="DF181" s="41" t="n">
        <f aca="false">Tasks[[#This Row],[_LeafBudget]]*Tasks[[#This Row],[_LeafProgress]]</f>
        <v>0</v>
      </c>
      <c r="DG181" s="41" t="n">
        <f aca="false">IF(NOT(Tasks[[#This Row],[_IsLeaf]]=1),0,IF(Tasks[[#This Row],[Actual Cost]]="",Tasks[[#This Row],[_LeafCost]]*Tasks[[#This Row],[_LeafProgress]],N(Tasks[[#This Row],[Actual Cost]])))</f>
        <v>0</v>
      </c>
      <c r="DH181" s="41" t="str">
        <f aca="false">IF(Tasks[[#This Row],[Task Name]]="","",LEFT(Tasks[[#This Row],[WBS]],FIND(".",Tasks[[#This Row],[WBS]]&amp;".")-1))</f>
        <v/>
      </c>
      <c r="DI181" s="41" t="str">
        <f aca="false">IF(AND(Tasks[[#This Row],[Task Name]]&lt;&gt;"",Tasks[[#This Row],[_Level]]=1),Tasks[[#This Row],[_Row]],"")</f>
        <v/>
      </c>
      <c r="DJ181" s="41" t="str">
        <f aca="false">IF(AND(Tasks[[#This Row],[_IsLeaf]]=1,N(Tasks[[#This Row],[Duration]])=0),Tasks[[#This Row],[Planned Finish]]+Tasks[[#This Row],[_Row]]/100000,"")</f>
        <v/>
      </c>
      <c r="DK181" s="41" t="str">
        <f aca="false">IF(AND(Tasks[[#This Row],[_IsLeaf]]=1,Tasks[[#This Row],[_LeafProgress]]&lt;1,OR(N(Tasks[[#This Row],[Finish Var]])&gt;0,Tasks[[#This Row],[Status]]="Late Start")),MAX(0,Tasks[[#This Row],[Finish Var]])+1-Tasks[[#This Row],[_Row]]/1000000,"")</f>
        <v/>
      </c>
      <c r="DL181" s="41" t="str">
        <f aca="false">IF(AND(Tasks[[#This Row],[_IsLeaf]]=1,N(Tasks[[#This Row],[Actual Start]])=0,Tasks[[#This Row],[_LeafFcstStart]]&gt;=StatusDate,Tasks[[#This Row],[_LeafFcstStart]]&lt;=LookaheadEnd),Tasks[[#This Row],[_LeafFcstStart]]+Tasks[[#This Row],[_Row]]/100000,"")</f>
        <v/>
      </c>
      <c r="DM181" s="41" t="str">
        <f aca="false">IF(AND(Tasks[[#This Row],[_IsLeaf]]=1,Tasks[[#This Row],[_LeafProgress]]&lt;1,Tasks[[#This Row],[_LeafFcstFinish]]&gt;=StatusDate,Tasks[[#This Row],[_LeafFcstFinish]]&lt;=LookaheadEnd),Tasks[[#This Row],[_LeafFcstFinish]]+Tasks[[#This Row],[_Row]]/100000,"")</f>
        <v/>
      </c>
      <c r="DN181" s="41" t="str">
        <f aca="false">IF(Tasks[[#This Row],[_LeafCritical]],Tasks[[#This Row],[_LeafFcstStart]]+Tasks[[#This Row],[_Row]]/100000,"")</f>
        <v/>
      </c>
      <c r="DO181" s="41" t="n">
        <f aca="false">Tasks[[#This Row],[_LeafWork]]*Tasks[[#This Row],[_LeafProgress]]</f>
        <v>0</v>
      </c>
      <c r="DP181" s="100" t="str">
        <f aca="false">IF(AND(Tasks[[#This Row],[_IsLeaf]]=1,Tasks[[#This Row],[_LeafProgress]]&gt;=1),IF(N(Tasks[[#This Row],[Actual Finish]])&gt;0,Tasks[[#This Row],[Actual Finish]],Tasks[[#This Row],[_LeafFcstFinish]]),"")</f>
        <v/>
      </c>
      <c r="DQ181" s="41" t="n">
        <f aca="false">IF(Tasks[[#This Row],[_IsLeaf]]=1,N(Tasks[[#This Row],[Story Points]]),0)</f>
        <v>0</v>
      </c>
      <c r="DR181" s="41" t="str">
        <f aca="false">IF(AND(Tasks[[#This Row],[_IsLeaf]]=1,CurrentSprint&lt;&gt;"",Tasks[[#This Row],[Sprint]]=CurrentSprint),Tasks[[#This Row],[_Row]],"")</f>
        <v/>
      </c>
    </row>
    <row r="182" customFormat="false" ht="15" hidden="false" customHeight="false" outlineLevel="0" collapsed="false">
      <c r="A182" s="28" t="str">
        <f aca="false">IF(Tasks[[#This Row],[Task Name]]="","",COUNTA(Tasks[[#Headers],[Task Name]]:Tasks[[#This Row],[Task Name]])-1)</f>
        <v/>
      </c>
      <c r="B182" s="29" t="n">
        <v>177</v>
      </c>
      <c r="C18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2" s="29"/>
      <c r="E182" s="30"/>
      <c r="F182" s="29"/>
      <c r="G182" s="29"/>
      <c r="H182" s="29"/>
      <c r="I182" s="29"/>
      <c r="J182" s="29"/>
      <c r="K182" s="29"/>
      <c r="L182" s="29"/>
      <c r="M182" s="29"/>
      <c r="N182" s="73"/>
      <c r="O182" s="73"/>
      <c r="P182" s="25" t="str">
        <f aca="false">IF(Tasks[[#This Row],[Task Name]]="","",IF(N(Tasks[[#This Row],[Baseline Start]])&gt;0,Tasks[[#This Row],[Baseline Start]],Tasks[[#This Row],[_CalcStart]]))</f>
        <v/>
      </c>
      <c r="Q182" s="25" t="str">
        <f aca="false">IF(Tasks[[#This Row],[Task Name]]="","",IF(N(Tasks[[#This Row],[Baseline Finish]])&gt;0,Tasks[[#This Row],[Baseline Finish]],Tasks[[#This Row],[_CalcFinish]]))</f>
        <v/>
      </c>
      <c r="R182" s="73"/>
      <c r="S182" s="73"/>
      <c r="T182" s="25" t="str">
        <f aca="false">IF(Tasks[[#This Row],[Task Name]]="","",IF(Tasks[[#This Row],[_IsSummary]],MIN(INDEX(Tasks[_LeafFcstStart],Tasks[[#This Row],[_Row]]+1):INDEX(Tasks[_LeafFcstStart],Tasks[[#This Row],[_Row]]+Tasks[[#This Row],[_Descendants]])),Tasks[[#This Row],[_LeafFcstStart]]))</f>
        <v/>
      </c>
      <c r="U182" s="25" t="str">
        <f aca="false">IF(Tasks[[#This Row],[Task Name]]="","",IF(Tasks[[#This Row],[_IsSummary]],MAX(INDEX(Tasks[_LeafFcstFinish],Tasks[[#This Row],[_Row]]+1):INDEX(Tasks[_LeafFcstFinish],Tasks[[#This Row],[_Row]]+Tasks[[#This Row],[_Descendants]])),Tasks[[#This Row],[_LeafFcstFinish]]))</f>
        <v/>
      </c>
      <c r="V18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8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2" s="25" t="str">
        <f aca="false">IF(Tasks[[#This Row],[Task Name]]="","",IF(Tasks[[#This Row],[_IsSummary]],MIN(INDEX(Tasks[_LeafLateStart],Tasks[[#This Row],[_Row]]+1):INDEX(Tasks[_LeafLateStart],Tasks[[#This Row],[_Row]]+Tasks[[#This Row],[_Descendants]])),Tasks[[#This Row],[_LeafLateStart]]))</f>
        <v/>
      </c>
      <c r="Y182" s="25" t="str">
        <f aca="false">IF(Tasks[[#This Row],[Task Name]]="","",IF(Tasks[[#This Row],[_IsSummary]],MAX(INDEX(Tasks[_LeafLateFinish],Tasks[[#This Row],[_Row]]+1):INDEX(Tasks[_LeafLateFinish],Tasks[[#This Row],[_Row]]+Tasks[[#This Row],[_Descendants]])),Tasks[[#This Row],[_LeafLateFinish]]))</f>
        <v/>
      </c>
      <c r="Z182" s="43" t="str">
        <f aca="false">IF(Tasks[[#This Row],[Task Name]]="","",IF(Tasks[[#This Row],[_IsSummary]],MIN(INDEX(Tasks[_LeafTotalSlack],Tasks[[#This Row],[_Row]]+1):INDEX(Tasks[_LeafTotalSlack],Tasks[[#This Row],[_Row]]+Tasks[[#This Row],[_Descendants]])),Tasks[[#This Row],[_LeafTotalSlack]]))</f>
        <v/>
      </c>
      <c r="AA18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2" s="28" t="str">
        <f aca="false">IF(Tasks[[#This Row],[Task Name]]="","",IF(IF(Tasks[[#This Row],[_IsSummary]],COUNTIF(INDEX(Tasks[_LeafCritical],Tasks[[#This Row],[_Row]]+1):INDEX(Tasks[_LeafCritical],Tasks[[#This Row],[_Row]]+Tasks[[#This Row],[_Descendants]]),TRUE())&gt;0,Tasks[[#This Row],[_LeafCritical]]),"Yes",""))</f>
        <v/>
      </c>
      <c r="AC18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2" s="24" t="str">
        <f aca="false">IF(Tasks[[#This Row],[Task Name]]="","",TRIM(IF(Tasks[[#This Row],[_Pred1Problem]]&lt;&gt;"","Pred 1: "&amp;Tasks[[#This Row],[_Pred1Problem]]&amp;". ","")&amp;IF(Tasks[[#This Row],[_Pred2Problem]]&lt;&gt;"","Pred 2: "&amp;Tasks[[#This Row],[_Pred2Problem]]&amp;".","")))</f>
        <v/>
      </c>
      <c r="AE182" s="88"/>
      <c r="AF182"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2" s="28" t="str">
        <f aca="false">IF(Tasks[[#This Row],[Task Name]]="","",IF(Tasks[[#This Row],[Progress]]&gt;=1,"Complete",IF(OR(N(Tasks[[#This Row],[Actual Start]])&gt;0,Tasks[[#This Row],[Progress]]&gt;0),IF(Tasks[[#This Row],[Finish Var]]&gt;0,"Behind","In Progress"),IF(Tasks[[#This Row],[Planned Start]]&lt;StatusDate,"Late Start","Not Started"))))</f>
        <v/>
      </c>
      <c r="AH182" s="30"/>
      <c r="AI182" s="88"/>
      <c r="AJ182" s="95" t="str">
        <f aca="false">IF(Tasks[[#This Row],[Task Name]]="","",IF(Tasks[[#This Row],[_IsSummary]],SUM(INDEX(Tasks[_LeafWork],Tasks[[#This Row],[_Row]]+1):INDEX(Tasks[_LeafWork],Tasks[[#This Row],[_Row]]+Tasks[[#This Row],[_Descendants]])),Tasks[[#This Row],[_LeafWork]]))</f>
        <v/>
      </c>
      <c r="AK182" s="96" t="str">
        <f aca="false">IF(Tasks[[#This Row],[Task Name]]="","",IF(Tasks[[#This Row],[_IsSummary]],SUM(INDEX(Tasks[_LeafCost],Tasks[[#This Row],[_Row]]+1):INDEX(Tasks[_LeafCost],Tasks[[#This Row],[_Row]]+Tasks[[#This Row],[_Descendants]])),Tasks[[#This Row],[_LeafCost]]))</f>
        <v/>
      </c>
      <c r="AL182" s="97"/>
      <c r="AM182" s="29"/>
      <c r="AN18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82" s="82"/>
      <c r="AP182" s="24" t="str">
        <f aca="false">IF(Tasks[[#This Row],[Task Name]]="","",Tasks[[#This Row],[_Pred1IDText]]&amp;IF(AND(Tasks[[#This Row],[_Pred1IDText]]&lt;&gt;"",Tasks[[#This Row],[_Pred2IDText]]&lt;&gt;""),",","")&amp;Tasks[[#This Row],[_Pred2IDText]])</f>
        <v/>
      </c>
      <c r="AQ182" s="30"/>
      <c r="AR182" s="25" t="str">
        <f aca="false">IF(Tasks[[#This Row],[Task Name]]="","",Tasks[[#This Row],[Forecast Start]])</f>
        <v/>
      </c>
      <c r="AS182" s="25" t="str">
        <f aca="false">IF(Tasks[[#This Row],[Task Name]]="","",Tasks[[#This Row],[Forecast Finish]])</f>
        <v/>
      </c>
      <c r="AT182" s="28" t="str">
        <f aca="false">IF(Tasks[[#This Row],[Task Name]]="","",IF(Tasks[[#This Row],[_IsSummary]],NETWORKDAYS.INTL(Tasks[[#This Row],[Forecast Start]],Tasks[[#This Row],[Forecast Finish]],WorkWeek,Holidays),N(Tasks[[#This Row],[Duration]])))</f>
        <v/>
      </c>
      <c r="AU182" s="95" t="str">
        <f aca="false">IF(Tasks[[#This Row],[Task Name]]="","",Tasks[[#This Row],[Work]])</f>
        <v/>
      </c>
      <c r="AV182" s="96" t="str">
        <f aca="false">IF(Tasks[[#This Row],[Task Name]]="","",Tasks[[#This Row],[Cost]])</f>
        <v/>
      </c>
      <c r="AW182" s="73"/>
      <c r="AX182" s="73"/>
      <c r="AY182" s="29"/>
      <c r="AZ182" s="98"/>
      <c r="BA182" s="97"/>
      <c r="BB182" s="28" t="str">
        <f aca="false">IF(OR(Tasks[[#This Row],[Task Name]]="",Tasks[[#This Row],[Baseline Duration]]=""),"",Tasks[[#This Row],[BL Source Duration]]-N(Tasks[[#This Row],[Baseline Duration]]))</f>
        <v/>
      </c>
      <c r="BC182" s="95" t="str">
        <f aca="false">IF(OR(Tasks[[#This Row],[Task Name]]="",Tasks[[#This Row],[Baseline Work]]=""),"",Tasks[[#This Row],[Work]]-N(Tasks[[#This Row],[Baseline Work]]))</f>
        <v/>
      </c>
      <c r="BD182" s="96" t="str">
        <f aca="false">IF(OR(Tasks[[#This Row],[Task Name]]="",Tasks[[#This Row],[Baseline Cost]]=""),"",Tasks[[#This Row],[Cost]]-N(Tasks[[#This Row],[Baseline Cost]]))</f>
        <v/>
      </c>
      <c r="BE182" s="96" t="str">
        <f aca="false">IF(Tasks[[#This Row],[Task Name]]="","",IF(Tasks[[#This Row],[_IsSummary]],SUM(INDEX(Tasks[_LeafBudget],Tasks[[#This Row],[_Row]]+1):INDEX(Tasks[_LeafBudget],Tasks[[#This Row],[_Row]]+Tasks[[#This Row],[_Descendants]])),Tasks[[#This Row],[_LeafBudget]]))</f>
        <v/>
      </c>
      <c r="BF182" s="96" t="str">
        <f aca="false">IF(Tasks[[#This Row],[Task Name]]="","",IF(Tasks[[#This Row],[_IsSummary]],SUM(INDEX(Tasks[_LeafPV],Tasks[[#This Row],[_Row]]+1):INDEX(Tasks[_LeafPV],Tasks[[#This Row],[_Row]]+Tasks[[#This Row],[_Descendants]])),Tasks[[#This Row],[_LeafPV]]))</f>
        <v/>
      </c>
      <c r="BG182" s="96" t="str">
        <f aca="false">IF(Tasks[[#This Row],[Task Name]]="","",IF(Tasks[[#This Row],[_IsSummary]],SUM(INDEX(Tasks[_LeafEV],Tasks[[#This Row],[_Row]]+1):INDEX(Tasks[_LeafEV],Tasks[[#This Row],[_Row]]+Tasks[[#This Row],[_Descendants]])),Tasks[[#This Row],[_LeafEV]]))</f>
        <v/>
      </c>
      <c r="BH182" s="96" t="str">
        <f aca="false">IF(Tasks[[#This Row],[Task Name]]="","",IF(Tasks[[#This Row],[_IsSummary]],SUM(INDEX(Tasks[_LeafAC],Tasks[[#This Row],[_Row]]+1):INDEX(Tasks[_LeafAC],Tasks[[#This Row],[_Row]]+Tasks[[#This Row],[_Descendants]])),Tasks[[#This Row],[_LeafAC]]))</f>
        <v/>
      </c>
      <c r="BI182" s="41" t="str">
        <f aca="false">IF(Tasks[[#This Row],[Task Name]]="","",MAX(1,N(Tasks[[#This Row],[Level]])))</f>
        <v/>
      </c>
      <c r="BJ182" s="41" t="n">
        <f aca="false">ROW()-ROW(Tasks[[#Headers],[ID]])</f>
        <v>177</v>
      </c>
      <c r="BK182" s="41" t="n">
        <f aca="false">IF(OR(Tasks[[#This Row],[Task Name]]="",Tasks[[#This Row],[_Level]]&lt;=1),0,IFERROR(LOOKUP(2,1/(Tasks[[#Headers],[_Level]]:Tasks[[#This Row],[_Level]]=Tasks[[#This Row],[_Level]]-1),ROW(Tasks[[#Headers],[_Level]]:Tasks[[#This Row],[_Level]])),0))</f>
        <v>0</v>
      </c>
      <c r="BL182" s="41" t="n">
        <f aca="false">IFERROR(N(INDEX(Tasks[_Level],Tasks[[#This Row],[_Row]]+1)),0)</f>
        <v>0</v>
      </c>
      <c r="BM182" s="99" t="b">
        <f aca="false">AND(Tasks[[#This Row],[Task Name]]&lt;&gt;"",Tasks[[#This Row],[_NextLevel]]&gt;Tasks[[#This Row],[_Level]])</f>
        <v>0</v>
      </c>
      <c r="BN182" s="41" t="n">
        <f aca="false">IF(Tasks[[#This Row],[_IsSummary]],COUNTIF(Tasks[WBS],Tasks[[#This Row],[WBS]]&amp;".*"),0)</f>
        <v>0</v>
      </c>
      <c r="BO182" s="41" t="n">
        <f aca="false">IF(AND(Tasks[[#This Row],[Task Name]]&lt;&gt;"",NOT(Tasks[[#This Row],[_IsSummary]])),1,0)</f>
        <v>0</v>
      </c>
      <c r="BP182" s="41" t="n">
        <f aca="false">IF(N(Tasks[[#This Row],[Pred1 UID]])=0,0,IFERROR(MATCH(Tasks[[#This Row],[Pred1 UID]],Tasks[UID],0),-1))</f>
        <v>0</v>
      </c>
      <c r="BQ182" s="41" t="n">
        <f aca="false">IF(N(Tasks[[#This Row],[Pred2 UID]])=0,0,IFERROR(MATCH(Tasks[[#This Row],[Pred2 UID]],Tasks[UID],0),-1))</f>
        <v>0</v>
      </c>
      <c r="BR182"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82" s="100" t="str">
        <f aca="false">IF(NOT(Tasks[[#This Row],[_IsLeaf]]=1),"",IF(N(Tasks[[#This Row],[Duration]])&lt;=0,Tasks[[#This Row],[_LeafCalcStart]],WORKDAY.INTL(Tasks[[#This Row],[_LeafCalcStart]],Tasks[[#This Row],[Duration]]-1,WorkWeek,Holidays)))</f>
        <v/>
      </c>
      <c r="BT182"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82"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82" s="41" t="n">
        <f aca="false">IF(NOT(Tasks[[#This Row],[_IsLeaf]]=1),0,IF(N(Tasks[[#This Row],[Actual Finish]])&gt;0,1,MIN(1,N(Tasks[[#This Row],[% Complete]]))))</f>
        <v>0</v>
      </c>
      <c r="BW182" s="41" t="n">
        <f aca="false">IF(OR(NOT(Tasks[[#This Row],[_IsLeaf]]=1),Tasks[[#This Row],[Resource]]=""),0,N(Tasks[[#This Row],[Duration]])*HoursPerDay*IF(Tasks[[#This Row],[Units]]="",DefaultUnits,Tasks[[#This Row],[Units]]))</f>
        <v>0</v>
      </c>
      <c r="BX182" s="41" t="n">
        <f aca="false">IF(Tasks[[#This Row],[_LeafWork]]=0,0,Tasks[[#This Row],[_LeafWork]]*IFERROR(INDEX(res_Rate,MATCH(Tasks[[#This Row],[Resource]],res_Name,0)),0))</f>
        <v>0</v>
      </c>
      <c r="BY18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8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8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8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82" s="41" t="n">
        <f aca="false">IF(NOT(Tasks[[#This Row],[_IsLeaf]]=1),0,MAX(_xlfn.MAXIFS(Tasks[_Row],Tasks[Pred1 UID],Tasks[[#This Row],[UID]]),_xlfn.MAXIFS(Tasks[_Row],Tasks[Pred2 UID],Tasks[[#This Row],[UID]])))</f>
        <v>0</v>
      </c>
      <c r="CD182"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82" s="100" t="str">
        <f aca="false">IF(NOT(Tasks[[#This Row],[_IsLeaf]]=1),"",MIN(ProjectFinish,IF(N(Tasks[[#This Row],[Deadline]])&gt;0,Tasks[[#This Row],[Deadline]],2958465),Tasks[[#This Row],[_SuccessorFinishLimit]]))</f>
        <v/>
      </c>
      <c r="CF182" s="100" t="str">
        <f aca="false">IF(NOT(Tasks[[#This Row],[_IsLeaf]]=1),"",IF(N(Tasks[[#This Row],[Duration]])&lt;=0,Tasks[[#This Row],[_LeafLateFinish]],WORKDAY.INTL(Tasks[[#This Row],[_LeafLateFinish]],-(Tasks[[#This Row],[Duration]]-1),WorkWeek,Holidays)))</f>
        <v/>
      </c>
      <c r="CG18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82" s="99" t="b">
        <f aca="false">AND(Tasks[[#This Row],[_IsLeaf]]=1,Tasks[[#This Row],[_LeafProgress]]&lt;1,N(Tasks[[#This Row],[_LeafTotalSlack]])&lt;=CriticalSlackDays)</f>
        <v>0</v>
      </c>
      <c r="CI182" s="100" t="str">
        <f aca="false">IF(Tasks[[#This Row],[Task Name]]="","",IF(Tasks[[#This Row],[_IsSummary]],MIN(INDEX(Tasks[_LeafCalcStart],Tasks[[#This Row],[_Row]]+1):INDEX(Tasks[_LeafCalcStart],Tasks[[#This Row],[_Row]]+Tasks[[#This Row],[_Descendants]])),Tasks[[#This Row],[_LeafCalcStart]]))</f>
        <v/>
      </c>
      <c r="CJ182" s="100" t="str">
        <f aca="false">IF(Tasks[[#This Row],[Task Name]]="","",IF(Tasks[[#This Row],[_IsSummary]],MAX(INDEX(Tasks[_LeafCalcFinish],Tasks[[#This Row],[_Row]]+1):INDEX(Tasks[_LeafCalcFinish],Tasks[[#This Row],[_Row]]+Tasks[[#This Row],[_Descendants]])),Tasks[[#This Row],[_LeafCalcFinish]]))</f>
        <v/>
      </c>
      <c r="CK18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8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82"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82"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82"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82"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82" s="41" t="n">
        <f aca="false">IF(AND(Tasks[[#This Row],[_IsLeaf]]=1,Tasks[[#This Row],[_LeafWork]]&gt;0),NETWORKDAYS.INTL(ProjectStart,Tasks[[#This Row],[_LeafFcstStart]],WorkWeek,Holidays),0)</f>
        <v>0</v>
      </c>
      <c r="CR182" s="41" t="n">
        <f aca="false">IF(AND(Tasks[[#This Row],[_IsLeaf]]=1,Tasks[[#This Row],[_LeafWork]]&gt;0),MAX(Tasks[[#This Row],[_StartWorkday]],NETWORKDAYS.INTL(ProjectStart,Tasks[[#This Row],[_LeafFcstFinish]],WorkWeek,Holidays)),0)</f>
        <v>0</v>
      </c>
      <c r="CS182" s="41" t="n">
        <f aca="false">IF(AND(Tasks[[#This Row],[_IsLeaf]]=1,Tasks[[#This Row],[_LeafWork]]&gt;0),Tasks[[#This Row],[_LeafWork]]/(Tasks[[#This Row],[_FinishWorkday]]-Tasks[[#This Row],[_StartWorkday]]+1),0)</f>
        <v>0</v>
      </c>
      <c r="CT182" s="41" t="n">
        <f aca="false">Tasks[[#This Row],[_WorkPerWorkday]]*(Tasks[[#This Row],[_StartWorkday]]-1)</f>
        <v>-0</v>
      </c>
      <c r="CU182" s="41" t="n">
        <f aca="false">IF(Tasks[[#This Row],[_IsLeaf]]=1,MAX(N(Tasks[[#This Row],[Duration]]),0.1),0)</f>
        <v>0</v>
      </c>
      <c r="CV182" s="41" t="n">
        <f aca="false">Tasks[[#This Row],[_WeightDur]]*Tasks[[#This Row],[_LeafProgress]]</f>
        <v>0</v>
      </c>
      <c r="CW18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8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8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8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82" s="41" t="str">
        <f aca="false">IF(Tasks[[#This Row],[Task Name]]="","",Tasks[[#This Row],[_Pred1UIDText]]&amp;IF(AND(Tasks[[#This Row],[_Pred1UIDText]]&lt;&gt;"",Tasks[[#This Row],[_Pred2UIDText]]&lt;&gt;""),",","")&amp;Tasks[[#This Row],[_Pred2UIDText]])</f>
        <v/>
      </c>
      <c r="DB182" s="41" t="str">
        <f aca="false">IF(AND(Tasks[[#This Row],[_IsLeaf]]=1,N(Tasks[[#This Row],[Duration]])=0,Tasks[[#This Row],[_LeafProgress]]&lt;1),Tasks[[#This Row],[_LeafFcstFinish]]+Tasks[[#This Row],[_Row]]/100000,"")</f>
        <v/>
      </c>
      <c r="DC18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82" s="41" t="n">
        <f aca="false">IF(NOT(Tasks[[#This Row],[_IsLeaf]]=1),0,IF(Tasks[[#This Row],[Baseline Cost]]="",Tasks[[#This Row],[_LeafCost]],N(Tasks[[#This Row],[Baseline Cost]])))</f>
        <v>0</v>
      </c>
      <c r="DE182" s="41" t="n">
        <f aca="false">Tasks[[#This Row],[_LeafBudget]]*Tasks[[#This Row],[_PlannedPct]]</f>
        <v>0</v>
      </c>
      <c r="DF182" s="41" t="n">
        <f aca="false">Tasks[[#This Row],[_LeafBudget]]*Tasks[[#This Row],[_LeafProgress]]</f>
        <v>0</v>
      </c>
      <c r="DG182" s="41" t="n">
        <f aca="false">IF(NOT(Tasks[[#This Row],[_IsLeaf]]=1),0,IF(Tasks[[#This Row],[Actual Cost]]="",Tasks[[#This Row],[_LeafCost]]*Tasks[[#This Row],[_LeafProgress]],N(Tasks[[#This Row],[Actual Cost]])))</f>
        <v>0</v>
      </c>
      <c r="DH182" s="41" t="str">
        <f aca="false">IF(Tasks[[#This Row],[Task Name]]="","",LEFT(Tasks[[#This Row],[WBS]],FIND(".",Tasks[[#This Row],[WBS]]&amp;".")-1))</f>
        <v/>
      </c>
      <c r="DI182" s="41" t="str">
        <f aca="false">IF(AND(Tasks[[#This Row],[Task Name]]&lt;&gt;"",Tasks[[#This Row],[_Level]]=1),Tasks[[#This Row],[_Row]],"")</f>
        <v/>
      </c>
      <c r="DJ182" s="41" t="str">
        <f aca="false">IF(AND(Tasks[[#This Row],[_IsLeaf]]=1,N(Tasks[[#This Row],[Duration]])=0),Tasks[[#This Row],[Planned Finish]]+Tasks[[#This Row],[_Row]]/100000,"")</f>
        <v/>
      </c>
      <c r="DK182" s="41" t="str">
        <f aca="false">IF(AND(Tasks[[#This Row],[_IsLeaf]]=1,Tasks[[#This Row],[_LeafProgress]]&lt;1,OR(N(Tasks[[#This Row],[Finish Var]])&gt;0,Tasks[[#This Row],[Status]]="Late Start")),MAX(0,Tasks[[#This Row],[Finish Var]])+1-Tasks[[#This Row],[_Row]]/1000000,"")</f>
        <v/>
      </c>
      <c r="DL182" s="41" t="str">
        <f aca="false">IF(AND(Tasks[[#This Row],[_IsLeaf]]=1,N(Tasks[[#This Row],[Actual Start]])=0,Tasks[[#This Row],[_LeafFcstStart]]&gt;=StatusDate,Tasks[[#This Row],[_LeafFcstStart]]&lt;=LookaheadEnd),Tasks[[#This Row],[_LeafFcstStart]]+Tasks[[#This Row],[_Row]]/100000,"")</f>
        <v/>
      </c>
      <c r="DM182" s="41" t="str">
        <f aca="false">IF(AND(Tasks[[#This Row],[_IsLeaf]]=1,Tasks[[#This Row],[_LeafProgress]]&lt;1,Tasks[[#This Row],[_LeafFcstFinish]]&gt;=StatusDate,Tasks[[#This Row],[_LeafFcstFinish]]&lt;=LookaheadEnd),Tasks[[#This Row],[_LeafFcstFinish]]+Tasks[[#This Row],[_Row]]/100000,"")</f>
        <v/>
      </c>
      <c r="DN182" s="41" t="str">
        <f aca="false">IF(Tasks[[#This Row],[_LeafCritical]],Tasks[[#This Row],[_LeafFcstStart]]+Tasks[[#This Row],[_Row]]/100000,"")</f>
        <v/>
      </c>
      <c r="DO182" s="41" t="n">
        <f aca="false">Tasks[[#This Row],[_LeafWork]]*Tasks[[#This Row],[_LeafProgress]]</f>
        <v>0</v>
      </c>
      <c r="DP182" s="100" t="str">
        <f aca="false">IF(AND(Tasks[[#This Row],[_IsLeaf]]=1,Tasks[[#This Row],[_LeafProgress]]&gt;=1),IF(N(Tasks[[#This Row],[Actual Finish]])&gt;0,Tasks[[#This Row],[Actual Finish]],Tasks[[#This Row],[_LeafFcstFinish]]),"")</f>
        <v/>
      </c>
      <c r="DQ182" s="41" t="n">
        <f aca="false">IF(Tasks[[#This Row],[_IsLeaf]]=1,N(Tasks[[#This Row],[Story Points]]),0)</f>
        <v>0</v>
      </c>
      <c r="DR182" s="41" t="str">
        <f aca="false">IF(AND(Tasks[[#This Row],[_IsLeaf]]=1,CurrentSprint&lt;&gt;"",Tasks[[#This Row],[Sprint]]=CurrentSprint),Tasks[[#This Row],[_Row]],"")</f>
        <v/>
      </c>
    </row>
    <row r="183" customFormat="false" ht="15" hidden="false" customHeight="false" outlineLevel="0" collapsed="false">
      <c r="A183" s="28" t="str">
        <f aca="false">IF(Tasks[[#This Row],[Task Name]]="","",COUNTA(Tasks[[#Headers],[Task Name]]:Tasks[[#This Row],[Task Name]])-1)</f>
        <v/>
      </c>
      <c r="B183" s="29" t="n">
        <v>178</v>
      </c>
      <c r="C18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3" s="29"/>
      <c r="E183" s="30"/>
      <c r="F183" s="29"/>
      <c r="G183" s="29"/>
      <c r="H183" s="29"/>
      <c r="I183" s="29"/>
      <c r="J183" s="29"/>
      <c r="K183" s="29"/>
      <c r="L183" s="29"/>
      <c r="M183" s="29"/>
      <c r="N183" s="73"/>
      <c r="O183" s="73"/>
      <c r="P183" s="25" t="str">
        <f aca="false">IF(Tasks[[#This Row],[Task Name]]="","",IF(N(Tasks[[#This Row],[Baseline Start]])&gt;0,Tasks[[#This Row],[Baseline Start]],Tasks[[#This Row],[_CalcStart]]))</f>
        <v/>
      </c>
      <c r="Q183" s="25" t="str">
        <f aca="false">IF(Tasks[[#This Row],[Task Name]]="","",IF(N(Tasks[[#This Row],[Baseline Finish]])&gt;0,Tasks[[#This Row],[Baseline Finish]],Tasks[[#This Row],[_CalcFinish]]))</f>
        <v/>
      </c>
      <c r="R183" s="73"/>
      <c r="S183" s="73"/>
      <c r="T183" s="25" t="str">
        <f aca="false">IF(Tasks[[#This Row],[Task Name]]="","",IF(Tasks[[#This Row],[_IsSummary]],MIN(INDEX(Tasks[_LeafFcstStart],Tasks[[#This Row],[_Row]]+1):INDEX(Tasks[_LeafFcstStart],Tasks[[#This Row],[_Row]]+Tasks[[#This Row],[_Descendants]])),Tasks[[#This Row],[_LeafFcstStart]]))</f>
        <v/>
      </c>
      <c r="U183" s="25" t="str">
        <f aca="false">IF(Tasks[[#This Row],[Task Name]]="","",IF(Tasks[[#This Row],[_IsSummary]],MAX(INDEX(Tasks[_LeafFcstFinish],Tasks[[#This Row],[_Row]]+1):INDEX(Tasks[_LeafFcstFinish],Tasks[[#This Row],[_Row]]+Tasks[[#This Row],[_Descendants]])),Tasks[[#This Row],[_LeafFcstFinish]]))</f>
        <v/>
      </c>
      <c r="V18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8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3" s="25" t="str">
        <f aca="false">IF(Tasks[[#This Row],[Task Name]]="","",IF(Tasks[[#This Row],[_IsSummary]],MIN(INDEX(Tasks[_LeafLateStart],Tasks[[#This Row],[_Row]]+1):INDEX(Tasks[_LeafLateStart],Tasks[[#This Row],[_Row]]+Tasks[[#This Row],[_Descendants]])),Tasks[[#This Row],[_LeafLateStart]]))</f>
        <v/>
      </c>
      <c r="Y183" s="25" t="str">
        <f aca="false">IF(Tasks[[#This Row],[Task Name]]="","",IF(Tasks[[#This Row],[_IsSummary]],MAX(INDEX(Tasks[_LeafLateFinish],Tasks[[#This Row],[_Row]]+1):INDEX(Tasks[_LeafLateFinish],Tasks[[#This Row],[_Row]]+Tasks[[#This Row],[_Descendants]])),Tasks[[#This Row],[_LeafLateFinish]]))</f>
        <v/>
      </c>
      <c r="Z183" s="43" t="str">
        <f aca="false">IF(Tasks[[#This Row],[Task Name]]="","",IF(Tasks[[#This Row],[_IsSummary]],MIN(INDEX(Tasks[_LeafTotalSlack],Tasks[[#This Row],[_Row]]+1):INDEX(Tasks[_LeafTotalSlack],Tasks[[#This Row],[_Row]]+Tasks[[#This Row],[_Descendants]])),Tasks[[#This Row],[_LeafTotalSlack]]))</f>
        <v/>
      </c>
      <c r="AA18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3" s="28" t="str">
        <f aca="false">IF(Tasks[[#This Row],[Task Name]]="","",IF(IF(Tasks[[#This Row],[_IsSummary]],COUNTIF(INDEX(Tasks[_LeafCritical],Tasks[[#This Row],[_Row]]+1):INDEX(Tasks[_LeafCritical],Tasks[[#This Row],[_Row]]+Tasks[[#This Row],[_Descendants]]),TRUE())&gt;0,Tasks[[#This Row],[_LeafCritical]]),"Yes",""))</f>
        <v/>
      </c>
      <c r="AC18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3" s="24" t="str">
        <f aca="false">IF(Tasks[[#This Row],[Task Name]]="","",TRIM(IF(Tasks[[#This Row],[_Pred1Problem]]&lt;&gt;"","Pred 1: "&amp;Tasks[[#This Row],[_Pred1Problem]]&amp;". ","")&amp;IF(Tasks[[#This Row],[_Pred2Problem]]&lt;&gt;"","Pred 2: "&amp;Tasks[[#This Row],[_Pred2Problem]]&amp;".","")))</f>
        <v/>
      </c>
      <c r="AE183" s="88"/>
      <c r="AF183"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3" s="28" t="str">
        <f aca="false">IF(Tasks[[#This Row],[Task Name]]="","",IF(Tasks[[#This Row],[Progress]]&gt;=1,"Complete",IF(OR(N(Tasks[[#This Row],[Actual Start]])&gt;0,Tasks[[#This Row],[Progress]]&gt;0),IF(Tasks[[#This Row],[Finish Var]]&gt;0,"Behind","In Progress"),IF(Tasks[[#This Row],[Planned Start]]&lt;StatusDate,"Late Start","Not Started"))))</f>
        <v/>
      </c>
      <c r="AH183" s="30"/>
      <c r="AI183" s="88"/>
      <c r="AJ183" s="95" t="str">
        <f aca="false">IF(Tasks[[#This Row],[Task Name]]="","",IF(Tasks[[#This Row],[_IsSummary]],SUM(INDEX(Tasks[_LeafWork],Tasks[[#This Row],[_Row]]+1):INDEX(Tasks[_LeafWork],Tasks[[#This Row],[_Row]]+Tasks[[#This Row],[_Descendants]])),Tasks[[#This Row],[_LeafWork]]))</f>
        <v/>
      </c>
      <c r="AK183" s="96" t="str">
        <f aca="false">IF(Tasks[[#This Row],[Task Name]]="","",IF(Tasks[[#This Row],[_IsSummary]],SUM(INDEX(Tasks[_LeafCost],Tasks[[#This Row],[_Row]]+1):INDEX(Tasks[_LeafCost],Tasks[[#This Row],[_Row]]+Tasks[[#This Row],[_Descendants]])),Tasks[[#This Row],[_LeafCost]]))</f>
        <v/>
      </c>
      <c r="AL183" s="97"/>
      <c r="AM183" s="29"/>
      <c r="AN18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83" s="82"/>
      <c r="AP183" s="24" t="str">
        <f aca="false">IF(Tasks[[#This Row],[Task Name]]="","",Tasks[[#This Row],[_Pred1IDText]]&amp;IF(AND(Tasks[[#This Row],[_Pred1IDText]]&lt;&gt;"",Tasks[[#This Row],[_Pred2IDText]]&lt;&gt;""),",","")&amp;Tasks[[#This Row],[_Pred2IDText]])</f>
        <v/>
      </c>
      <c r="AQ183" s="30"/>
      <c r="AR183" s="25" t="str">
        <f aca="false">IF(Tasks[[#This Row],[Task Name]]="","",Tasks[[#This Row],[Forecast Start]])</f>
        <v/>
      </c>
      <c r="AS183" s="25" t="str">
        <f aca="false">IF(Tasks[[#This Row],[Task Name]]="","",Tasks[[#This Row],[Forecast Finish]])</f>
        <v/>
      </c>
      <c r="AT183" s="28" t="str">
        <f aca="false">IF(Tasks[[#This Row],[Task Name]]="","",IF(Tasks[[#This Row],[_IsSummary]],NETWORKDAYS.INTL(Tasks[[#This Row],[Forecast Start]],Tasks[[#This Row],[Forecast Finish]],WorkWeek,Holidays),N(Tasks[[#This Row],[Duration]])))</f>
        <v/>
      </c>
      <c r="AU183" s="95" t="str">
        <f aca="false">IF(Tasks[[#This Row],[Task Name]]="","",Tasks[[#This Row],[Work]])</f>
        <v/>
      </c>
      <c r="AV183" s="96" t="str">
        <f aca="false">IF(Tasks[[#This Row],[Task Name]]="","",Tasks[[#This Row],[Cost]])</f>
        <v/>
      </c>
      <c r="AW183" s="73"/>
      <c r="AX183" s="73"/>
      <c r="AY183" s="29"/>
      <c r="AZ183" s="98"/>
      <c r="BA183" s="97"/>
      <c r="BB183" s="28" t="str">
        <f aca="false">IF(OR(Tasks[[#This Row],[Task Name]]="",Tasks[[#This Row],[Baseline Duration]]=""),"",Tasks[[#This Row],[BL Source Duration]]-N(Tasks[[#This Row],[Baseline Duration]]))</f>
        <v/>
      </c>
      <c r="BC183" s="95" t="str">
        <f aca="false">IF(OR(Tasks[[#This Row],[Task Name]]="",Tasks[[#This Row],[Baseline Work]]=""),"",Tasks[[#This Row],[Work]]-N(Tasks[[#This Row],[Baseline Work]]))</f>
        <v/>
      </c>
      <c r="BD183" s="96" t="str">
        <f aca="false">IF(OR(Tasks[[#This Row],[Task Name]]="",Tasks[[#This Row],[Baseline Cost]]=""),"",Tasks[[#This Row],[Cost]]-N(Tasks[[#This Row],[Baseline Cost]]))</f>
        <v/>
      </c>
      <c r="BE183" s="96" t="str">
        <f aca="false">IF(Tasks[[#This Row],[Task Name]]="","",IF(Tasks[[#This Row],[_IsSummary]],SUM(INDEX(Tasks[_LeafBudget],Tasks[[#This Row],[_Row]]+1):INDEX(Tasks[_LeafBudget],Tasks[[#This Row],[_Row]]+Tasks[[#This Row],[_Descendants]])),Tasks[[#This Row],[_LeafBudget]]))</f>
        <v/>
      </c>
      <c r="BF183" s="96" t="str">
        <f aca="false">IF(Tasks[[#This Row],[Task Name]]="","",IF(Tasks[[#This Row],[_IsSummary]],SUM(INDEX(Tasks[_LeafPV],Tasks[[#This Row],[_Row]]+1):INDEX(Tasks[_LeafPV],Tasks[[#This Row],[_Row]]+Tasks[[#This Row],[_Descendants]])),Tasks[[#This Row],[_LeafPV]]))</f>
        <v/>
      </c>
      <c r="BG183" s="96" t="str">
        <f aca="false">IF(Tasks[[#This Row],[Task Name]]="","",IF(Tasks[[#This Row],[_IsSummary]],SUM(INDEX(Tasks[_LeafEV],Tasks[[#This Row],[_Row]]+1):INDEX(Tasks[_LeafEV],Tasks[[#This Row],[_Row]]+Tasks[[#This Row],[_Descendants]])),Tasks[[#This Row],[_LeafEV]]))</f>
        <v/>
      </c>
      <c r="BH183" s="96" t="str">
        <f aca="false">IF(Tasks[[#This Row],[Task Name]]="","",IF(Tasks[[#This Row],[_IsSummary]],SUM(INDEX(Tasks[_LeafAC],Tasks[[#This Row],[_Row]]+1):INDEX(Tasks[_LeafAC],Tasks[[#This Row],[_Row]]+Tasks[[#This Row],[_Descendants]])),Tasks[[#This Row],[_LeafAC]]))</f>
        <v/>
      </c>
      <c r="BI183" s="41" t="str">
        <f aca="false">IF(Tasks[[#This Row],[Task Name]]="","",MAX(1,N(Tasks[[#This Row],[Level]])))</f>
        <v/>
      </c>
      <c r="BJ183" s="41" t="n">
        <f aca="false">ROW()-ROW(Tasks[[#Headers],[ID]])</f>
        <v>178</v>
      </c>
      <c r="BK183" s="41" t="n">
        <f aca="false">IF(OR(Tasks[[#This Row],[Task Name]]="",Tasks[[#This Row],[_Level]]&lt;=1),0,IFERROR(LOOKUP(2,1/(Tasks[[#Headers],[_Level]]:Tasks[[#This Row],[_Level]]=Tasks[[#This Row],[_Level]]-1),ROW(Tasks[[#Headers],[_Level]]:Tasks[[#This Row],[_Level]])),0))</f>
        <v>0</v>
      </c>
      <c r="BL183" s="41" t="n">
        <f aca="false">IFERROR(N(INDEX(Tasks[_Level],Tasks[[#This Row],[_Row]]+1)),0)</f>
        <v>0</v>
      </c>
      <c r="BM183" s="99" t="b">
        <f aca="false">AND(Tasks[[#This Row],[Task Name]]&lt;&gt;"",Tasks[[#This Row],[_NextLevel]]&gt;Tasks[[#This Row],[_Level]])</f>
        <v>0</v>
      </c>
      <c r="BN183" s="41" t="n">
        <f aca="false">IF(Tasks[[#This Row],[_IsSummary]],COUNTIF(Tasks[WBS],Tasks[[#This Row],[WBS]]&amp;".*"),0)</f>
        <v>0</v>
      </c>
      <c r="BO183" s="41" t="n">
        <f aca="false">IF(AND(Tasks[[#This Row],[Task Name]]&lt;&gt;"",NOT(Tasks[[#This Row],[_IsSummary]])),1,0)</f>
        <v>0</v>
      </c>
      <c r="BP183" s="41" t="n">
        <f aca="false">IF(N(Tasks[[#This Row],[Pred1 UID]])=0,0,IFERROR(MATCH(Tasks[[#This Row],[Pred1 UID]],Tasks[UID],0),-1))</f>
        <v>0</v>
      </c>
      <c r="BQ183" s="41" t="n">
        <f aca="false">IF(N(Tasks[[#This Row],[Pred2 UID]])=0,0,IFERROR(MATCH(Tasks[[#This Row],[Pred2 UID]],Tasks[UID],0),-1))</f>
        <v>0</v>
      </c>
      <c r="BR183"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83" s="100" t="str">
        <f aca="false">IF(NOT(Tasks[[#This Row],[_IsLeaf]]=1),"",IF(N(Tasks[[#This Row],[Duration]])&lt;=0,Tasks[[#This Row],[_LeafCalcStart]],WORKDAY.INTL(Tasks[[#This Row],[_LeafCalcStart]],Tasks[[#This Row],[Duration]]-1,WorkWeek,Holidays)))</f>
        <v/>
      </c>
      <c r="BT183"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83"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83" s="41" t="n">
        <f aca="false">IF(NOT(Tasks[[#This Row],[_IsLeaf]]=1),0,IF(N(Tasks[[#This Row],[Actual Finish]])&gt;0,1,MIN(1,N(Tasks[[#This Row],[% Complete]]))))</f>
        <v>0</v>
      </c>
      <c r="BW183" s="41" t="n">
        <f aca="false">IF(OR(NOT(Tasks[[#This Row],[_IsLeaf]]=1),Tasks[[#This Row],[Resource]]=""),0,N(Tasks[[#This Row],[Duration]])*HoursPerDay*IF(Tasks[[#This Row],[Units]]="",DefaultUnits,Tasks[[#This Row],[Units]]))</f>
        <v>0</v>
      </c>
      <c r="BX183" s="41" t="n">
        <f aca="false">IF(Tasks[[#This Row],[_LeafWork]]=0,0,Tasks[[#This Row],[_LeafWork]]*IFERROR(INDEX(res_Rate,MATCH(Tasks[[#This Row],[Resource]],res_Name,0)),0))</f>
        <v>0</v>
      </c>
      <c r="BY18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8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8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8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83" s="41" t="n">
        <f aca="false">IF(NOT(Tasks[[#This Row],[_IsLeaf]]=1),0,MAX(_xlfn.MAXIFS(Tasks[_Row],Tasks[Pred1 UID],Tasks[[#This Row],[UID]]),_xlfn.MAXIFS(Tasks[_Row],Tasks[Pred2 UID],Tasks[[#This Row],[UID]])))</f>
        <v>0</v>
      </c>
      <c r="CD183"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83" s="100" t="str">
        <f aca="false">IF(NOT(Tasks[[#This Row],[_IsLeaf]]=1),"",MIN(ProjectFinish,IF(N(Tasks[[#This Row],[Deadline]])&gt;0,Tasks[[#This Row],[Deadline]],2958465),Tasks[[#This Row],[_SuccessorFinishLimit]]))</f>
        <v/>
      </c>
      <c r="CF183" s="100" t="str">
        <f aca="false">IF(NOT(Tasks[[#This Row],[_IsLeaf]]=1),"",IF(N(Tasks[[#This Row],[Duration]])&lt;=0,Tasks[[#This Row],[_LeafLateFinish]],WORKDAY.INTL(Tasks[[#This Row],[_LeafLateFinish]],-(Tasks[[#This Row],[Duration]]-1),WorkWeek,Holidays)))</f>
        <v/>
      </c>
      <c r="CG18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83" s="99" t="b">
        <f aca="false">AND(Tasks[[#This Row],[_IsLeaf]]=1,Tasks[[#This Row],[_LeafProgress]]&lt;1,N(Tasks[[#This Row],[_LeafTotalSlack]])&lt;=CriticalSlackDays)</f>
        <v>0</v>
      </c>
      <c r="CI183" s="100" t="str">
        <f aca="false">IF(Tasks[[#This Row],[Task Name]]="","",IF(Tasks[[#This Row],[_IsSummary]],MIN(INDEX(Tasks[_LeafCalcStart],Tasks[[#This Row],[_Row]]+1):INDEX(Tasks[_LeafCalcStart],Tasks[[#This Row],[_Row]]+Tasks[[#This Row],[_Descendants]])),Tasks[[#This Row],[_LeafCalcStart]]))</f>
        <v/>
      </c>
      <c r="CJ183" s="100" t="str">
        <f aca="false">IF(Tasks[[#This Row],[Task Name]]="","",IF(Tasks[[#This Row],[_IsSummary]],MAX(INDEX(Tasks[_LeafCalcFinish],Tasks[[#This Row],[_Row]]+1):INDEX(Tasks[_LeafCalcFinish],Tasks[[#This Row],[_Row]]+Tasks[[#This Row],[_Descendants]])),Tasks[[#This Row],[_LeafCalcFinish]]))</f>
        <v/>
      </c>
      <c r="CK18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8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83"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83"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83"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83"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83" s="41" t="n">
        <f aca="false">IF(AND(Tasks[[#This Row],[_IsLeaf]]=1,Tasks[[#This Row],[_LeafWork]]&gt;0),NETWORKDAYS.INTL(ProjectStart,Tasks[[#This Row],[_LeafFcstStart]],WorkWeek,Holidays),0)</f>
        <v>0</v>
      </c>
      <c r="CR183" s="41" t="n">
        <f aca="false">IF(AND(Tasks[[#This Row],[_IsLeaf]]=1,Tasks[[#This Row],[_LeafWork]]&gt;0),MAX(Tasks[[#This Row],[_StartWorkday]],NETWORKDAYS.INTL(ProjectStart,Tasks[[#This Row],[_LeafFcstFinish]],WorkWeek,Holidays)),0)</f>
        <v>0</v>
      </c>
      <c r="CS183" s="41" t="n">
        <f aca="false">IF(AND(Tasks[[#This Row],[_IsLeaf]]=1,Tasks[[#This Row],[_LeafWork]]&gt;0),Tasks[[#This Row],[_LeafWork]]/(Tasks[[#This Row],[_FinishWorkday]]-Tasks[[#This Row],[_StartWorkday]]+1),0)</f>
        <v>0</v>
      </c>
      <c r="CT183" s="41" t="n">
        <f aca="false">Tasks[[#This Row],[_WorkPerWorkday]]*(Tasks[[#This Row],[_StartWorkday]]-1)</f>
        <v>-0</v>
      </c>
      <c r="CU183" s="41" t="n">
        <f aca="false">IF(Tasks[[#This Row],[_IsLeaf]]=1,MAX(N(Tasks[[#This Row],[Duration]]),0.1),0)</f>
        <v>0</v>
      </c>
      <c r="CV183" s="41" t="n">
        <f aca="false">Tasks[[#This Row],[_WeightDur]]*Tasks[[#This Row],[_LeafProgress]]</f>
        <v>0</v>
      </c>
      <c r="CW18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8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8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8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83" s="41" t="str">
        <f aca="false">IF(Tasks[[#This Row],[Task Name]]="","",Tasks[[#This Row],[_Pred1UIDText]]&amp;IF(AND(Tasks[[#This Row],[_Pred1UIDText]]&lt;&gt;"",Tasks[[#This Row],[_Pred2UIDText]]&lt;&gt;""),",","")&amp;Tasks[[#This Row],[_Pred2UIDText]])</f>
        <v/>
      </c>
      <c r="DB183" s="41" t="str">
        <f aca="false">IF(AND(Tasks[[#This Row],[_IsLeaf]]=1,N(Tasks[[#This Row],[Duration]])=0,Tasks[[#This Row],[_LeafProgress]]&lt;1),Tasks[[#This Row],[_LeafFcstFinish]]+Tasks[[#This Row],[_Row]]/100000,"")</f>
        <v/>
      </c>
      <c r="DC18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83" s="41" t="n">
        <f aca="false">IF(NOT(Tasks[[#This Row],[_IsLeaf]]=1),0,IF(Tasks[[#This Row],[Baseline Cost]]="",Tasks[[#This Row],[_LeafCost]],N(Tasks[[#This Row],[Baseline Cost]])))</f>
        <v>0</v>
      </c>
      <c r="DE183" s="41" t="n">
        <f aca="false">Tasks[[#This Row],[_LeafBudget]]*Tasks[[#This Row],[_PlannedPct]]</f>
        <v>0</v>
      </c>
      <c r="DF183" s="41" t="n">
        <f aca="false">Tasks[[#This Row],[_LeafBudget]]*Tasks[[#This Row],[_LeafProgress]]</f>
        <v>0</v>
      </c>
      <c r="DG183" s="41" t="n">
        <f aca="false">IF(NOT(Tasks[[#This Row],[_IsLeaf]]=1),0,IF(Tasks[[#This Row],[Actual Cost]]="",Tasks[[#This Row],[_LeafCost]]*Tasks[[#This Row],[_LeafProgress]],N(Tasks[[#This Row],[Actual Cost]])))</f>
        <v>0</v>
      </c>
      <c r="DH183" s="41" t="str">
        <f aca="false">IF(Tasks[[#This Row],[Task Name]]="","",LEFT(Tasks[[#This Row],[WBS]],FIND(".",Tasks[[#This Row],[WBS]]&amp;".")-1))</f>
        <v/>
      </c>
      <c r="DI183" s="41" t="str">
        <f aca="false">IF(AND(Tasks[[#This Row],[Task Name]]&lt;&gt;"",Tasks[[#This Row],[_Level]]=1),Tasks[[#This Row],[_Row]],"")</f>
        <v/>
      </c>
      <c r="DJ183" s="41" t="str">
        <f aca="false">IF(AND(Tasks[[#This Row],[_IsLeaf]]=1,N(Tasks[[#This Row],[Duration]])=0),Tasks[[#This Row],[Planned Finish]]+Tasks[[#This Row],[_Row]]/100000,"")</f>
        <v/>
      </c>
      <c r="DK183" s="41" t="str">
        <f aca="false">IF(AND(Tasks[[#This Row],[_IsLeaf]]=1,Tasks[[#This Row],[_LeafProgress]]&lt;1,OR(N(Tasks[[#This Row],[Finish Var]])&gt;0,Tasks[[#This Row],[Status]]="Late Start")),MAX(0,Tasks[[#This Row],[Finish Var]])+1-Tasks[[#This Row],[_Row]]/1000000,"")</f>
        <v/>
      </c>
      <c r="DL183" s="41" t="str">
        <f aca="false">IF(AND(Tasks[[#This Row],[_IsLeaf]]=1,N(Tasks[[#This Row],[Actual Start]])=0,Tasks[[#This Row],[_LeafFcstStart]]&gt;=StatusDate,Tasks[[#This Row],[_LeafFcstStart]]&lt;=LookaheadEnd),Tasks[[#This Row],[_LeafFcstStart]]+Tasks[[#This Row],[_Row]]/100000,"")</f>
        <v/>
      </c>
      <c r="DM183" s="41" t="str">
        <f aca="false">IF(AND(Tasks[[#This Row],[_IsLeaf]]=1,Tasks[[#This Row],[_LeafProgress]]&lt;1,Tasks[[#This Row],[_LeafFcstFinish]]&gt;=StatusDate,Tasks[[#This Row],[_LeafFcstFinish]]&lt;=LookaheadEnd),Tasks[[#This Row],[_LeafFcstFinish]]+Tasks[[#This Row],[_Row]]/100000,"")</f>
        <v/>
      </c>
      <c r="DN183" s="41" t="str">
        <f aca="false">IF(Tasks[[#This Row],[_LeafCritical]],Tasks[[#This Row],[_LeafFcstStart]]+Tasks[[#This Row],[_Row]]/100000,"")</f>
        <v/>
      </c>
      <c r="DO183" s="41" t="n">
        <f aca="false">Tasks[[#This Row],[_LeafWork]]*Tasks[[#This Row],[_LeafProgress]]</f>
        <v>0</v>
      </c>
      <c r="DP183" s="100" t="str">
        <f aca="false">IF(AND(Tasks[[#This Row],[_IsLeaf]]=1,Tasks[[#This Row],[_LeafProgress]]&gt;=1),IF(N(Tasks[[#This Row],[Actual Finish]])&gt;0,Tasks[[#This Row],[Actual Finish]],Tasks[[#This Row],[_LeafFcstFinish]]),"")</f>
        <v/>
      </c>
      <c r="DQ183" s="41" t="n">
        <f aca="false">IF(Tasks[[#This Row],[_IsLeaf]]=1,N(Tasks[[#This Row],[Story Points]]),0)</f>
        <v>0</v>
      </c>
      <c r="DR183" s="41" t="str">
        <f aca="false">IF(AND(Tasks[[#This Row],[_IsLeaf]]=1,CurrentSprint&lt;&gt;"",Tasks[[#This Row],[Sprint]]=CurrentSprint),Tasks[[#This Row],[_Row]],"")</f>
        <v/>
      </c>
    </row>
    <row r="184" customFormat="false" ht="15" hidden="false" customHeight="false" outlineLevel="0" collapsed="false">
      <c r="A184" s="28" t="str">
        <f aca="false">IF(Tasks[[#This Row],[Task Name]]="","",COUNTA(Tasks[[#Headers],[Task Name]]:Tasks[[#This Row],[Task Name]])-1)</f>
        <v/>
      </c>
      <c r="B184" s="29" t="n">
        <v>179</v>
      </c>
      <c r="C18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4" s="29"/>
      <c r="E184" s="30"/>
      <c r="F184" s="29"/>
      <c r="G184" s="29"/>
      <c r="H184" s="29"/>
      <c r="I184" s="29"/>
      <c r="J184" s="29"/>
      <c r="K184" s="29"/>
      <c r="L184" s="29"/>
      <c r="M184" s="29"/>
      <c r="N184" s="73"/>
      <c r="O184" s="73"/>
      <c r="P184" s="25" t="str">
        <f aca="false">IF(Tasks[[#This Row],[Task Name]]="","",IF(N(Tasks[[#This Row],[Baseline Start]])&gt;0,Tasks[[#This Row],[Baseline Start]],Tasks[[#This Row],[_CalcStart]]))</f>
        <v/>
      </c>
      <c r="Q184" s="25" t="str">
        <f aca="false">IF(Tasks[[#This Row],[Task Name]]="","",IF(N(Tasks[[#This Row],[Baseline Finish]])&gt;0,Tasks[[#This Row],[Baseline Finish]],Tasks[[#This Row],[_CalcFinish]]))</f>
        <v/>
      </c>
      <c r="R184" s="73"/>
      <c r="S184" s="73"/>
      <c r="T184" s="25" t="str">
        <f aca="false">IF(Tasks[[#This Row],[Task Name]]="","",IF(Tasks[[#This Row],[_IsSummary]],MIN(INDEX(Tasks[_LeafFcstStart],Tasks[[#This Row],[_Row]]+1):INDEX(Tasks[_LeafFcstStart],Tasks[[#This Row],[_Row]]+Tasks[[#This Row],[_Descendants]])),Tasks[[#This Row],[_LeafFcstStart]]))</f>
        <v/>
      </c>
      <c r="U184" s="25" t="str">
        <f aca="false">IF(Tasks[[#This Row],[Task Name]]="","",IF(Tasks[[#This Row],[_IsSummary]],MAX(INDEX(Tasks[_LeafFcstFinish],Tasks[[#This Row],[_Row]]+1):INDEX(Tasks[_LeafFcstFinish],Tasks[[#This Row],[_Row]]+Tasks[[#This Row],[_Descendants]])),Tasks[[#This Row],[_LeafFcstFinish]]))</f>
        <v/>
      </c>
      <c r="V18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8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4" s="25" t="str">
        <f aca="false">IF(Tasks[[#This Row],[Task Name]]="","",IF(Tasks[[#This Row],[_IsSummary]],MIN(INDEX(Tasks[_LeafLateStart],Tasks[[#This Row],[_Row]]+1):INDEX(Tasks[_LeafLateStart],Tasks[[#This Row],[_Row]]+Tasks[[#This Row],[_Descendants]])),Tasks[[#This Row],[_LeafLateStart]]))</f>
        <v/>
      </c>
      <c r="Y184" s="25" t="str">
        <f aca="false">IF(Tasks[[#This Row],[Task Name]]="","",IF(Tasks[[#This Row],[_IsSummary]],MAX(INDEX(Tasks[_LeafLateFinish],Tasks[[#This Row],[_Row]]+1):INDEX(Tasks[_LeafLateFinish],Tasks[[#This Row],[_Row]]+Tasks[[#This Row],[_Descendants]])),Tasks[[#This Row],[_LeafLateFinish]]))</f>
        <v/>
      </c>
      <c r="Z184" s="43" t="str">
        <f aca="false">IF(Tasks[[#This Row],[Task Name]]="","",IF(Tasks[[#This Row],[_IsSummary]],MIN(INDEX(Tasks[_LeafTotalSlack],Tasks[[#This Row],[_Row]]+1):INDEX(Tasks[_LeafTotalSlack],Tasks[[#This Row],[_Row]]+Tasks[[#This Row],[_Descendants]])),Tasks[[#This Row],[_LeafTotalSlack]]))</f>
        <v/>
      </c>
      <c r="AA18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4" s="28" t="str">
        <f aca="false">IF(Tasks[[#This Row],[Task Name]]="","",IF(IF(Tasks[[#This Row],[_IsSummary]],COUNTIF(INDEX(Tasks[_LeafCritical],Tasks[[#This Row],[_Row]]+1):INDEX(Tasks[_LeafCritical],Tasks[[#This Row],[_Row]]+Tasks[[#This Row],[_Descendants]]),TRUE())&gt;0,Tasks[[#This Row],[_LeafCritical]]),"Yes",""))</f>
        <v/>
      </c>
      <c r="AC18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4" s="24" t="str">
        <f aca="false">IF(Tasks[[#This Row],[Task Name]]="","",TRIM(IF(Tasks[[#This Row],[_Pred1Problem]]&lt;&gt;"","Pred 1: "&amp;Tasks[[#This Row],[_Pred1Problem]]&amp;". ","")&amp;IF(Tasks[[#This Row],[_Pred2Problem]]&lt;&gt;"","Pred 2: "&amp;Tasks[[#This Row],[_Pred2Problem]]&amp;".","")))</f>
        <v/>
      </c>
      <c r="AE184" s="88"/>
      <c r="AF184"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4" s="28" t="str">
        <f aca="false">IF(Tasks[[#This Row],[Task Name]]="","",IF(Tasks[[#This Row],[Progress]]&gt;=1,"Complete",IF(OR(N(Tasks[[#This Row],[Actual Start]])&gt;0,Tasks[[#This Row],[Progress]]&gt;0),IF(Tasks[[#This Row],[Finish Var]]&gt;0,"Behind","In Progress"),IF(Tasks[[#This Row],[Planned Start]]&lt;StatusDate,"Late Start","Not Started"))))</f>
        <v/>
      </c>
      <c r="AH184" s="30"/>
      <c r="AI184" s="88"/>
      <c r="AJ184" s="95" t="str">
        <f aca="false">IF(Tasks[[#This Row],[Task Name]]="","",IF(Tasks[[#This Row],[_IsSummary]],SUM(INDEX(Tasks[_LeafWork],Tasks[[#This Row],[_Row]]+1):INDEX(Tasks[_LeafWork],Tasks[[#This Row],[_Row]]+Tasks[[#This Row],[_Descendants]])),Tasks[[#This Row],[_LeafWork]]))</f>
        <v/>
      </c>
      <c r="AK184" s="96" t="str">
        <f aca="false">IF(Tasks[[#This Row],[Task Name]]="","",IF(Tasks[[#This Row],[_IsSummary]],SUM(INDEX(Tasks[_LeafCost],Tasks[[#This Row],[_Row]]+1):INDEX(Tasks[_LeafCost],Tasks[[#This Row],[_Row]]+Tasks[[#This Row],[_Descendants]])),Tasks[[#This Row],[_LeafCost]]))</f>
        <v/>
      </c>
      <c r="AL184" s="97"/>
      <c r="AM184" s="29"/>
      <c r="AN18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84" s="82"/>
      <c r="AP184" s="24" t="str">
        <f aca="false">IF(Tasks[[#This Row],[Task Name]]="","",Tasks[[#This Row],[_Pred1IDText]]&amp;IF(AND(Tasks[[#This Row],[_Pred1IDText]]&lt;&gt;"",Tasks[[#This Row],[_Pred2IDText]]&lt;&gt;""),",","")&amp;Tasks[[#This Row],[_Pred2IDText]])</f>
        <v/>
      </c>
      <c r="AQ184" s="30"/>
      <c r="AR184" s="25" t="str">
        <f aca="false">IF(Tasks[[#This Row],[Task Name]]="","",Tasks[[#This Row],[Forecast Start]])</f>
        <v/>
      </c>
      <c r="AS184" s="25" t="str">
        <f aca="false">IF(Tasks[[#This Row],[Task Name]]="","",Tasks[[#This Row],[Forecast Finish]])</f>
        <v/>
      </c>
      <c r="AT184" s="28" t="str">
        <f aca="false">IF(Tasks[[#This Row],[Task Name]]="","",IF(Tasks[[#This Row],[_IsSummary]],NETWORKDAYS.INTL(Tasks[[#This Row],[Forecast Start]],Tasks[[#This Row],[Forecast Finish]],WorkWeek,Holidays),N(Tasks[[#This Row],[Duration]])))</f>
        <v/>
      </c>
      <c r="AU184" s="95" t="str">
        <f aca="false">IF(Tasks[[#This Row],[Task Name]]="","",Tasks[[#This Row],[Work]])</f>
        <v/>
      </c>
      <c r="AV184" s="96" t="str">
        <f aca="false">IF(Tasks[[#This Row],[Task Name]]="","",Tasks[[#This Row],[Cost]])</f>
        <v/>
      </c>
      <c r="AW184" s="73"/>
      <c r="AX184" s="73"/>
      <c r="AY184" s="29"/>
      <c r="AZ184" s="98"/>
      <c r="BA184" s="97"/>
      <c r="BB184" s="28" t="str">
        <f aca="false">IF(OR(Tasks[[#This Row],[Task Name]]="",Tasks[[#This Row],[Baseline Duration]]=""),"",Tasks[[#This Row],[BL Source Duration]]-N(Tasks[[#This Row],[Baseline Duration]]))</f>
        <v/>
      </c>
      <c r="BC184" s="95" t="str">
        <f aca="false">IF(OR(Tasks[[#This Row],[Task Name]]="",Tasks[[#This Row],[Baseline Work]]=""),"",Tasks[[#This Row],[Work]]-N(Tasks[[#This Row],[Baseline Work]]))</f>
        <v/>
      </c>
      <c r="BD184" s="96" t="str">
        <f aca="false">IF(OR(Tasks[[#This Row],[Task Name]]="",Tasks[[#This Row],[Baseline Cost]]=""),"",Tasks[[#This Row],[Cost]]-N(Tasks[[#This Row],[Baseline Cost]]))</f>
        <v/>
      </c>
      <c r="BE184" s="96" t="str">
        <f aca="false">IF(Tasks[[#This Row],[Task Name]]="","",IF(Tasks[[#This Row],[_IsSummary]],SUM(INDEX(Tasks[_LeafBudget],Tasks[[#This Row],[_Row]]+1):INDEX(Tasks[_LeafBudget],Tasks[[#This Row],[_Row]]+Tasks[[#This Row],[_Descendants]])),Tasks[[#This Row],[_LeafBudget]]))</f>
        <v/>
      </c>
      <c r="BF184" s="96" t="str">
        <f aca="false">IF(Tasks[[#This Row],[Task Name]]="","",IF(Tasks[[#This Row],[_IsSummary]],SUM(INDEX(Tasks[_LeafPV],Tasks[[#This Row],[_Row]]+1):INDEX(Tasks[_LeafPV],Tasks[[#This Row],[_Row]]+Tasks[[#This Row],[_Descendants]])),Tasks[[#This Row],[_LeafPV]]))</f>
        <v/>
      </c>
      <c r="BG184" s="96" t="str">
        <f aca="false">IF(Tasks[[#This Row],[Task Name]]="","",IF(Tasks[[#This Row],[_IsSummary]],SUM(INDEX(Tasks[_LeafEV],Tasks[[#This Row],[_Row]]+1):INDEX(Tasks[_LeafEV],Tasks[[#This Row],[_Row]]+Tasks[[#This Row],[_Descendants]])),Tasks[[#This Row],[_LeafEV]]))</f>
        <v/>
      </c>
      <c r="BH184" s="96" t="str">
        <f aca="false">IF(Tasks[[#This Row],[Task Name]]="","",IF(Tasks[[#This Row],[_IsSummary]],SUM(INDEX(Tasks[_LeafAC],Tasks[[#This Row],[_Row]]+1):INDEX(Tasks[_LeafAC],Tasks[[#This Row],[_Row]]+Tasks[[#This Row],[_Descendants]])),Tasks[[#This Row],[_LeafAC]]))</f>
        <v/>
      </c>
      <c r="BI184" s="41" t="str">
        <f aca="false">IF(Tasks[[#This Row],[Task Name]]="","",MAX(1,N(Tasks[[#This Row],[Level]])))</f>
        <v/>
      </c>
      <c r="BJ184" s="41" t="n">
        <f aca="false">ROW()-ROW(Tasks[[#Headers],[ID]])</f>
        <v>179</v>
      </c>
      <c r="BK184" s="41" t="n">
        <f aca="false">IF(OR(Tasks[[#This Row],[Task Name]]="",Tasks[[#This Row],[_Level]]&lt;=1),0,IFERROR(LOOKUP(2,1/(Tasks[[#Headers],[_Level]]:Tasks[[#This Row],[_Level]]=Tasks[[#This Row],[_Level]]-1),ROW(Tasks[[#Headers],[_Level]]:Tasks[[#This Row],[_Level]])),0))</f>
        <v>0</v>
      </c>
      <c r="BL184" s="41" t="n">
        <f aca="false">IFERROR(N(INDEX(Tasks[_Level],Tasks[[#This Row],[_Row]]+1)),0)</f>
        <v>0</v>
      </c>
      <c r="BM184" s="99" t="b">
        <f aca="false">AND(Tasks[[#This Row],[Task Name]]&lt;&gt;"",Tasks[[#This Row],[_NextLevel]]&gt;Tasks[[#This Row],[_Level]])</f>
        <v>0</v>
      </c>
      <c r="BN184" s="41" t="n">
        <f aca="false">IF(Tasks[[#This Row],[_IsSummary]],COUNTIF(Tasks[WBS],Tasks[[#This Row],[WBS]]&amp;".*"),0)</f>
        <v>0</v>
      </c>
      <c r="BO184" s="41" t="n">
        <f aca="false">IF(AND(Tasks[[#This Row],[Task Name]]&lt;&gt;"",NOT(Tasks[[#This Row],[_IsSummary]])),1,0)</f>
        <v>0</v>
      </c>
      <c r="BP184" s="41" t="n">
        <f aca="false">IF(N(Tasks[[#This Row],[Pred1 UID]])=0,0,IFERROR(MATCH(Tasks[[#This Row],[Pred1 UID]],Tasks[UID],0),-1))</f>
        <v>0</v>
      </c>
      <c r="BQ184" s="41" t="n">
        <f aca="false">IF(N(Tasks[[#This Row],[Pred2 UID]])=0,0,IFERROR(MATCH(Tasks[[#This Row],[Pred2 UID]],Tasks[UID],0),-1))</f>
        <v>0</v>
      </c>
      <c r="BR184"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84" s="100" t="str">
        <f aca="false">IF(NOT(Tasks[[#This Row],[_IsLeaf]]=1),"",IF(N(Tasks[[#This Row],[Duration]])&lt;=0,Tasks[[#This Row],[_LeafCalcStart]],WORKDAY.INTL(Tasks[[#This Row],[_LeafCalcStart]],Tasks[[#This Row],[Duration]]-1,WorkWeek,Holidays)))</f>
        <v/>
      </c>
      <c r="BT184"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84"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84" s="41" t="n">
        <f aca="false">IF(NOT(Tasks[[#This Row],[_IsLeaf]]=1),0,IF(N(Tasks[[#This Row],[Actual Finish]])&gt;0,1,MIN(1,N(Tasks[[#This Row],[% Complete]]))))</f>
        <v>0</v>
      </c>
      <c r="BW184" s="41" t="n">
        <f aca="false">IF(OR(NOT(Tasks[[#This Row],[_IsLeaf]]=1),Tasks[[#This Row],[Resource]]=""),0,N(Tasks[[#This Row],[Duration]])*HoursPerDay*IF(Tasks[[#This Row],[Units]]="",DefaultUnits,Tasks[[#This Row],[Units]]))</f>
        <v>0</v>
      </c>
      <c r="BX184" s="41" t="n">
        <f aca="false">IF(Tasks[[#This Row],[_LeafWork]]=0,0,Tasks[[#This Row],[_LeafWork]]*IFERROR(INDEX(res_Rate,MATCH(Tasks[[#This Row],[Resource]],res_Name,0)),0))</f>
        <v>0</v>
      </c>
      <c r="BY18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8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8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8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84" s="41" t="n">
        <f aca="false">IF(NOT(Tasks[[#This Row],[_IsLeaf]]=1),0,MAX(_xlfn.MAXIFS(Tasks[_Row],Tasks[Pred1 UID],Tasks[[#This Row],[UID]]),_xlfn.MAXIFS(Tasks[_Row],Tasks[Pred2 UID],Tasks[[#This Row],[UID]])))</f>
        <v>0</v>
      </c>
      <c r="CD184"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84" s="100" t="str">
        <f aca="false">IF(NOT(Tasks[[#This Row],[_IsLeaf]]=1),"",MIN(ProjectFinish,IF(N(Tasks[[#This Row],[Deadline]])&gt;0,Tasks[[#This Row],[Deadline]],2958465),Tasks[[#This Row],[_SuccessorFinishLimit]]))</f>
        <v/>
      </c>
      <c r="CF184" s="100" t="str">
        <f aca="false">IF(NOT(Tasks[[#This Row],[_IsLeaf]]=1),"",IF(N(Tasks[[#This Row],[Duration]])&lt;=0,Tasks[[#This Row],[_LeafLateFinish]],WORKDAY.INTL(Tasks[[#This Row],[_LeafLateFinish]],-(Tasks[[#This Row],[Duration]]-1),WorkWeek,Holidays)))</f>
        <v/>
      </c>
      <c r="CG18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84" s="99" t="b">
        <f aca="false">AND(Tasks[[#This Row],[_IsLeaf]]=1,Tasks[[#This Row],[_LeafProgress]]&lt;1,N(Tasks[[#This Row],[_LeafTotalSlack]])&lt;=CriticalSlackDays)</f>
        <v>0</v>
      </c>
      <c r="CI184" s="100" t="str">
        <f aca="false">IF(Tasks[[#This Row],[Task Name]]="","",IF(Tasks[[#This Row],[_IsSummary]],MIN(INDEX(Tasks[_LeafCalcStart],Tasks[[#This Row],[_Row]]+1):INDEX(Tasks[_LeafCalcStart],Tasks[[#This Row],[_Row]]+Tasks[[#This Row],[_Descendants]])),Tasks[[#This Row],[_LeafCalcStart]]))</f>
        <v/>
      </c>
      <c r="CJ184" s="100" t="str">
        <f aca="false">IF(Tasks[[#This Row],[Task Name]]="","",IF(Tasks[[#This Row],[_IsSummary]],MAX(INDEX(Tasks[_LeafCalcFinish],Tasks[[#This Row],[_Row]]+1):INDEX(Tasks[_LeafCalcFinish],Tasks[[#This Row],[_Row]]+Tasks[[#This Row],[_Descendants]])),Tasks[[#This Row],[_LeafCalcFinish]]))</f>
        <v/>
      </c>
      <c r="CK18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8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84"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84"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84"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84"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84" s="41" t="n">
        <f aca="false">IF(AND(Tasks[[#This Row],[_IsLeaf]]=1,Tasks[[#This Row],[_LeafWork]]&gt;0),NETWORKDAYS.INTL(ProjectStart,Tasks[[#This Row],[_LeafFcstStart]],WorkWeek,Holidays),0)</f>
        <v>0</v>
      </c>
      <c r="CR184" s="41" t="n">
        <f aca="false">IF(AND(Tasks[[#This Row],[_IsLeaf]]=1,Tasks[[#This Row],[_LeafWork]]&gt;0),MAX(Tasks[[#This Row],[_StartWorkday]],NETWORKDAYS.INTL(ProjectStart,Tasks[[#This Row],[_LeafFcstFinish]],WorkWeek,Holidays)),0)</f>
        <v>0</v>
      </c>
      <c r="CS184" s="41" t="n">
        <f aca="false">IF(AND(Tasks[[#This Row],[_IsLeaf]]=1,Tasks[[#This Row],[_LeafWork]]&gt;0),Tasks[[#This Row],[_LeafWork]]/(Tasks[[#This Row],[_FinishWorkday]]-Tasks[[#This Row],[_StartWorkday]]+1),0)</f>
        <v>0</v>
      </c>
      <c r="CT184" s="41" t="n">
        <f aca="false">Tasks[[#This Row],[_WorkPerWorkday]]*(Tasks[[#This Row],[_StartWorkday]]-1)</f>
        <v>-0</v>
      </c>
      <c r="CU184" s="41" t="n">
        <f aca="false">IF(Tasks[[#This Row],[_IsLeaf]]=1,MAX(N(Tasks[[#This Row],[Duration]]),0.1),0)</f>
        <v>0</v>
      </c>
      <c r="CV184" s="41" t="n">
        <f aca="false">Tasks[[#This Row],[_WeightDur]]*Tasks[[#This Row],[_LeafProgress]]</f>
        <v>0</v>
      </c>
      <c r="CW18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8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8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8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84" s="41" t="str">
        <f aca="false">IF(Tasks[[#This Row],[Task Name]]="","",Tasks[[#This Row],[_Pred1UIDText]]&amp;IF(AND(Tasks[[#This Row],[_Pred1UIDText]]&lt;&gt;"",Tasks[[#This Row],[_Pred2UIDText]]&lt;&gt;""),",","")&amp;Tasks[[#This Row],[_Pred2UIDText]])</f>
        <v/>
      </c>
      <c r="DB184" s="41" t="str">
        <f aca="false">IF(AND(Tasks[[#This Row],[_IsLeaf]]=1,N(Tasks[[#This Row],[Duration]])=0,Tasks[[#This Row],[_LeafProgress]]&lt;1),Tasks[[#This Row],[_LeafFcstFinish]]+Tasks[[#This Row],[_Row]]/100000,"")</f>
        <v/>
      </c>
      <c r="DC18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84" s="41" t="n">
        <f aca="false">IF(NOT(Tasks[[#This Row],[_IsLeaf]]=1),0,IF(Tasks[[#This Row],[Baseline Cost]]="",Tasks[[#This Row],[_LeafCost]],N(Tasks[[#This Row],[Baseline Cost]])))</f>
        <v>0</v>
      </c>
      <c r="DE184" s="41" t="n">
        <f aca="false">Tasks[[#This Row],[_LeafBudget]]*Tasks[[#This Row],[_PlannedPct]]</f>
        <v>0</v>
      </c>
      <c r="DF184" s="41" t="n">
        <f aca="false">Tasks[[#This Row],[_LeafBudget]]*Tasks[[#This Row],[_LeafProgress]]</f>
        <v>0</v>
      </c>
      <c r="DG184" s="41" t="n">
        <f aca="false">IF(NOT(Tasks[[#This Row],[_IsLeaf]]=1),0,IF(Tasks[[#This Row],[Actual Cost]]="",Tasks[[#This Row],[_LeafCost]]*Tasks[[#This Row],[_LeafProgress]],N(Tasks[[#This Row],[Actual Cost]])))</f>
        <v>0</v>
      </c>
      <c r="DH184" s="41" t="str">
        <f aca="false">IF(Tasks[[#This Row],[Task Name]]="","",LEFT(Tasks[[#This Row],[WBS]],FIND(".",Tasks[[#This Row],[WBS]]&amp;".")-1))</f>
        <v/>
      </c>
      <c r="DI184" s="41" t="str">
        <f aca="false">IF(AND(Tasks[[#This Row],[Task Name]]&lt;&gt;"",Tasks[[#This Row],[_Level]]=1),Tasks[[#This Row],[_Row]],"")</f>
        <v/>
      </c>
      <c r="DJ184" s="41" t="str">
        <f aca="false">IF(AND(Tasks[[#This Row],[_IsLeaf]]=1,N(Tasks[[#This Row],[Duration]])=0),Tasks[[#This Row],[Planned Finish]]+Tasks[[#This Row],[_Row]]/100000,"")</f>
        <v/>
      </c>
      <c r="DK184" s="41" t="str">
        <f aca="false">IF(AND(Tasks[[#This Row],[_IsLeaf]]=1,Tasks[[#This Row],[_LeafProgress]]&lt;1,OR(N(Tasks[[#This Row],[Finish Var]])&gt;0,Tasks[[#This Row],[Status]]="Late Start")),MAX(0,Tasks[[#This Row],[Finish Var]])+1-Tasks[[#This Row],[_Row]]/1000000,"")</f>
        <v/>
      </c>
      <c r="DL184" s="41" t="str">
        <f aca="false">IF(AND(Tasks[[#This Row],[_IsLeaf]]=1,N(Tasks[[#This Row],[Actual Start]])=0,Tasks[[#This Row],[_LeafFcstStart]]&gt;=StatusDate,Tasks[[#This Row],[_LeafFcstStart]]&lt;=LookaheadEnd),Tasks[[#This Row],[_LeafFcstStart]]+Tasks[[#This Row],[_Row]]/100000,"")</f>
        <v/>
      </c>
      <c r="DM184" s="41" t="str">
        <f aca="false">IF(AND(Tasks[[#This Row],[_IsLeaf]]=1,Tasks[[#This Row],[_LeafProgress]]&lt;1,Tasks[[#This Row],[_LeafFcstFinish]]&gt;=StatusDate,Tasks[[#This Row],[_LeafFcstFinish]]&lt;=LookaheadEnd),Tasks[[#This Row],[_LeafFcstFinish]]+Tasks[[#This Row],[_Row]]/100000,"")</f>
        <v/>
      </c>
      <c r="DN184" s="41" t="str">
        <f aca="false">IF(Tasks[[#This Row],[_LeafCritical]],Tasks[[#This Row],[_LeafFcstStart]]+Tasks[[#This Row],[_Row]]/100000,"")</f>
        <v/>
      </c>
      <c r="DO184" s="41" t="n">
        <f aca="false">Tasks[[#This Row],[_LeafWork]]*Tasks[[#This Row],[_LeafProgress]]</f>
        <v>0</v>
      </c>
      <c r="DP184" s="100" t="str">
        <f aca="false">IF(AND(Tasks[[#This Row],[_IsLeaf]]=1,Tasks[[#This Row],[_LeafProgress]]&gt;=1),IF(N(Tasks[[#This Row],[Actual Finish]])&gt;0,Tasks[[#This Row],[Actual Finish]],Tasks[[#This Row],[_LeafFcstFinish]]),"")</f>
        <v/>
      </c>
      <c r="DQ184" s="41" t="n">
        <f aca="false">IF(Tasks[[#This Row],[_IsLeaf]]=1,N(Tasks[[#This Row],[Story Points]]),0)</f>
        <v>0</v>
      </c>
      <c r="DR184" s="41" t="str">
        <f aca="false">IF(AND(Tasks[[#This Row],[_IsLeaf]]=1,CurrentSprint&lt;&gt;"",Tasks[[#This Row],[Sprint]]=CurrentSprint),Tasks[[#This Row],[_Row]],"")</f>
        <v/>
      </c>
    </row>
    <row r="185" customFormat="false" ht="15" hidden="false" customHeight="false" outlineLevel="0" collapsed="false">
      <c r="A185" s="28" t="str">
        <f aca="false">IF(Tasks[[#This Row],[Task Name]]="","",COUNTA(Tasks[[#Headers],[Task Name]]:Tasks[[#This Row],[Task Name]])-1)</f>
        <v/>
      </c>
      <c r="B185" s="29" t="n">
        <v>180</v>
      </c>
      <c r="C18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5" s="29"/>
      <c r="E185" s="30"/>
      <c r="F185" s="29"/>
      <c r="G185" s="29"/>
      <c r="H185" s="29"/>
      <c r="I185" s="29"/>
      <c r="J185" s="29"/>
      <c r="K185" s="29"/>
      <c r="L185" s="29"/>
      <c r="M185" s="29"/>
      <c r="N185" s="73"/>
      <c r="O185" s="73"/>
      <c r="P185" s="25" t="str">
        <f aca="false">IF(Tasks[[#This Row],[Task Name]]="","",IF(N(Tasks[[#This Row],[Baseline Start]])&gt;0,Tasks[[#This Row],[Baseline Start]],Tasks[[#This Row],[_CalcStart]]))</f>
        <v/>
      </c>
      <c r="Q185" s="25" t="str">
        <f aca="false">IF(Tasks[[#This Row],[Task Name]]="","",IF(N(Tasks[[#This Row],[Baseline Finish]])&gt;0,Tasks[[#This Row],[Baseline Finish]],Tasks[[#This Row],[_CalcFinish]]))</f>
        <v/>
      </c>
      <c r="R185" s="73"/>
      <c r="S185" s="73"/>
      <c r="T185" s="25" t="str">
        <f aca="false">IF(Tasks[[#This Row],[Task Name]]="","",IF(Tasks[[#This Row],[_IsSummary]],MIN(INDEX(Tasks[_LeafFcstStart],Tasks[[#This Row],[_Row]]+1):INDEX(Tasks[_LeafFcstStart],Tasks[[#This Row],[_Row]]+Tasks[[#This Row],[_Descendants]])),Tasks[[#This Row],[_LeafFcstStart]]))</f>
        <v/>
      </c>
      <c r="U185" s="25" t="str">
        <f aca="false">IF(Tasks[[#This Row],[Task Name]]="","",IF(Tasks[[#This Row],[_IsSummary]],MAX(INDEX(Tasks[_LeafFcstFinish],Tasks[[#This Row],[_Row]]+1):INDEX(Tasks[_LeafFcstFinish],Tasks[[#This Row],[_Row]]+Tasks[[#This Row],[_Descendants]])),Tasks[[#This Row],[_LeafFcstFinish]]))</f>
        <v/>
      </c>
      <c r="V18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8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5" s="25" t="str">
        <f aca="false">IF(Tasks[[#This Row],[Task Name]]="","",IF(Tasks[[#This Row],[_IsSummary]],MIN(INDEX(Tasks[_LeafLateStart],Tasks[[#This Row],[_Row]]+1):INDEX(Tasks[_LeafLateStart],Tasks[[#This Row],[_Row]]+Tasks[[#This Row],[_Descendants]])),Tasks[[#This Row],[_LeafLateStart]]))</f>
        <v/>
      </c>
      <c r="Y185" s="25" t="str">
        <f aca="false">IF(Tasks[[#This Row],[Task Name]]="","",IF(Tasks[[#This Row],[_IsSummary]],MAX(INDEX(Tasks[_LeafLateFinish],Tasks[[#This Row],[_Row]]+1):INDEX(Tasks[_LeafLateFinish],Tasks[[#This Row],[_Row]]+Tasks[[#This Row],[_Descendants]])),Tasks[[#This Row],[_LeafLateFinish]]))</f>
        <v/>
      </c>
      <c r="Z185" s="43" t="str">
        <f aca="false">IF(Tasks[[#This Row],[Task Name]]="","",IF(Tasks[[#This Row],[_IsSummary]],MIN(INDEX(Tasks[_LeafTotalSlack],Tasks[[#This Row],[_Row]]+1):INDEX(Tasks[_LeafTotalSlack],Tasks[[#This Row],[_Row]]+Tasks[[#This Row],[_Descendants]])),Tasks[[#This Row],[_LeafTotalSlack]]))</f>
        <v/>
      </c>
      <c r="AA18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5" s="28" t="str">
        <f aca="false">IF(Tasks[[#This Row],[Task Name]]="","",IF(IF(Tasks[[#This Row],[_IsSummary]],COUNTIF(INDEX(Tasks[_LeafCritical],Tasks[[#This Row],[_Row]]+1):INDEX(Tasks[_LeafCritical],Tasks[[#This Row],[_Row]]+Tasks[[#This Row],[_Descendants]]),TRUE())&gt;0,Tasks[[#This Row],[_LeafCritical]]),"Yes",""))</f>
        <v/>
      </c>
      <c r="AC18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5" s="24" t="str">
        <f aca="false">IF(Tasks[[#This Row],[Task Name]]="","",TRIM(IF(Tasks[[#This Row],[_Pred1Problem]]&lt;&gt;"","Pred 1: "&amp;Tasks[[#This Row],[_Pred1Problem]]&amp;". ","")&amp;IF(Tasks[[#This Row],[_Pred2Problem]]&lt;&gt;"","Pred 2: "&amp;Tasks[[#This Row],[_Pred2Problem]]&amp;".","")))</f>
        <v/>
      </c>
      <c r="AE185" s="88"/>
      <c r="AF185"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5" s="28" t="str">
        <f aca="false">IF(Tasks[[#This Row],[Task Name]]="","",IF(Tasks[[#This Row],[Progress]]&gt;=1,"Complete",IF(OR(N(Tasks[[#This Row],[Actual Start]])&gt;0,Tasks[[#This Row],[Progress]]&gt;0),IF(Tasks[[#This Row],[Finish Var]]&gt;0,"Behind","In Progress"),IF(Tasks[[#This Row],[Planned Start]]&lt;StatusDate,"Late Start","Not Started"))))</f>
        <v/>
      </c>
      <c r="AH185" s="30"/>
      <c r="AI185" s="88"/>
      <c r="AJ185" s="95" t="str">
        <f aca="false">IF(Tasks[[#This Row],[Task Name]]="","",IF(Tasks[[#This Row],[_IsSummary]],SUM(INDEX(Tasks[_LeafWork],Tasks[[#This Row],[_Row]]+1):INDEX(Tasks[_LeafWork],Tasks[[#This Row],[_Row]]+Tasks[[#This Row],[_Descendants]])),Tasks[[#This Row],[_LeafWork]]))</f>
        <v/>
      </c>
      <c r="AK185" s="96" t="str">
        <f aca="false">IF(Tasks[[#This Row],[Task Name]]="","",IF(Tasks[[#This Row],[_IsSummary]],SUM(INDEX(Tasks[_LeafCost],Tasks[[#This Row],[_Row]]+1):INDEX(Tasks[_LeafCost],Tasks[[#This Row],[_Row]]+Tasks[[#This Row],[_Descendants]])),Tasks[[#This Row],[_LeafCost]]))</f>
        <v/>
      </c>
      <c r="AL185" s="97"/>
      <c r="AM185" s="29"/>
      <c r="AN18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85" s="82"/>
      <c r="AP185" s="24" t="str">
        <f aca="false">IF(Tasks[[#This Row],[Task Name]]="","",Tasks[[#This Row],[_Pred1IDText]]&amp;IF(AND(Tasks[[#This Row],[_Pred1IDText]]&lt;&gt;"",Tasks[[#This Row],[_Pred2IDText]]&lt;&gt;""),",","")&amp;Tasks[[#This Row],[_Pred2IDText]])</f>
        <v/>
      </c>
      <c r="AQ185" s="30"/>
      <c r="AR185" s="25" t="str">
        <f aca="false">IF(Tasks[[#This Row],[Task Name]]="","",Tasks[[#This Row],[Forecast Start]])</f>
        <v/>
      </c>
      <c r="AS185" s="25" t="str">
        <f aca="false">IF(Tasks[[#This Row],[Task Name]]="","",Tasks[[#This Row],[Forecast Finish]])</f>
        <v/>
      </c>
      <c r="AT185" s="28" t="str">
        <f aca="false">IF(Tasks[[#This Row],[Task Name]]="","",IF(Tasks[[#This Row],[_IsSummary]],NETWORKDAYS.INTL(Tasks[[#This Row],[Forecast Start]],Tasks[[#This Row],[Forecast Finish]],WorkWeek,Holidays),N(Tasks[[#This Row],[Duration]])))</f>
        <v/>
      </c>
      <c r="AU185" s="95" t="str">
        <f aca="false">IF(Tasks[[#This Row],[Task Name]]="","",Tasks[[#This Row],[Work]])</f>
        <v/>
      </c>
      <c r="AV185" s="96" t="str">
        <f aca="false">IF(Tasks[[#This Row],[Task Name]]="","",Tasks[[#This Row],[Cost]])</f>
        <v/>
      </c>
      <c r="AW185" s="73"/>
      <c r="AX185" s="73"/>
      <c r="AY185" s="29"/>
      <c r="AZ185" s="98"/>
      <c r="BA185" s="97"/>
      <c r="BB185" s="28" t="str">
        <f aca="false">IF(OR(Tasks[[#This Row],[Task Name]]="",Tasks[[#This Row],[Baseline Duration]]=""),"",Tasks[[#This Row],[BL Source Duration]]-N(Tasks[[#This Row],[Baseline Duration]]))</f>
        <v/>
      </c>
      <c r="BC185" s="95" t="str">
        <f aca="false">IF(OR(Tasks[[#This Row],[Task Name]]="",Tasks[[#This Row],[Baseline Work]]=""),"",Tasks[[#This Row],[Work]]-N(Tasks[[#This Row],[Baseline Work]]))</f>
        <v/>
      </c>
      <c r="BD185" s="96" t="str">
        <f aca="false">IF(OR(Tasks[[#This Row],[Task Name]]="",Tasks[[#This Row],[Baseline Cost]]=""),"",Tasks[[#This Row],[Cost]]-N(Tasks[[#This Row],[Baseline Cost]]))</f>
        <v/>
      </c>
      <c r="BE185" s="96" t="str">
        <f aca="false">IF(Tasks[[#This Row],[Task Name]]="","",IF(Tasks[[#This Row],[_IsSummary]],SUM(INDEX(Tasks[_LeafBudget],Tasks[[#This Row],[_Row]]+1):INDEX(Tasks[_LeafBudget],Tasks[[#This Row],[_Row]]+Tasks[[#This Row],[_Descendants]])),Tasks[[#This Row],[_LeafBudget]]))</f>
        <v/>
      </c>
      <c r="BF185" s="96" t="str">
        <f aca="false">IF(Tasks[[#This Row],[Task Name]]="","",IF(Tasks[[#This Row],[_IsSummary]],SUM(INDEX(Tasks[_LeafPV],Tasks[[#This Row],[_Row]]+1):INDEX(Tasks[_LeafPV],Tasks[[#This Row],[_Row]]+Tasks[[#This Row],[_Descendants]])),Tasks[[#This Row],[_LeafPV]]))</f>
        <v/>
      </c>
      <c r="BG185" s="96" t="str">
        <f aca="false">IF(Tasks[[#This Row],[Task Name]]="","",IF(Tasks[[#This Row],[_IsSummary]],SUM(INDEX(Tasks[_LeafEV],Tasks[[#This Row],[_Row]]+1):INDEX(Tasks[_LeafEV],Tasks[[#This Row],[_Row]]+Tasks[[#This Row],[_Descendants]])),Tasks[[#This Row],[_LeafEV]]))</f>
        <v/>
      </c>
      <c r="BH185" s="96" t="str">
        <f aca="false">IF(Tasks[[#This Row],[Task Name]]="","",IF(Tasks[[#This Row],[_IsSummary]],SUM(INDEX(Tasks[_LeafAC],Tasks[[#This Row],[_Row]]+1):INDEX(Tasks[_LeafAC],Tasks[[#This Row],[_Row]]+Tasks[[#This Row],[_Descendants]])),Tasks[[#This Row],[_LeafAC]]))</f>
        <v/>
      </c>
      <c r="BI185" s="41" t="str">
        <f aca="false">IF(Tasks[[#This Row],[Task Name]]="","",MAX(1,N(Tasks[[#This Row],[Level]])))</f>
        <v/>
      </c>
      <c r="BJ185" s="41" t="n">
        <f aca="false">ROW()-ROW(Tasks[[#Headers],[ID]])</f>
        <v>180</v>
      </c>
      <c r="BK185" s="41" t="n">
        <f aca="false">IF(OR(Tasks[[#This Row],[Task Name]]="",Tasks[[#This Row],[_Level]]&lt;=1),0,IFERROR(LOOKUP(2,1/(Tasks[[#Headers],[_Level]]:Tasks[[#This Row],[_Level]]=Tasks[[#This Row],[_Level]]-1),ROW(Tasks[[#Headers],[_Level]]:Tasks[[#This Row],[_Level]])),0))</f>
        <v>0</v>
      </c>
      <c r="BL185" s="41" t="n">
        <f aca="false">IFERROR(N(INDEX(Tasks[_Level],Tasks[[#This Row],[_Row]]+1)),0)</f>
        <v>0</v>
      </c>
      <c r="BM185" s="99" t="b">
        <f aca="false">AND(Tasks[[#This Row],[Task Name]]&lt;&gt;"",Tasks[[#This Row],[_NextLevel]]&gt;Tasks[[#This Row],[_Level]])</f>
        <v>0</v>
      </c>
      <c r="BN185" s="41" t="n">
        <f aca="false">IF(Tasks[[#This Row],[_IsSummary]],COUNTIF(Tasks[WBS],Tasks[[#This Row],[WBS]]&amp;".*"),0)</f>
        <v>0</v>
      </c>
      <c r="BO185" s="41" t="n">
        <f aca="false">IF(AND(Tasks[[#This Row],[Task Name]]&lt;&gt;"",NOT(Tasks[[#This Row],[_IsSummary]])),1,0)</f>
        <v>0</v>
      </c>
      <c r="BP185" s="41" t="n">
        <f aca="false">IF(N(Tasks[[#This Row],[Pred1 UID]])=0,0,IFERROR(MATCH(Tasks[[#This Row],[Pred1 UID]],Tasks[UID],0),-1))</f>
        <v>0</v>
      </c>
      <c r="BQ185" s="41" t="n">
        <f aca="false">IF(N(Tasks[[#This Row],[Pred2 UID]])=0,0,IFERROR(MATCH(Tasks[[#This Row],[Pred2 UID]],Tasks[UID],0),-1))</f>
        <v>0</v>
      </c>
      <c r="BR185"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85" s="100" t="str">
        <f aca="false">IF(NOT(Tasks[[#This Row],[_IsLeaf]]=1),"",IF(N(Tasks[[#This Row],[Duration]])&lt;=0,Tasks[[#This Row],[_LeafCalcStart]],WORKDAY.INTL(Tasks[[#This Row],[_LeafCalcStart]],Tasks[[#This Row],[Duration]]-1,WorkWeek,Holidays)))</f>
        <v/>
      </c>
      <c r="BT185"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85"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85" s="41" t="n">
        <f aca="false">IF(NOT(Tasks[[#This Row],[_IsLeaf]]=1),0,IF(N(Tasks[[#This Row],[Actual Finish]])&gt;0,1,MIN(1,N(Tasks[[#This Row],[% Complete]]))))</f>
        <v>0</v>
      </c>
      <c r="BW185" s="41" t="n">
        <f aca="false">IF(OR(NOT(Tasks[[#This Row],[_IsLeaf]]=1),Tasks[[#This Row],[Resource]]=""),0,N(Tasks[[#This Row],[Duration]])*HoursPerDay*IF(Tasks[[#This Row],[Units]]="",DefaultUnits,Tasks[[#This Row],[Units]]))</f>
        <v>0</v>
      </c>
      <c r="BX185" s="41" t="n">
        <f aca="false">IF(Tasks[[#This Row],[_LeafWork]]=0,0,Tasks[[#This Row],[_LeafWork]]*IFERROR(INDEX(res_Rate,MATCH(Tasks[[#This Row],[Resource]],res_Name,0)),0))</f>
        <v>0</v>
      </c>
      <c r="BY18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8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8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8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85" s="41" t="n">
        <f aca="false">IF(NOT(Tasks[[#This Row],[_IsLeaf]]=1),0,MAX(_xlfn.MAXIFS(Tasks[_Row],Tasks[Pred1 UID],Tasks[[#This Row],[UID]]),_xlfn.MAXIFS(Tasks[_Row],Tasks[Pred2 UID],Tasks[[#This Row],[UID]])))</f>
        <v>0</v>
      </c>
      <c r="CD185"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85" s="100" t="str">
        <f aca="false">IF(NOT(Tasks[[#This Row],[_IsLeaf]]=1),"",MIN(ProjectFinish,IF(N(Tasks[[#This Row],[Deadline]])&gt;0,Tasks[[#This Row],[Deadline]],2958465),Tasks[[#This Row],[_SuccessorFinishLimit]]))</f>
        <v/>
      </c>
      <c r="CF185" s="100" t="str">
        <f aca="false">IF(NOT(Tasks[[#This Row],[_IsLeaf]]=1),"",IF(N(Tasks[[#This Row],[Duration]])&lt;=0,Tasks[[#This Row],[_LeafLateFinish]],WORKDAY.INTL(Tasks[[#This Row],[_LeafLateFinish]],-(Tasks[[#This Row],[Duration]]-1),WorkWeek,Holidays)))</f>
        <v/>
      </c>
      <c r="CG18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85" s="99" t="b">
        <f aca="false">AND(Tasks[[#This Row],[_IsLeaf]]=1,Tasks[[#This Row],[_LeafProgress]]&lt;1,N(Tasks[[#This Row],[_LeafTotalSlack]])&lt;=CriticalSlackDays)</f>
        <v>0</v>
      </c>
      <c r="CI185" s="100" t="str">
        <f aca="false">IF(Tasks[[#This Row],[Task Name]]="","",IF(Tasks[[#This Row],[_IsSummary]],MIN(INDEX(Tasks[_LeafCalcStart],Tasks[[#This Row],[_Row]]+1):INDEX(Tasks[_LeafCalcStart],Tasks[[#This Row],[_Row]]+Tasks[[#This Row],[_Descendants]])),Tasks[[#This Row],[_LeafCalcStart]]))</f>
        <v/>
      </c>
      <c r="CJ185" s="100" t="str">
        <f aca="false">IF(Tasks[[#This Row],[Task Name]]="","",IF(Tasks[[#This Row],[_IsSummary]],MAX(INDEX(Tasks[_LeafCalcFinish],Tasks[[#This Row],[_Row]]+1):INDEX(Tasks[_LeafCalcFinish],Tasks[[#This Row],[_Row]]+Tasks[[#This Row],[_Descendants]])),Tasks[[#This Row],[_LeafCalcFinish]]))</f>
        <v/>
      </c>
      <c r="CK18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8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85"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85"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85"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85"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85" s="41" t="n">
        <f aca="false">IF(AND(Tasks[[#This Row],[_IsLeaf]]=1,Tasks[[#This Row],[_LeafWork]]&gt;0),NETWORKDAYS.INTL(ProjectStart,Tasks[[#This Row],[_LeafFcstStart]],WorkWeek,Holidays),0)</f>
        <v>0</v>
      </c>
      <c r="CR185" s="41" t="n">
        <f aca="false">IF(AND(Tasks[[#This Row],[_IsLeaf]]=1,Tasks[[#This Row],[_LeafWork]]&gt;0),MAX(Tasks[[#This Row],[_StartWorkday]],NETWORKDAYS.INTL(ProjectStart,Tasks[[#This Row],[_LeafFcstFinish]],WorkWeek,Holidays)),0)</f>
        <v>0</v>
      </c>
      <c r="CS185" s="41" t="n">
        <f aca="false">IF(AND(Tasks[[#This Row],[_IsLeaf]]=1,Tasks[[#This Row],[_LeafWork]]&gt;0),Tasks[[#This Row],[_LeafWork]]/(Tasks[[#This Row],[_FinishWorkday]]-Tasks[[#This Row],[_StartWorkday]]+1),0)</f>
        <v>0</v>
      </c>
      <c r="CT185" s="41" t="n">
        <f aca="false">Tasks[[#This Row],[_WorkPerWorkday]]*(Tasks[[#This Row],[_StartWorkday]]-1)</f>
        <v>-0</v>
      </c>
      <c r="CU185" s="41" t="n">
        <f aca="false">IF(Tasks[[#This Row],[_IsLeaf]]=1,MAX(N(Tasks[[#This Row],[Duration]]),0.1),0)</f>
        <v>0</v>
      </c>
      <c r="CV185" s="41" t="n">
        <f aca="false">Tasks[[#This Row],[_WeightDur]]*Tasks[[#This Row],[_LeafProgress]]</f>
        <v>0</v>
      </c>
      <c r="CW18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8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8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8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85" s="41" t="str">
        <f aca="false">IF(Tasks[[#This Row],[Task Name]]="","",Tasks[[#This Row],[_Pred1UIDText]]&amp;IF(AND(Tasks[[#This Row],[_Pred1UIDText]]&lt;&gt;"",Tasks[[#This Row],[_Pred2UIDText]]&lt;&gt;""),",","")&amp;Tasks[[#This Row],[_Pred2UIDText]])</f>
        <v/>
      </c>
      <c r="DB185" s="41" t="str">
        <f aca="false">IF(AND(Tasks[[#This Row],[_IsLeaf]]=1,N(Tasks[[#This Row],[Duration]])=0,Tasks[[#This Row],[_LeafProgress]]&lt;1),Tasks[[#This Row],[_LeafFcstFinish]]+Tasks[[#This Row],[_Row]]/100000,"")</f>
        <v/>
      </c>
      <c r="DC18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85" s="41" t="n">
        <f aca="false">IF(NOT(Tasks[[#This Row],[_IsLeaf]]=1),0,IF(Tasks[[#This Row],[Baseline Cost]]="",Tasks[[#This Row],[_LeafCost]],N(Tasks[[#This Row],[Baseline Cost]])))</f>
        <v>0</v>
      </c>
      <c r="DE185" s="41" t="n">
        <f aca="false">Tasks[[#This Row],[_LeafBudget]]*Tasks[[#This Row],[_PlannedPct]]</f>
        <v>0</v>
      </c>
      <c r="DF185" s="41" t="n">
        <f aca="false">Tasks[[#This Row],[_LeafBudget]]*Tasks[[#This Row],[_LeafProgress]]</f>
        <v>0</v>
      </c>
      <c r="DG185" s="41" t="n">
        <f aca="false">IF(NOT(Tasks[[#This Row],[_IsLeaf]]=1),0,IF(Tasks[[#This Row],[Actual Cost]]="",Tasks[[#This Row],[_LeafCost]]*Tasks[[#This Row],[_LeafProgress]],N(Tasks[[#This Row],[Actual Cost]])))</f>
        <v>0</v>
      </c>
      <c r="DH185" s="41" t="str">
        <f aca="false">IF(Tasks[[#This Row],[Task Name]]="","",LEFT(Tasks[[#This Row],[WBS]],FIND(".",Tasks[[#This Row],[WBS]]&amp;".")-1))</f>
        <v/>
      </c>
      <c r="DI185" s="41" t="str">
        <f aca="false">IF(AND(Tasks[[#This Row],[Task Name]]&lt;&gt;"",Tasks[[#This Row],[_Level]]=1),Tasks[[#This Row],[_Row]],"")</f>
        <v/>
      </c>
      <c r="DJ185" s="41" t="str">
        <f aca="false">IF(AND(Tasks[[#This Row],[_IsLeaf]]=1,N(Tasks[[#This Row],[Duration]])=0),Tasks[[#This Row],[Planned Finish]]+Tasks[[#This Row],[_Row]]/100000,"")</f>
        <v/>
      </c>
      <c r="DK185" s="41" t="str">
        <f aca="false">IF(AND(Tasks[[#This Row],[_IsLeaf]]=1,Tasks[[#This Row],[_LeafProgress]]&lt;1,OR(N(Tasks[[#This Row],[Finish Var]])&gt;0,Tasks[[#This Row],[Status]]="Late Start")),MAX(0,Tasks[[#This Row],[Finish Var]])+1-Tasks[[#This Row],[_Row]]/1000000,"")</f>
        <v/>
      </c>
      <c r="DL185" s="41" t="str">
        <f aca="false">IF(AND(Tasks[[#This Row],[_IsLeaf]]=1,N(Tasks[[#This Row],[Actual Start]])=0,Tasks[[#This Row],[_LeafFcstStart]]&gt;=StatusDate,Tasks[[#This Row],[_LeafFcstStart]]&lt;=LookaheadEnd),Tasks[[#This Row],[_LeafFcstStart]]+Tasks[[#This Row],[_Row]]/100000,"")</f>
        <v/>
      </c>
      <c r="DM185" s="41" t="str">
        <f aca="false">IF(AND(Tasks[[#This Row],[_IsLeaf]]=1,Tasks[[#This Row],[_LeafProgress]]&lt;1,Tasks[[#This Row],[_LeafFcstFinish]]&gt;=StatusDate,Tasks[[#This Row],[_LeafFcstFinish]]&lt;=LookaheadEnd),Tasks[[#This Row],[_LeafFcstFinish]]+Tasks[[#This Row],[_Row]]/100000,"")</f>
        <v/>
      </c>
      <c r="DN185" s="41" t="str">
        <f aca="false">IF(Tasks[[#This Row],[_LeafCritical]],Tasks[[#This Row],[_LeafFcstStart]]+Tasks[[#This Row],[_Row]]/100000,"")</f>
        <v/>
      </c>
      <c r="DO185" s="41" t="n">
        <f aca="false">Tasks[[#This Row],[_LeafWork]]*Tasks[[#This Row],[_LeafProgress]]</f>
        <v>0</v>
      </c>
      <c r="DP185" s="100" t="str">
        <f aca="false">IF(AND(Tasks[[#This Row],[_IsLeaf]]=1,Tasks[[#This Row],[_LeafProgress]]&gt;=1),IF(N(Tasks[[#This Row],[Actual Finish]])&gt;0,Tasks[[#This Row],[Actual Finish]],Tasks[[#This Row],[_LeafFcstFinish]]),"")</f>
        <v/>
      </c>
      <c r="DQ185" s="41" t="n">
        <f aca="false">IF(Tasks[[#This Row],[_IsLeaf]]=1,N(Tasks[[#This Row],[Story Points]]),0)</f>
        <v>0</v>
      </c>
      <c r="DR185" s="41" t="str">
        <f aca="false">IF(AND(Tasks[[#This Row],[_IsLeaf]]=1,CurrentSprint&lt;&gt;"",Tasks[[#This Row],[Sprint]]=CurrentSprint),Tasks[[#This Row],[_Row]],"")</f>
        <v/>
      </c>
    </row>
    <row r="186" customFormat="false" ht="15" hidden="false" customHeight="false" outlineLevel="0" collapsed="false">
      <c r="A186" s="28" t="str">
        <f aca="false">IF(Tasks[[#This Row],[Task Name]]="","",COUNTA(Tasks[[#Headers],[Task Name]]:Tasks[[#This Row],[Task Name]])-1)</f>
        <v/>
      </c>
      <c r="B186" s="29" t="n">
        <v>181</v>
      </c>
      <c r="C18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6" s="29"/>
      <c r="E186" s="30"/>
      <c r="F186" s="29"/>
      <c r="G186" s="29"/>
      <c r="H186" s="29"/>
      <c r="I186" s="29"/>
      <c r="J186" s="29"/>
      <c r="K186" s="29"/>
      <c r="L186" s="29"/>
      <c r="M186" s="29"/>
      <c r="N186" s="73"/>
      <c r="O186" s="73"/>
      <c r="P186" s="25" t="str">
        <f aca="false">IF(Tasks[[#This Row],[Task Name]]="","",IF(N(Tasks[[#This Row],[Baseline Start]])&gt;0,Tasks[[#This Row],[Baseline Start]],Tasks[[#This Row],[_CalcStart]]))</f>
        <v/>
      </c>
      <c r="Q186" s="25" t="str">
        <f aca="false">IF(Tasks[[#This Row],[Task Name]]="","",IF(N(Tasks[[#This Row],[Baseline Finish]])&gt;0,Tasks[[#This Row],[Baseline Finish]],Tasks[[#This Row],[_CalcFinish]]))</f>
        <v/>
      </c>
      <c r="R186" s="73"/>
      <c r="S186" s="73"/>
      <c r="T186" s="25" t="str">
        <f aca="false">IF(Tasks[[#This Row],[Task Name]]="","",IF(Tasks[[#This Row],[_IsSummary]],MIN(INDEX(Tasks[_LeafFcstStart],Tasks[[#This Row],[_Row]]+1):INDEX(Tasks[_LeafFcstStart],Tasks[[#This Row],[_Row]]+Tasks[[#This Row],[_Descendants]])),Tasks[[#This Row],[_LeafFcstStart]]))</f>
        <v/>
      </c>
      <c r="U186" s="25" t="str">
        <f aca="false">IF(Tasks[[#This Row],[Task Name]]="","",IF(Tasks[[#This Row],[_IsSummary]],MAX(INDEX(Tasks[_LeafFcstFinish],Tasks[[#This Row],[_Row]]+1):INDEX(Tasks[_LeafFcstFinish],Tasks[[#This Row],[_Row]]+Tasks[[#This Row],[_Descendants]])),Tasks[[#This Row],[_LeafFcstFinish]]))</f>
        <v/>
      </c>
      <c r="V18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8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6" s="25" t="str">
        <f aca="false">IF(Tasks[[#This Row],[Task Name]]="","",IF(Tasks[[#This Row],[_IsSummary]],MIN(INDEX(Tasks[_LeafLateStart],Tasks[[#This Row],[_Row]]+1):INDEX(Tasks[_LeafLateStart],Tasks[[#This Row],[_Row]]+Tasks[[#This Row],[_Descendants]])),Tasks[[#This Row],[_LeafLateStart]]))</f>
        <v/>
      </c>
      <c r="Y186" s="25" t="str">
        <f aca="false">IF(Tasks[[#This Row],[Task Name]]="","",IF(Tasks[[#This Row],[_IsSummary]],MAX(INDEX(Tasks[_LeafLateFinish],Tasks[[#This Row],[_Row]]+1):INDEX(Tasks[_LeafLateFinish],Tasks[[#This Row],[_Row]]+Tasks[[#This Row],[_Descendants]])),Tasks[[#This Row],[_LeafLateFinish]]))</f>
        <v/>
      </c>
      <c r="Z186" s="43" t="str">
        <f aca="false">IF(Tasks[[#This Row],[Task Name]]="","",IF(Tasks[[#This Row],[_IsSummary]],MIN(INDEX(Tasks[_LeafTotalSlack],Tasks[[#This Row],[_Row]]+1):INDEX(Tasks[_LeafTotalSlack],Tasks[[#This Row],[_Row]]+Tasks[[#This Row],[_Descendants]])),Tasks[[#This Row],[_LeafTotalSlack]]))</f>
        <v/>
      </c>
      <c r="AA18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6" s="28" t="str">
        <f aca="false">IF(Tasks[[#This Row],[Task Name]]="","",IF(IF(Tasks[[#This Row],[_IsSummary]],COUNTIF(INDEX(Tasks[_LeafCritical],Tasks[[#This Row],[_Row]]+1):INDEX(Tasks[_LeafCritical],Tasks[[#This Row],[_Row]]+Tasks[[#This Row],[_Descendants]]),TRUE())&gt;0,Tasks[[#This Row],[_LeafCritical]]),"Yes",""))</f>
        <v/>
      </c>
      <c r="AC18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6" s="24" t="str">
        <f aca="false">IF(Tasks[[#This Row],[Task Name]]="","",TRIM(IF(Tasks[[#This Row],[_Pred1Problem]]&lt;&gt;"","Pred 1: "&amp;Tasks[[#This Row],[_Pred1Problem]]&amp;". ","")&amp;IF(Tasks[[#This Row],[_Pred2Problem]]&lt;&gt;"","Pred 2: "&amp;Tasks[[#This Row],[_Pred2Problem]]&amp;".","")))</f>
        <v/>
      </c>
      <c r="AE186" s="88"/>
      <c r="AF186"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6" s="28" t="str">
        <f aca="false">IF(Tasks[[#This Row],[Task Name]]="","",IF(Tasks[[#This Row],[Progress]]&gt;=1,"Complete",IF(OR(N(Tasks[[#This Row],[Actual Start]])&gt;0,Tasks[[#This Row],[Progress]]&gt;0),IF(Tasks[[#This Row],[Finish Var]]&gt;0,"Behind","In Progress"),IF(Tasks[[#This Row],[Planned Start]]&lt;StatusDate,"Late Start","Not Started"))))</f>
        <v/>
      </c>
      <c r="AH186" s="30"/>
      <c r="AI186" s="88"/>
      <c r="AJ186" s="95" t="str">
        <f aca="false">IF(Tasks[[#This Row],[Task Name]]="","",IF(Tasks[[#This Row],[_IsSummary]],SUM(INDEX(Tasks[_LeafWork],Tasks[[#This Row],[_Row]]+1):INDEX(Tasks[_LeafWork],Tasks[[#This Row],[_Row]]+Tasks[[#This Row],[_Descendants]])),Tasks[[#This Row],[_LeafWork]]))</f>
        <v/>
      </c>
      <c r="AK186" s="96" t="str">
        <f aca="false">IF(Tasks[[#This Row],[Task Name]]="","",IF(Tasks[[#This Row],[_IsSummary]],SUM(INDEX(Tasks[_LeafCost],Tasks[[#This Row],[_Row]]+1):INDEX(Tasks[_LeafCost],Tasks[[#This Row],[_Row]]+Tasks[[#This Row],[_Descendants]])),Tasks[[#This Row],[_LeafCost]]))</f>
        <v/>
      </c>
      <c r="AL186" s="97"/>
      <c r="AM186" s="29"/>
      <c r="AN18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86" s="82"/>
      <c r="AP186" s="24" t="str">
        <f aca="false">IF(Tasks[[#This Row],[Task Name]]="","",Tasks[[#This Row],[_Pred1IDText]]&amp;IF(AND(Tasks[[#This Row],[_Pred1IDText]]&lt;&gt;"",Tasks[[#This Row],[_Pred2IDText]]&lt;&gt;""),",","")&amp;Tasks[[#This Row],[_Pred2IDText]])</f>
        <v/>
      </c>
      <c r="AQ186" s="30"/>
      <c r="AR186" s="25" t="str">
        <f aca="false">IF(Tasks[[#This Row],[Task Name]]="","",Tasks[[#This Row],[Forecast Start]])</f>
        <v/>
      </c>
      <c r="AS186" s="25" t="str">
        <f aca="false">IF(Tasks[[#This Row],[Task Name]]="","",Tasks[[#This Row],[Forecast Finish]])</f>
        <v/>
      </c>
      <c r="AT186" s="28" t="str">
        <f aca="false">IF(Tasks[[#This Row],[Task Name]]="","",IF(Tasks[[#This Row],[_IsSummary]],NETWORKDAYS.INTL(Tasks[[#This Row],[Forecast Start]],Tasks[[#This Row],[Forecast Finish]],WorkWeek,Holidays),N(Tasks[[#This Row],[Duration]])))</f>
        <v/>
      </c>
      <c r="AU186" s="95" t="str">
        <f aca="false">IF(Tasks[[#This Row],[Task Name]]="","",Tasks[[#This Row],[Work]])</f>
        <v/>
      </c>
      <c r="AV186" s="96" t="str">
        <f aca="false">IF(Tasks[[#This Row],[Task Name]]="","",Tasks[[#This Row],[Cost]])</f>
        <v/>
      </c>
      <c r="AW186" s="73"/>
      <c r="AX186" s="73"/>
      <c r="AY186" s="29"/>
      <c r="AZ186" s="98"/>
      <c r="BA186" s="97"/>
      <c r="BB186" s="28" t="str">
        <f aca="false">IF(OR(Tasks[[#This Row],[Task Name]]="",Tasks[[#This Row],[Baseline Duration]]=""),"",Tasks[[#This Row],[BL Source Duration]]-N(Tasks[[#This Row],[Baseline Duration]]))</f>
        <v/>
      </c>
      <c r="BC186" s="95" t="str">
        <f aca="false">IF(OR(Tasks[[#This Row],[Task Name]]="",Tasks[[#This Row],[Baseline Work]]=""),"",Tasks[[#This Row],[Work]]-N(Tasks[[#This Row],[Baseline Work]]))</f>
        <v/>
      </c>
      <c r="BD186" s="96" t="str">
        <f aca="false">IF(OR(Tasks[[#This Row],[Task Name]]="",Tasks[[#This Row],[Baseline Cost]]=""),"",Tasks[[#This Row],[Cost]]-N(Tasks[[#This Row],[Baseline Cost]]))</f>
        <v/>
      </c>
      <c r="BE186" s="96" t="str">
        <f aca="false">IF(Tasks[[#This Row],[Task Name]]="","",IF(Tasks[[#This Row],[_IsSummary]],SUM(INDEX(Tasks[_LeafBudget],Tasks[[#This Row],[_Row]]+1):INDEX(Tasks[_LeafBudget],Tasks[[#This Row],[_Row]]+Tasks[[#This Row],[_Descendants]])),Tasks[[#This Row],[_LeafBudget]]))</f>
        <v/>
      </c>
      <c r="BF186" s="96" t="str">
        <f aca="false">IF(Tasks[[#This Row],[Task Name]]="","",IF(Tasks[[#This Row],[_IsSummary]],SUM(INDEX(Tasks[_LeafPV],Tasks[[#This Row],[_Row]]+1):INDEX(Tasks[_LeafPV],Tasks[[#This Row],[_Row]]+Tasks[[#This Row],[_Descendants]])),Tasks[[#This Row],[_LeafPV]]))</f>
        <v/>
      </c>
      <c r="BG186" s="96" t="str">
        <f aca="false">IF(Tasks[[#This Row],[Task Name]]="","",IF(Tasks[[#This Row],[_IsSummary]],SUM(INDEX(Tasks[_LeafEV],Tasks[[#This Row],[_Row]]+1):INDEX(Tasks[_LeafEV],Tasks[[#This Row],[_Row]]+Tasks[[#This Row],[_Descendants]])),Tasks[[#This Row],[_LeafEV]]))</f>
        <v/>
      </c>
      <c r="BH186" s="96" t="str">
        <f aca="false">IF(Tasks[[#This Row],[Task Name]]="","",IF(Tasks[[#This Row],[_IsSummary]],SUM(INDEX(Tasks[_LeafAC],Tasks[[#This Row],[_Row]]+1):INDEX(Tasks[_LeafAC],Tasks[[#This Row],[_Row]]+Tasks[[#This Row],[_Descendants]])),Tasks[[#This Row],[_LeafAC]]))</f>
        <v/>
      </c>
      <c r="BI186" s="41" t="str">
        <f aca="false">IF(Tasks[[#This Row],[Task Name]]="","",MAX(1,N(Tasks[[#This Row],[Level]])))</f>
        <v/>
      </c>
      <c r="BJ186" s="41" t="n">
        <f aca="false">ROW()-ROW(Tasks[[#Headers],[ID]])</f>
        <v>181</v>
      </c>
      <c r="BK186" s="41" t="n">
        <f aca="false">IF(OR(Tasks[[#This Row],[Task Name]]="",Tasks[[#This Row],[_Level]]&lt;=1),0,IFERROR(LOOKUP(2,1/(Tasks[[#Headers],[_Level]]:Tasks[[#This Row],[_Level]]=Tasks[[#This Row],[_Level]]-1),ROW(Tasks[[#Headers],[_Level]]:Tasks[[#This Row],[_Level]])),0))</f>
        <v>0</v>
      </c>
      <c r="BL186" s="41" t="n">
        <f aca="false">IFERROR(N(INDEX(Tasks[_Level],Tasks[[#This Row],[_Row]]+1)),0)</f>
        <v>0</v>
      </c>
      <c r="BM186" s="99" t="b">
        <f aca="false">AND(Tasks[[#This Row],[Task Name]]&lt;&gt;"",Tasks[[#This Row],[_NextLevel]]&gt;Tasks[[#This Row],[_Level]])</f>
        <v>0</v>
      </c>
      <c r="BN186" s="41" t="n">
        <f aca="false">IF(Tasks[[#This Row],[_IsSummary]],COUNTIF(Tasks[WBS],Tasks[[#This Row],[WBS]]&amp;".*"),0)</f>
        <v>0</v>
      </c>
      <c r="BO186" s="41" t="n">
        <f aca="false">IF(AND(Tasks[[#This Row],[Task Name]]&lt;&gt;"",NOT(Tasks[[#This Row],[_IsSummary]])),1,0)</f>
        <v>0</v>
      </c>
      <c r="BP186" s="41" t="n">
        <f aca="false">IF(N(Tasks[[#This Row],[Pred1 UID]])=0,0,IFERROR(MATCH(Tasks[[#This Row],[Pred1 UID]],Tasks[UID],0),-1))</f>
        <v>0</v>
      </c>
      <c r="BQ186" s="41" t="n">
        <f aca="false">IF(N(Tasks[[#This Row],[Pred2 UID]])=0,0,IFERROR(MATCH(Tasks[[#This Row],[Pred2 UID]],Tasks[UID],0),-1))</f>
        <v>0</v>
      </c>
      <c r="BR186"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86" s="100" t="str">
        <f aca="false">IF(NOT(Tasks[[#This Row],[_IsLeaf]]=1),"",IF(N(Tasks[[#This Row],[Duration]])&lt;=0,Tasks[[#This Row],[_LeafCalcStart]],WORKDAY.INTL(Tasks[[#This Row],[_LeafCalcStart]],Tasks[[#This Row],[Duration]]-1,WorkWeek,Holidays)))</f>
        <v/>
      </c>
      <c r="BT186"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86"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86" s="41" t="n">
        <f aca="false">IF(NOT(Tasks[[#This Row],[_IsLeaf]]=1),0,IF(N(Tasks[[#This Row],[Actual Finish]])&gt;0,1,MIN(1,N(Tasks[[#This Row],[% Complete]]))))</f>
        <v>0</v>
      </c>
      <c r="BW186" s="41" t="n">
        <f aca="false">IF(OR(NOT(Tasks[[#This Row],[_IsLeaf]]=1),Tasks[[#This Row],[Resource]]=""),0,N(Tasks[[#This Row],[Duration]])*HoursPerDay*IF(Tasks[[#This Row],[Units]]="",DefaultUnits,Tasks[[#This Row],[Units]]))</f>
        <v>0</v>
      </c>
      <c r="BX186" s="41" t="n">
        <f aca="false">IF(Tasks[[#This Row],[_LeafWork]]=0,0,Tasks[[#This Row],[_LeafWork]]*IFERROR(INDEX(res_Rate,MATCH(Tasks[[#This Row],[Resource]],res_Name,0)),0))</f>
        <v>0</v>
      </c>
      <c r="BY18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8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8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8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86" s="41" t="n">
        <f aca="false">IF(NOT(Tasks[[#This Row],[_IsLeaf]]=1),0,MAX(_xlfn.MAXIFS(Tasks[_Row],Tasks[Pred1 UID],Tasks[[#This Row],[UID]]),_xlfn.MAXIFS(Tasks[_Row],Tasks[Pred2 UID],Tasks[[#This Row],[UID]])))</f>
        <v>0</v>
      </c>
      <c r="CD186"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86" s="100" t="str">
        <f aca="false">IF(NOT(Tasks[[#This Row],[_IsLeaf]]=1),"",MIN(ProjectFinish,IF(N(Tasks[[#This Row],[Deadline]])&gt;0,Tasks[[#This Row],[Deadline]],2958465),Tasks[[#This Row],[_SuccessorFinishLimit]]))</f>
        <v/>
      </c>
      <c r="CF186" s="100" t="str">
        <f aca="false">IF(NOT(Tasks[[#This Row],[_IsLeaf]]=1),"",IF(N(Tasks[[#This Row],[Duration]])&lt;=0,Tasks[[#This Row],[_LeafLateFinish]],WORKDAY.INTL(Tasks[[#This Row],[_LeafLateFinish]],-(Tasks[[#This Row],[Duration]]-1),WorkWeek,Holidays)))</f>
        <v/>
      </c>
      <c r="CG18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86" s="99" t="b">
        <f aca="false">AND(Tasks[[#This Row],[_IsLeaf]]=1,Tasks[[#This Row],[_LeafProgress]]&lt;1,N(Tasks[[#This Row],[_LeafTotalSlack]])&lt;=CriticalSlackDays)</f>
        <v>0</v>
      </c>
      <c r="CI186" s="100" t="str">
        <f aca="false">IF(Tasks[[#This Row],[Task Name]]="","",IF(Tasks[[#This Row],[_IsSummary]],MIN(INDEX(Tasks[_LeafCalcStart],Tasks[[#This Row],[_Row]]+1):INDEX(Tasks[_LeafCalcStart],Tasks[[#This Row],[_Row]]+Tasks[[#This Row],[_Descendants]])),Tasks[[#This Row],[_LeafCalcStart]]))</f>
        <v/>
      </c>
      <c r="CJ186" s="100" t="str">
        <f aca="false">IF(Tasks[[#This Row],[Task Name]]="","",IF(Tasks[[#This Row],[_IsSummary]],MAX(INDEX(Tasks[_LeafCalcFinish],Tasks[[#This Row],[_Row]]+1):INDEX(Tasks[_LeafCalcFinish],Tasks[[#This Row],[_Row]]+Tasks[[#This Row],[_Descendants]])),Tasks[[#This Row],[_LeafCalcFinish]]))</f>
        <v/>
      </c>
      <c r="CK18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8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86"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86"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86"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86"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86" s="41" t="n">
        <f aca="false">IF(AND(Tasks[[#This Row],[_IsLeaf]]=1,Tasks[[#This Row],[_LeafWork]]&gt;0),NETWORKDAYS.INTL(ProjectStart,Tasks[[#This Row],[_LeafFcstStart]],WorkWeek,Holidays),0)</f>
        <v>0</v>
      </c>
      <c r="CR186" s="41" t="n">
        <f aca="false">IF(AND(Tasks[[#This Row],[_IsLeaf]]=1,Tasks[[#This Row],[_LeafWork]]&gt;0),MAX(Tasks[[#This Row],[_StartWorkday]],NETWORKDAYS.INTL(ProjectStart,Tasks[[#This Row],[_LeafFcstFinish]],WorkWeek,Holidays)),0)</f>
        <v>0</v>
      </c>
      <c r="CS186" s="41" t="n">
        <f aca="false">IF(AND(Tasks[[#This Row],[_IsLeaf]]=1,Tasks[[#This Row],[_LeafWork]]&gt;0),Tasks[[#This Row],[_LeafWork]]/(Tasks[[#This Row],[_FinishWorkday]]-Tasks[[#This Row],[_StartWorkday]]+1),0)</f>
        <v>0</v>
      </c>
      <c r="CT186" s="41" t="n">
        <f aca="false">Tasks[[#This Row],[_WorkPerWorkday]]*(Tasks[[#This Row],[_StartWorkday]]-1)</f>
        <v>-0</v>
      </c>
      <c r="CU186" s="41" t="n">
        <f aca="false">IF(Tasks[[#This Row],[_IsLeaf]]=1,MAX(N(Tasks[[#This Row],[Duration]]),0.1),0)</f>
        <v>0</v>
      </c>
      <c r="CV186" s="41" t="n">
        <f aca="false">Tasks[[#This Row],[_WeightDur]]*Tasks[[#This Row],[_LeafProgress]]</f>
        <v>0</v>
      </c>
      <c r="CW18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8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8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8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86" s="41" t="str">
        <f aca="false">IF(Tasks[[#This Row],[Task Name]]="","",Tasks[[#This Row],[_Pred1UIDText]]&amp;IF(AND(Tasks[[#This Row],[_Pred1UIDText]]&lt;&gt;"",Tasks[[#This Row],[_Pred2UIDText]]&lt;&gt;""),",","")&amp;Tasks[[#This Row],[_Pred2UIDText]])</f>
        <v/>
      </c>
      <c r="DB186" s="41" t="str">
        <f aca="false">IF(AND(Tasks[[#This Row],[_IsLeaf]]=1,N(Tasks[[#This Row],[Duration]])=0,Tasks[[#This Row],[_LeafProgress]]&lt;1),Tasks[[#This Row],[_LeafFcstFinish]]+Tasks[[#This Row],[_Row]]/100000,"")</f>
        <v/>
      </c>
      <c r="DC18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86" s="41" t="n">
        <f aca="false">IF(NOT(Tasks[[#This Row],[_IsLeaf]]=1),0,IF(Tasks[[#This Row],[Baseline Cost]]="",Tasks[[#This Row],[_LeafCost]],N(Tasks[[#This Row],[Baseline Cost]])))</f>
        <v>0</v>
      </c>
      <c r="DE186" s="41" t="n">
        <f aca="false">Tasks[[#This Row],[_LeafBudget]]*Tasks[[#This Row],[_PlannedPct]]</f>
        <v>0</v>
      </c>
      <c r="DF186" s="41" t="n">
        <f aca="false">Tasks[[#This Row],[_LeafBudget]]*Tasks[[#This Row],[_LeafProgress]]</f>
        <v>0</v>
      </c>
      <c r="DG186" s="41" t="n">
        <f aca="false">IF(NOT(Tasks[[#This Row],[_IsLeaf]]=1),0,IF(Tasks[[#This Row],[Actual Cost]]="",Tasks[[#This Row],[_LeafCost]]*Tasks[[#This Row],[_LeafProgress]],N(Tasks[[#This Row],[Actual Cost]])))</f>
        <v>0</v>
      </c>
      <c r="DH186" s="41" t="str">
        <f aca="false">IF(Tasks[[#This Row],[Task Name]]="","",LEFT(Tasks[[#This Row],[WBS]],FIND(".",Tasks[[#This Row],[WBS]]&amp;".")-1))</f>
        <v/>
      </c>
      <c r="DI186" s="41" t="str">
        <f aca="false">IF(AND(Tasks[[#This Row],[Task Name]]&lt;&gt;"",Tasks[[#This Row],[_Level]]=1),Tasks[[#This Row],[_Row]],"")</f>
        <v/>
      </c>
      <c r="DJ186" s="41" t="str">
        <f aca="false">IF(AND(Tasks[[#This Row],[_IsLeaf]]=1,N(Tasks[[#This Row],[Duration]])=0),Tasks[[#This Row],[Planned Finish]]+Tasks[[#This Row],[_Row]]/100000,"")</f>
        <v/>
      </c>
      <c r="DK186" s="41" t="str">
        <f aca="false">IF(AND(Tasks[[#This Row],[_IsLeaf]]=1,Tasks[[#This Row],[_LeafProgress]]&lt;1,OR(N(Tasks[[#This Row],[Finish Var]])&gt;0,Tasks[[#This Row],[Status]]="Late Start")),MAX(0,Tasks[[#This Row],[Finish Var]])+1-Tasks[[#This Row],[_Row]]/1000000,"")</f>
        <v/>
      </c>
      <c r="DL186" s="41" t="str">
        <f aca="false">IF(AND(Tasks[[#This Row],[_IsLeaf]]=1,N(Tasks[[#This Row],[Actual Start]])=0,Tasks[[#This Row],[_LeafFcstStart]]&gt;=StatusDate,Tasks[[#This Row],[_LeafFcstStart]]&lt;=LookaheadEnd),Tasks[[#This Row],[_LeafFcstStart]]+Tasks[[#This Row],[_Row]]/100000,"")</f>
        <v/>
      </c>
      <c r="DM186" s="41" t="str">
        <f aca="false">IF(AND(Tasks[[#This Row],[_IsLeaf]]=1,Tasks[[#This Row],[_LeafProgress]]&lt;1,Tasks[[#This Row],[_LeafFcstFinish]]&gt;=StatusDate,Tasks[[#This Row],[_LeafFcstFinish]]&lt;=LookaheadEnd),Tasks[[#This Row],[_LeafFcstFinish]]+Tasks[[#This Row],[_Row]]/100000,"")</f>
        <v/>
      </c>
      <c r="DN186" s="41" t="str">
        <f aca="false">IF(Tasks[[#This Row],[_LeafCritical]],Tasks[[#This Row],[_LeafFcstStart]]+Tasks[[#This Row],[_Row]]/100000,"")</f>
        <v/>
      </c>
      <c r="DO186" s="41" t="n">
        <f aca="false">Tasks[[#This Row],[_LeafWork]]*Tasks[[#This Row],[_LeafProgress]]</f>
        <v>0</v>
      </c>
      <c r="DP186" s="100" t="str">
        <f aca="false">IF(AND(Tasks[[#This Row],[_IsLeaf]]=1,Tasks[[#This Row],[_LeafProgress]]&gt;=1),IF(N(Tasks[[#This Row],[Actual Finish]])&gt;0,Tasks[[#This Row],[Actual Finish]],Tasks[[#This Row],[_LeafFcstFinish]]),"")</f>
        <v/>
      </c>
      <c r="DQ186" s="41" t="n">
        <f aca="false">IF(Tasks[[#This Row],[_IsLeaf]]=1,N(Tasks[[#This Row],[Story Points]]),0)</f>
        <v>0</v>
      </c>
      <c r="DR186" s="41" t="str">
        <f aca="false">IF(AND(Tasks[[#This Row],[_IsLeaf]]=1,CurrentSprint&lt;&gt;"",Tasks[[#This Row],[Sprint]]=CurrentSprint),Tasks[[#This Row],[_Row]],"")</f>
        <v/>
      </c>
    </row>
    <row r="187" customFormat="false" ht="15" hidden="false" customHeight="false" outlineLevel="0" collapsed="false">
      <c r="A187" s="28" t="str">
        <f aca="false">IF(Tasks[[#This Row],[Task Name]]="","",COUNTA(Tasks[[#Headers],[Task Name]]:Tasks[[#This Row],[Task Name]])-1)</f>
        <v/>
      </c>
      <c r="B187" s="29" t="n">
        <v>182</v>
      </c>
      <c r="C18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7" s="29"/>
      <c r="E187" s="30"/>
      <c r="F187" s="29"/>
      <c r="G187" s="29"/>
      <c r="H187" s="29"/>
      <c r="I187" s="29"/>
      <c r="J187" s="29"/>
      <c r="K187" s="29"/>
      <c r="L187" s="29"/>
      <c r="M187" s="29"/>
      <c r="N187" s="73"/>
      <c r="O187" s="73"/>
      <c r="P187" s="25" t="str">
        <f aca="false">IF(Tasks[[#This Row],[Task Name]]="","",IF(N(Tasks[[#This Row],[Baseline Start]])&gt;0,Tasks[[#This Row],[Baseline Start]],Tasks[[#This Row],[_CalcStart]]))</f>
        <v/>
      </c>
      <c r="Q187" s="25" t="str">
        <f aca="false">IF(Tasks[[#This Row],[Task Name]]="","",IF(N(Tasks[[#This Row],[Baseline Finish]])&gt;0,Tasks[[#This Row],[Baseline Finish]],Tasks[[#This Row],[_CalcFinish]]))</f>
        <v/>
      </c>
      <c r="R187" s="73"/>
      <c r="S187" s="73"/>
      <c r="T187" s="25" t="str">
        <f aca="false">IF(Tasks[[#This Row],[Task Name]]="","",IF(Tasks[[#This Row],[_IsSummary]],MIN(INDEX(Tasks[_LeafFcstStart],Tasks[[#This Row],[_Row]]+1):INDEX(Tasks[_LeafFcstStart],Tasks[[#This Row],[_Row]]+Tasks[[#This Row],[_Descendants]])),Tasks[[#This Row],[_LeafFcstStart]]))</f>
        <v/>
      </c>
      <c r="U187" s="25" t="str">
        <f aca="false">IF(Tasks[[#This Row],[Task Name]]="","",IF(Tasks[[#This Row],[_IsSummary]],MAX(INDEX(Tasks[_LeafFcstFinish],Tasks[[#This Row],[_Row]]+1):INDEX(Tasks[_LeafFcstFinish],Tasks[[#This Row],[_Row]]+Tasks[[#This Row],[_Descendants]])),Tasks[[#This Row],[_LeafFcstFinish]]))</f>
        <v/>
      </c>
      <c r="V18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8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7" s="25" t="str">
        <f aca="false">IF(Tasks[[#This Row],[Task Name]]="","",IF(Tasks[[#This Row],[_IsSummary]],MIN(INDEX(Tasks[_LeafLateStart],Tasks[[#This Row],[_Row]]+1):INDEX(Tasks[_LeafLateStart],Tasks[[#This Row],[_Row]]+Tasks[[#This Row],[_Descendants]])),Tasks[[#This Row],[_LeafLateStart]]))</f>
        <v/>
      </c>
      <c r="Y187" s="25" t="str">
        <f aca="false">IF(Tasks[[#This Row],[Task Name]]="","",IF(Tasks[[#This Row],[_IsSummary]],MAX(INDEX(Tasks[_LeafLateFinish],Tasks[[#This Row],[_Row]]+1):INDEX(Tasks[_LeafLateFinish],Tasks[[#This Row],[_Row]]+Tasks[[#This Row],[_Descendants]])),Tasks[[#This Row],[_LeafLateFinish]]))</f>
        <v/>
      </c>
      <c r="Z187" s="43" t="str">
        <f aca="false">IF(Tasks[[#This Row],[Task Name]]="","",IF(Tasks[[#This Row],[_IsSummary]],MIN(INDEX(Tasks[_LeafTotalSlack],Tasks[[#This Row],[_Row]]+1):INDEX(Tasks[_LeafTotalSlack],Tasks[[#This Row],[_Row]]+Tasks[[#This Row],[_Descendants]])),Tasks[[#This Row],[_LeafTotalSlack]]))</f>
        <v/>
      </c>
      <c r="AA18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7" s="28" t="str">
        <f aca="false">IF(Tasks[[#This Row],[Task Name]]="","",IF(IF(Tasks[[#This Row],[_IsSummary]],COUNTIF(INDEX(Tasks[_LeafCritical],Tasks[[#This Row],[_Row]]+1):INDEX(Tasks[_LeafCritical],Tasks[[#This Row],[_Row]]+Tasks[[#This Row],[_Descendants]]),TRUE())&gt;0,Tasks[[#This Row],[_LeafCritical]]),"Yes",""))</f>
        <v/>
      </c>
      <c r="AC18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7" s="24" t="str">
        <f aca="false">IF(Tasks[[#This Row],[Task Name]]="","",TRIM(IF(Tasks[[#This Row],[_Pred1Problem]]&lt;&gt;"","Pred 1: "&amp;Tasks[[#This Row],[_Pred1Problem]]&amp;". ","")&amp;IF(Tasks[[#This Row],[_Pred2Problem]]&lt;&gt;"","Pred 2: "&amp;Tasks[[#This Row],[_Pred2Problem]]&amp;".","")))</f>
        <v/>
      </c>
      <c r="AE187" s="88"/>
      <c r="AF187"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7" s="28" t="str">
        <f aca="false">IF(Tasks[[#This Row],[Task Name]]="","",IF(Tasks[[#This Row],[Progress]]&gt;=1,"Complete",IF(OR(N(Tasks[[#This Row],[Actual Start]])&gt;0,Tasks[[#This Row],[Progress]]&gt;0),IF(Tasks[[#This Row],[Finish Var]]&gt;0,"Behind","In Progress"),IF(Tasks[[#This Row],[Planned Start]]&lt;StatusDate,"Late Start","Not Started"))))</f>
        <v/>
      </c>
      <c r="AH187" s="30"/>
      <c r="AI187" s="88"/>
      <c r="AJ187" s="95" t="str">
        <f aca="false">IF(Tasks[[#This Row],[Task Name]]="","",IF(Tasks[[#This Row],[_IsSummary]],SUM(INDEX(Tasks[_LeafWork],Tasks[[#This Row],[_Row]]+1):INDEX(Tasks[_LeafWork],Tasks[[#This Row],[_Row]]+Tasks[[#This Row],[_Descendants]])),Tasks[[#This Row],[_LeafWork]]))</f>
        <v/>
      </c>
      <c r="AK187" s="96" t="str">
        <f aca="false">IF(Tasks[[#This Row],[Task Name]]="","",IF(Tasks[[#This Row],[_IsSummary]],SUM(INDEX(Tasks[_LeafCost],Tasks[[#This Row],[_Row]]+1):INDEX(Tasks[_LeafCost],Tasks[[#This Row],[_Row]]+Tasks[[#This Row],[_Descendants]])),Tasks[[#This Row],[_LeafCost]]))</f>
        <v/>
      </c>
      <c r="AL187" s="97"/>
      <c r="AM187" s="29"/>
      <c r="AN18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87" s="82"/>
      <c r="AP187" s="24" t="str">
        <f aca="false">IF(Tasks[[#This Row],[Task Name]]="","",Tasks[[#This Row],[_Pred1IDText]]&amp;IF(AND(Tasks[[#This Row],[_Pred1IDText]]&lt;&gt;"",Tasks[[#This Row],[_Pred2IDText]]&lt;&gt;""),",","")&amp;Tasks[[#This Row],[_Pred2IDText]])</f>
        <v/>
      </c>
      <c r="AQ187" s="30"/>
      <c r="AR187" s="25" t="str">
        <f aca="false">IF(Tasks[[#This Row],[Task Name]]="","",Tasks[[#This Row],[Forecast Start]])</f>
        <v/>
      </c>
      <c r="AS187" s="25" t="str">
        <f aca="false">IF(Tasks[[#This Row],[Task Name]]="","",Tasks[[#This Row],[Forecast Finish]])</f>
        <v/>
      </c>
      <c r="AT187" s="28" t="str">
        <f aca="false">IF(Tasks[[#This Row],[Task Name]]="","",IF(Tasks[[#This Row],[_IsSummary]],NETWORKDAYS.INTL(Tasks[[#This Row],[Forecast Start]],Tasks[[#This Row],[Forecast Finish]],WorkWeek,Holidays),N(Tasks[[#This Row],[Duration]])))</f>
        <v/>
      </c>
      <c r="AU187" s="95" t="str">
        <f aca="false">IF(Tasks[[#This Row],[Task Name]]="","",Tasks[[#This Row],[Work]])</f>
        <v/>
      </c>
      <c r="AV187" s="96" t="str">
        <f aca="false">IF(Tasks[[#This Row],[Task Name]]="","",Tasks[[#This Row],[Cost]])</f>
        <v/>
      </c>
      <c r="AW187" s="73"/>
      <c r="AX187" s="73"/>
      <c r="AY187" s="29"/>
      <c r="AZ187" s="98"/>
      <c r="BA187" s="97"/>
      <c r="BB187" s="28" t="str">
        <f aca="false">IF(OR(Tasks[[#This Row],[Task Name]]="",Tasks[[#This Row],[Baseline Duration]]=""),"",Tasks[[#This Row],[BL Source Duration]]-N(Tasks[[#This Row],[Baseline Duration]]))</f>
        <v/>
      </c>
      <c r="BC187" s="95" t="str">
        <f aca="false">IF(OR(Tasks[[#This Row],[Task Name]]="",Tasks[[#This Row],[Baseline Work]]=""),"",Tasks[[#This Row],[Work]]-N(Tasks[[#This Row],[Baseline Work]]))</f>
        <v/>
      </c>
      <c r="BD187" s="96" t="str">
        <f aca="false">IF(OR(Tasks[[#This Row],[Task Name]]="",Tasks[[#This Row],[Baseline Cost]]=""),"",Tasks[[#This Row],[Cost]]-N(Tasks[[#This Row],[Baseline Cost]]))</f>
        <v/>
      </c>
      <c r="BE187" s="96" t="str">
        <f aca="false">IF(Tasks[[#This Row],[Task Name]]="","",IF(Tasks[[#This Row],[_IsSummary]],SUM(INDEX(Tasks[_LeafBudget],Tasks[[#This Row],[_Row]]+1):INDEX(Tasks[_LeafBudget],Tasks[[#This Row],[_Row]]+Tasks[[#This Row],[_Descendants]])),Tasks[[#This Row],[_LeafBudget]]))</f>
        <v/>
      </c>
      <c r="BF187" s="96" t="str">
        <f aca="false">IF(Tasks[[#This Row],[Task Name]]="","",IF(Tasks[[#This Row],[_IsSummary]],SUM(INDEX(Tasks[_LeafPV],Tasks[[#This Row],[_Row]]+1):INDEX(Tasks[_LeafPV],Tasks[[#This Row],[_Row]]+Tasks[[#This Row],[_Descendants]])),Tasks[[#This Row],[_LeafPV]]))</f>
        <v/>
      </c>
      <c r="BG187" s="96" t="str">
        <f aca="false">IF(Tasks[[#This Row],[Task Name]]="","",IF(Tasks[[#This Row],[_IsSummary]],SUM(INDEX(Tasks[_LeafEV],Tasks[[#This Row],[_Row]]+1):INDEX(Tasks[_LeafEV],Tasks[[#This Row],[_Row]]+Tasks[[#This Row],[_Descendants]])),Tasks[[#This Row],[_LeafEV]]))</f>
        <v/>
      </c>
      <c r="BH187" s="96" t="str">
        <f aca="false">IF(Tasks[[#This Row],[Task Name]]="","",IF(Tasks[[#This Row],[_IsSummary]],SUM(INDEX(Tasks[_LeafAC],Tasks[[#This Row],[_Row]]+1):INDEX(Tasks[_LeafAC],Tasks[[#This Row],[_Row]]+Tasks[[#This Row],[_Descendants]])),Tasks[[#This Row],[_LeafAC]]))</f>
        <v/>
      </c>
      <c r="BI187" s="41" t="str">
        <f aca="false">IF(Tasks[[#This Row],[Task Name]]="","",MAX(1,N(Tasks[[#This Row],[Level]])))</f>
        <v/>
      </c>
      <c r="BJ187" s="41" t="n">
        <f aca="false">ROW()-ROW(Tasks[[#Headers],[ID]])</f>
        <v>182</v>
      </c>
      <c r="BK187" s="41" t="n">
        <f aca="false">IF(OR(Tasks[[#This Row],[Task Name]]="",Tasks[[#This Row],[_Level]]&lt;=1),0,IFERROR(LOOKUP(2,1/(Tasks[[#Headers],[_Level]]:Tasks[[#This Row],[_Level]]=Tasks[[#This Row],[_Level]]-1),ROW(Tasks[[#Headers],[_Level]]:Tasks[[#This Row],[_Level]])),0))</f>
        <v>0</v>
      </c>
      <c r="BL187" s="41" t="n">
        <f aca="false">IFERROR(N(INDEX(Tasks[_Level],Tasks[[#This Row],[_Row]]+1)),0)</f>
        <v>0</v>
      </c>
      <c r="BM187" s="99" t="b">
        <f aca="false">AND(Tasks[[#This Row],[Task Name]]&lt;&gt;"",Tasks[[#This Row],[_NextLevel]]&gt;Tasks[[#This Row],[_Level]])</f>
        <v>0</v>
      </c>
      <c r="BN187" s="41" t="n">
        <f aca="false">IF(Tasks[[#This Row],[_IsSummary]],COUNTIF(Tasks[WBS],Tasks[[#This Row],[WBS]]&amp;".*"),0)</f>
        <v>0</v>
      </c>
      <c r="BO187" s="41" t="n">
        <f aca="false">IF(AND(Tasks[[#This Row],[Task Name]]&lt;&gt;"",NOT(Tasks[[#This Row],[_IsSummary]])),1,0)</f>
        <v>0</v>
      </c>
      <c r="BP187" s="41" t="n">
        <f aca="false">IF(N(Tasks[[#This Row],[Pred1 UID]])=0,0,IFERROR(MATCH(Tasks[[#This Row],[Pred1 UID]],Tasks[UID],0),-1))</f>
        <v>0</v>
      </c>
      <c r="BQ187" s="41" t="n">
        <f aca="false">IF(N(Tasks[[#This Row],[Pred2 UID]])=0,0,IFERROR(MATCH(Tasks[[#This Row],[Pred2 UID]],Tasks[UID],0),-1))</f>
        <v>0</v>
      </c>
      <c r="BR187"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87" s="100" t="str">
        <f aca="false">IF(NOT(Tasks[[#This Row],[_IsLeaf]]=1),"",IF(N(Tasks[[#This Row],[Duration]])&lt;=0,Tasks[[#This Row],[_LeafCalcStart]],WORKDAY.INTL(Tasks[[#This Row],[_LeafCalcStart]],Tasks[[#This Row],[Duration]]-1,WorkWeek,Holidays)))</f>
        <v/>
      </c>
      <c r="BT187"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87"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87" s="41" t="n">
        <f aca="false">IF(NOT(Tasks[[#This Row],[_IsLeaf]]=1),0,IF(N(Tasks[[#This Row],[Actual Finish]])&gt;0,1,MIN(1,N(Tasks[[#This Row],[% Complete]]))))</f>
        <v>0</v>
      </c>
      <c r="BW187" s="41" t="n">
        <f aca="false">IF(OR(NOT(Tasks[[#This Row],[_IsLeaf]]=1),Tasks[[#This Row],[Resource]]=""),0,N(Tasks[[#This Row],[Duration]])*HoursPerDay*IF(Tasks[[#This Row],[Units]]="",DefaultUnits,Tasks[[#This Row],[Units]]))</f>
        <v>0</v>
      </c>
      <c r="BX187" s="41" t="n">
        <f aca="false">IF(Tasks[[#This Row],[_LeafWork]]=0,0,Tasks[[#This Row],[_LeafWork]]*IFERROR(INDEX(res_Rate,MATCH(Tasks[[#This Row],[Resource]],res_Name,0)),0))</f>
        <v>0</v>
      </c>
      <c r="BY18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8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8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8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87" s="41" t="n">
        <f aca="false">IF(NOT(Tasks[[#This Row],[_IsLeaf]]=1),0,MAX(_xlfn.MAXIFS(Tasks[_Row],Tasks[Pred1 UID],Tasks[[#This Row],[UID]]),_xlfn.MAXIFS(Tasks[_Row],Tasks[Pred2 UID],Tasks[[#This Row],[UID]])))</f>
        <v>0</v>
      </c>
      <c r="CD187"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87" s="100" t="str">
        <f aca="false">IF(NOT(Tasks[[#This Row],[_IsLeaf]]=1),"",MIN(ProjectFinish,IF(N(Tasks[[#This Row],[Deadline]])&gt;0,Tasks[[#This Row],[Deadline]],2958465),Tasks[[#This Row],[_SuccessorFinishLimit]]))</f>
        <v/>
      </c>
      <c r="CF187" s="100" t="str">
        <f aca="false">IF(NOT(Tasks[[#This Row],[_IsLeaf]]=1),"",IF(N(Tasks[[#This Row],[Duration]])&lt;=0,Tasks[[#This Row],[_LeafLateFinish]],WORKDAY.INTL(Tasks[[#This Row],[_LeafLateFinish]],-(Tasks[[#This Row],[Duration]]-1),WorkWeek,Holidays)))</f>
        <v/>
      </c>
      <c r="CG18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87" s="99" t="b">
        <f aca="false">AND(Tasks[[#This Row],[_IsLeaf]]=1,Tasks[[#This Row],[_LeafProgress]]&lt;1,N(Tasks[[#This Row],[_LeafTotalSlack]])&lt;=CriticalSlackDays)</f>
        <v>0</v>
      </c>
      <c r="CI187" s="100" t="str">
        <f aca="false">IF(Tasks[[#This Row],[Task Name]]="","",IF(Tasks[[#This Row],[_IsSummary]],MIN(INDEX(Tasks[_LeafCalcStart],Tasks[[#This Row],[_Row]]+1):INDEX(Tasks[_LeafCalcStart],Tasks[[#This Row],[_Row]]+Tasks[[#This Row],[_Descendants]])),Tasks[[#This Row],[_LeafCalcStart]]))</f>
        <v/>
      </c>
      <c r="CJ187" s="100" t="str">
        <f aca="false">IF(Tasks[[#This Row],[Task Name]]="","",IF(Tasks[[#This Row],[_IsSummary]],MAX(INDEX(Tasks[_LeafCalcFinish],Tasks[[#This Row],[_Row]]+1):INDEX(Tasks[_LeafCalcFinish],Tasks[[#This Row],[_Row]]+Tasks[[#This Row],[_Descendants]])),Tasks[[#This Row],[_LeafCalcFinish]]))</f>
        <v/>
      </c>
      <c r="CK18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8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87"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87"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87"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87"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87" s="41" t="n">
        <f aca="false">IF(AND(Tasks[[#This Row],[_IsLeaf]]=1,Tasks[[#This Row],[_LeafWork]]&gt;0),NETWORKDAYS.INTL(ProjectStart,Tasks[[#This Row],[_LeafFcstStart]],WorkWeek,Holidays),0)</f>
        <v>0</v>
      </c>
      <c r="CR187" s="41" t="n">
        <f aca="false">IF(AND(Tasks[[#This Row],[_IsLeaf]]=1,Tasks[[#This Row],[_LeafWork]]&gt;0),MAX(Tasks[[#This Row],[_StartWorkday]],NETWORKDAYS.INTL(ProjectStart,Tasks[[#This Row],[_LeafFcstFinish]],WorkWeek,Holidays)),0)</f>
        <v>0</v>
      </c>
      <c r="CS187" s="41" t="n">
        <f aca="false">IF(AND(Tasks[[#This Row],[_IsLeaf]]=1,Tasks[[#This Row],[_LeafWork]]&gt;0),Tasks[[#This Row],[_LeafWork]]/(Tasks[[#This Row],[_FinishWorkday]]-Tasks[[#This Row],[_StartWorkday]]+1),0)</f>
        <v>0</v>
      </c>
      <c r="CT187" s="41" t="n">
        <f aca="false">Tasks[[#This Row],[_WorkPerWorkday]]*(Tasks[[#This Row],[_StartWorkday]]-1)</f>
        <v>-0</v>
      </c>
      <c r="CU187" s="41" t="n">
        <f aca="false">IF(Tasks[[#This Row],[_IsLeaf]]=1,MAX(N(Tasks[[#This Row],[Duration]]),0.1),0)</f>
        <v>0</v>
      </c>
      <c r="CV187" s="41" t="n">
        <f aca="false">Tasks[[#This Row],[_WeightDur]]*Tasks[[#This Row],[_LeafProgress]]</f>
        <v>0</v>
      </c>
      <c r="CW18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8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8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8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87" s="41" t="str">
        <f aca="false">IF(Tasks[[#This Row],[Task Name]]="","",Tasks[[#This Row],[_Pred1UIDText]]&amp;IF(AND(Tasks[[#This Row],[_Pred1UIDText]]&lt;&gt;"",Tasks[[#This Row],[_Pred2UIDText]]&lt;&gt;""),",","")&amp;Tasks[[#This Row],[_Pred2UIDText]])</f>
        <v/>
      </c>
      <c r="DB187" s="41" t="str">
        <f aca="false">IF(AND(Tasks[[#This Row],[_IsLeaf]]=1,N(Tasks[[#This Row],[Duration]])=0,Tasks[[#This Row],[_LeafProgress]]&lt;1),Tasks[[#This Row],[_LeafFcstFinish]]+Tasks[[#This Row],[_Row]]/100000,"")</f>
        <v/>
      </c>
      <c r="DC18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87" s="41" t="n">
        <f aca="false">IF(NOT(Tasks[[#This Row],[_IsLeaf]]=1),0,IF(Tasks[[#This Row],[Baseline Cost]]="",Tasks[[#This Row],[_LeafCost]],N(Tasks[[#This Row],[Baseline Cost]])))</f>
        <v>0</v>
      </c>
      <c r="DE187" s="41" t="n">
        <f aca="false">Tasks[[#This Row],[_LeafBudget]]*Tasks[[#This Row],[_PlannedPct]]</f>
        <v>0</v>
      </c>
      <c r="DF187" s="41" t="n">
        <f aca="false">Tasks[[#This Row],[_LeafBudget]]*Tasks[[#This Row],[_LeafProgress]]</f>
        <v>0</v>
      </c>
      <c r="DG187" s="41" t="n">
        <f aca="false">IF(NOT(Tasks[[#This Row],[_IsLeaf]]=1),0,IF(Tasks[[#This Row],[Actual Cost]]="",Tasks[[#This Row],[_LeafCost]]*Tasks[[#This Row],[_LeafProgress]],N(Tasks[[#This Row],[Actual Cost]])))</f>
        <v>0</v>
      </c>
      <c r="DH187" s="41" t="str">
        <f aca="false">IF(Tasks[[#This Row],[Task Name]]="","",LEFT(Tasks[[#This Row],[WBS]],FIND(".",Tasks[[#This Row],[WBS]]&amp;".")-1))</f>
        <v/>
      </c>
      <c r="DI187" s="41" t="str">
        <f aca="false">IF(AND(Tasks[[#This Row],[Task Name]]&lt;&gt;"",Tasks[[#This Row],[_Level]]=1),Tasks[[#This Row],[_Row]],"")</f>
        <v/>
      </c>
      <c r="DJ187" s="41" t="str">
        <f aca="false">IF(AND(Tasks[[#This Row],[_IsLeaf]]=1,N(Tasks[[#This Row],[Duration]])=0),Tasks[[#This Row],[Planned Finish]]+Tasks[[#This Row],[_Row]]/100000,"")</f>
        <v/>
      </c>
      <c r="DK187" s="41" t="str">
        <f aca="false">IF(AND(Tasks[[#This Row],[_IsLeaf]]=1,Tasks[[#This Row],[_LeafProgress]]&lt;1,OR(N(Tasks[[#This Row],[Finish Var]])&gt;0,Tasks[[#This Row],[Status]]="Late Start")),MAX(0,Tasks[[#This Row],[Finish Var]])+1-Tasks[[#This Row],[_Row]]/1000000,"")</f>
        <v/>
      </c>
      <c r="DL187" s="41" t="str">
        <f aca="false">IF(AND(Tasks[[#This Row],[_IsLeaf]]=1,N(Tasks[[#This Row],[Actual Start]])=0,Tasks[[#This Row],[_LeafFcstStart]]&gt;=StatusDate,Tasks[[#This Row],[_LeafFcstStart]]&lt;=LookaheadEnd),Tasks[[#This Row],[_LeafFcstStart]]+Tasks[[#This Row],[_Row]]/100000,"")</f>
        <v/>
      </c>
      <c r="DM187" s="41" t="str">
        <f aca="false">IF(AND(Tasks[[#This Row],[_IsLeaf]]=1,Tasks[[#This Row],[_LeafProgress]]&lt;1,Tasks[[#This Row],[_LeafFcstFinish]]&gt;=StatusDate,Tasks[[#This Row],[_LeafFcstFinish]]&lt;=LookaheadEnd),Tasks[[#This Row],[_LeafFcstFinish]]+Tasks[[#This Row],[_Row]]/100000,"")</f>
        <v/>
      </c>
      <c r="DN187" s="41" t="str">
        <f aca="false">IF(Tasks[[#This Row],[_LeafCritical]],Tasks[[#This Row],[_LeafFcstStart]]+Tasks[[#This Row],[_Row]]/100000,"")</f>
        <v/>
      </c>
      <c r="DO187" s="41" t="n">
        <f aca="false">Tasks[[#This Row],[_LeafWork]]*Tasks[[#This Row],[_LeafProgress]]</f>
        <v>0</v>
      </c>
      <c r="DP187" s="100" t="str">
        <f aca="false">IF(AND(Tasks[[#This Row],[_IsLeaf]]=1,Tasks[[#This Row],[_LeafProgress]]&gt;=1),IF(N(Tasks[[#This Row],[Actual Finish]])&gt;0,Tasks[[#This Row],[Actual Finish]],Tasks[[#This Row],[_LeafFcstFinish]]),"")</f>
        <v/>
      </c>
      <c r="DQ187" s="41" t="n">
        <f aca="false">IF(Tasks[[#This Row],[_IsLeaf]]=1,N(Tasks[[#This Row],[Story Points]]),0)</f>
        <v>0</v>
      </c>
      <c r="DR187" s="41" t="str">
        <f aca="false">IF(AND(Tasks[[#This Row],[_IsLeaf]]=1,CurrentSprint&lt;&gt;"",Tasks[[#This Row],[Sprint]]=CurrentSprint),Tasks[[#This Row],[_Row]],"")</f>
        <v/>
      </c>
    </row>
    <row r="188" customFormat="false" ht="15" hidden="false" customHeight="false" outlineLevel="0" collapsed="false">
      <c r="A188" s="28" t="str">
        <f aca="false">IF(Tasks[[#This Row],[Task Name]]="","",COUNTA(Tasks[[#Headers],[Task Name]]:Tasks[[#This Row],[Task Name]])-1)</f>
        <v/>
      </c>
      <c r="B188" s="29" t="n">
        <v>183</v>
      </c>
      <c r="C18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8" s="29"/>
      <c r="E188" s="30"/>
      <c r="F188" s="29"/>
      <c r="G188" s="29"/>
      <c r="H188" s="29"/>
      <c r="I188" s="29"/>
      <c r="J188" s="29"/>
      <c r="K188" s="29"/>
      <c r="L188" s="29"/>
      <c r="M188" s="29"/>
      <c r="N188" s="73"/>
      <c r="O188" s="73"/>
      <c r="P188" s="25" t="str">
        <f aca="false">IF(Tasks[[#This Row],[Task Name]]="","",IF(N(Tasks[[#This Row],[Baseline Start]])&gt;0,Tasks[[#This Row],[Baseline Start]],Tasks[[#This Row],[_CalcStart]]))</f>
        <v/>
      </c>
      <c r="Q188" s="25" t="str">
        <f aca="false">IF(Tasks[[#This Row],[Task Name]]="","",IF(N(Tasks[[#This Row],[Baseline Finish]])&gt;0,Tasks[[#This Row],[Baseline Finish]],Tasks[[#This Row],[_CalcFinish]]))</f>
        <v/>
      </c>
      <c r="R188" s="73"/>
      <c r="S188" s="73"/>
      <c r="T188" s="25" t="str">
        <f aca="false">IF(Tasks[[#This Row],[Task Name]]="","",IF(Tasks[[#This Row],[_IsSummary]],MIN(INDEX(Tasks[_LeafFcstStart],Tasks[[#This Row],[_Row]]+1):INDEX(Tasks[_LeafFcstStart],Tasks[[#This Row],[_Row]]+Tasks[[#This Row],[_Descendants]])),Tasks[[#This Row],[_LeafFcstStart]]))</f>
        <v/>
      </c>
      <c r="U188" s="25" t="str">
        <f aca="false">IF(Tasks[[#This Row],[Task Name]]="","",IF(Tasks[[#This Row],[_IsSummary]],MAX(INDEX(Tasks[_LeafFcstFinish],Tasks[[#This Row],[_Row]]+1):INDEX(Tasks[_LeafFcstFinish],Tasks[[#This Row],[_Row]]+Tasks[[#This Row],[_Descendants]])),Tasks[[#This Row],[_LeafFcstFinish]]))</f>
        <v/>
      </c>
      <c r="V18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8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8" s="25" t="str">
        <f aca="false">IF(Tasks[[#This Row],[Task Name]]="","",IF(Tasks[[#This Row],[_IsSummary]],MIN(INDEX(Tasks[_LeafLateStart],Tasks[[#This Row],[_Row]]+1):INDEX(Tasks[_LeafLateStart],Tasks[[#This Row],[_Row]]+Tasks[[#This Row],[_Descendants]])),Tasks[[#This Row],[_LeafLateStart]]))</f>
        <v/>
      </c>
      <c r="Y188" s="25" t="str">
        <f aca="false">IF(Tasks[[#This Row],[Task Name]]="","",IF(Tasks[[#This Row],[_IsSummary]],MAX(INDEX(Tasks[_LeafLateFinish],Tasks[[#This Row],[_Row]]+1):INDEX(Tasks[_LeafLateFinish],Tasks[[#This Row],[_Row]]+Tasks[[#This Row],[_Descendants]])),Tasks[[#This Row],[_LeafLateFinish]]))</f>
        <v/>
      </c>
      <c r="Z188" s="43" t="str">
        <f aca="false">IF(Tasks[[#This Row],[Task Name]]="","",IF(Tasks[[#This Row],[_IsSummary]],MIN(INDEX(Tasks[_LeafTotalSlack],Tasks[[#This Row],[_Row]]+1):INDEX(Tasks[_LeafTotalSlack],Tasks[[#This Row],[_Row]]+Tasks[[#This Row],[_Descendants]])),Tasks[[#This Row],[_LeafTotalSlack]]))</f>
        <v/>
      </c>
      <c r="AA18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8" s="28" t="str">
        <f aca="false">IF(Tasks[[#This Row],[Task Name]]="","",IF(IF(Tasks[[#This Row],[_IsSummary]],COUNTIF(INDEX(Tasks[_LeafCritical],Tasks[[#This Row],[_Row]]+1):INDEX(Tasks[_LeafCritical],Tasks[[#This Row],[_Row]]+Tasks[[#This Row],[_Descendants]]),TRUE())&gt;0,Tasks[[#This Row],[_LeafCritical]]),"Yes",""))</f>
        <v/>
      </c>
      <c r="AC18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8" s="24" t="str">
        <f aca="false">IF(Tasks[[#This Row],[Task Name]]="","",TRIM(IF(Tasks[[#This Row],[_Pred1Problem]]&lt;&gt;"","Pred 1: "&amp;Tasks[[#This Row],[_Pred1Problem]]&amp;". ","")&amp;IF(Tasks[[#This Row],[_Pred2Problem]]&lt;&gt;"","Pred 2: "&amp;Tasks[[#This Row],[_Pred2Problem]]&amp;".","")))</f>
        <v/>
      </c>
      <c r="AE188" s="88"/>
      <c r="AF188"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8" s="28" t="str">
        <f aca="false">IF(Tasks[[#This Row],[Task Name]]="","",IF(Tasks[[#This Row],[Progress]]&gt;=1,"Complete",IF(OR(N(Tasks[[#This Row],[Actual Start]])&gt;0,Tasks[[#This Row],[Progress]]&gt;0),IF(Tasks[[#This Row],[Finish Var]]&gt;0,"Behind","In Progress"),IF(Tasks[[#This Row],[Planned Start]]&lt;StatusDate,"Late Start","Not Started"))))</f>
        <v/>
      </c>
      <c r="AH188" s="30"/>
      <c r="AI188" s="88"/>
      <c r="AJ188" s="95" t="str">
        <f aca="false">IF(Tasks[[#This Row],[Task Name]]="","",IF(Tasks[[#This Row],[_IsSummary]],SUM(INDEX(Tasks[_LeafWork],Tasks[[#This Row],[_Row]]+1):INDEX(Tasks[_LeafWork],Tasks[[#This Row],[_Row]]+Tasks[[#This Row],[_Descendants]])),Tasks[[#This Row],[_LeafWork]]))</f>
        <v/>
      </c>
      <c r="AK188" s="96" t="str">
        <f aca="false">IF(Tasks[[#This Row],[Task Name]]="","",IF(Tasks[[#This Row],[_IsSummary]],SUM(INDEX(Tasks[_LeafCost],Tasks[[#This Row],[_Row]]+1):INDEX(Tasks[_LeafCost],Tasks[[#This Row],[_Row]]+Tasks[[#This Row],[_Descendants]])),Tasks[[#This Row],[_LeafCost]]))</f>
        <v/>
      </c>
      <c r="AL188" s="97"/>
      <c r="AM188" s="29"/>
      <c r="AN18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88" s="82"/>
      <c r="AP188" s="24" t="str">
        <f aca="false">IF(Tasks[[#This Row],[Task Name]]="","",Tasks[[#This Row],[_Pred1IDText]]&amp;IF(AND(Tasks[[#This Row],[_Pred1IDText]]&lt;&gt;"",Tasks[[#This Row],[_Pred2IDText]]&lt;&gt;""),",","")&amp;Tasks[[#This Row],[_Pred2IDText]])</f>
        <v/>
      </c>
      <c r="AQ188" s="30"/>
      <c r="AR188" s="25" t="str">
        <f aca="false">IF(Tasks[[#This Row],[Task Name]]="","",Tasks[[#This Row],[Forecast Start]])</f>
        <v/>
      </c>
      <c r="AS188" s="25" t="str">
        <f aca="false">IF(Tasks[[#This Row],[Task Name]]="","",Tasks[[#This Row],[Forecast Finish]])</f>
        <v/>
      </c>
      <c r="AT188" s="28" t="str">
        <f aca="false">IF(Tasks[[#This Row],[Task Name]]="","",IF(Tasks[[#This Row],[_IsSummary]],NETWORKDAYS.INTL(Tasks[[#This Row],[Forecast Start]],Tasks[[#This Row],[Forecast Finish]],WorkWeek,Holidays),N(Tasks[[#This Row],[Duration]])))</f>
        <v/>
      </c>
      <c r="AU188" s="95" t="str">
        <f aca="false">IF(Tasks[[#This Row],[Task Name]]="","",Tasks[[#This Row],[Work]])</f>
        <v/>
      </c>
      <c r="AV188" s="96" t="str">
        <f aca="false">IF(Tasks[[#This Row],[Task Name]]="","",Tasks[[#This Row],[Cost]])</f>
        <v/>
      </c>
      <c r="AW188" s="73"/>
      <c r="AX188" s="73"/>
      <c r="AY188" s="29"/>
      <c r="AZ188" s="98"/>
      <c r="BA188" s="97"/>
      <c r="BB188" s="28" t="str">
        <f aca="false">IF(OR(Tasks[[#This Row],[Task Name]]="",Tasks[[#This Row],[Baseline Duration]]=""),"",Tasks[[#This Row],[BL Source Duration]]-N(Tasks[[#This Row],[Baseline Duration]]))</f>
        <v/>
      </c>
      <c r="BC188" s="95" t="str">
        <f aca="false">IF(OR(Tasks[[#This Row],[Task Name]]="",Tasks[[#This Row],[Baseline Work]]=""),"",Tasks[[#This Row],[Work]]-N(Tasks[[#This Row],[Baseline Work]]))</f>
        <v/>
      </c>
      <c r="BD188" s="96" t="str">
        <f aca="false">IF(OR(Tasks[[#This Row],[Task Name]]="",Tasks[[#This Row],[Baseline Cost]]=""),"",Tasks[[#This Row],[Cost]]-N(Tasks[[#This Row],[Baseline Cost]]))</f>
        <v/>
      </c>
      <c r="BE188" s="96" t="str">
        <f aca="false">IF(Tasks[[#This Row],[Task Name]]="","",IF(Tasks[[#This Row],[_IsSummary]],SUM(INDEX(Tasks[_LeafBudget],Tasks[[#This Row],[_Row]]+1):INDEX(Tasks[_LeafBudget],Tasks[[#This Row],[_Row]]+Tasks[[#This Row],[_Descendants]])),Tasks[[#This Row],[_LeafBudget]]))</f>
        <v/>
      </c>
      <c r="BF188" s="96" t="str">
        <f aca="false">IF(Tasks[[#This Row],[Task Name]]="","",IF(Tasks[[#This Row],[_IsSummary]],SUM(INDEX(Tasks[_LeafPV],Tasks[[#This Row],[_Row]]+1):INDEX(Tasks[_LeafPV],Tasks[[#This Row],[_Row]]+Tasks[[#This Row],[_Descendants]])),Tasks[[#This Row],[_LeafPV]]))</f>
        <v/>
      </c>
      <c r="BG188" s="96" t="str">
        <f aca="false">IF(Tasks[[#This Row],[Task Name]]="","",IF(Tasks[[#This Row],[_IsSummary]],SUM(INDEX(Tasks[_LeafEV],Tasks[[#This Row],[_Row]]+1):INDEX(Tasks[_LeafEV],Tasks[[#This Row],[_Row]]+Tasks[[#This Row],[_Descendants]])),Tasks[[#This Row],[_LeafEV]]))</f>
        <v/>
      </c>
      <c r="BH188" s="96" t="str">
        <f aca="false">IF(Tasks[[#This Row],[Task Name]]="","",IF(Tasks[[#This Row],[_IsSummary]],SUM(INDEX(Tasks[_LeafAC],Tasks[[#This Row],[_Row]]+1):INDEX(Tasks[_LeafAC],Tasks[[#This Row],[_Row]]+Tasks[[#This Row],[_Descendants]])),Tasks[[#This Row],[_LeafAC]]))</f>
        <v/>
      </c>
      <c r="BI188" s="41" t="str">
        <f aca="false">IF(Tasks[[#This Row],[Task Name]]="","",MAX(1,N(Tasks[[#This Row],[Level]])))</f>
        <v/>
      </c>
      <c r="BJ188" s="41" t="n">
        <f aca="false">ROW()-ROW(Tasks[[#Headers],[ID]])</f>
        <v>183</v>
      </c>
      <c r="BK188" s="41" t="n">
        <f aca="false">IF(OR(Tasks[[#This Row],[Task Name]]="",Tasks[[#This Row],[_Level]]&lt;=1),0,IFERROR(LOOKUP(2,1/(Tasks[[#Headers],[_Level]]:Tasks[[#This Row],[_Level]]=Tasks[[#This Row],[_Level]]-1),ROW(Tasks[[#Headers],[_Level]]:Tasks[[#This Row],[_Level]])),0))</f>
        <v>0</v>
      </c>
      <c r="BL188" s="41" t="n">
        <f aca="false">IFERROR(N(INDEX(Tasks[_Level],Tasks[[#This Row],[_Row]]+1)),0)</f>
        <v>0</v>
      </c>
      <c r="BM188" s="99" t="b">
        <f aca="false">AND(Tasks[[#This Row],[Task Name]]&lt;&gt;"",Tasks[[#This Row],[_NextLevel]]&gt;Tasks[[#This Row],[_Level]])</f>
        <v>0</v>
      </c>
      <c r="BN188" s="41" t="n">
        <f aca="false">IF(Tasks[[#This Row],[_IsSummary]],COUNTIF(Tasks[WBS],Tasks[[#This Row],[WBS]]&amp;".*"),0)</f>
        <v>0</v>
      </c>
      <c r="BO188" s="41" t="n">
        <f aca="false">IF(AND(Tasks[[#This Row],[Task Name]]&lt;&gt;"",NOT(Tasks[[#This Row],[_IsSummary]])),1,0)</f>
        <v>0</v>
      </c>
      <c r="BP188" s="41" t="n">
        <f aca="false">IF(N(Tasks[[#This Row],[Pred1 UID]])=0,0,IFERROR(MATCH(Tasks[[#This Row],[Pred1 UID]],Tasks[UID],0),-1))</f>
        <v>0</v>
      </c>
      <c r="BQ188" s="41" t="n">
        <f aca="false">IF(N(Tasks[[#This Row],[Pred2 UID]])=0,0,IFERROR(MATCH(Tasks[[#This Row],[Pred2 UID]],Tasks[UID],0),-1))</f>
        <v>0</v>
      </c>
      <c r="BR188"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88" s="100" t="str">
        <f aca="false">IF(NOT(Tasks[[#This Row],[_IsLeaf]]=1),"",IF(N(Tasks[[#This Row],[Duration]])&lt;=0,Tasks[[#This Row],[_LeafCalcStart]],WORKDAY.INTL(Tasks[[#This Row],[_LeafCalcStart]],Tasks[[#This Row],[Duration]]-1,WorkWeek,Holidays)))</f>
        <v/>
      </c>
      <c r="BT188"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88"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88" s="41" t="n">
        <f aca="false">IF(NOT(Tasks[[#This Row],[_IsLeaf]]=1),0,IF(N(Tasks[[#This Row],[Actual Finish]])&gt;0,1,MIN(1,N(Tasks[[#This Row],[% Complete]]))))</f>
        <v>0</v>
      </c>
      <c r="BW188" s="41" t="n">
        <f aca="false">IF(OR(NOT(Tasks[[#This Row],[_IsLeaf]]=1),Tasks[[#This Row],[Resource]]=""),0,N(Tasks[[#This Row],[Duration]])*HoursPerDay*IF(Tasks[[#This Row],[Units]]="",DefaultUnits,Tasks[[#This Row],[Units]]))</f>
        <v>0</v>
      </c>
      <c r="BX188" s="41" t="n">
        <f aca="false">IF(Tasks[[#This Row],[_LeafWork]]=0,0,Tasks[[#This Row],[_LeafWork]]*IFERROR(INDEX(res_Rate,MATCH(Tasks[[#This Row],[Resource]],res_Name,0)),0))</f>
        <v>0</v>
      </c>
      <c r="BY18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8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8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8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88" s="41" t="n">
        <f aca="false">IF(NOT(Tasks[[#This Row],[_IsLeaf]]=1),0,MAX(_xlfn.MAXIFS(Tasks[_Row],Tasks[Pred1 UID],Tasks[[#This Row],[UID]]),_xlfn.MAXIFS(Tasks[_Row],Tasks[Pred2 UID],Tasks[[#This Row],[UID]])))</f>
        <v>0</v>
      </c>
      <c r="CD188"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88" s="100" t="str">
        <f aca="false">IF(NOT(Tasks[[#This Row],[_IsLeaf]]=1),"",MIN(ProjectFinish,IF(N(Tasks[[#This Row],[Deadline]])&gt;0,Tasks[[#This Row],[Deadline]],2958465),Tasks[[#This Row],[_SuccessorFinishLimit]]))</f>
        <v/>
      </c>
      <c r="CF188" s="100" t="str">
        <f aca="false">IF(NOT(Tasks[[#This Row],[_IsLeaf]]=1),"",IF(N(Tasks[[#This Row],[Duration]])&lt;=0,Tasks[[#This Row],[_LeafLateFinish]],WORKDAY.INTL(Tasks[[#This Row],[_LeafLateFinish]],-(Tasks[[#This Row],[Duration]]-1),WorkWeek,Holidays)))</f>
        <v/>
      </c>
      <c r="CG18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88" s="99" t="b">
        <f aca="false">AND(Tasks[[#This Row],[_IsLeaf]]=1,Tasks[[#This Row],[_LeafProgress]]&lt;1,N(Tasks[[#This Row],[_LeafTotalSlack]])&lt;=CriticalSlackDays)</f>
        <v>0</v>
      </c>
      <c r="CI188" s="100" t="str">
        <f aca="false">IF(Tasks[[#This Row],[Task Name]]="","",IF(Tasks[[#This Row],[_IsSummary]],MIN(INDEX(Tasks[_LeafCalcStart],Tasks[[#This Row],[_Row]]+1):INDEX(Tasks[_LeafCalcStart],Tasks[[#This Row],[_Row]]+Tasks[[#This Row],[_Descendants]])),Tasks[[#This Row],[_LeafCalcStart]]))</f>
        <v/>
      </c>
      <c r="CJ188" s="100" t="str">
        <f aca="false">IF(Tasks[[#This Row],[Task Name]]="","",IF(Tasks[[#This Row],[_IsSummary]],MAX(INDEX(Tasks[_LeafCalcFinish],Tasks[[#This Row],[_Row]]+1):INDEX(Tasks[_LeafCalcFinish],Tasks[[#This Row],[_Row]]+Tasks[[#This Row],[_Descendants]])),Tasks[[#This Row],[_LeafCalcFinish]]))</f>
        <v/>
      </c>
      <c r="CK18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8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88"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88"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88"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88"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88" s="41" t="n">
        <f aca="false">IF(AND(Tasks[[#This Row],[_IsLeaf]]=1,Tasks[[#This Row],[_LeafWork]]&gt;0),NETWORKDAYS.INTL(ProjectStart,Tasks[[#This Row],[_LeafFcstStart]],WorkWeek,Holidays),0)</f>
        <v>0</v>
      </c>
      <c r="CR188" s="41" t="n">
        <f aca="false">IF(AND(Tasks[[#This Row],[_IsLeaf]]=1,Tasks[[#This Row],[_LeafWork]]&gt;0),MAX(Tasks[[#This Row],[_StartWorkday]],NETWORKDAYS.INTL(ProjectStart,Tasks[[#This Row],[_LeafFcstFinish]],WorkWeek,Holidays)),0)</f>
        <v>0</v>
      </c>
      <c r="CS188" s="41" t="n">
        <f aca="false">IF(AND(Tasks[[#This Row],[_IsLeaf]]=1,Tasks[[#This Row],[_LeafWork]]&gt;0),Tasks[[#This Row],[_LeafWork]]/(Tasks[[#This Row],[_FinishWorkday]]-Tasks[[#This Row],[_StartWorkday]]+1),0)</f>
        <v>0</v>
      </c>
      <c r="CT188" s="41" t="n">
        <f aca="false">Tasks[[#This Row],[_WorkPerWorkday]]*(Tasks[[#This Row],[_StartWorkday]]-1)</f>
        <v>-0</v>
      </c>
      <c r="CU188" s="41" t="n">
        <f aca="false">IF(Tasks[[#This Row],[_IsLeaf]]=1,MAX(N(Tasks[[#This Row],[Duration]]),0.1),0)</f>
        <v>0</v>
      </c>
      <c r="CV188" s="41" t="n">
        <f aca="false">Tasks[[#This Row],[_WeightDur]]*Tasks[[#This Row],[_LeafProgress]]</f>
        <v>0</v>
      </c>
      <c r="CW18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8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8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8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88" s="41" t="str">
        <f aca="false">IF(Tasks[[#This Row],[Task Name]]="","",Tasks[[#This Row],[_Pred1UIDText]]&amp;IF(AND(Tasks[[#This Row],[_Pred1UIDText]]&lt;&gt;"",Tasks[[#This Row],[_Pred2UIDText]]&lt;&gt;""),",","")&amp;Tasks[[#This Row],[_Pred2UIDText]])</f>
        <v/>
      </c>
      <c r="DB188" s="41" t="str">
        <f aca="false">IF(AND(Tasks[[#This Row],[_IsLeaf]]=1,N(Tasks[[#This Row],[Duration]])=0,Tasks[[#This Row],[_LeafProgress]]&lt;1),Tasks[[#This Row],[_LeafFcstFinish]]+Tasks[[#This Row],[_Row]]/100000,"")</f>
        <v/>
      </c>
      <c r="DC18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88" s="41" t="n">
        <f aca="false">IF(NOT(Tasks[[#This Row],[_IsLeaf]]=1),0,IF(Tasks[[#This Row],[Baseline Cost]]="",Tasks[[#This Row],[_LeafCost]],N(Tasks[[#This Row],[Baseline Cost]])))</f>
        <v>0</v>
      </c>
      <c r="DE188" s="41" t="n">
        <f aca="false">Tasks[[#This Row],[_LeafBudget]]*Tasks[[#This Row],[_PlannedPct]]</f>
        <v>0</v>
      </c>
      <c r="DF188" s="41" t="n">
        <f aca="false">Tasks[[#This Row],[_LeafBudget]]*Tasks[[#This Row],[_LeafProgress]]</f>
        <v>0</v>
      </c>
      <c r="DG188" s="41" t="n">
        <f aca="false">IF(NOT(Tasks[[#This Row],[_IsLeaf]]=1),0,IF(Tasks[[#This Row],[Actual Cost]]="",Tasks[[#This Row],[_LeafCost]]*Tasks[[#This Row],[_LeafProgress]],N(Tasks[[#This Row],[Actual Cost]])))</f>
        <v>0</v>
      </c>
      <c r="DH188" s="41" t="str">
        <f aca="false">IF(Tasks[[#This Row],[Task Name]]="","",LEFT(Tasks[[#This Row],[WBS]],FIND(".",Tasks[[#This Row],[WBS]]&amp;".")-1))</f>
        <v/>
      </c>
      <c r="DI188" s="41" t="str">
        <f aca="false">IF(AND(Tasks[[#This Row],[Task Name]]&lt;&gt;"",Tasks[[#This Row],[_Level]]=1),Tasks[[#This Row],[_Row]],"")</f>
        <v/>
      </c>
      <c r="DJ188" s="41" t="str">
        <f aca="false">IF(AND(Tasks[[#This Row],[_IsLeaf]]=1,N(Tasks[[#This Row],[Duration]])=0),Tasks[[#This Row],[Planned Finish]]+Tasks[[#This Row],[_Row]]/100000,"")</f>
        <v/>
      </c>
      <c r="DK188" s="41" t="str">
        <f aca="false">IF(AND(Tasks[[#This Row],[_IsLeaf]]=1,Tasks[[#This Row],[_LeafProgress]]&lt;1,OR(N(Tasks[[#This Row],[Finish Var]])&gt;0,Tasks[[#This Row],[Status]]="Late Start")),MAX(0,Tasks[[#This Row],[Finish Var]])+1-Tasks[[#This Row],[_Row]]/1000000,"")</f>
        <v/>
      </c>
      <c r="DL188" s="41" t="str">
        <f aca="false">IF(AND(Tasks[[#This Row],[_IsLeaf]]=1,N(Tasks[[#This Row],[Actual Start]])=0,Tasks[[#This Row],[_LeafFcstStart]]&gt;=StatusDate,Tasks[[#This Row],[_LeafFcstStart]]&lt;=LookaheadEnd),Tasks[[#This Row],[_LeafFcstStart]]+Tasks[[#This Row],[_Row]]/100000,"")</f>
        <v/>
      </c>
      <c r="DM188" s="41" t="str">
        <f aca="false">IF(AND(Tasks[[#This Row],[_IsLeaf]]=1,Tasks[[#This Row],[_LeafProgress]]&lt;1,Tasks[[#This Row],[_LeafFcstFinish]]&gt;=StatusDate,Tasks[[#This Row],[_LeafFcstFinish]]&lt;=LookaheadEnd),Tasks[[#This Row],[_LeafFcstFinish]]+Tasks[[#This Row],[_Row]]/100000,"")</f>
        <v/>
      </c>
      <c r="DN188" s="41" t="str">
        <f aca="false">IF(Tasks[[#This Row],[_LeafCritical]],Tasks[[#This Row],[_LeafFcstStart]]+Tasks[[#This Row],[_Row]]/100000,"")</f>
        <v/>
      </c>
      <c r="DO188" s="41" t="n">
        <f aca="false">Tasks[[#This Row],[_LeafWork]]*Tasks[[#This Row],[_LeafProgress]]</f>
        <v>0</v>
      </c>
      <c r="DP188" s="100" t="str">
        <f aca="false">IF(AND(Tasks[[#This Row],[_IsLeaf]]=1,Tasks[[#This Row],[_LeafProgress]]&gt;=1),IF(N(Tasks[[#This Row],[Actual Finish]])&gt;0,Tasks[[#This Row],[Actual Finish]],Tasks[[#This Row],[_LeafFcstFinish]]),"")</f>
        <v/>
      </c>
      <c r="DQ188" s="41" t="n">
        <f aca="false">IF(Tasks[[#This Row],[_IsLeaf]]=1,N(Tasks[[#This Row],[Story Points]]),0)</f>
        <v>0</v>
      </c>
      <c r="DR188" s="41" t="str">
        <f aca="false">IF(AND(Tasks[[#This Row],[_IsLeaf]]=1,CurrentSprint&lt;&gt;"",Tasks[[#This Row],[Sprint]]=CurrentSprint),Tasks[[#This Row],[_Row]],"")</f>
        <v/>
      </c>
    </row>
    <row r="189" customFormat="false" ht="15" hidden="false" customHeight="false" outlineLevel="0" collapsed="false">
      <c r="A189" s="28" t="str">
        <f aca="false">IF(Tasks[[#This Row],[Task Name]]="","",COUNTA(Tasks[[#Headers],[Task Name]]:Tasks[[#This Row],[Task Name]])-1)</f>
        <v/>
      </c>
      <c r="B189" s="29" t="n">
        <v>184</v>
      </c>
      <c r="C18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9" s="29"/>
      <c r="E189" s="30"/>
      <c r="F189" s="29"/>
      <c r="G189" s="29"/>
      <c r="H189" s="29"/>
      <c r="I189" s="29"/>
      <c r="J189" s="29"/>
      <c r="K189" s="29"/>
      <c r="L189" s="29"/>
      <c r="M189" s="29"/>
      <c r="N189" s="73"/>
      <c r="O189" s="73"/>
      <c r="P189" s="25" t="str">
        <f aca="false">IF(Tasks[[#This Row],[Task Name]]="","",IF(N(Tasks[[#This Row],[Baseline Start]])&gt;0,Tasks[[#This Row],[Baseline Start]],Tasks[[#This Row],[_CalcStart]]))</f>
        <v/>
      </c>
      <c r="Q189" s="25" t="str">
        <f aca="false">IF(Tasks[[#This Row],[Task Name]]="","",IF(N(Tasks[[#This Row],[Baseline Finish]])&gt;0,Tasks[[#This Row],[Baseline Finish]],Tasks[[#This Row],[_CalcFinish]]))</f>
        <v/>
      </c>
      <c r="R189" s="73"/>
      <c r="S189" s="73"/>
      <c r="T189" s="25" t="str">
        <f aca="false">IF(Tasks[[#This Row],[Task Name]]="","",IF(Tasks[[#This Row],[_IsSummary]],MIN(INDEX(Tasks[_LeafFcstStart],Tasks[[#This Row],[_Row]]+1):INDEX(Tasks[_LeafFcstStart],Tasks[[#This Row],[_Row]]+Tasks[[#This Row],[_Descendants]])),Tasks[[#This Row],[_LeafFcstStart]]))</f>
        <v/>
      </c>
      <c r="U189" s="25" t="str">
        <f aca="false">IF(Tasks[[#This Row],[Task Name]]="","",IF(Tasks[[#This Row],[_IsSummary]],MAX(INDEX(Tasks[_LeafFcstFinish],Tasks[[#This Row],[_Row]]+1):INDEX(Tasks[_LeafFcstFinish],Tasks[[#This Row],[_Row]]+Tasks[[#This Row],[_Descendants]])),Tasks[[#This Row],[_LeafFcstFinish]]))</f>
        <v/>
      </c>
      <c r="V18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8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9" s="25" t="str">
        <f aca="false">IF(Tasks[[#This Row],[Task Name]]="","",IF(Tasks[[#This Row],[_IsSummary]],MIN(INDEX(Tasks[_LeafLateStart],Tasks[[#This Row],[_Row]]+1):INDEX(Tasks[_LeafLateStart],Tasks[[#This Row],[_Row]]+Tasks[[#This Row],[_Descendants]])),Tasks[[#This Row],[_LeafLateStart]]))</f>
        <v/>
      </c>
      <c r="Y189" s="25" t="str">
        <f aca="false">IF(Tasks[[#This Row],[Task Name]]="","",IF(Tasks[[#This Row],[_IsSummary]],MAX(INDEX(Tasks[_LeafLateFinish],Tasks[[#This Row],[_Row]]+1):INDEX(Tasks[_LeafLateFinish],Tasks[[#This Row],[_Row]]+Tasks[[#This Row],[_Descendants]])),Tasks[[#This Row],[_LeafLateFinish]]))</f>
        <v/>
      </c>
      <c r="Z189" s="43" t="str">
        <f aca="false">IF(Tasks[[#This Row],[Task Name]]="","",IF(Tasks[[#This Row],[_IsSummary]],MIN(INDEX(Tasks[_LeafTotalSlack],Tasks[[#This Row],[_Row]]+1):INDEX(Tasks[_LeafTotalSlack],Tasks[[#This Row],[_Row]]+Tasks[[#This Row],[_Descendants]])),Tasks[[#This Row],[_LeafTotalSlack]]))</f>
        <v/>
      </c>
      <c r="AA18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9" s="28" t="str">
        <f aca="false">IF(Tasks[[#This Row],[Task Name]]="","",IF(IF(Tasks[[#This Row],[_IsSummary]],COUNTIF(INDEX(Tasks[_LeafCritical],Tasks[[#This Row],[_Row]]+1):INDEX(Tasks[_LeafCritical],Tasks[[#This Row],[_Row]]+Tasks[[#This Row],[_Descendants]]),TRUE())&gt;0,Tasks[[#This Row],[_LeafCritical]]),"Yes",""))</f>
        <v/>
      </c>
      <c r="AC18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9" s="24" t="str">
        <f aca="false">IF(Tasks[[#This Row],[Task Name]]="","",TRIM(IF(Tasks[[#This Row],[_Pred1Problem]]&lt;&gt;"","Pred 1: "&amp;Tasks[[#This Row],[_Pred1Problem]]&amp;". ","")&amp;IF(Tasks[[#This Row],[_Pred2Problem]]&lt;&gt;"","Pred 2: "&amp;Tasks[[#This Row],[_Pred2Problem]]&amp;".","")))</f>
        <v/>
      </c>
      <c r="AE189" s="88"/>
      <c r="AF189"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9" s="28" t="str">
        <f aca="false">IF(Tasks[[#This Row],[Task Name]]="","",IF(Tasks[[#This Row],[Progress]]&gt;=1,"Complete",IF(OR(N(Tasks[[#This Row],[Actual Start]])&gt;0,Tasks[[#This Row],[Progress]]&gt;0),IF(Tasks[[#This Row],[Finish Var]]&gt;0,"Behind","In Progress"),IF(Tasks[[#This Row],[Planned Start]]&lt;StatusDate,"Late Start","Not Started"))))</f>
        <v/>
      </c>
      <c r="AH189" s="30"/>
      <c r="AI189" s="88"/>
      <c r="AJ189" s="95" t="str">
        <f aca="false">IF(Tasks[[#This Row],[Task Name]]="","",IF(Tasks[[#This Row],[_IsSummary]],SUM(INDEX(Tasks[_LeafWork],Tasks[[#This Row],[_Row]]+1):INDEX(Tasks[_LeafWork],Tasks[[#This Row],[_Row]]+Tasks[[#This Row],[_Descendants]])),Tasks[[#This Row],[_LeafWork]]))</f>
        <v/>
      </c>
      <c r="AK189" s="96" t="str">
        <f aca="false">IF(Tasks[[#This Row],[Task Name]]="","",IF(Tasks[[#This Row],[_IsSummary]],SUM(INDEX(Tasks[_LeafCost],Tasks[[#This Row],[_Row]]+1):INDEX(Tasks[_LeafCost],Tasks[[#This Row],[_Row]]+Tasks[[#This Row],[_Descendants]])),Tasks[[#This Row],[_LeafCost]]))</f>
        <v/>
      </c>
      <c r="AL189" s="97"/>
      <c r="AM189" s="29"/>
      <c r="AN18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89" s="82"/>
      <c r="AP189" s="24" t="str">
        <f aca="false">IF(Tasks[[#This Row],[Task Name]]="","",Tasks[[#This Row],[_Pred1IDText]]&amp;IF(AND(Tasks[[#This Row],[_Pred1IDText]]&lt;&gt;"",Tasks[[#This Row],[_Pred2IDText]]&lt;&gt;""),",","")&amp;Tasks[[#This Row],[_Pred2IDText]])</f>
        <v/>
      </c>
      <c r="AQ189" s="30"/>
      <c r="AR189" s="25" t="str">
        <f aca="false">IF(Tasks[[#This Row],[Task Name]]="","",Tasks[[#This Row],[Forecast Start]])</f>
        <v/>
      </c>
      <c r="AS189" s="25" t="str">
        <f aca="false">IF(Tasks[[#This Row],[Task Name]]="","",Tasks[[#This Row],[Forecast Finish]])</f>
        <v/>
      </c>
      <c r="AT189" s="28" t="str">
        <f aca="false">IF(Tasks[[#This Row],[Task Name]]="","",IF(Tasks[[#This Row],[_IsSummary]],NETWORKDAYS.INTL(Tasks[[#This Row],[Forecast Start]],Tasks[[#This Row],[Forecast Finish]],WorkWeek,Holidays),N(Tasks[[#This Row],[Duration]])))</f>
        <v/>
      </c>
      <c r="AU189" s="95" t="str">
        <f aca="false">IF(Tasks[[#This Row],[Task Name]]="","",Tasks[[#This Row],[Work]])</f>
        <v/>
      </c>
      <c r="AV189" s="96" t="str">
        <f aca="false">IF(Tasks[[#This Row],[Task Name]]="","",Tasks[[#This Row],[Cost]])</f>
        <v/>
      </c>
      <c r="AW189" s="73"/>
      <c r="AX189" s="73"/>
      <c r="AY189" s="29"/>
      <c r="AZ189" s="98"/>
      <c r="BA189" s="97"/>
      <c r="BB189" s="28" t="str">
        <f aca="false">IF(OR(Tasks[[#This Row],[Task Name]]="",Tasks[[#This Row],[Baseline Duration]]=""),"",Tasks[[#This Row],[BL Source Duration]]-N(Tasks[[#This Row],[Baseline Duration]]))</f>
        <v/>
      </c>
      <c r="BC189" s="95" t="str">
        <f aca="false">IF(OR(Tasks[[#This Row],[Task Name]]="",Tasks[[#This Row],[Baseline Work]]=""),"",Tasks[[#This Row],[Work]]-N(Tasks[[#This Row],[Baseline Work]]))</f>
        <v/>
      </c>
      <c r="BD189" s="96" t="str">
        <f aca="false">IF(OR(Tasks[[#This Row],[Task Name]]="",Tasks[[#This Row],[Baseline Cost]]=""),"",Tasks[[#This Row],[Cost]]-N(Tasks[[#This Row],[Baseline Cost]]))</f>
        <v/>
      </c>
      <c r="BE189" s="96" t="str">
        <f aca="false">IF(Tasks[[#This Row],[Task Name]]="","",IF(Tasks[[#This Row],[_IsSummary]],SUM(INDEX(Tasks[_LeafBudget],Tasks[[#This Row],[_Row]]+1):INDEX(Tasks[_LeafBudget],Tasks[[#This Row],[_Row]]+Tasks[[#This Row],[_Descendants]])),Tasks[[#This Row],[_LeafBudget]]))</f>
        <v/>
      </c>
      <c r="BF189" s="96" t="str">
        <f aca="false">IF(Tasks[[#This Row],[Task Name]]="","",IF(Tasks[[#This Row],[_IsSummary]],SUM(INDEX(Tasks[_LeafPV],Tasks[[#This Row],[_Row]]+1):INDEX(Tasks[_LeafPV],Tasks[[#This Row],[_Row]]+Tasks[[#This Row],[_Descendants]])),Tasks[[#This Row],[_LeafPV]]))</f>
        <v/>
      </c>
      <c r="BG189" s="96" t="str">
        <f aca="false">IF(Tasks[[#This Row],[Task Name]]="","",IF(Tasks[[#This Row],[_IsSummary]],SUM(INDEX(Tasks[_LeafEV],Tasks[[#This Row],[_Row]]+1):INDEX(Tasks[_LeafEV],Tasks[[#This Row],[_Row]]+Tasks[[#This Row],[_Descendants]])),Tasks[[#This Row],[_LeafEV]]))</f>
        <v/>
      </c>
      <c r="BH189" s="96" t="str">
        <f aca="false">IF(Tasks[[#This Row],[Task Name]]="","",IF(Tasks[[#This Row],[_IsSummary]],SUM(INDEX(Tasks[_LeafAC],Tasks[[#This Row],[_Row]]+1):INDEX(Tasks[_LeafAC],Tasks[[#This Row],[_Row]]+Tasks[[#This Row],[_Descendants]])),Tasks[[#This Row],[_LeafAC]]))</f>
        <v/>
      </c>
      <c r="BI189" s="41" t="str">
        <f aca="false">IF(Tasks[[#This Row],[Task Name]]="","",MAX(1,N(Tasks[[#This Row],[Level]])))</f>
        <v/>
      </c>
      <c r="BJ189" s="41" t="n">
        <f aca="false">ROW()-ROW(Tasks[[#Headers],[ID]])</f>
        <v>184</v>
      </c>
      <c r="BK189" s="41" t="n">
        <f aca="false">IF(OR(Tasks[[#This Row],[Task Name]]="",Tasks[[#This Row],[_Level]]&lt;=1),0,IFERROR(LOOKUP(2,1/(Tasks[[#Headers],[_Level]]:Tasks[[#This Row],[_Level]]=Tasks[[#This Row],[_Level]]-1),ROW(Tasks[[#Headers],[_Level]]:Tasks[[#This Row],[_Level]])),0))</f>
        <v>0</v>
      </c>
      <c r="BL189" s="41" t="n">
        <f aca="false">IFERROR(N(INDEX(Tasks[_Level],Tasks[[#This Row],[_Row]]+1)),0)</f>
        <v>0</v>
      </c>
      <c r="BM189" s="99" t="b">
        <f aca="false">AND(Tasks[[#This Row],[Task Name]]&lt;&gt;"",Tasks[[#This Row],[_NextLevel]]&gt;Tasks[[#This Row],[_Level]])</f>
        <v>0</v>
      </c>
      <c r="BN189" s="41" t="n">
        <f aca="false">IF(Tasks[[#This Row],[_IsSummary]],COUNTIF(Tasks[WBS],Tasks[[#This Row],[WBS]]&amp;".*"),0)</f>
        <v>0</v>
      </c>
      <c r="BO189" s="41" t="n">
        <f aca="false">IF(AND(Tasks[[#This Row],[Task Name]]&lt;&gt;"",NOT(Tasks[[#This Row],[_IsSummary]])),1,0)</f>
        <v>0</v>
      </c>
      <c r="BP189" s="41" t="n">
        <f aca="false">IF(N(Tasks[[#This Row],[Pred1 UID]])=0,0,IFERROR(MATCH(Tasks[[#This Row],[Pred1 UID]],Tasks[UID],0),-1))</f>
        <v>0</v>
      </c>
      <c r="BQ189" s="41" t="n">
        <f aca="false">IF(N(Tasks[[#This Row],[Pred2 UID]])=0,0,IFERROR(MATCH(Tasks[[#This Row],[Pred2 UID]],Tasks[UID],0),-1))</f>
        <v>0</v>
      </c>
      <c r="BR189"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89" s="100" t="str">
        <f aca="false">IF(NOT(Tasks[[#This Row],[_IsLeaf]]=1),"",IF(N(Tasks[[#This Row],[Duration]])&lt;=0,Tasks[[#This Row],[_LeafCalcStart]],WORKDAY.INTL(Tasks[[#This Row],[_LeafCalcStart]],Tasks[[#This Row],[Duration]]-1,WorkWeek,Holidays)))</f>
        <v/>
      </c>
      <c r="BT189"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89"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89" s="41" t="n">
        <f aca="false">IF(NOT(Tasks[[#This Row],[_IsLeaf]]=1),0,IF(N(Tasks[[#This Row],[Actual Finish]])&gt;0,1,MIN(1,N(Tasks[[#This Row],[% Complete]]))))</f>
        <v>0</v>
      </c>
      <c r="BW189" s="41" t="n">
        <f aca="false">IF(OR(NOT(Tasks[[#This Row],[_IsLeaf]]=1),Tasks[[#This Row],[Resource]]=""),0,N(Tasks[[#This Row],[Duration]])*HoursPerDay*IF(Tasks[[#This Row],[Units]]="",DefaultUnits,Tasks[[#This Row],[Units]]))</f>
        <v>0</v>
      </c>
      <c r="BX189" s="41" t="n">
        <f aca="false">IF(Tasks[[#This Row],[_LeafWork]]=0,0,Tasks[[#This Row],[_LeafWork]]*IFERROR(INDEX(res_Rate,MATCH(Tasks[[#This Row],[Resource]],res_Name,0)),0))</f>
        <v>0</v>
      </c>
      <c r="BY18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8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8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8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89" s="41" t="n">
        <f aca="false">IF(NOT(Tasks[[#This Row],[_IsLeaf]]=1),0,MAX(_xlfn.MAXIFS(Tasks[_Row],Tasks[Pred1 UID],Tasks[[#This Row],[UID]]),_xlfn.MAXIFS(Tasks[_Row],Tasks[Pred2 UID],Tasks[[#This Row],[UID]])))</f>
        <v>0</v>
      </c>
      <c r="CD189"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89" s="100" t="str">
        <f aca="false">IF(NOT(Tasks[[#This Row],[_IsLeaf]]=1),"",MIN(ProjectFinish,IF(N(Tasks[[#This Row],[Deadline]])&gt;0,Tasks[[#This Row],[Deadline]],2958465),Tasks[[#This Row],[_SuccessorFinishLimit]]))</f>
        <v/>
      </c>
      <c r="CF189" s="100" t="str">
        <f aca="false">IF(NOT(Tasks[[#This Row],[_IsLeaf]]=1),"",IF(N(Tasks[[#This Row],[Duration]])&lt;=0,Tasks[[#This Row],[_LeafLateFinish]],WORKDAY.INTL(Tasks[[#This Row],[_LeafLateFinish]],-(Tasks[[#This Row],[Duration]]-1),WorkWeek,Holidays)))</f>
        <v/>
      </c>
      <c r="CG18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89" s="99" t="b">
        <f aca="false">AND(Tasks[[#This Row],[_IsLeaf]]=1,Tasks[[#This Row],[_LeafProgress]]&lt;1,N(Tasks[[#This Row],[_LeafTotalSlack]])&lt;=CriticalSlackDays)</f>
        <v>0</v>
      </c>
      <c r="CI189" s="100" t="str">
        <f aca="false">IF(Tasks[[#This Row],[Task Name]]="","",IF(Tasks[[#This Row],[_IsSummary]],MIN(INDEX(Tasks[_LeafCalcStart],Tasks[[#This Row],[_Row]]+1):INDEX(Tasks[_LeafCalcStart],Tasks[[#This Row],[_Row]]+Tasks[[#This Row],[_Descendants]])),Tasks[[#This Row],[_LeafCalcStart]]))</f>
        <v/>
      </c>
      <c r="CJ189" s="100" t="str">
        <f aca="false">IF(Tasks[[#This Row],[Task Name]]="","",IF(Tasks[[#This Row],[_IsSummary]],MAX(INDEX(Tasks[_LeafCalcFinish],Tasks[[#This Row],[_Row]]+1):INDEX(Tasks[_LeafCalcFinish],Tasks[[#This Row],[_Row]]+Tasks[[#This Row],[_Descendants]])),Tasks[[#This Row],[_LeafCalcFinish]]))</f>
        <v/>
      </c>
      <c r="CK18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8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89"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89"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89"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89"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89" s="41" t="n">
        <f aca="false">IF(AND(Tasks[[#This Row],[_IsLeaf]]=1,Tasks[[#This Row],[_LeafWork]]&gt;0),NETWORKDAYS.INTL(ProjectStart,Tasks[[#This Row],[_LeafFcstStart]],WorkWeek,Holidays),0)</f>
        <v>0</v>
      </c>
      <c r="CR189" s="41" t="n">
        <f aca="false">IF(AND(Tasks[[#This Row],[_IsLeaf]]=1,Tasks[[#This Row],[_LeafWork]]&gt;0),MAX(Tasks[[#This Row],[_StartWorkday]],NETWORKDAYS.INTL(ProjectStart,Tasks[[#This Row],[_LeafFcstFinish]],WorkWeek,Holidays)),0)</f>
        <v>0</v>
      </c>
      <c r="CS189" s="41" t="n">
        <f aca="false">IF(AND(Tasks[[#This Row],[_IsLeaf]]=1,Tasks[[#This Row],[_LeafWork]]&gt;0),Tasks[[#This Row],[_LeafWork]]/(Tasks[[#This Row],[_FinishWorkday]]-Tasks[[#This Row],[_StartWorkday]]+1),0)</f>
        <v>0</v>
      </c>
      <c r="CT189" s="41" t="n">
        <f aca="false">Tasks[[#This Row],[_WorkPerWorkday]]*(Tasks[[#This Row],[_StartWorkday]]-1)</f>
        <v>-0</v>
      </c>
      <c r="CU189" s="41" t="n">
        <f aca="false">IF(Tasks[[#This Row],[_IsLeaf]]=1,MAX(N(Tasks[[#This Row],[Duration]]),0.1),0)</f>
        <v>0</v>
      </c>
      <c r="CV189" s="41" t="n">
        <f aca="false">Tasks[[#This Row],[_WeightDur]]*Tasks[[#This Row],[_LeafProgress]]</f>
        <v>0</v>
      </c>
      <c r="CW18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8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8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8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89" s="41" t="str">
        <f aca="false">IF(Tasks[[#This Row],[Task Name]]="","",Tasks[[#This Row],[_Pred1UIDText]]&amp;IF(AND(Tasks[[#This Row],[_Pred1UIDText]]&lt;&gt;"",Tasks[[#This Row],[_Pred2UIDText]]&lt;&gt;""),",","")&amp;Tasks[[#This Row],[_Pred2UIDText]])</f>
        <v/>
      </c>
      <c r="DB189" s="41" t="str">
        <f aca="false">IF(AND(Tasks[[#This Row],[_IsLeaf]]=1,N(Tasks[[#This Row],[Duration]])=0,Tasks[[#This Row],[_LeafProgress]]&lt;1),Tasks[[#This Row],[_LeafFcstFinish]]+Tasks[[#This Row],[_Row]]/100000,"")</f>
        <v/>
      </c>
      <c r="DC18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89" s="41" t="n">
        <f aca="false">IF(NOT(Tasks[[#This Row],[_IsLeaf]]=1),0,IF(Tasks[[#This Row],[Baseline Cost]]="",Tasks[[#This Row],[_LeafCost]],N(Tasks[[#This Row],[Baseline Cost]])))</f>
        <v>0</v>
      </c>
      <c r="DE189" s="41" t="n">
        <f aca="false">Tasks[[#This Row],[_LeafBudget]]*Tasks[[#This Row],[_PlannedPct]]</f>
        <v>0</v>
      </c>
      <c r="DF189" s="41" t="n">
        <f aca="false">Tasks[[#This Row],[_LeafBudget]]*Tasks[[#This Row],[_LeafProgress]]</f>
        <v>0</v>
      </c>
      <c r="DG189" s="41" t="n">
        <f aca="false">IF(NOT(Tasks[[#This Row],[_IsLeaf]]=1),0,IF(Tasks[[#This Row],[Actual Cost]]="",Tasks[[#This Row],[_LeafCost]]*Tasks[[#This Row],[_LeafProgress]],N(Tasks[[#This Row],[Actual Cost]])))</f>
        <v>0</v>
      </c>
      <c r="DH189" s="41" t="str">
        <f aca="false">IF(Tasks[[#This Row],[Task Name]]="","",LEFT(Tasks[[#This Row],[WBS]],FIND(".",Tasks[[#This Row],[WBS]]&amp;".")-1))</f>
        <v/>
      </c>
      <c r="DI189" s="41" t="str">
        <f aca="false">IF(AND(Tasks[[#This Row],[Task Name]]&lt;&gt;"",Tasks[[#This Row],[_Level]]=1),Tasks[[#This Row],[_Row]],"")</f>
        <v/>
      </c>
      <c r="DJ189" s="41" t="str">
        <f aca="false">IF(AND(Tasks[[#This Row],[_IsLeaf]]=1,N(Tasks[[#This Row],[Duration]])=0),Tasks[[#This Row],[Planned Finish]]+Tasks[[#This Row],[_Row]]/100000,"")</f>
        <v/>
      </c>
      <c r="DK189" s="41" t="str">
        <f aca="false">IF(AND(Tasks[[#This Row],[_IsLeaf]]=1,Tasks[[#This Row],[_LeafProgress]]&lt;1,OR(N(Tasks[[#This Row],[Finish Var]])&gt;0,Tasks[[#This Row],[Status]]="Late Start")),MAX(0,Tasks[[#This Row],[Finish Var]])+1-Tasks[[#This Row],[_Row]]/1000000,"")</f>
        <v/>
      </c>
      <c r="DL189" s="41" t="str">
        <f aca="false">IF(AND(Tasks[[#This Row],[_IsLeaf]]=1,N(Tasks[[#This Row],[Actual Start]])=0,Tasks[[#This Row],[_LeafFcstStart]]&gt;=StatusDate,Tasks[[#This Row],[_LeafFcstStart]]&lt;=LookaheadEnd),Tasks[[#This Row],[_LeafFcstStart]]+Tasks[[#This Row],[_Row]]/100000,"")</f>
        <v/>
      </c>
      <c r="DM189" s="41" t="str">
        <f aca="false">IF(AND(Tasks[[#This Row],[_IsLeaf]]=1,Tasks[[#This Row],[_LeafProgress]]&lt;1,Tasks[[#This Row],[_LeafFcstFinish]]&gt;=StatusDate,Tasks[[#This Row],[_LeafFcstFinish]]&lt;=LookaheadEnd),Tasks[[#This Row],[_LeafFcstFinish]]+Tasks[[#This Row],[_Row]]/100000,"")</f>
        <v/>
      </c>
      <c r="DN189" s="41" t="str">
        <f aca="false">IF(Tasks[[#This Row],[_LeafCritical]],Tasks[[#This Row],[_LeafFcstStart]]+Tasks[[#This Row],[_Row]]/100000,"")</f>
        <v/>
      </c>
      <c r="DO189" s="41" t="n">
        <f aca="false">Tasks[[#This Row],[_LeafWork]]*Tasks[[#This Row],[_LeafProgress]]</f>
        <v>0</v>
      </c>
      <c r="DP189" s="100" t="str">
        <f aca="false">IF(AND(Tasks[[#This Row],[_IsLeaf]]=1,Tasks[[#This Row],[_LeafProgress]]&gt;=1),IF(N(Tasks[[#This Row],[Actual Finish]])&gt;0,Tasks[[#This Row],[Actual Finish]],Tasks[[#This Row],[_LeafFcstFinish]]),"")</f>
        <v/>
      </c>
      <c r="DQ189" s="41" t="n">
        <f aca="false">IF(Tasks[[#This Row],[_IsLeaf]]=1,N(Tasks[[#This Row],[Story Points]]),0)</f>
        <v>0</v>
      </c>
      <c r="DR189" s="41" t="str">
        <f aca="false">IF(AND(Tasks[[#This Row],[_IsLeaf]]=1,CurrentSprint&lt;&gt;"",Tasks[[#This Row],[Sprint]]=CurrentSprint),Tasks[[#This Row],[_Row]],"")</f>
        <v/>
      </c>
    </row>
    <row r="190" customFormat="false" ht="15" hidden="false" customHeight="false" outlineLevel="0" collapsed="false">
      <c r="A190" s="28" t="str">
        <f aca="false">IF(Tasks[[#This Row],[Task Name]]="","",COUNTA(Tasks[[#Headers],[Task Name]]:Tasks[[#This Row],[Task Name]])-1)</f>
        <v/>
      </c>
      <c r="B190" s="29" t="n">
        <v>185</v>
      </c>
      <c r="C19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0" s="29"/>
      <c r="E190" s="30"/>
      <c r="F190" s="29"/>
      <c r="G190" s="29"/>
      <c r="H190" s="29"/>
      <c r="I190" s="29"/>
      <c r="J190" s="29"/>
      <c r="K190" s="29"/>
      <c r="L190" s="29"/>
      <c r="M190" s="29"/>
      <c r="N190" s="73"/>
      <c r="O190" s="73"/>
      <c r="P190" s="25" t="str">
        <f aca="false">IF(Tasks[[#This Row],[Task Name]]="","",IF(N(Tasks[[#This Row],[Baseline Start]])&gt;0,Tasks[[#This Row],[Baseline Start]],Tasks[[#This Row],[_CalcStart]]))</f>
        <v/>
      </c>
      <c r="Q190" s="25" t="str">
        <f aca="false">IF(Tasks[[#This Row],[Task Name]]="","",IF(N(Tasks[[#This Row],[Baseline Finish]])&gt;0,Tasks[[#This Row],[Baseline Finish]],Tasks[[#This Row],[_CalcFinish]]))</f>
        <v/>
      </c>
      <c r="R190" s="73"/>
      <c r="S190" s="73"/>
      <c r="T190" s="25" t="str">
        <f aca="false">IF(Tasks[[#This Row],[Task Name]]="","",IF(Tasks[[#This Row],[_IsSummary]],MIN(INDEX(Tasks[_LeafFcstStart],Tasks[[#This Row],[_Row]]+1):INDEX(Tasks[_LeafFcstStart],Tasks[[#This Row],[_Row]]+Tasks[[#This Row],[_Descendants]])),Tasks[[#This Row],[_LeafFcstStart]]))</f>
        <v/>
      </c>
      <c r="U190" s="25" t="str">
        <f aca="false">IF(Tasks[[#This Row],[Task Name]]="","",IF(Tasks[[#This Row],[_IsSummary]],MAX(INDEX(Tasks[_LeafFcstFinish],Tasks[[#This Row],[_Row]]+1):INDEX(Tasks[_LeafFcstFinish],Tasks[[#This Row],[_Row]]+Tasks[[#This Row],[_Descendants]])),Tasks[[#This Row],[_LeafFcstFinish]]))</f>
        <v/>
      </c>
      <c r="V19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9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0" s="25" t="str">
        <f aca="false">IF(Tasks[[#This Row],[Task Name]]="","",IF(Tasks[[#This Row],[_IsSummary]],MIN(INDEX(Tasks[_LeafLateStart],Tasks[[#This Row],[_Row]]+1):INDEX(Tasks[_LeafLateStart],Tasks[[#This Row],[_Row]]+Tasks[[#This Row],[_Descendants]])),Tasks[[#This Row],[_LeafLateStart]]))</f>
        <v/>
      </c>
      <c r="Y190" s="25" t="str">
        <f aca="false">IF(Tasks[[#This Row],[Task Name]]="","",IF(Tasks[[#This Row],[_IsSummary]],MAX(INDEX(Tasks[_LeafLateFinish],Tasks[[#This Row],[_Row]]+1):INDEX(Tasks[_LeafLateFinish],Tasks[[#This Row],[_Row]]+Tasks[[#This Row],[_Descendants]])),Tasks[[#This Row],[_LeafLateFinish]]))</f>
        <v/>
      </c>
      <c r="Z190" s="43" t="str">
        <f aca="false">IF(Tasks[[#This Row],[Task Name]]="","",IF(Tasks[[#This Row],[_IsSummary]],MIN(INDEX(Tasks[_LeafTotalSlack],Tasks[[#This Row],[_Row]]+1):INDEX(Tasks[_LeafTotalSlack],Tasks[[#This Row],[_Row]]+Tasks[[#This Row],[_Descendants]])),Tasks[[#This Row],[_LeafTotalSlack]]))</f>
        <v/>
      </c>
      <c r="AA19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0" s="28" t="str">
        <f aca="false">IF(Tasks[[#This Row],[Task Name]]="","",IF(IF(Tasks[[#This Row],[_IsSummary]],COUNTIF(INDEX(Tasks[_LeafCritical],Tasks[[#This Row],[_Row]]+1):INDEX(Tasks[_LeafCritical],Tasks[[#This Row],[_Row]]+Tasks[[#This Row],[_Descendants]]),TRUE())&gt;0,Tasks[[#This Row],[_LeafCritical]]),"Yes",""))</f>
        <v/>
      </c>
      <c r="AC19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0" s="24" t="str">
        <f aca="false">IF(Tasks[[#This Row],[Task Name]]="","",TRIM(IF(Tasks[[#This Row],[_Pred1Problem]]&lt;&gt;"","Pred 1: "&amp;Tasks[[#This Row],[_Pred1Problem]]&amp;". ","")&amp;IF(Tasks[[#This Row],[_Pred2Problem]]&lt;&gt;"","Pred 2: "&amp;Tasks[[#This Row],[_Pred2Problem]]&amp;".","")))</f>
        <v/>
      </c>
      <c r="AE190" s="88"/>
      <c r="AF190"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0" s="28" t="str">
        <f aca="false">IF(Tasks[[#This Row],[Task Name]]="","",IF(Tasks[[#This Row],[Progress]]&gt;=1,"Complete",IF(OR(N(Tasks[[#This Row],[Actual Start]])&gt;0,Tasks[[#This Row],[Progress]]&gt;0),IF(Tasks[[#This Row],[Finish Var]]&gt;0,"Behind","In Progress"),IF(Tasks[[#This Row],[Planned Start]]&lt;StatusDate,"Late Start","Not Started"))))</f>
        <v/>
      </c>
      <c r="AH190" s="30"/>
      <c r="AI190" s="88"/>
      <c r="AJ190" s="95" t="str">
        <f aca="false">IF(Tasks[[#This Row],[Task Name]]="","",IF(Tasks[[#This Row],[_IsSummary]],SUM(INDEX(Tasks[_LeafWork],Tasks[[#This Row],[_Row]]+1):INDEX(Tasks[_LeafWork],Tasks[[#This Row],[_Row]]+Tasks[[#This Row],[_Descendants]])),Tasks[[#This Row],[_LeafWork]]))</f>
        <v/>
      </c>
      <c r="AK190" s="96" t="str">
        <f aca="false">IF(Tasks[[#This Row],[Task Name]]="","",IF(Tasks[[#This Row],[_IsSummary]],SUM(INDEX(Tasks[_LeafCost],Tasks[[#This Row],[_Row]]+1):INDEX(Tasks[_LeafCost],Tasks[[#This Row],[_Row]]+Tasks[[#This Row],[_Descendants]])),Tasks[[#This Row],[_LeafCost]]))</f>
        <v/>
      </c>
      <c r="AL190" s="97"/>
      <c r="AM190" s="29"/>
      <c r="AN19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90" s="82"/>
      <c r="AP190" s="24" t="str">
        <f aca="false">IF(Tasks[[#This Row],[Task Name]]="","",Tasks[[#This Row],[_Pred1IDText]]&amp;IF(AND(Tasks[[#This Row],[_Pred1IDText]]&lt;&gt;"",Tasks[[#This Row],[_Pred2IDText]]&lt;&gt;""),",","")&amp;Tasks[[#This Row],[_Pred2IDText]])</f>
        <v/>
      </c>
      <c r="AQ190" s="30"/>
      <c r="AR190" s="25" t="str">
        <f aca="false">IF(Tasks[[#This Row],[Task Name]]="","",Tasks[[#This Row],[Forecast Start]])</f>
        <v/>
      </c>
      <c r="AS190" s="25" t="str">
        <f aca="false">IF(Tasks[[#This Row],[Task Name]]="","",Tasks[[#This Row],[Forecast Finish]])</f>
        <v/>
      </c>
      <c r="AT190" s="28" t="str">
        <f aca="false">IF(Tasks[[#This Row],[Task Name]]="","",IF(Tasks[[#This Row],[_IsSummary]],NETWORKDAYS.INTL(Tasks[[#This Row],[Forecast Start]],Tasks[[#This Row],[Forecast Finish]],WorkWeek,Holidays),N(Tasks[[#This Row],[Duration]])))</f>
        <v/>
      </c>
      <c r="AU190" s="95" t="str">
        <f aca="false">IF(Tasks[[#This Row],[Task Name]]="","",Tasks[[#This Row],[Work]])</f>
        <v/>
      </c>
      <c r="AV190" s="96" t="str">
        <f aca="false">IF(Tasks[[#This Row],[Task Name]]="","",Tasks[[#This Row],[Cost]])</f>
        <v/>
      </c>
      <c r="AW190" s="73"/>
      <c r="AX190" s="73"/>
      <c r="AY190" s="29"/>
      <c r="AZ190" s="98"/>
      <c r="BA190" s="97"/>
      <c r="BB190" s="28" t="str">
        <f aca="false">IF(OR(Tasks[[#This Row],[Task Name]]="",Tasks[[#This Row],[Baseline Duration]]=""),"",Tasks[[#This Row],[BL Source Duration]]-N(Tasks[[#This Row],[Baseline Duration]]))</f>
        <v/>
      </c>
      <c r="BC190" s="95" t="str">
        <f aca="false">IF(OR(Tasks[[#This Row],[Task Name]]="",Tasks[[#This Row],[Baseline Work]]=""),"",Tasks[[#This Row],[Work]]-N(Tasks[[#This Row],[Baseline Work]]))</f>
        <v/>
      </c>
      <c r="BD190" s="96" t="str">
        <f aca="false">IF(OR(Tasks[[#This Row],[Task Name]]="",Tasks[[#This Row],[Baseline Cost]]=""),"",Tasks[[#This Row],[Cost]]-N(Tasks[[#This Row],[Baseline Cost]]))</f>
        <v/>
      </c>
      <c r="BE190" s="96" t="str">
        <f aca="false">IF(Tasks[[#This Row],[Task Name]]="","",IF(Tasks[[#This Row],[_IsSummary]],SUM(INDEX(Tasks[_LeafBudget],Tasks[[#This Row],[_Row]]+1):INDEX(Tasks[_LeafBudget],Tasks[[#This Row],[_Row]]+Tasks[[#This Row],[_Descendants]])),Tasks[[#This Row],[_LeafBudget]]))</f>
        <v/>
      </c>
      <c r="BF190" s="96" t="str">
        <f aca="false">IF(Tasks[[#This Row],[Task Name]]="","",IF(Tasks[[#This Row],[_IsSummary]],SUM(INDEX(Tasks[_LeafPV],Tasks[[#This Row],[_Row]]+1):INDEX(Tasks[_LeafPV],Tasks[[#This Row],[_Row]]+Tasks[[#This Row],[_Descendants]])),Tasks[[#This Row],[_LeafPV]]))</f>
        <v/>
      </c>
      <c r="BG190" s="96" t="str">
        <f aca="false">IF(Tasks[[#This Row],[Task Name]]="","",IF(Tasks[[#This Row],[_IsSummary]],SUM(INDEX(Tasks[_LeafEV],Tasks[[#This Row],[_Row]]+1):INDEX(Tasks[_LeafEV],Tasks[[#This Row],[_Row]]+Tasks[[#This Row],[_Descendants]])),Tasks[[#This Row],[_LeafEV]]))</f>
        <v/>
      </c>
      <c r="BH190" s="96" t="str">
        <f aca="false">IF(Tasks[[#This Row],[Task Name]]="","",IF(Tasks[[#This Row],[_IsSummary]],SUM(INDEX(Tasks[_LeafAC],Tasks[[#This Row],[_Row]]+1):INDEX(Tasks[_LeafAC],Tasks[[#This Row],[_Row]]+Tasks[[#This Row],[_Descendants]])),Tasks[[#This Row],[_LeafAC]]))</f>
        <v/>
      </c>
      <c r="BI190" s="41" t="str">
        <f aca="false">IF(Tasks[[#This Row],[Task Name]]="","",MAX(1,N(Tasks[[#This Row],[Level]])))</f>
        <v/>
      </c>
      <c r="BJ190" s="41" t="n">
        <f aca="false">ROW()-ROW(Tasks[[#Headers],[ID]])</f>
        <v>185</v>
      </c>
      <c r="BK190" s="41" t="n">
        <f aca="false">IF(OR(Tasks[[#This Row],[Task Name]]="",Tasks[[#This Row],[_Level]]&lt;=1),0,IFERROR(LOOKUP(2,1/(Tasks[[#Headers],[_Level]]:Tasks[[#This Row],[_Level]]=Tasks[[#This Row],[_Level]]-1),ROW(Tasks[[#Headers],[_Level]]:Tasks[[#This Row],[_Level]])),0))</f>
        <v>0</v>
      </c>
      <c r="BL190" s="41" t="n">
        <f aca="false">IFERROR(N(INDEX(Tasks[_Level],Tasks[[#This Row],[_Row]]+1)),0)</f>
        <v>0</v>
      </c>
      <c r="BM190" s="99" t="b">
        <f aca="false">AND(Tasks[[#This Row],[Task Name]]&lt;&gt;"",Tasks[[#This Row],[_NextLevel]]&gt;Tasks[[#This Row],[_Level]])</f>
        <v>0</v>
      </c>
      <c r="BN190" s="41" t="n">
        <f aca="false">IF(Tasks[[#This Row],[_IsSummary]],COUNTIF(Tasks[WBS],Tasks[[#This Row],[WBS]]&amp;".*"),0)</f>
        <v>0</v>
      </c>
      <c r="BO190" s="41" t="n">
        <f aca="false">IF(AND(Tasks[[#This Row],[Task Name]]&lt;&gt;"",NOT(Tasks[[#This Row],[_IsSummary]])),1,0)</f>
        <v>0</v>
      </c>
      <c r="BP190" s="41" t="n">
        <f aca="false">IF(N(Tasks[[#This Row],[Pred1 UID]])=0,0,IFERROR(MATCH(Tasks[[#This Row],[Pred1 UID]],Tasks[UID],0),-1))</f>
        <v>0</v>
      </c>
      <c r="BQ190" s="41" t="n">
        <f aca="false">IF(N(Tasks[[#This Row],[Pred2 UID]])=0,0,IFERROR(MATCH(Tasks[[#This Row],[Pred2 UID]],Tasks[UID],0),-1))</f>
        <v>0</v>
      </c>
      <c r="BR190"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90" s="100" t="str">
        <f aca="false">IF(NOT(Tasks[[#This Row],[_IsLeaf]]=1),"",IF(N(Tasks[[#This Row],[Duration]])&lt;=0,Tasks[[#This Row],[_LeafCalcStart]],WORKDAY.INTL(Tasks[[#This Row],[_LeafCalcStart]],Tasks[[#This Row],[Duration]]-1,WorkWeek,Holidays)))</f>
        <v/>
      </c>
      <c r="BT190"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90"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90" s="41" t="n">
        <f aca="false">IF(NOT(Tasks[[#This Row],[_IsLeaf]]=1),0,IF(N(Tasks[[#This Row],[Actual Finish]])&gt;0,1,MIN(1,N(Tasks[[#This Row],[% Complete]]))))</f>
        <v>0</v>
      </c>
      <c r="BW190" s="41" t="n">
        <f aca="false">IF(OR(NOT(Tasks[[#This Row],[_IsLeaf]]=1),Tasks[[#This Row],[Resource]]=""),0,N(Tasks[[#This Row],[Duration]])*HoursPerDay*IF(Tasks[[#This Row],[Units]]="",DefaultUnits,Tasks[[#This Row],[Units]]))</f>
        <v>0</v>
      </c>
      <c r="BX190" s="41" t="n">
        <f aca="false">IF(Tasks[[#This Row],[_LeafWork]]=0,0,Tasks[[#This Row],[_LeafWork]]*IFERROR(INDEX(res_Rate,MATCH(Tasks[[#This Row],[Resource]],res_Name,0)),0))</f>
        <v>0</v>
      </c>
      <c r="BY19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9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9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9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90" s="41" t="n">
        <f aca="false">IF(NOT(Tasks[[#This Row],[_IsLeaf]]=1),0,MAX(_xlfn.MAXIFS(Tasks[_Row],Tasks[Pred1 UID],Tasks[[#This Row],[UID]]),_xlfn.MAXIFS(Tasks[_Row],Tasks[Pred2 UID],Tasks[[#This Row],[UID]])))</f>
        <v>0</v>
      </c>
      <c r="CD190"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90" s="100" t="str">
        <f aca="false">IF(NOT(Tasks[[#This Row],[_IsLeaf]]=1),"",MIN(ProjectFinish,IF(N(Tasks[[#This Row],[Deadline]])&gt;0,Tasks[[#This Row],[Deadline]],2958465),Tasks[[#This Row],[_SuccessorFinishLimit]]))</f>
        <v/>
      </c>
      <c r="CF190" s="100" t="str">
        <f aca="false">IF(NOT(Tasks[[#This Row],[_IsLeaf]]=1),"",IF(N(Tasks[[#This Row],[Duration]])&lt;=0,Tasks[[#This Row],[_LeafLateFinish]],WORKDAY.INTL(Tasks[[#This Row],[_LeafLateFinish]],-(Tasks[[#This Row],[Duration]]-1),WorkWeek,Holidays)))</f>
        <v/>
      </c>
      <c r="CG19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90" s="99" t="b">
        <f aca="false">AND(Tasks[[#This Row],[_IsLeaf]]=1,Tasks[[#This Row],[_LeafProgress]]&lt;1,N(Tasks[[#This Row],[_LeafTotalSlack]])&lt;=CriticalSlackDays)</f>
        <v>0</v>
      </c>
      <c r="CI190" s="100" t="str">
        <f aca="false">IF(Tasks[[#This Row],[Task Name]]="","",IF(Tasks[[#This Row],[_IsSummary]],MIN(INDEX(Tasks[_LeafCalcStart],Tasks[[#This Row],[_Row]]+1):INDEX(Tasks[_LeafCalcStart],Tasks[[#This Row],[_Row]]+Tasks[[#This Row],[_Descendants]])),Tasks[[#This Row],[_LeafCalcStart]]))</f>
        <v/>
      </c>
      <c r="CJ190" s="100" t="str">
        <f aca="false">IF(Tasks[[#This Row],[Task Name]]="","",IF(Tasks[[#This Row],[_IsSummary]],MAX(INDEX(Tasks[_LeafCalcFinish],Tasks[[#This Row],[_Row]]+1):INDEX(Tasks[_LeafCalcFinish],Tasks[[#This Row],[_Row]]+Tasks[[#This Row],[_Descendants]])),Tasks[[#This Row],[_LeafCalcFinish]]))</f>
        <v/>
      </c>
      <c r="CK19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9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90"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90"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90"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90"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90" s="41" t="n">
        <f aca="false">IF(AND(Tasks[[#This Row],[_IsLeaf]]=1,Tasks[[#This Row],[_LeafWork]]&gt;0),NETWORKDAYS.INTL(ProjectStart,Tasks[[#This Row],[_LeafFcstStart]],WorkWeek,Holidays),0)</f>
        <v>0</v>
      </c>
      <c r="CR190" s="41" t="n">
        <f aca="false">IF(AND(Tasks[[#This Row],[_IsLeaf]]=1,Tasks[[#This Row],[_LeafWork]]&gt;0),MAX(Tasks[[#This Row],[_StartWorkday]],NETWORKDAYS.INTL(ProjectStart,Tasks[[#This Row],[_LeafFcstFinish]],WorkWeek,Holidays)),0)</f>
        <v>0</v>
      </c>
      <c r="CS190" s="41" t="n">
        <f aca="false">IF(AND(Tasks[[#This Row],[_IsLeaf]]=1,Tasks[[#This Row],[_LeafWork]]&gt;0),Tasks[[#This Row],[_LeafWork]]/(Tasks[[#This Row],[_FinishWorkday]]-Tasks[[#This Row],[_StartWorkday]]+1),0)</f>
        <v>0</v>
      </c>
      <c r="CT190" s="41" t="n">
        <f aca="false">Tasks[[#This Row],[_WorkPerWorkday]]*(Tasks[[#This Row],[_StartWorkday]]-1)</f>
        <v>-0</v>
      </c>
      <c r="CU190" s="41" t="n">
        <f aca="false">IF(Tasks[[#This Row],[_IsLeaf]]=1,MAX(N(Tasks[[#This Row],[Duration]]),0.1),0)</f>
        <v>0</v>
      </c>
      <c r="CV190" s="41" t="n">
        <f aca="false">Tasks[[#This Row],[_WeightDur]]*Tasks[[#This Row],[_LeafProgress]]</f>
        <v>0</v>
      </c>
      <c r="CW19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9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9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9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90" s="41" t="str">
        <f aca="false">IF(Tasks[[#This Row],[Task Name]]="","",Tasks[[#This Row],[_Pred1UIDText]]&amp;IF(AND(Tasks[[#This Row],[_Pred1UIDText]]&lt;&gt;"",Tasks[[#This Row],[_Pred2UIDText]]&lt;&gt;""),",","")&amp;Tasks[[#This Row],[_Pred2UIDText]])</f>
        <v/>
      </c>
      <c r="DB190" s="41" t="str">
        <f aca="false">IF(AND(Tasks[[#This Row],[_IsLeaf]]=1,N(Tasks[[#This Row],[Duration]])=0,Tasks[[#This Row],[_LeafProgress]]&lt;1),Tasks[[#This Row],[_LeafFcstFinish]]+Tasks[[#This Row],[_Row]]/100000,"")</f>
        <v/>
      </c>
      <c r="DC19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90" s="41" t="n">
        <f aca="false">IF(NOT(Tasks[[#This Row],[_IsLeaf]]=1),0,IF(Tasks[[#This Row],[Baseline Cost]]="",Tasks[[#This Row],[_LeafCost]],N(Tasks[[#This Row],[Baseline Cost]])))</f>
        <v>0</v>
      </c>
      <c r="DE190" s="41" t="n">
        <f aca="false">Tasks[[#This Row],[_LeafBudget]]*Tasks[[#This Row],[_PlannedPct]]</f>
        <v>0</v>
      </c>
      <c r="DF190" s="41" t="n">
        <f aca="false">Tasks[[#This Row],[_LeafBudget]]*Tasks[[#This Row],[_LeafProgress]]</f>
        <v>0</v>
      </c>
      <c r="DG190" s="41" t="n">
        <f aca="false">IF(NOT(Tasks[[#This Row],[_IsLeaf]]=1),0,IF(Tasks[[#This Row],[Actual Cost]]="",Tasks[[#This Row],[_LeafCost]]*Tasks[[#This Row],[_LeafProgress]],N(Tasks[[#This Row],[Actual Cost]])))</f>
        <v>0</v>
      </c>
      <c r="DH190" s="41" t="str">
        <f aca="false">IF(Tasks[[#This Row],[Task Name]]="","",LEFT(Tasks[[#This Row],[WBS]],FIND(".",Tasks[[#This Row],[WBS]]&amp;".")-1))</f>
        <v/>
      </c>
      <c r="DI190" s="41" t="str">
        <f aca="false">IF(AND(Tasks[[#This Row],[Task Name]]&lt;&gt;"",Tasks[[#This Row],[_Level]]=1),Tasks[[#This Row],[_Row]],"")</f>
        <v/>
      </c>
      <c r="DJ190" s="41" t="str">
        <f aca="false">IF(AND(Tasks[[#This Row],[_IsLeaf]]=1,N(Tasks[[#This Row],[Duration]])=0),Tasks[[#This Row],[Planned Finish]]+Tasks[[#This Row],[_Row]]/100000,"")</f>
        <v/>
      </c>
      <c r="DK190" s="41" t="str">
        <f aca="false">IF(AND(Tasks[[#This Row],[_IsLeaf]]=1,Tasks[[#This Row],[_LeafProgress]]&lt;1,OR(N(Tasks[[#This Row],[Finish Var]])&gt;0,Tasks[[#This Row],[Status]]="Late Start")),MAX(0,Tasks[[#This Row],[Finish Var]])+1-Tasks[[#This Row],[_Row]]/1000000,"")</f>
        <v/>
      </c>
      <c r="DL190" s="41" t="str">
        <f aca="false">IF(AND(Tasks[[#This Row],[_IsLeaf]]=1,N(Tasks[[#This Row],[Actual Start]])=0,Tasks[[#This Row],[_LeafFcstStart]]&gt;=StatusDate,Tasks[[#This Row],[_LeafFcstStart]]&lt;=LookaheadEnd),Tasks[[#This Row],[_LeafFcstStart]]+Tasks[[#This Row],[_Row]]/100000,"")</f>
        <v/>
      </c>
      <c r="DM190" s="41" t="str">
        <f aca="false">IF(AND(Tasks[[#This Row],[_IsLeaf]]=1,Tasks[[#This Row],[_LeafProgress]]&lt;1,Tasks[[#This Row],[_LeafFcstFinish]]&gt;=StatusDate,Tasks[[#This Row],[_LeafFcstFinish]]&lt;=LookaheadEnd),Tasks[[#This Row],[_LeafFcstFinish]]+Tasks[[#This Row],[_Row]]/100000,"")</f>
        <v/>
      </c>
      <c r="DN190" s="41" t="str">
        <f aca="false">IF(Tasks[[#This Row],[_LeafCritical]],Tasks[[#This Row],[_LeafFcstStart]]+Tasks[[#This Row],[_Row]]/100000,"")</f>
        <v/>
      </c>
      <c r="DO190" s="41" t="n">
        <f aca="false">Tasks[[#This Row],[_LeafWork]]*Tasks[[#This Row],[_LeafProgress]]</f>
        <v>0</v>
      </c>
      <c r="DP190" s="100" t="str">
        <f aca="false">IF(AND(Tasks[[#This Row],[_IsLeaf]]=1,Tasks[[#This Row],[_LeafProgress]]&gt;=1),IF(N(Tasks[[#This Row],[Actual Finish]])&gt;0,Tasks[[#This Row],[Actual Finish]],Tasks[[#This Row],[_LeafFcstFinish]]),"")</f>
        <v/>
      </c>
      <c r="DQ190" s="41" t="n">
        <f aca="false">IF(Tasks[[#This Row],[_IsLeaf]]=1,N(Tasks[[#This Row],[Story Points]]),0)</f>
        <v>0</v>
      </c>
      <c r="DR190" s="41" t="str">
        <f aca="false">IF(AND(Tasks[[#This Row],[_IsLeaf]]=1,CurrentSprint&lt;&gt;"",Tasks[[#This Row],[Sprint]]=CurrentSprint),Tasks[[#This Row],[_Row]],"")</f>
        <v/>
      </c>
    </row>
    <row r="191" customFormat="false" ht="15" hidden="false" customHeight="false" outlineLevel="0" collapsed="false">
      <c r="A191" s="28" t="str">
        <f aca="false">IF(Tasks[[#This Row],[Task Name]]="","",COUNTA(Tasks[[#Headers],[Task Name]]:Tasks[[#This Row],[Task Name]])-1)</f>
        <v/>
      </c>
      <c r="B191" s="29" t="n">
        <v>186</v>
      </c>
      <c r="C19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1" s="29"/>
      <c r="E191" s="30"/>
      <c r="F191" s="29"/>
      <c r="G191" s="29"/>
      <c r="H191" s="29"/>
      <c r="I191" s="29"/>
      <c r="J191" s="29"/>
      <c r="K191" s="29"/>
      <c r="L191" s="29"/>
      <c r="M191" s="29"/>
      <c r="N191" s="73"/>
      <c r="O191" s="73"/>
      <c r="P191" s="25" t="str">
        <f aca="false">IF(Tasks[[#This Row],[Task Name]]="","",IF(N(Tasks[[#This Row],[Baseline Start]])&gt;0,Tasks[[#This Row],[Baseline Start]],Tasks[[#This Row],[_CalcStart]]))</f>
        <v/>
      </c>
      <c r="Q191" s="25" t="str">
        <f aca="false">IF(Tasks[[#This Row],[Task Name]]="","",IF(N(Tasks[[#This Row],[Baseline Finish]])&gt;0,Tasks[[#This Row],[Baseline Finish]],Tasks[[#This Row],[_CalcFinish]]))</f>
        <v/>
      </c>
      <c r="R191" s="73"/>
      <c r="S191" s="73"/>
      <c r="T191" s="25" t="str">
        <f aca="false">IF(Tasks[[#This Row],[Task Name]]="","",IF(Tasks[[#This Row],[_IsSummary]],MIN(INDEX(Tasks[_LeafFcstStart],Tasks[[#This Row],[_Row]]+1):INDEX(Tasks[_LeafFcstStart],Tasks[[#This Row],[_Row]]+Tasks[[#This Row],[_Descendants]])),Tasks[[#This Row],[_LeafFcstStart]]))</f>
        <v/>
      </c>
      <c r="U191" s="25" t="str">
        <f aca="false">IF(Tasks[[#This Row],[Task Name]]="","",IF(Tasks[[#This Row],[_IsSummary]],MAX(INDEX(Tasks[_LeafFcstFinish],Tasks[[#This Row],[_Row]]+1):INDEX(Tasks[_LeafFcstFinish],Tasks[[#This Row],[_Row]]+Tasks[[#This Row],[_Descendants]])),Tasks[[#This Row],[_LeafFcstFinish]]))</f>
        <v/>
      </c>
      <c r="V19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9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1" s="25" t="str">
        <f aca="false">IF(Tasks[[#This Row],[Task Name]]="","",IF(Tasks[[#This Row],[_IsSummary]],MIN(INDEX(Tasks[_LeafLateStart],Tasks[[#This Row],[_Row]]+1):INDEX(Tasks[_LeafLateStart],Tasks[[#This Row],[_Row]]+Tasks[[#This Row],[_Descendants]])),Tasks[[#This Row],[_LeafLateStart]]))</f>
        <v/>
      </c>
      <c r="Y191" s="25" t="str">
        <f aca="false">IF(Tasks[[#This Row],[Task Name]]="","",IF(Tasks[[#This Row],[_IsSummary]],MAX(INDEX(Tasks[_LeafLateFinish],Tasks[[#This Row],[_Row]]+1):INDEX(Tasks[_LeafLateFinish],Tasks[[#This Row],[_Row]]+Tasks[[#This Row],[_Descendants]])),Tasks[[#This Row],[_LeafLateFinish]]))</f>
        <v/>
      </c>
      <c r="Z191" s="43" t="str">
        <f aca="false">IF(Tasks[[#This Row],[Task Name]]="","",IF(Tasks[[#This Row],[_IsSummary]],MIN(INDEX(Tasks[_LeafTotalSlack],Tasks[[#This Row],[_Row]]+1):INDEX(Tasks[_LeafTotalSlack],Tasks[[#This Row],[_Row]]+Tasks[[#This Row],[_Descendants]])),Tasks[[#This Row],[_LeafTotalSlack]]))</f>
        <v/>
      </c>
      <c r="AA19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1" s="28" t="str">
        <f aca="false">IF(Tasks[[#This Row],[Task Name]]="","",IF(IF(Tasks[[#This Row],[_IsSummary]],COUNTIF(INDEX(Tasks[_LeafCritical],Tasks[[#This Row],[_Row]]+1):INDEX(Tasks[_LeafCritical],Tasks[[#This Row],[_Row]]+Tasks[[#This Row],[_Descendants]]),TRUE())&gt;0,Tasks[[#This Row],[_LeafCritical]]),"Yes",""))</f>
        <v/>
      </c>
      <c r="AC19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1" s="24" t="str">
        <f aca="false">IF(Tasks[[#This Row],[Task Name]]="","",TRIM(IF(Tasks[[#This Row],[_Pred1Problem]]&lt;&gt;"","Pred 1: "&amp;Tasks[[#This Row],[_Pred1Problem]]&amp;". ","")&amp;IF(Tasks[[#This Row],[_Pred2Problem]]&lt;&gt;"","Pred 2: "&amp;Tasks[[#This Row],[_Pred2Problem]]&amp;".","")))</f>
        <v/>
      </c>
      <c r="AE191" s="88"/>
      <c r="AF191"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1" s="28" t="str">
        <f aca="false">IF(Tasks[[#This Row],[Task Name]]="","",IF(Tasks[[#This Row],[Progress]]&gt;=1,"Complete",IF(OR(N(Tasks[[#This Row],[Actual Start]])&gt;0,Tasks[[#This Row],[Progress]]&gt;0),IF(Tasks[[#This Row],[Finish Var]]&gt;0,"Behind","In Progress"),IF(Tasks[[#This Row],[Planned Start]]&lt;StatusDate,"Late Start","Not Started"))))</f>
        <v/>
      </c>
      <c r="AH191" s="30"/>
      <c r="AI191" s="88"/>
      <c r="AJ191" s="95" t="str">
        <f aca="false">IF(Tasks[[#This Row],[Task Name]]="","",IF(Tasks[[#This Row],[_IsSummary]],SUM(INDEX(Tasks[_LeafWork],Tasks[[#This Row],[_Row]]+1):INDEX(Tasks[_LeafWork],Tasks[[#This Row],[_Row]]+Tasks[[#This Row],[_Descendants]])),Tasks[[#This Row],[_LeafWork]]))</f>
        <v/>
      </c>
      <c r="AK191" s="96" t="str">
        <f aca="false">IF(Tasks[[#This Row],[Task Name]]="","",IF(Tasks[[#This Row],[_IsSummary]],SUM(INDEX(Tasks[_LeafCost],Tasks[[#This Row],[_Row]]+1):INDEX(Tasks[_LeafCost],Tasks[[#This Row],[_Row]]+Tasks[[#This Row],[_Descendants]])),Tasks[[#This Row],[_LeafCost]]))</f>
        <v/>
      </c>
      <c r="AL191" s="97"/>
      <c r="AM191" s="29"/>
      <c r="AN19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91" s="82"/>
      <c r="AP191" s="24" t="str">
        <f aca="false">IF(Tasks[[#This Row],[Task Name]]="","",Tasks[[#This Row],[_Pred1IDText]]&amp;IF(AND(Tasks[[#This Row],[_Pred1IDText]]&lt;&gt;"",Tasks[[#This Row],[_Pred2IDText]]&lt;&gt;""),",","")&amp;Tasks[[#This Row],[_Pred2IDText]])</f>
        <v/>
      </c>
      <c r="AQ191" s="30"/>
      <c r="AR191" s="25" t="str">
        <f aca="false">IF(Tasks[[#This Row],[Task Name]]="","",Tasks[[#This Row],[Forecast Start]])</f>
        <v/>
      </c>
      <c r="AS191" s="25" t="str">
        <f aca="false">IF(Tasks[[#This Row],[Task Name]]="","",Tasks[[#This Row],[Forecast Finish]])</f>
        <v/>
      </c>
      <c r="AT191" s="28" t="str">
        <f aca="false">IF(Tasks[[#This Row],[Task Name]]="","",IF(Tasks[[#This Row],[_IsSummary]],NETWORKDAYS.INTL(Tasks[[#This Row],[Forecast Start]],Tasks[[#This Row],[Forecast Finish]],WorkWeek,Holidays),N(Tasks[[#This Row],[Duration]])))</f>
        <v/>
      </c>
      <c r="AU191" s="95" t="str">
        <f aca="false">IF(Tasks[[#This Row],[Task Name]]="","",Tasks[[#This Row],[Work]])</f>
        <v/>
      </c>
      <c r="AV191" s="96" t="str">
        <f aca="false">IF(Tasks[[#This Row],[Task Name]]="","",Tasks[[#This Row],[Cost]])</f>
        <v/>
      </c>
      <c r="AW191" s="73"/>
      <c r="AX191" s="73"/>
      <c r="AY191" s="29"/>
      <c r="AZ191" s="98"/>
      <c r="BA191" s="97"/>
      <c r="BB191" s="28" t="str">
        <f aca="false">IF(OR(Tasks[[#This Row],[Task Name]]="",Tasks[[#This Row],[Baseline Duration]]=""),"",Tasks[[#This Row],[BL Source Duration]]-N(Tasks[[#This Row],[Baseline Duration]]))</f>
        <v/>
      </c>
      <c r="BC191" s="95" t="str">
        <f aca="false">IF(OR(Tasks[[#This Row],[Task Name]]="",Tasks[[#This Row],[Baseline Work]]=""),"",Tasks[[#This Row],[Work]]-N(Tasks[[#This Row],[Baseline Work]]))</f>
        <v/>
      </c>
      <c r="BD191" s="96" t="str">
        <f aca="false">IF(OR(Tasks[[#This Row],[Task Name]]="",Tasks[[#This Row],[Baseline Cost]]=""),"",Tasks[[#This Row],[Cost]]-N(Tasks[[#This Row],[Baseline Cost]]))</f>
        <v/>
      </c>
      <c r="BE191" s="96" t="str">
        <f aca="false">IF(Tasks[[#This Row],[Task Name]]="","",IF(Tasks[[#This Row],[_IsSummary]],SUM(INDEX(Tasks[_LeafBudget],Tasks[[#This Row],[_Row]]+1):INDEX(Tasks[_LeafBudget],Tasks[[#This Row],[_Row]]+Tasks[[#This Row],[_Descendants]])),Tasks[[#This Row],[_LeafBudget]]))</f>
        <v/>
      </c>
      <c r="BF191" s="96" t="str">
        <f aca="false">IF(Tasks[[#This Row],[Task Name]]="","",IF(Tasks[[#This Row],[_IsSummary]],SUM(INDEX(Tasks[_LeafPV],Tasks[[#This Row],[_Row]]+1):INDEX(Tasks[_LeafPV],Tasks[[#This Row],[_Row]]+Tasks[[#This Row],[_Descendants]])),Tasks[[#This Row],[_LeafPV]]))</f>
        <v/>
      </c>
      <c r="BG191" s="96" t="str">
        <f aca="false">IF(Tasks[[#This Row],[Task Name]]="","",IF(Tasks[[#This Row],[_IsSummary]],SUM(INDEX(Tasks[_LeafEV],Tasks[[#This Row],[_Row]]+1):INDEX(Tasks[_LeafEV],Tasks[[#This Row],[_Row]]+Tasks[[#This Row],[_Descendants]])),Tasks[[#This Row],[_LeafEV]]))</f>
        <v/>
      </c>
      <c r="BH191" s="96" t="str">
        <f aca="false">IF(Tasks[[#This Row],[Task Name]]="","",IF(Tasks[[#This Row],[_IsSummary]],SUM(INDEX(Tasks[_LeafAC],Tasks[[#This Row],[_Row]]+1):INDEX(Tasks[_LeafAC],Tasks[[#This Row],[_Row]]+Tasks[[#This Row],[_Descendants]])),Tasks[[#This Row],[_LeafAC]]))</f>
        <v/>
      </c>
      <c r="BI191" s="41" t="str">
        <f aca="false">IF(Tasks[[#This Row],[Task Name]]="","",MAX(1,N(Tasks[[#This Row],[Level]])))</f>
        <v/>
      </c>
      <c r="BJ191" s="41" t="n">
        <f aca="false">ROW()-ROW(Tasks[[#Headers],[ID]])</f>
        <v>186</v>
      </c>
      <c r="BK191" s="41" t="n">
        <f aca="false">IF(OR(Tasks[[#This Row],[Task Name]]="",Tasks[[#This Row],[_Level]]&lt;=1),0,IFERROR(LOOKUP(2,1/(Tasks[[#Headers],[_Level]]:Tasks[[#This Row],[_Level]]=Tasks[[#This Row],[_Level]]-1),ROW(Tasks[[#Headers],[_Level]]:Tasks[[#This Row],[_Level]])),0))</f>
        <v>0</v>
      </c>
      <c r="BL191" s="41" t="n">
        <f aca="false">IFERROR(N(INDEX(Tasks[_Level],Tasks[[#This Row],[_Row]]+1)),0)</f>
        <v>0</v>
      </c>
      <c r="BM191" s="99" t="b">
        <f aca="false">AND(Tasks[[#This Row],[Task Name]]&lt;&gt;"",Tasks[[#This Row],[_NextLevel]]&gt;Tasks[[#This Row],[_Level]])</f>
        <v>0</v>
      </c>
      <c r="BN191" s="41" t="n">
        <f aca="false">IF(Tasks[[#This Row],[_IsSummary]],COUNTIF(Tasks[WBS],Tasks[[#This Row],[WBS]]&amp;".*"),0)</f>
        <v>0</v>
      </c>
      <c r="BO191" s="41" t="n">
        <f aca="false">IF(AND(Tasks[[#This Row],[Task Name]]&lt;&gt;"",NOT(Tasks[[#This Row],[_IsSummary]])),1,0)</f>
        <v>0</v>
      </c>
      <c r="BP191" s="41" t="n">
        <f aca="false">IF(N(Tasks[[#This Row],[Pred1 UID]])=0,0,IFERROR(MATCH(Tasks[[#This Row],[Pred1 UID]],Tasks[UID],0),-1))</f>
        <v>0</v>
      </c>
      <c r="BQ191" s="41" t="n">
        <f aca="false">IF(N(Tasks[[#This Row],[Pred2 UID]])=0,0,IFERROR(MATCH(Tasks[[#This Row],[Pred2 UID]],Tasks[UID],0),-1))</f>
        <v>0</v>
      </c>
      <c r="BR191"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91" s="100" t="str">
        <f aca="false">IF(NOT(Tasks[[#This Row],[_IsLeaf]]=1),"",IF(N(Tasks[[#This Row],[Duration]])&lt;=0,Tasks[[#This Row],[_LeafCalcStart]],WORKDAY.INTL(Tasks[[#This Row],[_LeafCalcStart]],Tasks[[#This Row],[Duration]]-1,WorkWeek,Holidays)))</f>
        <v/>
      </c>
      <c r="BT191"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91"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91" s="41" t="n">
        <f aca="false">IF(NOT(Tasks[[#This Row],[_IsLeaf]]=1),0,IF(N(Tasks[[#This Row],[Actual Finish]])&gt;0,1,MIN(1,N(Tasks[[#This Row],[% Complete]]))))</f>
        <v>0</v>
      </c>
      <c r="BW191" s="41" t="n">
        <f aca="false">IF(OR(NOT(Tasks[[#This Row],[_IsLeaf]]=1),Tasks[[#This Row],[Resource]]=""),0,N(Tasks[[#This Row],[Duration]])*HoursPerDay*IF(Tasks[[#This Row],[Units]]="",DefaultUnits,Tasks[[#This Row],[Units]]))</f>
        <v>0</v>
      </c>
      <c r="BX191" s="41" t="n">
        <f aca="false">IF(Tasks[[#This Row],[_LeafWork]]=0,0,Tasks[[#This Row],[_LeafWork]]*IFERROR(INDEX(res_Rate,MATCH(Tasks[[#This Row],[Resource]],res_Name,0)),0))</f>
        <v>0</v>
      </c>
      <c r="BY19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9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9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9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91" s="41" t="n">
        <f aca="false">IF(NOT(Tasks[[#This Row],[_IsLeaf]]=1),0,MAX(_xlfn.MAXIFS(Tasks[_Row],Tasks[Pred1 UID],Tasks[[#This Row],[UID]]),_xlfn.MAXIFS(Tasks[_Row],Tasks[Pred2 UID],Tasks[[#This Row],[UID]])))</f>
        <v>0</v>
      </c>
      <c r="CD191"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91" s="100" t="str">
        <f aca="false">IF(NOT(Tasks[[#This Row],[_IsLeaf]]=1),"",MIN(ProjectFinish,IF(N(Tasks[[#This Row],[Deadline]])&gt;0,Tasks[[#This Row],[Deadline]],2958465),Tasks[[#This Row],[_SuccessorFinishLimit]]))</f>
        <v/>
      </c>
      <c r="CF191" s="100" t="str">
        <f aca="false">IF(NOT(Tasks[[#This Row],[_IsLeaf]]=1),"",IF(N(Tasks[[#This Row],[Duration]])&lt;=0,Tasks[[#This Row],[_LeafLateFinish]],WORKDAY.INTL(Tasks[[#This Row],[_LeafLateFinish]],-(Tasks[[#This Row],[Duration]]-1),WorkWeek,Holidays)))</f>
        <v/>
      </c>
      <c r="CG19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91" s="99" t="b">
        <f aca="false">AND(Tasks[[#This Row],[_IsLeaf]]=1,Tasks[[#This Row],[_LeafProgress]]&lt;1,N(Tasks[[#This Row],[_LeafTotalSlack]])&lt;=CriticalSlackDays)</f>
        <v>0</v>
      </c>
      <c r="CI191" s="100" t="str">
        <f aca="false">IF(Tasks[[#This Row],[Task Name]]="","",IF(Tasks[[#This Row],[_IsSummary]],MIN(INDEX(Tasks[_LeafCalcStart],Tasks[[#This Row],[_Row]]+1):INDEX(Tasks[_LeafCalcStart],Tasks[[#This Row],[_Row]]+Tasks[[#This Row],[_Descendants]])),Tasks[[#This Row],[_LeafCalcStart]]))</f>
        <v/>
      </c>
      <c r="CJ191" s="100" t="str">
        <f aca="false">IF(Tasks[[#This Row],[Task Name]]="","",IF(Tasks[[#This Row],[_IsSummary]],MAX(INDEX(Tasks[_LeafCalcFinish],Tasks[[#This Row],[_Row]]+1):INDEX(Tasks[_LeafCalcFinish],Tasks[[#This Row],[_Row]]+Tasks[[#This Row],[_Descendants]])),Tasks[[#This Row],[_LeafCalcFinish]]))</f>
        <v/>
      </c>
      <c r="CK19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9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91"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91"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91"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91"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91" s="41" t="n">
        <f aca="false">IF(AND(Tasks[[#This Row],[_IsLeaf]]=1,Tasks[[#This Row],[_LeafWork]]&gt;0),NETWORKDAYS.INTL(ProjectStart,Tasks[[#This Row],[_LeafFcstStart]],WorkWeek,Holidays),0)</f>
        <v>0</v>
      </c>
      <c r="CR191" s="41" t="n">
        <f aca="false">IF(AND(Tasks[[#This Row],[_IsLeaf]]=1,Tasks[[#This Row],[_LeafWork]]&gt;0),MAX(Tasks[[#This Row],[_StartWorkday]],NETWORKDAYS.INTL(ProjectStart,Tasks[[#This Row],[_LeafFcstFinish]],WorkWeek,Holidays)),0)</f>
        <v>0</v>
      </c>
      <c r="CS191" s="41" t="n">
        <f aca="false">IF(AND(Tasks[[#This Row],[_IsLeaf]]=1,Tasks[[#This Row],[_LeafWork]]&gt;0),Tasks[[#This Row],[_LeafWork]]/(Tasks[[#This Row],[_FinishWorkday]]-Tasks[[#This Row],[_StartWorkday]]+1),0)</f>
        <v>0</v>
      </c>
      <c r="CT191" s="41" t="n">
        <f aca="false">Tasks[[#This Row],[_WorkPerWorkday]]*(Tasks[[#This Row],[_StartWorkday]]-1)</f>
        <v>-0</v>
      </c>
      <c r="CU191" s="41" t="n">
        <f aca="false">IF(Tasks[[#This Row],[_IsLeaf]]=1,MAX(N(Tasks[[#This Row],[Duration]]),0.1),0)</f>
        <v>0</v>
      </c>
      <c r="CV191" s="41" t="n">
        <f aca="false">Tasks[[#This Row],[_WeightDur]]*Tasks[[#This Row],[_LeafProgress]]</f>
        <v>0</v>
      </c>
      <c r="CW19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9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9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9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91" s="41" t="str">
        <f aca="false">IF(Tasks[[#This Row],[Task Name]]="","",Tasks[[#This Row],[_Pred1UIDText]]&amp;IF(AND(Tasks[[#This Row],[_Pred1UIDText]]&lt;&gt;"",Tasks[[#This Row],[_Pred2UIDText]]&lt;&gt;""),",","")&amp;Tasks[[#This Row],[_Pred2UIDText]])</f>
        <v/>
      </c>
      <c r="DB191" s="41" t="str">
        <f aca="false">IF(AND(Tasks[[#This Row],[_IsLeaf]]=1,N(Tasks[[#This Row],[Duration]])=0,Tasks[[#This Row],[_LeafProgress]]&lt;1),Tasks[[#This Row],[_LeafFcstFinish]]+Tasks[[#This Row],[_Row]]/100000,"")</f>
        <v/>
      </c>
      <c r="DC19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91" s="41" t="n">
        <f aca="false">IF(NOT(Tasks[[#This Row],[_IsLeaf]]=1),0,IF(Tasks[[#This Row],[Baseline Cost]]="",Tasks[[#This Row],[_LeafCost]],N(Tasks[[#This Row],[Baseline Cost]])))</f>
        <v>0</v>
      </c>
      <c r="DE191" s="41" t="n">
        <f aca="false">Tasks[[#This Row],[_LeafBudget]]*Tasks[[#This Row],[_PlannedPct]]</f>
        <v>0</v>
      </c>
      <c r="DF191" s="41" t="n">
        <f aca="false">Tasks[[#This Row],[_LeafBudget]]*Tasks[[#This Row],[_LeafProgress]]</f>
        <v>0</v>
      </c>
      <c r="DG191" s="41" t="n">
        <f aca="false">IF(NOT(Tasks[[#This Row],[_IsLeaf]]=1),0,IF(Tasks[[#This Row],[Actual Cost]]="",Tasks[[#This Row],[_LeafCost]]*Tasks[[#This Row],[_LeafProgress]],N(Tasks[[#This Row],[Actual Cost]])))</f>
        <v>0</v>
      </c>
      <c r="DH191" s="41" t="str">
        <f aca="false">IF(Tasks[[#This Row],[Task Name]]="","",LEFT(Tasks[[#This Row],[WBS]],FIND(".",Tasks[[#This Row],[WBS]]&amp;".")-1))</f>
        <v/>
      </c>
      <c r="DI191" s="41" t="str">
        <f aca="false">IF(AND(Tasks[[#This Row],[Task Name]]&lt;&gt;"",Tasks[[#This Row],[_Level]]=1),Tasks[[#This Row],[_Row]],"")</f>
        <v/>
      </c>
      <c r="DJ191" s="41" t="str">
        <f aca="false">IF(AND(Tasks[[#This Row],[_IsLeaf]]=1,N(Tasks[[#This Row],[Duration]])=0),Tasks[[#This Row],[Planned Finish]]+Tasks[[#This Row],[_Row]]/100000,"")</f>
        <v/>
      </c>
      <c r="DK191" s="41" t="str">
        <f aca="false">IF(AND(Tasks[[#This Row],[_IsLeaf]]=1,Tasks[[#This Row],[_LeafProgress]]&lt;1,OR(N(Tasks[[#This Row],[Finish Var]])&gt;0,Tasks[[#This Row],[Status]]="Late Start")),MAX(0,Tasks[[#This Row],[Finish Var]])+1-Tasks[[#This Row],[_Row]]/1000000,"")</f>
        <v/>
      </c>
      <c r="DL191" s="41" t="str">
        <f aca="false">IF(AND(Tasks[[#This Row],[_IsLeaf]]=1,N(Tasks[[#This Row],[Actual Start]])=0,Tasks[[#This Row],[_LeafFcstStart]]&gt;=StatusDate,Tasks[[#This Row],[_LeafFcstStart]]&lt;=LookaheadEnd),Tasks[[#This Row],[_LeafFcstStart]]+Tasks[[#This Row],[_Row]]/100000,"")</f>
        <v/>
      </c>
      <c r="DM191" s="41" t="str">
        <f aca="false">IF(AND(Tasks[[#This Row],[_IsLeaf]]=1,Tasks[[#This Row],[_LeafProgress]]&lt;1,Tasks[[#This Row],[_LeafFcstFinish]]&gt;=StatusDate,Tasks[[#This Row],[_LeafFcstFinish]]&lt;=LookaheadEnd),Tasks[[#This Row],[_LeafFcstFinish]]+Tasks[[#This Row],[_Row]]/100000,"")</f>
        <v/>
      </c>
      <c r="DN191" s="41" t="str">
        <f aca="false">IF(Tasks[[#This Row],[_LeafCritical]],Tasks[[#This Row],[_LeafFcstStart]]+Tasks[[#This Row],[_Row]]/100000,"")</f>
        <v/>
      </c>
      <c r="DO191" s="41" t="n">
        <f aca="false">Tasks[[#This Row],[_LeafWork]]*Tasks[[#This Row],[_LeafProgress]]</f>
        <v>0</v>
      </c>
      <c r="DP191" s="100" t="str">
        <f aca="false">IF(AND(Tasks[[#This Row],[_IsLeaf]]=1,Tasks[[#This Row],[_LeafProgress]]&gt;=1),IF(N(Tasks[[#This Row],[Actual Finish]])&gt;0,Tasks[[#This Row],[Actual Finish]],Tasks[[#This Row],[_LeafFcstFinish]]),"")</f>
        <v/>
      </c>
      <c r="DQ191" s="41" t="n">
        <f aca="false">IF(Tasks[[#This Row],[_IsLeaf]]=1,N(Tasks[[#This Row],[Story Points]]),0)</f>
        <v>0</v>
      </c>
      <c r="DR191" s="41" t="str">
        <f aca="false">IF(AND(Tasks[[#This Row],[_IsLeaf]]=1,CurrentSprint&lt;&gt;"",Tasks[[#This Row],[Sprint]]=CurrentSprint),Tasks[[#This Row],[_Row]],"")</f>
        <v/>
      </c>
    </row>
    <row r="192" customFormat="false" ht="15" hidden="false" customHeight="false" outlineLevel="0" collapsed="false">
      <c r="A192" s="28" t="str">
        <f aca="false">IF(Tasks[[#This Row],[Task Name]]="","",COUNTA(Tasks[[#Headers],[Task Name]]:Tasks[[#This Row],[Task Name]])-1)</f>
        <v/>
      </c>
      <c r="B192" s="29" t="n">
        <v>187</v>
      </c>
      <c r="C19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2" s="29"/>
      <c r="E192" s="30"/>
      <c r="F192" s="29"/>
      <c r="G192" s="29"/>
      <c r="H192" s="29"/>
      <c r="I192" s="29"/>
      <c r="J192" s="29"/>
      <c r="K192" s="29"/>
      <c r="L192" s="29"/>
      <c r="M192" s="29"/>
      <c r="N192" s="73"/>
      <c r="O192" s="73"/>
      <c r="P192" s="25" t="str">
        <f aca="false">IF(Tasks[[#This Row],[Task Name]]="","",IF(N(Tasks[[#This Row],[Baseline Start]])&gt;0,Tasks[[#This Row],[Baseline Start]],Tasks[[#This Row],[_CalcStart]]))</f>
        <v/>
      </c>
      <c r="Q192" s="25" t="str">
        <f aca="false">IF(Tasks[[#This Row],[Task Name]]="","",IF(N(Tasks[[#This Row],[Baseline Finish]])&gt;0,Tasks[[#This Row],[Baseline Finish]],Tasks[[#This Row],[_CalcFinish]]))</f>
        <v/>
      </c>
      <c r="R192" s="73"/>
      <c r="S192" s="73"/>
      <c r="T192" s="25" t="str">
        <f aca="false">IF(Tasks[[#This Row],[Task Name]]="","",IF(Tasks[[#This Row],[_IsSummary]],MIN(INDEX(Tasks[_LeafFcstStart],Tasks[[#This Row],[_Row]]+1):INDEX(Tasks[_LeafFcstStart],Tasks[[#This Row],[_Row]]+Tasks[[#This Row],[_Descendants]])),Tasks[[#This Row],[_LeafFcstStart]]))</f>
        <v/>
      </c>
      <c r="U192" s="25" t="str">
        <f aca="false">IF(Tasks[[#This Row],[Task Name]]="","",IF(Tasks[[#This Row],[_IsSummary]],MAX(INDEX(Tasks[_LeafFcstFinish],Tasks[[#This Row],[_Row]]+1):INDEX(Tasks[_LeafFcstFinish],Tasks[[#This Row],[_Row]]+Tasks[[#This Row],[_Descendants]])),Tasks[[#This Row],[_LeafFcstFinish]]))</f>
        <v/>
      </c>
      <c r="V19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9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2" s="25" t="str">
        <f aca="false">IF(Tasks[[#This Row],[Task Name]]="","",IF(Tasks[[#This Row],[_IsSummary]],MIN(INDEX(Tasks[_LeafLateStart],Tasks[[#This Row],[_Row]]+1):INDEX(Tasks[_LeafLateStart],Tasks[[#This Row],[_Row]]+Tasks[[#This Row],[_Descendants]])),Tasks[[#This Row],[_LeafLateStart]]))</f>
        <v/>
      </c>
      <c r="Y192" s="25" t="str">
        <f aca="false">IF(Tasks[[#This Row],[Task Name]]="","",IF(Tasks[[#This Row],[_IsSummary]],MAX(INDEX(Tasks[_LeafLateFinish],Tasks[[#This Row],[_Row]]+1):INDEX(Tasks[_LeafLateFinish],Tasks[[#This Row],[_Row]]+Tasks[[#This Row],[_Descendants]])),Tasks[[#This Row],[_LeafLateFinish]]))</f>
        <v/>
      </c>
      <c r="Z192" s="43" t="str">
        <f aca="false">IF(Tasks[[#This Row],[Task Name]]="","",IF(Tasks[[#This Row],[_IsSummary]],MIN(INDEX(Tasks[_LeafTotalSlack],Tasks[[#This Row],[_Row]]+1):INDEX(Tasks[_LeafTotalSlack],Tasks[[#This Row],[_Row]]+Tasks[[#This Row],[_Descendants]])),Tasks[[#This Row],[_LeafTotalSlack]]))</f>
        <v/>
      </c>
      <c r="AA19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2" s="28" t="str">
        <f aca="false">IF(Tasks[[#This Row],[Task Name]]="","",IF(IF(Tasks[[#This Row],[_IsSummary]],COUNTIF(INDEX(Tasks[_LeafCritical],Tasks[[#This Row],[_Row]]+1):INDEX(Tasks[_LeafCritical],Tasks[[#This Row],[_Row]]+Tasks[[#This Row],[_Descendants]]),TRUE())&gt;0,Tasks[[#This Row],[_LeafCritical]]),"Yes",""))</f>
        <v/>
      </c>
      <c r="AC19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2" s="24" t="str">
        <f aca="false">IF(Tasks[[#This Row],[Task Name]]="","",TRIM(IF(Tasks[[#This Row],[_Pred1Problem]]&lt;&gt;"","Pred 1: "&amp;Tasks[[#This Row],[_Pred1Problem]]&amp;". ","")&amp;IF(Tasks[[#This Row],[_Pred2Problem]]&lt;&gt;"","Pred 2: "&amp;Tasks[[#This Row],[_Pred2Problem]]&amp;".","")))</f>
        <v/>
      </c>
      <c r="AE192" s="88"/>
      <c r="AF192"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2" s="28" t="str">
        <f aca="false">IF(Tasks[[#This Row],[Task Name]]="","",IF(Tasks[[#This Row],[Progress]]&gt;=1,"Complete",IF(OR(N(Tasks[[#This Row],[Actual Start]])&gt;0,Tasks[[#This Row],[Progress]]&gt;0),IF(Tasks[[#This Row],[Finish Var]]&gt;0,"Behind","In Progress"),IF(Tasks[[#This Row],[Planned Start]]&lt;StatusDate,"Late Start","Not Started"))))</f>
        <v/>
      </c>
      <c r="AH192" s="30"/>
      <c r="AI192" s="88"/>
      <c r="AJ192" s="95" t="str">
        <f aca="false">IF(Tasks[[#This Row],[Task Name]]="","",IF(Tasks[[#This Row],[_IsSummary]],SUM(INDEX(Tasks[_LeafWork],Tasks[[#This Row],[_Row]]+1):INDEX(Tasks[_LeafWork],Tasks[[#This Row],[_Row]]+Tasks[[#This Row],[_Descendants]])),Tasks[[#This Row],[_LeafWork]]))</f>
        <v/>
      </c>
      <c r="AK192" s="96" t="str">
        <f aca="false">IF(Tasks[[#This Row],[Task Name]]="","",IF(Tasks[[#This Row],[_IsSummary]],SUM(INDEX(Tasks[_LeafCost],Tasks[[#This Row],[_Row]]+1):INDEX(Tasks[_LeafCost],Tasks[[#This Row],[_Row]]+Tasks[[#This Row],[_Descendants]])),Tasks[[#This Row],[_LeafCost]]))</f>
        <v/>
      </c>
      <c r="AL192" s="97"/>
      <c r="AM192" s="29"/>
      <c r="AN19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92" s="82"/>
      <c r="AP192" s="24" t="str">
        <f aca="false">IF(Tasks[[#This Row],[Task Name]]="","",Tasks[[#This Row],[_Pred1IDText]]&amp;IF(AND(Tasks[[#This Row],[_Pred1IDText]]&lt;&gt;"",Tasks[[#This Row],[_Pred2IDText]]&lt;&gt;""),",","")&amp;Tasks[[#This Row],[_Pred2IDText]])</f>
        <v/>
      </c>
      <c r="AQ192" s="30"/>
      <c r="AR192" s="25" t="str">
        <f aca="false">IF(Tasks[[#This Row],[Task Name]]="","",Tasks[[#This Row],[Forecast Start]])</f>
        <v/>
      </c>
      <c r="AS192" s="25" t="str">
        <f aca="false">IF(Tasks[[#This Row],[Task Name]]="","",Tasks[[#This Row],[Forecast Finish]])</f>
        <v/>
      </c>
      <c r="AT192" s="28" t="str">
        <f aca="false">IF(Tasks[[#This Row],[Task Name]]="","",IF(Tasks[[#This Row],[_IsSummary]],NETWORKDAYS.INTL(Tasks[[#This Row],[Forecast Start]],Tasks[[#This Row],[Forecast Finish]],WorkWeek,Holidays),N(Tasks[[#This Row],[Duration]])))</f>
        <v/>
      </c>
      <c r="AU192" s="95" t="str">
        <f aca="false">IF(Tasks[[#This Row],[Task Name]]="","",Tasks[[#This Row],[Work]])</f>
        <v/>
      </c>
      <c r="AV192" s="96" t="str">
        <f aca="false">IF(Tasks[[#This Row],[Task Name]]="","",Tasks[[#This Row],[Cost]])</f>
        <v/>
      </c>
      <c r="AW192" s="73"/>
      <c r="AX192" s="73"/>
      <c r="AY192" s="29"/>
      <c r="AZ192" s="98"/>
      <c r="BA192" s="97"/>
      <c r="BB192" s="28" t="str">
        <f aca="false">IF(OR(Tasks[[#This Row],[Task Name]]="",Tasks[[#This Row],[Baseline Duration]]=""),"",Tasks[[#This Row],[BL Source Duration]]-N(Tasks[[#This Row],[Baseline Duration]]))</f>
        <v/>
      </c>
      <c r="BC192" s="95" t="str">
        <f aca="false">IF(OR(Tasks[[#This Row],[Task Name]]="",Tasks[[#This Row],[Baseline Work]]=""),"",Tasks[[#This Row],[Work]]-N(Tasks[[#This Row],[Baseline Work]]))</f>
        <v/>
      </c>
      <c r="BD192" s="96" t="str">
        <f aca="false">IF(OR(Tasks[[#This Row],[Task Name]]="",Tasks[[#This Row],[Baseline Cost]]=""),"",Tasks[[#This Row],[Cost]]-N(Tasks[[#This Row],[Baseline Cost]]))</f>
        <v/>
      </c>
      <c r="BE192" s="96" t="str">
        <f aca="false">IF(Tasks[[#This Row],[Task Name]]="","",IF(Tasks[[#This Row],[_IsSummary]],SUM(INDEX(Tasks[_LeafBudget],Tasks[[#This Row],[_Row]]+1):INDEX(Tasks[_LeafBudget],Tasks[[#This Row],[_Row]]+Tasks[[#This Row],[_Descendants]])),Tasks[[#This Row],[_LeafBudget]]))</f>
        <v/>
      </c>
      <c r="BF192" s="96" t="str">
        <f aca="false">IF(Tasks[[#This Row],[Task Name]]="","",IF(Tasks[[#This Row],[_IsSummary]],SUM(INDEX(Tasks[_LeafPV],Tasks[[#This Row],[_Row]]+1):INDEX(Tasks[_LeafPV],Tasks[[#This Row],[_Row]]+Tasks[[#This Row],[_Descendants]])),Tasks[[#This Row],[_LeafPV]]))</f>
        <v/>
      </c>
      <c r="BG192" s="96" t="str">
        <f aca="false">IF(Tasks[[#This Row],[Task Name]]="","",IF(Tasks[[#This Row],[_IsSummary]],SUM(INDEX(Tasks[_LeafEV],Tasks[[#This Row],[_Row]]+1):INDEX(Tasks[_LeafEV],Tasks[[#This Row],[_Row]]+Tasks[[#This Row],[_Descendants]])),Tasks[[#This Row],[_LeafEV]]))</f>
        <v/>
      </c>
      <c r="BH192" s="96" t="str">
        <f aca="false">IF(Tasks[[#This Row],[Task Name]]="","",IF(Tasks[[#This Row],[_IsSummary]],SUM(INDEX(Tasks[_LeafAC],Tasks[[#This Row],[_Row]]+1):INDEX(Tasks[_LeafAC],Tasks[[#This Row],[_Row]]+Tasks[[#This Row],[_Descendants]])),Tasks[[#This Row],[_LeafAC]]))</f>
        <v/>
      </c>
      <c r="BI192" s="41" t="str">
        <f aca="false">IF(Tasks[[#This Row],[Task Name]]="","",MAX(1,N(Tasks[[#This Row],[Level]])))</f>
        <v/>
      </c>
      <c r="BJ192" s="41" t="n">
        <f aca="false">ROW()-ROW(Tasks[[#Headers],[ID]])</f>
        <v>187</v>
      </c>
      <c r="BK192" s="41" t="n">
        <f aca="false">IF(OR(Tasks[[#This Row],[Task Name]]="",Tasks[[#This Row],[_Level]]&lt;=1),0,IFERROR(LOOKUP(2,1/(Tasks[[#Headers],[_Level]]:Tasks[[#This Row],[_Level]]=Tasks[[#This Row],[_Level]]-1),ROW(Tasks[[#Headers],[_Level]]:Tasks[[#This Row],[_Level]])),0))</f>
        <v>0</v>
      </c>
      <c r="BL192" s="41" t="n">
        <f aca="false">IFERROR(N(INDEX(Tasks[_Level],Tasks[[#This Row],[_Row]]+1)),0)</f>
        <v>0</v>
      </c>
      <c r="BM192" s="99" t="b">
        <f aca="false">AND(Tasks[[#This Row],[Task Name]]&lt;&gt;"",Tasks[[#This Row],[_NextLevel]]&gt;Tasks[[#This Row],[_Level]])</f>
        <v>0</v>
      </c>
      <c r="BN192" s="41" t="n">
        <f aca="false">IF(Tasks[[#This Row],[_IsSummary]],COUNTIF(Tasks[WBS],Tasks[[#This Row],[WBS]]&amp;".*"),0)</f>
        <v>0</v>
      </c>
      <c r="BO192" s="41" t="n">
        <f aca="false">IF(AND(Tasks[[#This Row],[Task Name]]&lt;&gt;"",NOT(Tasks[[#This Row],[_IsSummary]])),1,0)</f>
        <v>0</v>
      </c>
      <c r="BP192" s="41" t="n">
        <f aca="false">IF(N(Tasks[[#This Row],[Pred1 UID]])=0,0,IFERROR(MATCH(Tasks[[#This Row],[Pred1 UID]],Tasks[UID],0),-1))</f>
        <v>0</v>
      </c>
      <c r="BQ192" s="41" t="n">
        <f aca="false">IF(N(Tasks[[#This Row],[Pred2 UID]])=0,0,IFERROR(MATCH(Tasks[[#This Row],[Pred2 UID]],Tasks[UID],0),-1))</f>
        <v>0</v>
      </c>
      <c r="BR192"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92" s="100" t="str">
        <f aca="false">IF(NOT(Tasks[[#This Row],[_IsLeaf]]=1),"",IF(N(Tasks[[#This Row],[Duration]])&lt;=0,Tasks[[#This Row],[_LeafCalcStart]],WORKDAY.INTL(Tasks[[#This Row],[_LeafCalcStart]],Tasks[[#This Row],[Duration]]-1,WorkWeek,Holidays)))</f>
        <v/>
      </c>
      <c r="BT192"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92"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92" s="41" t="n">
        <f aca="false">IF(NOT(Tasks[[#This Row],[_IsLeaf]]=1),0,IF(N(Tasks[[#This Row],[Actual Finish]])&gt;0,1,MIN(1,N(Tasks[[#This Row],[% Complete]]))))</f>
        <v>0</v>
      </c>
      <c r="BW192" s="41" t="n">
        <f aca="false">IF(OR(NOT(Tasks[[#This Row],[_IsLeaf]]=1),Tasks[[#This Row],[Resource]]=""),0,N(Tasks[[#This Row],[Duration]])*HoursPerDay*IF(Tasks[[#This Row],[Units]]="",DefaultUnits,Tasks[[#This Row],[Units]]))</f>
        <v>0</v>
      </c>
      <c r="BX192" s="41" t="n">
        <f aca="false">IF(Tasks[[#This Row],[_LeafWork]]=0,0,Tasks[[#This Row],[_LeafWork]]*IFERROR(INDEX(res_Rate,MATCH(Tasks[[#This Row],[Resource]],res_Name,0)),0))</f>
        <v>0</v>
      </c>
      <c r="BY19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9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9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9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92" s="41" t="n">
        <f aca="false">IF(NOT(Tasks[[#This Row],[_IsLeaf]]=1),0,MAX(_xlfn.MAXIFS(Tasks[_Row],Tasks[Pred1 UID],Tasks[[#This Row],[UID]]),_xlfn.MAXIFS(Tasks[_Row],Tasks[Pred2 UID],Tasks[[#This Row],[UID]])))</f>
        <v>0</v>
      </c>
      <c r="CD192"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92" s="100" t="str">
        <f aca="false">IF(NOT(Tasks[[#This Row],[_IsLeaf]]=1),"",MIN(ProjectFinish,IF(N(Tasks[[#This Row],[Deadline]])&gt;0,Tasks[[#This Row],[Deadline]],2958465),Tasks[[#This Row],[_SuccessorFinishLimit]]))</f>
        <v/>
      </c>
      <c r="CF192" s="100" t="str">
        <f aca="false">IF(NOT(Tasks[[#This Row],[_IsLeaf]]=1),"",IF(N(Tasks[[#This Row],[Duration]])&lt;=0,Tasks[[#This Row],[_LeafLateFinish]],WORKDAY.INTL(Tasks[[#This Row],[_LeafLateFinish]],-(Tasks[[#This Row],[Duration]]-1),WorkWeek,Holidays)))</f>
        <v/>
      </c>
      <c r="CG19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92" s="99" t="b">
        <f aca="false">AND(Tasks[[#This Row],[_IsLeaf]]=1,Tasks[[#This Row],[_LeafProgress]]&lt;1,N(Tasks[[#This Row],[_LeafTotalSlack]])&lt;=CriticalSlackDays)</f>
        <v>0</v>
      </c>
      <c r="CI192" s="100" t="str">
        <f aca="false">IF(Tasks[[#This Row],[Task Name]]="","",IF(Tasks[[#This Row],[_IsSummary]],MIN(INDEX(Tasks[_LeafCalcStart],Tasks[[#This Row],[_Row]]+1):INDEX(Tasks[_LeafCalcStart],Tasks[[#This Row],[_Row]]+Tasks[[#This Row],[_Descendants]])),Tasks[[#This Row],[_LeafCalcStart]]))</f>
        <v/>
      </c>
      <c r="CJ192" s="100" t="str">
        <f aca="false">IF(Tasks[[#This Row],[Task Name]]="","",IF(Tasks[[#This Row],[_IsSummary]],MAX(INDEX(Tasks[_LeafCalcFinish],Tasks[[#This Row],[_Row]]+1):INDEX(Tasks[_LeafCalcFinish],Tasks[[#This Row],[_Row]]+Tasks[[#This Row],[_Descendants]])),Tasks[[#This Row],[_LeafCalcFinish]]))</f>
        <v/>
      </c>
      <c r="CK19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9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92"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92"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92"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92"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92" s="41" t="n">
        <f aca="false">IF(AND(Tasks[[#This Row],[_IsLeaf]]=1,Tasks[[#This Row],[_LeafWork]]&gt;0),NETWORKDAYS.INTL(ProjectStart,Tasks[[#This Row],[_LeafFcstStart]],WorkWeek,Holidays),0)</f>
        <v>0</v>
      </c>
      <c r="CR192" s="41" t="n">
        <f aca="false">IF(AND(Tasks[[#This Row],[_IsLeaf]]=1,Tasks[[#This Row],[_LeafWork]]&gt;0),MAX(Tasks[[#This Row],[_StartWorkday]],NETWORKDAYS.INTL(ProjectStart,Tasks[[#This Row],[_LeafFcstFinish]],WorkWeek,Holidays)),0)</f>
        <v>0</v>
      </c>
      <c r="CS192" s="41" t="n">
        <f aca="false">IF(AND(Tasks[[#This Row],[_IsLeaf]]=1,Tasks[[#This Row],[_LeafWork]]&gt;0),Tasks[[#This Row],[_LeafWork]]/(Tasks[[#This Row],[_FinishWorkday]]-Tasks[[#This Row],[_StartWorkday]]+1),0)</f>
        <v>0</v>
      </c>
      <c r="CT192" s="41" t="n">
        <f aca="false">Tasks[[#This Row],[_WorkPerWorkday]]*(Tasks[[#This Row],[_StartWorkday]]-1)</f>
        <v>-0</v>
      </c>
      <c r="CU192" s="41" t="n">
        <f aca="false">IF(Tasks[[#This Row],[_IsLeaf]]=1,MAX(N(Tasks[[#This Row],[Duration]]),0.1),0)</f>
        <v>0</v>
      </c>
      <c r="CV192" s="41" t="n">
        <f aca="false">Tasks[[#This Row],[_WeightDur]]*Tasks[[#This Row],[_LeafProgress]]</f>
        <v>0</v>
      </c>
      <c r="CW19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9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9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9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92" s="41" t="str">
        <f aca="false">IF(Tasks[[#This Row],[Task Name]]="","",Tasks[[#This Row],[_Pred1UIDText]]&amp;IF(AND(Tasks[[#This Row],[_Pred1UIDText]]&lt;&gt;"",Tasks[[#This Row],[_Pred2UIDText]]&lt;&gt;""),",","")&amp;Tasks[[#This Row],[_Pred2UIDText]])</f>
        <v/>
      </c>
      <c r="DB192" s="41" t="str">
        <f aca="false">IF(AND(Tasks[[#This Row],[_IsLeaf]]=1,N(Tasks[[#This Row],[Duration]])=0,Tasks[[#This Row],[_LeafProgress]]&lt;1),Tasks[[#This Row],[_LeafFcstFinish]]+Tasks[[#This Row],[_Row]]/100000,"")</f>
        <v/>
      </c>
      <c r="DC19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92" s="41" t="n">
        <f aca="false">IF(NOT(Tasks[[#This Row],[_IsLeaf]]=1),0,IF(Tasks[[#This Row],[Baseline Cost]]="",Tasks[[#This Row],[_LeafCost]],N(Tasks[[#This Row],[Baseline Cost]])))</f>
        <v>0</v>
      </c>
      <c r="DE192" s="41" t="n">
        <f aca="false">Tasks[[#This Row],[_LeafBudget]]*Tasks[[#This Row],[_PlannedPct]]</f>
        <v>0</v>
      </c>
      <c r="DF192" s="41" t="n">
        <f aca="false">Tasks[[#This Row],[_LeafBudget]]*Tasks[[#This Row],[_LeafProgress]]</f>
        <v>0</v>
      </c>
      <c r="DG192" s="41" t="n">
        <f aca="false">IF(NOT(Tasks[[#This Row],[_IsLeaf]]=1),0,IF(Tasks[[#This Row],[Actual Cost]]="",Tasks[[#This Row],[_LeafCost]]*Tasks[[#This Row],[_LeafProgress]],N(Tasks[[#This Row],[Actual Cost]])))</f>
        <v>0</v>
      </c>
      <c r="DH192" s="41" t="str">
        <f aca="false">IF(Tasks[[#This Row],[Task Name]]="","",LEFT(Tasks[[#This Row],[WBS]],FIND(".",Tasks[[#This Row],[WBS]]&amp;".")-1))</f>
        <v/>
      </c>
      <c r="DI192" s="41" t="str">
        <f aca="false">IF(AND(Tasks[[#This Row],[Task Name]]&lt;&gt;"",Tasks[[#This Row],[_Level]]=1),Tasks[[#This Row],[_Row]],"")</f>
        <v/>
      </c>
      <c r="DJ192" s="41" t="str">
        <f aca="false">IF(AND(Tasks[[#This Row],[_IsLeaf]]=1,N(Tasks[[#This Row],[Duration]])=0),Tasks[[#This Row],[Planned Finish]]+Tasks[[#This Row],[_Row]]/100000,"")</f>
        <v/>
      </c>
      <c r="DK192" s="41" t="str">
        <f aca="false">IF(AND(Tasks[[#This Row],[_IsLeaf]]=1,Tasks[[#This Row],[_LeafProgress]]&lt;1,OR(N(Tasks[[#This Row],[Finish Var]])&gt;0,Tasks[[#This Row],[Status]]="Late Start")),MAX(0,Tasks[[#This Row],[Finish Var]])+1-Tasks[[#This Row],[_Row]]/1000000,"")</f>
        <v/>
      </c>
      <c r="DL192" s="41" t="str">
        <f aca="false">IF(AND(Tasks[[#This Row],[_IsLeaf]]=1,N(Tasks[[#This Row],[Actual Start]])=0,Tasks[[#This Row],[_LeafFcstStart]]&gt;=StatusDate,Tasks[[#This Row],[_LeafFcstStart]]&lt;=LookaheadEnd),Tasks[[#This Row],[_LeafFcstStart]]+Tasks[[#This Row],[_Row]]/100000,"")</f>
        <v/>
      </c>
      <c r="DM192" s="41" t="str">
        <f aca="false">IF(AND(Tasks[[#This Row],[_IsLeaf]]=1,Tasks[[#This Row],[_LeafProgress]]&lt;1,Tasks[[#This Row],[_LeafFcstFinish]]&gt;=StatusDate,Tasks[[#This Row],[_LeafFcstFinish]]&lt;=LookaheadEnd),Tasks[[#This Row],[_LeafFcstFinish]]+Tasks[[#This Row],[_Row]]/100000,"")</f>
        <v/>
      </c>
      <c r="DN192" s="41" t="str">
        <f aca="false">IF(Tasks[[#This Row],[_LeafCritical]],Tasks[[#This Row],[_LeafFcstStart]]+Tasks[[#This Row],[_Row]]/100000,"")</f>
        <v/>
      </c>
      <c r="DO192" s="41" t="n">
        <f aca="false">Tasks[[#This Row],[_LeafWork]]*Tasks[[#This Row],[_LeafProgress]]</f>
        <v>0</v>
      </c>
      <c r="DP192" s="100" t="str">
        <f aca="false">IF(AND(Tasks[[#This Row],[_IsLeaf]]=1,Tasks[[#This Row],[_LeafProgress]]&gt;=1),IF(N(Tasks[[#This Row],[Actual Finish]])&gt;0,Tasks[[#This Row],[Actual Finish]],Tasks[[#This Row],[_LeafFcstFinish]]),"")</f>
        <v/>
      </c>
      <c r="DQ192" s="41" t="n">
        <f aca="false">IF(Tasks[[#This Row],[_IsLeaf]]=1,N(Tasks[[#This Row],[Story Points]]),0)</f>
        <v>0</v>
      </c>
      <c r="DR192" s="41" t="str">
        <f aca="false">IF(AND(Tasks[[#This Row],[_IsLeaf]]=1,CurrentSprint&lt;&gt;"",Tasks[[#This Row],[Sprint]]=CurrentSprint),Tasks[[#This Row],[_Row]],"")</f>
        <v/>
      </c>
    </row>
    <row r="193" customFormat="false" ht="15" hidden="false" customHeight="false" outlineLevel="0" collapsed="false">
      <c r="A193" s="28" t="str">
        <f aca="false">IF(Tasks[[#This Row],[Task Name]]="","",COUNTA(Tasks[[#Headers],[Task Name]]:Tasks[[#This Row],[Task Name]])-1)</f>
        <v/>
      </c>
      <c r="B193" s="29" t="n">
        <v>188</v>
      </c>
      <c r="C19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3" s="29"/>
      <c r="E193" s="30"/>
      <c r="F193" s="29"/>
      <c r="G193" s="29"/>
      <c r="H193" s="29"/>
      <c r="I193" s="29"/>
      <c r="J193" s="29"/>
      <c r="K193" s="29"/>
      <c r="L193" s="29"/>
      <c r="M193" s="29"/>
      <c r="N193" s="73"/>
      <c r="O193" s="73"/>
      <c r="P193" s="25" t="str">
        <f aca="false">IF(Tasks[[#This Row],[Task Name]]="","",IF(N(Tasks[[#This Row],[Baseline Start]])&gt;0,Tasks[[#This Row],[Baseline Start]],Tasks[[#This Row],[_CalcStart]]))</f>
        <v/>
      </c>
      <c r="Q193" s="25" t="str">
        <f aca="false">IF(Tasks[[#This Row],[Task Name]]="","",IF(N(Tasks[[#This Row],[Baseline Finish]])&gt;0,Tasks[[#This Row],[Baseline Finish]],Tasks[[#This Row],[_CalcFinish]]))</f>
        <v/>
      </c>
      <c r="R193" s="73"/>
      <c r="S193" s="73"/>
      <c r="T193" s="25" t="str">
        <f aca="false">IF(Tasks[[#This Row],[Task Name]]="","",IF(Tasks[[#This Row],[_IsSummary]],MIN(INDEX(Tasks[_LeafFcstStart],Tasks[[#This Row],[_Row]]+1):INDEX(Tasks[_LeafFcstStart],Tasks[[#This Row],[_Row]]+Tasks[[#This Row],[_Descendants]])),Tasks[[#This Row],[_LeafFcstStart]]))</f>
        <v/>
      </c>
      <c r="U193" s="25" t="str">
        <f aca="false">IF(Tasks[[#This Row],[Task Name]]="","",IF(Tasks[[#This Row],[_IsSummary]],MAX(INDEX(Tasks[_LeafFcstFinish],Tasks[[#This Row],[_Row]]+1):INDEX(Tasks[_LeafFcstFinish],Tasks[[#This Row],[_Row]]+Tasks[[#This Row],[_Descendants]])),Tasks[[#This Row],[_LeafFcstFinish]]))</f>
        <v/>
      </c>
      <c r="V19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9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3" s="25" t="str">
        <f aca="false">IF(Tasks[[#This Row],[Task Name]]="","",IF(Tasks[[#This Row],[_IsSummary]],MIN(INDEX(Tasks[_LeafLateStart],Tasks[[#This Row],[_Row]]+1):INDEX(Tasks[_LeafLateStart],Tasks[[#This Row],[_Row]]+Tasks[[#This Row],[_Descendants]])),Tasks[[#This Row],[_LeafLateStart]]))</f>
        <v/>
      </c>
      <c r="Y193" s="25" t="str">
        <f aca="false">IF(Tasks[[#This Row],[Task Name]]="","",IF(Tasks[[#This Row],[_IsSummary]],MAX(INDEX(Tasks[_LeafLateFinish],Tasks[[#This Row],[_Row]]+1):INDEX(Tasks[_LeafLateFinish],Tasks[[#This Row],[_Row]]+Tasks[[#This Row],[_Descendants]])),Tasks[[#This Row],[_LeafLateFinish]]))</f>
        <v/>
      </c>
      <c r="Z193" s="43" t="str">
        <f aca="false">IF(Tasks[[#This Row],[Task Name]]="","",IF(Tasks[[#This Row],[_IsSummary]],MIN(INDEX(Tasks[_LeafTotalSlack],Tasks[[#This Row],[_Row]]+1):INDEX(Tasks[_LeafTotalSlack],Tasks[[#This Row],[_Row]]+Tasks[[#This Row],[_Descendants]])),Tasks[[#This Row],[_LeafTotalSlack]]))</f>
        <v/>
      </c>
      <c r="AA19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3" s="28" t="str">
        <f aca="false">IF(Tasks[[#This Row],[Task Name]]="","",IF(IF(Tasks[[#This Row],[_IsSummary]],COUNTIF(INDEX(Tasks[_LeafCritical],Tasks[[#This Row],[_Row]]+1):INDEX(Tasks[_LeafCritical],Tasks[[#This Row],[_Row]]+Tasks[[#This Row],[_Descendants]]),TRUE())&gt;0,Tasks[[#This Row],[_LeafCritical]]),"Yes",""))</f>
        <v/>
      </c>
      <c r="AC19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3" s="24" t="str">
        <f aca="false">IF(Tasks[[#This Row],[Task Name]]="","",TRIM(IF(Tasks[[#This Row],[_Pred1Problem]]&lt;&gt;"","Pred 1: "&amp;Tasks[[#This Row],[_Pred1Problem]]&amp;". ","")&amp;IF(Tasks[[#This Row],[_Pred2Problem]]&lt;&gt;"","Pred 2: "&amp;Tasks[[#This Row],[_Pred2Problem]]&amp;".","")))</f>
        <v/>
      </c>
      <c r="AE193" s="88"/>
      <c r="AF193"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3" s="28" t="str">
        <f aca="false">IF(Tasks[[#This Row],[Task Name]]="","",IF(Tasks[[#This Row],[Progress]]&gt;=1,"Complete",IF(OR(N(Tasks[[#This Row],[Actual Start]])&gt;0,Tasks[[#This Row],[Progress]]&gt;0),IF(Tasks[[#This Row],[Finish Var]]&gt;0,"Behind","In Progress"),IF(Tasks[[#This Row],[Planned Start]]&lt;StatusDate,"Late Start","Not Started"))))</f>
        <v/>
      </c>
      <c r="AH193" s="30"/>
      <c r="AI193" s="88"/>
      <c r="AJ193" s="95" t="str">
        <f aca="false">IF(Tasks[[#This Row],[Task Name]]="","",IF(Tasks[[#This Row],[_IsSummary]],SUM(INDEX(Tasks[_LeafWork],Tasks[[#This Row],[_Row]]+1):INDEX(Tasks[_LeafWork],Tasks[[#This Row],[_Row]]+Tasks[[#This Row],[_Descendants]])),Tasks[[#This Row],[_LeafWork]]))</f>
        <v/>
      </c>
      <c r="AK193" s="96" t="str">
        <f aca="false">IF(Tasks[[#This Row],[Task Name]]="","",IF(Tasks[[#This Row],[_IsSummary]],SUM(INDEX(Tasks[_LeafCost],Tasks[[#This Row],[_Row]]+1):INDEX(Tasks[_LeafCost],Tasks[[#This Row],[_Row]]+Tasks[[#This Row],[_Descendants]])),Tasks[[#This Row],[_LeafCost]]))</f>
        <v/>
      </c>
      <c r="AL193" s="97"/>
      <c r="AM193" s="29"/>
      <c r="AN19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93" s="82"/>
      <c r="AP193" s="24" t="str">
        <f aca="false">IF(Tasks[[#This Row],[Task Name]]="","",Tasks[[#This Row],[_Pred1IDText]]&amp;IF(AND(Tasks[[#This Row],[_Pred1IDText]]&lt;&gt;"",Tasks[[#This Row],[_Pred2IDText]]&lt;&gt;""),",","")&amp;Tasks[[#This Row],[_Pred2IDText]])</f>
        <v/>
      </c>
      <c r="AQ193" s="30"/>
      <c r="AR193" s="25" t="str">
        <f aca="false">IF(Tasks[[#This Row],[Task Name]]="","",Tasks[[#This Row],[Forecast Start]])</f>
        <v/>
      </c>
      <c r="AS193" s="25" t="str">
        <f aca="false">IF(Tasks[[#This Row],[Task Name]]="","",Tasks[[#This Row],[Forecast Finish]])</f>
        <v/>
      </c>
      <c r="AT193" s="28" t="str">
        <f aca="false">IF(Tasks[[#This Row],[Task Name]]="","",IF(Tasks[[#This Row],[_IsSummary]],NETWORKDAYS.INTL(Tasks[[#This Row],[Forecast Start]],Tasks[[#This Row],[Forecast Finish]],WorkWeek,Holidays),N(Tasks[[#This Row],[Duration]])))</f>
        <v/>
      </c>
      <c r="AU193" s="95" t="str">
        <f aca="false">IF(Tasks[[#This Row],[Task Name]]="","",Tasks[[#This Row],[Work]])</f>
        <v/>
      </c>
      <c r="AV193" s="96" t="str">
        <f aca="false">IF(Tasks[[#This Row],[Task Name]]="","",Tasks[[#This Row],[Cost]])</f>
        <v/>
      </c>
      <c r="AW193" s="73"/>
      <c r="AX193" s="73"/>
      <c r="AY193" s="29"/>
      <c r="AZ193" s="98"/>
      <c r="BA193" s="97"/>
      <c r="BB193" s="28" t="str">
        <f aca="false">IF(OR(Tasks[[#This Row],[Task Name]]="",Tasks[[#This Row],[Baseline Duration]]=""),"",Tasks[[#This Row],[BL Source Duration]]-N(Tasks[[#This Row],[Baseline Duration]]))</f>
        <v/>
      </c>
      <c r="BC193" s="95" t="str">
        <f aca="false">IF(OR(Tasks[[#This Row],[Task Name]]="",Tasks[[#This Row],[Baseline Work]]=""),"",Tasks[[#This Row],[Work]]-N(Tasks[[#This Row],[Baseline Work]]))</f>
        <v/>
      </c>
      <c r="BD193" s="96" t="str">
        <f aca="false">IF(OR(Tasks[[#This Row],[Task Name]]="",Tasks[[#This Row],[Baseline Cost]]=""),"",Tasks[[#This Row],[Cost]]-N(Tasks[[#This Row],[Baseline Cost]]))</f>
        <v/>
      </c>
      <c r="BE193" s="96" t="str">
        <f aca="false">IF(Tasks[[#This Row],[Task Name]]="","",IF(Tasks[[#This Row],[_IsSummary]],SUM(INDEX(Tasks[_LeafBudget],Tasks[[#This Row],[_Row]]+1):INDEX(Tasks[_LeafBudget],Tasks[[#This Row],[_Row]]+Tasks[[#This Row],[_Descendants]])),Tasks[[#This Row],[_LeafBudget]]))</f>
        <v/>
      </c>
      <c r="BF193" s="96" t="str">
        <f aca="false">IF(Tasks[[#This Row],[Task Name]]="","",IF(Tasks[[#This Row],[_IsSummary]],SUM(INDEX(Tasks[_LeafPV],Tasks[[#This Row],[_Row]]+1):INDEX(Tasks[_LeafPV],Tasks[[#This Row],[_Row]]+Tasks[[#This Row],[_Descendants]])),Tasks[[#This Row],[_LeafPV]]))</f>
        <v/>
      </c>
      <c r="BG193" s="96" t="str">
        <f aca="false">IF(Tasks[[#This Row],[Task Name]]="","",IF(Tasks[[#This Row],[_IsSummary]],SUM(INDEX(Tasks[_LeafEV],Tasks[[#This Row],[_Row]]+1):INDEX(Tasks[_LeafEV],Tasks[[#This Row],[_Row]]+Tasks[[#This Row],[_Descendants]])),Tasks[[#This Row],[_LeafEV]]))</f>
        <v/>
      </c>
      <c r="BH193" s="96" t="str">
        <f aca="false">IF(Tasks[[#This Row],[Task Name]]="","",IF(Tasks[[#This Row],[_IsSummary]],SUM(INDEX(Tasks[_LeafAC],Tasks[[#This Row],[_Row]]+1):INDEX(Tasks[_LeafAC],Tasks[[#This Row],[_Row]]+Tasks[[#This Row],[_Descendants]])),Tasks[[#This Row],[_LeafAC]]))</f>
        <v/>
      </c>
      <c r="BI193" s="41" t="str">
        <f aca="false">IF(Tasks[[#This Row],[Task Name]]="","",MAX(1,N(Tasks[[#This Row],[Level]])))</f>
        <v/>
      </c>
      <c r="BJ193" s="41" t="n">
        <f aca="false">ROW()-ROW(Tasks[[#Headers],[ID]])</f>
        <v>188</v>
      </c>
      <c r="BK193" s="41" t="n">
        <f aca="false">IF(OR(Tasks[[#This Row],[Task Name]]="",Tasks[[#This Row],[_Level]]&lt;=1),0,IFERROR(LOOKUP(2,1/(Tasks[[#Headers],[_Level]]:Tasks[[#This Row],[_Level]]=Tasks[[#This Row],[_Level]]-1),ROW(Tasks[[#Headers],[_Level]]:Tasks[[#This Row],[_Level]])),0))</f>
        <v>0</v>
      </c>
      <c r="BL193" s="41" t="n">
        <f aca="false">IFERROR(N(INDEX(Tasks[_Level],Tasks[[#This Row],[_Row]]+1)),0)</f>
        <v>0</v>
      </c>
      <c r="BM193" s="99" t="b">
        <f aca="false">AND(Tasks[[#This Row],[Task Name]]&lt;&gt;"",Tasks[[#This Row],[_NextLevel]]&gt;Tasks[[#This Row],[_Level]])</f>
        <v>0</v>
      </c>
      <c r="BN193" s="41" t="n">
        <f aca="false">IF(Tasks[[#This Row],[_IsSummary]],COUNTIF(Tasks[WBS],Tasks[[#This Row],[WBS]]&amp;".*"),0)</f>
        <v>0</v>
      </c>
      <c r="BO193" s="41" t="n">
        <f aca="false">IF(AND(Tasks[[#This Row],[Task Name]]&lt;&gt;"",NOT(Tasks[[#This Row],[_IsSummary]])),1,0)</f>
        <v>0</v>
      </c>
      <c r="BP193" s="41" t="n">
        <f aca="false">IF(N(Tasks[[#This Row],[Pred1 UID]])=0,0,IFERROR(MATCH(Tasks[[#This Row],[Pred1 UID]],Tasks[UID],0),-1))</f>
        <v>0</v>
      </c>
      <c r="BQ193" s="41" t="n">
        <f aca="false">IF(N(Tasks[[#This Row],[Pred2 UID]])=0,0,IFERROR(MATCH(Tasks[[#This Row],[Pred2 UID]],Tasks[UID],0),-1))</f>
        <v>0</v>
      </c>
      <c r="BR193"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93" s="100" t="str">
        <f aca="false">IF(NOT(Tasks[[#This Row],[_IsLeaf]]=1),"",IF(N(Tasks[[#This Row],[Duration]])&lt;=0,Tasks[[#This Row],[_LeafCalcStart]],WORKDAY.INTL(Tasks[[#This Row],[_LeafCalcStart]],Tasks[[#This Row],[Duration]]-1,WorkWeek,Holidays)))</f>
        <v/>
      </c>
      <c r="BT193"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93"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93" s="41" t="n">
        <f aca="false">IF(NOT(Tasks[[#This Row],[_IsLeaf]]=1),0,IF(N(Tasks[[#This Row],[Actual Finish]])&gt;0,1,MIN(1,N(Tasks[[#This Row],[% Complete]]))))</f>
        <v>0</v>
      </c>
      <c r="BW193" s="41" t="n">
        <f aca="false">IF(OR(NOT(Tasks[[#This Row],[_IsLeaf]]=1),Tasks[[#This Row],[Resource]]=""),0,N(Tasks[[#This Row],[Duration]])*HoursPerDay*IF(Tasks[[#This Row],[Units]]="",DefaultUnits,Tasks[[#This Row],[Units]]))</f>
        <v>0</v>
      </c>
      <c r="BX193" s="41" t="n">
        <f aca="false">IF(Tasks[[#This Row],[_LeafWork]]=0,0,Tasks[[#This Row],[_LeafWork]]*IFERROR(INDEX(res_Rate,MATCH(Tasks[[#This Row],[Resource]],res_Name,0)),0))</f>
        <v>0</v>
      </c>
      <c r="BY19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9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9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9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93" s="41" t="n">
        <f aca="false">IF(NOT(Tasks[[#This Row],[_IsLeaf]]=1),0,MAX(_xlfn.MAXIFS(Tasks[_Row],Tasks[Pred1 UID],Tasks[[#This Row],[UID]]),_xlfn.MAXIFS(Tasks[_Row],Tasks[Pred2 UID],Tasks[[#This Row],[UID]])))</f>
        <v>0</v>
      </c>
      <c r="CD193"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93" s="100" t="str">
        <f aca="false">IF(NOT(Tasks[[#This Row],[_IsLeaf]]=1),"",MIN(ProjectFinish,IF(N(Tasks[[#This Row],[Deadline]])&gt;0,Tasks[[#This Row],[Deadline]],2958465),Tasks[[#This Row],[_SuccessorFinishLimit]]))</f>
        <v/>
      </c>
      <c r="CF193" s="100" t="str">
        <f aca="false">IF(NOT(Tasks[[#This Row],[_IsLeaf]]=1),"",IF(N(Tasks[[#This Row],[Duration]])&lt;=0,Tasks[[#This Row],[_LeafLateFinish]],WORKDAY.INTL(Tasks[[#This Row],[_LeafLateFinish]],-(Tasks[[#This Row],[Duration]]-1),WorkWeek,Holidays)))</f>
        <v/>
      </c>
      <c r="CG19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93" s="99" t="b">
        <f aca="false">AND(Tasks[[#This Row],[_IsLeaf]]=1,Tasks[[#This Row],[_LeafProgress]]&lt;1,N(Tasks[[#This Row],[_LeafTotalSlack]])&lt;=CriticalSlackDays)</f>
        <v>0</v>
      </c>
      <c r="CI193" s="100" t="str">
        <f aca="false">IF(Tasks[[#This Row],[Task Name]]="","",IF(Tasks[[#This Row],[_IsSummary]],MIN(INDEX(Tasks[_LeafCalcStart],Tasks[[#This Row],[_Row]]+1):INDEX(Tasks[_LeafCalcStart],Tasks[[#This Row],[_Row]]+Tasks[[#This Row],[_Descendants]])),Tasks[[#This Row],[_LeafCalcStart]]))</f>
        <v/>
      </c>
      <c r="CJ193" s="100" t="str">
        <f aca="false">IF(Tasks[[#This Row],[Task Name]]="","",IF(Tasks[[#This Row],[_IsSummary]],MAX(INDEX(Tasks[_LeafCalcFinish],Tasks[[#This Row],[_Row]]+1):INDEX(Tasks[_LeafCalcFinish],Tasks[[#This Row],[_Row]]+Tasks[[#This Row],[_Descendants]])),Tasks[[#This Row],[_LeafCalcFinish]]))</f>
        <v/>
      </c>
      <c r="CK19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9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93"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93"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93"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93"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93" s="41" t="n">
        <f aca="false">IF(AND(Tasks[[#This Row],[_IsLeaf]]=1,Tasks[[#This Row],[_LeafWork]]&gt;0),NETWORKDAYS.INTL(ProjectStart,Tasks[[#This Row],[_LeafFcstStart]],WorkWeek,Holidays),0)</f>
        <v>0</v>
      </c>
      <c r="CR193" s="41" t="n">
        <f aca="false">IF(AND(Tasks[[#This Row],[_IsLeaf]]=1,Tasks[[#This Row],[_LeafWork]]&gt;0),MAX(Tasks[[#This Row],[_StartWorkday]],NETWORKDAYS.INTL(ProjectStart,Tasks[[#This Row],[_LeafFcstFinish]],WorkWeek,Holidays)),0)</f>
        <v>0</v>
      </c>
      <c r="CS193" s="41" t="n">
        <f aca="false">IF(AND(Tasks[[#This Row],[_IsLeaf]]=1,Tasks[[#This Row],[_LeafWork]]&gt;0),Tasks[[#This Row],[_LeafWork]]/(Tasks[[#This Row],[_FinishWorkday]]-Tasks[[#This Row],[_StartWorkday]]+1),0)</f>
        <v>0</v>
      </c>
      <c r="CT193" s="41" t="n">
        <f aca="false">Tasks[[#This Row],[_WorkPerWorkday]]*(Tasks[[#This Row],[_StartWorkday]]-1)</f>
        <v>-0</v>
      </c>
      <c r="CU193" s="41" t="n">
        <f aca="false">IF(Tasks[[#This Row],[_IsLeaf]]=1,MAX(N(Tasks[[#This Row],[Duration]]),0.1),0)</f>
        <v>0</v>
      </c>
      <c r="CV193" s="41" t="n">
        <f aca="false">Tasks[[#This Row],[_WeightDur]]*Tasks[[#This Row],[_LeafProgress]]</f>
        <v>0</v>
      </c>
      <c r="CW19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9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9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9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93" s="41" t="str">
        <f aca="false">IF(Tasks[[#This Row],[Task Name]]="","",Tasks[[#This Row],[_Pred1UIDText]]&amp;IF(AND(Tasks[[#This Row],[_Pred1UIDText]]&lt;&gt;"",Tasks[[#This Row],[_Pred2UIDText]]&lt;&gt;""),",","")&amp;Tasks[[#This Row],[_Pred2UIDText]])</f>
        <v/>
      </c>
      <c r="DB193" s="41" t="str">
        <f aca="false">IF(AND(Tasks[[#This Row],[_IsLeaf]]=1,N(Tasks[[#This Row],[Duration]])=0,Tasks[[#This Row],[_LeafProgress]]&lt;1),Tasks[[#This Row],[_LeafFcstFinish]]+Tasks[[#This Row],[_Row]]/100000,"")</f>
        <v/>
      </c>
      <c r="DC19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93" s="41" t="n">
        <f aca="false">IF(NOT(Tasks[[#This Row],[_IsLeaf]]=1),0,IF(Tasks[[#This Row],[Baseline Cost]]="",Tasks[[#This Row],[_LeafCost]],N(Tasks[[#This Row],[Baseline Cost]])))</f>
        <v>0</v>
      </c>
      <c r="DE193" s="41" t="n">
        <f aca="false">Tasks[[#This Row],[_LeafBudget]]*Tasks[[#This Row],[_PlannedPct]]</f>
        <v>0</v>
      </c>
      <c r="DF193" s="41" t="n">
        <f aca="false">Tasks[[#This Row],[_LeafBudget]]*Tasks[[#This Row],[_LeafProgress]]</f>
        <v>0</v>
      </c>
      <c r="DG193" s="41" t="n">
        <f aca="false">IF(NOT(Tasks[[#This Row],[_IsLeaf]]=1),0,IF(Tasks[[#This Row],[Actual Cost]]="",Tasks[[#This Row],[_LeafCost]]*Tasks[[#This Row],[_LeafProgress]],N(Tasks[[#This Row],[Actual Cost]])))</f>
        <v>0</v>
      </c>
      <c r="DH193" s="41" t="str">
        <f aca="false">IF(Tasks[[#This Row],[Task Name]]="","",LEFT(Tasks[[#This Row],[WBS]],FIND(".",Tasks[[#This Row],[WBS]]&amp;".")-1))</f>
        <v/>
      </c>
      <c r="DI193" s="41" t="str">
        <f aca="false">IF(AND(Tasks[[#This Row],[Task Name]]&lt;&gt;"",Tasks[[#This Row],[_Level]]=1),Tasks[[#This Row],[_Row]],"")</f>
        <v/>
      </c>
      <c r="DJ193" s="41" t="str">
        <f aca="false">IF(AND(Tasks[[#This Row],[_IsLeaf]]=1,N(Tasks[[#This Row],[Duration]])=0),Tasks[[#This Row],[Planned Finish]]+Tasks[[#This Row],[_Row]]/100000,"")</f>
        <v/>
      </c>
      <c r="DK193" s="41" t="str">
        <f aca="false">IF(AND(Tasks[[#This Row],[_IsLeaf]]=1,Tasks[[#This Row],[_LeafProgress]]&lt;1,OR(N(Tasks[[#This Row],[Finish Var]])&gt;0,Tasks[[#This Row],[Status]]="Late Start")),MAX(0,Tasks[[#This Row],[Finish Var]])+1-Tasks[[#This Row],[_Row]]/1000000,"")</f>
        <v/>
      </c>
      <c r="DL193" s="41" t="str">
        <f aca="false">IF(AND(Tasks[[#This Row],[_IsLeaf]]=1,N(Tasks[[#This Row],[Actual Start]])=0,Tasks[[#This Row],[_LeafFcstStart]]&gt;=StatusDate,Tasks[[#This Row],[_LeafFcstStart]]&lt;=LookaheadEnd),Tasks[[#This Row],[_LeafFcstStart]]+Tasks[[#This Row],[_Row]]/100000,"")</f>
        <v/>
      </c>
      <c r="DM193" s="41" t="str">
        <f aca="false">IF(AND(Tasks[[#This Row],[_IsLeaf]]=1,Tasks[[#This Row],[_LeafProgress]]&lt;1,Tasks[[#This Row],[_LeafFcstFinish]]&gt;=StatusDate,Tasks[[#This Row],[_LeafFcstFinish]]&lt;=LookaheadEnd),Tasks[[#This Row],[_LeafFcstFinish]]+Tasks[[#This Row],[_Row]]/100000,"")</f>
        <v/>
      </c>
      <c r="DN193" s="41" t="str">
        <f aca="false">IF(Tasks[[#This Row],[_LeafCritical]],Tasks[[#This Row],[_LeafFcstStart]]+Tasks[[#This Row],[_Row]]/100000,"")</f>
        <v/>
      </c>
      <c r="DO193" s="41" t="n">
        <f aca="false">Tasks[[#This Row],[_LeafWork]]*Tasks[[#This Row],[_LeafProgress]]</f>
        <v>0</v>
      </c>
      <c r="DP193" s="100" t="str">
        <f aca="false">IF(AND(Tasks[[#This Row],[_IsLeaf]]=1,Tasks[[#This Row],[_LeafProgress]]&gt;=1),IF(N(Tasks[[#This Row],[Actual Finish]])&gt;0,Tasks[[#This Row],[Actual Finish]],Tasks[[#This Row],[_LeafFcstFinish]]),"")</f>
        <v/>
      </c>
      <c r="DQ193" s="41" t="n">
        <f aca="false">IF(Tasks[[#This Row],[_IsLeaf]]=1,N(Tasks[[#This Row],[Story Points]]),0)</f>
        <v>0</v>
      </c>
      <c r="DR193" s="41" t="str">
        <f aca="false">IF(AND(Tasks[[#This Row],[_IsLeaf]]=1,CurrentSprint&lt;&gt;"",Tasks[[#This Row],[Sprint]]=CurrentSprint),Tasks[[#This Row],[_Row]],"")</f>
        <v/>
      </c>
    </row>
    <row r="194" customFormat="false" ht="15" hidden="false" customHeight="false" outlineLevel="0" collapsed="false">
      <c r="A194" s="28" t="str">
        <f aca="false">IF(Tasks[[#This Row],[Task Name]]="","",COUNTA(Tasks[[#Headers],[Task Name]]:Tasks[[#This Row],[Task Name]])-1)</f>
        <v/>
      </c>
      <c r="B194" s="29" t="n">
        <v>189</v>
      </c>
      <c r="C19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4" s="29"/>
      <c r="E194" s="30"/>
      <c r="F194" s="29"/>
      <c r="G194" s="29"/>
      <c r="H194" s="29"/>
      <c r="I194" s="29"/>
      <c r="J194" s="29"/>
      <c r="K194" s="29"/>
      <c r="L194" s="29"/>
      <c r="M194" s="29"/>
      <c r="N194" s="73"/>
      <c r="O194" s="73"/>
      <c r="P194" s="25" t="str">
        <f aca="false">IF(Tasks[[#This Row],[Task Name]]="","",IF(N(Tasks[[#This Row],[Baseline Start]])&gt;0,Tasks[[#This Row],[Baseline Start]],Tasks[[#This Row],[_CalcStart]]))</f>
        <v/>
      </c>
      <c r="Q194" s="25" t="str">
        <f aca="false">IF(Tasks[[#This Row],[Task Name]]="","",IF(N(Tasks[[#This Row],[Baseline Finish]])&gt;0,Tasks[[#This Row],[Baseline Finish]],Tasks[[#This Row],[_CalcFinish]]))</f>
        <v/>
      </c>
      <c r="R194" s="73"/>
      <c r="S194" s="73"/>
      <c r="T194" s="25" t="str">
        <f aca="false">IF(Tasks[[#This Row],[Task Name]]="","",IF(Tasks[[#This Row],[_IsSummary]],MIN(INDEX(Tasks[_LeafFcstStart],Tasks[[#This Row],[_Row]]+1):INDEX(Tasks[_LeafFcstStart],Tasks[[#This Row],[_Row]]+Tasks[[#This Row],[_Descendants]])),Tasks[[#This Row],[_LeafFcstStart]]))</f>
        <v/>
      </c>
      <c r="U194" s="25" t="str">
        <f aca="false">IF(Tasks[[#This Row],[Task Name]]="","",IF(Tasks[[#This Row],[_IsSummary]],MAX(INDEX(Tasks[_LeafFcstFinish],Tasks[[#This Row],[_Row]]+1):INDEX(Tasks[_LeafFcstFinish],Tasks[[#This Row],[_Row]]+Tasks[[#This Row],[_Descendants]])),Tasks[[#This Row],[_LeafFcstFinish]]))</f>
        <v/>
      </c>
      <c r="V19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9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4" s="25" t="str">
        <f aca="false">IF(Tasks[[#This Row],[Task Name]]="","",IF(Tasks[[#This Row],[_IsSummary]],MIN(INDEX(Tasks[_LeafLateStart],Tasks[[#This Row],[_Row]]+1):INDEX(Tasks[_LeafLateStart],Tasks[[#This Row],[_Row]]+Tasks[[#This Row],[_Descendants]])),Tasks[[#This Row],[_LeafLateStart]]))</f>
        <v/>
      </c>
      <c r="Y194" s="25" t="str">
        <f aca="false">IF(Tasks[[#This Row],[Task Name]]="","",IF(Tasks[[#This Row],[_IsSummary]],MAX(INDEX(Tasks[_LeafLateFinish],Tasks[[#This Row],[_Row]]+1):INDEX(Tasks[_LeafLateFinish],Tasks[[#This Row],[_Row]]+Tasks[[#This Row],[_Descendants]])),Tasks[[#This Row],[_LeafLateFinish]]))</f>
        <v/>
      </c>
      <c r="Z194" s="43" t="str">
        <f aca="false">IF(Tasks[[#This Row],[Task Name]]="","",IF(Tasks[[#This Row],[_IsSummary]],MIN(INDEX(Tasks[_LeafTotalSlack],Tasks[[#This Row],[_Row]]+1):INDEX(Tasks[_LeafTotalSlack],Tasks[[#This Row],[_Row]]+Tasks[[#This Row],[_Descendants]])),Tasks[[#This Row],[_LeafTotalSlack]]))</f>
        <v/>
      </c>
      <c r="AA19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4" s="28" t="str">
        <f aca="false">IF(Tasks[[#This Row],[Task Name]]="","",IF(IF(Tasks[[#This Row],[_IsSummary]],COUNTIF(INDEX(Tasks[_LeafCritical],Tasks[[#This Row],[_Row]]+1):INDEX(Tasks[_LeafCritical],Tasks[[#This Row],[_Row]]+Tasks[[#This Row],[_Descendants]]),TRUE())&gt;0,Tasks[[#This Row],[_LeafCritical]]),"Yes",""))</f>
        <v/>
      </c>
      <c r="AC19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4" s="24" t="str">
        <f aca="false">IF(Tasks[[#This Row],[Task Name]]="","",TRIM(IF(Tasks[[#This Row],[_Pred1Problem]]&lt;&gt;"","Pred 1: "&amp;Tasks[[#This Row],[_Pred1Problem]]&amp;". ","")&amp;IF(Tasks[[#This Row],[_Pred2Problem]]&lt;&gt;"","Pred 2: "&amp;Tasks[[#This Row],[_Pred2Problem]]&amp;".","")))</f>
        <v/>
      </c>
      <c r="AE194" s="88"/>
      <c r="AF194"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4" s="28" t="str">
        <f aca="false">IF(Tasks[[#This Row],[Task Name]]="","",IF(Tasks[[#This Row],[Progress]]&gt;=1,"Complete",IF(OR(N(Tasks[[#This Row],[Actual Start]])&gt;0,Tasks[[#This Row],[Progress]]&gt;0),IF(Tasks[[#This Row],[Finish Var]]&gt;0,"Behind","In Progress"),IF(Tasks[[#This Row],[Planned Start]]&lt;StatusDate,"Late Start","Not Started"))))</f>
        <v/>
      </c>
      <c r="AH194" s="30"/>
      <c r="AI194" s="88"/>
      <c r="AJ194" s="95" t="str">
        <f aca="false">IF(Tasks[[#This Row],[Task Name]]="","",IF(Tasks[[#This Row],[_IsSummary]],SUM(INDEX(Tasks[_LeafWork],Tasks[[#This Row],[_Row]]+1):INDEX(Tasks[_LeafWork],Tasks[[#This Row],[_Row]]+Tasks[[#This Row],[_Descendants]])),Tasks[[#This Row],[_LeafWork]]))</f>
        <v/>
      </c>
      <c r="AK194" s="96" t="str">
        <f aca="false">IF(Tasks[[#This Row],[Task Name]]="","",IF(Tasks[[#This Row],[_IsSummary]],SUM(INDEX(Tasks[_LeafCost],Tasks[[#This Row],[_Row]]+1):INDEX(Tasks[_LeafCost],Tasks[[#This Row],[_Row]]+Tasks[[#This Row],[_Descendants]])),Tasks[[#This Row],[_LeafCost]]))</f>
        <v/>
      </c>
      <c r="AL194" s="97"/>
      <c r="AM194" s="29"/>
      <c r="AN19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94" s="82"/>
      <c r="AP194" s="24" t="str">
        <f aca="false">IF(Tasks[[#This Row],[Task Name]]="","",Tasks[[#This Row],[_Pred1IDText]]&amp;IF(AND(Tasks[[#This Row],[_Pred1IDText]]&lt;&gt;"",Tasks[[#This Row],[_Pred2IDText]]&lt;&gt;""),",","")&amp;Tasks[[#This Row],[_Pred2IDText]])</f>
        <v/>
      </c>
      <c r="AQ194" s="30"/>
      <c r="AR194" s="25" t="str">
        <f aca="false">IF(Tasks[[#This Row],[Task Name]]="","",Tasks[[#This Row],[Forecast Start]])</f>
        <v/>
      </c>
      <c r="AS194" s="25" t="str">
        <f aca="false">IF(Tasks[[#This Row],[Task Name]]="","",Tasks[[#This Row],[Forecast Finish]])</f>
        <v/>
      </c>
      <c r="AT194" s="28" t="str">
        <f aca="false">IF(Tasks[[#This Row],[Task Name]]="","",IF(Tasks[[#This Row],[_IsSummary]],NETWORKDAYS.INTL(Tasks[[#This Row],[Forecast Start]],Tasks[[#This Row],[Forecast Finish]],WorkWeek,Holidays),N(Tasks[[#This Row],[Duration]])))</f>
        <v/>
      </c>
      <c r="AU194" s="95" t="str">
        <f aca="false">IF(Tasks[[#This Row],[Task Name]]="","",Tasks[[#This Row],[Work]])</f>
        <v/>
      </c>
      <c r="AV194" s="96" t="str">
        <f aca="false">IF(Tasks[[#This Row],[Task Name]]="","",Tasks[[#This Row],[Cost]])</f>
        <v/>
      </c>
      <c r="AW194" s="73"/>
      <c r="AX194" s="73"/>
      <c r="AY194" s="29"/>
      <c r="AZ194" s="98"/>
      <c r="BA194" s="97"/>
      <c r="BB194" s="28" t="str">
        <f aca="false">IF(OR(Tasks[[#This Row],[Task Name]]="",Tasks[[#This Row],[Baseline Duration]]=""),"",Tasks[[#This Row],[BL Source Duration]]-N(Tasks[[#This Row],[Baseline Duration]]))</f>
        <v/>
      </c>
      <c r="BC194" s="95" t="str">
        <f aca="false">IF(OR(Tasks[[#This Row],[Task Name]]="",Tasks[[#This Row],[Baseline Work]]=""),"",Tasks[[#This Row],[Work]]-N(Tasks[[#This Row],[Baseline Work]]))</f>
        <v/>
      </c>
      <c r="BD194" s="96" t="str">
        <f aca="false">IF(OR(Tasks[[#This Row],[Task Name]]="",Tasks[[#This Row],[Baseline Cost]]=""),"",Tasks[[#This Row],[Cost]]-N(Tasks[[#This Row],[Baseline Cost]]))</f>
        <v/>
      </c>
      <c r="BE194" s="96" t="str">
        <f aca="false">IF(Tasks[[#This Row],[Task Name]]="","",IF(Tasks[[#This Row],[_IsSummary]],SUM(INDEX(Tasks[_LeafBudget],Tasks[[#This Row],[_Row]]+1):INDEX(Tasks[_LeafBudget],Tasks[[#This Row],[_Row]]+Tasks[[#This Row],[_Descendants]])),Tasks[[#This Row],[_LeafBudget]]))</f>
        <v/>
      </c>
      <c r="BF194" s="96" t="str">
        <f aca="false">IF(Tasks[[#This Row],[Task Name]]="","",IF(Tasks[[#This Row],[_IsSummary]],SUM(INDEX(Tasks[_LeafPV],Tasks[[#This Row],[_Row]]+1):INDEX(Tasks[_LeafPV],Tasks[[#This Row],[_Row]]+Tasks[[#This Row],[_Descendants]])),Tasks[[#This Row],[_LeafPV]]))</f>
        <v/>
      </c>
      <c r="BG194" s="96" t="str">
        <f aca="false">IF(Tasks[[#This Row],[Task Name]]="","",IF(Tasks[[#This Row],[_IsSummary]],SUM(INDEX(Tasks[_LeafEV],Tasks[[#This Row],[_Row]]+1):INDEX(Tasks[_LeafEV],Tasks[[#This Row],[_Row]]+Tasks[[#This Row],[_Descendants]])),Tasks[[#This Row],[_LeafEV]]))</f>
        <v/>
      </c>
      <c r="BH194" s="96" t="str">
        <f aca="false">IF(Tasks[[#This Row],[Task Name]]="","",IF(Tasks[[#This Row],[_IsSummary]],SUM(INDEX(Tasks[_LeafAC],Tasks[[#This Row],[_Row]]+1):INDEX(Tasks[_LeafAC],Tasks[[#This Row],[_Row]]+Tasks[[#This Row],[_Descendants]])),Tasks[[#This Row],[_LeafAC]]))</f>
        <v/>
      </c>
      <c r="BI194" s="41" t="str">
        <f aca="false">IF(Tasks[[#This Row],[Task Name]]="","",MAX(1,N(Tasks[[#This Row],[Level]])))</f>
        <v/>
      </c>
      <c r="BJ194" s="41" t="n">
        <f aca="false">ROW()-ROW(Tasks[[#Headers],[ID]])</f>
        <v>189</v>
      </c>
      <c r="BK194" s="41" t="n">
        <f aca="false">IF(OR(Tasks[[#This Row],[Task Name]]="",Tasks[[#This Row],[_Level]]&lt;=1),0,IFERROR(LOOKUP(2,1/(Tasks[[#Headers],[_Level]]:Tasks[[#This Row],[_Level]]=Tasks[[#This Row],[_Level]]-1),ROW(Tasks[[#Headers],[_Level]]:Tasks[[#This Row],[_Level]])),0))</f>
        <v>0</v>
      </c>
      <c r="BL194" s="41" t="n">
        <f aca="false">IFERROR(N(INDEX(Tasks[_Level],Tasks[[#This Row],[_Row]]+1)),0)</f>
        <v>0</v>
      </c>
      <c r="BM194" s="99" t="b">
        <f aca="false">AND(Tasks[[#This Row],[Task Name]]&lt;&gt;"",Tasks[[#This Row],[_NextLevel]]&gt;Tasks[[#This Row],[_Level]])</f>
        <v>0</v>
      </c>
      <c r="BN194" s="41" t="n">
        <f aca="false">IF(Tasks[[#This Row],[_IsSummary]],COUNTIF(Tasks[WBS],Tasks[[#This Row],[WBS]]&amp;".*"),0)</f>
        <v>0</v>
      </c>
      <c r="BO194" s="41" t="n">
        <f aca="false">IF(AND(Tasks[[#This Row],[Task Name]]&lt;&gt;"",NOT(Tasks[[#This Row],[_IsSummary]])),1,0)</f>
        <v>0</v>
      </c>
      <c r="BP194" s="41" t="n">
        <f aca="false">IF(N(Tasks[[#This Row],[Pred1 UID]])=0,0,IFERROR(MATCH(Tasks[[#This Row],[Pred1 UID]],Tasks[UID],0),-1))</f>
        <v>0</v>
      </c>
      <c r="BQ194" s="41" t="n">
        <f aca="false">IF(N(Tasks[[#This Row],[Pred2 UID]])=0,0,IFERROR(MATCH(Tasks[[#This Row],[Pred2 UID]],Tasks[UID],0),-1))</f>
        <v>0</v>
      </c>
      <c r="BR194"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94" s="100" t="str">
        <f aca="false">IF(NOT(Tasks[[#This Row],[_IsLeaf]]=1),"",IF(N(Tasks[[#This Row],[Duration]])&lt;=0,Tasks[[#This Row],[_LeafCalcStart]],WORKDAY.INTL(Tasks[[#This Row],[_LeafCalcStart]],Tasks[[#This Row],[Duration]]-1,WorkWeek,Holidays)))</f>
        <v/>
      </c>
      <c r="BT194"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94"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94" s="41" t="n">
        <f aca="false">IF(NOT(Tasks[[#This Row],[_IsLeaf]]=1),0,IF(N(Tasks[[#This Row],[Actual Finish]])&gt;0,1,MIN(1,N(Tasks[[#This Row],[% Complete]]))))</f>
        <v>0</v>
      </c>
      <c r="BW194" s="41" t="n">
        <f aca="false">IF(OR(NOT(Tasks[[#This Row],[_IsLeaf]]=1),Tasks[[#This Row],[Resource]]=""),0,N(Tasks[[#This Row],[Duration]])*HoursPerDay*IF(Tasks[[#This Row],[Units]]="",DefaultUnits,Tasks[[#This Row],[Units]]))</f>
        <v>0</v>
      </c>
      <c r="BX194" s="41" t="n">
        <f aca="false">IF(Tasks[[#This Row],[_LeafWork]]=0,0,Tasks[[#This Row],[_LeafWork]]*IFERROR(INDEX(res_Rate,MATCH(Tasks[[#This Row],[Resource]],res_Name,0)),0))</f>
        <v>0</v>
      </c>
      <c r="BY19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9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9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9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94" s="41" t="n">
        <f aca="false">IF(NOT(Tasks[[#This Row],[_IsLeaf]]=1),0,MAX(_xlfn.MAXIFS(Tasks[_Row],Tasks[Pred1 UID],Tasks[[#This Row],[UID]]),_xlfn.MAXIFS(Tasks[_Row],Tasks[Pred2 UID],Tasks[[#This Row],[UID]])))</f>
        <v>0</v>
      </c>
      <c r="CD194"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94" s="100" t="str">
        <f aca="false">IF(NOT(Tasks[[#This Row],[_IsLeaf]]=1),"",MIN(ProjectFinish,IF(N(Tasks[[#This Row],[Deadline]])&gt;0,Tasks[[#This Row],[Deadline]],2958465),Tasks[[#This Row],[_SuccessorFinishLimit]]))</f>
        <v/>
      </c>
      <c r="CF194" s="100" t="str">
        <f aca="false">IF(NOT(Tasks[[#This Row],[_IsLeaf]]=1),"",IF(N(Tasks[[#This Row],[Duration]])&lt;=0,Tasks[[#This Row],[_LeafLateFinish]],WORKDAY.INTL(Tasks[[#This Row],[_LeafLateFinish]],-(Tasks[[#This Row],[Duration]]-1),WorkWeek,Holidays)))</f>
        <v/>
      </c>
      <c r="CG19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94" s="99" t="b">
        <f aca="false">AND(Tasks[[#This Row],[_IsLeaf]]=1,Tasks[[#This Row],[_LeafProgress]]&lt;1,N(Tasks[[#This Row],[_LeafTotalSlack]])&lt;=CriticalSlackDays)</f>
        <v>0</v>
      </c>
      <c r="CI194" s="100" t="str">
        <f aca="false">IF(Tasks[[#This Row],[Task Name]]="","",IF(Tasks[[#This Row],[_IsSummary]],MIN(INDEX(Tasks[_LeafCalcStart],Tasks[[#This Row],[_Row]]+1):INDEX(Tasks[_LeafCalcStart],Tasks[[#This Row],[_Row]]+Tasks[[#This Row],[_Descendants]])),Tasks[[#This Row],[_LeafCalcStart]]))</f>
        <v/>
      </c>
      <c r="CJ194" s="100" t="str">
        <f aca="false">IF(Tasks[[#This Row],[Task Name]]="","",IF(Tasks[[#This Row],[_IsSummary]],MAX(INDEX(Tasks[_LeafCalcFinish],Tasks[[#This Row],[_Row]]+1):INDEX(Tasks[_LeafCalcFinish],Tasks[[#This Row],[_Row]]+Tasks[[#This Row],[_Descendants]])),Tasks[[#This Row],[_LeafCalcFinish]]))</f>
        <v/>
      </c>
      <c r="CK19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9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94"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94"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94"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94"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94" s="41" t="n">
        <f aca="false">IF(AND(Tasks[[#This Row],[_IsLeaf]]=1,Tasks[[#This Row],[_LeafWork]]&gt;0),NETWORKDAYS.INTL(ProjectStart,Tasks[[#This Row],[_LeafFcstStart]],WorkWeek,Holidays),0)</f>
        <v>0</v>
      </c>
      <c r="CR194" s="41" t="n">
        <f aca="false">IF(AND(Tasks[[#This Row],[_IsLeaf]]=1,Tasks[[#This Row],[_LeafWork]]&gt;0),MAX(Tasks[[#This Row],[_StartWorkday]],NETWORKDAYS.INTL(ProjectStart,Tasks[[#This Row],[_LeafFcstFinish]],WorkWeek,Holidays)),0)</f>
        <v>0</v>
      </c>
      <c r="CS194" s="41" t="n">
        <f aca="false">IF(AND(Tasks[[#This Row],[_IsLeaf]]=1,Tasks[[#This Row],[_LeafWork]]&gt;0),Tasks[[#This Row],[_LeafWork]]/(Tasks[[#This Row],[_FinishWorkday]]-Tasks[[#This Row],[_StartWorkday]]+1),0)</f>
        <v>0</v>
      </c>
      <c r="CT194" s="41" t="n">
        <f aca="false">Tasks[[#This Row],[_WorkPerWorkday]]*(Tasks[[#This Row],[_StartWorkday]]-1)</f>
        <v>-0</v>
      </c>
      <c r="CU194" s="41" t="n">
        <f aca="false">IF(Tasks[[#This Row],[_IsLeaf]]=1,MAX(N(Tasks[[#This Row],[Duration]]),0.1),0)</f>
        <v>0</v>
      </c>
      <c r="CV194" s="41" t="n">
        <f aca="false">Tasks[[#This Row],[_WeightDur]]*Tasks[[#This Row],[_LeafProgress]]</f>
        <v>0</v>
      </c>
      <c r="CW19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9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9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9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94" s="41" t="str">
        <f aca="false">IF(Tasks[[#This Row],[Task Name]]="","",Tasks[[#This Row],[_Pred1UIDText]]&amp;IF(AND(Tasks[[#This Row],[_Pred1UIDText]]&lt;&gt;"",Tasks[[#This Row],[_Pred2UIDText]]&lt;&gt;""),",","")&amp;Tasks[[#This Row],[_Pred2UIDText]])</f>
        <v/>
      </c>
      <c r="DB194" s="41" t="str">
        <f aca="false">IF(AND(Tasks[[#This Row],[_IsLeaf]]=1,N(Tasks[[#This Row],[Duration]])=0,Tasks[[#This Row],[_LeafProgress]]&lt;1),Tasks[[#This Row],[_LeafFcstFinish]]+Tasks[[#This Row],[_Row]]/100000,"")</f>
        <v/>
      </c>
      <c r="DC19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94" s="41" t="n">
        <f aca="false">IF(NOT(Tasks[[#This Row],[_IsLeaf]]=1),0,IF(Tasks[[#This Row],[Baseline Cost]]="",Tasks[[#This Row],[_LeafCost]],N(Tasks[[#This Row],[Baseline Cost]])))</f>
        <v>0</v>
      </c>
      <c r="DE194" s="41" t="n">
        <f aca="false">Tasks[[#This Row],[_LeafBudget]]*Tasks[[#This Row],[_PlannedPct]]</f>
        <v>0</v>
      </c>
      <c r="DF194" s="41" t="n">
        <f aca="false">Tasks[[#This Row],[_LeafBudget]]*Tasks[[#This Row],[_LeafProgress]]</f>
        <v>0</v>
      </c>
      <c r="DG194" s="41" t="n">
        <f aca="false">IF(NOT(Tasks[[#This Row],[_IsLeaf]]=1),0,IF(Tasks[[#This Row],[Actual Cost]]="",Tasks[[#This Row],[_LeafCost]]*Tasks[[#This Row],[_LeafProgress]],N(Tasks[[#This Row],[Actual Cost]])))</f>
        <v>0</v>
      </c>
      <c r="DH194" s="41" t="str">
        <f aca="false">IF(Tasks[[#This Row],[Task Name]]="","",LEFT(Tasks[[#This Row],[WBS]],FIND(".",Tasks[[#This Row],[WBS]]&amp;".")-1))</f>
        <v/>
      </c>
      <c r="DI194" s="41" t="str">
        <f aca="false">IF(AND(Tasks[[#This Row],[Task Name]]&lt;&gt;"",Tasks[[#This Row],[_Level]]=1),Tasks[[#This Row],[_Row]],"")</f>
        <v/>
      </c>
      <c r="DJ194" s="41" t="str">
        <f aca="false">IF(AND(Tasks[[#This Row],[_IsLeaf]]=1,N(Tasks[[#This Row],[Duration]])=0),Tasks[[#This Row],[Planned Finish]]+Tasks[[#This Row],[_Row]]/100000,"")</f>
        <v/>
      </c>
      <c r="DK194" s="41" t="str">
        <f aca="false">IF(AND(Tasks[[#This Row],[_IsLeaf]]=1,Tasks[[#This Row],[_LeafProgress]]&lt;1,OR(N(Tasks[[#This Row],[Finish Var]])&gt;0,Tasks[[#This Row],[Status]]="Late Start")),MAX(0,Tasks[[#This Row],[Finish Var]])+1-Tasks[[#This Row],[_Row]]/1000000,"")</f>
        <v/>
      </c>
      <c r="DL194" s="41" t="str">
        <f aca="false">IF(AND(Tasks[[#This Row],[_IsLeaf]]=1,N(Tasks[[#This Row],[Actual Start]])=0,Tasks[[#This Row],[_LeafFcstStart]]&gt;=StatusDate,Tasks[[#This Row],[_LeafFcstStart]]&lt;=LookaheadEnd),Tasks[[#This Row],[_LeafFcstStart]]+Tasks[[#This Row],[_Row]]/100000,"")</f>
        <v/>
      </c>
      <c r="DM194" s="41" t="str">
        <f aca="false">IF(AND(Tasks[[#This Row],[_IsLeaf]]=1,Tasks[[#This Row],[_LeafProgress]]&lt;1,Tasks[[#This Row],[_LeafFcstFinish]]&gt;=StatusDate,Tasks[[#This Row],[_LeafFcstFinish]]&lt;=LookaheadEnd),Tasks[[#This Row],[_LeafFcstFinish]]+Tasks[[#This Row],[_Row]]/100000,"")</f>
        <v/>
      </c>
      <c r="DN194" s="41" t="str">
        <f aca="false">IF(Tasks[[#This Row],[_LeafCritical]],Tasks[[#This Row],[_LeafFcstStart]]+Tasks[[#This Row],[_Row]]/100000,"")</f>
        <v/>
      </c>
      <c r="DO194" s="41" t="n">
        <f aca="false">Tasks[[#This Row],[_LeafWork]]*Tasks[[#This Row],[_LeafProgress]]</f>
        <v>0</v>
      </c>
      <c r="DP194" s="100" t="str">
        <f aca="false">IF(AND(Tasks[[#This Row],[_IsLeaf]]=1,Tasks[[#This Row],[_LeafProgress]]&gt;=1),IF(N(Tasks[[#This Row],[Actual Finish]])&gt;0,Tasks[[#This Row],[Actual Finish]],Tasks[[#This Row],[_LeafFcstFinish]]),"")</f>
        <v/>
      </c>
      <c r="DQ194" s="41" t="n">
        <f aca="false">IF(Tasks[[#This Row],[_IsLeaf]]=1,N(Tasks[[#This Row],[Story Points]]),0)</f>
        <v>0</v>
      </c>
      <c r="DR194" s="41" t="str">
        <f aca="false">IF(AND(Tasks[[#This Row],[_IsLeaf]]=1,CurrentSprint&lt;&gt;"",Tasks[[#This Row],[Sprint]]=CurrentSprint),Tasks[[#This Row],[_Row]],"")</f>
        <v/>
      </c>
    </row>
    <row r="195" customFormat="false" ht="15" hidden="false" customHeight="false" outlineLevel="0" collapsed="false">
      <c r="A195" s="28" t="str">
        <f aca="false">IF(Tasks[[#This Row],[Task Name]]="","",COUNTA(Tasks[[#Headers],[Task Name]]:Tasks[[#This Row],[Task Name]])-1)</f>
        <v/>
      </c>
      <c r="B195" s="29" t="n">
        <v>190</v>
      </c>
      <c r="C19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5" s="29"/>
      <c r="E195" s="30"/>
      <c r="F195" s="29"/>
      <c r="G195" s="29"/>
      <c r="H195" s="29"/>
      <c r="I195" s="29"/>
      <c r="J195" s="29"/>
      <c r="K195" s="29"/>
      <c r="L195" s="29"/>
      <c r="M195" s="29"/>
      <c r="N195" s="73"/>
      <c r="O195" s="73"/>
      <c r="P195" s="25" t="str">
        <f aca="false">IF(Tasks[[#This Row],[Task Name]]="","",IF(N(Tasks[[#This Row],[Baseline Start]])&gt;0,Tasks[[#This Row],[Baseline Start]],Tasks[[#This Row],[_CalcStart]]))</f>
        <v/>
      </c>
      <c r="Q195" s="25" t="str">
        <f aca="false">IF(Tasks[[#This Row],[Task Name]]="","",IF(N(Tasks[[#This Row],[Baseline Finish]])&gt;0,Tasks[[#This Row],[Baseline Finish]],Tasks[[#This Row],[_CalcFinish]]))</f>
        <v/>
      </c>
      <c r="R195" s="73"/>
      <c r="S195" s="73"/>
      <c r="T195" s="25" t="str">
        <f aca="false">IF(Tasks[[#This Row],[Task Name]]="","",IF(Tasks[[#This Row],[_IsSummary]],MIN(INDEX(Tasks[_LeafFcstStart],Tasks[[#This Row],[_Row]]+1):INDEX(Tasks[_LeafFcstStart],Tasks[[#This Row],[_Row]]+Tasks[[#This Row],[_Descendants]])),Tasks[[#This Row],[_LeafFcstStart]]))</f>
        <v/>
      </c>
      <c r="U195" s="25" t="str">
        <f aca="false">IF(Tasks[[#This Row],[Task Name]]="","",IF(Tasks[[#This Row],[_IsSummary]],MAX(INDEX(Tasks[_LeafFcstFinish],Tasks[[#This Row],[_Row]]+1):INDEX(Tasks[_LeafFcstFinish],Tasks[[#This Row],[_Row]]+Tasks[[#This Row],[_Descendants]])),Tasks[[#This Row],[_LeafFcstFinish]]))</f>
        <v/>
      </c>
      <c r="V19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9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5" s="25" t="str">
        <f aca="false">IF(Tasks[[#This Row],[Task Name]]="","",IF(Tasks[[#This Row],[_IsSummary]],MIN(INDEX(Tasks[_LeafLateStart],Tasks[[#This Row],[_Row]]+1):INDEX(Tasks[_LeafLateStart],Tasks[[#This Row],[_Row]]+Tasks[[#This Row],[_Descendants]])),Tasks[[#This Row],[_LeafLateStart]]))</f>
        <v/>
      </c>
      <c r="Y195" s="25" t="str">
        <f aca="false">IF(Tasks[[#This Row],[Task Name]]="","",IF(Tasks[[#This Row],[_IsSummary]],MAX(INDEX(Tasks[_LeafLateFinish],Tasks[[#This Row],[_Row]]+1):INDEX(Tasks[_LeafLateFinish],Tasks[[#This Row],[_Row]]+Tasks[[#This Row],[_Descendants]])),Tasks[[#This Row],[_LeafLateFinish]]))</f>
        <v/>
      </c>
      <c r="Z195" s="43" t="str">
        <f aca="false">IF(Tasks[[#This Row],[Task Name]]="","",IF(Tasks[[#This Row],[_IsSummary]],MIN(INDEX(Tasks[_LeafTotalSlack],Tasks[[#This Row],[_Row]]+1):INDEX(Tasks[_LeafTotalSlack],Tasks[[#This Row],[_Row]]+Tasks[[#This Row],[_Descendants]])),Tasks[[#This Row],[_LeafTotalSlack]]))</f>
        <v/>
      </c>
      <c r="AA19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5" s="28" t="str">
        <f aca="false">IF(Tasks[[#This Row],[Task Name]]="","",IF(IF(Tasks[[#This Row],[_IsSummary]],COUNTIF(INDEX(Tasks[_LeafCritical],Tasks[[#This Row],[_Row]]+1):INDEX(Tasks[_LeafCritical],Tasks[[#This Row],[_Row]]+Tasks[[#This Row],[_Descendants]]),TRUE())&gt;0,Tasks[[#This Row],[_LeafCritical]]),"Yes",""))</f>
        <v/>
      </c>
      <c r="AC19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5" s="24" t="str">
        <f aca="false">IF(Tasks[[#This Row],[Task Name]]="","",TRIM(IF(Tasks[[#This Row],[_Pred1Problem]]&lt;&gt;"","Pred 1: "&amp;Tasks[[#This Row],[_Pred1Problem]]&amp;". ","")&amp;IF(Tasks[[#This Row],[_Pred2Problem]]&lt;&gt;"","Pred 2: "&amp;Tasks[[#This Row],[_Pred2Problem]]&amp;".","")))</f>
        <v/>
      </c>
      <c r="AE195" s="88"/>
      <c r="AF195"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5" s="28" t="str">
        <f aca="false">IF(Tasks[[#This Row],[Task Name]]="","",IF(Tasks[[#This Row],[Progress]]&gt;=1,"Complete",IF(OR(N(Tasks[[#This Row],[Actual Start]])&gt;0,Tasks[[#This Row],[Progress]]&gt;0),IF(Tasks[[#This Row],[Finish Var]]&gt;0,"Behind","In Progress"),IF(Tasks[[#This Row],[Planned Start]]&lt;StatusDate,"Late Start","Not Started"))))</f>
        <v/>
      </c>
      <c r="AH195" s="30"/>
      <c r="AI195" s="88"/>
      <c r="AJ195" s="95" t="str">
        <f aca="false">IF(Tasks[[#This Row],[Task Name]]="","",IF(Tasks[[#This Row],[_IsSummary]],SUM(INDEX(Tasks[_LeafWork],Tasks[[#This Row],[_Row]]+1):INDEX(Tasks[_LeafWork],Tasks[[#This Row],[_Row]]+Tasks[[#This Row],[_Descendants]])),Tasks[[#This Row],[_LeafWork]]))</f>
        <v/>
      </c>
      <c r="AK195" s="96" t="str">
        <f aca="false">IF(Tasks[[#This Row],[Task Name]]="","",IF(Tasks[[#This Row],[_IsSummary]],SUM(INDEX(Tasks[_LeafCost],Tasks[[#This Row],[_Row]]+1):INDEX(Tasks[_LeafCost],Tasks[[#This Row],[_Row]]+Tasks[[#This Row],[_Descendants]])),Tasks[[#This Row],[_LeafCost]]))</f>
        <v/>
      </c>
      <c r="AL195" s="97"/>
      <c r="AM195" s="29"/>
      <c r="AN19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95" s="82"/>
      <c r="AP195" s="24" t="str">
        <f aca="false">IF(Tasks[[#This Row],[Task Name]]="","",Tasks[[#This Row],[_Pred1IDText]]&amp;IF(AND(Tasks[[#This Row],[_Pred1IDText]]&lt;&gt;"",Tasks[[#This Row],[_Pred2IDText]]&lt;&gt;""),",","")&amp;Tasks[[#This Row],[_Pred2IDText]])</f>
        <v/>
      </c>
      <c r="AQ195" s="30"/>
      <c r="AR195" s="25" t="str">
        <f aca="false">IF(Tasks[[#This Row],[Task Name]]="","",Tasks[[#This Row],[Forecast Start]])</f>
        <v/>
      </c>
      <c r="AS195" s="25" t="str">
        <f aca="false">IF(Tasks[[#This Row],[Task Name]]="","",Tasks[[#This Row],[Forecast Finish]])</f>
        <v/>
      </c>
      <c r="AT195" s="28" t="str">
        <f aca="false">IF(Tasks[[#This Row],[Task Name]]="","",IF(Tasks[[#This Row],[_IsSummary]],NETWORKDAYS.INTL(Tasks[[#This Row],[Forecast Start]],Tasks[[#This Row],[Forecast Finish]],WorkWeek,Holidays),N(Tasks[[#This Row],[Duration]])))</f>
        <v/>
      </c>
      <c r="AU195" s="95" t="str">
        <f aca="false">IF(Tasks[[#This Row],[Task Name]]="","",Tasks[[#This Row],[Work]])</f>
        <v/>
      </c>
      <c r="AV195" s="96" t="str">
        <f aca="false">IF(Tasks[[#This Row],[Task Name]]="","",Tasks[[#This Row],[Cost]])</f>
        <v/>
      </c>
      <c r="AW195" s="73"/>
      <c r="AX195" s="73"/>
      <c r="AY195" s="29"/>
      <c r="AZ195" s="98"/>
      <c r="BA195" s="97"/>
      <c r="BB195" s="28" t="str">
        <f aca="false">IF(OR(Tasks[[#This Row],[Task Name]]="",Tasks[[#This Row],[Baseline Duration]]=""),"",Tasks[[#This Row],[BL Source Duration]]-N(Tasks[[#This Row],[Baseline Duration]]))</f>
        <v/>
      </c>
      <c r="BC195" s="95" t="str">
        <f aca="false">IF(OR(Tasks[[#This Row],[Task Name]]="",Tasks[[#This Row],[Baseline Work]]=""),"",Tasks[[#This Row],[Work]]-N(Tasks[[#This Row],[Baseline Work]]))</f>
        <v/>
      </c>
      <c r="BD195" s="96" t="str">
        <f aca="false">IF(OR(Tasks[[#This Row],[Task Name]]="",Tasks[[#This Row],[Baseline Cost]]=""),"",Tasks[[#This Row],[Cost]]-N(Tasks[[#This Row],[Baseline Cost]]))</f>
        <v/>
      </c>
      <c r="BE195" s="96" t="str">
        <f aca="false">IF(Tasks[[#This Row],[Task Name]]="","",IF(Tasks[[#This Row],[_IsSummary]],SUM(INDEX(Tasks[_LeafBudget],Tasks[[#This Row],[_Row]]+1):INDEX(Tasks[_LeafBudget],Tasks[[#This Row],[_Row]]+Tasks[[#This Row],[_Descendants]])),Tasks[[#This Row],[_LeafBudget]]))</f>
        <v/>
      </c>
      <c r="BF195" s="96" t="str">
        <f aca="false">IF(Tasks[[#This Row],[Task Name]]="","",IF(Tasks[[#This Row],[_IsSummary]],SUM(INDEX(Tasks[_LeafPV],Tasks[[#This Row],[_Row]]+1):INDEX(Tasks[_LeafPV],Tasks[[#This Row],[_Row]]+Tasks[[#This Row],[_Descendants]])),Tasks[[#This Row],[_LeafPV]]))</f>
        <v/>
      </c>
      <c r="BG195" s="96" t="str">
        <f aca="false">IF(Tasks[[#This Row],[Task Name]]="","",IF(Tasks[[#This Row],[_IsSummary]],SUM(INDEX(Tasks[_LeafEV],Tasks[[#This Row],[_Row]]+1):INDEX(Tasks[_LeafEV],Tasks[[#This Row],[_Row]]+Tasks[[#This Row],[_Descendants]])),Tasks[[#This Row],[_LeafEV]]))</f>
        <v/>
      </c>
      <c r="BH195" s="96" t="str">
        <f aca="false">IF(Tasks[[#This Row],[Task Name]]="","",IF(Tasks[[#This Row],[_IsSummary]],SUM(INDEX(Tasks[_LeafAC],Tasks[[#This Row],[_Row]]+1):INDEX(Tasks[_LeafAC],Tasks[[#This Row],[_Row]]+Tasks[[#This Row],[_Descendants]])),Tasks[[#This Row],[_LeafAC]]))</f>
        <v/>
      </c>
      <c r="BI195" s="41" t="str">
        <f aca="false">IF(Tasks[[#This Row],[Task Name]]="","",MAX(1,N(Tasks[[#This Row],[Level]])))</f>
        <v/>
      </c>
      <c r="BJ195" s="41" t="n">
        <f aca="false">ROW()-ROW(Tasks[[#Headers],[ID]])</f>
        <v>190</v>
      </c>
      <c r="BK195" s="41" t="n">
        <f aca="false">IF(OR(Tasks[[#This Row],[Task Name]]="",Tasks[[#This Row],[_Level]]&lt;=1),0,IFERROR(LOOKUP(2,1/(Tasks[[#Headers],[_Level]]:Tasks[[#This Row],[_Level]]=Tasks[[#This Row],[_Level]]-1),ROW(Tasks[[#Headers],[_Level]]:Tasks[[#This Row],[_Level]])),0))</f>
        <v>0</v>
      </c>
      <c r="BL195" s="41" t="n">
        <f aca="false">IFERROR(N(INDEX(Tasks[_Level],Tasks[[#This Row],[_Row]]+1)),0)</f>
        <v>0</v>
      </c>
      <c r="BM195" s="99" t="b">
        <f aca="false">AND(Tasks[[#This Row],[Task Name]]&lt;&gt;"",Tasks[[#This Row],[_NextLevel]]&gt;Tasks[[#This Row],[_Level]])</f>
        <v>0</v>
      </c>
      <c r="BN195" s="41" t="n">
        <f aca="false">IF(Tasks[[#This Row],[_IsSummary]],COUNTIF(Tasks[WBS],Tasks[[#This Row],[WBS]]&amp;".*"),0)</f>
        <v>0</v>
      </c>
      <c r="BO195" s="41" t="n">
        <f aca="false">IF(AND(Tasks[[#This Row],[Task Name]]&lt;&gt;"",NOT(Tasks[[#This Row],[_IsSummary]])),1,0)</f>
        <v>0</v>
      </c>
      <c r="BP195" s="41" t="n">
        <f aca="false">IF(N(Tasks[[#This Row],[Pred1 UID]])=0,0,IFERROR(MATCH(Tasks[[#This Row],[Pred1 UID]],Tasks[UID],0),-1))</f>
        <v>0</v>
      </c>
      <c r="BQ195" s="41" t="n">
        <f aca="false">IF(N(Tasks[[#This Row],[Pred2 UID]])=0,0,IFERROR(MATCH(Tasks[[#This Row],[Pred2 UID]],Tasks[UID],0),-1))</f>
        <v>0</v>
      </c>
      <c r="BR195"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95" s="100" t="str">
        <f aca="false">IF(NOT(Tasks[[#This Row],[_IsLeaf]]=1),"",IF(N(Tasks[[#This Row],[Duration]])&lt;=0,Tasks[[#This Row],[_LeafCalcStart]],WORKDAY.INTL(Tasks[[#This Row],[_LeafCalcStart]],Tasks[[#This Row],[Duration]]-1,WorkWeek,Holidays)))</f>
        <v/>
      </c>
      <c r="BT195"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95"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95" s="41" t="n">
        <f aca="false">IF(NOT(Tasks[[#This Row],[_IsLeaf]]=1),0,IF(N(Tasks[[#This Row],[Actual Finish]])&gt;0,1,MIN(1,N(Tasks[[#This Row],[% Complete]]))))</f>
        <v>0</v>
      </c>
      <c r="BW195" s="41" t="n">
        <f aca="false">IF(OR(NOT(Tasks[[#This Row],[_IsLeaf]]=1),Tasks[[#This Row],[Resource]]=""),0,N(Tasks[[#This Row],[Duration]])*HoursPerDay*IF(Tasks[[#This Row],[Units]]="",DefaultUnits,Tasks[[#This Row],[Units]]))</f>
        <v>0</v>
      </c>
      <c r="BX195" s="41" t="n">
        <f aca="false">IF(Tasks[[#This Row],[_LeafWork]]=0,0,Tasks[[#This Row],[_LeafWork]]*IFERROR(INDEX(res_Rate,MATCH(Tasks[[#This Row],[Resource]],res_Name,0)),0))</f>
        <v>0</v>
      </c>
      <c r="BY19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9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9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9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95" s="41" t="n">
        <f aca="false">IF(NOT(Tasks[[#This Row],[_IsLeaf]]=1),0,MAX(_xlfn.MAXIFS(Tasks[_Row],Tasks[Pred1 UID],Tasks[[#This Row],[UID]]),_xlfn.MAXIFS(Tasks[_Row],Tasks[Pred2 UID],Tasks[[#This Row],[UID]])))</f>
        <v>0</v>
      </c>
      <c r="CD195"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95" s="100" t="str">
        <f aca="false">IF(NOT(Tasks[[#This Row],[_IsLeaf]]=1),"",MIN(ProjectFinish,IF(N(Tasks[[#This Row],[Deadline]])&gt;0,Tasks[[#This Row],[Deadline]],2958465),Tasks[[#This Row],[_SuccessorFinishLimit]]))</f>
        <v/>
      </c>
      <c r="CF195" s="100" t="str">
        <f aca="false">IF(NOT(Tasks[[#This Row],[_IsLeaf]]=1),"",IF(N(Tasks[[#This Row],[Duration]])&lt;=0,Tasks[[#This Row],[_LeafLateFinish]],WORKDAY.INTL(Tasks[[#This Row],[_LeafLateFinish]],-(Tasks[[#This Row],[Duration]]-1),WorkWeek,Holidays)))</f>
        <v/>
      </c>
      <c r="CG19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95" s="99" t="b">
        <f aca="false">AND(Tasks[[#This Row],[_IsLeaf]]=1,Tasks[[#This Row],[_LeafProgress]]&lt;1,N(Tasks[[#This Row],[_LeafTotalSlack]])&lt;=CriticalSlackDays)</f>
        <v>0</v>
      </c>
      <c r="CI195" s="100" t="str">
        <f aca="false">IF(Tasks[[#This Row],[Task Name]]="","",IF(Tasks[[#This Row],[_IsSummary]],MIN(INDEX(Tasks[_LeafCalcStart],Tasks[[#This Row],[_Row]]+1):INDEX(Tasks[_LeafCalcStart],Tasks[[#This Row],[_Row]]+Tasks[[#This Row],[_Descendants]])),Tasks[[#This Row],[_LeafCalcStart]]))</f>
        <v/>
      </c>
      <c r="CJ195" s="100" t="str">
        <f aca="false">IF(Tasks[[#This Row],[Task Name]]="","",IF(Tasks[[#This Row],[_IsSummary]],MAX(INDEX(Tasks[_LeafCalcFinish],Tasks[[#This Row],[_Row]]+1):INDEX(Tasks[_LeafCalcFinish],Tasks[[#This Row],[_Row]]+Tasks[[#This Row],[_Descendants]])),Tasks[[#This Row],[_LeafCalcFinish]]))</f>
        <v/>
      </c>
      <c r="CK19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9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95"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95"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95"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95"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95" s="41" t="n">
        <f aca="false">IF(AND(Tasks[[#This Row],[_IsLeaf]]=1,Tasks[[#This Row],[_LeafWork]]&gt;0),NETWORKDAYS.INTL(ProjectStart,Tasks[[#This Row],[_LeafFcstStart]],WorkWeek,Holidays),0)</f>
        <v>0</v>
      </c>
      <c r="CR195" s="41" t="n">
        <f aca="false">IF(AND(Tasks[[#This Row],[_IsLeaf]]=1,Tasks[[#This Row],[_LeafWork]]&gt;0),MAX(Tasks[[#This Row],[_StartWorkday]],NETWORKDAYS.INTL(ProjectStart,Tasks[[#This Row],[_LeafFcstFinish]],WorkWeek,Holidays)),0)</f>
        <v>0</v>
      </c>
      <c r="CS195" s="41" t="n">
        <f aca="false">IF(AND(Tasks[[#This Row],[_IsLeaf]]=1,Tasks[[#This Row],[_LeafWork]]&gt;0),Tasks[[#This Row],[_LeafWork]]/(Tasks[[#This Row],[_FinishWorkday]]-Tasks[[#This Row],[_StartWorkday]]+1),0)</f>
        <v>0</v>
      </c>
      <c r="CT195" s="41" t="n">
        <f aca="false">Tasks[[#This Row],[_WorkPerWorkday]]*(Tasks[[#This Row],[_StartWorkday]]-1)</f>
        <v>-0</v>
      </c>
      <c r="CU195" s="41" t="n">
        <f aca="false">IF(Tasks[[#This Row],[_IsLeaf]]=1,MAX(N(Tasks[[#This Row],[Duration]]),0.1),0)</f>
        <v>0</v>
      </c>
      <c r="CV195" s="41" t="n">
        <f aca="false">Tasks[[#This Row],[_WeightDur]]*Tasks[[#This Row],[_LeafProgress]]</f>
        <v>0</v>
      </c>
      <c r="CW19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9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9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9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95" s="41" t="str">
        <f aca="false">IF(Tasks[[#This Row],[Task Name]]="","",Tasks[[#This Row],[_Pred1UIDText]]&amp;IF(AND(Tasks[[#This Row],[_Pred1UIDText]]&lt;&gt;"",Tasks[[#This Row],[_Pred2UIDText]]&lt;&gt;""),",","")&amp;Tasks[[#This Row],[_Pred2UIDText]])</f>
        <v/>
      </c>
      <c r="DB195" s="41" t="str">
        <f aca="false">IF(AND(Tasks[[#This Row],[_IsLeaf]]=1,N(Tasks[[#This Row],[Duration]])=0,Tasks[[#This Row],[_LeafProgress]]&lt;1),Tasks[[#This Row],[_LeafFcstFinish]]+Tasks[[#This Row],[_Row]]/100000,"")</f>
        <v/>
      </c>
      <c r="DC19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95" s="41" t="n">
        <f aca="false">IF(NOT(Tasks[[#This Row],[_IsLeaf]]=1),0,IF(Tasks[[#This Row],[Baseline Cost]]="",Tasks[[#This Row],[_LeafCost]],N(Tasks[[#This Row],[Baseline Cost]])))</f>
        <v>0</v>
      </c>
      <c r="DE195" s="41" t="n">
        <f aca="false">Tasks[[#This Row],[_LeafBudget]]*Tasks[[#This Row],[_PlannedPct]]</f>
        <v>0</v>
      </c>
      <c r="DF195" s="41" t="n">
        <f aca="false">Tasks[[#This Row],[_LeafBudget]]*Tasks[[#This Row],[_LeafProgress]]</f>
        <v>0</v>
      </c>
      <c r="DG195" s="41" t="n">
        <f aca="false">IF(NOT(Tasks[[#This Row],[_IsLeaf]]=1),0,IF(Tasks[[#This Row],[Actual Cost]]="",Tasks[[#This Row],[_LeafCost]]*Tasks[[#This Row],[_LeafProgress]],N(Tasks[[#This Row],[Actual Cost]])))</f>
        <v>0</v>
      </c>
      <c r="DH195" s="41" t="str">
        <f aca="false">IF(Tasks[[#This Row],[Task Name]]="","",LEFT(Tasks[[#This Row],[WBS]],FIND(".",Tasks[[#This Row],[WBS]]&amp;".")-1))</f>
        <v/>
      </c>
      <c r="DI195" s="41" t="str">
        <f aca="false">IF(AND(Tasks[[#This Row],[Task Name]]&lt;&gt;"",Tasks[[#This Row],[_Level]]=1),Tasks[[#This Row],[_Row]],"")</f>
        <v/>
      </c>
      <c r="DJ195" s="41" t="str">
        <f aca="false">IF(AND(Tasks[[#This Row],[_IsLeaf]]=1,N(Tasks[[#This Row],[Duration]])=0),Tasks[[#This Row],[Planned Finish]]+Tasks[[#This Row],[_Row]]/100000,"")</f>
        <v/>
      </c>
      <c r="DK195" s="41" t="str">
        <f aca="false">IF(AND(Tasks[[#This Row],[_IsLeaf]]=1,Tasks[[#This Row],[_LeafProgress]]&lt;1,OR(N(Tasks[[#This Row],[Finish Var]])&gt;0,Tasks[[#This Row],[Status]]="Late Start")),MAX(0,Tasks[[#This Row],[Finish Var]])+1-Tasks[[#This Row],[_Row]]/1000000,"")</f>
        <v/>
      </c>
      <c r="DL195" s="41" t="str">
        <f aca="false">IF(AND(Tasks[[#This Row],[_IsLeaf]]=1,N(Tasks[[#This Row],[Actual Start]])=0,Tasks[[#This Row],[_LeafFcstStart]]&gt;=StatusDate,Tasks[[#This Row],[_LeafFcstStart]]&lt;=LookaheadEnd),Tasks[[#This Row],[_LeafFcstStart]]+Tasks[[#This Row],[_Row]]/100000,"")</f>
        <v/>
      </c>
      <c r="DM195" s="41" t="str">
        <f aca="false">IF(AND(Tasks[[#This Row],[_IsLeaf]]=1,Tasks[[#This Row],[_LeafProgress]]&lt;1,Tasks[[#This Row],[_LeafFcstFinish]]&gt;=StatusDate,Tasks[[#This Row],[_LeafFcstFinish]]&lt;=LookaheadEnd),Tasks[[#This Row],[_LeafFcstFinish]]+Tasks[[#This Row],[_Row]]/100000,"")</f>
        <v/>
      </c>
      <c r="DN195" s="41" t="str">
        <f aca="false">IF(Tasks[[#This Row],[_LeafCritical]],Tasks[[#This Row],[_LeafFcstStart]]+Tasks[[#This Row],[_Row]]/100000,"")</f>
        <v/>
      </c>
      <c r="DO195" s="41" t="n">
        <f aca="false">Tasks[[#This Row],[_LeafWork]]*Tasks[[#This Row],[_LeafProgress]]</f>
        <v>0</v>
      </c>
      <c r="DP195" s="100" t="str">
        <f aca="false">IF(AND(Tasks[[#This Row],[_IsLeaf]]=1,Tasks[[#This Row],[_LeafProgress]]&gt;=1),IF(N(Tasks[[#This Row],[Actual Finish]])&gt;0,Tasks[[#This Row],[Actual Finish]],Tasks[[#This Row],[_LeafFcstFinish]]),"")</f>
        <v/>
      </c>
      <c r="DQ195" s="41" t="n">
        <f aca="false">IF(Tasks[[#This Row],[_IsLeaf]]=1,N(Tasks[[#This Row],[Story Points]]),0)</f>
        <v>0</v>
      </c>
      <c r="DR195" s="41" t="str">
        <f aca="false">IF(AND(Tasks[[#This Row],[_IsLeaf]]=1,CurrentSprint&lt;&gt;"",Tasks[[#This Row],[Sprint]]=CurrentSprint),Tasks[[#This Row],[_Row]],"")</f>
        <v/>
      </c>
    </row>
    <row r="196" customFormat="false" ht="15" hidden="false" customHeight="false" outlineLevel="0" collapsed="false">
      <c r="A196" s="28" t="str">
        <f aca="false">IF(Tasks[[#This Row],[Task Name]]="","",COUNTA(Tasks[[#Headers],[Task Name]]:Tasks[[#This Row],[Task Name]])-1)</f>
        <v/>
      </c>
      <c r="B196" s="29" t="n">
        <v>191</v>
      </c>
      <c r="C19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6" s="29"/>
      <c r="E196" s="30"/>
      <c r="F196" s="29"/>
      <c r="G196" s="29"/>
      <c r="H196" s="29"/>
      <c r="I196" s="29"/>
      <c r="J196" s="29"/>
      <c r="K196" s="29"/>
      <c r="L196" s="29"/>
      <c r="M196" s="29"/>
      <c r="N196" s="73"/>
      <c r="O196" s="73"/>
      <c r="P196" s="25" t="str">
        <f aca="false">IF(Tasks[[#This Row],[Task Name]]="","",IF(N(Tasks[[#This Row],[Baseline Start]])&gt;0,Tasks[[#This Row],[Baseline Start]],Tasks[[#This Row],[_CalcStart]]))</f>
        <v/>
      </c>
      <c r="Q196" s="25" t="str">
        <f aca="false">IF(Tasks[[#This Row],[Task Name]]="","",IF(N(Tasks[[#This Row],[Baseline Finish]])&gt;0,Tasks[[#This Row],[Baseline Finish]],Tasks[[#This Row],[_CalcFinish]]))</f>
        <v/>
      </c>
      <c r="R196" s="73"/>
      <c r="S196" s="73"/>
      <c r="T196" s="25" t="str">
        <f aca="false">IF(Tasks[[#This Row],[Task Name]]="","",IF(Tasks[[#This Row],[_IsSummary]],MIN(INDEX(Tasks[_LeafFcstStart],Tasks[[#This Row],[_Row]]+1):INDEX(Tasks[_LeafFcstStart],Tasks[[#This Row],[_Row]]+Tasks[[#This Row],[_Descendants]])),Tasks[[#This Row],[_LeafFcstStart]]))</f>
        <v/>
      </c>
      <c r="U196" s="25" t="str">
        <f aca="false">IF(Tasks[[#This Row],[Task Name]]="","",IF(Tasks[[#This Row],[_IsSummary]],MAX(INDEX(Tasks[_LeafFcstFinish],Tasks[[#This Row],[_Row]]+1):INDEX(Tasks[_LeafFcstFinish],Tasks[[#This Row],[_Row]]+Tasks[[#This Row],[_Descendants]])),Tasks[[#This Row],[_LeafFcstFinish]]))</f>
        <v/>
      </c>
      <c r="V19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9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6" s="25" t="str">
        <f aca="false">IF(Tasks[[#This Row],[Task Name]]="","",IF(Tasks[[#This Row],[_IsSummary]],MIN(INDEX(Tasks[_LeafLateStart],Tasks[[#This Row],[_Row]]+1):INDEX(Tasks[_LeafLateStart],Tasks[[#This Row],[_Row]]+Tasks[[#This Row],[_Descendants]])),Tasks[[#This Row],[_LeafLateStart]]))</f>
        <v/>
      </c>
      <c r="Y196" s="25" t="str">
        <f aca="false">IF(Tasks[[#This Row],[Task Name]]="","",IF(Tasks[[#This Row],[_IsSummary]],MAX(INDEX(Tasks[_LeafLateFinish],Tasks[[#This Row],[_Row]]+1):INDEX(Tasks[_LeafLateFinish],Tasks[[#This Row],[_Row]]+Tasks[[#This Row],[_Descendants]])),Tasks[[#This Row],[_LeafLateFinish]]))</f>
        <v/>
      </c>
      <c r="Z196" s="43" t="str">
        <f aca="false">IF(Tasks[[#This Row],[Task Name]]="","",IF(Tasks[[#This Row],[_IsSummary]],MIN(INDEX(Tasks[_LeafTotalSlack],Tasks[[#This Row],[_Row]]+1):INDEX(Tasks[_LeafTotalSlack],Tasks[[#This Row],[_Row]]+Tasks[[#This Row],[_Descendants]])),Tasks[[#This Row],[_LeafTotalSlack]]))</f>
        <v/>
      </c>
      <c r="AA19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6" s="28" t="str">
        <f aca="false">IF(Tasks[[#This Row],[Task Name]]="","",IF(IF(Tasks[[#This Row],[_IsSummary]],COUNTIF(INDEX(Tasks[_LeafCritical],Tasks[[#This Row],[_Row]]+1):INDEX(Tasks[_LeafCritical],Tasks[[#This Row],[_Row]]+Tasks[[#This Row],[_Descendants]]),TRUE())&gt;0,Tasks[[#This Row],[_LeafCritical]]),"Yes",""))</f>
        <v/>
      </c>
      <c r="AC19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6" s="24" t="str">
        <f aca="false">IF(Tasks[[#This Row],[Task Name]]="","",TRIM(IF(Tasks[[#This Row],[_Pred1Problem]]&lt;&gt;"","Pred 1: "&amp;Tasks[[#This Row],[_Pred1Problem]]&amp;". ","")&amp;IF(Tasks[[#This Row],[_Pred2Problem]]&lt;&gt;"","Pred 2: "&amp;Tasks[[#This Row],[_Pred2Problem]]&amp;".","")))</f>
        <v/>
      </c>
      <c r="AE196" s="88"/>
      <c r="AF196"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6" s="28" t="str">
        <f aca="false">IF(Tasks[[#This Row],[Task Name]]="","",IF(Tasks[[#This Row],[Progress]]&gt;=1,"Complete",IF(OR(N(Tasks[[#This Row],[Actual Start]])&gt;0,Tasks[[#This Row],[Progress]]&gt;0),IF(Tasks[[#This Row],[Finish Var]]&gt;0,"Behind","In Progress"),IF(Tasks[[#This Row],[Planned Start]]&lt;StatusDate,"Late Start","Not Started"))))</f>
        <v/>
      </c>
      <c r="AH196" s="30"/>
      <c r="AI196" s="88"/>
      <c r="AJ196" s="95" t="str">
        <f aca="false">IF(Tasks[[#This Row],[Task Name]]="","",IF(Tasks[[#This Row],[_IsSummary]],SUM(INDEX(Tasks[_LeafWork],Tasks[[#This Row],[_Row]]+1):INDEX(Tasks[_LeafWork],Tasks[[#This Row],[_Row]]+Tasks[[#This Row],[_Descendants]])),Tasks[[#This Row],[_LeafWork]]))</f>
        <v/>
      </c>
      <c r="AK196" s="96" t="str">
        <f aca="false">IF(Tasks[[#This Row],[Task Name]]="","",IF(Tasks[[#This Row],[_IsSummary]],SUM(INDEX(Tasks[_LeafCost],Tasks[[#This Row],[_Row]]+1):INDEX(Tasks[_LeafCost],Tasks[[#This Row],[_Row]]+Tasks[[#This Row],[_Descendants]])),Tasks[[#This Row],[_LeafCost]]))</f>
        <v/>
      </c>
      <c r="AL196" s="97"/>
      <c r="AM196" s="29"/>
      <c r="AN19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96" s="82"/>
      <c r="AP196" s="24" t="str">
        <f aca="false">IF(Tasks[[#This Row],[Task Name]]="","",Tasks[[#This Row],[_Pred1IDText]]&amp;IF(AND(Tasks[[#This Row],[_Pred1IDText]]&lt;&gt;"",Tasks[[#This Row],[_Pred2IDText]]&lt;&gt;""),",","")&amp;Tasks[[#This Row],[_Pred2IDText]])</f>
        <v/>
      </c>
      <c r="AQ196" s="30"/>
      <c r="AR196" s="25" t="str">
        <f aca="false">IF(Tasks[[#This Row],[Task Name]]="","",Tasks[[#This Row],[Forecast Start]])</f>
        <v/>
      </c>
      <c r="AS196" s="25" t="str">
        <f aca="false">IF(Tasks[[#This Row],[Task Name]]="","",Tasks[[#This Row],[Forecast Finish]])</f>
        <v/>
      </c>
      <c r="AT196" s="28" t="str">
        <f aca="false">IF(Tasks[[#This Row],[Task Name]]="","",IF(Tasks[[#This Row],[_IsSummary]],NETWORKDAYS.INTL(Tasks[[#This Row],[Forecast Start]],Tasks[[#This Row],[Forecast Finish]],WorkWeek,Holidays),N(Tasks[[#This Row],[Duration]])))</f>
        <v/>
      </c>
      <c r="AU196" s="95" t="str">
        <f aca="false">IF(Tasks[[#This Row],[Task Name]]="","",Tasks[[#This Row],[Work]])</f>
        <v/>
      </c>
      <c r="AV196" s="96" t="str">
        <f aca="false">IF(Tasks[[#This Row],[Task Name]]="","",Tasks[[#This Row],[Cost]])</f>
        <v/>
      </c>
      <c r="AW196" s="73"/>
      <c r="AX196" s="73"/>
      <c r="AY196" s="29"/>
      <c r="AZ196" s="98"/>
      <c r="BA196" s="97"/>
      <c r="BB196" s="28" t="str">
        <f aca="false">IF(OR(Tasks[[#This Row],[Task Name]]="",Tasks[[#This Row],[Baseline Duration]]=""),"",Tasks[[#This Row],[BL Source Duration]]-N(Tasks[[#This Row],[Baseline Duration]]))</f>
        <v/>
      </c>
      <c r="BC196" s="95" t="str">
        <f aca="false">IF(OR(Tasks[[#This Row],[Task Name]]="",Tasks[[#This Row],[Baseline Work]]=""),"",Tasks[[#This Row],[Work]]-N(Tasks[[#This Row],[Baseline Work]]))</f>
        <v/>
      </c>
      <c r="BD196" s="96" t="str">
        <f aca="false">IF(OR(Tasks[[#This Row],[Task Name]]="",Tasks[[#This Row],[Baseline Cost]]=""),"",Tasks[[#This Row],[Cost]]-N(Tasks[[#This Row],[Baseline Cost]]))</f>
        <v/>
      </c>
      <c r="BE196" s="96" t="str">
        <f aca="false">IF(Tasks[[#This Row],[Task Name]]="","",IF(Tasks[[#This Row],[_IsSummary]],SUM(INDEX(Tasks[_LeafBudget],Tasks[[#This Row],[_Row]]+1):INDEX(Tasks[_LeafBudget],Tasks[[#This Row],[_Row]]+Tasks[[#This Row],[_Descendants]])),Tasks[[#This Row],[_LeafBudget]]))</f>
        <v/>
      </c>
      <c r="BF196" s="96" t="str">
        <f aca="false">IF(Tasks[[#This Row],[Task Name]]="","",IF(Tasks[[#This Row],[_IsSummary]],SUM(INDEX(Tasks[_LeafPV],Tasks[[#This Row],[_Row]]+1):INDEX(Tasks[_LeafPV],Tasks[[#This Row],[_Row]]+Tasks[[#This Row],[_Descendants]])),Tasks[[#This Row],[_LeafPV]]))</f>
        <v/>
      </c>
      <c r="BG196" s="96" t="str">
        <f aca="false">IF(Tasks[[#This Row],[Task Name]]="","",IF(Tasks[[#This Row],[_IsSummary]],SUM(INDEX(Tasks[_LeafEV],Tasks[[#This Row],[_Row]]+1):INDEX(Tasks[_LeafEV],Tasks[[#This Row],[_Row]]+Tasks[[#This Row],[_Descendants]])),Tasks[[#This Row],[_LeafEV]]))</f>
        <v/>
      </c>
      <c r="BH196" s="96" t="str">
        <f aca="false">IF(Tasks[[#This Row],[Task Name]]="","",IF(Tasks[[#This Row],[_IsSummary]],SUM(INDEX(Tasks[_LeafAC],Tasks[[#This Row],[_Row]]+1):INDEX(Tasks[_LeafAC],Tasks[[#This Row],[_Row]]+Tasks[[#This Row],[_Descendants]])),Tasks[[#This Row],[_LeafAC]]))</f>
        <v/>
      </c>
      <c r="BI196" s="41" t="str">
        <f aca="false">IF(Tasks[[#This Row],[Task Name]]="","",MAX(1,N(Tasks[[#This Row],[Level]])))</f>
        <v/>
      </c>
      <c r="BJ196" s="41" t="n">
        <f aca="false">ROW()-ROW(Tasks[[#Headers],[ID]])</f>
        <v>191</v>
      </c>
      <c r="BK196" s="41" t="n">
        <f aca="false">IF(OR(Tasks[[#This Row],[Task Name]]="",Tasks[[#This Row],[_Level]]&lt;=1),0,IFERROR(LOOKUP(2,1/(Tasks[[#Headers],[_Level]]:Tasks[[#This Row],[_Level]]=Tasks[[#This Row],[_Level]]-1),ROW(Tasks[[#Headers],[_Level]]:Tasks[[#This Row],[_Level]])),0))</f>
        <v>0</v>
      </c>
      <c r="BL196" s="41" t="n">
        <f aca="false">IFERROR(N(INDEX(Tasks[_Level],Tasks[[#This Row],[_Row]]+1)),0)</f>
        <v>0</v>
      </c>
      <c r="BM196" s="99" t="b">
        <f aca="false">AND(Tasks[[#This Row],[Task Name]]&lt;&gt;"",Tasks[[#This Row],[_NextLevel]]&gt;Tasks[[#This Row],[_Level]])</f>
        <v>0</v>
      </c>
      <c r="BN196" s="41" t="n">
        <f aca="false">IF(Tasks[[#This Row],[_IsSummary]],COUNTIF(Tasks[WBS],Tasks[[#This Row],[WBS]]&amp;".*"),0)</f>
        <v>0</v>
      </c>
      <c r="BO196" s="41" t="n">
        <f aca="false">IF(AND(Tasks[[#This Row],[Task Name]]&lt;&gt;"",NOT(Tasks[[#This Row],[_IsSummary]])),1,0)</f>
        <v>0</v>
      </c>
      <c r="BP196" s="41" t="n">
        <f aca="false">IF(N(Tasks[[#This Row],[Pred1 UID]])=0,0,IFERROR(MATCH(Tasks[[#This Row],[Pred1 UID]],Tasks[UID],0),-1))</f>
        <v>0</v>
      </c>
      <c r="BQ196" s="41" t="n">
        <f aca="false">IF(N(Tasks[[#This Row],[Pred2 UID]])=0,0,IFERROR(MATCH(Tasks[[#This Row],[Pred2 UID]],Tasks[UID],0),-1))</f>
        <v>0</v>
      </c>
      <c r="BR196"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96" s="100" t="str">
        <f aca="false">IF(NOT(Tasks[[#This Row],[_IsLeaf]]=1),"",IF(N(Tasks[[#This Row],[Duration]])&lt;=0,Tasks[[#This Row],[_LeafCalcStart]],WORKDAY.INTL(Tasks[[#This Row],[_LeafCalcStart]],Tasks[[#This Row],[Duration]]-1,WorkWeek,Holidays)))</f>
        <v/>
      </c>
      <c r="BT196"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96"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96" s="41" t="n">
        <f aca="false">IF(NOT(Tasks[[#This Row],[_IsLeaf]]=1),0,IF(N(Tasks[[#This Row],[Actual Finish]])&gt;0,1,MIN(1,N(Tasks[[#This Row],[% Complete]]))))</f>
        <v>0</v>
      </c>
      <c r="BW196" s="41" t="n">
        <f aca="false">IF(OR(NOT(Tasks[[#This Row],[_IsLeaf]]=1),Tasks[[#This Row],[Resource]]=""),0,N(Tasks[[#This Row],[Duration]])*HoursPerDay*IF(Tasks[[#This Row],[Units]]="",DefaultUnits,Tasks[[#This Row],[Units]]))</f>
        <v>0</v>
      </c>
      <c r="BX196" s="41" t="n">
        <f aca="false">IF(Tasks[[#This Row],[_LeafWork]]=0,0,Tasks[[#This Row],[_LeafWork]]*IFERROR(INDEX(res_Rate,MATCH(Tasks[[#This Row],[Resource]],res_Name,0)),0))</f>
        <v>0</v>
      </c>
      <c r="BY19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9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9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9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96" s="41" t="n">
        <f aca="false">IF(NOT(Tasks[[#This Row],[_IsLeaf]]=1),0,MAX(_xlfn.MAXIFS(Tasks[_Row],Tasks[Pred1 UID],Tasks[[#This Row],[UID]]),_xlfn.MAXIFS(Tasks[_Row],Tasks[Pred2 UID],Tasks[[#This Row],[UID]])))</f>
        <v>0</v>
      </c>
      <c r="CD196"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96" s="100" t="str">
        <f aca="false">IF(NOT(Tasks[[#This Row],[_IsLeaf]]=1),"",MIN(ProjectFinish,IF(N(Tasks[[#This Row],[Deadline]])&gt;0,Tasks[[#This Row],[Deadline]],2958465),Tasks[[#This Row],[_SuccessorFinishLimit]]))</f>
        <v/>
      </c>
      <c r="CF196" s="100" t="str">
        <f aca="false">IF(NOT(Tasks[[#This Row],[_IsLeaf]]=1),"",IF(N(Tasks[[#This Row],[Duration]])&lt;=0,Tasks[[#This Row],[_LeafLateFinish]],WORKDAY.INTL(Tasks[[#This Row],[_LeafLateFinish]],-(Tasks[[#This Row],[Duration]]-1),WorkWeek,Holidays)))</f>
        <v/>
      </c>
      <c r="CG19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96" s="99" t="b">
        <f aca="false">AND(Tasks[[#This Row],[_IsLeaf]]=1,Tasks[[#This Row],[_LeafProgress]]&lt;1,N(Tasks[[#This Row],[_LeafTotalSlack]])&lt;=CriticalSlackDays)</f>
        <v>0</v>
      </c>
      <c r="CI196" s="100" t="str">
        <f aca="false">IF(Tasks[[#This Row],[Task Name]]="","",IF(Tasks[[#This Row],[_IsSummary]],MIN(INDEX(Tasks[_LeafCalcStart],Tasks[[#This Row],[_Row]]+1):INDEX(Tasks[_LeafCalcStart],Tasks[[#This Row],[_Row]]+Tasks[[#This Row],[_Descendants]])),Tasks[[#This Row],[_LeafCalcStart]]))</f>
        <v/>
      </c>
      <c r="CJ196" s="100" t="str">
        <f aca="false">IF(Tasks[[#This Row],[Task Name]]="","",IF(Tasks[[#This Row],[_IsSummary]],MAX(INDEX(Tasks[_LeafCalcFinish],Tasks[[#This Row],[_Row]]+1):INDEX(Tasks[_LeafCalcFinish],Tasks[[#This Row],[_Row]]+Tasks[[#This Row],[_Descendants]])),Tasks[[#This Row],[_LeafCalcFinish]]))</f>
        <v/>
      </c>
      <c r="CK19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9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96"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96"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96"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96"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96" s="41" t="n">
        <f aca="false">IF(AND(Tasks[[#This Row],[_IsLeaf]]=1,Tasks[[#This Row],[_LeafWork]]&gt;0),NETWORKDAYS.INTL(ProjectStart,Tasks[[#This Row],[_LeafFcstStart]],WorkWeek,Holidays),0)</f>
        <v>0</v>
      </c>
      <c r="CR196" s="41" t="n">
        <f aca="false">IF(AND(Tasks[[#This Row],[_IsLeaf]]=1,Tasks[[#This Row],[_LeafWork]]&gt;0),MAX(Tasks[[#This Row],[_StartWorkday]],NETWORKDAYS.INTL(ProjectStart,Tasks[[#This Row],[_LeafFcstFinish]],WorkWeek,Holidays)),0)</f>
        <v>0</v>
      </c>
      <c r="CS196" s="41" t="n">
        <f aca="false">IF(AND(Tasks[[#This Row],[_IsLeaf]]=1,Tasks[[#This Row],[_LeafWork]]&gt;0),Tasks[[#This Row],[_LeafWork]]/(Tasks[[#This Row],[_FinishWorkday]]-Tasks[[#This Row],[_StartWorkday]]+1),0)</f>
        <v>0</v>
      </c>
      <c r="CT196" s="41" t="n">
        <f aca="false">Tasks[[#This Row],[_WorkPerWorkday]]*(Tasks[[#This Row],[_StartWorkday]]-1)</f>
        <v>-0</v>
      </c>
      <c r="CU196" s="41" t="n">
        <f aca="false">IF(Tasks[[#This Row],[_IsLeaf]]=1,MAX(N(Tasks[[#This Row],[Duration]]),0.1),0)</f>
        <v>0</v>
      </c>
      <c r="CV196" s="41" t="n">
        <f aca="false">Tasks[[#This Row],[_WeightDur]]*Tasks[[#This Row],[_LeafProgress]]</f>
        <v>0</v>
      </c>
      <c r="CW19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9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9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9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96" s="41" t="str">
        <f aca="false">IF(Tasks[[#This Row],[Task Name]]="","",Tasks[[#This Row],[_Pred1UIDText]]&amp;IF(AND(Tasks[[#This Row],[_Pred1UIDText]]&lt;&gt;"",Tasks[[#This Row],[_Pred2UIDText]]&lt;&gt;""),",","")&amp;Tasks[[#This Row],[_Pred2UIDText]])</f>
        <v/>
      </c>
      <c r="DB196" s="41" t="str">
        <f aca="false">IF(AND(Tasks[[#This Row],[_IsLeaf]]=1,N(Tasks[[#This Row],[Duration]])=0,Tasks[[#This Row],[_LeafProgress]]&lt;1),Tasks[[#This Row],[_LeafFcstFinish]]+Tasks[[#This Row],[_Row]]/100000,"")</f>
        <v/>
      </c>
      <c r="DC19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96" s="41" t="n">
        <f aca="false">IF(NOT(Tasks[[#This Row],[_IsLeaf]]=1),0,IF(Tasks[[#This Row],[Baseline Cost]]="",Tasks[[#This Row],[_LeafCost]],N(Tasks[[#This Row],[Baseline Cost]])))</f>
        <v>0</v>
      </c>
      <c r="DE196" s="41" t="n">
        <f aca="false">Tasks[[#This Row],[_LeafBudget]]*Tasks[[#This Row],[_PlannedPct]]</f>
        <v>0</v>
      </c>
      <c r="DF196" s="41" t="n">
        <f aca="false">Tasks[[#This Row],[_LeafBudget]]*Tasks[[#This Row],[_LeafProgress]]</f>
        <v>0</v>
      </c>
      <c r="DG196" s="41" t="n">
        <f aca="false">IF(NOT(Tasks[[#This Row],[_IsLeaf]]=1),0,IF(Tasks[[#This Row],[Actual Cost]]="",Tasks[[#This Row],[_LeafCost]]*Tasks[[#This Row],[_LeafProgress]],N(Tasks[[#This Row],[Actual Cost]])))</f>
        <v>0</v>
      </c>
      <c r="DH196" s="41" t="str">
        <f aca="false">IF(Tasks[[#This Row],[Task Name]]="","",LEFT(Tasks[[#This Row],[WBS]],FIND(".",Tasks[[#This Row],[WBS]]&amp;".")-1))</f>
        <v/>
      </c>
      <c r="DI196" s="41" t="str">
        <f aca="false">IF(AND(Tasks[[#This Row],[Task Name]]&lt;&gt;"",Tasks[[#This Row],[_Level]]=1),Tasks[[#This Row],[_Row]],"")</f>
        <v/>
      </c>
      <c r="DJ196" s="41" t="str">
        <f aca="false">IF(AND(Tasks[[#This Row],[_IsLeaf]]=1,N(Tasks[[#This Row],[Duration]])=0),Tasks[[#This Row],[Planned Finish]]+Tasks[[#This Row],[_Row]]/100000,"")</f>
        <v/>
      </c>
      <c r="DK196" s="41" t="str">
        <f aca="false">IF(AND(Tasks[[#This Row],[_IsLeaf]]=1,Tasks[[#This Row],[_LeafProgress]]&lt;1,OR(N(Tasks[[#This Row],[Finish Var]])&gt;0,Tasks[[#This Row],[Status]]="Late Start")),MAX(0,Tasks[[#This Row],[Finish Var]])+1-Tasks[[#This Row],[_Row]]/1000000,"")</f>
        <v/>
      </c>
      <c r="DL196" s="41" t="str">
        <f aca="false">IF(AND(Tasks[[#This Row],[_IsLeaf]]=1,N(Tasks[[#This Row],[Actual Start]])=0,Tasks[[#This Row],[_LeafFcstStart]]&gt;=StatusDate,Tasks[[#This Row],[_LeafFcstStart]]&lt;=LookaheadEnd),Tasks[[#This Row],[_LeafFcstStart]]+Tasks[[#This Row],[_Row]]/100000,"")</f>
        <v/>
      </c>
      <c r="DM196" s="41" t="str">
        <f aca="false">IF(AND(Tasks[[#This Row],[_IsLeaf]]=1,Tasks[[#This Row],[_LeafProgress]]&lt;1,Tasks[[#This Row],[_LeafFcstFinish]]&gt;=StatusDate,Tasks[[#This Row],[_LeafFcstFinish]]&lt;=LookaheadEnd),Tasks[[#This Row],[_LeafFcstFinish]]+Tasks[[#This Row],[_Row]]/100000,"")</f>
        <v/>
      </c>
      <c r="DN196" s="41" t="str">
        <f aca="false">IF(Tasks[[#This Row],[_LeafCritical]],Tasks[[#This Row],[_LeafFcstStart]]+Tasks[[#This Row],[_Row]]/100000,"")</f>
        <v/>
      </c>
      <c r="DO196" s="41" t="n">
        <f aca="false">Tasks[[#This Row],[_LeafWork]]*Tasks[[#This Row],[_LeafProgress]]</f>
        <v>0</v>
      </c>
      <c r="DP196" s="100" t="str">
        <f aca="false">IF(AND(Tasks[[#This Row],[_IsLeaf]]=1,Tasks[[#This Row],[_LeafProgress]]&gt;=1),IF(N(Tasks[[#This Row],[Actual Finish]])&gt;0,Tasks[[#This Row],[Actual Finish]],Tasks[[#This Row],[_LeafFcstFinish]]),"")</f>
        <v/>
      </c>
      <c r="DQ196" s="41" t="n">
        <f aca="false">IF(Tasks[[#This Row],[_IsLeaf]]=1,N(Tasks[[#This Row],[Story Points]]),0)</f>
        <v>0</v>
      </c>
      <c r="DR196" s="41" t="str">
        <f aca="false">IF(AND(Tasks[[#This Row],[_IsLeaf]]=1,CurrentSprint&lt;&gt;"",Tasks[[#This Row],[Sprint]]=CurrentSprint),Tasks[[#This Row],[_Row]],"")</f>
        <v/>
      </c>
    </row>
    <row r="197" customFormat="false" ht="15" hidden="false" customHeight="false" outlineLevel="0" collapsed="false">
      <c r="A197" s="28" t="str">
        <f aca="false">IF(Tasks[[#This Row],[Task Name]]="","",COUNTA(Tasks[[#Headers],[Task Name]]:Tasks[[#This Row],[Task Name]])-1)</f>
        <v/>
      </c>
      <c r="B197" s="29" t="n">
        <v>192</v>
      </c>
      <c r="C19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7" s="29"/>
      <c r="E197" s="30"/>
      <c r="F197" s="29"/>
      <c r="G197" s="29"/>
      <c r="H197" s="29"/>
      <c r="I197" s="29"/>
      <c r="J197" s="29"/>
      <c r="K197" s="29"/>
      <c r="L197" s="29"/>
      <c r="M197" s="29"/>
      <c r="N197" s="73"/>
      <c r="O197" s="73"/>
      <c r="P197" s="25" t="str">
        <f aca="false">IF(Tasks[[#This Row],[Task Name]]="","",IF(N(Tasks[[#This Row],[Baseline Start]])&gt;0,Tasks[[#This Row],[Baseline Start]],Tasks[[#This Row],[_CalcStart]]))</f>
        <v/>
      </c>
      <c r="Q197" s="25" t="str">
        <f aca="false">IF(Tasks[[#This Row],[Task Name]]="","",IF(N(Tasks[[#This Row],[Baseline Finish]])&gt;0,Tasks[[#This Row],[Baseline Finish]],Tasks[[#This Row],[_CalcFinish]]))</f>
        <v/>
      </c>
      <c r="R197" s="73"/>
      <c r="S197" s="73"/>
      <c r="T197" s="25" t="str">
        <f aca="false">IF(Tasks[[#This Row],[Task Name]]="","",IF(Tasks[[#This Row],[_IsSummary]],MIN(INDEX(Tasks[_LeafFcstStart],Tasks[[#This Row],[_Row]]+1):INDEX(Tasks[_LeafFcstStart],Tasks[[#This Row],[_Row]]+Tasks[[#This Row],[_Descendants]])),Tasks[[#This Row],[_LeafFcstStart]]))</f>
        <v/>
      </c>
      <c r="U197" s="25" t="str">
        <f aca="false">IF(Tasks[[#This Row],[Task Name]]="","",IF(Tasks[[#This Row],[_IsSummary]],MAX(INDEX(Tasks[_LeafFcstFinish],Tasks[[#This Row],[_Row]]+1):INDEX(Tasks[_LeafFcstFinish],Tasks[[#This Row],[_Row]]+Tasks[[#This Row],[_Descendants]])),Tasks[[#This Row],[_LeafFcstFinish]]))</f>
        <v/>
      </c>
      <c r="V19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9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7" s="25" t="str">
        <f aca="false">IF(Tasks[[#This Row],[Task Name]]="","",IF(Tasks[[#This Row],[_IsSummary]],MIN(INDEX(Tasks[_LeafLateStart],Tasks[[#This Row],[_Row]]+1):INDEX(Tasks[_LeafLateStart],Tasks[[#This Row],[_Row]]+Tasks[[#This Row],[_Descendants]])),Tasks[[#This Row],[_LeafLateStart]]))</f>
        <v/>
      </c>
      <c r="Y197" s="25" t="str">
        <f aca="false">IF(Tasks[[#This Row],[Task Name]]="","",IF(Tasks[[#This Row],[_IsSummary]],MAX(INDEX(Tasks[_LeafLateFinish],Tasks[[#This Row],[_Row]]+1):INDEX(Tasks[_LeafLateFinish],Tasks[[#This Row],[_Row]]+Tasks[[#This Row],[_Descendants]])),Tasks[[#This Row],[_LeafLateFinish]]))</f>
        <v/>
      </c>
      <c r="Z197" s="43" t="str">
        <f aca="false">IF(Tasks[[#This Row],[Task Name]]="","",IF(Tasks[[#This Row],[_IsSummary]],MIN(INDEX(Tasks[_LeafTotalSlack],Tasks[[#This Row],[_Row]]+1):INDEX(Tasks[_LeafTotalSlack],Tasks[[#This Row],[_Row]]+Tasks[[#This Row],[_Descendants]])),Tasks[[#This Row],[_LeafTotalSlack]]))</f>
        <v/>
      </c>
      <c r="AA19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7" s="28" t="str">
        <f aca="false">IF(Tasks[[#This Row],[Task Name]]="","",IF(IF(Tasks[[#This Row],[_IsSummary]],COUNTIF(INDEX(Tasks[_LeafCritical],Tasks[[#This Row],[_Row]]+1):INDEX(Tasks[_LeafCritical],Tasks[[#This Row],[_Row]]+Tasks[[#This Row],[_Descendants]]),TRUE())&gt;0,Tasks[[#This Row],[_LeafCritical]]),"Yes",""))</f>
        <v/>
      </c>
      <c r="AC19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7" s="24" t="str">
        <f aca="false">IF(Tasks[[#This Row],[Task Name]]="","",TRIM(IF(Tasks[[#This Row],[_Pred1Problem]]&lt;&gt;"","Pred 1: "&amp;Tasks[[#This Row],[_Pred1Problem]]&amp;". ","")&amp;IF(Tasks[[#This Row],[_Pred2Problem]]&lt;&gt;"","Pred 2: "&amp;Tasks[[#This Row],[_Pred2Problem]]&amp;".","")))</f>
        <v/>
      </c>
      <c r="AE197" s="88"/>
      <c r="AF197"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7" s="28" t="str">
        <f aca="false">IF(Tasks[[#This Row],[Task Name]]="","",IF(Tasks[[#This Row],[Progress]]&gt;=1,"Complete",IF(OR(N(Tasks[[#This Row],[Actual Start]])&gt;0,Tasks[[#This Row],[Progress]]&gt;0),IF(Tasks[[#This Row],[Finish Var]]&gt;0,"Behind","In Progress"),IF(Tasks[[#This Row],[Planned Start]]&lt;StatusDate,"Late Start","Not Started"))))</f>
        <v/>
      </c>
      <c r="AH197" s="30"/>
      <c r="AI197" s="88"/>
      <c r="AJ197" s="95" t="str">
        <f aca="false">IF(Tasks[[#This Row],[Task Name]]="","",IF(Tasks[[#This Row],[_IsSummary]],SUM(INDEX(Tasks[_LeafWork],Tasks[[#This Row],[_Row]]+1):INDEX(Tasks[_LeafWork],Tasks[[#This Row],[_Row]]+Tasks[[#This Row],[_Descendants]])),Tasks[[#This Row],[_LeafWork]]))</f>
        <v/>
      </c>
      <c r="AK197" s="96" t="str">
        <f aca="false">IF(Tasks[[#This Row],[Task Name]]="","",IF(Tasks[[#This Row],[_IsSummary]],SUM(INDEX(Tasks[_LeafCost],Tasks[[#This Row],[_Row]]+1):INDEX(Tasks[_LeafCost],Tasks[[#This Row],[_Row]]+Tasks[[#This Row],[_Descendants]])),Tasks[[#This Row],[_LeafCost]]))</f>
        <v/>
      </c>
      <c r="AL197" s="97"/>
      <c r="AM197" s="29"/>
      <c r="AN19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97" s="82"/>
      <c r="AP197" s="24" t="str">
        <f aca="false">IF(Tasks[[#This Row],[Task Name]]="","",Tasks[[#This Row],[_Pred1IDText]]&amp;IF(AND(Tasks[[#This Row],[_Pred1IDText]]&lt;&gt;"",Tasks[[#This Row],[_Pred2IDText]]&lt;&gt;""),",","")&amp;Tasks[[#This Row],[_Pred2IDText]])</f>
        <v/>
      </c>
      <c r="AQ197" s="30"/>
      <c r="AR197" s="25" t="str">
        <f aca="false">IF(Tasks[[#This Row],[Task Name]]="","",Tasks[[#This Row],[Forecast Start]])</f>
        <v/>
      </c>
      <c r="AS197" s="25" t="str">
        <f aca="false">IF(Tasks[[#This Row],[Task Name]]="","",Tasks[[#This Row],[Forecast Finish]])</f>
        <v/>
      </c>
      <c r="AT197" s="28" t="str">
        <f aca="false">IF(Tasks[[#This Row],[Task Name]]="","",IF(Tasks[[#This Row],[_IsSummary]],NETWORKDAYS.INTL(Tasks[[#This Row],[Forecast Start]],Tasks[[#This Row],[Forecast Finish]],WorkWeek,Holidays),N(Tasks[[#This Row],[Duration]])))</f>
        <v/>
      </c>
      <c r="AU197" s="95" t="str">
        <f aca="false">IF(Tasks[[#This Row],[Task Name]]="","",Tasks[[#This Row],[Work]])</f>
        <v/>
      </c>
      <c r="AV197" s="96" t="str">
        <f aca="false">IF(Tasks[[#This Row],[Task Name]]="","",Tasks[[#This Row],[Cost]])</f>
        <v/>
      </c>
      <c r="AW197" s="73"/>
      <c r="AX197" s="73"/>
      <c r="AY197" s="29"/>
      <c r="AZ197" s="98"/>
      <c r="BA197" s="97"/>
      <c r="BB197" s="28" t="str">
        <f aca="false">IF(OR(Tasks[[#This Row],[Task Name]]="",Tasks[[#This Row],[Baseline Duration]]=""),"",Tasks[[#This Row],[BL Source Duration]]-N(Tasks[[#This Row],[Baseline Duration]]))</f>
        <v/>
      </c>
      <c r="BC197" s="95" t="str">
        <f aca="false">IF(OR(Tasks[[#This Row],[Task Name]]="",Tasks[[#This Row],[Baseline Work]]=""),"",Tasks[[#This Row],[Work]]-N(Tasks[[#This Row],[Baseline Work]]))</f>
        <v/>
      </c>
      <c r="BD197" s="96" t="str">
        <f aca="false">IF(OR(Tasks[[#This Row],[Task Name]]="",Tasks[[#This Row],[Baseline Cost]]=""),"",Tasks[[#This Row],[Cost]]-N(Tasks[[#This Row],[Baseline Cost]]))</f>
        <v/>
      </c>
      <c r="BE197" s="96" t="str">
        <f aca="false">IF(Tasks[[#This Row],[Task Name]]="","",IF(Tasks[[#This Row],[_IsSummary]],SUM(INDEX(Tasks[_LeafBudget],Tasks[[#This Row],[_Row]]+1):INDEX(Tasks[_LeafBudget],Tasks[[#This Row],[_Row]]+Tasks[[#This Row],[_Descendants]])),Tasks[[#This Row],[_LeafBudget]]))</f>
        <v/>
      </c>
      <c r="BF197" s="96" t="str">
        <f aca="false">IF(Tasks[[#This Row],[Task Name]]="","",IF(Tasks[[#This Row],[_IsSummary]],SUM(INDEX(Tasks[_LeafPV],Tasks[[#This Row],[_Row]]+1):INDEX(Tasks[_LeafPV],Tasks[[#This Row],[_Row]]+Tasks[[#This Row],[_Descendants]])),Tasks[[#This Row],[_LeafPV]]))</f>
        <v/>
      </c>
      <c r="BG197" s="96" t="str">
        <f aca="false">IF(Tasks[[#This Row],[Task Name]]="","",IF(Tasks[[#This Row],[_IsSummary]],SUM(INDEX(Tasks[_LeafEV],Tasks[[#This Row],[_Row]]+1):INDEX(Tasks[_LeafEV],Tasks[[#This Row],[_Row]]+Tasks[[#This Row],[_Descendants]])),Tasks[[#This Row],[_LeafEV]]))</f>
        <v/>
      </c>
      <c r="BH197" s="96" t="str">
        <f aca="false">IF(Tasks[[#This Row],[Task Name]]="","",IF(Tasks[[#This Row],[_IsSummary]],SUM(INDEX(Tasks[_LeafAC],Tasks[[#This Row],[_Row]]+1):INDEX(Tasks[_LeafAC],Tasks[[#This Row],[_Row]]+Tasks[[#This Row],[_Descendants]])),Tasks[[#This Row],[_LeafAC]]))</f>
        <v/>
      </c>
      <c r="BI197" s="41" t="str">
        <f aca="false">IF(Tasks[[#This Row],[Task Name]]="","",MAX(1,N(Tasks[[#This Row],[Level]])))</f>
        <v/>
      </c>
      <c r="BJ197" s="41" t="n">
        <f aca="false">ROW()-ROW(Tasks[[#Headers],[ID]])</f>
        <v>192</v>
      </c>
      <c r="BK197" s="41" t="n">
        <f aca="false">IF(OR(Tasks[[#This Row],[Task Name]]="",Tasks[[#This Row],[_Level]]&lt;=1),0,IFERROR(LOOKUP(2,1/(Tasks[[#Headers],[_Level]]:Tasks[[#This Row],[_Level]]=Tasks[[#This Row],[_Level]]-1),ROW(Tasks[[#Headers],[_Level]]:Tasks[[#This Row],[_Level]])),0))</f>
        <v>0</v>
      </c>
      <c r="BL197" s="41" t="n">
        <f aca="false">IFERROR(N(INDEX(Tasks[_Level],Tasks[[#This Row],[_Row]]+1)),0)</f>
        <v>0</v>
      </c>
      <c r="BM197" s="99" t="b">
        <f aca="false">AND(Tasks[[#This Row],[Task Name]]&lt;&gt;"",Tasks[[#This Row],[_NextLevel]]&gt;Tasks[[#This Row],[_Level]])</f>
        <v>0</v>
      </c>
      <c r="BN197" s="41" t="n">
        <f aca="false">IF(Tasks[[#This Row],[_IsSummary]],COUNTIF(Tasks[WBS],Tasks[[#This Row],[WBS]]&amp;".*"),0)</f>
        <v>0</v>
      </c>
      <c r="BO197" s="41" t="n">
        <f aca="false">IF(AND(Tasks[[#This Row],[Task Name]]&lt;&gt;"",NOT(Tasks[[#This Row],[_IsSummary]])),1,0)</f>
        <v>0</v>
      </c>
      <c r="BP197" s="41" t="n">
        <f aca="false">IF(N(Tasks[[#This Row],[Pred1 UID]])=0,0,IFERROR(MATCH(Tasks[[#This Row],[Pred1 UID]],Tasks[UID],0),-1))</f>
        <v>0</v>
      </c>
      <c r="BQ197" s="41" t="n">
        <f aca="false">IF(N(Tasks[[#This Row],[Pred2 UID]])=0,0,IFERROR(MATCH(Tasks[[#This Row],[Pred2 UID]],Tasks[UID],0),-1))</f>
        <v>0</v>
      </c>
      <c r="BR197"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97" s="100" t="str">
        <f aca="false">IF(NOT(Tasks[[#This Row],[_IsLeaf]]=1),"",IF(N(Tasks[[#This Row],[Duration]])&lt;=0,Tasks[[#This Row],[_LeafCalcStart]],WORKDAY.INTL(Tasks[[#This Row],[_LeafCalcStart]],Tasks[[#This Row],[Duration]]-1,WorkWeek,Holidays)))</f>
        <v/>
      </c>
      <c r="BT197"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97"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97" s="41" t="n">
        <f aca="false">IF(NOT(Tasks[[#This Row],[_IsLeaf]]=1),0,IF(N(Tasks[[#This Row],[Actual Finish]])&gt;0,1,MIN(1,N(Tasks[[#This Row],[% Complete]]))))</f>
        <v>0</v>
      </c>
      <c r="BW197" s="41" t="n">
        <f aca="false">IF(OR(NOT(Tasks[[#This Row],[_IsLeaf]]=1),Tasks[[#This Row],[Resource]]=""),0,N(Tasks[[#This Row],[Duration]])*HoursPerDay*IF(Tasks[[#This Row],[Units]]="",DefaultUnits,Tasks[[#This Row],[Units]]))</f>
        <v>0</v>
      </c>
      <c r="BX197" s="41" t="n">
        <f aca="false">IF(Tasks[[#This Row],[_LeafWork]]=0,0,Tasks[[#This Row],[_LeafWork]]*IFERROR(INDEX(res_Rate,MATCH(Tasks[[#This Row],[Resource]],res_Name,0)),0))</f>
        <v>0</v>
      </c>
      <c r="BY19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9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9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9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97" s="41" t="n">
        <f aca="false">IF(NOT(Tasks[[#This Row],[_IsLeaf]]=1),0,MAX(_xlfn.MAXIFS(Tasks[_Row],Tasks[Pred1 UID],Tasks[[#This Row],[UID]]),_xlfn.MAXIFS(Tasks[_Row],Tasks[Pred2 UID],Tasks[[#This Row],[UID]])))</f>
        <v>0</v>
      </c>
      <c r="CD197"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97" s="100" t="str">
        <f aca="false">IF(NOT(Tasks[[#This Row],[_IsLeaf]]=1),"",MIN(ProjectFinish,IF(N(Tasks[[#This Row],[Deadline]])&gt;0,Tasks[[#This Row],[Deadline]],2958465),Tasks[[#This Row],[_SuccessorFinishLimit]]))</f>
        <v/>
      </c>
      <c r="CF197" s="100" t="str">
        <f aca="false">IF(NOT(Tasks[[#This Row],[_IsLeaf]]=1),"",IF(N(Tasks[[#This Row],[Duration]])&lt;=0,Tasks[[#This Row],[_LeafLateFinish]],WORKDAY.INTL(Tasks[[#This Row],[_LeafLateFinish]],-(Tasks[[#This Row],[Duration]]-1),WorkWeek,Holidays)))</f>
        <v/>
      </c>
      <c r="CG19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97" s="99" t="b">
        <f aca="false">AND(Tasks[[#This Row],[_IsLeaf]]=1,Tasks[[#This Row],[_LeafProgress]]&lt;1,N(Tasks[[#This Row],[_LeafTotalSlack]])&lt;=CriticalSlackDays)</f>
        <v>0</v>
      </c>
      <c r="CI197" s="100" t="str">
        <f aca="false">IF(Tasks[[#This Row],[Task Name]]="","",IF(Tasks[[#This Row],[_IsSummary]],MIN(INDEX(Tasks[_LeafCalcStart],Tasks[[#This Row],[_Row]]+1):INDEX(Tasks[_LeafCalcStart],Tasks[[#This Row],[_Row]]+Tasks[[#This Row],[_Descendants]])),Tasks[[#This Row],[_LeafCalcStart]]))</f>
        <v/>
      </c>
      <c r="CJ197" s="100" t="str">
        <f aca="false">IF(Tasks[[#This Row],[Task Name]]="","",IF(Tasks[[#This Row],[_IsSummary]],MAX(INDEX(Tasks[_LeafCalcFinish],Tasks[[#This Row],[_Row]]+1):INDEX(Tasks[_LeafCalcFinish],Tasks[[#This Row],[_Row]]+Tasks[[#This Row],[_Descendants]])),Tasks[[#This Row],[_LeafCalcFinish]]))</f>
        <v/>
      </c>
      <c r="CK19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9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97"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97"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97"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97"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97" s="41" t="n">
        <f aca="false">IF(AND(Tasks[[#This Row],[_IsLeaf]]=1,Tasks[[#This Row],[_LeafWork]]&gt;0),NETWORKDAYS.INTL(ProjectStart,Tasks[[#This Row],[_LeafFcstStart]],WorkWeek,Holidays),0)</f>
        <v>0</v>
      </c>
      <c r="CR197" s="41" t="n">
        <f aca="false">IF(AND(Tasks[[#This Row],[_IsLeaf]]=1,Tasks[[#This Row],[_LeafWork]]&gt;0),MAX(Tasks[[#This Row],[_StartWorkday]],NETWORKDAYS.INTL(ProjectStart,Tasks[[#This Row],[_LeafFcstFinish]],WorkWeek,Holidays)),0)</f>
        <v>0</v>
      </c>
      <c r="CS197" s="41" t="n">
        <f aca="false">IF(AND(Tasks[[#This Row],[_IsLeaf]]=1,Tasks[[#This Row],[_LeafWork]]&gt;0),Tasks[[#This Row],[_LeafWork]]/(Tasks[[#This Row],[_FinishWorkday]]-Tasks[[#This Row],[_StartWorkday]]+1),0)</f>
        <v>0</v>
      </c>
      <c r="CT197" s="41" t="n">
        <f aca="false">Tasks[[#This Row],[_WorkPerWorkday]]*(Tasks[[#This Row],[_StartWorkday]]-1)</f>
        <v>-0</v>
      </c>
      <c r="CU197" s="41" t="n">
        <f aca="false">IF(Tasks[[#This Row],[_IsLeaf]]=1,MAX(N(Tasks[[#This Row],[Duration]]),0.1),0)</f>
        <v>0</v>
      </c>
      <c r="CV197" s="41" t="n">
        <f aca="false">Tasks[[#This Row],[_WeightDur]]*Tasks[[#This Row],[_LeafProgress]]</f>
        <v>0</v>
      </c>
      <c r="CW19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9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9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9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97" s="41" t="str">
        <f aca="false">IF(Tasks[[#This Row],[Task Name]]="","",Tasks[[#This Row],[_Pred1UIDText]]&amp;IF(AND(Tasks[[#This Row],[_Pred1UIDText]]&lt;&gt;"",Tasks[[#This Row],[_Pred2UIDText]]&lt;&gt;""),",","")&amp;Tasks[[#This Row],[_Pred2UIDText]])</f>
        <v/>
      </c>
      <c r="DB197" s="41" t="str">
        <f aca="false">IF(AND(Tasks[[#This Row],[_IsLeaf]]=1,N(Tasks[[#This Row],[Duration]])=0,Tasks[[#This Row],[_LeafProgress]]&lt;1),Tasks[[#This Row],[_LeafFcstFinish]]+Tasks[[#This Row],[_Row]]/100000,"")</f>
        <v/>
      </c>
      <c r="DC19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97" s="41" t="n">
        <f aca="false">IF(NOT(Tasks[[#This Row],[_IsLeaf]]=1),0,IF(Tasks[[#This Row],[Baseline Cost]]="",Tasks[[#This Row],[_LeafCost]],N(Tasks[[#This Row],[Baseline Cost]])))</f>
        <v>0</v>
      </c>
      <c r="DE197" s="41" t="n">
        <f aca="false">Tasks[[#This Row],[_LeafBudget]]*Tasks[[#This Row],[_PlannedPct]]</f>
        <v>0</v>
      </c>
      <c r="DF197" s="41" t="n">
        <f aca="false">Tasks[[#This Row],[_LeafBudget]]*Tasks[[#This Row],[_LeafProgress]]</f>
        <v>0</v>
      </c>
      <c r="DG197" s="41" t="n">
        <f aca="false">IF(NOT(Tasks[[#This Row],[_IsLeaf]]=1),0,IF(Tasks[[#This Row],[Actual Cost]]="",Tasks[[#This Row],[_LeafCost]]*Tasks[[#This Row],[_LeafProgress]],N(Tasks[[#This Row],[Actual Cost]])))</f>
        <v>0</v>
      </c>
      <c r="DH197" s="41" t="str">
        <f aca="false">IF(Tasks[[#This Row],[Task Name]]="","",LEFT(Tasks[[#This Row],[WBS]],FIND(".",Tasks[[#This Row],[WBS]]&amp;".")-1))</f>
        <v/>
      </c>
      <c r="DI197" s="41" t="str">
        <f aca="false">IF(AND(Tasks[[#This Row],[Task Name]]&lt;&gt;"",Tasks[[#This Row],[_Level]]=1),Tasks[[#This Row],[_Row]],"")</f>
        <v/>
      </c>
      <c r="DJ197" s="41" t="str">
        <f aca="false">IF(AND(Tasks[[#This Row],[_IsLeaf]]=1,N(Tasks[[#This Row],[Duration]])=0),Tasks[[#This Row],[Planned Finish]]+Tasks[[#This Row],[_Row]]/100000,"")</f>
        <v/>
      </c>
      <c r="DK197" s="41" t="str">
        <f aca="false">IF(AND(Tasks[[#This Row],[_IsLeaf]]=1,Tasks[[#This Row],[_LeafProgress]]&lt;1,OR(N(Tasks[[#This Row],[Finish Var]])&gt;0,Tasks[[#This Row],[Status]]="Late Start")),MAX(0,Tasks[[#This Row],[Finish Var]])+1-Tasks[[#This Row],[_Row]]/1000000,"")</f>
        <v/>
      </c>
      <c r="DL197" s="41" t="str">
        <f aca="false">IF(AND(Tasks[[#This Row],[_IsLeaf]]=1,N(Tasks[[#This Row],[Actual Start]])=0,Tasks[[#This Row],[_LeafFcstStart]]&gt;=StatusDate,Tasks[[#This Row],[_LeafFcstStart]]&lt;=LookaheadEnd),Tasks[[#This Row],[_LeafFcstStart]]+Tasks[[#This Row],[_Row]]/100000,"")</f>
        <v/>
      </c>
      <c r="DM197" s="41" t="str">
        <f aca="false">IF(AND(Tasks[[#This Row],[_IsLeaf]]=1,Tasks[[#This Row],[_LeafProgress]]&lt;1,Tasks[[#This Row],[_LeafFcstFinish]]&gt;=StatusDate,Tasks[[#This Row],[_LeafFcstFinish]]&lt;=LookaheadEnd),Tasks[[#This Row],[_LeafFcstFinish]]+Tasks[[#This Row],[_Row]]/100000,"")</f>
        <v/>
      </c>
      <c r="DN197" s="41" t="str">
        <f aca="false">IF(Tasks[[#This Row],[_LeafCritical]],Tasks[[#This Row],[_LeafFcstStart]]+Tasks[[#This Row],[_Row]]/100000,"")</f>
        <v/>
      </c>
      <c r="DO197" s="41" t="n">
        <f aca="false">Tasks[[#This Row],[_LeafWork]]*Tasks[[#This Row],[_LeafProgress]]</f>
        <v>0</v>
      </c>
      <c r="DP197" s="100" t="str">
        <f aca="false">IF(AND(Tasks[[#This Row],[_IsLeaf]]=1,Tasks[[#This Row],[_LeafProgress]]&gt;=1),IF(N(Tasks[[#This Row],[Actual Finish]])&gt;0,Tasks[[#This Row],[Actual Finish]],Tasks[[#This Row],[_LeafFcstFinish]]),"")</f>
        <v/>
      </c>
      <c r="DQ197" s="41" t="n">
        <f aca="false">IF(Tasks[[#This Row],[_IsLeaf]]=1,N(Tasks[[#This Row],[Story Points]]),0)</f>
        <v>0</v>
      </c>
      <c r="DR197" s="41" t="str">
        <f aca="false">IF(AND(Tasks[[#This Row],[_IsLeaf]]=1,CurrentSprint&lt;&gt;"",Tasks[[#This Row],[Sprint]]=CurrentSprint),Tasks[[#This Row],[_Row]],"")</f>
        <v/>
      </c>
    </row>
    <row r="198" customFormat="false" ht="15" hidden="false" customHeight="false" outlineLevel="0" collapsed="false">
      <c r="A198" s="28" t="str">
        <f aca="false">IF(Tasks[[#This Row],[Task Name]]="","",COUNTA(Tasks[[#Headers],[Task Name]]:Tasks[[#This Row],[Task Name]])-1)</f>
        <v/>
      </c>
      <c r="B198" s="29" t="n">
        <v>193</v>
      </c>
      <c r="C19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8" s="29"/>
      <c r="E198" s="30"/>
      <c r="F198" s="29"/>
      <c r="G198" s="29"/>
      <c r="H198" s="29"/>
      <c r="I198" s="29"/>
      <c r="J198" s="29"/>
      <c r="K198" s="29"/>
      <c r="L198" s="29"/>
      <c r="M198" s="29"/>
      <c r="N198" s="73"/>
      <c r="O198" s="73"/>
      <c r="P198" s="25" t="str">
        <f aca="false">IF(Tasks[[#This Row],[Task Name]]="","",IF(N(Tasks[[#This Row],[Baseline Start]])&gt;0,Tasks[[#This Row],[Baseline Start]],Tasks[[#This Row],[_CalcStart]]))</f>
        <v/>
      </c>
      <c r="Q198" s="25" t="str">
        <f aca="false">IF(Tasks[[#This Row],[Task Name]]="","",IF(N(Tasks[[#This Row],[Baseline Finish]])&gt;0,Tasks[[#This Row],[Baseline Finish]],Tasks[[#This Row],[_CalcFinish]]))</f>
        <v/>
      </c>
      <c r="R198" s="73"/>
      <c r="S198" s="73"/>
      <c r="T198" s="25" t="str">
        <f aca="false">IF(Tasks[[#This Row],[Task Name]]="","",IF(Tasks[[#This Row],[_IsSummary]],MIN(INDEX(Tasks[_LeafFcstStart],Tasks[[#This Row],[_Row]]+1):INDEX(Tasks[_LeafFcstStart],Tasks[[#This Row],[_Row]]+Tasks[[#This Row],[_Descendants]])),Tasks[[#This Row],[_LeafFcstStart]]))</f>
        <v/>
      </c>
      <c r="U198" s="25" t="str">
        <f aca="false">IF(Tasks[[#This Row],[Task Name]]="","",IF(Tasks[[#This Row],[_IsSummary]],MAX(INDEX(Tasks[_LeafFcstFinish],Tasks[[#This Row],[_Row]]+1):INDEX(Tasks[_LeafFcstFinish],Tasks[[#This Row],[_Row]]+Tasks[[#This Row],[_Descendants]])),Tasks[[#This Row],[_LeafFcstFinish]]))</f>
        <v/>
      </c>
      <c r="V19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9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8" s="25" t="str">
        <f aca="false">IF(Tasks[[#This Row],[Task Name]]="","",IF(Tasks[[#This Row],[_IsSummary]],MIN(INDEX(Tasks[_LeafLateStart],Tasks[[#This Row],[_Row]]+1):INDEX(Tasks[_LeafLateStart],Tasks[[#This Row],[_Row]]+Tasks[[#This Row],[_Descendants]])),Tasks[[#This Row],[_LeafLateStart]]))</f>
        <v/>
      </c>
      <c r="Y198" s="25" t="str">
        <f aca="false">IF(Tasks[[#This Row],[Task Name]]="","",IF(Tasks[[#This Row],[_IsSummary]],MAX(INDEX(Tasks[_LeafLateFinish],Tasks[[#This Row],[_Row]]+1):INDEX(Tasks[_LeafLateFinish],Tasks[[#This Row],[_Row]]+Tasks[[#This Row],[_Descendants]])),Tasks[[#This Row],[_LeafLateFinish]]))</f>
        <v/>
      </c>
      <c r="Z198" s="43" t="str">
        <f aca="false">IF(Tasks[[#This Row],[Task Name]]="","",IF(Tasks[[#This Row],[_IsSummary]],MIN(INDEX(Tasks[_LeafTotalSlack],Tasks[[#This Row],[_Row]]+1):INDEX(Tasks[_LeafTotalSlack],Tasks[[#This Row],[_Row]]+Tasks[[#This Row],[_Descendants]])),Tasks[[#This Row],[_LeafTotalSlack]]))</f>
        <v/>
      </c>
      <c r="AA19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8" s="28" t="str">
        <f aca="false">IF(Tasks[[#This Row],[Task Name]]="","",IF(IF(Tasks[[#This Row],[_IsSummary]],COUNTIF(INDEX(Tasks[_LeafCritical],Tasks[[#This Row],[_Row]]+1):INDEX(Tasks[_LeafCritical],Tasks[[#This Row],[_Row]]+Tasks[[#This Row],[_Descendants]]),TRUE())&gt;0,Tasks[[#This Row],[_LeafCritical]]),"Yes",""))</f>
        <v/>
      </c>
      <c r="AC19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8" s="24" t="str">
        <f aca="false">IF(Tasks[[#This Row],[Task Name]]="","",TRIM(IF(Tasks[[#This Row],[_Pred1Problem]]&lt;&gt;"","Pred 1: "&amp;Tasks[[#This Row],[_Pred1Problem]]&amp;". ","")&amp;IF(Tasks[[#This Row],[_Pred2Problem]]&lt;&gt;"","Pred 2: "&amp;Tasks[[#This Row],[_Pred2Problem]]&amp;".","")))</f>
        <v/>
      </c>
      <c r="AE198" s="88"/>
      <c r="AF198"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8" s="28" t="str">
        <f aca="false">IF(Tasks[[#This Row],[Task Name]]="","",IF(Tasks[[#This Row],[Progress]]&gt;=1,"Complete",IF(OR(N(Tasks[[#This Row],[Actual Start]])&gt;0,Tasks[[#This Row],[Progress]]&gt;0),IF(Tasks[[#This Row],[Finish Var]]&gt;0,"Behind","In Progress"),IF(Tasks[[#This Row],[Planned Start]]&lt;StatusDate,"Late Start","Not Started"))))</f>
        <v/>
      </c>
      <c r="AH198" s="30"/>
      <c r="AI198" s="88"/>
      <c r="AJ198" s="95" t="str">
        <f aca="false">IF(Tasks[[#This Row],[Task Name]]="","",IF(Tasks[[#This Row],[_IsSummary]],SUM(INDEX(Tasks[_LeafWork],Tasks[[#This Row],[_Row]]+1):INDEX(Tasks[_LeafWork],Tasks[[#This Row],[_Row]]+Tasks[[#This Row],[_Descendants]])),Tasks[[#This Row],[_LeafWork]]))</f>
        <v/>
      </c>
      <c r="AK198" s="96" t="str">
        <f aca="false">IF(Tasks[[#This Row],[Task Name]]="","",IF(Tasks[[#This Row],[_IsSummary]],SUM(INDEX(Tasks[_LeafCost],Tasks[[#This Row],[_Row]]+1):INDEX(Tasks[_LeafCost],Tasks[[#This Row],[_Row]]+Tasks[[#This Row],[_Descendants]])),Tasks[[#This Row],[_LeafCost]]))</f>
        <v/>
      </c>
      <c r="AL198" s="97"/>
      <c r="AM198" s="29"/>
      <c r="AN19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98" s="82"/>
      <c r="AP198" s="24" t="str">
        <f aca="false">IF(Tasks[[#This Row],[Task Name]]="","",Tasks[[#This Row],[_Pred1IDText]]&amp;IF(AND(Tasks[[#This Row],[_Pred1IDText]]&lt;&gt;"",Tasks[[#This Row],[_Pred2IDText]]&lt;&gt;""),",","")&amp;Tasks[[#This Row],[_Pred2IDText]])</f>
        <v/>
      </c>
      <c r="AQ198" s="30"/>
      <c r="AR198" s="25" t="str">
        <f aca="false">IF(Tasks[[#This Row],[Task Name]]="","",Tasks[[#This Row],[Forecast Start]])</f>
        <v/>
      </c>
      <c r="AS198" s="25" t="str">
        <f aca="false">IF(Tasks[[#This Row],[Task Name]]="","",Tasks[[#This Row],[Forecast Finish]])</f>
        <v/>
      </c>
      <c r="AT198" s="28" t="str">
        <f aca="false">IF(Tasks[[#This Row],[Task Name]]="","",IF(Tasks[[#This Row],[_IsSummary]],NETWORKDAYS.INTL(Tasks[[#This Row],[Forecast Start]],Tasks[[#This Row],[Forecast Finish]],WorkWeek,Holidays),N(Tasks[[#This Row],[Duration]])))</f>
        <v/>
      </c>
      <c r="AU198" s="95" t="str">
        <f aca="false">IF(Tasks[[#This Row],[Task Name]]="","",Tasks[[#This Row],[Work]])</f>
        <v/>
      </c>
      <c r="AV198" s="96" t="str">
        <f aca="false">IF(Tasks[[#This Row],[Task Name]]="","",Tasks[[#This Row],[Cost]])</f>
        <v/>
      </c>
      <c r="AW198" s="73"/>
      <c r="AX198" s="73"/>
      <c r="AY198" s="29"/>
      <c r="AZ198" s="98"/>
      <c r="BA198" s="97"/>
      <c r="BB198" s="28" t="str">
        <f aca="false">IF(OR(Tasks[[#This Row],[Task Name]]="",Tasks[[#This Row],[Baseline Duration]]=""),"",Tasks[[#This Row],[BL Source Duration]]-N(Tasks[[#This Row],[Baseline Duration]]))</f>
        <v/>
      </c>
      <c r="BC198" s="95" t="str">
        <f aca="false">IF(OR(Tasks[[#This Row],[Task Name]]="",Tasks[[#This Row],[Baseline Work]]=""),"",Tasks[[#This Row],[Work]]-N(Tasks[[#This Row],[Baseline Work]]))</f>
        <v/>
      </c>
      <c r="BD198" s="96" t="str">
        <f aca="false">IF(OR(Tasks[[#This Row],[Task Name]]="",Tasks[[#This Row],[Baseline Cost]]=""),"",Tasks[[#This Row],[Cost]]-N(Tasks[[#This Row],[Baseline Cost]]))</f>
        <v/>
      </c>
      <c r="BE198" s="96" t="str">
        <f aca="false">IF(Tasks[[#This Row],[Task Name]]="","",IF(Tasks[[#This Row],[_IsSummary]],SUM(INDEX(Tasks[_LeafBudget],Tasks[[#This Row],[_Row]]+1):INDEX(Tasks[_LeafBudget],Tasks[[#This Row],[_Row]]+Tasks[[#This Row],[_Descendants]])),Tasks[[#This Row],[_LeafBudget]]))</f>
        <v/>
      </c>
      <c r="BF198" s="96" t="str">
        <f aca="false">IF(Tasks[[#This Row],[Task Name]]="","",IF(Tasks[[#This Row],[_IsSummary]],SUM(INDEX(Tasks[_LeafPV],Tasks[[#This Row],[_Row]]+1):INDEX(Tasks[_LeafPV],Tasks[[#This Row],[_Row]]+Tasks[[#This Row],[_Descendants]])),Tasks[[#This Row],[_LeafPV]]))</f>
        <v/>
      </c>
      <c r="BG198" s="96" t="str">
        <f aca="false">IF(Tasks[[#This Row],[Task Name]]="","",IF(Tasks[[#This Row],[_IsSummary]],SUM(INDEX(Tasks[_LeafEV],Tasks[[#This Row],[_Row]]+1):INDEX(Tasks[_LeafEV],Tasks[[#This Row],[_Row]]+Tasks[[#This Row],[_Descendants]])),Tasks[[#This Row],[_LeafEV]]))</f>
        <v/>
      </c>
      <c r="BH198" s="96" t="str">
        <f aca="false">IF(Tasks[[#This Row],[Task Name]]="","",IF(Tasks[[#This Row],[_IsSummary]],SUM(INDEX(Tasks[_LeafAC],Tasks[[#This Row],[_Row]]+1):INDEX(Tasks[_LeafAC],Tasks[[#This Row],[_Row]]+Tasks[[#This Row],[_Descendants]])),Tasks[[#This Row],[_LeafAC]]))</f>
        <v/>
      </c>
      <c r="BI198" s="41" t="str">
        <f aca="false">IF(Tasks[[#This Row],[Task Name]]="","",MAX(1,N(Tasks[[#This Row],[Level]])))</f>
        <v/>
      </c>
      <c r="BJ198" s="41" t="n">
        <f aca="false">ROW()-ROW(Tasks[[#Headers],[ID]])</f>
        <v>193</v>
      </c>
      <c r="BK198" s="41" t="n">
        <f aca="false">IF(OR(Tasks[[#This Row],[Task Name]]="",Tasks[[#This Row],[_Level]]&lt;=1),0,IFERROR(LOOKUP(2,1/(Tasks[[#Headers],[_Level]]:Tasks[[#This Row],[_Level]]=Tasks[[#This Row],[_Level]]-1),ROW(Tasks[[#Headers],[_Level]]:Tasks[[#This Row],[_Level]])),0))</f>
        <v>0</v>
      </c>
      <c r="BL198" s="41" t="n">
        <f aca="false">IFERROR(N(INDEX(Tasks[_Level],Tasks[[#This Row],[_Row]]+1)),0)</f>
        <v>0</v>
      </c>
      <c r="BM198" s="99" t="b">
        <f aca="false">AND(Tasks[[#This Row],[Task Name]]&lt;&gt;"",Tasks[[#This Row],[_NextLevel]]&gt;Tasks[[#This Row],[_Level]])</f>
        <v>0</v>
      </c>
      <c r="BN198" s="41" t="n">
        <f aca="false">IF(Tasks[[#This Row],[_IsSummary]],COUNTIF(Tasks[WBS],Tasks[[#This Row],[WBS]]&amp;".*"),0)</f>
        <v>0</v>
      </c>
      <c r="BO198" s="41" t="n">
        <f aca="false">IF(AND(Tasks[[#This Row],[Task Name]]&lt;&gt;"",NOT(Tasks[[#This Row],[_IsSummary]])),1,0)</f>
        <v>0</v>
      </c>
      <c r="BP198" s="41" t="n">
        <f aca="false">IF(N(Tasks[[#This Row],[Pred1 UID]])=0,0,IFERROR(MATCH(Tasks[[#This Row],[Pred1 UID]],Tasks[UID],0),-1))</f>
        <v>0</v>
      </c>
      <c r="BQ198" s="41" t="n">
        <f aca="false">IF(N(Tasks[[#This Row],[Pred2 UID]])=0,0,IFERROR(MATCH(Tasks[[#This Row],[Pred2 UID]],Tasks[UID],0),-1))</f>
        <v>0</v>
      </c>
      <c r="BR198"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98" s="100" t="str">
        <f aca="false">IF(NOT(Tasks[[#This Row],[_IsLeaf]]=1),"",IF(N(Tasks[[#This Row],[Duration]])&lt;=0,Tasks[[#This Row],[_LeafCalcStart]],WORKDAY.INTL(Tasks[[#This Row],[_LeafCalcStart]],Tasks[[#This Row],[Duration]]-1,WorkWeek,Holidays)))</f>
        <v/>
      </c>
      <c r="BT198"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98"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98" s="41" t="n">
        <f aca="false">IF(NOT(Tasks[[#This Row],[_IsLeaf]]=1),0,IF(N(Tasks[[#This Row],[Actual Finish]])&gt;0,1,MIN(1,N(Tasks[[#This Row],[% Complete]]))))</f>
        <v>0</v>
      </c>
      <c r="BW198" s="41" t="n">
        <f aca="false">IF(OR(NOT(Tasks[[#This Row],[_IsLeaf]]=1),Tasks[[#This Row],[Resource]]=""),0,N(Tasks[[#This Row],[Duration]])*HoursPerDay*IF(Tasks[[#This Row],[Units]]="",DefaultUnits,Tasks[[#This Row],[Units]]))</f>
        <v>0</v>
      </c>
      <c r="BX198" s="41" t="n">
        <f aca="false">IF(Tasks[[#This Row],[_LeafWork]]=0,0,Tasks[[#This Row],[_LeafWork]]*IFERROR(INDEX(res_Rate,MATCH(Tasks[[#This Row],[Resource]],res_Name,0)),0))</f>
        <v>0</v>
      </c>
      <c r="BY19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9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9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9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98" s="41" t="n">
        <f aca="false">IF(NOT(Tasks[[#This Row],[_IsLeaf]]=1),0,MAX(_xlfn.MAXIFS(Tasks[_Row],Tasks[Pred1 UID],Tasks[[#This Row],[UID]]),_xlfn.MAXIFS(Tasks[_Row],Tasks[Pred2 UID],Tasks[[#This Row],[UID]])))</f>
        <v>0</v>
      </c>
      <c r="CD198"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98" s="100" t="str">
        <f aca="false">IF(NOT(Tasks[[#This Row],[_IsLeaf]]=1),"",MIN(ProjectFinish,IF(N(Tasks[[#This Row],[Deadline]])&gt;0,Tasks[[#This Row],[Deadline]],2958465),Tasks[[#This Row],[_SuccessorFinishLimit]]))</f>
        <v/>
      </c>
      <c r="CF198" s="100" t="str">
        <f aca="false">IF(NOT(Tasks[[#This Row],[_IsLeaf]]=1),"",IF(N(Tasks[[#This Row],[Duration]])&lt;=0,Tasks[[#This Row],[_LeafLateFinish]],WORKDAY.INTL(Tasks[[#This Row],[_LeafLateFinish]],-(Tasks[[#This Row],[Duration]]-1),WorkWeek,Holidays)))</f>
        <v/>
      </c>
      <c r="CG19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98" s="99" t="b">
        <f aca="false">AND(Tasks[[#This Row],[_IsLeaf]]=1,Tasks[[#This Row],[_LeafProgress]]&lt;1,N(Tasks[[#This Row],[_LeafTotalSlack]])&lt;=CriticalSlackDays)</f>
        <v>0</v>
      </c>
      <c r="CI198" s="100" t="str">
        <f aca="false">IF(Tasks[[#This Row],[Task Name]]="","",IF(Tasks[[#This Row],[_IsSummary]],MIN(INDEX(Tasks[_LeafCalcStart],Tasks[[#This Row],[_Row]]+1):INDEX(Tasks[_LeafCalcStart],Tasks[[#This Row],[_Row]]+Tasks[[#This Row],[_Descendants]])),Tasks[[#This Row],[_LeafCalcStart]]))</f>
        <v/>
      </c>
      <c r="CJ198" s="100" t="str">
        <f aca="false">IF(Tasks[[#This Row],[Task Name]]="","",IF(Tasks[[#This Row],[_IsSummary]],MAX(INDEX(Tasks[_LeafCalcFinish],Tasks[[#This Row],[_Row]]+1):INDEX(Tasks[_LeafCalcFinish],Tasks[[#This Row],[_Row]]+Tasks[[#This Row],[_Descendants]])),Tasks[[#This Row],[_LeafCalcFinish]]))</f>
        <v/>
      </c>
      <c r="CK19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9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98"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98"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98"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98"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98" s="41" t="n">
        <f aca="false">IF(AND(Tasks[[#This Row],[_IsLeaf]]=1,Tasks[[#This Row],[_LeafWork]]&gt;0),NETWORKDAYS.INTL(ProjectStart,Tasks[[#This Row],[_LeafFcstStart]],WorkWeek,Holidays),0)</f>
        <v>0</v>
      </c>
      <c r="CR198" s="41" t="n">
        <f aca="false">IF(AND(Tasks[[#This Row],[_IsLeaf]]=1,Tasks[[#This Row],[_LeafWork]]&gt;0),MAX(Tasks[[#This Row],[_StartWorkday]],NETWORKDAYS.INTL(ProjectStart,Tasks[[#This Row],[_LeafFcstFinish]],WorkWeek,Holidays)),0)</f>
        <v>0</v>
      </c>
      <c r="CS198" s="41" t="n">
        <f aca="false">IF(AND(Tasks[[#This Row],[_IsLeaf]]=1,Tasks[[#This Row],[_LeafWork]]&gt;0),Tasks[[#This Row],[_LeafWork]]/(Tasks[[#This Row],[_FinishWorkday]]-Tasks[[#This Row],[_StartWorkday]]+1),0)</f>
        <v>0</v>
      </c>
      <c r="CT198" s="41" t="n">
        <f aca="false">Tasks[[#This Row],[_WorkPerWorkday]]*(Tasks[[#This Row],[_StartWorkday]]-1)</f>
        <v>-0</v>
      </c>
      <c r="CU198" s="41" t="n">
        <f aca="false">IF(Tasks[[#This Row],[_IsLeaf]]=1,MAX(N(Tasks[[#This Row],[Duration]]),0.1),0)</f>
        <v>0</v>
      </c>
      <c r="CV198" s="41" t="n">
        <f aca="false">Tasks[[#This Row],[_WeightDur]]*Tasks[[#This Row],[_LeafProgress]]</f>
        <v>0</v>
      </c>
      <c r="CW19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9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9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9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98" s="41" t="str">
        <f aca="false">IF(Tasks[[#This Row],[Task Name]]="","",Tasks[[#This Row],[_Pred1UIDText]]&amp;IF(AND(Tasks[[#This Row],[_Pred1UIDText]]&lt;&gt;"",Tasks[[#This Row],[_Pred2UIDText]]&lt;&gt;""),",","")&amp;Tasks[[#This Row],[_Pred2UIDText]])</f>
        <v/>
      </c>
      <c r="DB198" s="41" t="str">
        <f aca="false">IF(AND(Tasks[[#This Row],[_IsLeaf]]=1,N(Tasks[[#This Row],[Duration]])=0,Tasks[[#This Row],[_LeafProgress]]&lt;1),Tasks[[#This Row],[_LeafFcstFinish]]+Tasks[[#This Row],[_Row]]/100000,"")</f>
        <v/>
      </c>
      <c r="DC19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98" s="41" t="n">
        <f aca="false">IF(NOT(Tasks[[#This Row],[_IsLeaf]]=1),0,IF(Tasks[[#This Row],[Baseline Cost]]="",Tasks[[#This Row],[_LeafCost]],N(Tasks[[#This Row],[Baseline Cost]])))</f>
        <v>0</v>
      </c>
      <c r="DE198" s="41" t="n">
        <f aca="false">Tasks[[#This Row],[_LeafBudget]]*Tasks[[#This Row],[_PlannedPct]]</f>
        <v>0</v>
      </c>
      <c r="DF198" s="41" t="n">
        <f aca="false">Tasks[[#This Row],[_LeafBudget]]*Tasks[[#This Row],[_LeafProgress]]</f>
        <v>0</v>
      </c>
      <c r="DG198" s="41" t="n">
        <f aca="false">IF(NOT(Tasks[[#This Row],[_IsLeaf]]=1),0,IF(Tasks[[#This Row],[Actual Cost]]="",Tasks[[#This Row],[_LeafCost]]*Tasks[[#This Row],[_LeafProgress]],N(Tasks[[#This Row],[Actual Cost]])))</f>
        <v>0</v>
      </c>
      <c r="DH198" s="41" t="str">
        <f aca="false">IF(Tasks[[#This Row],[Task Name]]="","",LEFT(Tasks[[#This Row],[WBS]],FIND(".",Tasks[[#This Row],[WBS]]&amp;".")-1))</f>
        <v/>
      </c>
      <c r="DI198" s="41" t="str">
        <f aca="false">IF(AND(Tasks[[#This Row],[Task Name]]&lt;&gt;"",Tasks[[#This Row],[_Level]]=1),Tasks[[#This Row],[_Row]],"")</f>
        <v/>
      </c>
      <c r="DJ198" s="41" t="str">
        <f aca="false">IF(AND(Tasks[[#This Row],[_IsLeaf]]=1,N(Tasks[[#This Row],[Duration]])=0),Tasks[[#This Row],[Planned Finish]]+Tasks[[#This Row],[_Row]]/100000,"")</f>
        <v/>
      </c>
      <c r="DK198" s="41" t="str">
        <f aca="false">IF(AND(Tasks[[#This Row],[_IsLeaf]]=1,Tasks[[#This Row],[_LeafProgress]]&lt;1,OR(N(Tasks[[#This Row],[Finish Var]])&gt;0,Tasks[[#This Row],[Status]]="Late Start")),MAX(0,Tasks[[#This Row],[Finish Var]])+1-Tasks[[#This Row],[_Row]]/1000000,"")</f>
        <v/>
      </c>
      <c r="DL198" s="41" t="str">
        <f aca="false">IF(AND(Tasks[[#This Row],[_IsLeaf]]=1,N(Tasks[[#This Row],[Actual Start]])=0,Tasks[[#This Row],[_LeafFcstStart]]&gt;=StatusDate,Tasks[[#This Row],[_LeafFcstStart]]&lt;=LookaheadEnd),Tasks[[#This Row],[_LeafFcstStart]]+Tasks[[#This Row],[_Row]]/100000,"")</f>
        <v/>
      </c>
      <c r="DM198" s="41" t="str">
        <f aca="false">IF(AND(Tasks[[#This Row],[_IsLeaf]]=1,Tasks[[#This Row],[_LeafProgress]]&lt;1,Tasks[[#This Row],[_LeafFcstFinish]]&gt;=StatusDate,Tasks[[#This Row],[_LeafFcstFinish]]&lt;=LookaheadEnd),Tasks[[#This Row],[_LeafFcstFinish]]+Tasks[[#This Row],[_Row]]/100000,"")</f>
        <v/>
      </c>
      <c r="DN198" s="41" t="str">
        <f aca="false">IF(Tasks[[#This Row],[_LeafCritical]],Tasks[[#This Row],[_LeafFcstStart]]+Tasks[[#This Row],[_Row]]/100000,"")</f>
        <v/>
      </c>
      <c r="DO198" s="41" t="n">
        <f aca="false">Tasks[[#This Row],[_LeafWork]]*Tasks[[#This Row],[_LeafProgress]]</f>
        <v>0</v>
      </c>
      <c r="DP198" s="100" t="str">
        <f aca="false">IF(AND(Tasks[[#This Row],[_IsLeaf]]=1,Tasks[[#This Row],[_LeafProgress]]&gt;=1),IF(N(Tasks[[#This Row],[Actual Finish]])&gt;0,Tasks[[#This Row],[Actual Finish]],Tasks[[#This Row],[_LeafFcstFinish]]),"")</f>
        <v/>
      </c>
      <c r="DQ198" s="41" t="n">
        <f aca="false">IF(Tasks[[#This Row],[_IsLeaf]]=1,N(Tasks[[#This Row],[Story Points]]),0)</f>
        <v>0</v>
      </c>
      <c r="DR198" s="41" t="str">
        <f aca="false">IF(AND(Tasks[[#This Row],[_IsLeaf]]=1,CurrentSprint&lt;&gt;"",Tasks[[#This Row],[Sprint]]=CurrentSprint),Tasks[[#This Row],[_Row]],"")</f>
        <v/>
      </c>
    </row>
    <row r="199" customFormat="false" ht="15" hidden="false" customHeight="false" outlineLevel="0" collapsed="false">
      <c r="A199" s="28" t="str">
        <f aca="false">IF(Tasks[[#This Row],[Task Name]]="","",COUNTA(Tasks[[#Headers],[Task Name]]:Tasks[[#This Row],[Task Name]])-1)</f>
        <v/>
      </c>
      <c r="B199" s="29" t="n">
        <v>194</v>
      </c>
      <c r="C19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9" s="29"/>
      <c r="E199" s="30"/>
      <c r="F199" s="29"/>
      <c r="G199" s="29"/>
      <c r="H199" s="29"/>
      <c r="I199" s="29"/>
      <c r="J199" s="29"/>
      <c r="K199" s="29"/>
      <c r="L199" s="29"/>
      <c r="M199" s="29"/>
      <c r="N199" s="73"/>
      <c r="O199" s="73"/>
      <c r="P199" s="25" t="str">
        <f aca="false">IF(Tasks[[#This Row],[Task Name]]="","",IF(N(Tasks[[#This Row],[Baseline Start]])&gt;0,Tasks[[#This Row],[Baseline Start]],Tasks[[#This Row],[_CalcStart]]))</f>
        <v/>
      </c>
      <c r="Q199" s="25" t="str">
        <f aca="false">IF(Tasks[[#This Row],[Task Name]]="","",IF(N(Tasks[[#This Row],[Baseline Finish]])&gt;0,Tasks[[#This Row],[Baseline Finish]],Tasks[[#This Row],[_CalcFinish]]))</f>
        <v/>
      </c>
      <c r="R199" s="73"/>
      <c r="S199" s="73"/>
      <c r="T199" s="25" t="str">
        <f aca="false">IF(Tasks[[#This Row],[Task Name]]="","",IF(Tasks[[#This Row],[_IsSummary]],MIN(INDEX(Tasks[_LeafFcstStart],Tasks[[#This Row],[_Row]]+1):INDEX(Tasks[_LeafFcstStart],Tasks[[#This Row],[_Row]]+Tasks[[#This Row],[_Descendants]])),Tasks[[#This Row],[_LeafFcstStart]]))</f>
        <v/>
      </c>
      <c r="U199" s="25" t="str">
        <f aca="false">IF(Tasks[[#This Row],[Task Name]]="","",IF(Tasks[[#This Row],[_IsSummary]],MAX(INDEX(Tasks[_LeafFcstFinish],Tasks[[#This Row],[_Row]]+1):INDEX(Tasks[_LeafFcstFinish],Tasks[[#This Row],[_Row]]+Tasks[[#This Row],[_Descendants]])),Tasks[[#This Row],[_LeafFcstFinish]]))</f>
        <v/>
      </c>
      <c r="V19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9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9" s="25" t="str">
        <f aca="false">IF(Tasks[[#This Row],[Task Name]]="","",IF(Tasks[[#This Row],[_IsSummary]],MIN(INDEX(Tasks[_LeafLateStart],Tasks[[#This Row],[_Row]]+1):INDEX(Tasks[_LeafLateStart],Tasks[[#This Row],[_Row]]+Tasks[[#This Row],[_Descendants]])),Tasks[[#This Row],[_LeafLateStart]]))</f>
        <v/>
      </c>
      <c r="Y199" s="25" t="str">
        <f aca="false">IF(Tasks[[#This Row],[Task Name]]="","",IF(Tasks[[#This Row],[_IsSummary]],MAX(INDEX(Tasks[_LeafLateFinish],Tasks[[#This Row],[_Row]]+1):INDEX(Tasks[_LeafLateFinish],Tasks[[#This Row],[_Row]]+Tasks[[#This Row],[_Descendants]])),Tasks[[#This Row],[_LeafLateFinish]]))</f>
        <v/>
      </c>
      <c r="Z199" s="43" t="str">
        <f aca="false">IF(Tasks[[#This Row],[Task Name]]="","",IF(Tasks[[#This Row],[_IsSummary]],MIN(INDEX(Tasks[_LeafTotalSlack],Tasks[[#This Row],[_Row]]+1):INDEX(Tasks[_LeafTotalSlack],Tasks[[#This Row],[_Row]]+Tasks[[#This Row],[_Descendants]])),Tasks[[#This Row],[_LeafTotalSlack]]))</f>
        <v/>
      </c>
      <c r="AA19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9" s="28" t="str">
        <f aca="false">IF(Tasks[[#This Row],[Task Name]]="","",IF(IF(Tasks[[#This Row],[_IsSummary]],COUNTIF(INDEX(Tasks[_LeafCritical],Tasks[[#This Row],[_Row]]+1):INDEX(Tasks[_LeafCritical],Tasks[[#This Row],[_Row]]+Tasks[[#This Row],[_Descendants]]),TRUE())&gt;0,Tasks[[#This Row],[_LeafCritical]]),"Yes",""))</f>
        <v/>
      </c>
      <c r="AC19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9" s="24" t="str">
        <f aca="false">IF(Tasks[[#This Row],[Task Name]]="","",TRIM(IF(Tasks[[#This Row],[_Pred1Problem]]&lt;&gt;"","Pred 1: "&amp;Tasks[[#This Row],[_Pred1Problem]]&amp;". ","")&amp;IF(Tasks[[#This Row],[_Pred2Problem]]&lt;&gt;"","Pred 2: "&amp;Tasks[[#This Row],[_Pred2Problem]]&amp;".","")))</f>
        <v/>
      </c>
      <c r="AE199" s="88"/>
      <c r="AF199"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9" s="28" t="str">
        <f aca="false">IF(Tasks[[#This Row],[Task Name]]="","",IF(Tasks[[#This Row],[Progress]]&gt;=1,"Complete",IF(OR(N(Tasks[[#This Row],[Actual Start]])&gt;0,Tasks[[#This Row],[Progress]]&gt;0),IF(Tasks[[#This Row],[Finish Var]]&gt;0,"Behind","In Progress"),IF(Tasks[[#This Row],[Planned Start]]&lt;StatusDate,"Late Start","Not Started"))))</f>
        <v/>
      </c>
      <c r="AH199" s="30"/>
      <c r="AI199" s="88"/>
      <c r="AJ199" s="95" t="str">
        <f aca="false">IF(Tasks[[#This Row],[Task Name]]="","",IF(Tasks[[#This Row],[_IsSummary]],SUM(INDEX(Tasks[_LeafWork],Tasks[[#This Row],[_Row]]+1):INDEX(Tasks[_LeafWork],Tasks[[#This Row],[_Row]]+Tasks[[#This Row],[_Descendants]])),Tasks[[#This Row],[_LeafWork]]))</f>
        <v/>
      </c>
      <c r="AK199" s="96" t="str">
        <f aca="false">IF(Tasks[[#This Row],[Task Name]]="","",IF(Tasks[[#This Row],[_IsSummary]],SUM(INDEX(Tasks[_LeafCost],Tasks[[#This Row],[_Row]]+1):INDEX(Tasks[_LeafCost],Tasks[[#This Row],[_Row]]+Tasks[[#This Row],[_Descendants]])),Tasks[[#This Row],[_LeafCost]]))</f>
        <v/>
      </c>
      <c r="AL199" s="97"/>
      <c r="AM199" s="29"/>
      <c r="AN19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99" s="82"/>
      <c r="AP199" s="24" t="str">
        <f aca="false">IF(Tasks[[#This Row],[Task Name]]="","",Tasks[[#This Row],[_Pred1IDText]]&amp;IF(AND(Tasks[[#This Row],[_Pred1IDText]]&lt;&gt;"",Tasks[[#This Row],[_Pred2IDText]]&lt;&gt;""),",","")&amp;Tasks[[#This Row],[_Pred2IDText]])</f>
        <v/>
      </c>
      <c r="AQ199" s="30"/>
      <c r="AR199" s="25" t="str">
        <f aca="false">IF(Tasks[[#This Row],[Task Name]]="","",Tasks[[#This Row],[Forecast Start]])</f>
        <v/>
      </c>
      <c r="AS199" s="25" t="str">
        <f aca="false">IF(Tasks[[#This Row],[Task Name]]="","",Tasks[[#This Row],[Forecast Finish]])</f>
        <v/>
      </c>
      <c r="AT199" s="28" t="str">
        <f aca="false">IF(Tasks[[#This Row],[Task Name]]="","",IF(Tasks[[#This Row],[_IsSummary]],NETWORKDAYS.INTL(Tasks[[#This Row],[Forecast Start]],Tasks[[#This Row],[Forecast Finish]],WorkWeek,Holidays),N(Tasks[[#This Row],[Duration]])))</f>
        <v/>
      </c>
      <c r="AU199" s="95" t="str">
        <f aca="false">IF(Tasks[[#This Row],[Task Name]]="","",Tasks[[#This Row],[Work]])</f>
        <v/>
      </c>
      <c r="AV199" s="96" t="str">
        <f aca="false">IF(Tasks[[#This Row],[Task Name]]="","",Tasks[[#This Row],[Cost]])</f>
        <v/>
      </c>
      <c r="AW199" s="73"/>
      <c r="AX199" s="73"/>
      <c r="AY199" s="29"/>
      <c r="AZ199" s="98"/>
      <c r="BA199" s="97"/>
      <c r="BB199" s="28" t="str">
        <f aca="false">IF(OR(Tasks[[#This Row],[Task Name]]="",Tasks[[#This Row],[Baseline Duration]]=""),"",Tasks[[#This Row],[BL Source Duration]]-N(Tasks[[#This Row],[Baseline Duration]]))</f>
        <v/>
      </c>
      <c r="BC199" s="95" t="str">
        <f aca="false">IF(OR(Tasks[[#This Row],[Task Name]]="",Tasks[[#This Row],[Baseline Work]]=""),"",Tasks[[#This Row],[Work]]-N(Tasks[[#This Row],[Baseline Work]]))</f>
        <v/>
      </c>
      <c r="BD199" s="96" t="str">
        <f aca="false">IF(OR(Tasks[[#This Row],[Task Name]]="",Tasks[[#This Row],[Baseline Cost]]=""),"",Tasks[[#This Row],[Cost]]-N(Tasks[[#This Row],[Baseline Cost]]))</f>
        <v/>
      </c>
      <c r="BE199" s="96" t="str">
        <f aca="false">IF(Tasks[[#This Row],[Task Name]]="","",IF(Tasks[[#This Row],[_IsSummary]],SUM(INDEX(Tasks[_LeafBudget],Tasks[[#This Row],[_Row]]+1):INDEX(Tasks[_LeafBudget],Tasks[[#This Row],[_Row]]+Tasks[[#This Row],[_Descendants]])),Tasks[[#This Row],[_LeafBudget]]))</f>
        <v/>
      </c>
      <c r="BF199" s="96" t="str">
        <f aca="false">IF(Tasks[[#This Row],[Task Name]]="","",IF(Tasks[[#This Row],[_IsSummary]],SUM(INDEX(Tasks[_LeafPV],Tasks[[#This Row],[_Row]]+1):INDEX(Tasks[_LeafPV],Tasks[[#This Row],[_Row]]+Tasks[[#This Row],[_Descendants]])),Tasks[[#This Row],[_LeafPV]]))</f>
        <v/>
      </c>
      <c r="BG199" s="96" t="str">
        <f aca="false">IF(Tasks[[#This Row],[Task Name]]="","",IF(Tasks[[#This Row],[_IsSummary]],SUM(INDEX(Tasks[_LeafEV],Tasks[[#This Row],[_Row]]+1):INDEX(Tasks[_LeafEV],Tasks[[#This Row],[_Row]]+Tasks[[#This Row],[_Descendants]])),Tasks[[#This Row],[_LeafEV]]))</f>
        <v/>
      </c>
      <c r="BH199" s="96" t="str">
        <f aca="false">IF(Tasks[[#This Row],[Task Name]]="","",IF(Tasks[[#This Row],[_IsSummary]],SUM(INDEX(Tasks[_LeafAC],Tasks[[#This Row],[_Row]]+1):INDEX(Tasks[_LeafAC],Tasks[[#This Row],[_Row]]+Tasks[[#This Row],[_Descendants]])),Tasks[[#This Row],[_LeafAC]]))</f>
        <v/>
      </c>
      <c r="BI199" s="41" t="str">
        <f aca="false">IF(Tasks[[#This Row],[Task Name]]="","",MAX(1,N(Tasks[[#This Row],[Level]])))</f>
        <v/>
      </c>
      <c r="BJ199" s="41" t="n">
        <f aca="false">ROW()-ROW(Tasks[[#Headers],[ID]])</f>
        <v>194</v>
      </c>
      <c r="BK199" s="41" t="n">
        <f aca="false">IF(OR(Tasks[[#This Row],[Task Name]]="",Tasks[[#This Row],[_Level]]&lt;=1),0,IFERROR(LOOKUP(2,1/(Tasks[[#Headers],[_Level]]:Tasks[[#This Row],[_Level]]=Tasks[[#This Row],[_Level]]-1),ROW(Tasks[[#Headers],[_Level]]:Tasks[[#This Row],[_Level]])),0))</f>
        <v>0</v>
      </c>
      <c r="BL199" s="41" t="n">
        <f aca="false">IFERROR(N(INDEX(Tasks[_Level],Tasks[[#This Row],[_Row]]+1)),0)</f>
        <v>0</v>
      </c>
      <c r="BM199" s="99" t="b">
        <f aca="false">AND(Tasks[[#This Row],[Task Name]]&lt;&gt;"",Tasks[[#This Row],[_NextLevel]]&gt;Tasks[[#This Row],[_Level]])</f>
        <v>0</v>
      </c>
      <c r="BN199" s="41" t="n">
        <f aca="false">IF(Tasks[[#This Row],[_IsSummary]],COUNTIF(Tasks[WBS],Tasks[[#This Row],[WBS]]&amp;".*"),0)</f>
        <v>0</v>
      </c>
      <c r="BO199" s="41" t="n">
        <f aca="false">IF(AND(Tasks[[#This Row],[Task Name]]&lt;&gt;"",NOT(Tasks[[#This Row],[_IsSummary]])),1,0)</f>
        <v>0</v>
      </c>
      <c r="BP199" s="41" t="n">
        <f aca="false">IF(N(Tasks[[#This Row],[Pred1 UID]])=0,0,IFERROR(MATCH(Tasks[[#This Row],[Pred1 UID]],Tasks[UID],0),-1))</f>
        <v>0</v>
      </c>
      <c r="BQ199" s="41" t="n">
        <f aca="false">IF(N(Tasks[[#This Row],[Pred2 UID]])=0,0,IFERROR(MATCH(Tasks[[#This Row],[Pred2 UID]],Tasks[UID],0),-1))</f>
        <v>0</v>
      </c>
      <c r="BR199"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99" s="100" t="str">
        <f aca="false">IF(NOT(Tasks[[#This Row],[_IsLeaf]]=1),"",IF(N(Tasks[[#This Row],[Duration]])&lt;=0,Tasks[[#This Row],[_LeafCalcStart]],WORKDAY.INTL(Tasks[[#This Row],[_LeafCalcStart]],Tasks[[#This Row],[Duration]]-1,WorkWeek,Holidays)))</f>
        <v/>
      </c>
      <c r="BT199"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99"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99" s="41" t="n">
        <f aca="false">IF(NOT(Tasks[[#This Row],[_IsLeaf]]=1),0,IF(N(Tasks[[#This Row],[Actual Finish]])&gt;0,1,MIN(1,N(Tasks[[#This Row],[% Complete]]))))</f>
        <v>0</v>
      </c>
      <c r="BW199" s="41" t="n">
        <f aca="false">IF(OR(NOT(Tasks[[#This Row],[_IsLeaf]]=1),Tasks[[#This Row],[Resource]]=""),0,N(Tasks[[#This Row],[Duration]])*HoursPerDay*IF(Tasks[[#This Row],[Units]]="",DefaultUnits,Tasks[[#This Row],[Units]]))</f>
        <v>0</v>
      </c>
      <c r="BX199" s="41" t="n">
        <f aca="false">IF(Tasks[[#This Row],[_LeafWork]]=0,0,Tasks[[#This Row],[_LeafWork]]*IFERROR(INDEX(res_Rate,MATCH(Tasks[[#This Row],[Resource]],res_Name,0)),0))</f>
        <v>0</v>
      </c>
      <c r="BY19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9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9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9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99" s="41" t="n">
        <f aca="false">IF(NOT(Tasks[[#This Row],[_IsLeaf]]=1),0,MAX(_xlfn.MAXIFS(Tasks[_Row],Tasks[Pred1 UID],Tasks[[#This Row],[UID]]),_xlfn.MAXIFS(Tasks[_Row],Tasks[Pred2 UID],Tasks[[#This Row],[UID]])))</f>
        <v>0</v>
      </c>
      <c r="CD199"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99" s="100" t="str">
        <f aca="false">IF(NOT(Tasks[[#This Row],[_IsLeaf]]=1),"",MIN(ProjectFinish,IF(N(Tasks[[#This Row],[Deadline]])&gt;0,Tasks[[#This Row],[Deadline]],2958465),Tasks[[#This Row],[_SuccessorFinishLimit]]))</f>
        <v/>
      </c>
      <c r="CF199" s="100" t="str">
        <f aca="false">IF(NOT(Tasks[[#This Row],[_IsLeaf]]=1),"",IF(N(Tasks[[#This Row],[Duration]])&lt;=0,Tasks[[#This Row],[_LeafLateFinish]],WORKDAY.INTL(Tasks[[#This Row],[_LeafLateFinish]],-(Tasks[[#This Row],[Duration]]-1),WorkWeek,Holidays)))</f>
        <v/>
      </c>
      <c r="CG19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99" s="99" t="b">
        <f aca="false">AND(Tasks[[#This Row],[_IsLeaf]]=1,Tasks[[#This Row],[_LeafProgress]]&lt;1,N(Tasks[[#This Row],[_LeafTotalSlack]])&lt;=CriticalSlackDays)</f>
        <v>0</v>
      </c>
      <c r="CI199" s="100" t="str">
        <f aca="false">IF(Tasks[[#This Row],[Task Name]]="","",IF(Tasks[[#This Row],[_IsSummary]],MIN(INDEX(Tasks[_LeafCalcStart],Tasks[[#This Row],[_Row]]+1):INDEX(Tasks[_LeafCalcStart],Tasks[[#This Row],[_Row]]+Tasks[[#This Row],[_Descendants]])),Tasks[[#This Row],[_LeafCalcStart]]))</f>
        <v/>
      </c>
      <c r="CJ199" s="100" t="str">
        <f aca="false">IF(Tasks[[#This Row],[Task Name]]="","",IF(Tasks[[#This Row],[_IsSummary]],MAX(INDEX(Tasks[_LeafCalcFinish],Tasks[[#This Row],[_Row]]+1):INDEX(Tasks[_LeafCalcFinish],Tasks[[#This Row],[_Row]]+Tasks[[#This Row],[_Descendants]])),Tasks[[#This Row],[_LeafCalcFinish]]))</f>
        <v/>
      </c>
      <c r="CK19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9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99"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99"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99"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99"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99" s="41" t="n">
        <f aca="false">IF(AND(Tasks[[#This Row],[_IsLeaf]]=1,Tasks[[#This Row],[_LeafWork]]&gt;0),NETWORKDAYS.INTL(ProjectStart,Tasks[[#This Row],[_LeafFcstStart]],WorkWeek,Holidays),0)</f>
        <v>0</v>
      </c>
      <c r="CR199" s="41" t="n">
        <f aca="false">IF(AND(Tasks[[#This Row],[_IsLeaf]]=1,Tasks[[#This Row],[_LeafWork]]&gt;0),MAX(Tasks[[#This Row],[_StartWorkday]],NETWORKDAYS.INTL(ProjectStart,Tasks[[#This Row],[_LeafFcstFinish]],WorkWeek,Holidays)),0)</f>
        <v>0</v>
      </c>
      <c r="CS199" s="41" t="n">
        <f aca="false">IF(AND(Tasks[[#This Row],[_IsLeaf]]=1,Tasks[[#This Row],[_LeafWork]]&gt;0),Tasks[[#This Row],[_LeafWork]]/(Tasks[[#This Row],[_FinishWorkday]]-Tasks[[#This Row],[_StartWorkday]]+1),0)</f>
        <v>0</v>
      </c>
      <c r="CT199" s="41" t="n">
        <f aca="false">Tasks[[#This Row],[_WorkPerWorkday]]*(Tasks[[#This Row],[_StartWorkday]]-1)</f>
        <v>-0</v>
      </c>
      <c r="CU199" s="41" t="n">
        <f aca="false">IF(Tasks[[#This Row],[_IsLeaf]]=1,MAX(N(Tasks[[#This Row],[Duration]]),0.1),0)</f>
        <v>0</v>
      </c>
      <c r="CV199" s="41" t="n">
        <f aca="false">Tasks[[#This Row],[_WeightDur]]*Tasks[[#This Row],[_LeafProgress]]</f>
        <v>0</v>
      </c>
      <c r="CW19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9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9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9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99" s="41" t="str">
        <f aca="false">IF(Tasks[[#This Row],[Task Name]]="","",Tasks[[#This Row],[_Pred1UIDText]]&amp;IF(AND(Tasks[[#This Row],[_Pred1UIDText]]&lt;&gt;"",Tasks[[#This Row],[_Pred2UIDText]]&lt;&gt;""),",","")&amp;Tasks[[#This Row],[_Pred2UIDText]])</f>
        <v/>
      </c>
      <c r="DB199" s="41" t="str">
        <f aca="false">IF(AND(Tasks[[#This Row],[_IsLeaf]]=1,N(Tasks[[#This Row],[Duration]])=0,Tasks[[#This Row],[_LeafProgress]]&lt;1),Tasks[[#This Row],[_LeafFcstFinish]]+Tasks[[#This Row],[_Row]]/100000,"")</f>
        <v/>
      </c>
      <c r="DC19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99" s="41" t="n">
        <f aca="false">IF(NOT(Tasks[[#This Row],[_IsLeaf]]=1),0,IF(Tasks[[#This Row],[Baseline Cost]]="",Tasks[[#This Row],[_LeafCost]],N(Tasks[[#This Row],[Baseline Cost]])))</f>
        <v>0</v>
      </c>
      <c r="DE199" s="41" t="n">
        <f aca="false">Tasks[[#This Row],[_LeafBudget]]*Tasks[[#This Row],[_PlannedPct]]</f>
        <v>0</v>
      </c>
      <c r="DF199" s="41" t="n">
        <f aca="false">Tasks[[#This Row],[_LeafBudget]]*Tasks[[#This Row],[_LeafProgress]]</f>
        <v>0</v>
      </c>
      <c r="DG199" s="41" t="n">
        <f aca="false">IF(NOT(Tasks[[#This Row],[_IsLeaf]]=1),0,IF(Tasks[[#This Row],[Actual Cost]]="",Tasks[[#This Row],[_LeafCost]]*Tasks[[#This Row],[_LeafProgress]],N(Tasks[[#This Row],[Actual Cost]])))</f>
        <v>0</v>
      </c>
      <c r="DH199" s="41" t="str">
        <f aca="false">IF(Tasks[[#This Row],[Task Name]]="","",LEFT(Tasks[[#This Row],[WBS]],FIND(".",Tasks[[#This Row],[WBS]]&amp;".")-1))</f>
        <v/>
      </c>
      <c r="DI199" s="41" t="str">
        <f aca="false">IF(AND(Tasks[[#This Row],[Task Name]]&lt;&gt;"",Tasks[[#This Row],[_Level]]=1),Tasks[[#This Row],[_Row]],"")</f>
        <v/>
      </c>
      <c r="DJ199" s="41" t="str">
        <f aca="false">IF(AND(Tasks[[#This Row],[_IsLeaf]]=1,N(Tasks[[#This Row],[Duration]])=0),Tasks[[#This Row],[Planned Finish]]+Tasks[[#This Row],[_Row]]/100000,"")</f>
        <v/>
      </c>
      <c r="DK199" s="41" t="str">
        <f aca="false">IF(AND(Tasks[[#This Row],[_IsLeaf]]=1,Tasks[[#This Row],[_LeafProgress]]&lt;1,OR(N(Tasks[[#This Row],[Finish Var]])&gt;0,Tasks[[#This Row],[Status]]="Late Start")),MAX(0,Tasks[[#This Row],[Finish Var]])+1-Tasks[[#This Row],[_Row]]/1000000,"")</f>
        <v/>
      </c>
      <c r="DL199" s="41" t="str">
        <f aca="false">IF(AND(Tasks[[#This Row],[_IsLeaf]]=1,N(Tasks[[#This Row],[Actual Start]])=0,Tasks[[#This Row],[_LeafFcstStart]]&gt;=StatusDate,Tasks[[#This Row],[_LeafFcstStart]]&lt;=LookaheadEnd),Tasks[[#This Row],[_LeafFcstStart]]+Tasks[[#This Row],[_Row]]/100000,"")</f>
        <v/>
      </c>
      <c r="DM199" s="41" t="str">
        <f aca="false">IF(AND(Tasks[[#This Row],[_IsLeaf]]=1,Tasks[[#This Row],[_LeafProgress]]&lt;1,Tasks[[#This Row],[_LeafFcstFinish]]&gt;=StatusDate,Tasks[[#This Row],[_LeafFcstFinish]]&lt;=LookaheadEnd),Tasks[[#This Row],[_LeafFcstFinish]]+Tasks[[#This Row],[_Row]]/100000,"")</f>
        <v/>
      </c>
      <c r="DN199" s="41" t="str">
        <f aca="false">IF(Tasks[[#This Row],[_LeafCritical]],Tasks[[#This Row],[_LeafFcstStart]]+Tasks[[#This Row],[_Row]]/100000,"")</f>
        <v/>
      </c>
      <c r="DO199" s="41" t="n">
        <f aca="false">Tasks[[#This Row],[_LeafWork]]*Tasks[[#This Row],[_LeafProgress]]</f>
        <v>0</v>
      </c>
      <c r="DP199" s="100" t="str">
        <f aca="false">IF(AND(Tasks[[#This Row],[_IsLeaf]]=1,Tasks[[#This Row],[_LeafProgress]]&gt;=1),IF(N(Tasks[[#This Row],[Actual Finish]])&gt;0,Tasks[[#This Row],[Actual Finish]],Tasks[[#This Row],[_LeafFcstFinish]]),"")</f>
        <v/>
      </c>
      <c r="DQ199" s="41" t="n">
        <f aca="false">IF(Tasks[[#This Row],[_IsLeaf]]=1,N(Tasks[[#This Row],[Story Points]]),0)</f>
        <v>0</v>
      </c>
      <c r="DR199" s="41" t="str">
        <f aca="false">IF(AND(Tasks[[#This Row],[_IsLeaf]]=1,CurrentSprint&lt;&gt;"",Tasks[[#This Row],[Sprint]]=CurrentSprint),Tasks[[#This Row],[_Row]],"")</f>
        <v/>
      </c>
    </row>
    <row r="200" customFormat="false" ht="15" hidden="false" customHeight="false" outlineLevel="0" collapsed="false">
      <c r="A200" s="28" t="str">
        <f aca="false">IF(Tasks[[#This Row],[Task Name]]="","",COUNTA(Tasks[[#Headers],[Task Name]]:Tasks[[#This Row],[Task Name]])-1)</f>
        <v/>
      </c>
      <c r="B200" s="29" t="n">
        <v>195</v>
      </c>
      <c r="C20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0" s="29"/>
      <c r="E200" s="30"/>
      <c r="F200" s="29"/>
      <c r="G200" s="29"/>
      <c r="H200" s="29"/>
      <c r="I200" s="29"/>
      <c r="J200" s="29"/>
      <c r="K200" s="29"/>
      <c r="L200" s="29"/>
      <c r="M200" s="29"/>
      <c r="N200" s="73"/>
      <c r="O200" s="73"/>
      <c r="P200" s="25" t="str">
        <f aca="false">IF(Tasks[[#This Row],[Task Name]]="","",IF(N(Tasks[[#This Row],[Baseline Start]])&gt;0,Tasks[[#This Row],[Baseline Start]],Tasks[[#This Row],[_CalcStart]]))</f>
        <v/>
      </c>
      <c r="Q200" s="25" t="str">
        <f aca="false">IF(Tasks[[#This Row],[Task Name]]="","",IF(N(Tasks[[#This Row],[Baseline Finish]])&gt;0,Tasks[[#This Row],[Baseline Finish]],Tasks[[#This Row],[_CalcFinish]]))</f>
        <v/>
      </c>
      <c r="R200" s="73"/>
      <c r="S200" s="73"/>
      <c r="T200" s="25" t="str">
        <f aca="false">IF(Tasks[[#This Row],[Task Name]]="","",IF(Tasks[[#This Row],[_IsSummary]],MIN(INDEX(Tasks[_LeafFcstStart],Tasks[[#This Row],[_Row]]+1):INDEX(Tasks[_LeafFcstStart],Tasks[[#This Row],[_Row]]+Tasks[[#This Row],[_Descendants]])),Tasks[[#This Row],[_LeafFcstStart]]))</f>
        <v/>
      </c>
      <c r="U200" s="25" t="str">
        <f aca="false">IF(Tasks[[#This Row],[Task Name]]="","",IF(Tasks[[#This Row],[_IsSummary]],MAX(INDEX(Tasks[_LeafFcstFinish],Tasks[[#This Row],[_Row]]+1):INDEX(Tasks[_LeafFcstFinish],Tasks[[#This Row],[_Row]]+Tasks[[#This Row],[_Descendants]])),Tasks[[#This Row],[_LeafFcstFinish]]))</f>
        <v/>
      </c>
      <c r="V20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20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0" s="25" t="str">
        <f aca="false">IF(Tasks[[#This Row],[Task Name]]="","",IF(Tasks[[#This Row],[_IsSummary]],MIN(INDEX(Tasks[_LeafLateStart],Tasks[[#This Row],[_Row]]+1):INDEX(Tasks[_LeafLateStart],Tasks[[#This Row],[_Row]]+Tasks[[#This Row],[_Descendants]])),Tasks[[#This Row],[_LeafLateStart]]))</f>
        <v/>
      </c>
      <c r="Y200" s="25" t="str">
        <f aca="false">IF(Tasks[[#This Row],[Task Name]]="","",IF(Tasks[[#This Row],[_IsSummary]],MAX(INDEX(Tasks[_LeafLateFinish],Tasks[[#This Row],[_Row]]+1):INDEX(Tasks[_LeafLateFinish],Tasks[[#This Row],[_Row]]+Tasks[[#This Row],[_Descendants]])),Tasks[[#This Row],[_LeafLateFinish]]))</f>
        <v/>
      </c>
      <c r="Z200" s="43" t="str">
        <f aca="false">IF(Tasks[[#This Row],[Task Name]]="","",IF(Tasks[[#This Row],[_IsSummary]],MIN(INDEX(Tasks[_LeafTotalSlack],Tasks[[#This Row],[_Row]]+1):INDEX(Tasks[_LeafTotalSlack],Tasks[[#This Row],[_Row]]+Tasks[[#This Row],[_Descendants]])),Tasks[[#This Row],[_LeafTotalSlack]]))</f>
        <v/>
      </c>
      <c r="AA20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0" s="28" t="str">
        <f aca="false">IF(Tasks[[#This Row],[Task Name]]="","",IF(IF(Tasks[[#This Row],[_IsSummary]],COUNTIF(INDEX(Tasks[_LeafCritical],Tasks[[#This Row],[_Row]]+1):INDEX(Tasks[_LeafCritical],Tasks[[#This Row],[_Row]]+Tasks[[#This Row],[_Descendants]]),TRUE())&gt;0,Tasks[[#This Row],[_LeafCritical]]),"Yes",""))</f>
        <v/>
      </c>
      <c r="AC20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0" s="24" t="str">
        <f aca="false">IF(Tasks[[#This Row],[Task Name]]="","",TRIM(IF(Tasks[[#This Row],[_Pred1Problem]]&lt;&gt;"","Pred 1: "&amp;Tasks[[#This Row],[_Pred1Problem]]&amp;". ","")&amp;IF(Tasks[[#This Row],[_Pred2Problem]]&lt;&gt;"","Pred 2: "&amp;Tasks[[#This Row],[_Pred2Problem]]&amp;".","")))</f>
        <v/>
      </c>
      <c r="AE200" s="88"/>
      <c r="AF200"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0" s="28" t="str">
        <f aca="false">IF(Tasks[[#This Row],[Task Name]]="","",IF(Tasks[[#This Row],[Progress]]&gt;=1,"Complete",IF(OR(N(Tasks[[#This Row],[Actual Start]])&gt;0,Tasks[[#This Row],[Progress]]&gt;0),IF(Tasks[[#This Row],[Finish Var]]&gt;0,"Behind","In Progress"),IF(Tasks[[#This Row],[Planned Start]]&lt;StatusDate,"Late Start","Not Started"))))</f>
        <v/>
      </c>
      <c r="AH200" s="30"/>
      <c r="AI200" s="88"/>
      <c r="AJ200" s="95" t="str">
        <f aca="false">IF(Tasks[[#This Row],[Task Name]]="","",IF(Tasks[[#This Row],[_IsSummary]],SUM(INDEX(Tasks[_LeafWork],Tasks[[#This Row],[_Row]]+1):INDEX(Tasks[_LeafWork],Tasks[[#This Row],[_Row]]+Tasks[[#This Row],[_Descendants]])),Tasks[[#This Row],[_LeafWork]]))</f>
        <v/>
      </c>
      <c r="AK200" s="96" t="str">
        <f aca="false">IF(Tasks[[#This Row],[Task Name]]="","",IF(Tasks[[#This Row],[_IsSummary]],SUM(INDEX(Tasks[_LeafCost],Tasks[[#This Row],[_Row]]+1):INDEX(Tasks[_LeafCost],Tasks[[#This Row],[_Row]]+Tasks[[#This Row],[_Descendants]])),Tasks[[#This Row],[_LeafCost]]))</f>
        <v/>
      </c>
      <c r="AL200" s="97"/>
      <c r="AM200" s="29"/>
      <c r="AN20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00" s="82"/>
      <c r="AP200" s="24" t="str">
        <f aca="false">IF(Tasks[[#This Row],[Task Name]]="","",Tasks[[#This Row],[_Pred1IDText]]&amp;IF(AND(Tasks[[#This Row],[_Pred1IDText]]&lt;&gt;"",Tasks[[#This Row],[_Pred2IDText]]&lt;&gt;""),",","")&amp;Tasks[[#This Row],[_Pred2IDText]])</f>
        <v/>
      </c>
      <c r="AQ200" s="30"/>
      <c r="AR200" s="25" t="str">
        <f aca="false">IF(Tasks[[#This Row],[Task Name]]="","",Tasks[[#This Row],[Forecast Start]])</f>
        <v/>
      </c>
      <c r="AS200" s="25" t="str">
        <f aca="false">IF(Tasks[[#This Row],[Task Name]]="","",Tasks[[#This Row],[Forecast Finish]])</f>
        <v/>
      </c>
      <c r="AT200" s="28" t="str">
        <f aca="false">IF(Tasks[[#This Row],[Task Name]]="","",IF(Tasks[[#This Row],[_IsSummary]],NETWORKDAYS.INTL(Tasks[[#This Row],[Forecast Start]],Tasks[[#This Row],[Forecast Finish]],WorkWeek,Holidays),N(Tasks[[#This Row],[Duration]])))</f>
        <v/>
      </c>
      <c r="AU200" s="95" t="str">
        <f aca="false">IF(Tasks[[#This Row],[Task Name]]="","",Tasks[[#This Row],[Work]])</f>
        <v/>
      </c>
      <c r="AV200" s="96" t="str">
        <f aca="false">IF(Tasks[[#This Row],[Task Name]]="","",Tasks[[#This Row],[Cost]])</f>
        <v/>
      </c>
      <c r="AW200" s="73"/>
      <c r="AX200" s="73"/>
      <c r="AY200" s="29"/>
      <c r="AZ200" s="98"/>
      <c r="BA200" s="97"/>
      <c r="BB200" s="28" t="str">
        <f aca="false">IF(OR(Tasks[[#This Row],[Task Name]]="",Tasks[[#This Row],[Baseline Duration]]=""),"",Tasks[[#This Row],[BL Source Duration]]-N(Tasks[[#This Row],[Baseline Duration]]))</f>
        <v/>
      </c>
      <c r="BC200" s="95" t="str">
        <f aca="false">IF(OR(Tasks[[#This Row],[Task Name]]="",Tasks[[#This Row],[Baseline Work]]=""),"",Tasks[[#This Row],[Work]]-N(Tasks[[#This Row],[Baseline Work]]))</f>
        <v/>
      </c>
      <c r="BD200" s="96" t="str">
        <f aca="false">IF(OR(Tasks[[#This Row],[Task Name]]="",Tasks[[#This Row],[Baseline Cost]]=""),"",Tasks[[#This Row],[Cost]]-N(Tasks[[#This Row],[Baseline Cost]]))</f>
        <v/>
      </c>
      <c r="BE200" s="96" t="str">
        <f aca="false">IF(Tasks[[#This Row],[Task Name]]="","",IF(Tasks[[#This Row],[_IsSummary]],SUM(INDEX(Tasks[_LeafBudget],Tasks[[#This Row],[_Row]]+1):INDEX(Tasks[_LeafBudget],Tasks[[#This Row],[_Row]]+Tasks[[#This Row],[_Descendants]])),Tasks[[#This Row],[_LeafBudget]]))</f>
        <v/>
      </c>
      <c r="BF200" s="96" t="str">
        <f aca="false">IF(Tasks[[#This Row],[Task Name]]="","",IF(Tasks[[#This Row],[_IsSummary]],SUM(INDEX(Tasks[_LeafPV],Tasks[[#This Row],[_Row]]+1):INDEX(Tasks[_LeafPV],Tasks[[#This Row],[_Row]]+Tasks[[#This Row],[_Descendants]])),Tasks[[#This Row],[_LeafPV]]))</f>
        <v/>
      </c>
      <c r="BG200" s="96" t="str">
        <f aca="false">IF(Tasks[[#This Row],[Task Name]]="","",IF(Tasks[[#This Row],[_IsSummary]],SUM(INDEX(Tasks[_LeafEV],Tasks[[#This Row],[_Row]]+1):INDEX(Tasks[_LeafEV],Tasks[[#This Row],[_Row]]+Tasks[[#This Row],[_Descendants]])),Tasks[[#This Row],[_LeafEV]]))</f>
        <v/>
      </c>
      <c r="BH200" s="96" t="str">
        <f aca="false">IF(Tasks[[#This Row],[Task Name]]="","",IF(Tasks[[#This Row],[_IsSummary]],SUM(INDEX(Tasks[_LeafAC],Tasks[[#This Row],[_Row]]+1):INDEX(Tasks[_LeafAC],Tasks[[#This Row],[_Row]]+Tasks[[#This Row],[_Descendants]])),Tasks[[#This Row],[_LeafAC]]))</f>
        <v/>
      </c>
      <c r="BI200" s="41" t="str">
        <f aca="false">IF(Tasks[[#This Row],[Task Name]]="","",MAX(1,N(Tasks[[#This Row],[Level]])))</f>
        <v/>
      </c>
      <c r="BJ200" s="41" t="n">
        <f aca="false">ROW()-ROW(Tasks[[#Headers],[ID]])</f>
        <v>195</v>
      </c>
      <c r="BK200" s="41" t="n">
        <f aca="false">IF(OR(Tasks[[#This Row],[Task Name]]="",Tasks[[#This Row],[_Level]]&lt;=1),0,IFERROR(LOOKUP(2,1/(Tasks[[#Headers],[_Level]]:Tasks[[#This Row],[_Level]]=Tasks[[#This Row],[_Level]]-1),ROW(Tasks[[#Headers],[_Level]]:Tasks[[#This Row],[_Level]])),0))</f>
        <v>0</v>
      </c>
      <c r="BL200" s="41" t="n">
        <f aca="false">IFERROR(N(INDEX(Tasks[_Level],Tasks[[#This Row],[_Row]]+1)),0)</f>
        <v>0</v>
      </c>
      <c r="BM200" s="99" t="b">
        <f aca="false">AND(Tasks[[#This Row],[Task Name]]&lt;&gt;"",Tasks[[#This Row],[_NextLevel]]&gt;Tasks[[#This Row],[_Level]])</f>
        <v>0</v>
      </c>
      <c r="BN200" s="41" t="n">
        <f aca="false">IF(Tasks[[#This Row],[_IsSummary]],COUNTIF(Tasks[WBS],Tasks[[#This Row],[WBS]]&amp;".*"),0)</f>
        <v>0</v>
      </c>
      <c r="BO200" s="41" t="n">
        <f aca="false">IF(AND(Tasks[[#This Row],[Task Name]]&lt;&gt;"",NOT(Tasks[[#This Row],[_IsSummary]])),1,0)</f>
        <v>0</v>
      </c>
      <c r="BP200" s="41" t="n">
        <f aca="false">IF(N(Tasks[[#This Row],[Pred1 UID]])=0,0,IFERROR(MATCH(Tasks[[#This Row],[Pred1 UID]],Tasks[UID],0),-1))</f>
        <v>0</v>
      </c>
      <c r="BQ200" s="41" t="n">
        <f aca="false">IF(N(Tasks[[#This Row],[Pred2 UID]])=0,0,IFERROR(MATCH(Tasks[[#This Row],[Pred2 UID]],Tasks[UID],0),-1))</f>
        <v>0</v>
      </c>
      <c r="BR200"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00" s="100" t="str">
        <f aca="false">IF(NOT(Tasks[[#This Row],[_IsLeaf]]=1),"",IF(N(Tasks[[#This Row],[Duration]])&lt;=0,Tasks[[#This Row],[_LeafCalcStart]],WORKDAY.INTL(Tasks[[#This Row],[_LeafCalcStart]],Tasks[[#This Row],[Duration]]-1,WorkWeek,Holidays)))</f>
        <v/>
      </c>
      <c r="BT200"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00"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00" s="41" t="n">
        <f aca="false">IF(NOT(Tasks[[#This Row],[_IsLeaf]]=1),0,IF(N(Tasks[[#This Row],[Actual Finish]])&gt;0,1,MIN(1,N(Tasks[[#This Row],[% Complete]]))))</f>
        <v>0</v>
      </c>
      <c r="BW200" s="41" t="n">
        <f aca="false">IF(OR(NOT(Tasks[[#This Row],[_IsLeaf]]=1),Tasks[[#This Row],[Resource]]=""),0,N(Tasks[[#This Row],[Duration]])*HoursPerDay*IF(Tasks[[#This Row],[Units]]="",DefaultUnits,Tasks[[#This Row],[Units]]))</f>
        <v>0</v>
      </c>
      <c r="BX200" s="41" t="n">
        <f aca="false">IF(Tasks[[#This Row],[_LeafWork]]=0,0,Tasks[[#This Row],[_LeafWork]]*IFERROR(INDEX(res_Rate,MATCH(Tasks[[#This Row],[Resource]],res_Name,0)),0))</f>
        <v>0</v>
      </c>
      <c r="BY20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0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0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0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00" s="41" t="n">
        <f aca="false">IF(NOT(Tasks[[#This Row],[_IsLeaf]]=1),0,MAX(_xlfn.MAXIFS(Tasks[_Row],Tasks[Pred1 UID],Tasks[[#This Row],[UID]]),_xlfn.MAXIFS(Tasks[_Row],Tasks[Pred2 UID],Tasks[[#This Row],[UID]])))</f>
        <v>0</v>
      </c>
      <c r="CD200"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00" s="100" t="str">
        <f aca="false">IF(NOT(Tasks[[#This Row],[_IsLeaf]]=1),"",MIN(ProjectFinish,IF(N(Tasks[[#This Row],[Deadline]])&gt;0,Tasks[[#This Row],[Deadline]],2958465),Tasks[[#This Row],[_SuccessorFinishLimit]]))</f>
        <v/>
      </c>
      <c r="CF200" s="100" t="str">
        <f aca="false">IF(NOT(Tasks[[#This Row],[_IsLeaf]]=1),"",IF(N(Tasks[[#This Row],[Duration]])&lt;=0,Tasks[[#This Row],[_LeafLateFinish]],WORKDAY.INTL(Tasks[[#This Row],[_LeafLateFinish]],-(Tasks[[#This Row],[Duration]]-1),WorkWeek,Holidays)))</f>
        <v/>
      </c>
      <c r="CG20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00" s="99" t="b">
        <f aca="false">AND(Tasks[[#This Row],[_IsLeaf]]=1,Tasks[[#This Row],[_LeafProgress]]&lt;1,N(Tasks[[#This Row],[_LeafTotalSlack]])&lt;=CriticalSlackDays)</f>
        <v>0</v>
      </c>
      <c r="CI200" s="100" t="str">
        <f aca="false">IF(Tasks[[#This Row],[Task Name]]="","",IF(Tasks[[#This Row],[_IsSummary]],MIN(INDEX(Tasks[_LeafCalcStart],Tasks[[#This Row],[_Row]]+1):INDEX(Tasks[_LeafCalcStart],Tasks[[#This Row],[_Row]]+Tasks[[#This Row],[_Descendants]])),Tasks[[#This Row],[_LeafCalcStart]]))</f>
        <v/>
      </c>
      <c r="CJ200" s="100" t="str">
        <f aca="false">IF(Tasks[[#This Row],[Task Name]]="","",IF(Tasks[[#This Row],[_IsSummary]],MAX(INDEX(Tasks[_LeafCalcFinish],Tasks[[#This Row],[_Row]]+1):INDEX(Tasks[_LeafCalcFinish],Tasks[[#This Row],[_Row]]+Tasks[[#This Row],[_Descendants]])),Tasks[[#This Row],[_LeafCalcFinish]]))</f>
        <v/>
      </c>
      <c r="CK20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0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00"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00"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00"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00"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00" s="41" t="n">
        <f aca="false">IF(AND(Tasks[[#This Row],[_IsLeaf]]=1,Tasks[[#This Row],[_LeafWork]]&gt;0),NETWORKDAYS.INTL(ProjectStart,Tasks[[#This Row],[_LeafFcstStart]],WorkWeek,Holidays),0)</f>
        <v>0</v>
      </c>
      <c r="CR200" s="41" t="n">
        <f aca="false">IF(AND(Tasks[[#This Row],[_IsLeaf]]=1,Tasks[[#This Row],[_LeafWork]]&gt;0),MAX(Tasks[[#This Row],[_StartWorkday]],NETWORKDAYS.INTL(ProjectStart,Tasks[[#This Row],[_LeafFcstFinish]],WorkWeek,Holidays)),0)</f>
        <v>0</v>
      </c>
      <c r="CS200" s="41" t="n">
        <f aca="false">IF(AND(Tasks[[#This Row],[_IsLeaf]]=1,Tasks[[#This Row],[_LeafWork]]&gt;0),Tasks[[#This Row],[_LeafWork]]/(Tasks[[#This Row],[_FinishWorkday]]-Tasks[[#This Row],[_StartWorkday]]+1),0)</f>
        <v>0</v>
      </c>
      <c r="CT200" s="41" t="n">
        <f aca="false">Tasks[[#This Row],[_WorkPerWorkday]]*(Tasks[[#This Row],[_StartWorkday]]-1)</f>
        <v>-0</v>
      </c>
      <c r="CU200" s="41" t="n">
        <f aca="false">IF(Tasks[[#This Row],[_IsLeaf]]=1,MAX(N(Tasks[[#This Row],[Duration]]),0.1),0)</f>
        <v>0</v>
      </c>
      <c r="CV200" s="41" t="n">
        <f aca="false">Tasks[[#This Row],[_WeightDur]]*Tasks[[#This Row],[_LeafProgress]]</f>
        <v>0</v>
      </c>
      <c r="CW20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0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0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0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00" s="41" t="str">
        <f aca="false">IF(Tasks[[#This Row],[Task Name]]="","",Tasks[[#This Row],[_Pred1UIDText]]&amp;IF(AND(Tasks[[#This Row],[_Pred1UIDText]]&lt;&gt;"",Tasks[[#This Row],[_Pred2UIDText]]&lt;&gt;""),",","")&amp;Tasks[[#This Row],[_Pred2UIDText]])</f>
        <v/>
      </c>
      <c r="DB200" s="41" t="str">
        <f aca="false">IF(AND(Tasks[[#This Row],[_IsLeaf]]=1,N(Tasks[[#This Row],[Duration]])=0,Tasks[[#This Row],[_LeafProgress]]&lt;1),Tasks[[#This Row],[_LeafFcstFinish]]+Tasks[[#This Row],[_Row]]/100000,"")</f>
        <v/>
      </c>
      <c r="DC20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00" s="41" t="n">
        <f aca="false">IF(NOT(Tasks[[#This Row],[_IsLeaf]]=1),0,IF(Tasks[[#This Row],[Baseline Cost]]="",Tasks[[#This Row],[_LeafCost]],N(Tasks[[#This Row],[Baseline Cost]])))</f>
        <v>0</v>
      </c>
      <c r="DE200" s="41" t="n">
        <f aca="false">Tasks[[#This Row],[_LeafBudget]]*Tasks[[#This Row],[_PlannedPct]]</f>
        <v>0</v>
      </c>
      <c r="DF200" s="41" t="n">
        <f aca="false">Tasks[[#This Row],[_LeafBudget]]*Tasks[[#This Row],[_LeafProgress]]</f>
        <v>0</v>
      </c>
      <c r="DG200" s="41" t="n">
        <f aca="false">IF(NOT(Tasks[[#This Row],[_IsLeaf]]=1),0,IF(Tasks[[#This Row],[Actual Cost]]="",Tasks[[#This Row],[_LeafCost]]*Tasks[[#This Row],[_LeafProgress]],N(Tasks[[#This Row],[Actual Cost]])))</f>
        <v>0</v>
      </c>
      <c r="DH200" s="41" t="str">
        <f aca="false">IF(Tasks[[#This Row],[Task Name]]="","",LEFT(Tasks[[#This Row],[WBS]],FIND(".",Tasks[[#This Row],[WBS]]&amp;".")-1))</f>
        <v/>
      </c>
      <c r="DI200" s="41" t="str">
        <f aca="false">IF(AND(Tasks[[#This Row],[Task Name]]&lt;&gt;"",Tasks[[#This Row],[_Level]]=1),Tasks[[#This Row],[_Row]],"")</f>
        <v/>
      </c>
      <c r="DJ200" s="41" t="str">
        <f aca="false">IF(AND(Tasks[[#This Row],[_IsLeaf]]=1,N(Tasks[[#This Row],[Duration]])=0),Tasks[[#This Row],[Planned Finish]]+Tasks[[#This Row],[_Row]]/100000,"")</f>
        <v/>
      </c>
      <c r="DK200" s="41" t="str">
        <f aca="false">IF(AND(Tasks[[#This Row],[_IsLeaf]]=1,Tasks[[#This Row],[_LeafProgress]]&lt;1,OR(N(Tasks[[#This Row],[Finish Var]])&gt;0,Tasks[[#This Row],[Status]]="Late Start")),MAX(0,Tasks[[#This Row],[Finish Var]])+1-Tasks[[#This Row],[_Row]]/1000000,"")</f>
        <v/>
      </c>
      <c r="DL200" s="41" t="str">
        <f aca="false">IF(AND(Tasks[[#This Row],[_IsLeaf]]=1,N(Tasks[[#This Row],[Actual Start]])=0,Tasks[[#This Row],[_LeafFcstStart]]&gt;=StatusDate,Tasks[[#This Row],[_LeafFcstStart]]&lt;=LookaheadEnd),Tasks[[#This Row],[_LeafFcstStart]]+Tasks[[#This Row],[_Row]]/100000,"")</f>
        <v/>
      </c>
      <c r="DM200" s="41" t="str">
        <f aca="false">IF(AND(Tasks[[#This Row],[_IsLeaf]]=1,Tasks[[#This Row],[_LeafProgress]]&lt;1,Tasks[[#This Row],[_LeafFcstFinish]]&gt;=StatusDate,Tasks[[#This Row],[_LeafFcstFinish]]&lt;=LookaheadEnd),Tasks[[#This Row],[_LeafFcstFinish]]+Tasks[[#This Row],[_Row]]/100000,"")</f>
        <v/>
      </c>
      <c r="DN200" s="41" t="str">
        <f aca="false">IF(Tasks[[#This Row],[_LeafCritical]],Tasks[[#This Row],[_LeafFcstStart]]+Tasks[[#This Row],[_Row]]/100000,"")</f>
        <v/>
      </c>
      <c r="DO200" s="41" t="n">
        <f aca="false">Tasks[[#This Row],[_LeafWork]]*Tasks[[#This Row],[_LeafProgress]]</f>
        <v>0</v>
      </c>
      <c r="DP200" s="100" t="str">
        <f aca="false">IF(AND(Tasks[[#This Row],[_IsLeaf]]=1,Tasks[[#This Row],[_LeafProgress]]&gt;=1),IF(N(Tasks[[#This Row],[Actual Finish]])&gt;0,Tasks[[#This Row],[Actual Finish]],Tasks[[#This Row],[_LeafFcstFinish]]),"")</f>
        <v/>
      </c>
      <c r="DQ200" s="41" t="n">
        <f aca="false">IF(Tasks[[#This Row],[_IsLeaf]]=1,N(Tasks[[#This Row],[Story Points]]),0)</f>
        <v>0</v>
      </c>
      <c r="DR200" s="41" t="str">
        <f aca="false">IF(AND(Tasks[[#This Row],[_IsLeaf]]=1,CurrentSprint&lt;&gt;"",Tasks[[#This Row],[Sprint]]=CurrentSprint),Tasks[[#This Row],[_Row]],"")</f>
        <v/>
      </c>
    </row>
    <row r="201" customFormat="false" ht="15" hidden="false" customHeight="false" outlineLevel="0" collapsed="false">
      <c r="A201" s="28" t="str">
        <f aca="false">IF(Tasks[[#This Row],[Task Name]]="","",COUNTA(Tasks[[#Headers],[Task Name]]:Tasks[[#This Row],[Task Name]])-1)</f>
        <v/>
      </c>
      <c r="B201" s="29" t="n">
        <v>196</v>
      </c>
      <c r="C20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1" s="29"/>
      <c r="E201" s="30"/>
      <c r="F201" s="29"/>
      <c r="G201" s="29"/>
      <c r="H201" s="29"/>
      <c r="I201" s="29"/>
      <c r="J201" s="29"/>
      <c r="K201" s="29"/>
      <c r="L201" s="29"/>
      <c r="M201" s="29"/>
      <c r="N201" s="73"/>
      <c r="O201" s="73"/>
      <c r="P201" s="25" t="str">
        <f aca="false">IF(Tasks[[#This Row],[Task Name]]="","",IF(N(Tasks[[#This Row],[Baseline Start]])&gt;0,Tasks[[#This Row],[Baseline Start]],Tasks[[#This Row],[_CalcStart]]))</f>
        <v/>
      </c>
      <c r="Q201" s="25" t="str">
        <f aca="false">IF(Tasks[[#This Row],[Task Name]]="","",IF(N(Tasks[[#This Row],[Baseline Finish]])&gt;0,Tasks[[#This Row],[Baseline Finish]],Tasks[[#This Row],[_CalcFinish]]))</f>
        <v/>
      </c>
      <c r="R201" s="73"/>
      <c r="S201" s="73"/>
      <c r="T201" s="25" t="str">
        <f aca="false">IF(Tasks[[#This Row],[Task Name]]="","",IF(Tasks[[#This Row],[_IsSummary]],MIN(INDEX(Tasks[_LeafFcstStart],Tasks[[#This Row],[_Row]]+1):INDEX(Tasks[_LeafFcstStart],Tasks[[#This Row],[_Row]]+Tasks[[#This Row],[_Descendants]])),Tasks[[#This Row],[_LeafFcstStart]]))</f>
        <v/>
      </c>
      <c r="U201" s="25" t="str">
        <f aca="false">IF(Tasks[[#This Row],[Task Name]]="","",IF(Tasks[[#This Row],[_IsSummary]],MAX(INDEX(Tasks[_LeafFcstFinish],Tasks[[#This Row],[_Row]]+1):INDEX(Tasks[_LeafFcstFinish],Tasks[[#This Row],[_Row]]+Tasks[[#This Row],[_Descendants]])),Tasks[[#This Row],[_LeafFcstFinish]]))</f>
        <v/>
      </c>
      <c r="V20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20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1" s="25" t="str">
        <f aca="false">IF(Tasks[[#This Row],[Task Name]]="","",IF(Tasks[[#This Row],[_IsSummary]],MIN(INDEX(Tasks[_LeafLateStart],Tasks[[#This Row],[_Row]]+1):INDEX(Tasks[_LeafLateStart],Tasks[[#This Row],[_Row]]+Tasks[[#This Row],[_Descendants]])),Tasks[[#This Row],[_LeafLateStart]]))</f>
        <v/>
      </c>
      <c r="Y201" s="25" t="str">
        <f aca="false">IF(Tasks[[#This Row],[Task Name]]="","",IF(Tasks[[#This Row],[_IsSummary]],MAX(INDEX(Tasks[_LeafLateFinish],Tasks[[#This Row],[_Row]]+1):INDEX(Tasks[_LeafLateFinish],Tasks[[#This Row],[_Row]]+Tasks[[#This Row],[_Descendants]])),Tasks[[#This Row],[_LeafLateFinish]]))</f>
        <v/>
      </c>
      <c r="Z201" s="43" t="str">
        <f aca="false">IF(Tasks[[#This Row],[Task Name]]="","",IF(Tasks[[#This Row],[_IsSummary]],MIN(INDEX(Tasks[_LeafTotalSlack],Tasks[[#This Row],[_Row]]+1):INDEX(Tasks[_LeafTotalSlack],Tasks[[#This Row],[_Row]]+Tasks[[#This Row],[_Descendants]])),Tasks[[#This Row],[_LeafTotalSlack]]))</f>
        <v/>
      </c>
      <c r="AA20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1" s="28" t="str">
        <f aca="false">IF(Tasks[[#This Row],[Task Name]]="","",IF(IF(Tasks[[#This Row],[_IsSummary]],COUNTIF(INDEX(Tasks[_LeafCritical],Tasks[[#This Row],[_Row]]+1):INDEX(Tasks[_LeafCritical],Tasks[[#This Row],[_Row]]+Tasks[[#This Row],[_Descendants]]),TRUE())&gt;0,Tasks[[#This Row],[_LeafCritical]]),"Yes",""))</f>
        <v/>
      </c>
      <c r="AC20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1" s="24" t="str">
        <f aca="false">IF(Tasks[[#This Row],[Task Name]]="","",TRIM(IF(Tasks[[#This Row],[_Pred1Problem]]&lt;&gt;"","Pred 1: "&amp;Tasks[[#This Row],[_Pred1Problem]]&amp;". ","")&amp;IF(Tasks[[#This Row],[_Pred2Problem]]&lt;&gt;"","Pred 2: "&amp;Tasks[[#This Row],[_Pred2Problem]]&amp;".","")))</f>
        <v/>
      </c>
      <c r="AE201" s="88"/>
      <c r="AF201"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1" s="28" t="str">
        <f aca="false">IF(Tasks[[#This Row],[Task Name]]="","",IF(Tasks[[#This Row],[Progress]]&gt;=1,"Complete",IF(OR(N(Tasks[[#This Row],[Actual Start]])&gt;0,Tasks[[#This Row],[Progress]]&gt;0),IF(Tasks[[#This Row],[Finish Var]]&gt;0,"Behind","In Progress"),IF(Tasks[[#This Row],[Planned Start]]&lt;StatusDate,"Late Start","Not Started"))))</f>
        <v/>
      </c>
      <c r="AH201" s="30"/>
      <c r="AI201" s="88"/>
      <c r="AJ201" s="95" t="str">
        <f aca="false">IF(Tasks[[#This Row],[Task Name]]="","",IF(Tasks[[#This Row],[_IsSummary]],SUM(INDEX(Tasks[_LeafWork],Tasks[[#This Row],[_Row]]+1):INDEX(Tasks[_LeafWork],Tasks[[#This Row],[_Row]]+Tasks[[#This Row],[_Descendants]])),Tasks[[#This Row],[_LeafWork]]))</f>
        <v/>
      </c>
      <c r="AK201" s="96" t="str">
        <f aca="false">IF(Tasks[[#This Row],[Task Name]]="","",IF(Tasks[[#This Row],[_IsSummary]],SUM(INDEX(Tasks[_LeafCost],Tasks[[#This Row],[_Row]]+1):INDEX(Tasks[_LeafCost],Tasks[[#This Row],[_Row]]+Tasks[[#This Row],[_Descendants]])),Tasks[[#This Row],[_LeafCost]]))</f>
        <v/>
      </c>
      <c r="AL201" s="97"/>
      <c r="AM201" s="29"/>
      <c r="AN20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01" s="82"/>
      <c r="AP201" s="24" t="str">
        <f aca="false">IF(Tasks[[#This Row],[Task Name]]="","",Tasks[[#This Row],[_Pred1IDText]]&amp;IF(AND(Tasks[[#This Row],[_Pred1IDText]]&lt;&gt;"",Tasks[[#This Row],[_Pred2IDText]]&lt;&gt;""),",","")&amp;Tasks[[#This Row],[_Pred2IDText]])</f>
        <v/>
      </c>
      <c r="AQ201" s="30"/>
      <c r="AR201" s="25" t="str">
        <f aca="false">IF(Tasks[[#This Row],[Task Name]]="","",Tasks[[#This Row],[Forecast Start]])</f>
        <v/>
      </c>
      <c r="AS201" s="25" t="str">
        <f aca="false">IF(Tasks[[#This Row],[Task Name]]="","",Tasks[[#This Row],[Forecast Finish]])</f>
        <v/>
      </c>
      <c r="AT201" s="28" t="str">
        <f aca="false">IF(Tasks[[#This Row],[Task Name]]="","",IF(Tasks[[#This Row],[_IsSummary]],NETWORKDAYS.INTL(Tasks[[#This Row],[Forecast Start]],Tasks[[#This Row],[Forecast Finish]],WorkWeek,Holidays),N(Tasks[[#This Row],[Duration]])))</f>
        <v/>
      </c>
      <c r="AU201" s="95" t="str">
        <f aca="false">IF(Tasks[[#This Row],[Task Name]]="","",Tasks[[#This Row],[Work]])</f>
        <v/>
      </c>
      <c r="AV201" s="96" t="str">
        <f aca="false">IF(Tasks[[#This Row],[Task Name]]="","",Tasks[[#This Row],[Cost]])</f>
        <v/>
      </c>
      <c r="AW201" s="73"/>
      <c r="AX201" s="73"/>
      <c r="AY201" s="29"/>
      <c r="AZ201" s="98"/>
      <c r="BA201" s="97"/>
      <c r="BB201" s="28" t="str">
        <f aca="false">IF(OR(Tasks[[#This Row],[Task Name]]="",Tasks[[#This Row],[Baseline Duration]]=""),"",Tasks[[#This Row],[BL Source Duration]]-N(Tasks[[#This Row],[Baseline Duration]]))</f>
        <v/>
      </c>
      <c r="BC201" s="95" t="str">
        <f aca="false">IF(OR(Tasks[[#This Row],[Task Name]]="",Tasks[[#This Row],[Baseline Work]]=""),"",Tasks[[#This Row],[Work]]-N(Tasks[[#This Row],[Baseline Work]]))</f>
        <v/>
      </c>
      <c r="BD201" s="96" t="str">
        <f aca="false">IF(OR(Tasks[[#This Row],[Task Name]]="",Tasks[[#This Row],[Baseline Cost]]=""),"",Tasks[[#This Row],[Cost]]-N(Tasks[[#This Row],[Baseline Cost]]))</f>
        <v/>
      </c>
      <c r="BE201" s="96" t="str">
        <f aca="false">IF(Tasks[[#This Row],[Task Name]]="","",IF(Tasks[[#This Row],[_IsSummary]],SUM(INDEX(Tasks[_LeafBudget],Tasks[[#This Row],[_Row]]+1):INDEX(Tasks[_LeafBudget],Tasks[[#This Row],[_Row]]+Tasks[[#This Row],[_Descendants]])),Tasks[[#This Row],[_LeafBudget]]))</f>
        <v/>
      </c>
      <c r="BF201" s="96" t="str">
        <f aca="false">IF(Tasks[[#This Row],[Task Name]]="","",IF(Tasks[[#This Row],[_IsSummary]],SUM(INDEX(Tasks[_LeafPV],Tasks[[#This Row],[_Row]]+1):INDEX(Tasks[_LeafPV],Tasks[[#This Row],[_Row]]+Tasks[[#This Row],[_Descendants]])),Tasks[[#This Row],[_LeafPV]]))</f>
        <v/>
      </c>
      <c r="BG201" s="96" t="str">
        <f aca="false">IF(Tasks[[#This Row],[Task Name]]="","",IF(Tasks[[#This Row],[_IsSummary]],SUM(INDEX(Tasks[_LeafEV],Tasks[[#This Row],[_Row]]+1):INDEX(Tasks[_LeafEV],Tasks[[#This Row],[_Row]]+Tasks[[#This Row],[_Descendants]])),Tasks[[#This Row],[_LeafEV]]))</f>
        <v/>
      </c>
      <c r="BH201" s="96" t="str">
        <f aca="false">IF(Tasks[[#This Row],[Task Name]]="","",IF(Tasks[[#This Row],[_IsSummary]],SUM(INDEX(Tasks[_LeafAC],Tasks[[#This Row],[_Row]]+1):INDEX(Tasks[_LeafAC],Tasks[[#This Row],[_Row]]+Tasks[[#This Row],[_Descendants]])),Tasks[[#This Row],[_LeafAC]]))</f>
        <v/>
      </c>
      <c r="BI201" s="41" t="str">
        <f aca="false">IF(Tasks[[#This Row],[Task Name]]="","",MAX(1,N(Tasks[[#This Row],[Level]])))</f>
        <v/>
      </c>
      <c r="BJ201" s="41" t="n">
        <f aca="false">ROW()-ROW(Tasks[[#Headers],[ID]])</f>
        <v>196</v>
      </c>
      <c r="BK201" s="41" t="n">
        <f aca="false">IF(OR(Tasks[[#This Row],[Task Name]]="",Tasks[[#This Row],[_Level]]&lt;=1),0,IFERROR(LOOKUP(2,1/(Tasks[[#Headers],[_Level]]:Tasks[[#This Row],[_Level]]=Tasks[[#This Row],[_Level]]-1),ROW(Tasks[[#Headers],[_Level]]:Tasks[[#This Row],[_Level]])),0))</f>
        <v>0</v>
      </c>
      <c r="BL201" s="41" t="n">
        <f aca="false">IFERROR(N(INDEX(Tasks[_Level],Tasks[[#This Row],[_Row]]+1)),0)</f>
        <v>0</v>
      </c>
      <c r="BM201" s="99" t="b">
        <f aca="false">AND(Tasks[[#This Row],[Task Name]]&lt;&gt;"",Tasks[[#This Row],[_NextLevel]]&gt;Tasks[[#This Row],[_Level]])</f>
        <v>0</v>
      </c>
      <c r="BN201" s="41" t="n">
        <f aca="false">IF(Tasks[[#This Row],[_IsSummary]],COUNTIF(Tasks[WBS],Tasks[[#This Row],[WBS]]&amp;".*"),0)</f>
        <v>0</v>
      </c>
      <c r="BO201" s="41" t="n">
        <f aca="false">IF(AND(Tasks[[#This Row],[Task Name]]&lt;&gt;"",NOT(Tasks[[#This Row],[_IsSummary]])),1,0)</f>
        <v>0</v>
      </c>
      <c r="BP201" s="41" t="n">
        <f aca="false">IF(N(Tasks[[#This Row],[Pred1 UID]])=0,0,IFERROR(MATCH(Tasks[[#This Row],[Pred1 UID]],Tasks[UID],0),-1))</f>
        <v>0</v>
      </c>
      <c r="BQ201" s="41" t="n">
        <f aca="false">IF(N(Tasks[[#This Row],[Pred2 UID]])=0,0,IFERROR(MATCH(Tasks[[#This Row],[Pred2 UID]],Tasks[UID],0),-1))</f>
        <v>0</v>
      </c>
      <c r="BR201"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01" s="100" t="str">
        <f aca="false">IF(NOT(Tasks[[#This Row],[_IsLeaf]]=1),"",IF(N(Tasks[[#This Row],[Duration]])&lt;=0,Tasks[[#This Row],[_LeafCalcStart]],WORKDAY.INTL(Tasks[[#This Row],[_LeafCalcStart]],Tasks[[#This Row],[Duration]]-1,WorkWeek,Holidays)))</f>
        <v/>
      </c>
      <c r="BT201"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01"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01" s="41" t="n">
        <f aca="false">IF(NOT(Tasks[[#This Row],[_IsLeaf]]=1),0,IF(N(Tasks[[#This Row],[Actual Finish]])&gt;0,1,MIN(1,N(Tasks[[#This Row],[% Complete]]))))</f>
        <v>0</v>
      </c>
      <c r="BW201" s="41" t="n">
        <f aca="false">IF(OR(NOT(Tasks[[#This Row],[_IsLeaf]]=1),Tasks[[#This Row],[Resource]]=""),0,N(Tasks[[#This Row],[Duration]])*HoursPerDay*IF(Tasks[[#This Row],[Units]]="",DefaultUnits,Tasks[[#This Row],[Units]]))</f>
        <v>0</v>
      </c>
      <c r="BX201" s="41" t="n">
        <f aca="false">IF(Tasks[[#This Row],[_LeafWork]]=0,0,Tasks[[#This Row],[_LeafWork]]*IFERROR(INDEX(res_Rate,MATCH(Tasks[[#This Row],[Resource]],res_Name,0)),0))</f>
        <v>0</v>
      </c>
      <c r="BY20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0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0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0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01" s="41" t="n">
        <f aca="false">IF(NOT(Tasks[[#This Row],[_IsLeaf]]=1),0,MAX(_xlfn.MAXIFS(Tasks[_Row],Tasks[Pred1 UID],Tasks[[#This Row],[UID]]),_xlfn.MAXIFS(Tasks[_Row],Tasks[Pred2 UID],Tasks[[#This Row],[UID]])))</f>
        <v>0</v>
      </c>
      <c r="CD201"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01" s="100" t="str">
        <f aca="false">IF(NOT(Tasks[[#This Row],[_IsLeaf]]=1),"",MIN(ProjectFinish,IF(N(Tasks[[#This Row],[Deadline]])&gt;0,Tasks[[#This Row],[Deadline]],2958465),Tasks[[#This Row],[_SuccessorFinishLimit]]))</f>
        <v/>
      </c>
      <c r="CF201" s="100" t="str">
        <f aca="false">IF(NOT(Tasks[[#This Row],[_IsLeaf]]=1),"",IF(N(Tasks[[#This Row],[Duration]])&lt;=0,Tasks[[#This Row],[_LeafLateFinish]],WORKDAY.INTL(Tasks[[#This Row],[_LeafLateFinish]],-(Tasks[[#This Row],[Duration]]-1),WorkWeek,Holidays)))</f>
        <v/>
      </c>
      <c r="CG20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01" s="99" t="b">
        <f aca="false">AND(Tasks[[#This Row],[_IsLeaf]]=1,Tasks[[#This Row],[_LeafProgress]]&lt;1,N(Tasks[[#This Row],[_LeafTotalSlack]])&lt;=CriticalSlackDays)</f>
        <v>0</v>
      </c>
      <c r="CI201" s="100" t="str">
        <f aca="false">IF(Tasks[[#This Row],[Task Name]]="","",IF(Tasks[[#This Row],[_IsSummary]],MIN(INDEX(Tasks[_LeafCalcStart],Tasks[[#This Row],[_Row]]+1):INDEX(Tasks[_LeafCalcStart],Tasks[[#This Row],[_Row]]+Tasks[[#This Row],[_Descendants]])),Tasks[[#This Row],[_LeafCalcStart]]))</f>
        <v/>
      </c>
      <c r="CJ201" s="100" t="str">
        <f aca="false">IF(Tasks[[#This Row],[Task Name]]="","",IF(Tasks[[#This Row],[_IsSummary]],MAX(INDEX(Tasks[_LeafCalcFinish],Tasks[[#This Row],[_Row]]+1):INDEX(Tasks[_LeafCalcFinish],Tasks[[#This Row],[_Row]]+Tasks[[#This Row],[_Descendants]])),Tasks[[#This Row],[_LeafCalcFinish]]))</f>
        <v/>
      </c>
      <c r="CK20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0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01"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01"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01"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01"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01" s="41" t="n">
        <f aca="false">IF(AND(Tasks[[#This Row],[_IsLeaf]]=1,Tasks[[#This Row],[_LeafWork]]&gt;0),NETWORKDAYS.INTL(ProjectStart,Tasks[[#This Row],[_LeafFcstStart]],WorkWeek,Holidays),0)</f>
        <v>0</v>
      </c>
      <c r="CR201" s="41" t="n">
        <f aca="false">IF(AND(Tasks[[#This Row],[_IsLeaf]]=1,Tasks[[#This Row],[_LeafWork]]&gt;0),MAX(Tasks[[#This Row],[_StartWorkday]],NETWORKDAYS.INTL(ProjectStart,Tasks[[#This Row],[_LeafFcstFinish]],WorkWeek,Holidays)),0)</f>
        <v>0</v>
      </c>
      <c r="CS201" s="41" t="n">
        <f aca="false">IF(AND(Tasks[[#This Row],[_IsLeaf]]=1,Tasks[[#This Row],[_LeafWork]]&gt;0),Tasks[[#This Row],[_LeafWork]]/(Tasks[[#This Row],[_FinishWorkday]]-Tasks[[#This Row],[_StartWorkday]]+1),0)</f>
        <v>0</v>
      </c>
      <c r="CT201" s="41" t="n">
        <f aca="false">Tasks[[#This Row],[_WorkPerWorkday]]*(Tasks[[#This Row],[_StartWorkday]]-1)</f>
        <v>-0</v>
      </c>
      <c r="CU201" s="41" t="n">
        <f aca="false">IF(Tasks[[#This Row],[_IsLeaf]]=1,MAX(N(Tasks[[#This Row],[Duration]]),0.1),0)</f>
        <v>0</v>
      </c>
      <c r="CV201" s="41" t="n">
        <f aca="false">Tasks[[#This Row],[_WeightDur]]*Tasks[[#This Row],[_LeafProgress]]</f>
        <v>0</v>
      </c>
      <c r="CW20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0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0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0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01" s="41" t="str">
        <f aca="false">IF(Tasks[[#This Row],[Task Name]]="","",Tasks[[#This Row],[_Pred1UIDText]]&amp;IF(AND(Tasks[[#This Row],[_Pred1UIDText]]&lt;&gt;"",Tasks[[#This Row],[_Pred2UIDText]]&lt;&gt;""),",","")&amp;Tasks[[#This Row],[_Pred2UIDText]])</f>
        <v/>
      </c>
      <c r="DB201" s="41" t="str">
        <f aca="false">IF(AND(Tasks[[#This Row],[_IsLeaf]]=1,N(Tasks[[#This Row],[Duration]])=0,Tasks[[#This Row],[_LeafProgress]]&lt;1),Tasks[[#This Row],[_LeafFcstFinish]]+Tasks[[#This Row],[_Row]]/100000,"")</f>
        <v/>
      </c>
      <c r="DC20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01" s="41" t="n">
        <f aca="false">IF(NOT(Tasks[[#This Row],[_IsLeaf]]=1),0,IF(Tasks[[#This Row],[Baseline Cost]]="",Tasks[[#This Row],[_LeafCost]],N(Tasks[[#This Row],[Baseline Cost]])))</f>
        <v>0</v>
      </c>
      <c r="DE201" s="41" t="n">
        <f aca="false">Tasks[[#This Row],[_LeafBudget]]*Tasks[[#This Row],[_PlannedPct]]</f>
        <v>0</v>
      </c>
      <c r="DF201" s="41" t="n">
        <f aca="false">Tasks[[#This Row],[_LeafBudget]]*Tasks[[#This Row],[_LeafProgress]]</f>
        <v>0</v>
      </c>
      <c r="DG201" s="41" t="n">
        <f aca="false">IF(NOT(Tasks[[#This Row],[_IsLeaf]]=1),0,IF(Tasks[[#This Row],[Actual Cost]]="",Tasks[[#This Row],[_LeafCost]]*Tasks[[#This Row],[_LeafProgress]],N(Tasks[[#This Row],[Actual Cost]])))</f>
        <v>0</v>
      </c>
      <c r="DH201" s="41" t="str">
        <f aca="false">IF(Tasks[[#This Row],[Task Name]]="","",LEFT(Tasks[[#This Row],[WBS]],FIND(".",Tasks[[#This Row],[WBS]]&amp;".")-1))</f>
        <v/>
      </c>
      <c r="DI201" s="41" t="str">
        <f aca="false">IF(AND(Tasks[[#This Row],[Task Name]]&lt;&gt;"",Tasks[[#This Row],[_Level]]=1),Tasks[[#This Row],[_Row]],"")</f>
        <v/>
      </c>
      <c r="DJ201" s="41" t="str">
        <f aca="false">IF(AND(Tasks[[#This Row],[_IsLeaf]]=1,N(Tasks[[#This Row],[Duration]])=0),Tasks[[#This Row],[Planned Finish]]+Tasks[[#This Row],[_Row]]/100000,"")</f>
        <v/>
      </c>
      <c r="DK201" s="41" t="str">
        <f aca="false">IF(AND(Tasks[[#This Row],[_IsLeaf]]=1,Tasks[[#This Row],[_LeafProgress]]&lt;1,OR(N(Tasks[[#This Row],[Finish Var]])&gt;0,Tasks[[#This Row],[Status]]="Late Start")),MAX(0,Tasks[[#This Row],[Finish Var]])+1-Tasks[[#This Row],[_Row]]/1000000,"")</f>
        <v/>
      </c>
      <c r="DL201" s="41" t="str">
        <f aca="false">IF(AND(Tasks[[#This Row],[_IsLeaf]]=1,N(Tasks[[#This Row],[Actual Start]])=0,Tasks[[#This Row],[_LeafFcstStart]]&gt;=StatusDate,Tasks[[#This Row],[_LeafFcstStart]]&lt;=LookaheadEnd),Tasks[[#This Row],[_LeafFcstStart]]+Tasks[[#This Row],[_Row]]/100000,"")</f>
        <v/>
      </c>
      <c r="DM201" s="41" t="str">
        <f aca="false">IF(AND(Tasks[[#This Row],[_IsLeaf]]=1,Tasks[[#This Row],[_LeafProgress]]&lt;1,Tasks[[#This Row],[_LeafFcstFinish]]&gt;=StatusDate,Tasks[[#This Row],[_LeafFcstFinish]]&lt;=LookaheadEnd),Tasks[[#This Row],[_LeafFcstFinish]]+Tasks[[#This Row],[_Row]]/100000,"")</f>
        <v/>
      </c>
      <c r="DN201" s="41" t="str">
        <f aca="false">IF(Tasks[[#This Row],[_LeafCritical]],Tasks[[#This Row],[_LeafFcstStart]]+Tasks[[#This Row],[_Row]]/100000,"")</f>
        <v/>
      </c>
      <c r="DO201" s="41" t="n">
        <f aca="false">Tasks[[#This Row],[_LeafWork]]*Tasks[[#This Row],[_LeafProgress]]</f>
        <v>0</v>
      </c>
      <c r="DP201" s="100" t="str">
        <f aca="false">IF(AND(Tasks[[#This Row],[_IsLeaf]]=1,Tasks[[#This Row],[_LeafProgress]]&gt;=1),IF(N(Tasks[[#This Row],[Actual Finish]])&gt;0,Tasks[[#This Row],[Actual Finish]],Tasks[[#This Row],[_LeafFcstFinish]]),"")</f>
        <v/>
      </c>
      <c r="DQ201" s="41" t="n">
        <f aca="false">IF(Tasks[[#This Row],[_IsLeaf]]=1,N(Tasks[[#This Row],[Story Points]]),0)</f>
        <v>0</v>
      </c>
      <c r="DR201" s="41" t="str">
        <f aca="false">IF(AND(Tasks[[#This Row],[_IsLeaf]]=1,CurrentSprint&lt;&gt;"",Tasks[[#This Row],[Sprint]]=CurrentSprint),Tasks[[#This Row],[_Row]],"")</f>
        <v/>
      </c>
    </row>
    <row r="202" customFormat="false" ht="15" hidden="false" customHeight="false" outlineLevel="0" collapsed="false">
      <c r="A202" s="28" t="str">
        <f aca="false">IF(Tasks[[#This Row],[Task Name]]="","",COUNTA(Tasks[[#Headers],[Task Name]]:Tasks[[#This Row],[Task Name]])-1)</f>
        <v/>
      </c>
      <c r="B202" s="29" t="n">
        <v>197</v>
      </c>
      <c r="C20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2" s="29"/>
      <c r="E202" s="30"/>
      <c r="F202" s="29"/>
      <c r="G202" s="29"/>
      <c r="H202" s="29"/>
      <c r="I202" s="29"/>
      <c r="J202" s="29"/>
      <c r="K202" s="29"/>
      <c r="L202" s="29"/>
      <c r="M202" s="29"/>
      <c r="N202" s="73"/>
      <c r="O202" s="73"/>
      <c r="P202" s="25" t="str">
        <f aca="false">IF(Tasks[[#This Row],[Task Name]]="","",IF(N(Tasks[[#This Row],[Baseline Start]])&gt;0,Tasks[[#This Row],[Baseline Start]],Tasks[[#This Row],[_CalcStart]]))</f>
        <v/>
      </c>
      <c r="Q202" s="25" t="str">
        <f aca="false">IF(Tasks[[#This Row],[Task Name]]="","",IF(N(Tasks[[#This Row],[Baseline Finish]])&gt;0,Tasks[[#This Row],[Baseline Finish]],Tasks[[#This Row],[_CalcFinish]]))</f>
        <v/>
      </c>
      <c r="R202" s="73"/>
      <c r="S202" s="73"/>
      <c r="T202" s="25" t="str">
        <f aca="false">IF(Tasks[[#This Row],[Task Name]]="","",IF(Tasks[[#This Row],[_IsSummary]],MIN(INDEX(Tasks[_LeafFcstStart],Tasks[[#This Row],[_Row]]+1):INDEX(Tasks[_LeafFcstStart],Tasks[[#This Row],[_Row]]+Tasks[[#This Row],[_Descendants]])),Tasks[[#This Row],[_LeafFcstStart]]))</f>
        <v/>
      </c>
      <c r="U202" s="25" t="str">
        <f aca="false">IF(Tasks[[#This Row],[Task Name]]="","",IF(Tasks[[#This Row],[_IsSummary]],MAX(INDEX(Tasks[_LeafFcstFinish],Tasks[[#This Row],[_Row]]+1):INDEX(Tasks[_LeafFcstFinish],Tasks[[#This Row],[_Row]]+Tasks[[#This Row],[_Descendants]])),Tasks[[#This Row],[_LeafFcstFinish]]))</f>
        <v/>
      </c>
      <c r="V20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20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2" s="25" t="str">
        <f aca="false">IF(Tasks[[#This Row],[Task Name]]="","",IF(Tasks[[#This Row],[_IsSummary]],MIN(INDEX(Tasks[_LeafLateStart],Tasks[[#This Row],[_Row]]+1):INDEX(Tasks[_LeafLateStart],Tasks[[#This Row],[_Row]]+Tasks[[#This Row],[_Descendants]])),Tasks[[#This Row],[_LeafLateStart]]))</f>
        <v/>
      </c>
      <c r="Y202" s="25" t="str">
        <f aca="false">IF(Tasks[[#This Row],[Task Name]]="","",IF(Tasks[[#This Row],[_IsSummary]],MAX(INDEX(Tasks[_LeafLateFinish],Tasks[[#This Row],[_Row]]+1):INDEX(Tasks[_LeafLateFinish],Tasks[[#This Row],[_Row]]+Tasks[[#This Row],[_Descendants]])),Tasks[[#This Row],[_LeafLateFinish]]))</f>
        <v/>
      </c>
      <c r="Z202" s="43" t="str">
        <f aca="false">IF(Tasks[[#This Row],[Task Name]]="","",IF(Tasks[[#This Row],[_IsSummary]],MIN(INDEX(Tasks[_LeafTotalSlack],Tasks[[#This Row],[_Row]]+1):INDEX(Tasks[_LeafTotalSlack],Tasks[[#This Row],[_Row]]+Tasks[[#This Row],[_Descendants]])),Tasks[[#This Row],[_LeafTotalSlack]]))</f>
        <v/>
      </c>
      <c r="AA20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2" s="28" t="str">
        <f aca="false">IF(Tasks[[#This Row],[Task Name]]="","",IF(IF(Tasks[[#This Row],[_IsSummary]],COUNTIF(INDEX(Tasks[_LeafCritical],Tasks[[#This Row],[_Row]]+1):INDEX(Tasks[_LeafCritical],Tasks[[#This Row],[_Row]]+Tasks[[#This Row],[_Descendants]]),TRUE())&gt;0,Tasks[[#This Row],[_LeafCritical]]),"Yes",""))</f>
        <v/>
      </c>
      <c r="AC20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2" s="24" t="str">
        <f aca="false">IF(Tasks[[#This Row],[Task Name]]="","",TRIM(IF(Tasks[[#This Row],[_Pred1Problem]]&lt;&gt;"","Pred 1: "&amp;Tasks[[#This Row],[_Pred1Problem]]&amp;". ","")&amp;IF(Tasks[[#This Row],[_Pred2Problem]]&lt;&gt;"","Pred 2: "&amp;Tasks[[#This Row],[_Pred2Problem]]&amp;".","")))</f>
        <v/>
      </c>
      <c r="AE202" s="88"/>
      <c r="AF202"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2" s="28" t="str">
        <f aca="false">IF(Tasks[[#This Row],[Task Name]]="","",IF(Tasks[[#This Row],[Progress]]&gt;=1,"Complete",IF(OR(N(Tasks[[#This Row],[Actual Start]])&gt;0,Tasks[[#This Row],[Progress]]&gt;0),IF(Tasks[[#This Row],[Finish Var]]&gt;0,"Behind","In Progress"),IF(Tasks[[#This Row],[Planned Start]]&lt;StatusDate,"Late Start","Not Started"))))</f>
        <v/>
      </c>
      <c r="AH202" s="30"/>
      <c r="AI202" s="88"/>
      <c r="AJ202" s="95" t="str">
        <f aca="false">IF(Tasks[[#This Row],[Task Name]]="","",IF(Tasks[[#This Row],[_IsSummary]],SUM(INDEX(Tasks[_LeafWork],Tasks[[#This Row],[_Row]]+1):INDEX(Tasks[_LeafWork],Tasks[[#This Row],[_Row]]+Tasks[[#This Row],[_Descendants]])),Tasks[[#This Row],[_LeafWork]]))</f>
        <v/>
      </c>
      <c r="AK202" s="96" t="str">
        <f aca="false">IF(Tasks[[#This Row],[Task Name]]="","",IF(Tasks[[#This Row],[_IsSummary]],SUM(INDEX(Tasks[_LeafCost],Tasks[[#This Row],[_Row]]+1):INDEX(Tasks[_LeafCost],Tasks[[#This Row],[_Row]]+Tasks[[#This Row],[_Descendants]])),Tasks[[#This Row],[_LeafCost]]))</f>
        <v/>
      </c>
      <c r="AL202" s="97"/>
      <c r="AM202" s="29"/>
      <c r="AN20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02" s="82"/>
      <c r="AP202" s="24" t="str">
        <f aca="false">IF(Tasks[[#This Row],[Task Name]]="","",Tasks[[#This Row],[_Pred1IDText]]&amp;IF(AND(Tasks[[#This Row],[_Pred1IDText]]&lt;&gt;"",Tasks[[#This Row],[_Pred2IDText]]&lt;&gt;""),",","")&amp;Tasks[[#This Row],[_Pred2IDText]])</f>
        <v/>
      </c>
      <c r="AQ202" s="30"/>
      <c r="AR202" s="25" t="str">
        <f aca="false">IF(Tasks[[#This Row],[Task Name]]="","",Tasks[[#This Row],[Forecast Start]])</f>
        <v/>
      </c>
      <c r="AS202" s="25" t="str">
        <f aca="false">IF(Tasks[[#This Row],[Task Name]]="","",Tasks[[#This Row],[Forecast Finish]])</f>
        <v/>
      </c>
      <c r="AT202" s="28" t="str">
        <f aca="false">IF(Tasks[[#This Row],[Task Name]]="","",IF(Tasks[[#This Row],[_IsSummary]],NETWORKDAYS.INTL(Tasks[[#This Row],[Forecast Start]],Tasks[[#This Row],[Forecast Finish]],WorkWeek,Holidays),N(Tasks[[#This Row],[Duration]])))</f>
        <v/>
      </c>
      <c r="AU202" s="95" t="str">
        <f aca="false">IF(Tasks[[#This Row],[Task Name]]="","",Tasks[[#This Row],[Work]])</f>
        <v/>
      </c>
      <c r="AV202" s="96" t="str">
        <f aca="false">IF(Tasks[[#This Row],[Task Name]]="","",Tasks[[#This Row],[Cost]])</f>
        <v/>
      </c>
      <c r="AW202" s="73"/>
      <c r="AX202" s="73"/>
      <c r="AY202" s="29"/>
      <c r="AZ202" s="98"/>
      <c r="BA202" s="97"/>
      <c r="BB202" s="28" t="str">
        <f aca="false">IF(OR(Tasks[[#This Row],[Task Name]]="",Tasks[[#This Row],[Baseline Duration]]=""),"",Tasks[[#This Row],[BL Source Duration]]-N(Tasks[[#This Row],[Baseline Duration]]))</f>
        <v/>
      </c>
      <c r="BC202" s="95" t="str">
        <f aca="false">IF(OR(Tasks[[#This Row],[Task Name]]="",Tasks[[#This Row],[Baseline Work]]=""),"",Tasks[[#This Row],[Work]]-N(Tasks[[#This Row],[Baseline Work]]))</f>
        <v/>
      </c>
      <c r="BD202" s="96" t="str">
        <f aca="false">IF(OR(Tasks[[#This Row],[Task Name]]="",Tasks[[#This Row],[Baseline Cost]]=""),"",Tasks[[#This Row],[Cost]]-N(Tasks[[#This Row],[Baseline Cost]]))</f>
        <v/>
      </c>
      <c r="BE202" s="96" t="str">
        <f aca="false">IF(Tasks[[#This Row],[Task Name]]="","",IF(Tasks[[#This Row],[_IsSummary]],SUM(INDEX(Tasks[_LeafBudget],Tasks[[#This Row],[_Row]]+1):INDEX(Tasks[_LeafBudget],Tasks[[#This Row],[_Row]]+Tasks[[#This Row],[_Descendants]])),Tasks[[#This Row],[_LeafBudget]]))</f>
        <v/>
      </c>
      <c r="BF202" s="96" t="str">
        <f aca="false">IF(Tasks[[#This Row],[Task Name]]="","",IF(Tasks[[#This Row],[_IsSummary]],SUM(INDEX(Tasks[_LeafPV],Tasks[[#This Row],[_Row]]+1):INDEX(Tasks[_LeafPV],Tasks[[#This Row],[_Row]]+Tasks[[#This Row],[_Descendants]])),Tasks[[#This Row],[_LeafPV]]))</f>
        <v/>
      </c>
      <c r="BG202" s="96" t="str">
        <f aca="false">IF(Tasks[[#This Row],[Task Name]]="","",IF(Tasks[[#This Row],[_IsSummary]],SUM(INDEX(Tasks[_LeafEV],Tasks[[#This Row],[_Row]]+1):INDEX(Tasks[_LeafEV],Tasks[[#This Row],[_Row]]+Tasks[[#This Row],[_Descendants]])),Tasks[[#This Row],[_LeafEV]]))</f>
        <v/>
      </c>
      <c r="BH202" s="96" t="str">
        <f aca="false">IF(Tasks[[#This Row],[Task Name]]="","",IF(Tasks[[#This Row],[_IsSummary]],SUM(INDEX(Tasks[_LeafAC],Tasks[[#This Row],[_Row]]+1):INDEX(Tasks[_LeafAC],Tasks[[#This Row],[_Row]]+Tasks[[#This Row],[_Descendants]])),Tasks[[#This Row],[_LeafAC]]))</f>
        <v/>
      </c>
      <c r="BI202" s="41" t="str">
        <f aca="false">IF(Tasks[[#This Row],[Task Name]]="","",MAX(1,N(Tasks[[#This Row],[Level]])))</f>
        <v/>
      </c>
      <c r="BJ202" s="41" t="n">
        <f aca="false">ROW()-ROW(Tasks[[#Headers],[ID]])</f>
        <v>197</v>
      </c>
      <c r="BK202" s="41" t="n">
        <f aca="false">IF(OR(Tasks[[#This Row],[Task Name]]="",Tasks[[#This Row],[_Level]]&lt;=1),0,IFERROR(LOOKUP(2,1/(Tasks[[#Headers],[_Level]]:Tasks[[#This Row],[_Level]]=Tasks[[#This Row],[_Level]]-1),ROW(Tasks[[#Headers],[_Level]]:Tasks[[#This Row],[_Level]])),0))</f>
        <v>0</v>
      </c>
      <c r="BL202" s="41" t="n">
        <f aca="false">IFERROR(N(INDEX(Tasks[_Level],Tasks[[#This Row],[_Row]]+1)),0)</f>
        <v>0</v>
      </c>
      <c r="BM202" s="99" t="b">
        <f aca="false">AND(Tasks[[#This Row],[Task Name]]&lt;&gt;"",Tasks[[#This Row],[_NextLevel]]&gt;Tasks[[#This Row],[_Level]])</f>
        <v>0</v>
      </c>
      <c r="BN202" s="41" t="n">
        <f aca="false">IF(Tasks[[#This Row],[_IsSummary]],COUNTIF(Tasks[WBS],Tasks[[#This Row],[WBS]]&amp;".*"),0)</f>
        <v>0</v>
      </c>
      <c r="BO202" s="41" t="n">
        <f aca="false">IF(AND(Tasks[[#This Row],[Task Name]]&lt;&gt;"",NOT(Tasks[[#This Row],[_IsSummary]])),1,0)</f>
        <v>0</v>
      </c>
      <c r="BP202" s="41" t="n">
        <f aca="false">IF(N(Tasks[[#This Row],[Pred1 UID]])=0,0,IFERROR(MATCH(Tasks[[#This Row],[Pred1 UID]],Tasks[UID],0),-1))</f>
        <v>0</v>
      </c>
      <c r="BQ202" s="41" t="n">
        <f aca="false">IF(N(Tasks[[#This Row],[Pred2 UID]])=0,0,IFERROR(MATCH(Tasks[[#This Row],[Pred2 UID]],Tasks[UID],0),-1))</f>
        <v>0</v>
      </c>
      <c r="BR202"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02" s="100" t="str">
        <f aca="false">IF(NOT(Tasks[[#This Row],[_IsLeaf]]=1),"",IF(N(Tasks[[#This Row],[Duration]])&lt;=0,Tasks[[#This Row],[_LeafCalcStart]],WORKDAY.INTL(Tasks[[#This Row],[_LeafCalcStart]],Tasks[[#This Row],[Duration]]-1,WorkWeek,Holidays)))</f>
        <v/>
      </c>
      <c r="BT202"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02"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02" s="41" t="n">
        <f aca="false">IF(NOT(Tasks[[#This Row],[_IsLeaf]]=1),0,IF(N(Tasks[[#This Row],[Actual Finish]])&gt;0,1,MIN(1,N(Tasks[[#This Row],[% Complete]]))))</f>
        <v>0</v>
      </c>
      <c r="BW202" s="41" t="n">
        <f aca="false">IF(OR(NOT(Tasks[[#This Row],[_IsLeaf]]=1),Tasks[[#This Row],[Resource]]=""),0,N(Tasks[[#This Row],[Duration]])*HoursPerDay*IF(Tasks[[#This Row],[Units]]="",DefaultUnits,Tasks[[#This Row],[Units]]))</f>
        <v>0</v>
      </c>
      <c r="BX202" s="41" t="n">
        <f aca="false">IF(Tasks[[#This Row],[_LeafWork]]=0,0,Tasks[[#This Row],[_LeafWork]]*IFERROR(INDEX(res_Rate,MATCH(Tasks[[#This Row],[Resource]],res_Name,0)),0))</f>
        <v>0</v>
      </c>
      <c r="BY20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0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0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0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02" s="41" t="n">
        <f aca="false">IF(NOT(Tasks[[#This Row],[_IsLeaf]]=1),0,MAX(_xlfn.MAXIFS(Tasks[_Row],Tasks[Pred1 UID],Tasks[[#This Row],[UID]]),_xlfn.MAXIFS(Tasks[_Row],Tasks[Pred2 UID],Tasks[[#This Row],[UID]])))</f>
        <v>0</v>
      </c>
      <c r="CD202"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02" s="100" t="str">
        <f aca="false">IF(NOT(Tasks[[#This Row],[_IsLeaf]]=1),"",MIN(ProjectFinish,IF(N(Tasks[[#This Row],[Deadline]])&gt;0,Tasks[[#This Row],[Deadline]],2958465),Tasks[[#This Row],[_SuccessorFinishLimit]]))</f>
        <v/>
      </c>
      <c r="CF202" s="100" t="str">
        <f aca="false">IF(NOT(Tasks[[#This Row],[_IsLeaf]]=1),"",IF(N(Tasks[[#This Row],[Duration]])&lt;=0,Tasks[[#This Row],[_LeafLateFinish]],WORKDAY.INTL(Tasks[[#This Row],[_LeafLateFinish]],-(Tasks[[#This Row],[Duration]]-1),WorkWeek,Holidays)))</f>
        <v/>
      </c>
      <c r="CG20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02" s="99" t="b">
        <f aca="false">AND(Tasks[[#This Row],[_IsLeaf]]=1,Tasks[[#This Row],[_LeafProgress]]&lt;1,N(Tasks[[#This Row],[_LeafTotalSlack]])&lt;=CriticalSlackDays)</f>
        <v>0</v>
      </c>
      <c r="CI202" s="100" t="str">
        <f aca="false">IF(Tasks[[#This Row],[Task Name]]="","",IF(Tasks[[#This Row],[_IsSummary]],MIN(INDEX(Tasks[_LeafCalcStart],Tasks[[#This Row],[_Row]]+1):INDEX(Tasks[_LeafCalcStart],Tasks[[#This Row],[_Row]]+Tasks[[#This Row],[_Descendants]])),Tasks[[#This Row],[_LeafCalcStart]]))</f>
        <v/>
      </c>
      <c r="CJ202" s="100" t="str">
        <f aca="false">IF(Tasks[[#This Row],[Task Name]]="","",IF(Tasks[[#This Row],[_IsSummary]],MAX(INDEX(Tasks[_LeafCalcFinish],Tasks[[#This Row],[_Row]]+1):INDEX(Tasks[_LeafCalcFinish],Tasks[[#This Row],[_Row]]+Tasks[[#This Row],[_Descendants]])),Tasks[[#This Row],[_LeafCalcFinish]]))</f>
        <v/>
      </c>
      <c r="CK20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0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02"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02"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02"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02"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02" s="41" t="n">
        <f aca="false">IF(AND(Tasks[[#This Row],[_IsLeaf]]=1,Tasks[[#This Row],[_LeafWork]]&gt;0),NETWORKDAYS.INTL(ProjectStart,Tasks[[#This Row],[_LeafFcstStart]],WorkWeek,Holidays),0)</f>
        <v>0</v>
      </c>
      <c r="CR202" s="41" t="n">
        <f aca="false">IF(AND(Tasks[[#This Row],[_IsLeaf]]=1,Tasks[[#This Row],[_LeafWork]]&gt;0),MAX(Tasks[[#This Row],[_StartWorkday]],NETWORKDAYS.INTL(ProjectStart,Tasks[[#This Row],[_LeafFcstFinish]],WorkWeek,Holidays)),0)</f>
        <v>0</v>
      </c>
      <c r="CS202" s="41" t="n">
        <f aca="false">IF(AND(Tasks[[#This Row],[_IsLeaf]]=1,Tasks[[#This Row],[_LeafWork]]&gt;0),Tasks[[#This Row],[_LeafWork]]/(Tasks[[#This Row],[_FinishWorkday]]-Tasks[[#This Row],[_StartWorkday]]+1),0)</f>
        <v>0</v>
      </c>
      <c r="CT202" s="41" t="n">
        <f aca="false">Tasks[[#This Row],[_WorkPerWorkday]]*(Tasks[[#This Row],[_StartWorkday]]-1)</f>
        <v>-0</v>
      </c>
      <c r="CU202" s="41" t="n">
        <f aca="false">IF(Tasks[[#This Row],[_IsLeaf]]=1,MAX(N(Tasks[[#This Row],[Duration]]),0.1),0)</f>
        <v>0</v>
      </c>
      <c r="CV202" s="41" t="n">
        <f aca="false">Tasks[[#This Row],[_WeightDur]]*Tasks[[#This Row],[_LeafProgress]]</f>
        <v>0</v>
      </c>
      <c r="CW20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0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0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0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02" s="41" t="str">
        <f aca="false">IF(Tasks[[#This Row],[Task Name]]="","",Tasks[[#This Row],[_Pred1UIDText]]&amp;IF(AND(Tasks[[#This Row],[_Pred1UIDText]]&lt;&gt;"",Tasks[[#This Row],[_Pred2UIDText]]&lt;&gt;""),",","")&amp;Tasks[[#This Row],[_Pred2UIDText]])</f>
        <v/>
      </c>
      <c r="DB202" s="41" t="str">
        <f aca="false">IF(AND(Tasks[[#This Row],[_IsLeaf]]=1,N(Tasks[[#This Row],[Duration]])=0,Tasks[[#This Row],[_LeafProgress]]&lt;1),Tasks[[#This Row],[_LeafFcstFinish]]+Tasks[[#This Row],[_Row]]/100000,"")</f>
        <v/>
      </c>
      <c r="DC20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02" s="41" t="n">
        <f aca="false">IF(NOT(Tasks[[#This Row],[_IsLeaf]]=1),0,IF(Tasks[[#This Row],[Baseline Cost]]="",Tasks[[#This Row],[_LeafCost]],N(Tasks[[#This Row],[Baseline Cost]])))</f>
        <v>0</v>
      </c>
      <c r="DE202" s="41" t="n">
        <f aca="false">Tasks[[#This Row],[_LeafBudget]]*Tasks[[#This Row],[_PlannedPct]]</f>
        <v>0</v>
      </c>
      <c r="DF202" s="41" t="n">
        <f aca="false">Tasks[[#This Row],[_LeafBudget]]*Tasks[[#This Row],[_LeafProgress]]</f>
        <v>0</v>
      </c>
      <c r="DG202" s="41" t="n">
        <f aca="false">IF(NOT(Tasks[[#This Row],[_IsLeaf]]=1),0,IF(Tasks[[#This Row],[Actual Cost]]="",Tasks[[#This Row],[_LeafCost]]*Tasks[[#This Row],[_LeafProgress]],N(Tasks[[#This Row],[Actual Cost]])))</f>
        <v>0</v>
      </c>
      <c r="DH202" s="41" t="str">
        <f aca="false">IF(Tasks[[#This Row],[Task Name]]="","",LEFT(Tasks[[#This Row],[WBS]],FIND(".",Tasks[[#This Row],[WBS]]&amp;".")-1))</f>
        <v/>
      </c>
      <c r="DI202" s="41" t="str">
        <f aca="false">IF(AND(Tasks[[#This Row],[Task Name]]&lt;&gt;"",Tasks[[#This Row],[_Level]]=1),Tasks[[#This Row],[_Row]],"")</f>
        <v/>
      </c>
      <c r="DJ202" s="41" t="str">
        <f aca="false">IF(AND(Tasks[[#This Row],[_IsLeaf]]=1,N(Tasks[[#This Row],[Duration]])=0),Tasks[[#This Row],[Planned Finish]]+Tasks[[#This Row],[_Row]]/100000,"")</f>
        <v/>
      </c>
      <c r="DK202" s="41" t="str">
        <f aca="false">IF(AND(Tasks[[#This Row],[_IsLeaf]]=1,Tasks[[#This Row],[_LeafProgress]]&lt;1,OR(N(Tasks[[#This Row],[Finish Var]])&gt;0,Tasks[[#This Row],[Status]]="Late Start")),MAX(0,Tasks[[#This Row],[Finish Var]])+1-Tasks[[#This Row],[_Row]]/1000000,"")</f>
        <v/>
      </c>
      <c r="DL202" s="41" t="str">
        <f aca="false">IF(AND(Tasks[[#This Row],[_IsLeaf]]=1,N(Tasks[[#This Row],[Actual Start]])=0,Tasks[[#This Row],[_LeafFcstStart]]&gt;=StatusDate,Tasks[[#This Row],[_LeafFcstStart]]&lt;=LookaheadEnd),Tasks[[#This Row],[_LeafFcstStart]]+Tasks[[#This Row],[_Row]]/100000,"")</f>
        <v/>
      </c>
      <c r="DM202" s="41" t="str">
        <f aca="false">IF(AND(Tasks[[#This Row],[_IsLeaf]]=1,Tasks[[#This Row],[_LeafProgress]]&lt;1,Tasks[[#This Row],[_LeafFcstFinish]]&gt;=StatusDate,Tasks[[#This Row],[_LeafFcstFinish]]&lt;=LookaheadEnd),Tasks[[#This Row],[_LeafFcstFinish]]+Tasks[[#This Row],[_Row]]/100000,"")</f>
        <v/>
      </c>
      <c r="DN202" s="41" t="str">
        <f aca="false">IF(Tasks[[#This Row],[_LeafCritical]],Tasks[[#This Row],[_LeafFcstStart]]+Tasks[[#This Row],[_Row]]/100000,"")</f>
        <v/>
      </c>
      <c r="DO202" s="41" t="n">
        <f aca="false">Tasks[[#This Row],[_LeafWork]]*Tasks[[#This Row],[_LeafProgress]]</f>
        <v>0</v>
      </c>
      <c r="DP202" s="100" t="str">
        <f aca="false">IF(AND(Tasks[[#This Row],[_IsLeaf]]=1,Tasks[[#This Row],[_LeafProgress]]&gt;=1),IF(N(Tasks[[#This Row],[Actual Finish]])&gt;0,Tasks[[#This Row],[Actual Finish]],Tasks[[#This Row],[_LeafFcstFinish]]),"")</f>
        <v/>
      </c>
      <c r="DQ202" s="41" t="n">
        <f aca="false">IF(Tasks[[#This Row],[_IsLeaf]]=1,N(Tasks[[#This Row],[Story Points]]),0)</f>
        <v>0</v>
      </c>
      <c r="DR202" s="41" t="str">
        <f aca="false">IF(AND(Tasks[[#This Row],[_IsLeaf]]=1,CurrentSprint&lt;&gt;"",Tasks[[#This Row],[Sprint]]=CurrentSprint),Tasks[[#This Row],[_Row]],"")</f>
        <v/>
      </c>
    </row>
    <row r="203" customFormat="false" ht="15" hidden="false" customHeight="false" outlineLevel="0" collapsed="false">
      <c r="A203" s="28" t="str">
        <f aca="false">IF(Tasks[[#This Row],[Task Name]]="","",COUNTA(Tasks[[#Headers],[Task Name]]:Tasks[[#This Row],[Task Name]])-1)</f>
        <v/>
      </c>
      <c r="B203" s="29" t="n">
        <v>198</v>
      </c>
      <c r="C20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3" s="29"/>
      <c r="E203" s="30"/>
      <c r="F203" s="29"/>
      <c r="G203" s="29"/>
      <c r="H203" s="29"/>
      <c r="I203" s="29"/>
      <c r="J203" s="29"/>
      <c r="K203" s="29"/>
      <c r="L203" s="29"/>
      <c r="M203" s="29"/>
      <c r="N203" s="73"/>
      <c r="O203" s="73"/>
      <c r="P203" s="25" t="str">
        <f aca="false">IF(Tasks[[#This Row],[Task Name]]="","",IF(N(Tasks[[#This Row],[Baseline Start]])&gt;0,Tasks[[#This Row],[Baseline Start]],Tasks[[#This Row],[_CalcStart]]))</f>
        <v/>
      </c>
      <c r="Q203" s="25" t="str">
        <f aca="false">IF(Tasks[[#This Row],[Task Name]]="","",IF(N(Tasks[[#This Row],[Baseline Finish]])&gt;0,Tasks[[#This Row],[Baseline Finish]],Tasks[[#This Row],[_CalcFinish]]))</f>
        <v/>
      </c>
      <c r="R203" s="73"/>
      <c r="S203" s="73"/>
      <c r="T203" s="25" t="str">
        <f aca="false">IF(Tasks[[#This Row],[Task Name]]="","",IF(Tasks[[#This Row],[_IsSummary]],MIN(INDEX(Tasks[_LeafFcstStart],Tasks[[#This Row],[_Row]]+1):INDEX(Tasks[_LeafFcstStart],Tasks[[#This Row],[_Row]]+Tasks[[#This Row],[_Descendants]])),Tasks[[#This Row],[_LeafFcstStart]]))</f>
        <v/>
      </c>
      <c r="U203" s="25" t="str">
        <f aca="false">IF(Tasks[[#This Row],[Task Name]]="","",IF(Tasks[[#This Row],[_IsSummary]],MAX(INDEX(Tasks[_LeafFcstFinish],Tasks[[#This Row],[_Row]]+1):INDEX(Tasks[_LeafFcstFinish],Tasks[[#This Row],[_Row]]+Tasks[[#This Row],[_Descendants]])),Tasks[[#This Row],[_LeafFcstFinish]]))</f>
        <v/>
      </c>
      <c r="V20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20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3" s="25" t="str">
        <f aca="false">IF(Tasks[[#This Row],[Task Name]]="","",IF(Tasks[[#This Row],[_IsSummary]],MIN(INDEX(Tasks[_LeafLateStart],Tasks[[#This Row],[_Row]]+1):INDEX(Tasks[_LeafLateStart],Tasks[[#This Row],[_Row]]+Tasks[[#This Row],[_Descendants]])),Tasks[[#This Row],[_LeafLateStart]]))</f>
        <v/>
      </c>
      <c r="Y203" s="25" t="str">
        <f aca="false">IF(Tasks[[#This Row],[Task Name]]="","",IF(Tasks[[#This Row],[_IsSummary]],MAX(INDEX(Tasks[_LeafLateFinish],Tasks[[#This Row],[_Row]]+1):INDEX(Tasks[_LeafLateFinish],Tasks[[#This Row],[_Row]]+Tasks[[#This Row],[_Descendants]])),Tasks[[#This Row],[_LeafLateFinish]]))</f>
        <v/>
      </c>
      <c r="Z203" s="43" t="str">
        <f aca="false">IF(Tasks[[#This Row],[Task Name]]="","",IF(Tasks[[#This Row],[_IsSummary]],MIN(INDEX(Tasks[_LeafTotalSlack],Tasks[[#This Row],[_Row]]+1):INDEX(Tasks[_LeafTotalSlack],Tasks[[#This Row],[_Row]]+Tasks[[#This Row],[_Descendants]])),Tasks[[#This Row],[_LeafTotalSlack]]))</f>
        <v/>
      </c>
      <c r="AA20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3" s="28" t="str">
        <f aca="false">IF(Tasks[[#This Row],[Task Name]]="","",IF(IF(Tasks[[#This Row],[_IsSummary]],COUNTIF(INDEX(Tasks[_LeafCritical],Tasks[[#This Row],[_Row]]+1):INDEX(Tasks[_LeafCritical],Tasks[[#This Row],[_Row]]+Tasks[[#This Row],[_Descendants]]),TRUE())&gt;0,Tasks[[#This Row],[_LeafCritical]]),"Yes",""))</f>
        <v/>
      </c>
      <c r="AC20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3" s="24" t="str">
        <f aca="false">IF(Tasks[[#This Row],[Task Name]]="","",TRIM(IF(Tasks[[#This Row],[_Pred1Problem]]&lt;&gt;"","Pred 1: "&amp;Tasks[[#This Row],[_Pred1Problem]]&amp;". ","")&amp;IF(Tasks[[#This Row],[_Pred2Problem]]&lt;&gt;"","Pred 2: "&amp;Tasks[[#This Row],[_Pred2Problem]]&amp;".","")))</f>
        <v/>
      </c>
      <c r="AE203" s="88"/>
      <c r="AF203"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3" s="28" t="str">
        <f aca="false">IF(Tasks[[#This Row],[Task Name]]="","",IF(Tasks[[#This Row],[Progress]]&gt;=1,"Complete",IF(OR(N(Tasks[[#This Row],[Actual Start]])&gt;0,Tasks[[#This Row],[Progress]]&gt;0),IF(Tasks[[#This Row],[Finish Var]]&gt;0,"Behind","In Progress"),IF(Tasks[[#This Row],[Planned Start]]&lt;StatusDate,"Late Start","Not Started"))))</f>
        <v/>
      </c>
      <c r="AH203" s="30"/>
      <c r="AI203" s="88"/>
      <c r="AJ203" s="95" t="str">
        <f aca="false">IF(Tasks[[#This Row],[Task Name]]="","",IF(Tasks[[#This Row],[_IsSummary]],SUM(INDEX(Tasks[_LeafWork],Tasks[[#This Row],[_Row]]+1):INDEX(Tasks[_LeafWork],Tasks[[#This Row],[_Row]]+Tasks[[#This Row],[_Descendants]])),Tasks[[#This Row],[_LeafWork]]))</f>
        <v/>
      </c>
      <c r="AK203" s="96" t="str">
        <f aca="false">IF(Tasks[[#This Row],[Task Name]]="","",IF(Tasks[[#This Row],[_IsSummary]],SUM(INDEX(Tasks[_LeafCost],Tasks[[#This Row],[_Row]]+1):INDEX(Tasks[_LeafCost],Tasks[[#This Row],[_Row]]+Tasks[[#This Row],[_Descendants]])),Tasks[[#This Row],[_LeafCost]]))</f>
        <v/>
      </c>
      <c r="AL203" s="97"/>
      <c r="AM203" s="29"/>
      <c r="AN20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03" s="82"/>
      <c r="AP203" s="24" t="str">
        <f aca="false">IF(Tasks[[#This Row],[Task Name]]="","",Tasks[[#This Row],[_Pred1IDText]]&amp;IF(AND(Tasks[[#This Row],[_Pred1IDText]]&lt;&gt;"",Tasks[[#This Row],[_Pred2IDText]]&lt;&gt;""),",","")&amp;Tasks[[#This Row],[_Pred2IDText]])</f>
        <v/>
      </c>
      <c r="AQ203" s="30"/>
      <c r="AR203" s="25" t="str">
        <f aca="false">IF(Tasks[[#This Row],[Task Name]]="","",Tasks[[#This Row],[Forecast Start]])</f>
        <v/>
      </c>
      <c r="AS203" s="25" t="str">
        <f aca="false">IF(Tasks[[#This Row],[Task Name]]="","",Tasks[[#This Row],[Forecast Finish]])</f>
        <v/>
      </c>
      <c r="AT203" s="28" t="str">
        <f aca="false">IF(Tasks[[#This Row],[Task Name]]="","",IF(Tasks[[#This Row],[_IsSummary]],NETWORKDAYS.INTL(Tasks[[#This Row],[Forecast Start]],Tasks[[#This Row],[Forecast Finish]],WorkWeek,Holidays),N(Tasks[[#This Row],[Duration]])))</f>
        <v/>
      </c>
      <c r="AU203" s="95" t="str">
        <f aca="false">IF(Tasks[[#This Row],[Task Name]]="","",Tasks[[#This Row],[Work]])</f>
        <v/>
      </c>
      <c r="AV203" s="96" t="str">
        <f aca="false">IF(Tasks[[#This Row],[Task Name]]="","",Tasks[[#This Row],[Cost]])</f>
        <v/>
      </c>
      <c r="AW203" s="73"/>
      <c r="AX203" s="73"/>
      <c r="AY203" s="29"/>
      <c r="AZ203" s="98"/>
      <c r="BA203" s="97"/>
      <c r="BB203" s="28" t="str">
        <f aca="false">IF(OR(Tasks[[#This Row],[Task Name]]="",Tasks[[#This Row],[Baseline Duration]]=""),"",Tasks[[#This Row],[BL Source Duration]]-N(Tasks[[#This Row],[Baseline Duration]]))</f>
        <v/>
      </c>
      <c r="BC203" s="95" t="str">
        <f aca="false">IF(OR(Tasks[[#This Row],[Task Name]]="",Tasks[[#This Row],[Baseline Work]]=""),"",Tasks[[#This Row],[Work]]-N(Tasks[[#This Row],[Baseline Work]]))</f>
        <v/>
      </c>
      <c r="BD203" s="96" t="str">
        <f aca="false">IF(OR(Tasks[[#This Row],[Task Name]]="",Tasks[[#This Row],[Baseline Cost]]=""),"",Tasks[[#This Row],[Cost]]-N(Tasks[[#This Row],[Baseline Cost]]))</f>
        <v/>
      </c>
      <c r="BE203" s="96" t="str">
        <f aca="false">IF(Tasks[[#This Row],[Task Name]]="","",IF(Tasks[[#This Row],[_IsSummary]],SUM(INDEX(Tasks[_LeafBudget],Tasks[[#This Row],[_Row]]+1):INDEX(Tasks[_LeafBudget],Tasks[[#This Row],[_Row]]+Tasks[[#This Row],[_Descendants]])),Tasks[[#This Row],[_LeafBudget]]))</f>
        <v/>
      </c>
      <c r="BF203" s="96" t="str">
        <f aca="false">IF(Tasks[[#This Row],[Task Name]]="","",IF(Tasks[[#This Row],[_IsSummary]],SUM(INDEX(Tasks[_LeafPV],Tasks[[#This Row],[_Row]]+1):INDEX(Tasks[_LeafPV],Tasks[[#This Row],[_Row]]+Tasks[[#This Row],[_Descendants]])),Tasks[[#This Row],[_LeafPV]]))</f>
        <v/>
      </c>
      <c r="BG203" s="96" t="str">
        <f aca="false">IF(Tasks[[#This Row],[Task Name]]="","",IF(Tasks[[#This Row],[_IsSummary]],SUM(INDEX(Tasks[_LeafEV],Tasks[[#This Row],[_Row]]+1):INDEX(Tasks[_LeafEV],Tasks[[#This Row],[_Row]]+Tasks[[#This Row],[_Descendants]])),Tasks[[#This Row],[_LeafEV]]))</f>
        <v/>
      </c>
      <c r="BH203" s="96" t="str">
        <f aca="false">IF(Tasks[[#This Row],[Task Name]]="","",IF(Tasks[[#This Row],[_IsSummary]],SUM(INDEX(Tasks[_LeafAC],Tasks[[#This Row],[_Row]]+1):INDEX(Tasks[_LeafAC],Tasks[[#This Row],[_Row]]+Tasks[[#This Row],[_Descendants]])),Tasks[[#This Row],[_LeafAC]]))</f>
        <v/>
      </c>
      <c r="BI203" s="41" t="str">
        <f aca="false">IF(Tasks[[#This Row],[Task Name]]="","",MAX(1,N(Tasks[[#This Row],[Level]])))</f>
        <v/>
      </c>
      <c r="BJ203" s="41" t="n">
        <f aca="false">ROW()-ROW(Tasks[[#Headers],[ID]])</f>
        <v>198</v>
      </c>
      <c r="BK203" s="41" t="n">
        <f aca="false">IF(OR(Tasks[[#This Row],[Task Name]]="",Tasks[[#This Row],[_Level]]&lt;=1),0,IFERROR(LOOKUP(2,1/(Tasks[[#Headers],[_Level]]:Tasks[[#This Row],[_Level]]=Tasks[[#This Row],[_Level]]-1),ROW(Tasks[[#Headers],[_Level]]:Tasks[[#This Row],[_Level]])),0))</f>
        <v>0</v>
      </c>
      <c r="BL203" s="41" t="n">
        <f aca="false">IFERROR(N(INDEX(Tasks[_Level],Tasks[[#This Row],[_Row]]+1)),0)</f>
        <v>0</v>
      </c>
      <c r="BM203" s="99" t="b">
        <f aca="false">AND(Tasks[[#This Row],[Task Name]]&lt;&gt;"",Tasks[[#This Row],[_NextLevel]]&gt;Tasks[[#This Row],[_Level]])</f>
        <v>0</v>
      </c>
      <c r="BN203" s="41" t="n">
        <f aca="false">IF(Tasks[[#This Row],[_IsSummary]],COUNTIF(Tasks[WBS],Tasks[[#This Row],[WBS]]&amp;".*"),0)</f>
        <v>0</v>
      </c>
      <c r="BO203" s="41" t="n">
        <f aca="false">IF(AND(Tasks[[#This Row],[Task Name]]&lt;&gt;"",NOT(Tasks[[#This Row],[_IsSummary]])),1,0)</f>
        <v>0</v>
      </c>
      <c r="BP203" s="41" t="n">
        <f aca="false">IF(N(Tasks[[#This Row],[Pred1 UID]])=0,0,IFERROR(MATCH(Tasks[[#This Row],[Pred1 UID]],Tasks[UID],0),-1))</f>
        <v>0</v>
      </c>
      <c r="BQ203" s="41" t="n">
        <f aca="false">IF(N(Tasks[[#This Row],[Pred2 UID]])=0,0,IFERROR(MATCH(Tasks[[#This Row],[Pred2 UID]],Tasks[UID],0),-1))</f>
        <v>0</v>
      </c>
      <c r="BR203"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03" s="100" t="str">
        <f aca="false">IF(NOT(Tasks[[#This Row],[_IsLeaf]]=1),"",IF(N(Tasks[[#This Row],[Duration]])&lt;=0,Tasks[[#This Row],[_LeafCalcStart]],WORKDAY.INTL(Tasks[[#This Row],[_LeafCalcStart]],Tasks[[#This Row],[Duration]]-1,WorkWeek,Holidays)))</f>
        <v/>
      </c>
      <c r="BT203"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03"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03" s="41" t="n">
        <f aca="false">IF(NOT(Tasks[[#This Row],[_IsLeaf]]=1),0,IF(N(Tasks[[#This Row],[Actual Finish]])&gt;0,1,MIN(1,N(Tasks[[#This Row],[% Complete]]))))</f>
        <v>0</v>
      </c>
      <c r="BW203" s="41" t="n">
        <f aca="false">IF(OR(NOT(Tasks[[#This Row],[_IsLeaf]]=1),Tasks[[#This Row],[Resource]]=""),0,N(Tasks[[#This Row],[Duration]])*HoursPerDay*IF(Tasks[[#This Row],[Units]]="",DefaultUnits,Tasks[[#This Row],[Units]]))</f>
        <v>0</v>
      </c>
      <c r="BX203" s="41" t="n">
        <f aca="false">IF(Tasks[[#This Row],[_LeafWork]]=0,0,Tasks[[#This Row],[_LeafWork]]*IFERROR(INDEX(res_Rate,MATCH(Tasks[[#This Row],[Resource]],res_Name,0)),0))</f>
        <v>0</v>
      </c>
      <c r="BY20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0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0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0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03" s="41" t="n">
        <f aca="false">IF(NOT(Tasks[[#This Row],[_IsLeaf]]=1),0,MAX(_xlfn.MAXIFS(Tasks[_Row],Tasks[Pred1 UID],Tasks[[#This Row],[UID]]),_xlfn.MAXIFS(Tasks[_Row],Tasks[Pred2 UID],Tasks[[#This Row],[UID]])))</f>
        <v>0</v>
      </c>
      <c r="CD203"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03" s="100" t="str">
        <f aca="false">IF(NOT(Tasks[[#This Row],[_IsLeaf]]=1),"",MIN(ProjectFinish,IF(N(Tasks[[#This Row],[Deadline]])&gt;0,Tasks[[#This Row],[Deadline]],2958465),Tasks[[#This Row],[_SuccessorFinishLimit]]))</f>
        <v/>
      </c>
      <c r="CF203" s="100" t="str">
        <f aca="false">IF(NOT(Tasks[[#This Row],[_IsLeaf]]=1),"",IF(N(Tasks[[#This Row],[Duration]])&lt;=0,Tasks[[#This Row],[_LeafLateFinish]],WORKDAY.INTL(Tasks[[#This Row],[_LeafLateFinish]],-(Tasks[[#This Row],[Duration]]-1),WorkWeek,Holidays)))</f>
        <v/>
      </c>
      <c r="CG20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03" s="99" t="b">
        <f aca="false">AND(Tasks[[#This Row],[_IsLeaf]]=1,Tasks[[#This Row],[_LeafProgress]]&lt;1,N(Tasks[[#This Row],[_LeafTotalSlack]])&lt;=CriticalSlackDays)</f>
        <v>0</v>
      </c>
      <c r="CI203" s="100" t="str">
        <f aca="false">IF(Tasks[[#This Row],[Task Name]]="","",IF(Tasks[[#This Row],[_IsSummary]],MIN(INDEX(Tasks[_LeafCalcStart],Tasks[[#This Row],[_Row]]+1):INDEX(Tasks[_LeafCalcStart],Tasks[[#This Row],[_Row]]+Tasks[[#This Row],[_Descendants]])),Tasks[[#This Row],[_LeafCalcStart]]))</f>
        <v/>
      </c>
      <c r="CJ203" s="100" t="str">
        <f aca="false">IF(Tasks[[#This Row],[Task Name]]="","",IF(Tasks[[#This Row],[_IsSummary]],MAX(INDEX(Tasks[_LeafCalcFinish],Tasks[[#This Row],[_Row]]+1):INDEX(Tasks[_LeafCalcFinish],Tasks[[#This Row],[_Row]]+Tasks[[#This Row],[_Descendants]])),Tasks[[#This Row],[_LeafCalcFinish]]))</f>
        <v/>
      </c>
      <c r="CK20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0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03"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03"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03"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03"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03" s="41" t="n">
        <f aca="false">IF(AND(Tasks[[#This Row],[_IsLeaf]]=1,Tasks[[#This Row],[_LeafWork]]&gt;0),NETWORKDAYS.INTL(ProjectStart,Tasks[[#This Row],[_LeafFcstStart]],WorkWeek,Holidays),0)</f>
        <v>0</v>
      </c>
      <c r="CR203" s="41" t="n">
        <f aca="false">IF(AND(Tasks[[#This Row],[_IsLeaf]]=1,Tasks[[#This Row],[_LeafWork]]&gt;0),MAX(Tasks[[#This Row],[_StartWorkday]],NETWORKDAYS.INTL(ProjectStart,Tasks[[#This Row],[_LeafFcstFinish]],WorkWeek,Holidays)),0)</f>
        <v>0</v>
      </c>
      <c r="CS203" s="41" t="n">
        <f aca="false">IF(AND(Tasks[[#This Row],[_IsLeaf]]=1,Tasks[[#This Row],[_LeafWork]]&gt;0),Tasks[[#This Row],[_LeafWork]]/(Tasks[[#This Row],[_FinishWorkday]]-Tasks[[#This Row],[_StartWorkday]]+1),0)</f>
        <v>0</v>
      </c>
      <c r="CT203" s="41" t="n">
        <f aca="false">Tasks[[#This Row],[_WorkPerWorkday]]*(Tasks[[#This Row],[_StartWorkday]]-1)</f>
        <v>-0</v>
      </c>
      <c r="CU203" s="41" t="n">
        <f aca="false">IF(Tasks[[#This Row],[_IsLeaf]]=1,MAX(N(Tasks[[#This Row],[Duration]]),0.1),0)</f>
        <v>0</v>
      </c>
      <c r="CV203" s="41" t="n">
        <f aca="false">Tasks[[#This Row],[_WeightDur]]*Tasks[[#This Row],[_LeafProgress]]</f>
        <v>0</v>
      </c>
      <c r="CW20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0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0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0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03" s="41" t="str">
        <f aca="false">IF(Tasks[[#This Row],[Task Name]]="","",Tasks[[#This Row],[_Pred1UIDText]]&amp;IF(AND(Tasks[[#This Row],[_Pred1UIDText]]&lt;&gt;"",Tasks[[#This Row],[_Pred2UIDText]]&lt;&gt;""),",","")&amp;Tasks[[#This Row],[_Pred2UIDText]])</f>
        <v/>
      </c>
      <c r="DB203" s="41" t="str">
        <f aca="false">IF(AND(Tasks[[#This Row],[_IsLeaf]]=1,N(Tasks[[#This Row],[Duration]])=0,Tasks[[#This Row],[_LeafProgress]]&lt;1),Tasks[[#This Row],[_LeafFcstFinish]]+Tasks[[#This Row],[_Row]]/100000,"")</f>
        <v/>
      </c>
      <c r="DC20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03" s="41" t="n">
        <f aca="false">IF(NOT(Tasks[[#This Row],[_IsLeaf]]=1),0,IF(Tasks[[#This Row],[Baseline Cost]]="",Tasks[[#This Row],[_LeafCost]],N(Tasks[[#This Row],[Baseline Cost]])))</f>
        <v>0</v>
      </c>
      <c r="DE203" s="41" t="n">
        <f aca="false">Tasks[[#This Row],[_LeafBudget]]*Tasks[[#This Row],[_PlannedPct]]</f>
        <v>0</v>
      </c>
      <c r="DF203" s="41" t="n">
        <f aca="false">Tasks[[#This Row],[_LeafBudget]]*Tasks[[#This Row],[_LeafProgress]]</f>
        <v>0</v>
      </c>
      <c r="DG203" s="41" t="n">
        <f aca="false">IF(NOT(Tasks[[#This Row],[_IsLeaf]]=1),0,IF(Tasks[[#This Row],[Actual Cost]]="",Tasks[[#This Row],[_LeafCost]]*Tasks[[#This Row],[_LeafProgress]],N(Tasks[[#This Row],[Actual Cost]])))</f>
        <v>0</v>
      </c>
      <c r="DH203" s="41" t="str">
        <f aca="false">IF(Tasks[[#This Row],[Task Name]]="","",LEFT(Tasks[[#This Row],[WBS]],FIND(".",Tasks[[#This Row],[WBS]]&amp;".")-1))</f>
        <v/>
      </c>
      <c r="DI203" s="41" t="str">
        <f aca="false">IF(AND(Tasks[[#This Row],[Task Name]]&lt;&gt;"",Tasks[[#This Row],[_Level]]=1),Tasks[[#This Row],[_Row]],"")</f>
        <v/>
      </c>
      <c r="DJ203" s="41" t="str">
        <f aca="false">IF(AND(Tasks[[#This Row],[_IsLeaf]]=1,N(Tasks[[#This Row],[Duration]])=0),Tasks[[#This Row],[Planned Finish]]+Tasks[[#This Row],[_Row]]/100000,"")</f>
        <v/>
      </c>
      <c r="DK203" s="41" t="str">
        <f aca="false">IF(AND(Tasks[[#This Row],[_IsLeaf]]=1,Tasks[[#This Row],[_LeafProgress]]&lt;1,OR(N(Tasks[[#This Row],[Finish Var]])&gt;0,Tasks[[#This Row],[Status]]="Late Start")),MAX(0,Tasks[[#This Row],[Finish Var]])+1-Tasks[[#This Row],[_Row]]/1000000,"")</f>
        <v/>
      </c>
      <c r="DL203" s="41" t="str">
        <f aca="false">IF(AND(Tasks[[#This Row],[_IsLeaf]]=1,N(Tasks[[#This Row],[Actual Start]])=0,Tasks[[#This Row],[_LeafFcstStart]]&gt;=StatusDate,Tasks[[#This Row],[_LeafFcstStart]]&lt;=LookaheadEnd),Tasks[[#This Row],[_LeafFcstStart]]+Tasks[[#This Row],[_Row]]/100000,"")</f>
        <v/>
      </c>
      <c r="DM203" s="41" t="str">
        <f aca="false">IF(AND(Tasks[[#This Row],[_IsLeaf]]=1,Tasks[[#This Row],[_LeafProgress]]&lt;1,Tasks[[#This Row],[_LeafFcstFinish]]&gt;=StatusDate,Tasks[[#This Row],[_LeafFcstFinish]]&lt;=LookaheadEnd),Tasks[[#This Row],[_LeafFcstFinish]]+Tasks[[#This Row],[_Row]]/100000,"")</f>
        <v/>
      </c>
      <c r="DN203" s="41" t="str">
        <f aca="false">IF(Tasks[[#This Row],[_LeafCritical]],Tasks[[#This Row],[_LeafFcstStart]]+Tasks[[#This Row],[_Row]]/100000,"")</f>
        <v/>
      </c>
      <c r="DO203" s="41" t="n">
        <f aca="false">Tasks[[#This Row],[_LeafWork]]*Tasks[[#This Row],[_LeafProgress]]</f>
        <v>0</v>
      </c>
      <c r="DP203" s="100" t="str">
        <f aca="false">IF(AND(Tasks[[#This Row],[_IsLeaf]]=1,Tasks[[#This Row],[_LeafProgress]]&gt;=1),IF(N(Tasks[[#This Row],[Actual Finish]])&gt;0,Tasks[[#This Row],[Actual Finish]],Tasks[[#This Row],[_LeafFcstFinish]]),"")</f>
        <v/>
      </c>
      <c r="DQ203" s="41" t="n">
        <f aca="false">IF(Tasks[[#This Row],[_IsLeaf]]=1,N(Tasks[[#This Row],[Story Points]]),0)</f>
        <v>0</v>
      </c>
      <c r="DR203" s="41" t="str">
        <f aca="false">IF(AND(Tasks[[#This Row],[_IsLeaf]]=1,CurrentSprint&lt;&gt;"",Tasks[[#This Row],[Sprint]]=CurrentSprint),Tasks[[#This Row],[_Row]],"")</f>
        <v/>
      </c>
    </row>
    <row r="204" customFormat="false" ht="15" hidden="false" customHeight="false" outlineLevel="0" collapsed="false">
      <c r="A204" s="28" t="str">
        <f aca="false">IF(Tasks[[#This Row],[Task Name]]="","",COUNTA(Tasks[[#Headers],[Task Name]]:Tasks[[#This Row],[Task Name]])-1)</f>
        <v/>
      </c>
      <c r="B204" s="29" t="n">
        <v>199</v>
      </c>
      <c r="C20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4" s="29"/>
      <c r="E204" s="30"/>
      <c r="F204" s="29"/>
      <c r="G204" s="29"/>
      <c r="H204" s="29"/>
      <c r="I204" s="29"/>
      <c r="J204" s="29"/>
      <c r="K204" s="29"/>
      <c r="L204" s="29"/>
      <c r="M204" s="29"/>
      <c r="N204" s="73"/>
      <c r="O204" s="73"/>
      <c r="P204" s="25" t="str">
        <f aca="false">IF(Tasks[[#This Row],[Task Name]]="","",IF(N(Tasks[[#This Row],[Baseline Start]])&gt;0,Tasks[[#This Row],[Baseline Start]],Tasks[[#This Row],[_CalcStart]]))</f>
        <v/>
      </c>
      <c r="Q204" s="25" t="str">
        <f aca="false">IF(Tasks[[#This Row],[Task Name]]="","",IF(N(Tasks[[#This Row],[Baseline Finish]])&gt;0,Tasks[[#This Row],[Baseline Finish]],Tasks[[#This Row],[_CalcFinish]]))</f>
        <v/>
      </c>
      <c r="R204" s="73"/>
      <c r="S204" s="73"/>
      <c r="T204" s="25" t="str">
        <f aca="false">IF(Tasks[[#This Row],[Task Name]]="","",IF(Tasks[[#This Row],[_IsSummary]],MIN(INDEX(Tasks[_LeafFcstStart],Tasks[[#This Row],[_Row]]+1):INDEX(Tasks[_LeafFcstStart],Tasks[[#This Row],[_Row]]+Tasks[[#This Row],[_Descendants]])),Tasks[[#This Row],[_LeafFcstStart]]))</f>
        <v/>
      </c>
      <c r="U204" s="25" t="str">
        <f aca="false">IF(Tasks[[#This Row],[Task Name]]="","",IF(Tasks[[#This Row],[_IsSummary]],MAX(INDEX(Tasks[_LeafFcstFinish],Tasks[[#This Row],[_Row]]+1):INDEX(Tasks[_LeafFcstFinish],Tasks[[#This Row],[_Row]]+Tasks[[#This Row],[_Descendants]])),Tasks[[#This Row],[_LeafFcstFinish]]))</f>
        <v/>
      </c>
      <c r="V20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20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4" s="25" t="str">
        <f aca="false">IF(Tasks[[#This Row],[Task Name]]="","",IF(Tasks[[#This Row],[_IsSummary]],MIN(INDEX(Tasks[_LeafLateStart],Tasks[[#This Row],[_Row]]+1):INDEX(Tasks[_LeafLateStart],Tasks[[#This Row],[_Row]]+Tasks[[#This Row],[_Descendants]])),Tasks[[#This Row],[_LeafLateStart]]))</f>
        <v/>
      </c>
      <c r="Y204" s="25" t="str">
        <f aca="false">IF(Tasks[[#This Row],[Task Name]]="","",IF(Tasks[[#This Row],[_IsSummary]],MAX(INDEX(Tasks[_LeafLateFinish],Tasks[[#This Row],[_Row]]+1):INDEX(Tasks[_LeafLateFinish],Tasks[[#This Row],[_Row]]+Tasks[[#This Row],[_Descendants]])),Tasks[[#This Row],[_LeafLateFinish]]))</f>
        <v/>
      </c>
      <c r="Z204" s="43" t="str">
        <f aca="false">IF(Tasks[[#This Row],[Task Name]]="","",IF(Tasks[[#This Row],[_IsSummary]],MIN(INDEX(Tasks[_LeafTotalSlack],Tasks[[#This Row],[_Row]]+1):INDEX(Tasks[_LeafTotalSlack],Tasks[[#This Row],[_Row]]+Tasks[[#This Row],[_Descendants]])),Tasks[[#This Row],[_LeafTotalSlack]]))</f>
        <v/>
      </c>
      <c r="AA20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4" s="28" t="str">
        <f aca="false">IF(Tasks[[#This Row],[Task Name]]="","",IF(IF(Tasks[[#This Row],[_IsSummary]],COUNTIF(INDEX(Tasks[_LeafCritical],Tasks[[#This Row],[_Row]]+1):INDEX(Tasks[_LeafCritical],Tasks[[#This Row],[_Row]]+Tasks[[#This Row],[_Descendants]]),TRUE())&gt;0,Tasks[[#This Row],[_LeafCritical]]),"Yes",""))</f>
        <v/>
      </c>
      <c r="AC20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4" s="24" t="str">
        <f aca="false">IF(Tasks[[#This Row],[Task Name]]="","",TRIM(IF(Tasks[[#This Row],[_Pred1Problem]]&lt;&gt;"","Pred 1: "&amp;Tasks[[#This Row],[_Pred1Problem]]&amp;". ","")&amp;IF(Tasks[[#This Row],[_Pred2Problem]]&lt;&gt;"","Pred 2: "&amp;Tasks[[#This Row],[_Pred2Problem]]&amp;".","")))</f>
        <v/>
      </c>
      <c r="AE204" s="88"/>
      <c r="AF204"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4" s="28" t="str">
        <f aca="false">IF(Tasks[[#This Row],[Task Name]]="","",IF(Tasks[[#This Row],[Progress]]&gt;=1,"Complete",IF(OR(N(Tasks[[#This Row],[Actual Start]])&gt;0,Tasks[[#This Row],[Progress]]&gt;0),IF(Tasks[[#This Row],[Finish Var]]&gt;0,"Behind","In Progress"),IF(Tasks[[#This Row],[Planned Start]]&lt;StatusDate,"Late Start","Not Started"))))</f>
        <v/>
      </c>
      <c r="AH204" s="30"/>
      <c r="AI204" s="88"/>
      <c r="AJ204" s="95" t="str">
        <f aca="false">IF(Tasks[[#This Row],[Task Name]]="","",IF(Tasks[[#This Row],[_IsSummary]],SUM(INDEX(Tasks[_LeafWork],Tasks[[#This Row],[_Row]]+1):INDEX(Tasks[_LeafWork],Tasks[[#This Row],[_Row]]+Tasks[[#This Row],[_Descendants]])),Tasks[[#This Row],[_LeafWork]]))</f>
        <v/>
      </c>
      <c r="AK204" s="96" t="str">
        <f aca="false">IF(Tasks[[#This Row],[Task Name]]="","",IF(Tasks[[#This Row],[_IsSummary]],SUM(INDEX(Tasks[_LeafCost],Tasks[[#This Row],[_Row]]+1):INDEX(Tasks[_LeafCost],Tasks[[#This Row],[_Row]]+Tasks[[#This Row],[_Descendants]])),Tasks[[#This Row],[_LeafCost]]))</f>
        <v/>
      </c>
      <c r="AL204" s="97"/>
      <c r="AM204" s="29"/>
      <c r="AN20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04" s="82"/>
      <c r="AP204" s="24" t="str">
        <f aca="false">IF(Tasks[[#This Row],[Task Name]]="","",Tasks[[#This Row],[_Pred1IDText]]&amp;IF(AND(Tasks[[#This Row],[_Pred1IDText]]&lt;&gt;"",Tasks[[#This Row],[_Pred2IDText]]&lt;&gt;""),",","")&amp;Tasks[[#This Row],[_Pred2IDText]])</f>
        <v/>
      </c>
      <c r="AQ204" s="30"/>
      <c r="AR204" s="25" t="str">
        <f aca="false">IF(Tasks[[#This Row],[Task Name]]="","",Tasks[[#This Row],[Forecast Start]])</f>
        <v/>
      </c>
      <c r="AS204" s="25" t="str">
        <f aca="false">IF(Tasks[[#This Row],[Task Name]]="","",Tasks[[#This Row],[Forecast Finish]])</f>
        <v/>
      </c>
      <c r="AT204" s="28" t="str">
        <f aca="false">IF(Tasks[[#This Row],[Task Name]]="","",IF(Tasks[[#This Row],[_IsSummary]],NETWORKDAYS.INTL(Tasks[[#This Row],[Forecast Start]],Tasks[[#This Row],[Forecast Finish]],WorkWeek,Holidays),N(Tasks[[#This Row],[Duration]])))</f>
        <v/>
      </c>
      <c r="AU204" s="95" t="str">
        <f aca="false">IF(Tasks[[#This Row],[Task Name]]="","",Tasks[[#This Row],[Work]])</f>
        <v/>
      </c>
      <c r="AV204" s="96" t="str">
        <f aca="false">IF(Tasks[[#This Row],[Task Name]]="","",Tasks[[#This Row],[Cost]])</f>
        <v/>
      </c>
      <c r="AW204" s="73"/>
      <c r="AX204" s="73"/>
      <c r="AY204" s="29"/>
      <c r="AZ204" s="98"/>
      <c r="BA204" s="97"/>
      <c r="BB204" s="28" t="str">
        <f aca="false">IF(OR(Tasks[[#This Row],[Task Name]]="",Tasks[[#This Row],[Baseline Duration]]=""),"",Tasks[[#This Row],[BL Source Duration]]-N(Tasks[[#This Row],[Baseline Duration]]))</f>
        <v/>
      </c>
      <c r="BC204" s="95" t="str">
        <f aca="false">IF(OR(Tasks[[#This Row],[Task Name]]="",Tasks[[#This Row],[Baseline Work]]=""),"",Tasks[[#This Row],[Work]]-N(Tasks[[#This Row],[Baseline Work]]))</f>
        <v/>
      </c>
      <c r="BD204" s="96" t="str">
        <f aca="false">IF(OR(Tasks[[#This Row],[Task Name]]="",Tasks[[#This Row],[Baseline Cost]]=""),"",Tasks[[#This Row],[Cost]]-N(Tasks[[#This Row],[Baseline Cost]]))</f>
        <v/>
      </c>
      <c r="BE204" s="96" t="str">
        <f aca="false">IF(Tasks[[#This Row],[Task Name]]="","",IF(Tasks[[#This Row],[_IsSummary]],SUM(INDEX(Tasks[_LeafBudget],Tasks[[#This Row],[_Row]]+1):INDEX(Tasks[_LeafBudget],Tasks[[#This Row],[_Row]]+Tasks[[#This Row],[_Descendants]])),Tasks[[#This Row],[_LeafBudget]]))</f>
        <v/>
      </c>
      <c r="BF204" s="96" t="str">
        <f aca="false">IF(Tasks[[#This Row],[Task Name]]="","",IF(Tasks[[#This Row],[_IsSummary]],SUM(INDEX(Tasks[_LeafPV],Tasks[[#This Row],[_Row]]+1):INDEX(Tasks[_LeafPV],Tasks[[#This Row],[_Row]]+Tasks[[#This Row],[_Descendants]])),Tasks[[#This Row],[_LeafPV]]))</f>
        <v/>
      </c>
      <c r="BG204" s="96" t="str">
        <f aca="false">IF(Tasks[[#This Row],[Task Name]]="","",IF(Tasks[[#This Row],[_IsSummary]],SUM(INDEX(Tasks[_LeafEV],Tasks[[#This Row],[_Row]]+1):INDEX(Tasks[_LeafEV],Tasks[[#This Row],[_Row]]+Tasks[[#This Row],[_Descendants]])),Tasks[[#This Row],[_LeafEV]]))</f>
        <v/>
      </c>
      <c r="BH204" s="96" t="str">
        <f aca="false">IF(Tasks[[#This Row],[Task Name]]="","",IF(Tasks[[#This Row],[_IsSummary]],SUM(INDEX(Tasks[_LeafAC],Tasks[[#This Row],[_Row]]+1):INDEX(Tasks[_LeafAC],Tasks[[#This Row],[_Row]]+Tasks[[#This Row],[_Descendants]])),Tasks[[#This Row],[_LeafAC]]))</f>
        <v/>
      </c>
      <c r="BI204" s="41" t="str">
        <f aca="false">IF(Tasks[[#This Row],[Task Name]]="","",MAX(1,N(Tasks[[#This Row],[Level]])))</f>
        <v/>
      </c>
      <c r="BJ204" s="41" t="n">
        <f aca="false">ROW()-ROW(Tasks[[#Headers],[ID]])</f>
        <v>199</v>
      </c>
      <c r="BK204" s="41" t="n">
        <f aca="false">IF(OR(Tasks[[#This Row],[Task Name]]="",Tasks[[#This Row],[_Level]]&lt;=1),0,IFERROR(LOOKUP(2,1/(Tasks[[#Headers],[_Level]]:Tasks[[#This Row],[_Level]]=Tasks[[#This Row],[_Level]]-1),ROW(Tasks[[#Headers],[_Level]]:Tasks[[#This Row],[_Level]])),0))</f>
        <v>0</v>
      </c>
      <c r="BL204" s="41" t="n">
        <f aca="false">IFERROR(N(INDEX(Tasks[_Level],Tasks[[#This Row],[_Row]]+1)),0)</f>
        <v>0</v>
      </c>
      <c r="BM204" s="99" t="b">
        <f aca="false">AND(Tasks[[#This Row],[Task Name]]&lt;&gt;"",Tasks[[#This Row],[_NextLevel]]&gt;Tasks[[#This Row],[_Level]])</f>
        <v>0</v>
      </c>
      <c r="BN204" s="41" t="n">
        <f aca="false">IF(Tasks[[#This Row],[_IsSummary]],COUNTIF(Tasks[WBS],Tasks[[#This Row],[WBS]]&amp;".*"),0)</f>
        <v>0</v>
      </c>
      <c r="BO204" s="41" t="n">
        <f aca="false">IF(AND(Tasks[[#This Row],[Task Name]]&lt;&gt;"",NOT(Tasks[[#This Row],[_IsSummary]])),1,0)</f>
        <v>0</v>
      </c>
      <c r="BP204" s="41" t="n">
        <f aca="false">IF(N(Tasks[[#This Row],[Pred1 UID]])=0,0,IFERROR(MATCH(Tasks[[#This Row],[Pred1 UID]],Tasks[UID],0),-1))</f>
        <v>0</v>
      </c>
      <c r="BQ204" s="41" t="n">
        <f aca="false">IF(N(Tasks[[#This Row],[Pred2 UID]])=0,0,IFERROR(MATCH(Tasks[[#This Row],[Pred2 UID]],Tasks[UID],0),-1))</f>
        <v>0</v>
      </c>
      <c r="BR204"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04" s="100" t="str">
        <f aca="false">IF(NOT(Tasks[[#This Row],[_IsLeaf]]=1),"",IF(N(Tasks[[#This Row],[Duration]])&lt;=0,Tasks[[#This Row],[_LeafCalcStart]],WORKDAY.INTL(Tasks[[#This Row],[_LeafCalcStart]],Tasks[[#This Row],[Duration]]-1,WorkWeek,Holidays)))</f>
        <v/>
      </c>
      <c r="BT204"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04"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04" s="41" t="n">
        <f aca="false">IF(NOT(Tasks[[#This Row],[_IsLeaf]]=1),0,IF(N(Tasks[[#This Row],[Actual Finish]])&gt;0,1,MIN(1,N(Tasks[[#This Row],[% Complete]]))))</f>
        <v>0</v>
      </c>
      <c r="BW204" s="41" t="n">
        <f aca="false">IF(OR(NOT(Tasks[[#This Row],[_IsLeaf]]=1),Tasks[[#This Row],[Resource]]=""),0,N(Tasks[[#This Row],[Duration]])*HoursPerDay*IF(Tasks[[#This Row],[Units]]="",DefaultUnits,Tasks[[#This Row],[Units]]))</f>
        <v>0</v>
      </c>
      <c r="BX204" s="41" t="n">
        <f aca="false">IF(Tasks[[#This Row],[_LeafWork]]=0,0,Tasks[[#This Row],[_LeafWork]]*IFERROR(INDEX(res_Rate,MATCH(Tasks[[#This Row],[Resource]],res_Name,0)),0))</f>
        <v>0</v>
      </c>
      <c r="BY20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0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0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0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04" s="41" t="n">
        <f aca="false">IF(NOT(Tasks[[#This Row],[_IsLeaf]]=1),0,MAX(_xlfn.MAXIFS(Tasks[_Row],Tasks[Pred1 UID],Tasks[[#This Row],[UID]]),_xlfn.MAXIFS(Tasks[_Row],Tasks[Pred2 UID],Tasks[[#This Row],[UID]])))</f>
        <v>0</v>
      </c>
      <c r="CD204"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04" s="100" t="str">
        <f aca="false">IF(NOT(Tasks[[#This Row],[_IsLeaf]]=1),"",MIN(ProjectFinish,IF(N(Tasks[[#This Row],[Deadline]])&gt;0,Tasks[[#This Row],[Deadline]],2958465),Tasks[[#This Row],[_SuccessorFinishLimit]]))</f>
        <v/>
      </c>
      <c r="CF204" s="100" t="str">
        <f aca="false">IF(NOT(Tasks[[#This Row],[_IsLeaf]]=1),"",IF(N(Tasks[[#This Row],[Duration]])&lt;=0,Tasks[[#This Row],[_LeafLateFinish]],WORKDAY.INTL(Tasks[[#This Row],[_LeafLateFinish]],-(Tasks[[#This Row],[Duration]]-1),WorkWeek,Holidays)))</f>
        <v/>
      </c>
      <c r="CG20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04" s="99" t="b">
        <f aca="false">AND(Tasks[[#This Row],[_IsLeaf]]=1,Tasks[[#This Row],[_LeafProgress]]&lt;1,N(Tasks[[#This Row],[_LeafTotalSlack]])&lt;=CriticalSlackDays)</f>
        <v>0</v>
      </c>
      <c r="CI204" s="100" t="str">
        <f aca="false">IF(Tasks[[#This Row],[Task Name]]="","",IF(Tasks[[#This Row],[_IsSummary]],MIN(INDEX(Tasks[_LeafCalcStart],Tasks[[#This Row],[_Row]]+1):INDEX(Tasks[_LeafCalcStart],Tasks[[#This Row],[_Row]]+Tasks[[#This Row],[_Descendants]])),Tasks[[#This Row],[_LeafCalcStart]]))</f>
        <v/>
      </c>
      <c r="CJ204" s="100" t="str">
        <f aca="false">IF(Tasks[[#This Row],[Task Name]]="","",IF(Tasks[[#This Row],[_IsSummary]],MAX(INDEX(Tasks[_LeafCalcFinish],Tasks[[#This Row],[_Row]]+1):INDEX(Tasks[_LeafCalcFinish],Tasks[[#This Row],[_Row]]+Tasks[[#This Row],[_Descendants]])),Tasks[[#This Row],[_LeafCalcFinish]]))</f>
        <v/>
      </c>
      <c r="CK20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0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04"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04"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04"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04"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04" s="41" t="n">
        <f aca="false">IF(AND(Tasks[[#This Row],[_IsLeaf]]=1,Tasks[[#This Row],[_LeafWork]]&gt;0),NETWORKDAYS.INTL(ProjectStart,Tasks[[#This Row],[_LeafFcstStart]],WorkWeek,Holidays),0)</f>
        <v>0</v>
      </c>
      <c r="CR204" s="41" t="n">
        <f aca="false">IF(AND(Tasks[[#This Row],[_IsLeaf]]=1,Tasks[[#This Row],[_LeafWork]]&gt;0),MAX(Tasks[[#This Row],[_StartWorkday]],NETWORKDAYS.INTL(ProjectStart,Tasks[[#This Row],[_LeafFcstFinish]],WorkWeek,Holidays)),0)</f>
        <v>0</v>
      </c>
      <c r="CS204" s="41" t="n">
        <f aca="false">IF(AND(Tasks[[#This Row],[_IsLeaf]]=1,Tasks[[#This Row],[_LeafWork]]&gt;0),Tasks[[#This Row],[_LeafWork]]/(Tasks[[#This Row],[_FinishWorkday]]-Tasks[[#This Row],[_StartWorkday]]+1),0)</f>
        <v>0</v>
      </c>
      <c r="CT204" s="41" t="n">
        <f aca="false">Tasks[[#This Row],[_WorkPerWorkday]]*(Tasks[[#This Row],[_StartWorkday]]-1)</f>
        <v>-0</v>
      </c>
      <c r="CU204" s="41" t="n">
        <f aca="false">IF(Tasks[[#This Row],[_IsLeaf]]=1,MAX(N(Tasks[[#This Row],[Duration]]),0.1),0)</f>
        <v>0</v>
      </c>
      <c r="CV204" s="41" t="n">
        <f aca="false">Tasks[[#This Row],[_WeightDur]]*Tasks[[#This Row],[_LeafProgress]]</f>
        <v>0</v>
      </c>
      <c r="CW20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0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0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0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04" s="41" t="str">
        <f aca="false">IF(Tasks[[#This Row],[Task Name]]="","",Tasks[[#This Row],[_Pred1UIDText]]&amp;IF(AND(Tasks[[#This Row],[_Pred1UIDText]]&lt;&gt;"",Tasks[[#This Row],[_Pred2UIDText]]&lt;&gt;""),",","")&amp;Tasks[[#This Row],[_Pred2UIDText]])</f>
        <v/>
      </c>
      <c r="DB204" s="41" t="str">
        <f aca="false">IF(AND(Tasks[[#This Row],[_IsLeaf]]=1,N(Tasks[[#This Row],[Duration]])=0,Tasks[[#This Row],[_LeafProgress]]&lt;1),Tasks[[#This Row],[_LeafFcstFinish]]+Tasks[[#This Row],[_Row]]/100000,"")</f>
        <v/>
      </c>
      <c r="DC20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04" s="41" t="n">
        <f aca="false">IF(NOT(Tasks[[#This Row],[_IsLeaf]]=1),0,IF(Tasks[[#This Row],[Baseline Cost]]="",Tasks[[#This Row],[_LeafCost]],N(Tasks[[#This Row],[Baseline Cost]])))</f>
        <v>0</v>
      </c>
      <c r="DE204" s="41" t="n">
        <f aca="false">Tasks[[#This Row],[_LeafBudget]]*Tasks[[#This Row],[_PlannedPct]]</f>
        <v>0</v>
      </c>
      <c r="DF204" s="41" t="n">
        <f aca="false">Tasks[[#This Row],[_LeafBudget]]*Tasks[[#This Row],[_LeafProgress]]</f>
        <v>0</v>
      </c>
      <c r="DG204" s="41" t="n">
        <f aca="false">IF(NOT(Tasks[[#This Row],[_IsLeaf]]=1),0,IF(Tasks[[#This Row],[Actual Cost]]="",Tasks[[#This Row],[_LeafCost]]*Tasks[[#This Row],[_LeafProgress]],N(Tasks[[#This Row],[Actual Cost]])))</f>
        <v>0</v>
      </c>
      <c r="DH204" s="41" t="str">
        <f aca="false">IF(Tasks[[#This Row],[Task Name]]="","",LEFT(Tasks[[#This Row],[WBS]],FIND(".",Tasks[[#This Row],[WBS]]&amp;".")-1))</f>
        <v/>
      </c>
      <c r="DI204" s="41" t="str">
        <f aca="false">IF(AND(Tasks[[#This Row],[Task Name]]&lt;&gt;"",Tasks[[#This Row],[_Level]]=1),Tasks[[#This Row],[_Row]],"")</f>
        <v/>
      </c>
      <c r="DJ204" s="41" t="str">
        <f aca="false">IF(AND(Tasks[[#This Row],[_IsLeaf]]=1,N(Tasks[[#This Row],[Duration]])=0),Tasks[[#This Row],[Planned Finish]]+Tasks[[#This Row],[_Row]]/100000,"")</f>
        <v/>
      </c>
      <c r="DK204" s="41" t="str">
        <f aca="false">IF(AND(Tasks[[#This Row],[_IsLeaf]]=1,Tasks[[#This Row],[_LeafProgress]]&lt;1,OR(N(Tasks[[#This Row],[Finish Var]])&gt;0,Tasks[[#This Row],[Status]]="Late Start")),MAX(0,Tasks[[#This Row],[Finish Var]])+1-Tasks[[#This Row],[_Row]]/1000000,"")</f>
        <v/>
      </c>
      <c r="DL204" s="41" t="str">
        <f aca="false">IF(AND(Tasks[[#This Row],[_IsLeaf]]=1,N(Tasks[[#This Row],[Actual Start]])=0,Tasks[[#This Row],[_LeafFcstStart]]&gt;=StatusDate,Tasks[[#This Row],[_LeafFcstStart]]&lt;=LookaheadEnd),Tasks[[#This Row],[_LeafFcstStart]]+Tasks[[#This Row],[_Row]]/100000,"")</f>
        <v/>
      </c>
      <c r="DM204" s="41" t="str">
        <f aca="false">IF(AND(Tasks[[#This Row],[_IsLeaf]]=1,Tasks[[#This Row],[_LeafProgress]]&lt;1,Tasks[[#This Row],[_LeafFcstFinish]]&gt;=StatusDate,Tasks[[#This Row],[_LeafFcstFinish]]&lt;=LookaheadEnd),Tasks[[#This Row],[_LeafFcstFinish]]+Tasks[[#This Row],[_Row]]/100000,"")</f>
        <v/>
      </c>
      <c r="DN204" s="41" t="str">
        <f aca="false">IF(Tasks[[#This Row],[_LeafCritical]],Tasks[[#This Row],[_LeafFcstStart]]+Tasks[[#This Row],[_Row]]/100000,"")</f>
        <v/>
      </c>
      <c r="DO204" s="41" t="n">
        <f aca="false">Tasks[[#This Row],[_LeafWork]]*Tasks[[#This Row],[_LeafProgress]]</f>
        <v>0</v>
      </c>
      <c r="DP204" s="100" t="str">
        <f aca="false">IF(AND(Tasks[[#This Row],[_IsLeaf]]=1,Tasks[[#This Row],[_LeafProgress]]&gt;=1),IF(N(Tasks[[#This Row],[Actual Finish]])&gt;0,Tasks[[#This Row],[Actual Finish]],Tasks[[#This Row],[_LeafFcstFinish]]),"")</f>
        <v/>
      </c>
      <c r="DQ204" s="41" t="n">
        <f aca="false">IF(Tasks[[#This Row],[_IsLeaf]]=1,N(Tasks[[#This Row],[Story Points]]),0)</f>
        <v>0</v>
      </c>
      <c r="DR204" s="41" t="str">
        <f aca="false">IF(AND(Tasks[[#This Row],[_IsLeaf]]=1,CurrentSprint&lt;&gt;"",Tasks[[#This Row],[Sprint]]=CurrentSprint),Tasks[[#This Row],[_Row]],"")</f>
        <v/>
      </c>
    </row>
    <row r="205" customFormat="false" ht="15" hidden="false" customHeight="false" outlineLevel="0" collapsed="false">
      <c r="A205" s="28" t="str">
        <f aca="false">IF(Tasks[[#This Row],[Task Name]]="","",COUNTA(Tasks[[#Headers],[Task Name]]:Tasks[[#This Row],[Task Name]])-1)</f>
        <v/>
      </c>
      <c r="B205" s="29" t="n">
        <v>200</v>
      </c>
      <c r="C20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5" s="29"/>
      <c r="E205" s="30"/>
      <c r="F205" s="29"/>
      <c r="G205" s="29"/>
      <c r="H205" s="29"/>
      <c r="I205" s="29"/>
      <c r="J205" s="29"/>
      <c r="K205" s="29"/>
      <c r="L205" s="29"/>
      <c r="M205" s="29"/>
      <c r="N205" s="73"/>
      <c r="O205" s="73"/>
      <c r="P205" s="25" t="str">
        <f aca="false">IF(Tasks[[#This Row],[Task Name]]="","",IF(N(Tasks[[#This Row],[Baseline Start]])&gt;0,Tasks[[#This Row],[Baseline Start]],Tasks[[#This Row],[_CalcStart]]))</f>
        <v/>
      </c>
      <c r="Q205" s="25" t="str">
        <f aca="false">IF(Tasks[[#This Row],[Task Name]]="","",IF(N(Tasks[[#This Row],[Baseline Finish]])&gt;0,Tasks[[#This Row],[Baseline Finish]],Tasks[[#This Row],[_CalcFinish]]))</f>
        <v/>
      </c>
      <c r="R205" s="73"/>
      <c r="S205" s="73"/>
      <c r="T205" s="25" t="str">
        <f aca="false">IF(Tasks[[#This Row],[Task Name]]="","",IF(Tasks[[#This Row],[_IsSummary]],MIN(INDEX(Tasks[_LeafFcstStart],Tasks[[#This Row],[_Row]]+1):INDEX(Tasks[_LeafFcstStart],Tasks[[#This Row],[_Row]]+Tasks[[#This Row],[_Descendants]])),Tasks[[#This Row],[_LeafFcstStart]]))</f>
        <v/>
      </c>
      <c r="U205" s="25" t="str">
        <f aca="false">IF(Tasks[[#This Row],[Task Name]]="","",IF(Tasks[[#This Row],[_IsSummary]],MAX(INDEX(Tasks[_LeafFcstFinish],Tasks[[#This Row],[_Row]]+1):INDEX(Tasks[_LeafFcstFinish],Tasks[[#This Row],[_Row]]+Tasks[[#This Row],[_Descendants]])),Tasks[[#This Row],[_LeafFcstFinish]]))</f>
        <v/>
      </c>
      <c r="V20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20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5" s="25" t="str">
        <f aca="false">IF(Tasks[[#This Row],[Task Name]]="","",IF(Tasks[[#This Row],[_IsSummary]],MIN(INDEX(Tasks[_LeafLateStart],Tasks[[#This Row],[_Row]]+1):INDEX(Tasks[_LeafLateStart],Tasks[[#This Row],[_Row]]+Tasks[[#This Row],[_Descendants]])),Tasks[[#This Row],[_LeafLateStart]]))</f>
        <v/>
      </c>
      <c r="Y205" s="25" t="str">
        <f aca="false">IF(Tasks[[#This Row],[Task Name]]="","",IF(Tasks[[#This Row],[_IsSummary]],MAX(INDEX(Tasks[_LeafLateFinish],Tasks[[#This Row],[_Row]]+1):INDEX(Tasks[_LeafLateFinish],Tasks[[#This Row],[_Row]]+Tasks[[#This Row],[_Descendants]])),Tasks[[#This Row],[_LeafLateFinish]]))</f>
        <v/>
      </c>
      <c r="Z205" s="43" t="str">
        <f aca="false">IF(Tasks[[#This Row],[Task Name]]="","",IF(Tasks[[#This Row],[_IsSummary]],MIN(INDEX(Tasks[_LeafTotalSlack],Tasks[[#This Row],[_Row]]+1):INDEX(Tasks[_LeafTotalSlack],Tasks[[#This Row],[_Row]]+Tasks[[#This Row],[_Descendants]])),Tasks[[#This Row],[_LeafTotalSlack]]))</f>
        <v/>
      </c>
      <c r="AA20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5" s="28" t="str">
        <f aca="false">IF(Tasks[[#This Row],[Task Name]]="","",IF(IF(Tasks[[#This Row],[_IsSummary]],COUNTIF(INDEX(Tasks[_LeafCritical],Tasks[[#This Row],[_Row]]+1):INDEX(Tasks[_LeafCritical],Tasks[[#This Row],[_Row]]+Tasks[[#This Row],[_Descendants]]),TRUE())&gt;0,Tasks[[#This Row],[_LeafCritical]]),"Yes",""))</f>
        <v/>
      </c>
      <c r="AC20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5" s="24" t="str">
        <f aca="false">IF(Tasks[[#This Row],[Task Name]]="","",TRIM(IF(Tasks[[#This Row],[_Pred1Problem]]&lt;&gt;"","Pred 1: "&amp;Tasks[[#This Row],[_Pred1Problem]]&amp;". ","")&amp;IF(Tasks[[#This Row],[_Pred2Problem]]&lt;&gt;"","Pred 2: "&amp;Tasks[[#This Row],[_Pred2Problem]]&amp;".","")))</f>
        <v/>
      </c>
      <c r="AE205" s="88"/>
      <c r="AF205" s="9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5" s="28" t="str">
        <f aca="false">IF(Tasks[[#This Row],[Task Name]]="","",IF(Tasks[[#This Row],[Progress]]&gt;=1,"Complete",IF(OR(N(Tasks[[#This Row],[Actual Start]])&gt;0,Tasks[[#This Row],[Progress]]&gt;0),IF(Tasks[[#This Row],[Finish Var]]&gt;0,"Behind","In Progress"),IF(Tasks[[#This Row],[Planned Start]]&lt;StatusDate,"Late Start","Not Started"))))</f>
        <v/>
      </c>
      <c r="AH205" s="30"/>
      <c r="AI205" s="88"/>
      <c r="AJ205" s="95" t="str">
        <f aca="false">IF(Tasks[[#This Row],[Task Name]]="","",IF(Tasks[[#This Row],[_IsSummary]],SUM(INDEX(Tasks[_LeafWork],Tasks[[#This Row],[_Row]]+1):INDEX(Tasks[_LeafWork],Tasks[[#This Row],[_Row]]+Tasks[[#This Row],[_Descendants]])),Tasks[[#This Row],[_LeafWork]]))</f>
        <v/>
      </c>
      <c r="AK205" s="96" t="str">
        <f aca="false">IF(Tasks[[#This Row],[Task Name]]="","",IF(Tasks[[#This Row],[_IsSummary]],SUM(INDEX(Tasks[_LeafCost],Tasks[[#This Row],[_Row]]+1):INDEX(Tasks[_LeafCost],Tasks[[#This Row],[_Row]]+Tasks[[#This Row],[_Descendants]])),Tasks[[#This Row],[_LeafCost]]))</f>
        <v/>
      </c>
      <c r="AL205" s="97"/>
      <c r="AM205" s="29"/>
      <c r="AN20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05" s="82"/>
      <c r="AP205" s="24" t="str">
        <f aca="false">IF(Tasks[[#This Row],[Task Name]]="","",Tasks[[#This Row],[_Pred1IDText]]&amp;IF(AND(Tasks[[#This Row],[_Pred1IDText]]&lt;&gt;"",Tasks[[#This Row],[_Pred2IDText]]&lt;&gt;""),",","")&amp;Tasks[[#This Row],[_Pred2IDText]])</f>
        <v/>
      </c>
      <c r="AQ205" s="30"/>
      <c r="AR205" s="25" t="str">
        <f aca="false">IF(Tasks[[#This Row],[Task Name]]="","",Tasks[[#This Row],[Forecast Start]])</f>
        <v/>
      </c>
      <c r="AS205" s="25" t="str">
        <f aca="false">IF(Tasks[[#This Row],[Task Name]]="","",Tasks[[#This Row],[Forecast Finish]])</f>
        <v/>
      </c>
      <c r="AT205" s="28" t="str">
        <f aca="false">IF(Tasks[[#This Row],[Task Name]]="","",IF(Tasks[[#This Row],[_IsSummary]],NETWORKDAYS.INTL(Tasks[[#This Row],[Forecast Start]],Tasks[[#This Row],[Forecast Finish]],WorkWeek,Holidays),N(Tasks[[#This Row],[Duration]])))</f>
        <v/>
      </c>
      <c r="AU205" s="95" t="str">
        <f aca="false">IF(Tasks[[#This Row],[Task Name]]="","",Tasks[[#This Row],[Work]])</f>
        <v/>
      </c>
      <c r="AV205" s="96" t="str">
        <f aca="false">IF(Tasks[[#This Row],[Task Name]]="","",Tasks[[#This Row],[Cost]])</f>
        <v/>
      </c>
      <c r="AW205" s="73"/>
      <c r="AX205" s="73"/>
      <c r="AY205" s="29"/>
      <c r="AZ205" s="98"/>
      <c r="BA205" s="97"/>
      <c r="BB205" s="28" t="str">
        <f aca="false">IF(OR(Tasks[[#This Row],[Task Name]]="",Tasks[[#This Row],[Baseline Duration]]=""),"",Tasks[[#This Row],[BL Source Duration]]-N(Tasks[[#This Row],[Baseline Duration]]))</f>
        <v/>
      </c>
      <c r="BC205" s="95" t="str">
        <f aca="false">IF(OR(Tasks[[#This Row],[Task Name]]="",Tasks[[#This Row],[Baseline Work]]=""),"",Tasks[[#This Row],[Work]]-N(Tasks[[#This Row],[Baseline Work]]))</f>
        <v/>
      </c>
      <c r="BD205" s="96" t="str">
        <f aca="false">IF(OR(Tasks[[#This Row],[Task Name]]="",Tasks[[#This Row],[Baseline Cost]]=""),"",Tasks[[#This Row],[Cost]]-N(Tasks[[#This Row],[Baseline Cost]]))</f>
        <v/>
      </c>
      <c r="BE205" s="96" t="str">
        <f aca="false">IF(Tasks[[#This Row],[Task Name]]="","",IF(Tasks[[#This Row],[_IsSummary]],SUM(INDEX(Tasks[_LeafBudget],Tasks[[#This Row],[_Row]]+1):INDEX(Tasks[_LeafBudget],Tasks[[#This Row],[_Row]]+Tasks[[#This Row],[_Descendants]])),Tasks[[#This Row],[_LeafBudget]]))</f>
        <v/>
      </c>
      <c r="BF205" s="96" t="str">
        <f aca="false">IF(Tasks[[#This Row],[Task Name]]="","",IF(Tasks[[#This Row],[_IsSummary]],SUM(INDEX(Tasks[_LeafPV],Tasks[[#This Row],[_Row]]+1):INDEX(Tasks[_LeafPV],Tasks[[#This Row],[_Row]]+Tasks[[#This Row],[_Descendants]])),Tasks[[#This Row],[_LeafPV]]))</f>
        <v/>
      </c>
      <c r="BG205" s="96" t="str">
        <f aca="false">IF(Tasks[[#This Row],[Task Name]]="","",IF(Tasks[[#This Row],[_IsSummary]],SUM(INDEX(Tasks[_LeafEV],Tasks[[#This Row],[_Row]]+1):INDEX(Tasks[_LeafEV],Tasks[[#This Row],[_Row]]+Tasks[[#This Row],[_Descendants]])),Tasks[[#This Row],[_LeafEV]]))</f>
        <v/>
      </c>
      <c r="BH205" s="96" t="str">
        <f aca="false">IF(Tasks[[#This Row],[Task Name]]="","",IF(Tasks[[#This Row],[_IsSummary]],SUM(INDEX(Tasks[_LeafAC],Tasks[[#This Row],[_Row]]+1):INDEX(Tasks[_LeafAC],Tasks[[#This Row],[_Row]]+Tasks[[#This Row],[_Descendants]])),Tasks[[#This Row],[_LeafAC]]))</f>
        <v/>
      </c>
      <c r="BI205" s="41" t="str">
        <f aca="false">IF(Tasks[[#This Row],[Task Name]]="","",MAX(1,N(Tasks[[#This Row],[Level]])))</f>
        <v/>
      </c>
      <c r="BJ205" s="41" t="n">
        <f aca="false">ROW()-ROW(Tasks[[#Headers],[ID]])</f>
        <v>200</v>
      </c>
      <c r="BK205" s="41" t="n">
        <f aca="false">IF(OR(Tasks[[#This Row],[Task Name]]="",Tasks[[#This Row],[_Level]]&lt;=1),0,IFERROR(LOOKUP(2,1/(Tasks[[#Headers],[_Level]]:Tasks[[#This Row],[_Level]]=Tasks[[#This Row],[_Level]]-1),ROW(Tasks[[#Headers],[_Level]]:Tasks[[#This Row],[_Level]])),0))</f>
        <v>0</v>
      </c>
      <c r="BL205" s="41" t="n">
        <f aca="false">IFERROR(N(INDEX(Tasks[_Level],Tasks[[#This Row],[_Row]]+1)),0)</f>
        <v>0</v>
      </c>
      <c r="BM205" s="99" t="b">
        <f aca="false">AND(Tasks[[#This Row],[Task Name]]&lt;&gt;"",Tasks[[#This Row],[_NextLevel]]&gt;Tasks[[#This Row],[_Level]])</f>
        <v>0</v>
      </c>
      <c r="BN205" s="41" t="n">
        <f aca="false">IF(Tasks[[#This Row],[_IsSummary]],COUNTIF(Tasks[WBS],Tasks[[#This Row],[WBS]]&amp;".*"),0)</f>
        <v>0</v>
      </c>
      <c r="BO205" s="41" t="n">
        <f aca="false">IF(AND(Tasks[[#This Row],[Task Name]]&lt;&gt;"",NOT(Tasks[[#This Row],[_IsSummary]])),1,0)</f>
        <v>0</v>
      </c>
      <c r="BP205" s="41" t="n">
        <f aca="false">IF(N(Tasks[[#This Row],[Pred1 UID]])=0,0,IFERROR(MATCH(Tasks[[#This Row],[Pred1 UID]],Tasks[UID],0),-1))</f>
        <v>0</v>
      </c>
      <c r="BQ205" s="41" t="n">
        <f aca="false">IF(N(Tasks[[#This Row],[Pred2 UID]])=0,0,IFERROR(MATCH(Tasks[[#This Row],[Pred2 UID]],Tasks[UID],0),-1))</f>
        <v>0</v>
      </c>
      <c r="BR205" s="100"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05" s="100" t="str">
        <f aca="false">IF(NOT(Tasks[[#This Row],[_IsLeaf]]=1),"",IF(N(Tasks[[#This Row],[Duration]])&lt;=0,Tasks[[#This Row],[_LeafCalcStart]],WORKDAY.INTL(Tasks[[#This Row],[_LeafCalcStart]],Tasks[[#This Row],[Duration]]-1,WorkWeek,Holidays)))</f>
        <v/>
      </c>
      <c r="BT205" s="100"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05" s="100"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05" s="41" t="n">
        <f aca="false">IF(NOT(Tasks[[#This Row],[_IsLeaf]]=1),0,IF(N(Tasks[[#This Row],[Actual Finish]])&gt;0,1,MIN(1,N(Tasks[[#This Row],[% Complete]]))))</f>
        <v>0</v>
      </c>
      <c r="BW205" s="41" t="n">
        <f aca="false">IF(OR(NOT(Tasks[[#This Row],[_IsLeaf]]=1),Tasks[[#This Row],[Resource]]=""),0,N(Tasks[[#This Row],[Duration]])*HoursPerDay*IF(Tasks[[#This Row],[Units]]="",DefaultUnits,Tasks[[#This Row],[Units]]))</f>
        <v>0</v>
      </c>
      <c r="BX205" s="41" t="n">
        <f aca="false">IF(Tasks[[#This Row],[_LeafWork]]=0,0,Tasks[[#This Row],[_LeafWork]]*IFERROR(INDEX(res_Rate,MATCH(Tasks[[#This Row],[Resource]],res_Name,0)),0))</f>
        <v>0</v>
      </c>
      <c r="BY20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0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0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0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05" s="41" t="n">
        <f aca="false">IF(NOT(Tasks[[#This Row],[_IsLeaf]]=1),0,MAX(_xlfn.MAXIFS(Tasks[_Row],Tasks[Pred1 UID],Tasks[[#This Row],[UID]]),_xlfn.MAXIFS(Tasks[_Row],Tasks[Pred2 UID],Tasks[[#This Row],[UID]])))</f>
        <v>0</v>
      </c>
      <c r="CD205" s="100"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05" s="100" t="str">
        <f aca="false">IF(NOT(Tasks[[#This Row],[_IsLeaf]]=1),"",MIN(ProjectFinish,IF(N(Tasks[[#This Row],[Deadline]])&gt;0,Tasks[[#This Row],[Deadline]],2958465),Tasks[[#This Row],[_SuccessorFinishLimit]]))</f>
        <v/>
      </c>
      <c r="CF205" s="100" t="str">
        <f aca="false">IF(NOT(Tasks[[#This Row],[_IsLeaf]]=1),"",IF(N(Tasks[[#This Row],[Duration]])&lt;=0,Tasks[[#This Row],[_LeafLateFinish]],WORKDAY.INTL(Tasks[[#This Row],[_LeafLateFinish]],-(Tasks[[#This Row],[Duration]]-1),WorkWeek,Holidays)))</f>
        <v/>
      </c>
      <c r="CG20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05" s="99" t="b">
        <f aca="false">AND(Tasks[[#This Row],[_IsLeaf]]=1,Tasks[[#This Row],[_LeafProgress]]&lt;1,N(Tasks[[#This Row],[_LeafTotalSlack]])&lt;=CriticalSlackDays)</f>
        <v>0</v>
      </c>
      <c r="CI205" s="100" t="str">
        <f aca="false">IF(Tasks[[#This Row],[Task Name]]="","",IF(Tasks[[#This Row],[_IsSummary]],MIN(INDEX(Tasks[_LeafCalcStart],Tasks[[#This Row],[_Row]]+1):INDEX(Tasks[_LeafCalcStart],Tasks[[#This Row],[_Row]]+Tasks[[#This Row],[_Descendants]])),Tasks[[#This Row],[_LeafCalcStart]]))</f>
        <v/>
      </c>
      <c r="CJ205" s="100" t="str">
        <f aca="false">IF(Tasks[[#This Row],[Task Name]]="","",IF(Tasks[[#This Row],[_IsSummary]],MAX(INDEX(Tasks[_LeafCalcFinish],Tasks[[#This Row],[_Row]]+1):INDEX(Tasks[_LeafCalcFinish],Tasks[[#This Row],[_Row]]+Tasks[[#This Row],[_Descendants]])),Tasks[[#This Row],[_LeafCalcFinish]]))</f>
        <v/>
      </c>
      <c r="CK20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0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05" s="100"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05" s="100"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05" s="100"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05" s="100"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05" s="41" t="n">
        <f aca="false">IF(AND(Tasks[[#This Row],[_IsLeaf]]=1,Tasks[[#This Row],[_LeafWork]]&gt;0),NETWORKDAYS.INTL(ProjectStart,Tasks[[#This Row],[_LeafFcstStart]],WorkWeek,Holidays),0)</f>
        <v>0</v>
      </c>
      <c r="CR205" s="41" t="n">
        <f aca="false">IF(AND(Tasks[[#This Row],[_IsLeaf]]=1,Tasks[[#This Row],[_LeafWork]]&gt;0),MAX(Tasks[[#This Row],[_StartWorkday]],NETWORKDAYS.INTL(ProjectStart,Tasks[[#This Row],[_LeafFcstFinish]],WorkWeek,Holidays)),0)</f>
        <v>0</v>
      </c>
      <c r="CS205" s="41" t="n">
        <f aca="false">IF(AND(Tasks[[#This Row],[_IsLeaf]]=1,Tasks[[#This Row],[_LeafWork]]&gt;0),Tasks[[#This Row],[_LeafWork]]/(Tasks[[#This Row],[_FinishWorkday]]-Tasks[[#This Row],[_StartWorkday]]+1),0)</f>
        <v>0</v>
      </c>
      <c r="CT205" s="41" t="n">
        <f aca="false">Tasks[[#This Row],[_WorkPerWorkday]]*(Tasks[[#This Row],[_StartWorkday]]-1)</f>
        <v>-0</v>
      </c>
      <c r="CU205" s="41" t="n">
        <f aca="false">IF(Tasks[[#This Row],[_IsLeaf]]=1,MAX(N(Tasks[[#This Row],[Duration]]),0.1),0)</f>
        <v>0</v>
      </c>
      <c r="CV205" s="41" t="n">
        <f aca="false">Tasks[[#This Row],[_WeightDur]]*Tasks[[#This Row],[_LeafProgress]]</f>
        <v>0</v>
      </c>
      <c r="CW20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0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0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0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05" s="41" t="str">
        <f aca="false">IF(Tasks[[#This Row],[Task Name]]="","",Tasks[[#This Row],[_Pred1UIDText]]&amp;IF(AND(Tasks[[#This Row],[_Pred1UIDText]]&lt;&gt;"",Tasks[[#This Row],[_Pred2UIDText]]&lt;&gt;""),",","")&amp;Tasks[[#This Row],[_Pred2UIDText]])</f>
        <v/>
      </c>
      <c r="DB205" s="41" t="str">
        <f aca="false">IF(AND(Tasks[[#This Row],[_IsLeaf]]=1,N(Tasks[[#This Row],[Duration]])=0,Tasks[[#This Row],[_LeafProgress]]&lt;1),Tasks[[#This Row],[_LeafFcstFinish]]+Tasks[[#This Row],[_Row]]/100000,"")</f>
        <v/>
      </c>
      <c r="DC20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05" s="41" t="n">
        <f aca="false">IF(NOT(Tasks[[#This Row],[_IsLeaf]]=1),0,IF(Tasks[[#This Row],[Baseline Cost]]="",Tasks[[#This Row],[_LeafCost]],N(Tasks[[#This Row],[Baseline Cost]])))</f>
        <v>0</v>
      </c>
      <c r="DE205" s="41" t="n">
        <f aca="false">Tasks[[#This Row],[_LeafBudget]]*Tasks[[#This Row],[_PlannedPct]]</f>
        <v>0</v>
      </c>
      <c r="DF205" s="41" t="n">
        <f aca="false">Tasks[[#This Row],[_LeafBudget]]*Tasks[[#This Row],[_LeafProgress]]</f>
        <v>0</v>
      </c>
      <c r="DG205" s="41" t="n">
        <f aca="false">IF(NOT(Tasks[[#This Row],[_IsLeaf]]=1),0,IF(Tasks[[#This Row],[Actual Cost]]="",Tasks[[#This Row],[_LeafCost]]*Tasks[[#This Row],[_LeafProgress]],N(Tasks[[#This Row],[Actual Cost]])))</f>
        <v>0</v>
      </c>
      <c r="DH205" s="41" t="str">
        <f aca="false">IF(Tasks[[#This Row],[Task Name]]="","",LEFT(Tasks[[#This Row],[WBS]],FIND(".",Tasks[[#This Row],[WBS]]&amp;".")-1))</f>
        <v/>
      </c>
      <c r="DI205" s="41" t="str">
        <f aca="false">IF(AND(Tasks[[#This Row],[Task Name]]&lt;&gt;"",Tasks[[#This Row],[_Level]]=1),Tasks[[#This Row],[_Row]],"")</f>
        <v/>
      </c>
      <c r="DJ205" s="41" t="str">
        <f aca="false">IF(AND(Tasks[[#This Row],[_IsLeaf]]=1,N(Tasks[[#This Row],[Duration]])=0),Tasks[[#This Row],[Planned Finish]]+Tasks[[#This Row],[_Row]]/100000,"")</f>
        <v/>
      </c>
      <c r="DK205" s="41" t="str">
        <f aca="false">IF(AND(Tasks[[#This Row],[_IsLeaf]]=1,Tasks[[#This Row],[_LeafProgress]]&lt;1,OR(N(Tasks[[#This Row],[Finish Var]])&gt;0,Tasks[[#This Row],[Status]]="Late Start")),MAX(0,Tasks[[#This Row],[Finish Var]])+1-Tasks[[#This Row],[_Row]]/1000000,"")</f>
        <v/>
      </c>
      <c r="DL205" s="41" t="str">
        <f aca="false">IF(AND(Tasks[[#This Row],[_IsLeaf]]=1,N(Tasks[[#This Row],[Actual Start]])=0,Tasks[[#This Row],[_LeafFcstStart]]&gt;=StatusDate,Tasks[[#This Row],[_LeafFcstStart]]&lt;=LookaheadEnd),Tasks[[#This Row],[_LeafFcstStart]]+Tasks[[#This Row],[_Row]]/100000,"")</f>
        <v/>
      </c>
      <c r="DM205" s="41" t="str">
        <f aca="false">IF(AND(Tasks[[#This Row],[_IsLeaf]]=1,Tasks[[#This Row],[_LeafProgress]]&lt;1,Tasks[[#This Row],[_LeafFcstFinish]]&gt;=StatusDate,Tasks[[#This Row],[_LeafFcstFinish]]&lt;=LookaheadEnd),Tasks[[#This Row],[_LeafFcstFinish]]+Tasks[[#This Row],[_Row]]/100000,"")</f>
        <v/>
      </c>
      <c r="DN205" s="41" t="str">
        <f aca="false">IF(Tasks[[#This Row],[_LeafCritical]],Tasks[[#This Row],[_LeafFcstStart]]+Tasks[[#This Row],[_Row]]/100000,"")</f>
        <v/>
      </c>
      <c r="DO205" s="41" t="n">
        <f aca="false">Tasks[[#This Row],[_LeafWork]]*Tasks[[#This Row],[_LeafProgress]]</f>
        <v>0</v>
      </c>
      <c r="DP205" s="100" t="str">
        <f aca="false">IF(AND(Tasks[[#This Row],[_IsLeaf]]=1,Tasks[[#This Row],[_LeafProgress]]&gt;=1),IF(N(Tasks[[#This Row],[Actual Finish]])&gt;0,Tasks[[#This Row],[Actual Finish]],Tasks[[#This Row],[_LeafFcstFinish]]),"")</f>
        <v/>
      </c>
      <c r="DQ205" s="41" t="n">
        <f aca="false">IF(Tasks[[#This Row],[_IsLeaf]]=1,N(Tasks[[#This Row],[Story Points]]),0)</f>
        <v>0</v>
      </c>
      <c r="DR205" s="41" t="str">
        <f aca="false">IF(AND(Tasks[[#This Row],[_IsLeaf]]=1,CurrentSprint&lt;&gt;"",Tasks[[#This Row],[Sprint]]=CurrentSprint),Tasks[[#This Row],[_Row]],"")</f>
        <v/>
      </c>
    </row>
  </sheetData>
  <conditionalFormatting sqref="A6:BH205">
    <cfRule type="expression" priority="2" aboveAverage="0" equalAverage="0" bottom="0" percent="0" rank="0" text="" dxfId="34">
      <formula>$BM6=1</formula>
    </cfRule>
  </conditionalFormatting>
  <conditionalFormatting sqref="G6:G205">
    <cfRule type="expression" priority="3" aboveAverage="0" equalAverage="0" bottom="0" percent="0" rank="0" text="" dxfId="35">
      <formula>$BM6=1</formula>
    </cfRule>
  </conditionalFormatting>
  <conditionalFormatting sqref="H6:H205">
    <cfRule type="expression" priority="4" aboveAverage="0" equalAverage="0" bottom="0" percent="0" rank="0" text="" dxfId="35">
      <formula>$BM6=1</formula>
    </cfRule>
  </conditionalFormatting>
  <conditionalFormatting sqref="I6:I205">
    <cfRule type="expression" priority="5" aboveAverage="0" equalAverage="0" bottom="0" percent="0" rank="0" text="" dxfId="35">
      <formula>$BM6=1</formula>
    </cfRule>
  </conditionalFormatting>
  <conditionalFormatting sqref="J6:J205">
    <cfRule type="expression" priority="6" aboveAverage="0" equalAverage="0" bottom="0" percent="0" rank="0" text="" dxfId="35">
      <formula>$BM6=1</formula>
    </cfRule>
  </conditionalFormatting>
  <conditionalFormatting sqref="K6:K205">
    <cfRule type="expression" priority="7" aboveAverage="0" equalAverage="0" bottom="0" percent="0" rank="0" text="" dxfId="35">
      <formula>$BM6=1</formula>
    </cfRule>
  </conditionalFormatting>
  <conditionalFormatting sqref="L6:L205">
    <cfRule type="expression" priority="8" aboveAverage="0" equalAverage="0" bottom="0" percent="0" rank="0" text="" dxfId="35">
      <formula>$BM6=1</formula>
    </cfRule>
  </conditionalFormatting>
  <conditionalFormatting sqref="M6:M205">
    <cfRule type="expression" priority="9" aboveAverage="0" equalAverage="0" bottom="0" percent="0" rank="0" text="" dxfId="35">
      <formula>$BM6=1</formula>
    </cfRule>
  </conditionalFormatting>
  <conditionalFormatting sqref="N6:N205">
    <cfRule type="expression" priority="10" aboveAverage="0" equalAverage="0" bottom="0" percent="0" rank="0" text="" dxfId="35">
      <formula>$BM6=1</formula>
    </cfRule>
  </conditionalFormatting>
  <conditionalFormatting sqref="R6:R205">
    <cfRule type="expression" priority="11" aboveAverage="0" equalAverage="0" bottom="0" percent="0" rank="0" text="" dxfId="35">
      <formula>$BM6=1</formula>
    </cfRule>
  </conditionalFormatting>
  <conditionalFormatting sqref="S6:S205">
    <cfRule type="expression" priority="12" aboveAverage="0" equalAverage="0" bottom="0" percent="0" rank="0" text="" dxfId="35">
      <formula>$BM6=1</formula>
    </cfRule>
  </conditionalFormatting>
  <conditionalFormatting sqref="AE6:AE205">
    <cfRule type="expression" priority="13" aboveAverage="0" equalAverage="0" bottom="0" percent="0" rank="0" text="" dxfId="35">
      <formula>$BM6=1</formula>
    </cfRule>
  </conditionalFormatting>
  <conditionalFormatting sqref="AH6:AH205">
    <cfRule type="expression" priority="14" aboveAverage="0" equalAverage="0" bottom="0" percent="0" rank="0" text="" dxfId="35">
      <formula>$BM6=1</formula>
    </cfRule>
  </conditionalFormatting>
  <conditionalFormatting sqref="AI6:AI205">
    <cfRule type="expression" priority="15" aboveAverage="0" equalAverage="0" bottom="0" percent="0" rank="0" text="" dxfId="35">
      <formula>$BM6=1</formula>
    </cfRule>
  </conditionalFormatting>
  <conditionalFormatting sqref="AL6:AL205">
    <cfRule type="expression" priority="16" aboveAverage="0" equalAverage="0" bottom="0" percent="0" rank="0" text="" dxfId="35">
      <formula>$BM6=1</formula>
    </cfRule>
  </conditionalFormatting>
  <conditionalFormatting sqref="AM6:AM205">
    <cfRule type="expression" priority="17" aboveAverage="0" equalAverage="0" bottom="0" percent="0" rank="0" text="" dxfId="35">
      <formula>$BM6=1</formula>
    </cfRule>
  </conditionalFormatting>
  <conditionalFormatting sqref="AO6:AO205">
    <cfRule type="expression" priority="18" aboveAverage="0" equalAverage="0" bottom="0" percent="0" rank="0" text="" dxfId="35">
      <formula>$BM6=1</formula>
    </cfRule>
  </conditionalFormatting>
  <conditionalFormatting sqref="AG6:AG205">
    <cfRule type="expression" priority="19" aboveAverage="0" equalAverage="0" bottom="0" percent="0" rank="0" text="" dxfId="12">
      <formula>$AG6="Complete"</formula>
    </cfRule>
    <cfRule type="expression" priority="20" aboveAverage="0" equalAverage="0" bottom="0" percent="0" rank="0" text="" dxfId="36">
      <formula>$AG6="In Progress"</formula>
    </cfRule>
    <cfRule type="expression" priority="21" aboveAverage="0" equalAverage="0" bottom="0" percent="0" rank="0" text="" dxfId="24">
      <formula>$AG6="Behind"</formula>
    </cfRule>
    <cfRule type="expression" priority="22" aboveAverage="0" equalAverage="0" bottom="0" percent="0" rank="0" text="" dxfId="29">
      <formula>$AG6="Late Start"</formula>
    </cfRule>
    <cfRule type="expression" priority="23" aboveAverage="0" equalAverage="0" bottom="0" percent="0" rank="0" text="" dxfId="37">
      <formula>$AG6="Not Started"</formula>
    </cfRule>
  </conditionalFormatting>
  <conditionalFormatting sqref="V6:V205">
    <cfRule type="expression" priority="24" aboveAverage="0" equalAverage="0" bottom="0" percent="0" rank="0" text="" dxfId="24">
      <formula>AND(ISNUMBER($V6),$V6&gt;0)</formula>
    </cfRule>
    <cfRule type="expression" priority="25" aboveAverage="0" equalAverage="0" bottom="0" percent="0" rank="0" text="" dxfId="12">
      <formula>AND(ISNUMBER($V6),$V6&lt;0)</formula>
    </cfRule>
  </conditionalFormatting>
  <conditionalFormatting sqref="W6:W205">
    <cfRule type="expression" priority="26" aboveAverage="0" equalAverage="0" bottom="0" percent="0" rank="0" text="" dxfId="24">
      <formula>AND(ISNUMBER($W6),$W6&gt;0)</formula>
    </cfRule>
    <cfRule type="expression" priority="27" aboveAverage="0" equalAverage="0" bottom="0" percent="0" rank="0" text="" dxfId="12">
      <formula>AND(ISNUMBER($W6),$W6&lt;0)</formula>
    </cfRule>
  </conditionalFormatting>
  <conditionalFormatting sqref="BB6:BB205">
    <cfRule type="expression" priority="28" aboveAverage="0" equalAverage="0" bottom="0" percent="0" rank="0" text="" dxfId="24">
      <formula>AND(ISNUMBER($BB6),$BB6&gt;0)</formula>
    </cfRule>
    <cfRule type="expression" priority="29" aboveAverage="0" equalAverage="0" bottom="0" percent="0" rank="0" text="" dxfId="12">
      <formula>AND(ISNUMBER($BB6),$BB6&lt;0)</formula>
    </cfRule>
  </conditionalFormatting>
  <conditionalFormatting sqref="BC6:BC205">
    <cfRule type="expression" priority="30" aboveAverage="0" equalAverage="0" bottom="0" percent="0" rank="0" text="" dxfId="24">
      <formula>AND(ISNUMBER($BC6),$BC6&gt;0)</formula>
    </cfRule>
    <cfRule type="expression" priority="31" aboveAverage="0" equalAverage="0" bottom="0" percent="0" rank="0" text="" dxfId="12">
      <formula>AND(ISNUMBER($BC6),$BC6&lt;0)</formula>
    </cfRule>
  </conditionalFormatting>
  <conditionalFormatting sqref="BD6:BD205">
    <cfRule type="expression" priority="32" aboveAverage="0" equalAverage="0" bottom="0" percent="0" rank="0" text="" dxfId="24">
      <formula>AND(ISNUMBER($BD6),$BD6&gt;0)</formula>
    </cfRule>
    <cfRule type="expression" priority="33" aboveAverage="0" equalAverage="0" bottom="0" percent="0" rank="0" text="" dxfId="12">
      <formula>AND(ISNUMBER($BD6),$BD6&lt;0)</formula>
    </cfRule>
  </conditionalFormatting>
  <conditionalFormatting sqref="E6:E205">
    <cfRule type="expression" priority="34" aboveAverage="0" equalAverage="0" bottom="0" percent="0" rank="0" text="" dxfId="38">
      <formula>AND($BO6=1,N($G6)=0)</formula>
    </cfRule>
  </conditionalFormatting>
  <conditionalFormatting sqref="C6:C205">
    <cfRule type="expression" priority="35" aboveAverage="0" equalAverage="0" bottom="0" percent="0" rank="0" text="" dxfId="39">
      <formula>$C6="?"</formula>
    </cfRule>
  </conditionalFormatting>
  <conditionalFormatting sqref="B6:B205">
    <cfRule type="expression" priority="36" aboveAverage="0" equalAverage="0" bottom="0" percent="0" rank="0" text="" dxfId="15">
      <formula>OR(AND($E6&lt;&gt;"",$B6=""),AND($B6&lt;&gt;"",COUNTIF(tsk_UID,$B6)&gt;1))</formula>
    </cfRule>
  </conditionalFormatting>
  <conditionalFormatting sqref="AD6:AD205">
    <cfRule type="expression" priority="37" aboveAverage="0" equalAverage="0" bottom="0" percent="0" rank="0" text="" dxfId="40">
      <formula>$AD6&lt;&gt;""</formula>
    </cfRule>
  </conditionalFormatting>
  <conditionalFormatting sqref="AC6:AC205">
    <cfRule type="expression" priority="38" aboveAverage="0" equalAverage="0" bottom="0" percent="0" rank="0" text="" dxfId="24">
      <formula>LEFT($AC6,4)="Late"</formula>
    </cfRule>
    <cfRule type="expression" priority="39" aboveAverage="0" equalAverage="0" bottom="0" percent="0" rank="0" text="" dxfId="12">
      <formula>$AC6="OK"</formula>
    </cfRule>
  </conditionalFormatting>
  <conditionalFormatting sqref="AB6:AB205">
    <cfRule type="expression" priority="40" aboveAverage="0" equalAverage="0" bottom="0" percent="0" rank="0" text="" dxfId="25">
      <formula>$AB6="Yes"</formula>
    </cfRule>
  </conditionalFormatting>
  <conditionalFormatting sqref="Z6:Z205">
    <cfRule type="expression" priority="41" aboveAverage="0" equalAverage="0" bottom="0" percent="0" rank="0" text="" dxfId="24">
      <formula>AND(ISNUMBER($Z6),$Z6&lt;0)</formula>
    </cfRule>
  </conditionalFormatting>
  <conditionalFormatting sqref="AA6:AA205">
    <cfRule type="expression" priority="42" aboveAverage="0" equalAverage="0" bottom="0" percent="0" rank="0" text="" dxfId="24">
      <formula>AND(ISNUMBER($AA6),$AA6&lt;0)</formula>
    </cfRule>
  </conditionalFormatting>
  <dataValidations count="13">
    <dataValidation allowBlank="false" errorStyle="stop" operator="greaterThan" showDropDown="false" showErrorMessage="false" showInputMessage="false" sqref="N6:O205 R6:S205" type="date">
      <formula1>1</formula1>
      <formula2>0</formula2>
    </dataValidation>
    <dataValidation allowBlank="false" error="UID must be a whole number; give each task a different one (see Settings &gt; NextFreeUID)." errorStyle="stop" errorTitle="UID" operator="greaterThanOrEqual" showDropDown="false" showErrorMessage="true" showInputMessage="false" sqref="B6:B205" type="whole">
      <formula1>1</formula1>
      <formula2>0</formula2>
    </dataValidation>
    <dataValidation allowBlank="false" error="Outline level must be 1-9 and at most 1 more than the row above." errorStyle="stop" errorTitle="Level" operator="between" showDropDown="false" showErrorMessage="true" showInputMessage="false" sqref="D6:D205" type="whole">
      <formula1>1</formula1>
      <formula2>9</formula2>
    </dataValidation>
    <dataValidation allowBlank="false" errorStyle="stop" operator="between" showDropDown="false" showErrorMessage="false" showInputMessage="false" sqref="F6:F205" type="list">
      <formula1>L_Mode</formula1>
      <formula2>0</formula2>
    </dataValidation>
    <dataValidation allowBlank="false" error="Duration is in working days (0 = milestone)." errorStyle="stop" operator="greaterThanOrEqual" showDropDown="false" showErrorMessage="true" showInputMessage="false" sqref="G6:G205" type="decimal">
      <formula1>0</formula1>
      <formula2>0</formula2>
    </dataValidation>
    <dataValidation allowBlank="false" error="Enter the UID of another task. Problems are explained in the Link Check column." errorStyle="stop" operator="greaterThanOrEqual" showDropDown="false" showErrorMessage="true" showInputMessage="false" sqref="H6:H205 K6:K205" type="whole">
      <formula1>1</formula1>
      <formula2>0</formula2>
    </dataValidation>
    <dataValidation allowBlank="false" errorStyle="stop" operator="between" showDropDown="false" showErrorMessage="false" showInputMessage="false" sqref="I6:I205 L6:L205" type="list">
      <formula1>L_DepType</formula1>
      <formula2>0</formula2>
    </dataValidation>
    <dataValidation allowBlank="false" errorStyle="stop" operator="between" showDropDown="false" showErrorMessage="false" showInputMessage="false" sqref="J6:J205 M6:M205" type="whole">
      <formula1>-365</formula1>
      <formula2>365</formula2>
    </dataValidation>
    <dataValidation allowBlank="false" error="Enter 0% - 100%." errorStyle="stop" operator="between" showDropDown="false" showErrorMessage="true" showInputMessage="false" sqref="AE6:AE205" type="decimal">
      <formula1>0</formula1>
      <formula2>1</formula2>
    </dataValidation>
    <dataValidation allowBlank="false" errorStyle="stop" operator="between" showDropDown="false" showErrorMessage="false" showInputMessage="false" sqref="AH6:AH205" type="list">
      <formula1>res_Name</formula1>
      <formula2>0</formula2>
    </dataValidation>
    <dataValidation allowBlank="false" errorStyle="stop" operator="between" showDropDown="false" showErrorMessage="false" showInputMessage="false" sqref="AI6:AI205" type="decimal">
      <formula1>0</formula1>
      <formula2>10</formula2>
    </dataValidation>
    <dataValidation allowBlank="false" errorStyle="stop" operator="greaterThanOrEqual" showDropDown="false" showErrorMessage="false" showInputMessage="false" sqref="AL6:AL205 AO6:AO205" type="decimal">
      <formula1>0</formula1>
      <formula2>0</formula2>
    </dataValidation>
    <dataValidation allowBlank="false" errorStyle="stop" operator="between" showDropDown="false" showErrorMessage="false" showInputMessage="false" sqref="AM6:AM205" type="list">
      <formula1>spr_Name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FP20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2" ySplit="5" topLeftCell="W6" activePane="bottomRight" state="frozen"/>
      <selection pane="topLeft" activeCell="A1" activeCellId="0" sqref="A1"/>
      <selection pane="topRight" activeCell="W1" activeCellId="0" sqref="W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7"/>
    <col collapsed="false" customWidth="true" hidden="false" outlineLevel="0" max="3" min="3" style="0" width="34"/>
    <col collapsed="false" customWidth="true" hidden="false" outlineLevel="0" max="4" min="4" style="0" width="5"/>
    <col collapsed="false" customWidth="true" hidden="false" outlineLevel="0" max="8" min="5" style="0" width="10"/>
    <col collapsed="false" customWidth="true" hidden="false" outlineLevel="0" max="9" min="9" style="0" width="6"/>
    <col collapsed="false" customWidth="true" hidden="false" outlineLevel="0" max="10" min="10" style="0" width="13"/>
    <col collapsed="false" customWidth="true" hidden="false" outlineLevel="0" max="11" min="11" style="0" width="11"/>
    <col collapsed="false" customWidth="true" hidden="true" outlineLevel="1" max="21" min="12" style="0" width="5"/>
    <col collapsed="false" customWidth="true" hidden="false" outlineLevel="0" max="22" min="22" style="0" width="1"/>
    <col collapsed="false" customWidth="true" hidden="false" outlineLevel="0" max="172" min="23" style="0" width="2.9"/>
  </cols>
  <sheetData>
    <row r="1" customFormat="false" ht="19.7" hidden="false" customHeight="false" outlineLevel="0" collapsed="false">
      <c r="A1" s="26" t="str">
        <f aca="false">ProjectName&amp;"  -  Gantt Chart"</f>
        <v>Customer Portal Implementation  -  Gantt Chart</v>
      </c>
      <c r="W1" s="102"/>
      <c r="X1" s="103" t="s">
        <v>632</v>
      </c>
      <c r="AI1" s="104"/>
      <c r="AJ1" s="103" t="s">
        <v>633</v>
      </c>
      <c r="AU1" s="105"/>
      <c r="AV1" s="103" t="s">
        <v>634</v>
      </c>
      <c r="BG1" s="106"/>
      <c r="BH1" s="103" t="s">
        <v>635</v>
      </c>
      <c r="BS1" s="107"/>
      <c r="BT1" s="103" t="s">
        <v>636</v>
      </c>
    </row>
    <row r="2" customFormat="false" ht="15" hidden="false" customHeight="false" outlineLevel="0" collapsed="false">
      <c r="A2" s="108" t="str">
        <f aca="false">"Status date: "&amp;TEXT(StatusDate,"ddd dd-mmm-yyyy")&amp;"   |   Forecast finish: "&amp;TEXT(MAX(tsk_FcFinish),"dd-mmm-yyyy")&amp;"   |   Planned finish: "&amp;TEXT(MAX(tsk_PlanFinish),"dd-mmm-yyyy")&amp;IF(COUNTA(tsk_Name)&gt;ROWS(GanttView[ID]),"   |   Showing the first "&amp;ROWS(GanttView[ID])&amp;" tasks","")</f>
        <v>Status date: Sun 25-Oct-2026   |   Forecast finish: 06-Jan-2027   |   Planned finish: 06-Jan-2027</v>
      </c>
      <c r="W2" s="109"/>
      <c r="X2" s="103" t="s">
        <v>637</v>
      </c>
      <c r="AI2" s="110"/>
      <c r="AJ2" s="103" t="s">
        <v>638</v>
      </c>
      <c r="AU2" s="111"/>
      <c r="AV2" s="103" t="s">
        <v>216</v>
      </c>
      <c r="BG2" s="112"/>
      <c r="BH2" s="103" t="s">
        <v>367</v>
      </c>
      <c r="BS2" s="113"/>
      <c r="BT2" s="103" t="s">
        <v>639</v>
      </c>
    </row>
    <row r="3" customFormat="false" ht="15" hidden="false" customHeight="false" outlineLevel="0" collapsed="false">
      <c r="A3" s="8" t="s">
        <v>640</v>
      </c>
      <c r="W3" s="114" t="str">
        <f aca="false">IF(GanttPeriod=1,LEFT(TEXT(GanttStart+(COLUMN()-COLUMN(gantt_Origin)-1)*GanttPeriod,"ddd"),1),"")</f>
        <v>M</v>
      </c>
      <c r="X3" s="114" t="str">
        <f aca="false">IF(GanttPeriod=1,LEFT(TEXT(GanttStart+(COLUMN()-COLUMN(gantt_Origin)-1)*GanttPeriod,"ddd"),1),"")</f>
        <v>T</v>
      </c>
      <c r="Y3" s="114" t="str">
        <f aca="false">IF(GanttPeriod=1,LEFT(TEXT(GanttStart+(COLUMN()-COLUMN(gantt_Origin)-1)*GanttPeriod,"ddd"),1),"")</f>
        <v>W</v>
      </c>
      <c r="Z3" s="114" t="str">
        <f aca="false">IF(GanttPeriod=1,LEFT(TEXT(GanttStart+(COLUMN()-COLUMN(gantt_Origin)-1)*GanttPeriod,"ddd"),1),"")</f>
        <v>T</v>
      </c>
      <c r="AA3" s="114" t="str">
        <f aca="false">IF(GanttPeriod=1,LEFT(TEXT(GanttStart+(COLUMN()-COLUMN(gantt_Origin)-1)*GanttPeriod,"ddd"),1),"")</f>
        <v>F</v>
      </c>
      <c r="AB3" s="114" t="str">
        <f aca="false">IF(GanttPeriod=1,LEFT(TEXT(GanttStart+(COLUMN()-COLUMN(gantt_Origin)-1)*GanttPeriod,"ddd"),1),"")</f>
        <v>S</v>
      </c>
      <c r="AC3" s="114" t="str">
        <f aca="false">IF(GanttPeriod=1,LEFT(TEXT(GanttStart+(COLUMN()-COLUMN(gantt_Origin)-1)*GanttPeriod,"ddd"),1),"")</f>
        <v>S</v>
      </c>
      <c r="AD3" s="114" t="str">
        <f aca="false">IF(GanttPeriod=1,LEFT(TEXT(GanttStart+(COLUMN()-COLUMN(gantt_Origin)-1)*GanttPeriod,"ddd"),1),"")</f>
        <v>M</v>
      </c>
      <c r="AE3" s="114" t="str">
        <f aca="false">IF(GanttPeriod=1,LEFT(TEXT(GanttStart+(COLUMN()-COLUMN(gantt_Origin)-1)*GanttPeriod,"ddd"),1),"")</f>
        <v>T</v>
      </c>
      <c r="AF3" s="114" t="str">
        <f aca="false">IF(GanttPeriod=1,LEFT(TEXT(GanttStart+(COLUMN()-COLUMN(gantt_Origin)-1)*GanttPeriod,"ddd"),1),"")</f>
        <v>W</v>
      </c>
      <c r="AG3" s="114" t="str">
        <f aca="false">IF(GanttPeriod=1,LEFT(TEXT(GanttStart+(COLUMN()-COLUMN(gantt_Origin)-1)*GanttPeriod,"ddd"),1),"")</f>
        <v>T</v>
      </c>
      <c r="AH3" s="114" t="str">
        <f aca="false">IF(GanttPeriod=1,LEFT(TEXT(GanttStart+(COLUMN()-COLUMN(gantt_Origin)-1)*GanttPeriod,"ddd"),1),"")</f>
        <v>F</v>
      </c>
      <c r="AI3" s="114" t="str">
        <f aca="false">IF(GanttPeriod=1,LEFT(TEXT(GanttStart+(COLUMN()-COLUMN(gantt_Origin)-1)*GanttPeriod,"ddd"),1),"")</f>
        <v>S</v>
      </c>
      <c r="AJ3" s="114" t="str">
        <f aca="false">IF(GanttPeriod=1,LEFT(TEXT(GanttStart+(COLUMN()-COLUMN(gantt_Origin)-1)*GanttPeriod,"ddd"),1),"")</f>
        <v>S</v>
      </c>
      <c r="AK3" s="114" t="str">
        <f aca="false">IF(GanttPeriod=1,LEFT(TEXT(GanttStart+(COLUMN()-COLUMN(gantt_Origin)-1)*GanttPeriod,"ddd"),1),"")</f>
        <v>M</v>
      </c>
      <c r="AL3" s="114" t="str">
        <f aca="false">IF(GanttPeriod=1,LEFT(TEXT(GanttStart+(COLUMN()-COLUMN(gantt_Origin)-1)*GanttPeriod,"ddd"),1),"")</f>
        <v>T</v>
      </c>
      <c r="AM3" s="114" t="str">
        <f aca="false">IF(GanttPeriod=1,LEFT(TEXT(GanttStart+(COLUMN()-COLUMN(gantt_Origin)-1)*GanttPeriod,"ddd"),1),"")</f>
        <v>W</v>
      </c>
      <c r="AN3" s="114" t="str">
        <f aca="false">IF(GanttPeriod=1,LEFT(TEXT(GanttStart+(COLUMN()-COLUMN(gantt_Origin)-1)*GanttPeriod,"ddd"),1),"")</f>
        <v>T</v>
      </c>
      <c r="AO3" s="114" t="str">
        <f aca="false">IF(GanttPeriod=1,LEFT(TEXT(GanttStart+(COLUMN()-COLUMN(gantt_Origin)-1)*GanttPeriod,"ddd"),1),"")</f>
        <v>F</v>
      </c>
      <c r="AP3" s="114" t="str">
        <f aca="false">IF(GanttPeriod=1,LEFT(TEXT(GanttStart+(COLUMN()-COLUMN(gantt_Origin)-1)*GanttPeriod,"ddd"),1),"")</f>
        <v>S</v>
      </c>
      <c r="AQ3" s="114" t="str">
        <f aca="false">IF(GanttPeriod=1,LEFT(TEXT(GanttStart+(COLUMN()-COLUMN(gantt_Origin)-1)*GanttPeriod,"ddd"),1),"")</f>
        <v>S</v>
      </c>
      <c r="AR3" s="114" t="str">
        <f aca="false">IF(GanttPeriod=1,LEFT(TEXT(GanttStart+(COLUMN()-COLUMN(gantt_Origin)-1)*GanttPeriod,"ddd"),1),"")</f>
        <v>M</v>
      </c>
      <c r="AS3" s="114" t="str">
        <f aca="false">IF(GanttPeriod=1,LEFT(TEXT(GanttStart+(COLUMN()-COLUMN(gantt_Origin)-1)*GanttPeriod,"ddd"),1),"")</f>
        <v>T</v>
      </c>
      <c r="AT3" s="114" t="str">
        <f aca="false">IF(GanttPeriod=1,LEFT(TEXT(GanttStart+(COLUMN()-COLUMN(gantt_Origin)-1)*GanttPeriod,"ddd"),1),"")</f>
        <v>W</v>
      </c>
      <c r="AU3" s="114" t="str">
        <f aca="false">IF(GanttPeriod=1,LEFT(TEXT(GanttStart+(COLUMN()-COLUMN(gantt_Origin)-1)*GanttPeriod,"ddd"),1),"")</f>
        <v>T</v>
      </c>
      <c r="AV3" s="114" t="str">
        <f aca="false">IF(GanttPeriod=1,LEFT(TEXT(GanttStart+(COLUMN()-COLUMN(gantt_Origin)-1)*GanttPeriod,"ddd"),1),"")</f>
        <v>F</v>
      </c>
      <c r="AW3" s="114" t="str">
        <f aca="false">IF(GanttPeriod=1,LEFT(TEXT(GanttStart+(COLUMN()-COLUMN(gantt_Origin)-1)*GanttPeriod,"ddd"),1),"")</f>
        <v>S</v>
      </c>
      <c r="AX3" s="114" t="str">
        <f aca="false">IF(GanttPeriod=1,LEFT(TEXT(GanttStart+(COLUMN()-COLUMN(gantt_Origin)-1)*GanttPeriod,"ddd"),1),"")</f>
        <v>S</v>
      </c>
      <c r="AY3" s="114" t="str">
        <f aca="false">IF(GanttPeriod=1,LEFT(TEXT(GanttStart+(COLUMN()-COLUMN(gantt_Origin)-1)*GanttPeriod,"ddd"),1),"")</f>
        <v>M</v>
      </c>
      <c r="AZ3" s="114" t="str">
        <f aca="false">IF(GanttPeriod=1,LEFT(TEXT(GanttStart+(COLUMN()-COLUMN(gantt_Origin)-1)*GanttPeriod,"ddd"),1),"")</f>
        <v>T</v>
      </c>
      <c r="BA3" s="114" t="str">
        <f aca="false">IF(GanttPeriod=1,LEFT(TEXT(GanttStart+(COLUMN()-COLUMN(gantt_Origin)-1)*GanttPeriod,"ddd"),1),"")</f>
        <v>W</v>
      </c>
      <c r="BB3" s="114" t="str">
        <f aca="false">IF(GanttPeriod=1,LEFT(TEXT(GanttStart+(COLUMN()-COLUMN(gantt_Origin)-1)*GanttPeriod,"ddd"),1),"")</f>
        <v>T</v>
      </c>
      <c r="BC3" s="114" t="str">
        <f aca="false">IF(GanttPeriod=1,LEFT(TEXT(GanttStart+(COLUMN()-COLUMN(gantt_Origin)-1)*GanttPeriod,"ddd"),1),"")</f>
        <v>F</v>
      </c>
      <c r="BD3" s="114" t="str">
        <f aca="false">IF(GanttPeriod=1,LEFT(TEXT(GanttStart+(COLUMN()-COLUMN(gantt_Origin)-1)*GanttPeriod,"ddd"),1),"")</f>
        <v>S</v>
      </c>
      <c r="BE3" s="114" t="str">
        <f aca="false">IF(GanttPeriod=1,LEFT(TEXT(GanttStart+(COLUMN()-COLUMN(gantt_Origin)-1)*GanttPeriod,"ddd"),1),"")</f>
        <v>S</v>
      </c>
      <c r="BF3" s="114" t="str">
        <f aca="false">IF(GanttPeriod=1,LEFT(TEXT(GanttStart+(COLUMN()-COLUMN(gantt_Origin)-1)*GanttPeriod,"ddd"),1),"")</f>
        <v>M</v>
      </c>
      <c r="BG3" s="114" t="str">
        <f aca="false">IF(GanttPeriod=1,LEFT(TEXT(GanttStart+(COLUMN()-COLUMN(gantt_Origin)-1)*GanttPeriod,"ddd"),1),"")</f>
        <v>T</v>
      </c>
      <c r="BH3" s="114" t="str">
        <f aca="false">IF(GanttPeriod=1,LEFT(TEXT(GanttStart+(COLUMN()-COLUMN(gantt_Origin)-1)*GanttPeriod,"ddd"),1),"")</f>
        <v>W</v>
      </c>
      <c r="BI3" s="114" t="str">
        <f aca="false">IF(GanttPeriod=1,LEFT(TEXT(GanttStart+(COLUMN()-COLUMN(gantt_Origin)-1)*GanttPeriod,"ddd"),1),"")</f>
        <v>T</v>
      </c>
      <c r="BJ3" s="114" t="str">
        <f aca="false">IF(GanttPeriod=1,LEFT(TEXT(GanttStart+(COLUMN()-COLUMN(gantt_Origin)-1)*GanttPeriod,"ddd"),1),"")</f>
        <v>F</v>
      </c>
      <c r="BK3" s="114" t="str">
        <f aca="false">IF(GanttPeriod=1,LEFT(TEXT(GanttStart+(COLUMN()-COLUMN(gantt_Origin)-1)*GanttPeriod,"ddd"),1),"")</f>
        <v>S</v>
      </c>
      <c r="BL3" s="114" t="str">
        <f aca="false">IF(GanttPeriod=1,LEFT(TEXT(GanttStart+(COLUMN()-COLUMN(gantt_Origin)-1)*GanttPeriod,"ddd"),1),"")</f>
        <v>S</v>
      </c>
      <c r="BM3" s="114" t="str">
        <f aca="false">IF(GanttPeriod=1,LEFT(TEXT(GanttStart+(COLUMN()-COLUMN(gantt_Origin)-1)*GanttPeriod,"ddd"),1),"")</f>
        <v>M</v>
      </c>
      <c r="BN3" s="114" t="str">
        <f aca="false">IF(GanttPeriod=1,LEFT(TEXT(GanttStart+(COLUMN()-COLUMN(gantt_Origin)-1)*GanttPeriod,"ddd"),1),"")</f>
        <v>T</v>
      </c>
      <c r="BO3" s="114" t="str">
        <f aca="false">IF(GanttPeriod=1,LEFT(TEXT(GanttStart+(COLUMN()-COLUMN(gantt_Origin)-1)*GanttPeriod,"ddd"),1),"")</f>
        <v>W</v>
      </c>
      <c r="BP3" s="114" t="str">
        <f aca="false">IF(GanttPeriod=1,LEFT(TEXT(GanttStart+(COLUMN()-COLUMN(gantt_Origin)-1)*GanttPeriod,"ddd"),1),"")</f>
        <v>T</v>
      </c>
      <c r="BQ3" s="114" t="str">
        <f aca="false">IF(GanttPeriod=1,LEFT(TEXT(GanttStart+(COLUMN()-COLUMN(gantt_Origin)-1)*GanttPeriod,"ddd"),1),"")</f>
        <v>F</v>
      </c>
      <c r="BR3" s="114" t="str">
        <f aca="false">IF(GanttPeriod=1,LEFT(TEXT(GanttStart+(COLUMN()-COLUMN(gantt_Origin)-1)*GanttPeriod,"ddd"),1),"")</f>
        <v>S</v>
      </c>
      <c r="BS3" s="114" t="str">
        <f aca="false">IF(GanttPeriod=1,LEFT(TEXT(GanttStart+(COLUMN()-COLUMN(gantt_Origin)-1)*GanttPeriod,"ddd"),1),"")</f>
        <v>S</v>
      </c>
      <c r="BT3" s="114" t="str">
        <f aca="false">IF(GanttPeriod=1,LEFT(TEXT(GanttStart+(COLUMN()-COLUMN(gantt_Origin)-1)*GanttPeriod,"ddd"),1),"")</f>
        <v>M</v>
      </c>
      <c r="BU3" s="114" t="str">
        <f aca="false">IF(GanttPeriod=1,LEFT(TEXT(GanttStart+(COLUMN()-COLUMN(gantt_Origin)-1)*GanttPeriod,"ddd"),1),"")</f>
        <v>T</v>
      </c>
      <c r="BV3" s="114" t="str">
        <f aca="false">IF(GanttPeriod=1,LEFT(TEXT(GanttStart+(COLUMN()-COLUMN(gantt_Origin)-1)*GanttPeriod,"ddd"),1),"")</f>
        <v>W</v>
      </c>
      <c r="BW3" s="114" t="str">
        <f aca="false">IF(GanttPeriod=1,LEFT(TEXT(GanttStart+(COLUMN()-COLUMN(gantt_Origin)-1)*GanttPeriod,"ddd"),1),"")</f>
        <v>T</v>
      </c>
      <c r="BX3" s="114" t="str">
        <f aca="false">IF(GanttPeriod=1,LEFT(TEXT(GanttStart+(COLUMN()-COLUMN(gantt_Origin)-1)*GanttPeriod,"ddd"),1),"")</f>
        <v>F</v>
      </c>
      <c r="BY3" s="114" t="str">
        <f aca="false">IF(GanttPeriod=1,LEFT(TEXT(GanttStart+(COLUMN()-COLUMN(gantt_Origin)-1)*GanttPeriod,"ddd"),1),"")</f>
        <v>S</v>
      </c>
      <c r="BZ3" s="114" t="str">
        <f aca="false">IF(GanttPeriod=1,LEFT(TEXT(GanttStart+(COLUMN()-COLUMN(gantt_Origin)-1)*GanttPeriod,"ddd"),1),"")</f>
        <v>S</v>
      </c>
      <c r="CA3" s="114" t="str">
        <f aca="false">IF(GanttPeriod=1,LEFT(TEXT(GanttStart+(COLUMN()-COLUMN(gantt_Origin)-1)*GanttPeriod,"ddd"),1),"")</f>
        <v>M</v>
      </c>
      <c r="CB3" s="114" t="str">
        <f aca="false">IF(GanttPeriod=1,LEFT(TEXT(GanttStart+(COLUMN()-COLUMN(gantt_Origin)-1)*GanttPeriod,"ddd"),1),"")</f>
        <v>T</v>
      </c>
      <c r="CC3" s="114" t="str">
        <f aca="false">IF(GanttPeriod=1,LEFT(TEXT(GanttStart+(COLUMN()-COLUMN(gantt_Origin)-1)*GanttPeriod,"ddd"),1),"")</f>
        <v>W</v>
      </c>
      <c r="CD3" s="114" t="str">
        <f aca="false">IF(GanttPeriod=1,LEFT(TEXT(GanttStart+(COLUMN()-COLUMN(gantt_Origin)-1)*GanttPeriod,"ddd"),1),"")</f>
        <v>T</v>
      </c>
      <c r="CE3" s="114" t="str">
        <f aca="false">IF(GanttPeriod=1,LEFT(TEXT(GanttStart+(COLUMN()-COLUMN(gantt_Origin)-1)*GanttPeriod,"ddd"),1),"")</f>
        <v>F</v>
      </c>
      <c r="CF3" s="114" t="str">
        <f aca="false">IF(GanttPeriod=1,LEFT(TEXT(GanttStart+(COLUMN()-COLUMN(gantt_Origin)-1)*GanttPeriod,"ddd"),1),"")</f>
        <v>S</v>
      </c>
      <c r="CG3" s="114" t="str">
        <f aca="false">IF(GanttPeriod=1,LEFT(TEXT(GanttStart+(COLUMN()-COLUMN(gantt_Origin)-1)*GanttPeriod,"ddd"),1),"")</f>
        <v>S</v>
      </c>
      <c r="CH3" s="114" t="str">
        <f aca="false">IF(GanttPeriod=1,LEFT(TEXT(GanttStart+(COLUMN()-COLUMN(gantt_Origin)-1)*GanttPeriod,"ddd"),1),"")</f>
        <v>M</v>
      </c>
      <c r="CI3" s="114" t="str">
        <f aca="false">IF(GanttPeriod=1,LEFT(TEXT(GanttStart+(COLUMN()-COLUMN(gantt_Origin)-1)*GanttPeriod,"ddd"),1),"")</f>
        <v>T</v>
      </c>
      <c r="CJ3" s="114" t="str">
        <f aca="false">IF(GanttPeriod=1,LEFT(TEXT(GanttStart+(COLUMN()-COLUMN(gantt_Origin)-1)*GanttPeriod,"ddd"),1),"")</f>
        <v>W</v>
      </c>
      <c r="CK3" s="114" t="str">
        <f aca="false">IF(GanttPeriod=1,LEFT(TEXT(GanttStart+(COLUMN()-COLUMN(gantt_Origin)-1)*GanttPeriod,"ddd"),1),"")</f>
        <v>T</v>
      </c>
      <c r="CL3" s="114" t="str">
        <f aca="false">IF(GanttPeriod=1,LEFT(TEXT(GanttStart+(COLUMN()-COLUMN(gantt_Origin)-1)*GanttPeriod,"ddd"),1),"")</f>
        <v>F</v>
      </c>
      <c r="CM3" s="114" t="str">
        <f aca="false">IF(GanttPeriod=1,LEFT(TEXT(GanttStart+(COLUMN()-COLUMN(gantt_Origin)-1)*GanttPeriod,"ddd"),1),"")</f>
        <v>S</v>
      </c>
      <c r="CN3" s="114" t="str">
        <f aca="false">IF(GanttPeriod=1,LEFT(TEXT(GanttStart+(COLUMN()-COLUMN(gantt_Origin)-1)*GanttPeriod,"ddd"),1),"")</f>
        <v>S</v>
      </c>
      <c r="CO3" s="114" t="str">
        <f aca="false">IF(GanttPeriod=1,LEFT(TEXT(GanttStart+(COLUMN()-COLUMN(gantt_Origin)-1)*GanttPeriod,"ddd"),1),"")</f>
        <v>M</v>
      </c>
      <c r="CP3" s="114" t="str">
        <f aca="false">IF(GanttPeriod=1,LEFT(TEXT(GanttStart+(COLUMN()-COLUMN(gantt_Origin)-1)*GanttPeriod,"ddd"),1),"")</f>
        <v>T</v>
      </c>
      <c r="CQ3" s="114" t="str">
        <f aca="false">IF(GanttPeriod=1,LEFT(TEXT(GanttStart+(COLUMN()-COLUMN(gantt_Origin)-1)*GanttPeriod,"ddd"),1),"")</f>
        <v>W</v>
      </c>
      <c r="CR3" s="114" t="str">
        <f aca="false">IF(GanttPeriod=1,LEFT(TEXT(GanttStart+(COLUMN()-COLUMN(gantt_Origin)-1)*GanttPeriod,"ddd"),1),"")</f>
        <v>T</v>
      </c>
      <c r="CS3" s="114" t="str">
        <f aca="false">IF(GanttPeriod=1,LEFT(TEXT(GanttStart+(COLUMN()-COLUMN(gantt_Origin)-1)*GanttPeriod,"ddd"),1),"")</f>
        <v>F</v>
      </c>
      <c r="CT3" s="114" t="str">
        <f aca="false">IF(GanttPeriod=1,LEFT(TEXT(GanttStart+(COLUMN()-COLUMN(gantt_Origin)-1)*GanttPeriod,"ddd"),1),"")</f>
        <v>S</v>
      </c>
      <c r="CU3" s="114" t="str">
        <f aca="false">IF(GanttPeriod=1,LEFT(TEXT(GanttStart+(COLUMN()-COLUMN(gantt_Origin)-1)*GanttPeriod,"ddd"),1),"")</f>
        <v>S</v>
      </c>
      <c r="CV3" s="114" t="str">
        <f aca="false">IF(GanttPeriod=1,LEFT(TEXT(GanttStart+(COLUMN()-COLUMN(gantt_Origin)-1)*GanttPeriod,"ddd"),1),"")</f>
        <v>M</v>
      </c>
      <c r="CW3" s="114" t="str">
        <f aca="false">IF(GanttPeriod=1,LEFT(TEXT(GanttStart+(COLUMN()-COLUMN(gantt_Origin)-1)*GanttPeriod,"ddd"),1),"")</f>
        <v>T</v>
      </c>
      <c r="CX3" s="114" t="str">
        <f aca="false">IF(GanttPeriod=1,LEFT(TEXT(GanttStart+(COLUMN()-COLUMN(gantt_Origin)-1)*GanttPeriod,"ddd"),1),"")</f>
        <v>W</v>
      </c>
      <c r="CY3" s="114" t="str">
        <f aca="false">IF(GanttPeriod=1,LEFT(TEXT(GanttStart+(COLUMN()-COLUMN(gantt_Origin)-1)*GanttPeriod,"ddd"),1),"")</f>
        <v>T</v>
      </c>
      <c r="CZ3" s="114" t="str">
        <f aca="false">IF(GanttPeriod=1,LEFT(TEXT(GanttStart+(COLUMN()-COLUMN(gantt_Origin)-1)*GanttPeriod,"ddd"),1),"")</f>
        <v>F</v>
      </c>
      <c r="DA3" s="114" t="str">
        <f aca="false">IF(GanttPeriod=1,LEFT(TEXT(GanttStart+(COLUMN()-COLUMN(gantt_Origin)-1)*GanttPeriod,"ddd"),1),"")</f>
        <v>S</v>
      </c>
      <c r="DB3" s="114" t="str">
        <f aca="false">IF(GanttPeriod=1,LEFT(TEXT(GanttStart+(COLUMN()-COLUMN(gantt_Origin)-1)*GanttPeriod,"ddd"),1),"")</f>
        <v>S</v>
      </c>
      <c r="DC3" s="114" t="str">
        <f aca="false">IF(GanttPeriod=1,LEFT(TEXT(GanttStart+(COLUMN()-COLUMN(gantt_Origin)-1)*GanttPeriod,"ddd"),1),"")</f>
        <v>M</v>
      </c>
      <c r="DD3" s="114" t="str">
        <f aca="false">IF(GanttPeriod=1,LEFT(TEXT(GanttStart+(COLUMN()-COLUMN(gantt_Origin)-1)*GanttPeriod,"ddd"),1),"")</f>
        <v>T</v>
      </c>
      <c r="DE3" s="114" t="str">
        <f aca="false">IF(GanttPeriod=1,LEFT(TEXT(GanttStart+(COLUMN()-COLUMN(gantt_Origin)-1)*GanttPeriod,"ddd"),1),"")</f>
        <v>W</v>
      </c>
      <c r="DF3" s="114" t="str">
        <f aca="false">IF(GanttPeriod=1,LEFT(TEXT(GanttStart+(COLUMN()-COLUMN(gantt_Origin)-1)*GanttPeriod,"ddd"),1),"")</f>
        <v>T</v>
      </c>
      <c r="DG3" s="114" t="str">
        <f aca="false">IF(GanttPeriod=1,LEFT(TEXT(GanttStart+(COLUMN()-COLUMN(gantt_Origin)-1)*GanttPeriod,"ddd"),1),"")</f>
        <v>F</v>
      </c>
      <c r="DH3" s="114" t="str">
        <f aca="false">IF(GanttPeriod=1,LEFT(TEXT(GanttStart+(COLUMN()-COLUMN(gantt_Origin)-1)*GanttPeriod,"ddd"),1),"")</f>
        <v>S</v>
      </c>
      <c r="DI3" s="114" t="str">
        <f aca="false">IF(GanttPeriod=1,LEFT(TEXT(GanttStart+(COLUMN()-COLUMN(gantt_Origin)-1)*GanttPeriod,"ddd"),1),"")</f>
        <v>S</v>
      </c>
      <c r="DJ3" s="114" t="str">
        <f aca="false">IF(GanttPeriod=1,LEFT(TEXT(GanttStart+(COLUMN()-COLUMN(gantt_Origin)-1)*GanttPeriod,"ddd"),1),"")</f>
        <v>M</v>
      </c>
      <c r="DK3" s="114" t="str">
        <f aca="false">IF(GanttPeriod=1,LEFT(TEXT(GanttStart+(COLUMN()-COLUMN(gantt_Origin)-1)*GanttPeriod,"ddd"),1),"")</f>
        <v>T</v>
      </c>
      <c r="DL3" s="114" t="str">
        <f aca="false">IF(GanttPeriod=1,LEFT(TEXT(GanttStart+(COLUMN()-COLUMN(gantt_Origin)-1)*GanttPeriod,"ddd"),1),"")</f>
        <v>W</v>
      </c>
      <c r="DM3" s="114" t="str">
        <f aca="false">IF(GanttPeriod=1,LEFT(TEXT(GanttStart+(COLUMN()-COLUMN(gantt_Origin)-1)*GanttPeriod,"ddd"),1),"")</f>
        <v>T</v>
      </c>
      <c r="DN3" s="114" t="str">
        <f aca="false">IF(GanttPeriod=1,LEFT(TEXT(GanttStart+(COLUMN()-COLUMN(gantt_Origin)-1)*GanttPeriod,"ddd"),1),"")</f>
        <v>F</v>
      </c>
      <c r="DO3" s="114" t="str">
        <f aca="false">IF(GanttPeriod=1,LEFT(TEXT(GanttStart+(COLUMN()-COLUMN(gantt_Origin)-1)*GanttPeriod,"ddd"),1),"")</f>
        <v>S</v>
      </c>
      <c r="DP3" s="114" t="str">
        <f aca="false">IF(GanttPeriod=1,LEFT(TEXT(GanttStart+(COLUMN()-COLUMN(gantt_Origin)-1)*GanttPeriod,"ddd"),1),"")</f>
        <v>S</v>
      </c>
      <c r="DQ3" s="114" t="str">
        <f aca="false">IF(GanttPeriod=1,LEFT(TEXT(GanttStart+(COLUMN()-COLUMN(gantt_Origin)-1)*GanttPeriod,"ddd"),1),"")</f>
        <v>M</v>
      </c>
      <c r="DR3" s="114" t="str">
        <f aca="false">IF(GanttPeriod=1,LEFT(TEXT(GanttStart+(COLUMN()-COLUMN(gantt_Origin)-1)*GanttPeriod,"ddd"),1),"")</f>
        <v>T</v>
      </c>
      <c r="DS3" s="114" t="str">
        <f aca="false">IF(GanttPeriod=1,LEFT(TEXT(GanttStart+(COLUMN()-COLUMN(gantt_Origin)-1)*GanttPeriod,"ddd"),1),"")</f>
        <v>W</v>
      </c>
      <c r="DT3" s="114" t="str">
        <f aca="false">IF(GanttPeriod=1,LEFT(TEXT(GanttStart+(COLUMN()-COLUMN(gantt_Origin)-1)*GanttPeriod,"ddd"),1),"")</f>
        <v>T</v>
      </c>
      <c r="DU3" s="114" t="str">
        <f aca="false">IF(GanttPeriod=1,LEFT(TEXT(GanttStart+(COLUMN()-COLUMN(gantt_Origin)-1)*GanttPeriod,"ddd"),1),"")</f>
        <v>F</v>
      </c>
      <c r="DV3" s="114" t="str">
        <f aca="false">IF(GanttPeriod=1,LEFT(TEXT(GanttStart+(COLUMN()-COLUMN(gantt_Origin)-1)*GanttPeriod,"ddd"),1),"")</f>
        <v>S</v>
      </c>
      <c r="DW3" s="114" t="str">
        <f aca="false">IF(GanttPeriod=1,LEFT(TEXT(GanttStart+(COLUMN()-COLUMN(gantt_Origin)-1)*GanttPeriod,"ddd"),1),"")</f>
        <v>S</v>
      </c>
      <c r="DX3" s="114" t="str">
        <f aca="false">IF(GanttPeriod=1,LEFT(TEXT(GanttStart+(COLUMN()-COLUMN(gantt_Origin)-1)*GanttPeriod,"ddd"),1),"")</f>
        <v>M</v>
      </c>
      <c r="DY3" s="114" t="str">
        <f aca="false">IF(GanttPeriod=1,LEFT(TEXT(GanttStart+(COLUMN()-COLUMN(gantt_Origin)-1)*GanttPeriod,"ddd"),1),"")</f>
        <v>T</v>
      </c>
      <c r="DZ3" s="114" t="str">
        <f aca="false">IF(GanttPeriod=1,LEFT(TEXT(GanttStart+(COLUMN()-COLUMN(gantt_Origin)-1)*GanttPeriod,"ddd"),1),"")</f>
        <v>W</v>
      </c>
      <c r="EA3" s="114" t="str">
        <f aca="false">IF(GanttPeriod=1,LEFT(TEXT(GanttStart+(COLUMN()-COLUMN(gantt_Origin)-1)*GanttPeriod,"ddd"),1),"")</f>
        <v>T</v>
      </c>
      <c r="EB3" s="114" t="str">
        <f aca="false">IF(GanttPeriod=1,LEFT(TEXT(GanttStart+(COLUMN()-COLUMN(gantt_Origin)-1)*GanttPeriod,"ddd"),1),"")</f>
        <v>F</v>
      </c>
      <c r="EC3" s="114" t="str">
        <f aca="false">IF(GanttPeriod=1,LEFT(TEXT(GanttStart+(COLUMN()-COLUMN(gantt_Origin)-1)*GanttPeriod,"ddd"),1),"")</f>
        <v>S</v>
      </c>
      <c r="ED3" s="114" t="str">
        <f aca="false">IF(GanttPeriod=1,LEFT(TEXT(GanttStart+(COLUMN()-COLUMN(gantt_Origin)-1)*GanttPeriod,"ddd"),1),"")</f>
        <v>S</v>
      </c>
      <c r="EE3" s="114" t="str">
        <f aca="false">IF(GanttPeriod=1,LEFT(TEXT(GanttStart+(COLUMN()-COLUMN(gantt_Origin)-1)*GanttPeriod,"ddd"),1),"")</f>
        <v>M</v>
      </c>
      <c r="EF3" s="114" t="str">
        <f aca="false">IF(GanttPeriod=1,LEFT(TEXT(GanttStart+(COLUMN()-COLUMN(gantt_Origin)-1)*GanttPeriod,"ddd"),1),"")</f>
        <v>T</v>
      </c>
      <c r="EG3" s="114" t="str">
        <f aca="false">IF(GanttPeriod=1,LEFT(TEXT(GanttStart+(COLUMN()-COLUMN(gantt_Origin)-1)*GanttPeriod,"ddd"),1),"")</f>
        <v>W</v>
      </c>
      <c r="EH3" s="114" t="str">
        <f aca="false">IF(GanttPeriod=1,LEFT(TEXT(GanttStart+(COLUMN()-COLUMN(gantt_Origin)-1)*GanttPeriod,"ddd"),1),"")</f>
        <v>T</v>
      </c>
      <c r="EI3" s="114" t="str">
        <f aca="false">IF(GanttPeriod=1,LEFT(TEXT(GanttStart+(COLUMN()-COLUMN(gantt_Origin)-1)*GanttPeriod,"ddd"),1),"")</f>
        <v>F</v>
      </c>
      <c r="EJ3" s="114" t="str">
        <f aca="false">IF(GanttPeriod=1,LEFT(TEXT(GanttStart+(COLUMN()-COLUMN(gantt_Origin)-1)*GanttPeriod,"ddd"),1),"")</f>
        <v>S</v>
      </c>
      <c r="EK3" s="114" t="str">
        <f aca="false">IF(GanttPeriod=1,LEFT(TEXT(GanttStart+(COLUMN()-COLUMN(gantt_Origin)-1)*GanttPeriod,"ddd"),1),"")</f>
        <v>S</v>
      </c>
      <c r="EL3" s="114" t="str">
        <f aca="false">IF(GanttPeriod=1,LEFT(TEXT(GanttStart+(COLUMN()-COLUMN(gantt_Origin)-1)*GanttPeriod,"ddd"),1),"")</f>
        <v>M</v>
      </c>
      <c r="EM3" s="114" t="str">
        <f aca="false">IF(GanttPeriod=1,LEFT(TEXT(GanttStart+(COLUMN()-COLUMN(gantt_Origin)-1)*GanttPeriod,"ddd"),1),"")</f>
        <v>T</v>
      </c>
      <c r="EN3" s="114" t="str">
        <f aca="false">IF(GanttPeriod=1,LEFT(TEXT(GanttStart+(COLUMN()-COLUMN(gantt_Origin)-1)*GanttPeriod,"ddd"),1),"")</f>
        <v>W</v>
      </c>
      <c r="EO3" s="114" t="str">
        <f aca="false">IF(GanttPeriod=1,LEFT(TEXT(GanttStart+(COLUMN()-COLUMN(gantt_Origin)-1)*GanttPeriod,"ddd"),1),"")</f>
        <v>T</v>
      </c>
      <c r="EP3" s="114" t="str">
        <f aca="false">IF(GanttPeriod=1,LEFT(TEXT(GanttStart+(COLUMN()-COLUMN(gantt_Origin)-1)*GanttPeriod,"ddd"),1),"")</f>
        <v>F</v>
      </c>
      <c r="EQ3" s="114" t="str">
        <f aca="false">IF(GanttPeriod=1,LEFT(TEXT(GanttStart+(COLUMN()-COLUMN(gantt_Origin)-1)*GanttPeriod,"ddd"),1),"")</f>
        <v>S</v>
      </c>
      <c r="ER3" s="114" t="str">
        <f aca="false">IF(GanttPeriod=1,LEFT(TEXT(GanttStart+(COLUMN()-COLUMN(gantt_Origin)-1)*GanttPeriod,"ddd"),1),"")</f>
        <v>S</v>
      </c>
      <c r="ES3" s="114" t="str">
        <f aca="false">IF(GanttPeriod=1,LEFT(TEXT(GanttStart+(COLUMN()-COLUMN(gantt_Origin)-1)*GanttPeriod,"ddd"),1),"")</f>
        <v>M</v>
      </c>
      <c r="ET3" s="114" t="str">
        <f aca="false">IF(GanttPeriod=1,LEFT(TEXT(GanttStart+(COLUMN()-COLUMN(gantt_Origin)-1)*GanttPeriod,"ddd"),1),"")</f>
        <v>T</v>
      </c>
      <c r="EU3" s="114" t="str">
        <f aca="false">IF(GanttPeriod=1,LEFT(TEXT(GanttStart+(COLUMN()-COLUMN(gantt_Origin)-1)*GanttPeriod,"ddd"),1),"")</f>
        <v>W</v>
      </c>
      <c r="EV3" s="114" t="str">
        <f aca="false">IF(GanttPeriod=1,LEFT(TEXT(GanttStart+(COLUMN()-COLUMN(gantt_Origin)-1)*GanttPeriod,"ddd"),1),"")</f>
        <v>T</v>
      </c>
      <c r="EW3" s="114" t="str">
        <f aca="false">IF(GanttPeriod=1,LEFT(TEXT(GanttStart+(COLUMN()-COLUMN(gantt_Origin)-1)*GanttPeriod,"ddd"),1),"")</f>
        <v>F</v>
      </c>
      <c r="EX3" s="114" t="str">
        <f aca="false">IF(GanttPeriod=1,LEFT(TEXT(GanttStart+(COLUMN()-COLUMN(gantt_Origin)-1)*GanttPeriod,"ddd"),1),"")</f>
        <v>S</v>
      </c>
      <c r="EY3" s="114" t="str">
        <f aca="false">IF(GanttPeriod=1,LEFT(TEXT(GanttStart+(COLUMN()-COLUMN(gantt_Origin)-1)*GanttPeriod,"ddd"),1),"")</f>
        <v>S</v>
      </c>
      <c r="EZ3" s="114" t="str">
        <f aca="false">IF(GanttPeriod=1,LEFT(TEXT(GanttStart+(COLUMN()-COLUMN(gantt_Origin)-1)*GanttPeriod,"ddd"),1),"")</f>
        <v>M</v>
      </c>
      <c r="FA3" s="114" t="str">
        <f aca="false">IF(GanttPeriod=1,LEFT(TEXT(GanttStart+(COLUMN()-COLUMN(gantt_Origin)-1)*GanttPeriod,"ddd"),1),"")</f>
        <v>T</v>
      </c>
      <c r="FB3" s="114" t="str">
        <f aca="false">IF(GanttPeriod=1,LEFT(TEXT(GanttStart+(COLUMN()-COLUMN(gantt_Origin)-1)*GanttPeriod,"ddd"),1),"")</f>
        <v>W</v>
      </c>
      <c r="FC3" s="114" t="str">
        <f aca="false">IF(GanttPeriod=1,LEFT(TEXT(GanttStart+(COLUMN()-COLUMN(gantt_Origin)-1)*GanttPeriod,"ddd"),1),"")</f>
        <v>T</v>
      </c>
      <c r="FD3" s="114" t="str">
        <f aca="false">IF(GanttPeriod=1,LEFT(TEXT(GanttStart+(COLUMN()-COLUMN(gantt_Origin)-1)*GanttPeriod,"ddd"),1),"")</f>
        <v>F</v>
      </c>
      <c r="FE3" s="114" t="str">
        <f aca="false">IF(GanttPeriod=1,LEFT(TEXT(GanttStart+(COLUMN()-COLUMN(gantt_Origin)-1)*GanttPeriod,"ddd"),1),"")</f>
        <v>S</v>
      </c>
      <c r="FF3" s="114" t="str">
        <f aca="false">IF(GanttPeriod=1,LEFT(TEXT(GanttStart+(COLUMN()-COLUMN(gantt_Origin)-1)*GanttPeriod,"ddd"),1),"")</f>
        <v>S</v>
      </c>
      <c r="FG3" s="114" t="str">
        <f aca="false">IF(GanttPeriod=1,LEFT(TEXT(GanttStart+(COLUMN()-COLUMN(gantt_Origin)-1)*GanttPeriod,"ddd"),1),"")</f>
        <v>M</v>
      </c>
      <c r="FH3" s="114" t="str">
        <f aca="false">IF(GanttPeriod=1,LEFT(TEXT(GanttStart+(COLUMN()-COLUMN(gantt_Origin)-1)*GanttPeriod,"ddd"),1),"")</f>
        <v>T</v>
      </c>
      <c r="FI3" s="114" t="str">
        <f aca="false">IF(GanttPeriod=1,LEFT(TEXT(GanttStart+(COLUMN()-COLUMN(gantt_Origin)-1)*GanttPeriod,"ddd"),1),"")</f>
        <v>W</v>
      </c>
      <c r="FJ3" s="114" t="str">
        <f aca="false">IF(GanttPeriod=1,LEFT(TEXT(GanttStart+(COLUMN()-COLUMN(gantt_Origin)-1)*GanttPeriod,"ddd"),1),"")</f>
        <v>T</v>
      </c>
      <c r="FK3" s="114" t="str">
        <f aca="false">IF(GanttPeriod=1,LEFT(TEXT(GanttStart+(COLUMN()-COLUMN(gantt_Origin)-1)*GanttPeriod,"ddd"),1),"")</f>
        <v>F</v>
      </c>
      <c r="FL3" s="114" t="str">
        <f aca="false">IF(GanttPeriod=1,LEFT(TEXT(GanttStart+(COLUMN()-COLUMN(gantt_Origin)-1)*GanttPeriod,"ddd"),1),"")</f>
        <v>S</v>
      </c>
      <c r="FM3" s="114" t="str">
        <f aca="false">IF(GanttPeriod=1,LEFT(TEXT(GanttStart+(COLUMN()-COLUMN(gantt_Origin)-1)*GanttPeriod,"ddd"),1),"")</f>
        <v>S</v>
      </c>
      <c r="FN3" s="114" t="str">
        <f aca="false">IF(GanttPeriod=1,LEFT(TEXT(GanttStart+(COLUMN()-COLUMN(gantt_Origin)-1)*GanttPeriod,"ddd"),1),"")</f>
        <v>M</v>
      </c>
      <c r="FO3" s="114" t="str">
        <f aca="false">IF(GanttPeriod=1,LEFT(TEXT(GanttStart+(COLUMN()-COLUMN(gantt_Origin)-1)*GanttPeriod,"ddd"),1),"")</f>
        <v>T</v>
      </c>
      <c r="FP3" s="114" t="str">
        <f aca="false">IF(GanttPeriod=1,LEFT(TEXT(GanttStart+(COLUMN()-COLUMN(gantt_Origin)-1)*GanttPeriod,"ddd"),1),"")</f>
        <v>W</v>
      </c>
    </row>
    <row r="4" customFormat="false" ht="15" hidden="false" customHeight="false" outlineLevel="0" collapsed="false">
      <c r="W4" s="115" t="str">
        <f aca="false">IF(OR(COLUMN()-COLUMN(gantt_Origin)=1,DAY(GanttStart+(COLUMN()-COLUMN(gantt_Origin)-1)*GanttPeriod)&lt;=GanttPeriod),TEXT(GanttStart+(COLUMN()-COLUMN(gantt_Origin)-1)*GanttPeriod,"mmm yy"),"")</f>
        <v>Sep 26</v>
      </c>
      <c r="X4" s="115" t="str">
        <f aca="false">IF(OR(COLUMN()-COLUMN(gantt_Origin)=1,DAY(GanttStart+(COLUMN()-COLUMN(gantt_Origin)-1)*GanttPeriod)&lt;=GanttPeriod),TEXT(GanttStart+(COLUMN()-COLUMN(gantt_Origin)-1)*GanttPeriod,"mmm yy"),"")</f>
        <v/>
      </c>
      <c r="Y4" s="115" t="str">
        <f aca="false">IF(OR(COLUMN()-COLUMN(gantt_Origin)=1,DAY(GanttStart+(COLUMN()-COLUMN(gantt_Origin)-1)*GanttPeriod)&lt;=GanttPeriod),TEXT(GanttStart+(COLUMN()-COLUMN(gantt_Origin)-1)*GanttPeriod,"mmm yy"),"")</f>
        <v/>
      </c>
      <c r="Z4" s="115" t="str">
        <f aca="false">IF(OR(COLUMN()-COLUMN(gantt_Origin)=1,DAY(GanttStart+(COLUMN()-COLUMN(gantt_Origin)-1)*GanttPeriod)&lt;=GanttPeriod),TEXT(GanttStart+(COLUMN()-COLUMN(gantt_Origin)-1)*GanttPeriod,"mmm yy"),"")</f>
        <v/>
      </c>
      <c r="AA4" s="115" t="str">
        <f aca="false">IF(OR(COLUMN()-COLUMN(gantt_Origin)=1,DAY(GanttStart+(COLUMN()-COLUMN(gantt_Origin)-1)*GanttPeriod)&lt;=GanttPeriod),TEXT(GanttStart+(COLUMN()-COLUMN(gantt_Origin)-1)*GanttPeriod,"mmm yy"),"")</f>
        <v/>
      </c>
      <c r="AB4" s="115" t="str">
        <f aca="false">IF(OR(COLUMN()-COLUMN(gantt_Origin)=1,DAY(GanttStart+(COLUMN()-COLUMN(gantt_Origin)-1)*GanttPeriod)&lt;=GanttPeriod),TEXT(GanttStart+(COLUMN()-COLUMN(gantt_Origin)-1)*GanttPeriod,"mmm yy"),"")</f>
        <v/>
      </c>
      <c r="AC4" s="115" t="str">
        <f aca="false">IF(OR(COLUMN()-COLUMN(gantt_Origin)=1,DAY(GanttStart+(COLUMN()-COLUMN(gantt_Origin)-1)*GanttPeriod)&lt;=GanttPeriod),TEXT(GanttStart+(COLUMN()-COLUMN(gantt_Origin)-1)*GanttPeriod,"mmm yy"),"")</f>
        <v/>
      </c>
      <c r="AD4" s="115" t="str">
        <f aca="false">IF(OR(COLUMN()-COLUMN(gantt_Origin)=1,DAY(GanttStart+(COLUMN()-COLUMN(gantt_Origin)-1)*GanttPeriod)&lt;=GanttPeriod),TEXT(GanttStart+(COLUMN()-COLUMN(gantt_Origin)-1)*GanttPeriod,"mmm yy"),"")</f>
        <v/>
      </c>
      <c r="AE4" s="115" t="str">
        <f aca="false">IF(OR(COLUMN()-COLUMN(gantt_Origin)=1,DAY(GanttStart+(COLUMN()-COLUMN(gantt_Origin)-1)*GanttPeriod)&lt;=GanttPeriod),TEXT(GanttStart+(COLUMN()-COLUMN(gantt_Origin)-1)*GanttPeriod,"mmm yy"),"")</f>
        <v/>
      </c>
      <c r="AF4" s="115" t="str">
        <f aca="false">IF(OR(COLUMN()-COLUMN(gantt_Origin)=1,DAY(GanttStart+(COLUMN()-COLUMN(gantt_Origin)-1)*GanttPeriod)&lt;=GanttPeriod),TEXT(GanttStart+(COLUMN()-COLUMN(gantt_Origin)-1)*GanttPeriod,"mmm yy"),"")</f>
        <v/>
      </c>
      <c r="AG4" s="115" t="str">
        <f aca="false">IF(OR(COLUMN()-COLUMN(gantt_Origin)=1,DAY(GanttStart+(COLUMN()-COLUMN(gantt_Origin)-1)*GanttPeriod)&lt;=GanttPeriod),TEXT(GanttStart+(COLUMN()-COLUMN(gantt_Origin)-1)*GanttPeriod,"mmm yy"),"")</f>
        <v/>
      </c>
      <c r="AH4" s="115" t="str">
        <f aca="false">IF(OR(COLUMN()-COLUMN(gantt_Origin)=1,DAY(GanttStart+(COLUMN()-COLUMN(gantt_Origin)-1)*GanttPeriod)&lt;=GanttPeriod),TEXT(GanttStart+(COLUMN()-COLUMN(gantt_Origin)-1)*GanttPeriod,"mmm yy"),"")</f>
        <v/>
      </c>
      <c r="AI4" s="115" t="str">
        <f aca="false">IF(OR(COLUMN()-COLUMN(gantt_Origin)=1,DAY(GanttStart+(COLUMN()-COLUMN(gantt_Origin)-1)*GanttPeriod)&lt;=GanttPeriod),TEXT(GanttStart+(COLUMN()-COLUMN(gantt_Origin)-1)*GanttPeriod,"mmm yy"),"")</f>
        <v/>
      </c>
      <c r="AJ4" s="115" t="str">
        <f aca="false">IF(OR(COLUMN()-COLUMN(gantt_Origin)=1,DAY(GanttStart+(COLUMN()-COLUMN(gantt_Origin)-1)*GanttPeriod)&lt;=GanttPeriod),TEXT(GanttStart+(COLUMN()-COLUMN(gantt_Origin)-1)*GanttPeriod,"mmm yy"),"")</f>
        <v/>
      </c>
      <c r="AK4" s="115" t="str">
        <f aca="false">IF(OR(COLUMN()-COLUMN(gantt_Origin)=1,DAY(GanttStart+(COLUMN()-COLUMN(gantt_Origin)-1)*GanttPeriod)&lt;=GanttPeriod),TEXT(GanttStart+(COLUMN()-COLUMN(gantt_Origin)-1)*GanttPeriod,"mmm yy"),"")</f>
        <v/>
      </c>
      <c r="AL4" s="115" t="str">
        <f aca="false">IF(OR(COLUMN()-COLUMN(gantt_Origin)=1,DAY(GanttStart+(COLUMN()-COLUMN(gantt_Origin)-1)*GanttPeriod)&lt;=GanttPeriod),TEXT(GanttStart+(COLUMN()-COLUMN(gantt_Origin)-1)*GanttPeriod,"mmm yy"),"")</f>
        <v/>
      </c>
      <c r="AM4" s="115" t="str">
        <f aca="false">IF(OR(COLUMN()-COLUMN(gantt_Origin)=1,DAY(GanttStart+(COLUMN()-COLUMN(gantt_Origin)-1)*GanttPeriod)&lt;=GanttPeriod),TEXT(GanttStart+(COLUMN()-COLUMN(gantt_Origin)-1)*GanttPeriod,"mmm yy"),"")</f>
        <v/>
      </c>
      <c r="AN4" s="115" t="str">
        <f aca="false">IF(OR(COLUMN()-COLUMN(gantt_Origin)=1,DAY(GanttStart+(COLUMN()-COLUMN(gantt_Origin)-1)*GanttPeriod)&lt;=GanttPeriod),TEXT(GanttStart+(COLUMN()-COLUMN(gantt_Origin)-1)*GanttPeriod,"mmm yy"),"")</f>
        <v/>
      </c>
      <c r="AO4" s="115" t="str">
        <f aca="false">IF(OR(COLUMN()-COLUMN(gantt_Origin)=1,DAY(GanttStart+(COLUMN()-COLUMN(gantt_Origin)-1)*GanttPeriod)&lt;=GanttPeriod),TEXT(GanttStart+(COLUMN()-COLUMN(gantt_Origin)-1)*GanttPeriod,"mmm yy"),"")</f>
        <v/>
      </c>
      <c r="AP4" s="115" t="str">
        <f aca="false">IF(OR(COLUMN()-COLUMN(gantt_Origin)=1,DAY(GanttStart+(COLUMN()-COLUMN(gantt_Origin)-1)*GanttPeriod)&lt;=GanttPeriod),TEXT(GanttStart+(COLUMN()-COLUMN(gantt_Origin)-1)*GanttPeriod,"mmm yy"),"")</f>
        <v/>
      </c>
      <c r="AQ4" s="115" t="str">
        <f aca="false">IF(OR(COLUMN()-COLUMN(gantt_Origin)=1,DAY(GanttStart+(COLUMN()-COLUMN(gantt_Origin)-1)*GanttPeriod)&lt;=GanttPeriod),TEXT(GanttStart+(COLUMN()-COLUMN(gantt_Origin)-1)*GanttPeriod,"mmm yy"),"")</f>
        <v/>
      </c>
      <c r="AR4" s="115" t="str">
        <f aca="false">IF(OR(COLUMN()-COLUMN(gantt_Origin)=1,DAY(GanttStart+(COLUMN()-COLUMN(gantt_Origin)-1)*GanttPeriod)&lt;=GanttPeriod),TEXT(GanttStart+(COLUMN()-COLUMN(gantt_Origin)-1)*GanttPeriod,"mmm yy"),"")</f>
        <v/>
      </c>
      <c r="AS4" s="115" t="str">
        <f aca="false">IF(OR(COLUMN()-COLUMN(gantt_Origin)=1,DAY(GanttStart+(COLUMN()-COLUMN(gantt_Origin)-1)*GanttPeriod)&lt;=GanttPeriod),TEXT(GanttStart+(COLUMN()-COLUMN(gantt_Origin)-1)*GanttPeriod,"mmm yy"),"")</f>
        <v/>
      </c>
      <c r="AT4" s="115" t="str">
        <f aca="false">IF(OR(COLUMN()-COLUMN(gantt_Origin)=1,DAY(GanttStart+(COLUMN()-COLUMN(gantt_Origin)-1)*GanttPeriod)&lt;=GanttPeriod),TEXT(GanttStart+(COLUMN()-COLUMN(gantt_Origin)-1)*GanttPeriod,"mmm yy"),"")</f>
        <v/>
      </c>
      <c r="AU4" s="115" t="str">
        <f aca="false">IF(OR(COLUMN()-COLUMN(gantt_Origin)=1,DAY(GanttStart+(COLUMN()-COLUMN(gantt_Origin)-1)*GanttPeriod)&lt;=GanttPeriod),TEXT(GanttStart+(COLUMN()-COLUMN(gantt_Origin)-1)*GanttPeriod,"mmm yy"),"")</f>
        <v>Oct 26</v>
      </c>
      <c r="AV4" s="115" t="str">
        <f aca="false">IF(OR(COLUMN()-COLUMN(gantt_Origin)=1,DAY(GanttStart+(COLUMN()-COLUMN(gantt_Origin)-1)*GanttPeriod)&lt;=GanttPeriod),TEXT(GanttStart+(COLUMN()-COLUMN(gantt_Origin)-1)*GanttPeriod,"mmm yy"),"")</f>
        <v/>
      </c>
      <c r="AW4" s="115" t="str">
        <f aca="false">IF(OR(COLUMN()-COLUMN(gantt_Origin)=1,DAY(GanttStart+(COLUMN()-COLUMN(gantt_Origin)-1)*GanttPeriod)&lt;=GanttPeriod),TEXT(GanttStart+(COLUMN()-COLUMN(gantt_Origin)-1)*GanttPeriod,"mmm yy"),"")</f>
        <v/>
      </c>
      <c r="AX4" s="115" t="str">
        <f aca="false">IF(OR(COLUMN()-COLUMN(gantt_Origin)=1,DAY(GanttStart+(COLUMN()-COLUMN(gantt_Origin)-1)*GanttPeriod)&lt;=GanttPeriod),TEXT(GanttStart+(COLUMN()-COLUMN(gantt_Origin)-1)*GanttPeriod,"mmm yy"),"")</f>
        <v/>
      </c>
      <c r="AY4" s="115" t="str">
        <f aca="false">IF(OR(COLUMN()-COLUMN(gantt_Origin)=1,DAY(GanttStart+(COLUMN()-COLUMN(gantt_Origin)-1)*GanttPeriod)&lt;=GanttPeriod),TEXT(GanttStart+(COLUMN()-COLUMN(gantt_Origin)-1)*GanttPeriod,"mmm yy"),"")</f>
        <v/>
      </c>
      <c r="AZ4" s="115" t="str">
        <f aca="false">IF(OR(COLUMN()-COLUMN(gantt_Origin)=1,DAY(GanttStart+(COLUMN()-COLUMN(gantt_Origin)-1)*GanttPeriod)&lt;=GanttPeriod),TEXT(GanttStart+(COLUMN()-COLUMN(gantt_Origin)-1)*GanttPeriod,"mmm yy"),"")</f>
        <v/>
      </c>
      <c r="BA4" s="115" t="str">
        <f aca="false">IF(OR(COLUMN()-COLUMN(gantt_Origin)=1,DAY(GanttStart+(COLUMN()-COLUMN(gantt_Origin)-1)*GanttPeriod)&lt;=GanttPeriod),TEXT(GanttStart+(COLUMN()-COLUMN(gantt_Origin)-1)*GanttPeriod,"mmm yy"),"")</f>
        <v/>
      </c>
      <c r="BB4" s="115" t="str">
        <f aca="false">IF(OR(COLUMN()-COLUMN(gantt_Origin)=1,DAY(GanttStart+(COLUMN()-COLUMN(gantt_Origin)-1)*GanttPeriod)&lt;=GanttPeriod),TEXT(GanttStart+(COLUMN()-COLUMN(gantt_Origin)-1)*GanttPeriod,"mmm yy"),"")</f>
        <v/>
      </c>
      <c r="BC4" s="115" t="str">
        <f aca="false">IF(OR(COLUMN()-COLUMN(gantt_Origin)=1,DAY(GanttStart+(COLUMN()-COLUMN(gantt_Origin)-1)*GanttPeriod)&lt;=GanttPeriod),TEXT(GanttStart+(COLUMN()-COLUMN(gantt_Origin)-1)*GanttPeriod,"mmm yy"),"")</f>
        <v/>
      </c>
      <c r="BD4" s="115" t="str">
        <f aca="false">IF(OR(COLUMN()-COLUMN(gantt_Origin)=1,DAY(GanttStart+(COLUMN()-COLUMN(gantt_Origin)-1)*GanttPeriod)&lt;=GanttPeriod),TEXT(GanttStart+(COLUMN()-COLUMN(gantt_Origin)-1)*GanttPeriod,"mmm yy"),"")</f>
        <v/>
      </c>
      <c r="BE4" s="115" t="str">
        <f aca="false">IF(OR(COLUMN()-COLUMN(gantt_Origin)=1,DAY(GanttStart+(COLUMN()-COLUMN(gantt_Origin)-1)*GanttPeriod)&lt;=GanttPeriod),TEXT(GanttStart+(COLUMN()-COLUMN(gantt_Origin)-1)*GanttPeriod,"mmm yy"),"")</f>
        <v/>
      </c>
      <c r="BF4" s="115" t="str">
        <f aca="false">IF(OR(COLUMN()-COLUMN(gantt_Origin)=1,DAY(GanttStart+(COLUMN()-COLUMN(gantt_Origin)-1)*GanttPeriod)&lt;=GanttPeriod),TEXT(GanttStart+(COLUMN()-COLUMN(gantt_Origin)-1)*GanttPeriod,"mmm yy"),"")</f>
        <v/>
      </c>
      <c r="BG4" s="115" t="str">
        <f aca="false">IF(OR(COLUMN()-COLUMN(gantt_Origin)=1,DAY(GanttStart+(COLUMN()-COLUMN(gantt_Origin)-1)*GanttPeriod)&lt;=GanttPeriod),TEXT(GanttStart+(COLUMN()-COLUMN(gantt_Origin)-1)*GanttPeriod,"mmm yy"),"")</f>
        <v/>
      </c>
      <c r="BH4" s="115" t="str">
        <f aca="false">IF(OR(COLUMN()-COLUMN(gantt_Origin)=1,DAY(GanttStart+(COLUMN()-COLUMN(gantt_Origin)-1)*GanttPeriod)&lt;=GanttPeriod),TEXT(GanttStart+(COLUMN()-COLUMN(gantt_Origin)-1)*GanttPeriod,"mmm yy"),"")</f>
        <v/>
      </c>
      <c r="BI4" s="115" t="str">
        <f aca="false">IF(OR(COLUMN()-COLUMN(gantt_Origin)=1,DAY(GanttStart+(COLUMN()-COLUMN(gantt_Origin)-1)*GanttPeriod)&lt;=GanttPeriod),TEXT(GanttStart+(COLUMN()-COLUMN(gantt_Origin)-1)*GanttPeriod,"mmm yy"),"")</f>
        <v/>
      </c>
      <c r="BJ4" s="115" t="str">
        <f aca="false">IF(OR(COLUMN()-COLUMN(gantt_Origin)=1,DAY(GanttStart+(COLUMN()-COLUMN(gantt_Origin)-1)*GanttPeriod)&lt;=GanttPeriod),TEXT(GanttStart+(COLUMN()-COLUMN(gantt_Origin)-1)*GanttPeriod,"mmm yy"),"")</f>
        <v/>
      </c>
      <c r="BK4" s="115" t="str">
        <f aca="false">IF(OR(COLUMN()-COLUMN(gantt_Origin)=1,DAY(GanttStart+(COLUMN()-COLUMN(gantt_Origin)-1)*GanttPeriod)&lt;=GanttPeriod),TEXT(GanttStart+(COLUMN()-COLUMN(gantt_Origin)-1)*GanttPeriod,"mmm yy"),"")</f>
        <v/>
      </c>
      <c r="BL4" s="115" t="str">
        <f aca="false">IF(OR(COLUMN()-COLUMN(gantt_Origin)=1,DAY(GanttStart+(COLUMN()-COLUMN(gantt_Origin)-1)*GanttPeriod)&lt;=GanttPeriod),TEXT(GanttStart+(COLUMN()-COLUMN(gantt_Origin)-1)*GanttPeriod,"mmm yy"),"")</f>
        <v/>
      </c>
      <c r="BM4" s="115" t="str">
        <f aca="false">IF(OR(COLUMN()-COLUMN(gantt_Origin)=1,DAY(GanttStart+(COLUMN()-COLUMN(gantt_Origin)-1)*GanttPeriod)&lt;=GanttPeriod),TEXT(GanttStart+(COLUMN()-COLUMN(gantt_Origin)-1)*GanttPeriod,"mmm yy"),"")</f>
        <v/>
      </c>
      <c r="BN4" s="115" t="str">
        <f aca="false">IF(OR(COLUMN()-COLUMN(gantt_Origin)=1,DAY(GanttStart+(COLUMN()-COLUMN(gantt_Origin)-1)*GanttPeriod)&lt;=GanttPeriod),TEXT(GanttStart+(COLUMN()-COLUMN(gantt_Origin)-1)*GanttPeriod,"mmm yy"),"")</f>
        <v/>
      </c>
      <c r="BO4" s="115" t="str">
        <f aca="false">IF(OR(COLUMN()-COLUMN(gantt_Origin)=1,DAY(GanttStart+(COLUMN()-COLUMN(gantt_Origin)-1)*GanttPeriod)&lt;=GanttPeriod),TEXT(GanttStart+(COLUMN()-COLUMN(gantt_Origin)-1)*GanttPeriod,"mmm yy"),"")</f>
        <v/>
      </c>
      <c r="BP4" s="115" t="str">
        <f aca="false">IF(OR(COLUMN()-COLUMN(gantt_Origin)=1,DAY(GanttStart+(COLUMN()-COLUMN(gantt_Origin)-1)*GanttPeriod)&lt;=GanttPeriod),TEXT(GanttStart+(COLUMN()-COLUMN(gantt_Origin)-1)*GanttPeriod,"mmm yy"),"")</f>
        <v/>
      </c>
      <c r="BQ4" s="115" t="str">
        <f aca="false">IF(OR(COLUMN()-COLUMN(gantt_Origin)=1,DAY(GanttStart+(COLUMN()-COLUMN(gantt_Origin)-1)*GanttPeriod)&lt;=GanttPeriod),TEXT(GanttStart+(COLUMN()-COLUMN(gantt_Origin)-1)*GanttPeriod,"mmm yy"),"")</f>
        <v/>
      </c>
      <c r="BR4" s="115" t="str">
        <f aca="false">IF(OR(COLUMN()-COLUMN(gantt_Origin)=1,DAY(GanttStart+(COLUMN()-COLUMN(gantt_Origin)-1)*GanttPeriod)&lt;=GanttPeriod),TEXT(GanttStart+(COLUMN()-COLUMN(gantt_Origin)-1)*GanttPeriod,"mmm yy"),"")</f>
        <v/>
      </c>
      <c r="BS4" s="115" t="str">
        <f aca="false">IF(OR(COLUMN()-COLUMN(gantt_Origin)=1,DAY(GanttStart+(COLUMN()-COLUMN(gantt_Origin)-1)*GanttPeriod)&lt;=GanttPeriod),TEXT(GanttStart+(COLUMN()-COLUMN(gantt_Origin)-1)*GanttPeriod,"mmm yy"),"")</f>
        <v/>
      </c>
      <c r="BT4" s="115" t="str">
        <f aca="false">IF(OR(COLUMN()-COLUMN(gantt_Origin)=1,DAY(GanttStart+(COLUMN()-COLUMN(gantt_Origin)-1)*GanttPeriod)&lt;=GanttPeriod),TEXT(GanttStart+(COLUMN()-COLUMN(gantt_Origin)-1)*GanttPeriod,"mmm yy"),"")</f>
        <v/>
      </c>
      <c r="BU4" s="115" t="str">
        <f aca="false">IF(OR(COLUMN()-COLUMN(gantt_Origin)=1,DAY(GanttStart+(COLUMN()-COLUMN(gantt_Origin)-1)*GanttPeriod)&lt;=GanttPeriod),TEXT(GanttStart+(COLUMN()-COLUMN(gantt_Origin)-1)*GanttPeriod,"mmm yy"),"")</f>
        <v/>
      </c>
      <c r="BV4" s="115" t="str">
        <f aca="false">IF(OR(COLUMN()-COLUMN(gantt_Origin)=1,DAY(GanttStart+(COLUMN()-COLUMN(gantt_Origin)-1)*GanttPeriod)&lt;=GanttPeriod),TEXT(GanttStart+(COLUMN()-COLUMN(gantt_Origin)-1)*GanttPeriod,"mmm yy"),"")</f>
        <v/>
      </c>
      <c r="BW4" s="115" t="str">
        <f aca="false">IF(OR(COLUMN()-COLUMN(gantt_Origin)=1,DAY(GanttStart+(COLUMN()-COLUMN(gantt_Origin)-1)*GanttPeriod)&lt;=GanttPeriod),TEXT(GanttStart+(COLUMN()-COLUMN(gantt_Origin)-1)*GanttPeriod,"mmm yy"),"")</f>
        <v/>
      </c>
      <c r="BX4" s="115" t="str">
        <f aca="false">IF(OR(COLUMN()-COLUMN(gantt_Origin)=1,DAY(GanttStart+(COLUMN()-COLUMN(gantt_Origin)-1)*GanttPeriod)&lt;=GanttPeriod),TEXT(GanttStart+(COLUMN()-COLUMN(gantt_Origin)-1)*GanttPeriod,"mmm yy"),"")</f>
        <v/>
      </c>
      <c r="BY4" s="115" t="str">
        <f aca="false">IF(OR(COLUMN()-COLUMN(gantt_Origin)=1,DAY(GanttStart+(COLUMN()-COLUMN(gantt_Origin)-1)*GanttPeriod)&lt;=GanttPeriod),TEXT(GanttStart+(COLUMN()-COLUMN(gantt_Origin)-1)*GanttPeriod,"mmm yy"),"")</f>
        <v/>
      </c>
      <c r="BZ4" s="115" t="str">
        <f aca="false">IF(OR(COLUMN()-COLUMN(gantt_Origin)=1,DAY(GanttStart+(COLUMN()-COLUMN(gantt_Origin)-1)*GanttPeriod)&lt;=GanttPeriod),TEXT(GanttStart+(COLUMN()-COLUMN(gantt_Origin)-1)*GanttPeriod,"mmm yy"),"")</f>
        <v>Nov 26</v>
      </c>
      <c r="CA4" s="115" t="str">
        <f aca="false">IF(OR(COLUMN()-COLUMN(gantt_Origin)=1,DAY(GanttStart+(COLUMN()-COLUMN(gantt_Origin)-1)*GanttPeriod)&lt;=GanttPeriod),TEXT(GanttStart+(COLUMN()-COLUMN(gantt_Origin)-1)*GanttPeriod,"mmm yy"),"")</f>
        <v/>
      </c>
      <c r="CB4" s="115" t="str">
        <f aca="false">IF(OR(COLUMN()-COLUMN(gantt_Origin)=1,DAY(GanttStart+(COLUMN()-COLUMN(gantt_Origin)-1)*GanttPeriod)&lt;=GanttPeriod),TEXT(GanttStart+(COLUMN()-COLUMN(gantt_Origin)-1)*GanttPeriod,"mmm yy"),"")</f>
        <v/>
      </c>
      <c r="CC4" s="115" t="str">
        <f aca="false">IF(OR(COLUMN()-COLUMN(gantt_Origin)=1,DAY(GanttStart+(COLUMN()-COLUMN(gantt_Origin)-1)*GanttPeriod)&lt;=GanttPeriod),TEXT(GanttStart+(COLUMN()-COLUMN(gantt_Origin)-1)*GanttPeriod,"mmm yy"),"")</f>
        <v/>
      </c>
      <c r="CD4" s="115" t="str">
        <f aca="false">IF(OR(COLUMN()-COLUMN(gantt_Origin)=1,DAY(GanttStart+(COLUMN()-COLUMN(gantt_Origin)-1)*GanttPeriod)&lt;=GanttPeriod),TEXT(GanttStart+(COLUMN()-COLUMN(gantt_Origin)-1)*GanttPeriod,"mmm yy"),"")</f>
        <v/>
      </c>
      <c r="CE4" s="115" t="str">
        <f aca="false">IF(OR(COLUMN()-COLUMN(gantt_Origin)=1,DAY(GanttStart+(COLUMN()-COLUMN(gantt_Origin)-1)*GanttPeriod)&lt;=GanttPeriod),TEXT(GanttStart+(COLUMN()-COLUMN(gantt_Origin)-1)*GanttPeriod,"mmm yy"),"")</f>
        <v/>
      </c>
      <c r="CF4" s="115" t="str">
        <f aca="false">IF(OR(COLUMN()-COLUMN(gantt_Origin)=1,DAY(GanttStart+(COLUMN()-COLUMN(gantt_Origin)-1)*GanttPeriod)&lt;=GanttPeriod),TEXT(GanttStart+(COLUMN()-COLUMN(gantt_Origin)-1)*GanttPeriod,"mmm yy"),"")</f>
        <v/>
      </c>
      <c r="CG4" s="115" t="str">
        <f aca="false">IF(OR(COLUMN()-COLUMN(gantt_Origin)=1,DAY(GanttStart+(COLUMN()-COLUMN(gantt_Origin)-1)*GanttPeriod)&lt;=GanttPeriod),TEXT(GanttStart+(COLUMN()-COLUMN(gantt_Origin)-1)*GanttPeriod,"mmm yy"),"")</f>
        <v/>
      </c>
      <c r="CH4" s="115" t="str">
        <f aca="false">IF(OR(COLUMN()-COLUMN(gantt_Origin)=1,DAY(GanttStart+(COLUMN()-COLUMN(gantt_Origin)-1)*GanttPeriod)&lt;=GanttPeriod),TEXT(GanttStart+(COLUMN()-COLUMN(gantt_Origin)-1)*GanttPeriod,"mmm yy"),"")</f>
        <v/>
      </c>
      <c r="CI4" s="115" t="str">
        <f aca="false">IF(OR(COLUMN()-COLUMN(gantt_Origin)=1,DAY(GanttStart+(COLUMN()-COLUMN(gantt_Origin)-1)*GanttPeriod)&lt;=GanttPeriod),TEXT(GanttStart+(COLUMN()-COLUMN(gantt_Origin)-1)*GanttPeriod,"mmm yy"),"")</f>
        <v/>
      </c>
      <c r="CJ4" s="115" t="str">
        <f aca="false">IF(OR(COLUMN()-COLUMN(gantt_Origin)=1,DAY(GanttStart+(COLUMN()-COLUMN(gantt_Origin)-1)*GanttPeriod)&lt;=GanttPeriod),TEXT(GanttStart+(COLUMN()-COLUMN(gantt_Origin)-1)*GanttPeriod,"mmm yy"),"")</f>
        <v/>
      </c>
      <c r="CK4" s="115" t="str">
        <f aca="false">IF(OR(COLUMN()-COLUMN(gantt_Origin)=1,DAY(GanttStart+(COLUMN()-COLUMN(gantt_Origin)-1)*GanttPeriod)&lt;=GanttPeriod),TEXT(GanttStart+(COLUMN()-COLUMN(gantt_Origin)-1)*GanttPeriod,"mmm yy"),"")</f>
        <v/>
      </c>
      <c r="CL4" s="115" t="str">
        <f aca="false">IF(OR(COLUMN()-COLUMN(gantt_Origin)=1,DAY(GanttStart+(COLUMN()-COLUMN(gantt_Origin)-1)*GanttPeriod)&lt;=GanttPeriod),TEXT(GanttStart+(COLUMN()-COLUMN(gantt_Origin)-1)*GanttPeriod,"mmm yy"),"")</f>
        <v/>
      </c>
      <c r="CM4" s="115" t="str">
        <f aca="false">IF(OR(COLUMN()-COLUMN(gantt_Origin)=1,DAY(GanttStart+(COLUMN()-COLUMN(gantt_Origin)-1)*GanttPeriod)&lt;=GanttPeriod),TEXT(GanttStart+(COLUMN()-COLUMN(gantt_Origin)-1)*GanttPeriod,"mmm yy"),"")</f>
        <v/>
      </c>
      <c r="CN4" s="115" t="str">
        <f aca="false">IF(OR(COLUMN()-COLUMN(gantt_Origin)=1,DAY(GanttStart+(COLUMN()-COLUMN(gantt_Origin)-1)*GanttPeriod)&lt;=GanttPeriod),TEXT(GanttStart+(COLUMN()-COLUMN(gantt_Origin)-1)*GanttPeriod,"mmm yy"),"")</f>
        <v/>
      </c>
      <c r="CO4" s="115" t="str">
        <f aca="false">IF(OR(COLUMN()-COLUMN(gantt_Origin)=1,DAY(GanttStart+(COLUMN()-COLUMN(gantt_Origin)-1)*GanttPeriod)&lt;=GanttPeriod),TEXT(GanttStart+(COLUMN()-COLUMN(gantt_Origin)-1)*GanttPeriod,"mmm yy"),"")</f>
        <v/>
      </c>
      <c r="CP4" s="115" t="str">
        <f aca="false">IF(OR(COLUMN()-COLUMN(gantt_Origin)=1,DAY(GanttStart+(COLUMN()-COLUMN(gantt_Origin)-1)*GanttPeriod)&lt;=GanttPeriod),TEXT(GanttStart+(COLUMN()-COLUMN(gantt_Origin)-1)*GanttPeriod,"mmm yy"),"")</f>
        <v/>
      </c>
      <c r="CQ4" s="115" t="str">
        <f aca="false">IF(OR(COLUMN()-COLUMN(gantt_Origin)=1,DAY(GanttStart+(COLUMN()-COLUMN(gantt_Origin)-1)*GanttPeriod)&lt;=GanttPeriod),TEXT(GanttStart+(COLUMN()-COLUMN(gantt_Origin)-1)*GanttPeriod,"mmm yy"),"")</f>
        <v/>
      </c>
      <c r="CR4" s="115" t="str">
        <f aca="false">IF(OR(COLUMN()-COLUMN(gantt_Origin)=1,DAY(GanttStart+(COLUMN()-COLUMN(gantt_Origin)-1)*GanttPeriod)&lt;=GanttPeriod),TEXT(GanttStart+(COLUMN()-COLUMN(gantt_Origin)-1)*GanttPeriod,"mmm yy"),"")</f>
        <v/>
      </c>
      <c r="CS4" s="115" t="str">
        <f aca="false">IF(OR(COLUMN()-COLUMN(gantt_Origin)=1,DAY(GanttStart+(COLUMN()-COLUMN(gantt_Origin)-1)*GanttPeriod)&lt;=GanttPeriod),TEXT(GanttStart+(COLUMN()-COLUMN(gantt_Origin)-1)*GanttPeriod,"mmm yy"),"")</f>
        <v/>
      </c>
      <c r="CT4" s="115" t="str">
        <f aca="false">IF(OR(COLUMN()-COLUMN(gantt_Origin)=1,DAY(GanttStart+(COLUMN()-COLUMN(gantt_Origin)-1)*GanttPeriod)&lt;=GanttPeriod),TEXT(GanttStart+(COLUMN()-COLUMN(gantt_Origin)-1)*GanttPeriod,"mmm yy"),"")</f>
        <v/>
      </c>
      <c r="CU4" s="115" t="str">
        <f aca="false">IF(OR(COLUMN()-COLUMN(gantt_Origin)=1,DAY(GanttStart+(COLUMN()-COLUMN(gantt_Origin)-1)*GanttPeriod)&lt;=GanttPeriod),TEXT(GanttStart+(COLUMN()-COLUMN(gantt_Origin)-1)*GanttPeriod,"mmm yy"),"")</f>
        <v/>
      </c>
      <c r="CV4" s="115" t="str">
        <f aca="false">IF(OR(COLUMN()-COLUMN(gantt_Origin)=1,DAY(GanttStart+(COLUMN()-COLUMN(gantt_Origin)-1)*GanttPeriod)&lt;=GanttPeriod),TEXT(GanttStart+(COLUMN()-COLUMN(gantt_Origin)-1)*GanttPeriod,"mmm yy"),"")</f>
        <v/>
      </c>
      <c r="CW4" s="115" t="str">
        <f aca="false">IF(OR(COLUMN()-COLUMN(gantt_Origin)=1,DAY(GanttStart+(COLUMN()-COLUMN(gantt_Origin)-1)*GanttPeriod)&lt;=GanttPeriod),TEXT(GanttStart+(COLUMN()-COLUMN(gantt_Origin)-1)*GanttPeriod,"mmm yy"),"")</f>
        <v/>
      </c>
      <c r="CX4" s="115" t="str">
        <f aca="false">IF(OR(COLUMN()-COLUMN(gantt_Origin)=1,DAY(GanttStart+(COLUMN()-COLUMN(gantt_Origin)-1)*GanttPeriod)&lt;=GanttPeriod),TEXT(GanttStart+(COLUMN()-COLUMN(gantt_Origin)-1)*GanttPeriod,"mmm yy"),"")</f>
        <v/>
      </c>
      <c r="CY4" s="115" t="str">
        <f aca="false">IF(OR(COLUMN()-COLUMN(gantt_Origin)=1,DAY(GanttStart+(COLUMN()-COLUMN(gantt_Origin)-1)*GanttPeriod)&lt;=GanttPeriod),TEXT(GanttStart+(COLUMN()-COLUMN(gantt_Origin)-1)*GanttPeriod,"mmm yy"),"")</f>
        <v/>
      </c>
      <c r="CZ4" s="115" t="str">
        <f aca="false">IF(OR(COLUMN()-COLUMN(gantt_Origin)=1,DAY(GanttStart+(COLUMN()-COLUMN(gantt_Origin)-1)*GanttPeriod)&lt;=GanttPeriod),TEXT(GanttStart+(COLUMN()-COLUMN(gantt_Origin)-1)*GanttPeriod,"mmm yy"),"")</f>
        <v/>
      </c>
      <c r="DA4" s="115" t="str">
        <f aca="false">IF(OR(COLUMN()-COLUMN(gantt_Origin)=1,DAY(GanttStart+(COLUMN()-COLUMN(gantt_Origin)-1)*GanttPeriod)&lt;=GanttPeriod),TEXT(GanttStart+(COLUMN()-COLUMN(gantt_Origin)-1)*GanttPeriod,"mmm yy"),"")</f>
        <v/>
      </c>
      <c r="DB4" s="115" t="str">
        <f aca="false">IF(OR(COLUMN()-COLUMN(gantt_Origin)=1,DAY(GanttStart+(COLUMN()-COLUMN(gantt_Origin)-1)*GanttPeriod)&lt;=GanttPeriod),TEXT(GanttStart+(COLUMN()-COLUMN(gantt_Origin)-1)*GanttPeriod,"mmm yy"),"")</f>
        <v/>
      </c>
      <c r="DC4" s="115" t="str">
        <f aca="false">IF(OR(COLUMN()-COLUMN(gantt_Origin)=1,DAY(GanttStart+(COLUMN()-COLUMN(gantt_Origin)-1)*GanttPeriod)&lt;=GanttPeriod),TEXT(GanttStart+(COLUMN()-COLUMN(gantt_Origin)-1)*GanttPeriod,"mmm yy"),"")</f>
        <v/>
      </c>
      <c r="DD4" s="115" t="str">
        <f aca="false">IF(OR(COLUMN()-COLUMN(gantt_Origin)=1,DAY(GanttStart+(COLUMN()-COLUMN(gantt_Origin)-1)*GanttPeriod)&lt;=GanttPeriod),TEXT(GanttStart+(COLUMN()-COLUMN(gantt_Origin)-1)*GanttPeriod,"mmm yy"),"")</f>
        <v>Dec 26</v>
      </c>
      <c r="DE4" s="115" t="str">
        <f aca="false">IF(OR(COLUMN()-COLUMN(gantt_Origin)=1,DAY(GanttStart+(COLUMN()-COLUMN(gantt_Origin)-1)*GanttPeriod)&lt;=GanttPeriod),TEXT(GanttStart+(COLUMN()-COLUMN(gantt_Origin)-1)*GanttPeriod,"mmm yy"),"")</f>
        <v/>
      </c>
      <c r="DF4" s="115" t="str">
        <f aca="false">IF(OR(COLUMN()-COLUMN(gantt_Origin)=1,DAY(GanttStart+(COLUMN()-COLUMN(gantt_Origin)-1)*GanttPeriod)&lt;=GanttPeriod),TEXT(GanttStart+(COLUMN()-COLUMN(gantt_Origin)-1)*GanttPeriod,"mmm yy"),"")</f>
        <v/>
      </c>
      <c r="DG4" s="115" t="str">
        <f aca="false">IF(OR(COLUMN()-COLUMN(gantt_Origin)=1,DAY(GanttStart+(COLUMN()-COLUMN(gantt_Origin)-1)*GanttPeriod)&lt;=GanttPeriod),TEXT(GanttStart+(COLUMN()-COLUMN(gantt_Origin)-1)*GanttPeriod,"mmm yy"),"")</f>
        <v/>
      </c>
      <c r="DH4" s="115" t="str">
        <f aca="false">IF(OR(COLUMN()-COLUMN(gantt_Origin)=1,DAY(GanttStart+(COLUMN()-COLUMN(gantt_Origin)-1)*GanttPeriod)&lt;=GanttPeriod),TEXT(GanttStart+(COLUMN()-COLUMN(gantt_Origin)-1)*GanttPeriod,"mmm yy"),"")</f>
        <v/>
      </c>
      <c r="DI4" s="115" t="str">
        <f aca="false">IF(OR(COLUMN()-COLUMN(gantt_Origin)=1,DAY(GanttStart+(COLUMN()-COLUMN(gantt_Origin)-1)*GanttPeriod)&lt;=GanttPeriod),TEXT(GanttStart+(COLUMN()-COLUMN(gantt_Origin)-1)*GanttPeriod,"mmm yy"),"")</f>
        <v/>
      </c>
      <c r="DJ4" s="115" t="str">
        <f aca="false">IF(OR(COLUMN()-COLUMN(gantt_Origin)=1,DAY(GanttStart+(COLUMN()-COLUMN(gantt_Origin)-1)*GanttPeriod)&lt;=GanttPeriod),TEXT(GanttStart+(COLUMN()-COLUMN(gantt_Origin)-1)*GanttPeriod,"mmm yy"),"")</f>
        <v/>
      </c>
      <c r="DK4" s="115" t="str">
        <f aca="false">IF(OR(COLUMN()-COLUMN(gantt_Origin)=1,DAY(GanttStart+(COLUMN()-COLUMN(gantt_Origin)-1)*GanttPeriod)&lt;=GanttPeriod),TEXT(GanttStart+(COLUMN()-COLUMN(gantt_Origin)-1)*GanttPeriod,"mmm yy"),"")</f>
        <v/>
      </c>
      <c r="DL4" s="115" t="str">
        <f aca="false">IF(OR(COLUMN()-COLUMN(gantt_Origin)=1,DAY(GanttStart+(COLUMN()-COLUMN(gantt_Origin)-1)*GanttPeriod)&lt;=GanttPeriod),TEXT(GanttStart+(COLUMN()-COLUMN(gantt_Origin)-1)*GanttPeriod,"mmm yy"),"")</f>
        <v/>
      </c>
      <c r="DM4" s="115" t="str">
        <f aca="false">IF(OR(COLUMN()-COLUMN(gantt_Origin)=1,DAY(GanttStart+(COLUMN()-COLUMN(gantt_Origin)-1)*GanttPeriod)&lt;=GanttPeriod),TEXT(GanttStart+(COLUMN()-COLUMN(gantt_Origin)-1)*GanttPeriod,"mmm yy"),"")</f>
        <v/>
      </c>
      <c r="DN4" s="115" t="str">
        <f aca="false">IF(OR(COLUMN()-COLUMN(gantt_Origin)=1,DAY(GanttStart+(COLUMN()-COLUMN(gantt_Origin)-1)*GanttPeriod)&lt;=GanttPeriod),TEXT(GanttStart+(COLUMN()-COLUMN(gantt_Origin)-1)*GanttPeriod,"mmm yy"),"")</f>
        <v/>
      </c>
      <c r="DO4" s="115" t="str">
        <f aca="false">IF(OR(COLUMN()-COLUMN(gantt_Origin)=1,DAY(GanttStart+(COLUMN()-COLUMN(gantt_Origin)-1)*GanttPeriod)&lt;=GanttPeriod),TEXT(GanttStart+(COLUMN()-COLUMN(gantt_Origin)-1)*GanttPeriod,"mmm yy"),"")</f>
        <v/>
      </c>
      <c r="DP4" s="115" t="str">
        <f aca="false">IF(OR(COLUMN()-COLUMN(gantt_Origin)=1,DAY(GanttStart+(COLUMN()-COLUMN(gantt_Origin)-1)*GanttPeriod)&lt;=GanttPeriod),TEXT(GanttStart+(COLUMN()-COLUMN(gantt_Origin)-1)*GanttPeriod,"mmm yy"),"")</f>
        <v/>
      </c>
      <c r="DQ4" s="115" t="str">
        <f aca="false">IF(OR(COLUMN()-COLUMN(gantt_Origin)=1,DAY(GanttStart+(COLUMN()-COLUMN(gantt_Origin)-1)*GanttPeriod)&lt;=GanttPeriod),TEXT(GanttStart+(COLUMN()-COLUMN(gantt_Origin)-1)*GanttPeriod,"mmm yy"),"")</f>
        <v/>
      </c>
      <c r="DR4" s="115" t="str">
        <f aca="false">IF(OR(COLUMN()-COLUMN(gantt_Origin)=1,DAY(GanttStart+(COLUMN()-COLUMN(gantt_Origin)-1)*GanttPeriod)&lt;=GanttPeriod),TEXT(GanttStart+(COLUMN()-COLUMN(gantt_Origin)-1)*GanttPeriod,"mmm yy"),"")</f>
        <v/>
      </c>
      <c r="DS4" s="115" t="str">
        <f aca="false">IF(OR(COLUMN()-COLUMN(gantt_Origin)=1,DAY(GanttStart+(COLUMN()-COLUMN(gantt_Origin)-1)*GanttPeriod)&lt;=GanttPeriod),TEXT(GanttStart+(COLUMN()-COLUMN(gantt_Origin)-1)*GanttPeriod,"mmm yy"),"")</f>
        <v/>
      </c>
      <c r="DT4" s="115" t="str">
        <f aca="false">IF(OR(COLUMN()-COLUMN(gantt_Origin)=1,DAY(GanttStart+(COLUMN()-COLUMN(gantt_Origin)-1)*GanttPeriod)&lt;=GanttPeriod),TEXT(GanttStart+(COLUMN()-COLUMN(gantt_Origin)-1)*GanttPeriod,"mmm yy"),"")</f>
        <v/>
      </c>
      <c r="DU4" s="115" t="str">
        <f aca="false">IF(OR(COLUMN()-COLUMN(gantt_Origin)=1,DAY(GanttStart+(COLUMN()-COLUMN(gantt_Origin)-1)*GanttPeriod)&lt;=GanttPeriod),TEXT(GanttStart+(COLUMN()-COLUMN(gantt_Origin)-1)*GanttPeriod,"mmm yy"),"")</f>
        <v/>
      </c>
      <c r="DV4" s="115" t="str">
        <f aca="false">IF(OR(COLUMN()-COLUMN(gantt_Origin)=1,DAY(GanttStart+(COLUMN()-COLUMN(gantt_Origin)-1)*GanttPeriod)&lt;=GanttPeriod),TEXT(GanttStart+(COLUMN()-COLUMN(gantt_Origin)-1)*GanttPeriod,"mmm yy"),"")</f>
        <v/>
      </c>
      <c r="DW4" s="115" t="str">
        <f aca="false">IF(OR(COLUMN()-COLUMN(gantt_Origin)=1,DAY(GanttStart+(COLUMN()-COLUMN(gantt_Origin)-1)*GanttPeriod)&lt;=GanttPeriod),TEXT(GanttStart+(COLUMN()-COLUMN(gantt_Origin)-1)*GanttPeriod,"mmm yy"),"")</f>
        <v/>
      </c>
      <c r="DX4" s="115" t="str">
        <f aca="false">IF(OR(COLUMN()-COLUMN(gantt_Origin)=1,DAY(GanttStart+(COLUMN()-COLUMN(gantt_Origin)-1)*GanttPeriod)&lt;=GanttPeriod),TEXT(GanttStart+(COLUMN()-COLUMN(gantt_Origin)-1)*GanttPeriod,"mmm yy"),"")</f>
        <v/>
      </c>
      <c r="DY4" s="115" t="str">
        <f aca="false">IF(OR(COLUMN()-COLUMN(gantt_Origin)=1,DAY(GanttStart+(COLUMN()-COLUMN(gantt_Origin)-1)*GanttPeriod)&lt;=GanttPeriod),TEXT(GanttStart+(COLUMN()-COLUMN(gantt_Origin)-1)*GanttPeriod,"mmm yy"),"")</f>
        <v/>
      </c>
      <c r="DZ4" s="115" t="str">
        <f aca="false">IF(OR(COLUMN()-COLUMN(gantt_Origin)=1,DAY(GanttStart+(COLUMN()-COLUMN(gantt_Origin)-1)*GanttPeriod)&lt;=GanttPeriod),TEXT(GanttStart+(COLUMN()-COLUMN(gantt_Origin)-1)*GanttPeriod,"mmm yy"),"")</f>
        <v/>
      </c>
      <c r="EA4" s="115" t="str">
        <f aca="false">IF(OR(COLUMN()-COLUMN(gantt_Origin)=1,DAY(GanttStart+(COLUMN()-COLUMN(gantt_Origin)-1)*GanttPeriod)&lt;=GanttPeriod),TEXT(GanttStart+(COLUMN()-COLUMN(gantt_Origin)-1)*GanttPeriod,"mmm yy"),"")</f>
        <v/>
      </c>
      <c r="EB4" s="115" t="str">
        <f aca="false">IF(OR(COLUMN()-COLUMN(gantt_Origin)=1,DAY(GanttStart+(COLUMN()-COLUMN(gantt_Origin)-1)*GanttPeriod)&lt;=GanttPeriod),TEXT(GanttStart+(COLUMN()-COLUMN(gantt_Origin)-1)*GanttPeriod,"mmm yy"),"")</f>
        <v/>
      </c>
      <c r="EC4" s="115" t="str">
        <f aca="false">IF(OR(COLUMN()-COLUMN(gantt_Origin)=1,DAY(GanttStart+(COLUMN()-COLUMN(gantt_Origin)-1)*GanttPeriod)&lt;=GanttPeriod),TEXT(GanttStart+(COLUMN()-COLUMN(gantt_Origin)-1)*GanttPeriod,"mmm yy"),"")</f>
        <v/>
      </c>
      <c r="ED4" s="115" t="str">
        <f aca="false">IF(OR(COLUMN()-COLUMN(gantt_Origin)=1,DAY(GanttStart+(COLUMN()-COLUMN(gantt_Origin)-1)*GanttPeriod)&lt;=GanttPeriod),TEXT(GanttStart+(COLUMN()-COLUMN(gantt_Origin)-1)*GanttPeriod,"mmm yy"),"")</f>
        <v/>
      </c>
      <c r="EE4" s="115" t="str">
        <f aca="false">IF(OR(COLUMN()-COLUMN(gantt_Origin)=1,DAY(GanttStart+(COLUMN()-COLUMN(gantt_Origin)-1)*GanttPeriod)&lt;=GanttPeriod),TEXT(GanttStart+(COLUMN()-COLUMN(gantt_Origin)-1)*GanttPeriod,"mmm yy"),"")</f>
        <v/>
      </c>
      <c r="EF4" s="115" t="str">
        <f aca="false">IF(OR(COLUMN()-COLUMN(gantt_Origin)=1,DAY(GanttStart+(COLUMN()-COLUMN(gantt_Origin)-1)*GanttPeriod)&lt;=GanttPeriod),TEXT(GanttStart+(COLUMN()-COLUMN(gantt_Origin)-1)*GanttPeriod,"mmm yy"),"")</f>
        <v/>
      </c>
      <c r="EG4" s="115" t="str">
        <f aca="false">IF(OR(COLUMN()-COLUMN(gantt_Origin)=1,DAY(GanttStart+(COLUMN()-COLUMN(gantt_Origin)-1)*GanttPeriod)&lt;=GanttPeriod),TEXT(GanttStart+(COLUMN()-COLUMN(gantt_Origin)-1)*GanttPeriod,"mmm yy"),"")</f>
        <v/>
      </c>
      <c r="EH4" s="115" t="str">
        <f aca="false">IF(OR(COLUMN()-COLUMN(gantt_Origin)=1,DAY(GanttStart+(COLUMN()-COLUMN(gantt_Origin)-1)*GanttPeriod)&lt;=GanttPeriod),TEXT(GanttStart+(COLUMN()-COLUMN(gantt_Origin)-1)*GanttPeriod,"mmm yy"),"")</f>
        <v/>
      </c>
      <c r="EI4" s="115" t="str">
        <f aca="false">IF(OR(COLUMN()-COLUMN(gantt_Origin)=1,DAY(GanttStart+(COLUMN()-COLUMN(gantt_Origin)-1)*GanttPeriod)&lt;=GanttPeriod),TEXT(GanttStart+(COLUMN()-COLUMN(gantt_Origin)-1)*GanttPeriod,"mmm yy"),"")</f>
        <v>Jan 27</v>
      </c>
      <c r="EJ4" s="115" t="str">
        <f aca="false">IF(OR(COLUMN()-COLUMN(gantt_Origin)=1,DAY(GanttStart+(COLUMN()-COLUMN(gantt_Origin)-1)*GanttPeriod)&lt;=GanttPeriod),TEXT(GanttStart+(COLUMN()-COLUMN(gantt_Origin)-1)*GanttPeriod,"mmm yy"),"")</f>
        <v/>
      </c>
      <c r="EK4" s="115" t="str">
        <f aca="false">IF(OR(COLUMN()-COLUMN(gantt_Origin)=1,DAY(GanttStart+(COLUMN()-COLUMN(gantt_Origin)-1)*GanttPeriod)&lt;=GanttPeriod),TEXT(GanttStart+(COLUMN()-COLUMN(gantt_Origin)-1)*GanttPeriod,"mmm yy"),"")</f>
        <v/>
      </c>
      <c r="EL4" s="115" t="str">
        <f aca="false">IF(OR(COLUMN()-COLUMN(gantt_Origin)=1,DAY(GanttStart+(COLUMN()-COLUMN(gantt_Origin)-1)*GanttPeriod)&lt;=GanttPeriod),TEXT(GanttStart+(COLUMN()-COLUMN(gantt_Origin)-1)*GanttPeriod,"mmm yy"),"")</f>
        <v/>
      </c>
      <c r="EM4" s="115" t="str">
        <f aca="false">IF(OR(COLUMN()-COLUMN(gantt_Origin)=1,DAY(GanttStart+(COLUMN()-COLUMN(gantt_Origin)-1)*GanttPeriod)&lt;=GanttPeriod),TEXT(GanttStart+(COLUMN()-COLUMN(gantt_Origin)-1)*GanttPeriod,"mmm yy"),"")</f>
        <v/>
      </c>
      <c r="EN4" s="115" t="str">
        <f aca="false">IF(OR(COLUMN()-COLUMN(gantt_Origin)=1,DAY(GanttStart+(COLUMN()-COLUMN(gantt_Origin)-1)*GanttPeriod)&lt;=GanttPeriod),TEXT(GanttStart+(COLUMN()-COLUMN(gantt_Origin)-1)*GanttPeriod,"mmm yy"),"")</f>
        <v/>
      </c>
      <c r="EO4" s="115" t="str">
        <f aca="false">IF(OR(COLUMN()-COLUMN(gantt_Origin)=1,DAY(GanttStart+(COLUMN()-COLUMN(gantt_Origin)-1)*GanttPeriod)&lt;=GanttPeriod),TEXT(GanttStart+(COLUMN()-COLUMN(gantt_Origin)-1)*GanttPeriod,"mmm yy"),"")</f>
        <v/>
      </c>
      <c r="EP4" s="115" t="str">
        <f aca="false">IF(OR(COLUMN()-COLUMN(gantt_Origin)=1,DAY(GanttStart+(COLUMN()-COLUMN(gantt_Origin)-1)*GanttPeriod)&lt;=GanttPeriod),TEXT(GanttStart+(COLUMN()-COLUMN(gantt_Origin)-1)*GanttPeriod,"mmm yy"),"")</f>
        <v/>
      </c>
      <c r="EQ4" s="115" t="str">
        <f aca="false">IF(OR(COLUMN()-COLUMN(gantt_Origin)=1,DAY(GanttStart+(COLUMN()-COLUMN(gantt_Origin)-1)*GanttPeriod)&lt;=GanttPeriod),TEXT(GanttStart+(COLUMN()-COLUMN(gantt_Origin)-1)*GanttPeriod,"mmm yy"),"")</f>
        <v/>
      </c>
      <c r="ER4" s="115" t="str">
        <f aca="false">IF(OR(COLUMN()-COLUMN(gantt_Origin)=1,DAY(GanttStart+(COLUMN()-COLUMN(gantt_Origin)-1)*GanttPeriod)&lt;=GanttPeriod),TEXT(GanttStart+(COLUMN()-COLUMN(gantt_Origin)-1)*GanttPeriod,"mmm yy"),"")</f>
        <v/>
      </c>
      <c r="ES4" s="115" t="str">
        <f aca="false">IF(OR(COLUMN()-COLUMN(gantt_Origin)=1,DAY(GanttStart+(COLUMN()-COLUMN(gantt_Origin)-1)*GanttPeriod)&lt;=GanttPeriod),TEXT(GanttStart+(COLUMN()-COLUMN(gantt_Origin)-1)*GanttPeriod,"mmm yy"),"")</f>
        <v/>
      </c>
      <c r="ET4" s="115" t="str">
        <f aca="false">IF(OR(COLUMN()-COLUMN(gantt_Origin)=1,DAY(GanttStart+(COLUMN()-COLUMN(gantt_Origin)-1)*GanttPeriod)&lt;=GanttPeriod),TEXT(GanttStart+(COLUMN()-COLUMN(gantt_Origin)-1)*GanttPeriod,"mmm yy"),"")</f>
        <v/>
      </c>
      <c r="EU4" s="115" t="str">
        <f aca="false">IF(OR(COLUMN()-COLUMN(gantt_Origin)=1,DAY(GanttStart+(COLUMN()-COLUMN(gantt_Origin)-1)*GanttPeriod)&lt;=GanttPeriod),TEXT(GanttStart+(COLUMN()-COLUMN(gantt_Origin)-1)*GanttPeriod,"mmm yy"),"")</f>
        <v/>
      </c>
      <c r="EV4" s="115" t="str">
        <f aca="false">IF(OR(COLUMN()-COLUMN(gantt_Origin)=1,DAY(GanttStart+(COLUMN()-COLUMN(gantt_Origin)-1)*GanttPeriod)&lt;=GanttPeriod),TEXT(GanttStart+(COLUMN()-COLUMN(gantt_Origin)-1)*GanttPeriod,"mmm yy"),"")</f>
        <v/>
      </c>
      <c r="EW4" s="115" t="str">
        <f aca="false">IF(OR(COLUMN()-COLUMN(gantt_Origin)=1,DAY(GanttStart+(COLUMN()-COLUMN(gantt_Origin)-1)*GanttPeriod)&lt;=GanttPeriod),TEXT(GanttStart+(COLUMN()-COLUMN(gantt_Origin)-1)*GanttPeriod,"mmm yy"),"")</f>
        <v/>
      </c>
      <c r="EX4" s="115" t="str">
        <f aca="false">IF(OR(COLUMN()-COLUMN(gantt_Origin)=1,DAY(GanttStart+(COLUMN()-COLUMN(gantt_Origin)-1)*GanttPeriod)&lt;=GanttPeriod),TEXT(GanttStart+(COLUMN()-COLUMN(gantt_Origin)-1)*GanttPeriod,"mmm yy"),"")</f>
        <v/>
      </c>
      <c r="EY4" s="115" t="str">
        <f aca="false">IF(OR(COLUMN()-COLUMN(gantt_Origin)=1,DAY(GanttStart+(COLUMN()-COLUMN(gantt_Origin)-1)*GanttPeriod)&lt;=GanttPeriod),TEXT(GanttStart+(COLUMN()-COLUMN(gantt_Origin)-1)*GanttPeriod,"mmm yy"),"")</f>
        <v/>
      </c>
      <c r="EZ4" s="115" t="str">
        <f aca="false">IF(OR(COLUMN()-COLUMN(gantt_Origin)=1,DAY(GanttStart+(COLUMN()-COLUMN(gantt_Origin)-1)*GanttPeriod)&lt;=GanttPeriod),TEXT(GanttStart+(COLUMN()-COLUMN(gantt_Origin)-1)*GanttPeriod,"mmm yy"),"")</f>
        <v/>
      </c>
      <c r="FA4" s="115" t="str">
        <f aca="false">IF(OR(COLUMN()-COLUMN(gantt_Origin)=1,DAY(GanttStart+(COLUMN()-COLUMN(gantt_Origin)-1)*GanttPeriod)&lt;=GanttPeriod),TEXT(GanttStart+(COLUMN()-COLUMN(gantt_Origin)-1)*GanttPeriod,"mmm yy"),"")</f>
        <v/>
      </c>
      <c r="FB4" s="115" t="str">
        <f aca="false">IF(OR(COLUMN()-COLUMN(gantt_Origin)=1,DAY(GanttStart+(COLUMN()-COLUMN(gantt_Origin)-1)*GanttPeriod)&lt;=GanttPeriod),TEXT(GanttStart+(COLUMN()-COLUMN(gantt_Origin)-1)*GanttPeriod,"mmm yy"),"")</f>
        <v/>
      </c>
      <c r="FC4" s="115" t="str">
        <f aca="false">IF(OR(COLUMN()-COLUMN(gantt_Origin)=1,DAY(GanttStart+(COLUMN()-COLUMN(gantt_Origin)-1)*GanttPeriod)&lt;=GanttPeriod),TEXT(GanttStart+(COLUMN()-COLUMN(gantt_Origin)-1)*GanttPeriod,"mmm yy"),"")</f>
        <v/>
      </c>
      <c r="FD4" s="115" t="str">
        <f aca="false">IF(OR(COLUMN()-COLUMN(gantt_Origin)=1,DAY(GanttStart+(COLUMN()-COLUMN(gantt_Origin)-1)*GanttPeriod)&lt;=GanttPeriod),TEXT(GanttStart+(COLUMN()-COLUMN(gantt_Origin)-1)*GanttPeriod,"mmm yy"),"")</f>
        <v/>
      </c>
      <c r="FE4" s="115" t="str">
        <f aca="false">IF(OR(COLUMN()-COLUMN(gantt_Origin)=1,DAY(GanttStart+(COLUMN()-COLUMN(gantt_Origin)-1)*GanttPeriod)&lt;=GanttPeriod),TEXT(GanttStart+(COLUMN()-COLUMN(gantt_Origin)-1)*GanttPeriod,"mmm yy"),"")</f>
        <v/>
      </c>
      <c r="FF4" s="115" t="str">
        <f aca="false">IF(OR(COLUMN()-COLUMN(gantt_Origin)=1,DAY(GanttStart+(COLUMN()-COLUMN(gantt_Origin)-1)*GanttPeriod)&lt;=GanttPeriod),TEXT(GanttStart+(COLUMN()-COLUMN(gantt_Origin)-1)*GanttPeriod,"mmm yy"),"")</f>
        <v/>
      </c>
      <c r="FG4" s="115" t="str">
        <f aca="false">IF(OR(COLUMN()-COLUMN(gantt_Origin)=1,DAY(GanttStart+(COLUMN()-COLUMN(gantt_Origin)-1)*GanttPeriod)&lt;=GanttPeriod),TEXT(GanttStart+(COLUMN()-COLUMN(gantt_Origin)-1)*GanttPeriod,"mmm yy"),"")</f>
        <v/>
      </c>
      <c r="FH4" s="115" t="str">
        <f aca="false">IF(OR(COLUMN()-COLUMN(gantt_Origin)=1,DAY(GanttStart+(COLUMN()-COLUMN(gantt_Origin)-1)*GanttPeriod)&lt;=GanttPeriod),TEXT(GanttStart+(COLUMN()-COLUMN(gantt_Origin)-1)*GanttPeriod,"mmm yy"),"")</f>
        <v/>
      </c>
      <c r="FI4" s="115" t="str">
        <f aca="false">IF(OR(COLUMN()-COLUMN(gantt_Origin)=1,DAY(GanttStart+(COLUMN()-COLUMN(gantt_Origin)-1)*GanttPeriod)&lt;=GanttPeriod),TEXT(GanttStart+(COLUMN()-COLUMN(gantt_Origin)-1)*GanttPeriod,"mmm yy"),"")</f>
        <v/>
      </c>
      <c r="FJ4" s="115" t="str">
        <f aca="false">IF(OR(COLUMN()-COLUMN(gantt_Origin)=1,DAY(GanttStart+(COLUMN()-COLUMN(gantt_Origin)-1)*GanttPeriod)&lt;=GanttPeriod),TEXT(GanttStart+(COLUMN()-COLUMN(gantt_Origin)-1)*GanttPeriod,"mmm yy"),"")</f>
        <v/>
      </c>
      <c r="FK4" s="115" t="str">
        <f aca="false">IF(OR(COLUMN()-COLUMN(gantt_Origin)=1,DAY(GanttStart+(COLUMN()-COLUMN(gantt_Origin)-1)*GanttPeriod)&lt;=GanttPeriod),TEXT(GanttStart+(COLUMN()-COLUMN(gantt_Origin)-1)*GanttPeriod,"mmm yy"),"")</f>
        <v/>
      </c>
      <c r="FL4" s="115" t="str">
        <f aca="false">IF(OR(COLUMN()-COLUMN(gantt_Origin)=1,DAY(GanttStart+(COLUMN()-COLUMN(gantt_Origin)-1)*GanttPeriod)&lt;=GanttPeriod),TEXT(GanttStart+(COLUMN()-COLUMN(gantt_Origin)-1)*GanttPeriod,"mmm yy"),"")</f>
        <v/>
      </c>
      <c r="FM4" s="115" t="str">
        <f aca="false">IF(OR(COLUMN()-COLUMN(gantt_Origin)=1,DAY(GanttStart+(COLUMN()-COLUMN(gantt_Origin)-1)*GanttPeriod)&lt;=GanttPeriod),TEXT(GanttStart+(COLUMN()-COLUMN(gantt_Origin)-1)*GanttPeriod,"mmm yy"),"")</f>
        <v/>
      </c>
      <c r="FN4" s="115" t="str">
        <f aca="false">IF(OR(COLUMN()-COLUMN(gantt_Origin)=1,DAY(GanttStart+(COLUMN()-COLUMN(gantt_Origin)-1)*GanttPeriod)&lt;=GanttPeriod),TEXT(GanttStart+(COLUMN()-COLUMN(gantt_Origin)-1)*GanttPeriod,"mmm yy"),"")</f>
        <v>Feb 27</v>
      </c>
      <c r="FO4" s="115" t="str">
        <f aca="false">IF(OR(COLUMN()-COLUMN(gantt_Origin)=1,DAY(GanttStart+(COLUMN()-COLUMN(gantt_Origin)-1)*GanttPeriod)&lt;=GanttPeriod),TEXT(GanttStart+(COLUMN()-COLUMN(gantt_Origin)-1)*GanttPeriod,"mmm yy"),"")</f>
        <v/>
      </c>
      <c r="FP4" s="115" t="str">
        <f aca="false">IF(OR(COLUMN()-COLUMN(gantt_Origin)=1,DAY(GanttStart+(COLUMN()-COLUMN(gantt_Origin)-1)*GanttPeriod)&lt;=GanttPeriod),TEXT(GanttStart+(COLUMN()-COLUMN(gantt_Origin)-1)*GanttPeriod,"mmm yy"),"")</f>
        <v/>
      </c>
    </row>
    <row r="5" customFormat="false" ht="30" hidden="false" customHeight="true" outlineLevel="0" collapsed="false">
      <c r="A5" s="9" t="s">
        <v>486</v>
      </c>
      <c r="B5" s="9" t="s">
        <v>200</v>
      </c>
      <c r="C5" s="9" t="s">
        <v>180</v>
      </c>
      <c r="D5" s="9" t="s">
        <v>641</v>
      </c>
      <c r="E5" s="9" t="s">
        <v>497</v>
      </c>
      <c r="F5" s="9" t="s">
        <v>202</v>
      </c>
      <c r="G5" s="9" t="s">
        <v>220</v>
      </c>
      <c r="H5" s="9" t="s">
        <v>203</v>
      </c>
      <c r="I5" s="9" t="s">
        <v>642</v>
      </c>
      <c r="J5" s="9" t="s">
        <v>218</v>
      </c>
      <c r="K5" s="9" t="s">
        <v>91</v>
      </c>
      <c r="L5" s="40" t="s">
        <v>522</v>
      </c>
      <c r="M5" s="40" t="s">
        <v>525</v>
      </c>
      <c r="N5" s="40" t="s">
        <v>643</v>
      </c>
      <c r="O5" s="40" t="s">
        <v>644</v>
      </c>
      <c r="P5" s="40" t="s">
        <v>645</v>
      </c>
      <c r="Q5" s="40" t="s">
        <v>646</v>
      </c>
      <c r="R5" s="40" t="s">
        <v>647</v>
      </c>
      <c r="S5" s="40" t="s">
        <v>648</v>
      </c>
      <c r="T5" s="40" t="s">
        <v>649</v>
      </c>
      <c r="U5" s="40" t="s">
        <v>650</v>
      </c>
      <c r="W5" s="116" t="n">
        <f aca="false">GanttStart+(COLUMN()-COLUMN(gantt_Origin)-1)*GanttPeriod</f>
        <v>46272</v>
      </c>
      <c r="X5" s="116" t="n">
        <f aca="false">GanttStart+(COLUMN()-COLUMN(gantt_Origin)-1)*GanttPeriod</f>
        <v>46273</v>
      </c>
      <c r="Y5" s="116" t="n">
        <f aca="false">GanttStart+(COLUMN()-COLUMN(gantt_Origin)-1)*GanttPeriod</f>
        <v>46274</v>
      </c>
      <c r="Z5" s="116" t="n">
        <f aca="false">GanttStart+(COLUMN()-COLUMN(gantt_Origin)-1)*GanttPeriod</f>
        <v>46275</v>
      </c>
      <c r="AA5" s="116" t="n">
        <f aca="false">GanttStart+(COLUMN()-COLUMN(gantt_Origin)-1)*GanttPeriod</f>
        <v>46276</v>
      </c>
      <c r="AB5" s="116" t="n">
        <f aca="false">GanttStart+(COLUMN()-COLUMN(gantt_Origin)-1)*GanttPeriod</f>
        <v>46277</v>
      </c>
      <c r="AC5" s="116" t="n">
        <f aca="false">GanttStart+(COLUMN()-COLUMN(gantt_Origin)-1)*GanttPeriod</f>
        <v>46278</v>
      </c>
      <c r="AD5" s="116" t="n">
        <f aca="false">GanttStart+(COLUMN()-COLUMN(gantt_Origin)-1)*GanttPeriod</f>
        <v>46279</v>
      </c>
      <c r="AE5" s="116" t="n">
        <f aca="false">GanttStart+(COLUMN()-COLUMN(gantt_Origin)-1)*GanttPeriod</f>
        <v>46280</v>
      </c>
      <c r="AF5" s="116" t="n">
        <f aca="false">GanttStart+(COLUMN()-COLUMN(gantt_Origin)-1)*GanttPeriod</f>
        <v>46281</v>
      </c>
      <c r="AG5" s="116" t="n">
        <f aca="false">GanttStart+(COLUMN()-COLUMN(gantt_Origin)-1)*GanttPeriod</f>
        <v>46282</v>
      </c>
      <c r="AH5" s="116" t="n">
        <f aca="false">GanttStart+(COLUMN()-COLUMN(gantt_Origin)-1)*GanttPeriod</f>
        <v>46283</v>
      </c>
      <c r="AI5" s="116" t="n">
        <f aca="false">GanttStart+(COLUMN()-COLUMN(gantt_Origin)-1)*GanttPeriod</f>
        <v>46284</v>
      </c>
      <c r="AJ5" s="116" t="n">
        <f aca="false">GanttStart+(COLUMN()-COLUMN(gantt_Origin)-1)*GanttPeriod</f>
        <v>46285</v>
      </c>
      <c r="AK5" s="116" t="n">
        <f aca="false">GanttStart+(COLUMN()-COLUMN(gantt_Origin)-1)*GanttPeriod</f>
        <v>46286</v>
      </c>
      <c r="AL5" s="116" t="n">
        <f aca="false">GanttStart+(COLUMN()-COLUMN(gantt_Origin)-1)*GanttPeriod</f>
        <v>46287</v>
      </c>
      <c r="AM5" s="116" t="n">
        <f aca="false">GanttStart+(COLUMN()-COLUMN(gantt_Origin)-1)*GanttPeriod</f>
        <v>46288</v>
      </c>
      <c r="AN5" s="116" t="n">
        <f aca="false">GanttStart+(COLUMN()-COLUMN(gantt_Origin)-1)*GanttPeriod</f>
        <v>46289</v>
      </c>
      <c r="AO5" s="116" t="n">
        <f aca="false">GanttStart+(COLUMN()-COLUMN(gantt_Origin)-1)*GanttPeriod</f>
        <v>46290</v>
      </c>
      <c r="AP5" s="116" t="n">
        <f aca="false">GanttStart+(COLUMN()-COLUMN(gantt_Origin)-1)*GanttPeriod</f>
        <v>46291</v>
      </c>
      <c r="AQ5" s="116" t="n">
        <f aca="false">GanttStart+(COLUMN()-COLUMN(gantt_Origin)-1)*GanttPeriod</f>
        <v>46292</v>
      </c>
      <c r="AR5" s="116" t="n">
        <f aca="false">GanttStart+(COLUMN()-COLUMN(gantt_Origin)-1)*GanttPeriod</f>
        <v>46293</v>
      </c>
      <c r="AS5" s="116" t="n">
        <f aca="false">GanttStart+(COLUMN()-COLUMN(gantt_Origin)-1)*GanttPeriod</f>
        <v>46294</v>
      </c>
      <c r="AT5" s="116" t="n">
        <f aca="false">GanttStart+(COLUMN()-COLUMN(gantt_Origin)-1)*GanttPeriod</f>
        <v>46295</v>
      </c>
      <c r="AU5" s="116" t="n">
        <f aca="false">GanttStart+(COLUMN()-COLUMN(gantt_Origin)-1)*GanttPeriod</f>
        <v>46296</v>
      </c>
      <c r="AV5" s="116" t="n">
        <f aca="false">GanttStart+(COLUMN()-COLUMN(gantt_Origin)-1)*GanttPeriod</f>
        <v>46297</v>
      </c>
      <c r="AW5" s="116" t="n">
        <f aca="false">GanttStart+(COLUMN()-COLUMN(gantt_Origin)-1)*GanttPeriod</f>
        <v>46298</v>
      </c>
      <c r="AX5" s="116" t="n">
        <f aca="false">GanttStart+(COLUMN()-COLUMN(gantt_Origin)-1)*GanttPeriod</f>
        <v>46299</v>
      </c>
      <c r="AY5" s="116" t="n">
        <f aca="false">GanttStart+(COLUMN()-COLUMN(gantt_Origin)-1)*GanttPeriod</f>
        <v>46300</v>
      </c>
      <c r="AZ5" s="116" t="n">
        <f aca="false">GanttStart+(COLUMN()-COLUMN(gantt_Origin)-1)*GanttPeriod</f>
        <v>46301</v>
      </c>
      <c r="BA5" s="116" t="n">
        <f aca="false">GanttStart+(COLUMN()-COLUMN(gantt_Origin)-1)*GanttPeriod</f>
        <v>46302</v>
      </c>
      <c r="BB5" s="116" t="n">
        <f aca="false">GanttStart+(COLUMN()-COLUMN(gantt_Origin)-1)*GanttPeriod</f>
        <v>46303</v>
      </c>
      <c r="BC5" s="116" t="n">
        <f aca="false">GanttStart+(COLUMN()-COLUMN(gantt_Origin)-1)*GanttPeriod</f>
        <v>46304</v>
      </c>
      <c r="BD5" s="116" t="n">
        <f aca="false">GanttStart+(COLUMN()-COLUMN(gantt_Origin)-1)*GanttPeriod</f>
        <v>46305</v>
      </c>
      <c r="BE5" s="116" t="n">
        <f aca="false">GanttStart+(COLUMN()-COLUMN(gantt_Origin)-1)*GanttPeriod</f>
        <v>46306</v>
      </c>
      <c r="BF5" s="116" t="n">
        <f aca="false">GanttStart+(COLUMN()-COLUMN(gantt_Origin)-1)*GanttPeriod</f>
        <v>46307</v>
      </c>
      <c r="BG5" s="116" t="n">
        <f aca="false">GanttStart+(COLUMN()-COLUMN(gantt_Origin)-1)*GanttPeriod</f>
        <v>46308</v>
      </c>
      <c r="BH5" s="116" t="n">
        <f aca="false">GanttStart+(COLUMN()-COLUMN(gantt_Origin)-1)*GanttPeriod</f>
        <v>46309</v>
      </c>
      <c r="BI5" s="116" t="n">
        <f aca="false">GanttStart+(COLUMN()-COLUMN(gantt_Origin)-1)*GanttPeriod</f>
        <v>46310</v>
      </c>
      <c r="BJ5" s="116" t="n">
        <f aca="false">GanttStart+(COLUMN()-COLUMN(gantt_Origin)-1)*GanttPeriod</f>
        <v>46311</v>
      </c>
      <c r="BK5" s="116" t="n">
        <f aca="false">GanttStart+(COLUMN()-COLUMN(gantt_Origin)-1)*GanttPeriod</f>
        <v>46312</v>
      </c>
      <c r="BL5" s="116" t="n">
        <f aca="false">GanttStart+(COLUMN()-COLUMN(gantt_Origin)-1)*GanttPeriod</f>
        <v>46313</v>
      </c>
      <c r="BM5" s="116" t="n">
        <f aca="false">GanttStart+(COLUMN()-COLUMN(gantt_Origin)-1)*GanttPeriod</f>
        <v>46314</v>
      </c>
      <c r="BN5" s="116" t="n">
        <f aca="false">GanttStart+(COLUMN()-COLUMN(gantt_Origin)-1)*GanttPeriod</f>
        <v>46315</v>
      </c>
      <c r="BO5" s="116" t="n">
        <f aca="false">GanttStart+(COLUMN()-COLUMN(gantt_Origin)-1)*GanttPeriod</f>
        <v>46316</v>
      </c>
      <c r="BP5" s="116" t="n">
        <f aca="false">GanttStart+(COLUMN()-COLUMN(gantt_Origin)-1)*GanttPeriod</f>
        <v>46317</v>
      </c>
      <c r="BQ5" s="116" t="n">
        <f aca="false">GanttStart+(COLUMN()-COLUMN(gantt_Origin)-1)*GanttPeriod</f>
        <v>46318</v>
      </c>
      <c r="BR5" s="116" t="n">
        <f aca="false">GanttStart+(COLUMN()-COLUMN(gantt_Origin)-1)*GanttPeriod</f>
        <v>46319</v>
      </c>
      <c r="BS5" s="116" t="n">
        <f aca="false">GanttStart+(COLUMN()-COLUMN(gantt_Origin)-1)*GanttPeriod</f>
        <v>46320</v>
      </c>
      <c r="BT5" s="116" t="n">
        <f aca="false">GanttStart+(COLUMN()-COLUMN(gantt_Origin)-1)*GanttPeriod</f>
        <v>46321</v>
      </c>
      <c r="BU5" s="116" t="n">
        <f aca="false">GanttStart+(COLUMN()-COLUMN(gantt_Origin)-1)*GanttPeriod</f>
        <v>46322</v>
      </c>
      <c r="BV5" s="116" t="n">
        <f aca="false">GanttStart+(COLUMN()-COLUMN(gantt_Origin)-1)*GanttPeriod</f>
        <v>46323</v>
      </c>
      <c r="BW5" s="116" t="n">
        <f aca="false">GanttStart+(COLUMN()-COLUMN(gantt_Origin)-1)*GanttPeriod</f>
        <v>46324</v>
      </c>
      <c r="BX5" s="116" t="n">
        <f aca="false">GanttStart+(COLUMN()-COLUMN(gantt_Origin)-1)*GanttPeriod</f>
        <v>46325</v>
      </c>
      <c r="BY5" s="116" t="n">
        <f aca="false">GanttStart+(COLUMN()-COLUMN(gantt_Origin)-1)*GanttPeriod</f>
        <v>46326</v>
      </c>
      <c r="BZ5" s="116" t="n">
        <f aca="false">GanttStart+(COLUMN()-COLUMN(gantt_Origin)-1)*GanttPeriod</f>
        <v>46327</v>
      </c>
      <c r="CA5" s="116" t="n">
        <f aca="false">GanttStart+(COLUMN()-COLUMN(gantt_Origin)-1)*GanttPeriod</f>
        <v>46328</v>
      </c>
      <c r="CB5" s="116" t="n">
        <f aca="false">GanttStart+(COLUMN()-COLUMN(gantt_Origin)-1)*GanttPeriod</f>
        <v>46329</v>
      </c>
      <c r="CC5" s="116" t="n">
        <f aca="false">GanttStart+(COLUMN()-COLUMN(gantt_Origin)-1)*GanttPeriod</f>
        <v>46330</v>
      </c>
      <c r="CD5" s="116" t="n">
        <f aca="false">GanttStart+(COLUMN()-COLUMN(gantt_Origin)-1)*GanttPeriod</f>
        <v>46331</v>
      </c>
      <c r="CE5" s="116" t="n">
        <f aca="false">GanttStart+(COLUMN()-COLUMN(gantt_Origin)-1)*GanttPeriod</f>
        <v>46332</v>
      </c>
      <c r="CF5" s="116" t="n">
        <f aca="false">GanttStart+(COLUMN()-COLUMN(gantt_Origin)-1)*GanttPeriod</f>
        <v>46333</v>
      </c>
      <c r="CG5" s="116" t="n">
        <f aca="false">GanttStart+(COLUMN()-COLUMN(gantt_Origin)-1)*GanttPeriod</f>
        <v>46334</v>
      </c>
      <c r="CH5" s="116" t="n">
        <f aca="false">GanttStart+(COLUMN()-COLUMN(gantt_Origin)-1)*GanttPeriod</f>
        <v>46335</v>
      </c>
      <c r="CI5" s="116" t="n">
        <f aca="false">GanttStart+(COLUMN()-COLUMN(gantt_Origin)-1)*GanttPeriod</f>
        <v>46336</v>
      </c>
      <c r="CJ5" s="116" t="n">
        <f aca="false">GanttStart+(COLUMN()-COLUMN(gantt_Origin)-1)*GanttPeriod</f>
        <v>46337</v>
      </c>
      <c r="CK5" s="116" t="n">
        <f aca="false">GanttStart+(COLUMN()-COLUMN(gantt_Origin)-1)*GanttPeriod</f>
        <v>46338</v>
      </c>
      <c r="CL5" s="116" t="n">
        <f aca="false">GanttStart+(COLUMN()-COLUMN(gantt_Origin)-1)*GanttPeriod</f>
        <v>46339</v>
      </c>
      <c r="CM5" s="116" t="n">
        <f aca="false">GanttStart+(COLUMN()-COLUMN(gantt_Origin)-1)*GanttPeriod</f>
        <v>46340</v>
      </c>
      <c r="CN5" s="116" t="n">
        <f aca="false">GanttStart+(COLUMN()-COLUMN(gantt_Origin)-1)*GanttPeriod</f>
        <v>46341</v>
      </c>
      <c r="CO5" s="116" t="n">
        <f aca="false">GanttStart+(COLUMN()-COLUMN(gantt_Origin)-1)*GanttPeriod</f>
        <v>46342</v>
      </c>
      <c r="CP5" s="116" t="n">
        <f aca="false">GanttStart+(COLUMN()-COLUMN(gantt_Origin)-1)*GanttPeriod</f>
        <v>46343</v>
      </c>
      <c r="CQ5" s="116" t="n">
        <f aca="false">GanttStart+(COLUMN()-COLUMN(gantt_Origin)-1)*GanttPeriod</f>
        <v>46344</v>
      </c>
      <c r="CR5" s="116" t="n">
        <f aca="false">GanttStart+(COLUMN()-COLUMN(gantt_Origin)-1)*GanttPeriod</f>
        <v>46345</v>
      </c>
      <c r="CS5" s="116" t="n">
        <f aca="false">GanttStart+(COLUMN()-COLUMN(gantt_Origin)-1)*GanttPeriod</f>
        <v>46346</v>
      </c>
      <c r="CT5" s="116" t="n">
        <f aca="false">GanttStart+(COLUMN()-COLUMN(gantt_Origin)-1)*GanttPeriod</f>
        <v>46347</v>
      </c>
      <c r="CU5" s="116" t="n">
        <f aca="false">GanttStart+(COLUMN()-COLUMN(gantt_Origin)-1)*GanttPeriod</f>
        <v>46348</v>
      </c>
      <c r="CV5" s="116" t="n">
        <f aca="false">GanttStart+(COLUMN()-COLUMN(gantt_Origin)-1)*GanttPeriod</f>
        <v>46349</v>
      </c>
      <c r="CW5" s="116" t="n">
        <f aca="false">GanttStart+(COLUMN()-COLUMN(gantt_Origin)-1)*GanttPeriod</f>
        <v>46350</v>
      </c>
      <c r="CX5" s="116" t="n">
        <f aca="false">GanttStart+(COLUMN()-COLUMN(gantt_Origin)-1)*GanttPeriod</f>
        <v>46351</v>
      </c>
      <c r="CY5" s="116" t="n">
        <f aca="false">GanttStart+(COLUMN()-COLUMN(gantt_Origin)-1)*GanttPeriod</f>
        <v>46352</v>
      </c>
      <c r="CZ5" s="116" t="n">
        <f aca="false">GanttStart+(COLUMN()-COLUMN(gantt_Origin)-1)*GanttPeriod</f>
        <v>46353</v>
      </c>
      <c r="DA5" s="116" t="n">
        <f aca="false">GanttStart+(COLUMN()-COLUMN(gantt_Origin)-1)*GanttPeriod</f>
        <v>46354</v>
      </c>
      <c r="DB5" s="116" t="n">
        <f aca="false">GanttStart+(COLUMN()-COLUMN(gantt_Origin)-1)*GanttPeriod</f>
        <v>46355</v>
      </c>
      <c r="DC5" s="116" t="n">
        <f aca="false">GanttStart+(COLUMN()-COLUMN(gantt_Origin)-1)*GanttPeriod</f>
        <v>46356</v>
      </c>
      <c r="DD5" s="116" t="n">
        <f aca="false">GanttStart+(COLUMN()-COLUMN(gantt_Origin)-1)*GanttPeriod</f>
        <v>46357</v>
      </c>
      <c r="DE5" s="116" t="n">
        <f aca="false">GanttStart+(COLUMN()-COLUMN(gantt_Origin)-1)*GanttPeriod</f>
        <v>46358</v>
      </c>
      <c r="DF5" s="116" t="n">
        <f aca="false">GanttStart+(COLUMN()-COLUMN(gantt_Origin)-1)*GanttPeriod</f>
        <v>46359</v>
      </c>
      <c r="DG5" s="116" t="n">
        <f aca="false">GanttStart+(COLUMN()-COLUMN(gantt_Origin)-1)*GanttPeriod</f>
        <v>46360</v>
      </c>
      <c r="DH5" s="116" t="n">
        <f aca="false">GanttStart+(COLUMN()-COLUMN(gantt_Origin)-1)*GanttPeriod</f>
        <v>46361</v>
      </c>
      <c r="DI5" s="116" t="n">
        <f aca="false">GanttStart+(COLUMN()-COLUMN(gantt_Origin)-1)*GanttPeriod</f>
        <v>46362</v>
      </c>
      <c r="DJ5" s="116" t="n">
        <f aca="false">GanttStart+(COLUMN()-COLUMN(gantt_Origin)-1)*GanttPeriod</f>
        <v>46363</v>
      </c>
      <c r="DK5" s="116" t="n">
        <f aca="false">GanttStart+(COLUMN()-COLUMN(gantt_Origin)-1)*GanttPeriod</f>
        <v>46364</v>
      </c>
      <c r="DL5" s="116" t="n">
        <f aca="false">GanttStart+(COLUMN()-COLUMN(gantt_Origin)-1)*GanttPeriod</f>
        <v>46365</v>
      </c>
      <c r="DM5" s="116" t="n">
        <f aca="false">GanttStart+(COLUMN()-COLUMN(gantt_Origin)-1)*GanttPeriod</f>
        <v>46366</v>
      </c>
      <c r="DN5" s="116" t="n">
        <f aca="false">GanttStart+(COLUMN()-COLUMN(gantt_Origin)-1)*GanttPeriod</f>
        <v>46367</v>
      </c>
      <c r="DO5" s="116" t="n">
        <f aca="false">GanttStart+(COLUMN()-COLUMN(gantt_Origin)-1)*GanttPeriod</f>
        <v>46368</v>
      </c>
      <c r="DP5" s="116" t="n">
        <f aca="false">GanttStart+(COLUMN()-COLUMN(gantt_Origin)-1)*GanttPeriod</f>
        <v>46369</v>
      </c>
      <c r="DQ5" s="116" t="n">
        <f aca="false">GanttStart+(COLUMN()-COLUMN(gantt_Origin)-1)*GanttPeriod</f>
        <v>46370</v>
      </c>
      <c r="DR5" s="116" t="n">
        <f aca="false">GanttStart+(COLUMN()-COLUMN(gantt_Origin)-1)*GanttPeriod</f>
        <v>46371</v>
      </c>
      <c r="DS5" s="116" t="n">
        <f aca="false">GanttStart+(COLUMN()-COLUMN(gantt_Origin)-1)*GanttPeriod</f>
        <v>46372</v>
      </c>
      <c r="DT5" s="116" t="n">
        <f aca="false">GanttStart+(COLUMN()-COLUMN(gantt_Origin)-1)*GanttPeriod</f>
        <v>46373</v>
      </c>
      <c r="DU5" s="116" t="n">
        <f aca="false">GanttStart+(COLUMN()-COLUMN(gantt_Origin)-1)*GanttPeriod</f>
        <v>46374</v>
      </c>
      <c r="DV5" s="116" t="n">
        <f aca="false">GanttStart+(COLUMN()-COLUMN(gantt_Origin)-1)*GanttPeriod</f>
        <v>46375</v>
      </c>
      <c r="DW5" s="116" t="n">
        <f aca="false">GanttStart+(COLUMN()-COLUMN(gantt_Origin)-1)*GanttPeriod</f>
        <v>46376</v>
      </c>
      <c r="DX5" s="116" t="n">
        <f aca="false">GanttStart+(COLUMN()-COLUMN(gantt_Origin)-1)*GanttPeriod</f>
        <v>46377</v>
      </c>
      <c r="DY5" s="116" t="n">
        <f aca="false">GanttStart+(COLUMN()-COLUMN(gantt_Origin)-1)*GanttPeriod</f>
        <v>46378</v>
      </c>
      <c r="DZ5" s="116" t="n">
        <f aca="false">GanttStart+(COLUMN()-COLUMN(gantt_Origin)-1)*GanttPeriod</f>
        <v>46379</v>
      </c>
      <c r="EA5" s="116" t="n">
        <f aca="false">GanttStart+(COLUMN()-COLUMN(gantt_Origin)-1)*GanttPeriod</f>
        <v>46380</v>
      </c>
      <c r="EB5" s="116" t="n">
        <f aca="false">GanttStart+(COLUMN()-COLUMN(gantt_Origin)-1)*GanttPeriod</f>
        <v>46381</v>
      </c>
      <c r="EC5" s="116" t="n">
        <f aca="false">GanttStart+(COLUMN()-COLUMN(gantt_Origin)-1)*GanttPeriod</f>
        <v>46382</v>
      </c>
      <c r="ED5" s="116" t="n">
        <f aca="false">GanttStart+(COLUMN()-COLUMN(gantt_Origin)-1)*GanttPeriod</f>
        <v>46383</v>
      </c>
      <c r="EE5" s="116" t="n">
        <f aca="false">GanttStart+(COLUMN()-COLUMN(gantt_Origin)-1)*GanttPeriod</f>
        <v>46384</v>
      </c>
      <c r="EF5" s="116" t="n">
        <f aca="false">GanttStart+(COLUMN()-COLUMN(gantt_Origin)-1)*GanttPeriod</f>
        <v>46385</v>
      </c>
      <c r="EG5" s="116" t="n">
        <f aca="false">GanttStart+(COLUMN()-COLUMN(gantt_Origin)-1)*GanttPeriod</f>
        <v>46386</v>
      </c>
      <c r="EH5" s="116" t="n">
        <f aca="false">GanttStart+(COLUMN()-COLUMN(gantt_Origin)-1)*GanttPeriod</f>
        <v>46387</v>
      </c>
      <c r="EI5" s="116" t="n">
        <f aca="false">GanttStart+(COLUMN()-COLUMN(gantt_Origin)-1)*GanttPeriod</f>
        <v>46388</v>
      </c>
      <c r="EJ5" s="116" t="n">
        <f aca="false">GanttStart+(COLUMN()-COLUMN(gantt_Origin)-1)*GanttPeriod</f>
        <v>46389</v>
      </c>
      <c r="EK5" s="116" t="n">
        <f aca="false">GanttStart+(COLUMN()-COLUMN(gantt_Origin)-1)*GanttPeriod</f>
        <v>46390</v>
      </c>
      <c r="EL5" s="116" t="n">
        <f aca="false">GanttStart+(COLUMN()-COLUMN(gantt_Origin)-1)*GanttPeriod</f>
        <v>46391</v>
      </c>
      <c r="EM5" s="116" t="n">
        <f aca="false">GanttStart+(COLUMN()-COLUMN(gantt_Origin)-1)*GanttPeriod</f>
        <v>46392</v>
      </c>
      <c r="EN5" s="116" t="n">
        <f aca="false">GanttStart+(COLUMN()-COLUMN(gantt_Origin)-1)*GanttPeriod</f>
        <v>46393</v>
      </c>
      <c r="EO5" s="116" t="n">
        <f aca="false">GanttStart+(COLUMN()-COLUMN(gantt_Origin)-1)*GanttPeriod</f>
        <v>46394</v>
      </c>
      <c r="EP5" s="116" t="n">
        <f aca="false">GanttStart+(COLUMN()-COLUMN(gantt_Origin)-1)*GanttPeriod</f>
        <v>46395</v>
      </c>
      <c r="EQ5" s="116" t="n">
        <f aca="false">GanttStart+(COLUMN()-COLUMN(gantt_Origin)-1)*GanttPeriod</f>
        <v>46396</v>
      </c>
      <c r="ER5" s="116" t="n">
        <f aca="false">GanttStart+(COLUMN()-COLUMN(gantt_Origin)-1)*GanttPeriod</f>
        <v>46397</v>
      </c>
      <c r="ES5" s="116" t="n">
        <f aca="false">GanttStart+(COLUMN()-COLUMN(gantt_Origin)-1)*GanttPeriod</f>
        <v>46398</v>
      </c>
      <c r="ET5" s="116" t="n">
        <f aca="false">GanttStart+(COLUMN()-COLUMN(gantt_Origin)-1)*GanttPeriod</f>
        <v>46399</v>
      </c>
      <c r="EU5" s="116" t="n">
        <f aca="false">GanttStart+(COLUMN()-COLUMN(gantt_Origin)-1)*GanttPeriod</f>
        <v>46400</v>
      </c>
      <c r="EV5" s="116" t="n">
        <f aca="false">GanttStart+(COLUMN()-COLUMN(gantt_Origin)-1)*GanttPeriod</f>
        <v>46401</v>
      </c>
      <c r="EW5" s="116" t="n">
        <f aca="false">GanttStart+(COLUMN()-COLUMN(gantt_Origin)-1)*GanttPeriod</f>
        <v>46402</v>
      </c>
      <c r="EX5" s="116" t="n">
        <f aca="false">GanttStart+(COLUMN()-COLUMN(gantt_Origin)-1)*GanttPeriod</f>
        <v>46403</v>
      </c>
      <c r="EY5" s="116" t="n">
        <f aca="false">GanttStart+(COLUMN()-COLUMN(gantt_Origin)-1)*GanttPeriod</f>
        <v>46404</v>
      </c>
      <c r="EZ5" s="116" t="n">
        <f aca="false">GanttStart+(COLUMN()-COLUMN(gantt_Origin)-1)*GanttPeriod</f>
        <v>46405</v>
      </c>
      <c r="FA5" s="116" t="n">
        <f aca="false">GanttStart+(COLUMN()-COLUMN(gantt_Origin)-1)*GanttPeriod</f>
        <v>46406</v>
      </c>
      <c r="FB5" s="116" t="n">
        <f aca="false">GanttStart+(COLUMN()-COLUMN(gantt_Origin)-1)*GanttPeriod</f>
        <v>46407</v>
      </c>
      <c r="FC5" s="116" t="n">
        <f aca="false">GanttStart+(COLUMN()-COLUMN(gantt_Origin)-1)*GanttPeriod</f>
        <v>46408</v>
      </c>
      <c r="FD5" s="116" t="n">
        <f aca="false">GanttStart+(COLUMN()-COLUMN(gantt_Origin)-1)*GanttPeriod</f>
        <v>46409</v>
      </c>
      <c r="FE5" s="116" t="n">
        <f aca="false">GanttStart+(COLUMN()-COLUMN(gantt_Origin)-1)*GanttPeriod</f>
        <v>46410</v>
      </c>
      <c r="FF5" s="116" t="n">
        <f aca="false">GanttStart+(COLUMN()-COLUMN(gantt_Origin)-1)*GanttPeriod</f>
        <v>46411</v>
      </c>
      <c r="FG5" s="116" t="n">
        <f aca="false">GanttStart+(COLUMN()-COLUMN(gantt_Origin)-1)*GanttPeriod</f>
        <v>46412</v>
      </c>
      <c r="FH5" s="116" t="n">
        <f aca="false">GanttStart+(COLUMN()-COLUMN(gantt_Origin)-1)*GanttPeriod</f>
        <v>46413</v>
      </c>
      <c r="FI5" s="116" t="n">
        <f aca="false">GanttStart+(COLUMN()-COLUMN(gantt_Origin)-1)*GanttPeriod</f>
        <v>46414</v>
      </c>
      <c r="FJ5" s="116" t="n">
        <f aca="false">GanttStart+(COLUMN()-COLUMN(gantt_Origin)-1)*GanttPeriod</f>
        <v>46415</v>
      </c>
      <c r="FK5" s="116" t="n">
        <f aca="false">GanttStart+(COLUMN()-COLUMN(gantt_Origin)-1)*GanttPeriod</f>
        <v>46416</v>
      </c>
      <c r="FL5" s="116" t="n">
        <f aca="false">GanttStart+(COLUMN()-COLUMN(gantt_Origin)-1)*GanttPeriod</f>
        <v>46417</v>
      </c>
      <c r="FM5" s="116" t="n">
        <f aca="false">GanttStart+(COLUMN()-COLUMN(gantt_Origin)-1)*GanttPeriod</f>
        <v>46418</v>
      </c>
      <c r="FN5" s="116" t="n">
        <f aca="false">GanttStart+(COLUMN()-COLUMN(gantt_Origin)-1)*GanttPeriod</f>
        <v>46419</v>
      </c>
      <c r="FO5" s="116" t="n">
        <f aca="false">GanttStart+(COLUMN()-COLUMN(gantt_Origin)-1)*GanttPeriod</f>
        <v>46420</v>
      </c>
      <c r="FP5" s="116" t="n">
        <f aca="false">GanttStart+(COLUMN()-COLUMN(gantt_Origin)-1)*GanttPeriod</f>
        <v>46421</v>
      </c>
    </row>
    <row r="6" customFormat="false" ht="15" hidden="false" customHeight="false" outlineLevel="0" collapsed="false">
      <c r="A6" s="117" t="n">
        <f aca="false">IF(IFERROR(INDEX(tsk_Name,GanttView[[#This Row],[_Row]])="",TRUE()),"",INDEX(tsk_ID,GanttView[[#This Row],[_Row]]))</f>
        <v>1</v>
      </c>
      <c r="B6" s="117" t="str">
        <f aca="false">IF(IFERROR(INDEX(tsk_Name,GanttView[[#This Row],[_Row]])="",TRUE()),"",INDEX(tsk_WBS,GanttView[[#This Row],[_Row]]))</f>
        <v>1</v>
      </c>
      <c r="C6" s="118" t="str">
        <f aca="false">IF(IFERROR(INDEX(tsk_Name,GanttView[[#This Row],[_Row]])="",TRUE()),"",REPT("    ",INDEX(tsk_Level,GanttView[[#This Row],[_Row]])-1)&amp;INDEX(tsk_Name,GanttView[[#This Row],[_Row]]))</f>
        <v>Initiation</v>
      </c>
      <c r="D6" s="117" t="n">
        <f aca="false">IF(IFERROR(INDEX(tsk_Name,GanttView[[#This Row],[_Row]])="",TRUE()),"",IF(INDEX(tsk_IsSummary,GanttView[[#This Row],[_Row]]),NETWORKDAYS.INTL(INDEX(tsk_FcStart,GanttView[[#This Row],[_Row]]),INDEX(tsk_FcFinish,GanttView[[#This Row],[_Row]]),WorkWeek,Holidays),N(INDEX(tsk_Duration,GanttView[[#This Row],[_Row]]))))</f>
        <v>6</v>
      </c>
      <c r="E6" s="119" t="n">
        <f aca="false">IF(IFERROR(INDEX(tsk_Name,GanttView[[#This Row],[_Row]])="",TRUE()),"",INDEX(tsk_PlanStart,GanttView[[#This Row],[_Row]]))</f>
        <v>46272</v>
      </c>
      <c r="F6" s="119" t="n">
        <f aca="false">IF(IFERROR(INDEX(tsk_Name,GanttView[[#This Row],[_Row]])="",TRUE()),"",INDEX(tsk_PlanFinish,GanttView[[#This Row],[_Row]]))</f>
        <v>46276</v>
      </c>
      <c r="G6" s="119" t="n">
        <f aca="false">IF(IFERROR(INDEX(tsk_Name,GanttView[[#This Row],[_Row]])="",TRUE()),"",INDEX(tsk_FcStart,GanttView[[#This Row],[_Row]]))</f>
        <v>46272</v>
      </c>
      <c r="H6" s="119" t="n">
        <f aca="false">IF(IFERROR(INDEX(tsk_Name,GanttView[[#This Row],[_Row]])="",TRUE()),"",INDEX(tsk_FcFinish,GanttView[[#This Row],[_Row]]))</f>
        <v>46279</v>
      </c>
      <c r="I6" s="120" t="n">
        <f aca="false">IF(IFERROR(INDEX(tsk_Name,GanttView[[#This Row],[_Row]])="",TRUE()),"",INDEX(tsk_Progress,GanttView[[#This Row],[_Row]]))</f>
        <v>1</v>
      </c>
      <c r="J6" s="118" t="str">
        <f aca="false">IF(IFERROR(INDEX(tsk_Name,GanttView[[#This Row],[_Row]])="",TRUE()),"",INDEX(tsk_Resource,GanttView[[#This Row],[_Row]])&amp;"")</f>
        <v/>
      </c>
      <c r="K6" s="121" t="str">
        <f aca="false">IF(IFERROR(INDEX(tsk_Name,GanttView[[#This Row],[_Row]])="",TRUE()),"",INDEX(tsk_Status,GanttView[[#This Row],[_Row]]))</f>
        <v>Complete</v>
      </c>
      <c r="L6" s="122" t="n">
        <f aca="false">ROW()-ROW(GanttView[[#Headers],[ID]])</f>
        <v>1</v>
      </c>
      <c r="M6" s="123" t="b">
        <f aca="false">IF(IFERROR(INDEX(tsk_Name,GanttView[[#This Row],[_Row]])="",TRUE()),FALSE(),INDEX(tsk_IsSummary,GanttView[[#This Row],[_Row]]))</f>
        <v>1</v>
      </c>
      <c r="N6" s="123" t="b">
        <f aca="false">IF(IFERROR(INDEX(tsk_Name,GanttView[[#This Row],[_Row]])="",TRUE()),FALSE(),AND(INDEX(tsk_IsLeaf,GanttView[[#This Row],[_Row]])=1,N(INDEX(tsk_Duration,GanttView[[#This Row],[_Row]]))=0))</f>
        <v>0</v>
      </c>
      <c r="O6" s="124" t="n">
        <f aca="false">IF(IFERROR(INDEX(tsk_Name,GanttView[[#This Row],[_Row]])="",TRUE()),0,IF(AND(INDEX(tsk_IsLeaf,GanttView[[#This Row],[_Row]])=1,NOT(GanttView[[#This Row],[_IsMilestone]]),N(GanttView[[#This Row],[%]])&gt;0),GanttView[[#This Row],[Forecast Start]],0))</f>
        <v>0</v>
      </c>
      <c r="P6" s="124" t="n">
        <f aca="false">IF(GanttView[[#This Row],[_DoneFrom]]=0,0,IF(GanttView[[#This Row],[%]]&gt;=1,GanttView[[#This Row],[Forecast Finish]],MAX(GanttView[[#This Row],[_DoneFrom]],GanttView[[#This Row],[Forecast Start]]+ROUND((GanttView[[#This Row],[Forecast Finish]]-GanttView[[#This Row],[Forecast Start]]+1)*GanttView[[#This Row],[%]],0)-1)))</f>
        <v>0</v>
      </c>
      <c r="Q6" s="124" t="n">
        <f aca="false">IF(IFERROR(INDEX(tsk_Name,GanttView[[#This Row],[_Row]])="",TRUE()),0,IF(OR(INDEX(tsk_IsLeaf,GanttView[[#This Row],[_Row]])&lt;&gt;1,GanttView[[#This Row],[_IsMilestone]],N(GanttView[[#This Row],[%]])&gt;=1),0,IF(GanttView[[#This Row],[_DoneTo]]&gt;0,GanttView[[#This Row],[_DoneTo]]+1,GanttView[[#This Row],[Forecast Start]])))</f>
        <v>0</v>
      </c>
      <c r="R6" s="124" t="n">
        <f aca="false">IF(GanttView[[#This Row],[_RemFrom]]=0,0,GanttView[[#This Row],[Forecast Finish]])</f>
        <v>0</v>
      </c>
      <c r="S6" s="123" t="b">
        <f aca="false">IF(IFERROR(INDEX(tsk_Name,GanttView[[#This Row],[_Row]])="",TRUE()),FALSE(),N(INDEX(tsk_Variance,GanttView[[#This Row],[_Row]]))&gt;0)</f>
        <v>1</v>
      </c>
      <c r="T6" s="124" t="n">
        <f aca="false">IF(IFERROR(INDEX(tsk_Name,GanttView[[#This Row],[_Row]])="",TRUE()),0,N(INDEX(tsk_Deadline,GanttView[[#This Row],[_Row]])))</f>
        <v>0</v>
      </c>
      <c r="U6" s="123" t="b">
        <f aca="false">IF(IFERROR(INDEX(tsk_Name,GanttView[[#This Row],[_Row]])="",TRUE()),FALSE(),INDEX(tsk_Critical,GanttView[[#This Row],[_Row]])="Yes")</f>
        <v>0</v>
      </c>
    </row>
    <row r="7" customFormat="false" ht="15" hidden="false" customHeight="false" outlineLevel="0" collapsed="false">
      <c r="A7" s="117" t="n">
        <f aca="false">IF(IFERROR(INDEX(tsk_Name,GanttView[[#This Row],[_Row]])="",TRUE()),"",INDEX(tsk_ID,GanttView[[#This Row],[_Row]]))</f>
        <v>2</v>
      </c>
      <c r="B7" s="117" t="str">
        <f aca="false">IF(IFERROR(INDEX(tsk_Name,GanttView[[#This Row],[_Row]])="",TRUE()),"",INDEX(tsk_WBS,GanttView[[#This Row],[_Row]]))</f>
        <v>1.1</v>
      </c>
      <c r="C7" s="118" t="str">
        <f aca="false">IF(IFERROR(INDEX(tsk_Name,GanttView[[#This Row],[_Row]])="",TRUE()),"",REPT("    ",INDEX(tsk_Level,GanttView[[#This Row],[_Row]])-1)&amp;INDEX(tsk_Name,GanttView[[#This Row],[_Row]]))</f>
        <v>    Project charter &amp; scope statement</v>
      </c>
      <c r="D7" s="117" t="n">
        <f aca="false">IF(IFERROR(INDEX(tsk_Name,GanttView[[#This Row],[_Row]])="",TRUE()),"",IF(INDEX(tsk_IsSummary,GanttView[[#This Row],[_Row]]),NETWORKDAYS.INTL(INDEX(tsk_FcStart,GanttView[[#This Row],[_Row]]),INDEX(tsk_FcFinish,GanttView[[#This Row],[_Row]]),WorkWeek,Holidays),N(INDEX(tsk_Duration,GanttView[[#This Row],[_Row]]))))</f>
        <v>3</v>
      </c>
      <c r="E7" s="119" t="n">
        <f aca="false">IF(IFERROR(INDEX(tsk_Name,GanttView[[#This Row],[_Row]])="",TRUE()),"",INDEX(tsk_PlanStart,GanttView[[#This Row],[_Row]]))</f>
        <v>46272</v>
      </c>
      <c r="F7" s="119" t="n">
        <f aca="false">IF(IFERROR(INDEX(tsk_Name,GanttView[[#This Row],[_Row]])="",TRUE()),"",INDEX(tsk_PlanFinish,GanttView[[#This Row],[_Row]]))</f>
        <v>46274</v>
      </c>
      <c r="G7" s="119" t="n">
        <f aca="false">IF(IFERROR(INDEX(tsk_Name,GanttView[[#This Row],[_Row]])="",TRUE()),"",INDEX(tsk_FcStart,GanttView[[#This Row],[_Row]]))</f>
        <v>46272</v>
      </c>
      <c r="H7" s="119" t="n">
        <f aca="false">IF(IFERROR(INDEX(tsk_Name,GanttView[[#This Row],[_Row]])="",TRUE()),"",INDEX(tsk_FcFinish,GanttView[[#This Row],[_Row]]))</f>
        <v>46275</v>
      </c>
      <c r="I7" s="120" t="n">
        <f aca="false">IF(IFERROR(INDEX(tsk_Name,GanttView[[#This Row],[_Row]])="",TRUE()),"",INDEX(tsk_Progress,GanttView[[#This Row],[_Row]]))</f>
        <v>1</v>
      </c>
      <c r="J7" s="118" t="str">
        <f aca="false">IF(IFERROR(INDEX(tsk_Name,GanttView[[#This Row],[_Row]])="",TRUE()),"",INDEX(tsk_Resource,GanttView[[#This Row],[_Row]])&amp;"")</f>
        <v>Priya Sharma</v>
      </c>
      <c r="K7" s="121" t="str">
        <f aca="false">IF(IFERROR(INDEX(tsk_Name,GanttView[[#This Row],[_Row]])="",TRUE()),"",INDEX(tsk_Status,GanttView[[#This Row],[_Row]]))</f>
        <v>Complete</v>
      </c>
      <c r="L7" s="122" t="n">
        <f aca="false">ROW()-ROW(GanttView[[#Headers],[ID]])</f>
        <v>2</v>
      </c>
      <c r="M7" s="123" t="b">
        <f aca="false">IF(IFERROR(INDEX(tsk_Name,GanttView[[#This Row],[_Row]])="",TRUE()),FALSE(),INDEX(tsk_IsSummary,GanttView[[#This Row],[_Row]]))</f>
        <v>0</v>
      </c>
      <c r="N7" s="123" t="b">
        <f aca="false">IF(IFERROR(INDEX(tsk_Name,GanttView[[#This Row],[_Row]])="",TRUE()),FALSE(),AND(INDEX(tsk_IsLeaf,GanttView[[#This Row],[_Row]])=1,N(INDEX(tsk_Duration,GanttView[[#This Row],[_Row]]))=0))</f>
        <v>0</v>
      </c>
      <c r="O7" s="124" t="n">
        <f aca="false">IF(IFERROR(INDEX(tsk_Name,GanttView[[#This Row],[_Row]])="",TRUE()),0,IF(AND(INDEX(tsk_IsLeaf,GanttView[[#This Row],[_Row]])=1,NOT(GanttView[[#This Row],[_IsMilestone]]),N(GanttView[[#This Row],[%]])&gt;0),GanttView[[#This Row],[Forecast Start]],0))</f>
        <v>46272</v>
      </c>
      <c r="P7" s="124" t="n">
        <f aca="false">IF(GanttView[[#This Row],[_DoneFrom]]=0,0,IF(GanttView[[#This Row],[%]]&gt;=1,GanttView[[#This Row],[Forecast Finish]],MAX(GanttView[[#This Row],[_DoneFrom]],GanttView[[#This Row],[Forecast Start]]+ROUND((GanttView[[#This Row],[Forecast Finish]]-GanttView[[#This Row],[Forecast Start]]+1)*GanttView[[#This Row],[%]],0)-1)))</f>
        <v>46275</v>
      </c>
      <c r="Q7" s="124" t="n">
        <f aca="false">IF(IFERROR(INDEX(tsk_Name,GanttView[[#This Row],[_Row]])="",TRUE()),0,IF(OR(INDEX(tsk_IsLeaf,GanttView[[#This Row],[_Row]])&lt;&gt;1,GanttView[[#This Row],[_IsMilestone]],N(GanttView[[#This Row],[%]])&gt;=1),0,IF(GanttView[[#This Row],[_DoneTo]]&gt;0,GanttView[[#This Row],[_DoneTo]]+1,GanttView[[#This Row],[Forecast Start]])))</f>
        <v>0</v>
      </c>
      <c r="R7" s="124" t="n">
        <f aca="false">IF(GanttView[[#This Row],[_RemFrom]]=0,0,GanttView[[#This Row],[Forecast Finish]])</f>
        <v>0</v>
      </c>
      <c r="S7" s="123" t="b">
        <f aca="false">IF(IFERROR(INDEX(tsk_Name,GanttView[[#This Row],[_Row]])="",TRUE()),FALSE(),N(INDEX(tsk_Variance,GanttView[[#This Row],[_Row]]))&gt;0)</f>
        <v>1</v>
      </c>
      <c r="T7" s="124" t="n">
        <f aca="false">IF(IFERROR(INDEX(tsk_Name,GanttView[[#This Row],[_Row]])="",TRUE()),0,N(INDEX(tsk_Deadline,GanttView[[#This Row],[_Row]])))</f>
        <v>0</v>
      </c>
      <c r="U7" s="123" t="b">
        <f aca="false">IF(IFERROR(INDEX(tsk_Name,GanttView[[#This Row],[_Row]])="",TRUE()),FALSE(),INDEX(tsk_Critical,GanttView[[#This Row],[_Row]])="Yes")</f>
        <v>0</v>
      </c>
    </row>
    <row r="8" customFormat="false" ht="15" hidden="false" customHeight="false" outlineLevel="0" collapsed="false">
      <c r="A8" s="117" t="n">
        <f aca="false">IF(IFERROR(INDEX(tsk_Name,GanttView[[#This Row],[_Row]])="",TRUE()),"",INDEX(tsk_ID,GanttView[[#This Row],[_Row]]))</f>
        <v>3</v>
      </c>
      <c r="B8" s="117" t="str">
        <f aca="false">IF(IFERROR(INDEX(tsk_Name,GanttView[[#This Row],[_Row]])="",TRUE()),"",INDEX(tsk_WBS,GanttView[[#This Row],[_Row]]))</f>
        <v>1.2</v>
      </c>
      <c r="C8" s="118" t="str">
        <f aca="false">IF(IFERROR(INDEX(tsk_Name,GanttView[[#This Row],[_Row]])="",TRUE()),"",REPT("    ",INDEX(tsk_Level,GanttView[[#This Row],[_Row]])-1)&amp;INDEX(tsk_Name,GanttView[[#This Row],[_Row]]))</f>
        <v>    Stakeholder kickoff workshop</v>
      </c>
      <c r="D8" s="117" t="n">
        <f aca="false">IF(IFERROR(INDEX(tsk_Name,GanttView[[#This Row],[_Row]])="",TRUE()),"",IF(INDEX(tsk_IsSummary,GanttView[[#This Row],[_Row]]),NETWORKDAYS.INTL(INDEX(tsk_FcStart,GanttView[[#This Row],[_Row]]),INDEX(tsk_FcFinish,GanttView[[#This Row],[_Row]]),WorkWeek,Holidays),N(INDEX(tsk_Duration,GanttView[[#This Row],[_Row]]))))</f>
        <v>2</v>
      </c>
      <c r="E8" s="119" t="n">
        <f aca="false">IF(IFERROR(INDEX(tsk_Name,GanttView[[#This Row],[_Row]])="",TRUE()),"",INDEX(tsk_PlanStart,GanttView[[#This Row],[_Row]]))</f>
        <v>46275</v>
      </c>
      <c r="F8" s="119" t="n">
        <f aca="false">IF(IFERROR(INDEX(tsk_Name,GanttView[[#This Row],[_Row]])="",TRUE()),"",INDEX(tsk_PlanFinish,GanttView[[#This Row],[_Row]]))</f>
        <v>46276</v>
      </c>
      <c r="G8" s="119" t="n">
        <f aca="false">IF(IFERROR(INDEX(tsk_Name,GanttView[[#This Row],[_Row]])="",TRUE()),"",INDEX(tsk_FcStart,GanttView[[#This Row],[_Row]]))</f>
        <v>46276</v>
      </c>
      <c r="H8" s="119" t="n">
        <f aca="false">IF(IFERROR(INDEX(tsk_Name,GanttView[[#This Row],[_Row]])="",TRUE()),"",INDEX(tsk_FcFinish,GanttView[[#This Row],[_Row]]))</f>
        <v>46279</v>
      </c>
      <c r="I8" s="120" t="n">
        <f aca="false">IF(IFERROR(INDEX(tsk_Name,GanttView[[#This Row],[_Row]])="",TRUE()),"",INDEX(tsk_Progress,GanttView[[#This Row],[_Row]]))</f>
        <v>1</v>
      </c>
      <c r="J8" s="118" t="str">
        <f aca="false">IF(IFERROR(INDEX(tsk_Name,GanttView[[#This Row],[_Row]])="",TRUE()),"",INDEX(tsk_Resource,GanttView[[#This Row],[_Row]])&amp;"")</f>
        <v>Morgan Patel</v>
      </c>
      <c r="K8" s="121" t="str">
        <f aca="false">IF(IFERROR(INDEX(tsk_Name,GanttView[[#This Row],[_Row]])="",TRUE()),"",INDEX(tsk_Status,GanttView[[#This Row],[_Row]]))</f>
        <v>Complete</v>
      </c>
      <c r="L8" s="122" t="n">
        <f aca="false">ROW()-ROW(GanttView[[#Headers],[ID]])</f>
        <v>3</v>
      </c>
      <c r="M8" s="123" t="b">
        <f aca="false">IF(IFERROR(INDEX(tsk_Name,GanttView[[#This Row],[_Row]])="",TRUE()),FALSE(),INDEX(tsk_IsSummary,GanttView[[#This Row],[_Row]]))</f>
        <v>0</v>
      </c>
      <c r="N8" s="123" t="b">
        <f aca="false">IF(IFERROR(INDEX(tsk_Name,GanttView[[#This Row],[_Row]])="",TRUE()),FALSE(),AND(INDEX(tsk_IsLeaf,GanttView[[#This Row],[_Row]])=1,N(INDEX(tsk_Duration,GanttView[[#This Row],[_Row]]))=0))</f>
        <v>0</v>
      </c>
      <c r="O8" s="124" t="n">
        <f aca="false">IF(IFERROR(INDEX(tsk_Name,GanttView[[#This Row],[_Row]])="",TRUE()),0,IF(AND(INDEX(tsk_IsLeaf,GanttView[[#This Row],[_Row]])=1,NOT(GanttView[[#This Row],[_IsMilestone]]),N(GanttView[[#This Row],[%]])&gt;0),GanttView[[#This Row],[Forecast Start]],0))</f>
        <v>46276</v>
      </c>
      <c r="P8" s="124" t="n">
        <f aca="false">IF(GanttView[[#This Row],[_DoneFrom]]=0,0,IF(GanttView[[#This Row],[%]]&gt;=1,GanttView[[#This Row],[Forecast Finish]],MAX(GanttView[[#This Row],[_DoneFrom]],GanttView[[#This Row],[Forecast Start]]+ROUND((GanttView[[#This Row],[Forecast Finish]]-GanttView[[#This Row],[Forecast Start]]+1)*GanttView[[#This Row],[%]],0)-1)))</f>
        <v>46279</v>
      </c>
      <c r="Q8" s="124" t="n">
        <f aca="false">IF(IFERROR(INDEX(tsk_Name,GanttView[[#This Row],[_Row]])="",TRUE()),0,IF(OR(INDEX(tsk_IsLeaf,GanttView[[#This Row],[_Row]])&lt;&gt;1,GanttView[[#This Row],[_IsMilestone]],N(GanttView[[#This Row],[%]])&gt;=1),0,IF(GanttView[[#This Row],[_DoneTo]]&gt;0,GanttView[[#This Row],[_DoneTo]]+1,GanttView[[#This Row],[Forecast Start]])))</f>
        <v>0</v>
      </c>
      <c r="R8" s="124" t="n">
        <f aca="false">IF(GanttView[[#This Row],[_RemFrom]]=0,0,GanttView[[#This Row],[Forecast Finish]])</f>
        <v>0</v>
      </c>
      <c r="S8" s="123" t="b">
        <f aca="false">IF(IFERROR(INDEX(tsk_Name,GanttView[[#This Row],[_Row]])="",TRUE()),FALSE(),N(INDEX(tsk_Variance,GanttView[[#This Row],[_Row]]))&gt;0)</f>
        <v>1</v>
      </c>
      <c r="T8" s="124" t="n">
        <f aca="false">IF(IFERROR(INDEX(tsk_Name,GanttView[[#This Row],[_Row]])="",TRUE()),0,N(INDEX(tsk_Deadline,GanttView[[#This Row],[_Row]])))</f>
        <v>0</v>
      </c>
      <c r="U8" s="123" t="b">
        <f aca="false">IF(IFERROR(INDEX(tsk_Name,GanttView[[#This Row],[_Row]])="",TRUE()),FALSE(),INDEX(tsk_Critical,GanttView[[#This Row],[_Row]])="Yes")</f>
        <v>0</v>
      </c>
    </row>
    <row r="9" customFormat="false" ht="15" hidden="false" customHeight="false" outlineLevel="0" collapsed="false">
      <c r="A9" s="117" t="n">
        <f aca="false">IF(IFERROR(INDEX(tsk_Name,GanttView[[#This Row],[_Row]])="",TRUE()),"",INDEX(tsk_ID,GanttView[[#This Row],[_Row]]))</f>
        <v>4</v>
      </c>
      <c r="B9" s="117" t="str">
        <f aca="false">IF(IFERROR(INDEX(tsk_Name,GanttView[[#This Row],[_Row]])="",TRUE()),"",INDEX(tsk_WBS,GanttView[[#This Row],[_Row]]))</f>
        <v>1.3</v>
      </c>
      <c r="C9" s="118" t="str">
        <f aca="false">IF(IFERROR(INDEX(tsk_Name,GanttView[[#This Row],[_Row]])="",TRUE()),"",REPT("    ",INDEX(tsk_Level,GanttView[[#This Row],[_Row]])-1)&amp;INDEX(tsk_Name,GanttView[[#This Row],[_Row]]))</f>
        <v>    Kickoff complete</v>
      </c>
      <c r="D9" s="117" t="n">
        <f aca="false">IF(IFERROR(INDEX(tsk_Name,GanttView[[#This Row],[_Row]])="",TRUE()),"",IF(INDEX(tsk_IsSummary,GanttView[[#This Row],[_Row]]),NETWORKDAYS.INTL(INDEX(tsk_FcStart,GanttView[[#This Row],[_Row]]),INDEX(tsk_FcFinish,GanttView[[#This Row],[_Row]]),WorkWeek,Holidays),N(INDEX(tsk_Duration,GanttView[[#This Row],[_Row]]))))</f>
        <v>0</v>
      </c>
      <c r="E9" s="119" t="n">
        <f aca="false">IF(IFERROR(INDEX(tsk_Name,GanttView[[#This Row],[_Row]])="",TRUE()),"",INDEX(tsk_PlanStart,GanttView[[#This Row],[_Row]]))</f>
        <v>46276</v>
      </c>
      <c r="F9" s="119" t="n">
        <f aca="false">IF(IFERROR(INDEX(tsk_Name,GanttView[[#This Row],[_Row]])="",TRUE()),"",INDEX(tsk_PlanFinish,GanttView[[#This Row],[_Row]]))</f>
        <v>46276</v>
      </c>
      <c r="G9" s="119" t="n">
        <f aca="false">IF(IFERROR(INDEX(tsk_Name,GanttView[[#This Row],[_Row]])="",TRUE()),"",INDEX(tsk_FcStart,GanttView[[#This Row],[_Row]]))</f>
        <v>46279</v>
      </c>
      <c r="H9" s="119" t="n">
        <f aca="false">IF(IFERROR(INDEX(tsk_Name,GanttView[[#This Row],[_Row]])="",TRUE()),"",INDEX(tsk_FcFinish,GanttView[[#This Row],[_Row]]))</f>
        <v>46279</v>
      </c>
      <c r="I9" s="120" t="n">
        <f aca="false">IF(IFERROR(INDEX(tsk_Name,GanttView[[#This Row],[_Row]])="",TRUE()),"",INDEX(tsk_Progress,GanttView[[#This Row],[_Row]]))</f>
        <v>1</v>
      </c>
      <c r="J9" s="118" t="str">
        <f aca="false">IF(IFERROR(INDEX(tsk_Name,GanttView[[#This Row],[_Row]])="",TRUE()),"",INDEX(tsk_Resource,GanttView[[#This Row],[_Row]])&amp;"")</f>
        <v/>
      </c>
      <c r="K9" s="121" t="str">
        <f aca="false">IF(IFERROR(INDEX(tsk_Name,GanttView[[#This Row],[_Row]])="",TRUE()),"",INDEX(tsk_Status,GanttView[[#This Row],[_Row]]))</f>
        <v>Complete</v>
      </c>
      <c r="L9" s="122" t="n">
        <f aca="false">ROW()-ROW(GanttView[[#Headers],[ID]])</f>
        <v>4</v>
      </c>
      <c r="M9" s="123" t="b">
        <f aca="false">IF(IFERROR(INDEX(tsk_Name,GanttView[[#This Row],[_Row]])="",TRUE()),FALSE(),INDEX(tsk_IsSummary,GanttView[[#This Row],[_Row]]))</f>
        <v>0</v>
      </c>
      <c r="N9" s="123" t="b">
        <f aca="false">IF(IFERROR(INDEX(tsk_Name,GanttView[[#This Row],[_Row]])="",TRUE()),FALSE(),AND(INDEX(tsk_IsLeaf,GanttView[[#This Row],[_Row]])=1,N(INDEX(tsk_Duration,GanttView[[#This Row],[_Row]]))=0))</f>
        <v>1</v>
      </c>
      <c r="O9" s="124" t="n">
        <f aca="false">IF(IFERROR(INDEX(tsk_Name,GanttView[[#This Row],[_Row]])="",TRUE()),0,IF(AND(INDEX(tsk_IsLeaf,GanttView[[#This Row],[_Row]])=1,NOT(GanttView[[#This Row],[_IsMilestone]]),N(GanttView[[#This Row],[%]])&gt;0),GanttView[[#This Row],[Forecast Start]],0))</f>
        <v>0</v>
      </c>
      <c r="P9" s="124" t="n">
        <f aca="false">IF(GanttView[[#This Row],[_DoneFrom]]=0,0,IF(GanttView[[#This Row],[%]]&gt;=1,GanttView[[#This Row],[Forecast Finish]],MAX(GanttView[[#This Row],[_DoneFrom]],GanttView[[#This Row],[Forecast Start]]+ROUND((GanttView[[#This Row],[Forecast Finish]]-GanttView[[#This Row],[Forecast Start]]+1)*GanttView[[#This Row],[%]],0)-1)))</f>
        <v>0</v>
      </c>
      <c r="Q9" s="124" t="n">
        <f aca="false">IF(IFERROR(INDEX(tsk_Name,GanttView[[#This Row],[_Row]])="",TRUE()),0,IF(OR(INDEX(tsk_IsLeaf,GanttView[[#This Row],[_Row]])&lt;&gt;1,GanttView[[#This Row],[_IsMilestone]],N(GanttView[[#This Row],[%]])&gt;=1),0,IF(GanttView[[#This Row],[_DoneTo]]&gt;0,GanttView[[#This Row],[_DoneTo]]+1,GanttView[[#This Row],[Forecast Start]])))</f>
        <v>0</v>
      </c>
      <c r="R9" s="124" t="n">
        <f aca="false">IF(GanttView[[#This Row],[_RemFrom]]=0,0,GanttView[[#This Row],[Forecast Finish]])</f>
        <v>0</v>
      </c>
      <c r="S9" s="123" t="b">
        <f aca="false">IF(IFERROR(INDEX(tsk_Name,GanttView[[#This Row],[_Row]])="",TRUE()),FALSE(),N(INDEX(tsk_Variance,GanttView[[#This Row],[_Row]]))&gt;0)</f>
        <v>1</v>
      </c>
      <c r="T9" s="124" t="n">
        <f aca="false">IF(IFERROR(INDEX(tsk_Name,GanttView[[#This Row],[_Row]])="",TRUE()),0,N(INDEX(tsk_Deadline,GanttView[[#This Row],[_Row]])))</f>
        <v>0</v>
      </c>
      <c r="U9" s="123" t="b">
        <f aca="false">IF(IFERROR(INDEX(tsk_Name,GanttView[[#This Row],[_Row]])="",TRUE()),FALSE(),INDEX(tsk_Critical,GanttView[[#This Row],[_Row]])="Yes")</f>
        <v>0</v>
      </c>
    </row>
    <row r="10" customFormat="false" ht="15" hidden="false" customHeight="false" outlineLevel="0" collapsed="false">
      <c r="A10" s="117" t="n">
        <f aca="false">IF(IFERROR(INDEX(tsk_Name,GanttView[[#This Row],[_Row]])="",TRUE()),"",INDEX(tsk_ID,GanttView[[#This Row],[_Row]]))</f>
        <v>5</v>
      </c>
      <c r="B10" s="117" t="str">
        <f aca="false">IF(IFERROR(INDEX(tsk_Name,GanttView[[#This Row],[_Row]])="",TRUE()),"",INDEX(tsk_WBS,GanttView[[#This Row],[_Row]]))</f>
        <v>2</v>
      </c>
      <c r="C10" s="118" t="str">
        <f aca="false">IF(IFERROR(INDEX(tsk_Name,GanttView[[#This Row],[_Row]])="",TRUE()),"",REPT("    ",INDEX(tsk_Level,GanttView[[#This Row],[_Row]])-1)&amp;INDEX(tsk_Name,GanttView[[#This Row],[_Row]]))</f>
        <v>Requirements &amp; Design</v>
      </c>
      <c r="D10" s="117" t="n">
        <f aca="false">IF(IFERROR(INDEX(tsk_Name,GanttView[[#This Row],[_Row]])="",TRUE()),"",IF(INDEX(tsk_IsSummary,GanttView[[#This Row],[_Row]]),NETWORKDAYS.INTL(INDEX(tsk_FcStart,GanttView[[#This Row],[_Row]]),INDEX(tsk_FcFinish,GanttView[[#This Row],[_Row]]),WorkWeek,Holidays),N(INDEX(tsk_Duration,GanttView[[#This Row],[_Row]]))))</f>
        <v>16</v>
      </c>
      <c r="E10" s="119" t="n">
        <f aca="false">IF(IFERROR(INDEX(tsk_Name,GanttView[[#This Row],[_Row]])="",TRUE()),"",INDEX(tsk_PlanStart,GanttView[[#This Row],[_Row]]))</f>
        <v>46279</v>
      </c>
      <c r="F10" s="119" t="n">
        <f aca="false">IF(IFERROR(INDEX(tsk_Name,GanttView[[#This Row],[_Row]])="",TRUE()),"",INDEX(tsk_PlanFinish,GanttView[[#This Row],[_Row]]))</f>
        <v>46296</v>
      </c>
      <c r="G10" s="119" t="n">
        <f aca="false">IF(IFERROR(INDEX(tsk_Name,GanttView[[#This Row],[_Row]])="",TRUE()),"",INDEX(tsk_FcStart,GanttView[[#This Row],[_Row]]))</f>
        <v>46280</v>
      </c>
      <c r="H10" s="119" t="n">
        <f aca="false">IF(IFERROR(INDEX(tsk_Name,GanttView[[#This Row],[_Row]])="",TRUE()),"",INDEX(tsk_FcFinish,GanttView[[#This Row],[_Row]]))</f>
        <v>46301</v>
      </c>
      <c r="I10" s="120" t="n">
        <f aca="false">IF(IFERROR(INDEX(tsk_Name,GanttView[[#This Row],[_Row]])="",TRUE()),"",INDEX(tsk_Progress,GanttView[[#This Row],[_Row]]))</f>
        <v>1</v>
      </c>
      <c r="J10" s="118" t="str">
        <f aca="false">IF(IFERROR(INDEX(tsk_Name,GanttView[[#This Row],[_Row]])="",TRUE()),"",INDEX(tsk_Resource,GanttView[[#This Row],[_Row]])&amp;"")</f>
        <v/>
      </c>
      <c r="K10" s="121" t="str">
        <f aca="false">IF(IFERROR(INDEX(tsk_Name,GanttView[[#This Row],[_Row]])="",TRUE()),"",INDEX(tsk_Status,GanttView[[#This Row],[_Row]]))</f>
        <v>Complete</v>
      </c>
      <c r="L10" s="122" t="n">
        <f aca="false">ROW()-ROW(GanttView[[#Headers],[ID]])</f>
        <v>5</v>
      </c>
      <c r="M10" s="123" t="b">
        <f aca="false">IF(IFERROR(INDEX(tsk_Name,GanttView[[#This Row],[_Row]])="",TRUE()),FALSE(),INDEX(tsk_IsSummary,GanttView[[#This Row],[_Row]]))</f>
        <v>1</v>
      </c>
      <c r="N10" s="123" t="b">
        <f aca="false">IF(IFERROR(INDEX(tsk_Name,GanttView[[#This Row],[_Row]])="",TRUE()),FALSE(),AND(INDEX(tsk_IsLeaf,GanttView[[#This Row],[_Row]])=1,N(INDEX(tsk_Duration,GanttView[[#This Row],[_Row]]))=0))</f>
        <v>0</v>
      </c>
      <c r="O10" s="124" t="n">
        <f aca="false">IF(IFERROR(INDEX(tsk_Name,GanttView[[#This Row],[_Row]])="",TRUE()),0,IF(AND(INDEX(tsk_IsLeaf,GanttView[[#This Row],[_Row]])=1,NOT(GanttView[[#This Row],[_IsMilestone]]),N(GanttView[[#This Row],[%]])&gt;0),GanttView[[#This Row],[Forecast Start]],0))</f>
        <v>0</v>
      </c>
      <c r="P10" s="124" t="n">
        <f aca="false">IF(GanttView[[#This Row],[_DoneFrom]]=0,0,IF(GanttView[[#This Row],[%]]&gt;=1,GanttView[[#This Row],[Forecast Finish]],MAX(GanttView[[#This Row],[_DoneFrom]],GanttView[[#This Row],[Forecast Start]]+ROUND((GanttView[[#This Row],[Forecast Finish]]-GanttView[[#This Row],[Forecast Start]]+1)*GanttView[[#This Row],[%]],0)-1)))</f>
        <v>0</v>
      </c>
      <c r="Q10" s="124" t="n">
        <f aca="false">IF(IFERROR(INDEX(tsk_Name,GanttView[[#This Row],[_Row]])="",TRUE()),0,IF(OR(INDEX(tsk_IsLeaf,GanttView[[#This Row],[_Row]])&lt;&gt;1,GanttView[[#This Row],[_IsMilestone]],N(GanttView[[#This Row],[%]])&gt;=1),0,IF(GanttView[[#This Row],[_DoneTo]]&gt;0,GanttView[[#This Row],[_DoneTo]]+1,GanttView[[#This Row],[Forecast Start]])))</f>
        <v>0</v>
      </c>
      <c r="R10" s="124" t="n">
        <f aca="false">IF(GanttView[[#This Row],[_RemFrom]]=0,0,GanttView[[#This Row],[Forecast Finish]])</f>
        <v>0</v>
      </c>
      <c r="S10" s="123" t="b">
        <f aca="false">IF(IFERROR(INDEX(tsk_Name,GanttView[[#This Row],[_Row]])="",TRUE()),FALSE(),N(INDEX(tsk_Variance,GanttView[[#This Row],[_Row]]))&gt;0)</f>
        <v>1</v>
      </c>
      <c r="T10" s="124" t="n">
        <f aca="false">IF(IFERROR(INDEX(tsk_Name,GanttView[[#This Row],[_Row]])="",TRUE()),0,N(INDEX(tsk_Deadline,GanttView[[#This Row],[_Row]])))</f>
        <v>0</v>
      </c>
      <c r="U10" s="123" t="b">
        <f aca="false">IF(IFERROR(INDEX(tsk_Name,GanttView[[#This Row],[_Row]])="",TRUE()),FALSE(),INDEX(tsk_Critical,GanttView[[#This Row],[_Row]])="Yes")</f>
        <v>0</v>
      </c>
    </row>
    <row r="11" customFormat="false" ht="15" hidden="false" customHeight="false" outlineLevel="0" collapsed="false">
      <c r="A11" s="117" t="n">
        <f aca="false">IF(IFERROR(INDEX(tsk_Name,GanttView[[#This Row],[_Row]])="",TRUE()),"",INDEX(tsk_ID,GanttView[[#This Row],[_Row]]))</f>
        <v>6</v>
      </c>
      <c r="B11" s="117" t="str">
        <f aca="false">IF(IFERROR(INDEX(tsk_Name,GanttView[[#This Row],[_Row]])="",TRUE()),"",INDEX(tsk_WBS,GanttView[[#This Row],[_Row]]))</f>
        <v>2.1</v>
      </c>
      <c r="C11" s="118" t="str">
        <f aca="false">IF(IFERROR(INDEX(tsk_Name,GanttView[[#This Row],[_Row]])="",TRUE()),"",REPT("    ",INDEX(tsk_Level,GanttView[[#This Row],[_Row]])-1)&amp;INDEX(tsk_Name,GanttView[[#This Row],[_Row]]))</f>
        <v>    Requirements gathering</v>
      </c>
      <c r="D11" s="117" t="n">
        <f aca="false">IF(IFERROR(INDEX(tsk_Name,GanttView[[#This Row],[_Row]])="",TRUE()),"",IF(INDEX(tsk_IsSummary,GanttView[[#This Row],[_Row]]),NETWORKDAYS.INTL(INDEX(tsk_FcStart,GanttView[[#This Row],[_Row]]),INDEX(tsk_FcFinish,GanttView[[#This Row],[_Row]]),WorkWeek,Holidays),N(INDEX(tsk_Duration,GanttView[[#This Row],[_Row]]))))</f>
        <v>8</v>
      </c>
      <c r="E11" s="119" t="n">
        <f aca="false">IF(IFERROR(INDEX(tsk_Name,GanttView[[#This Row],[_Row]])="",TRUE()),"",INDEX(tsk_PlanStart,GanttView[[#This Row],[_Row]]))</f>
        <v>46279</v>
      </c>
      <c r="F11" s="119" t="n">
        <f aca="false">IF(IFERROR(INDEX(tsk_Name,GanttView[[#This Row],[_Row]])="",TRUE()),"",INDEX(tsk_PlanFinish,GanttView[[#This Row],[_Row]]))</f>
        <v>46288</v>
      </c>
      <c r="G11" s="119" t="n">
        <f aca="false">IF(IFERROR(INDEX(tsk_Name,GanttView[[#This Row],[_Row]])="",TRUE()),"",INDEX(tsk_FcStart,GanttView[[#This Row],[_Row]]))</f>
        <v>46280</v>
      </c>
      <c r="H11" s="119" t="n">
        <f aca="false">IF(IFERROR(INDEX(tsk_Name,GanttView[[#This Row],[_Row]])="",TRUE()),"",INDEX(tsk_FcFinish,GanttView[[#This Row],[_Row]]))</f>
        <v>46290</v>
      </c>
      <c r="I11" s="120" t="n">
        <f aca="false">IF(IFERROR(INDEX(tsk_Name,GanttView[[#This Row],[_Row]])="",TRUE()),"",INDEX(tsk_Progress,GanttView[[#This Row],[_Row]]))</f>
        <v>1</v>
      </c>
      <c r="J11" s="118" t="str">
        <f aca="false">IF(IFERROR(INDEX(tsk_Name,GanttView[[#This Row],[_Row]])="",TRUE()),"",INDEX(tsk_Resource,GanttView[[#This Row],[_Row]])&amp;"")</f>
        <v>Morgan Patel</v>
      </c>
      <c r="K11" s="121" t="str">
        <f aca="false">IF(IFERROR(INDEX(tsk_Name,GanttView[[#This Row],[_Row]])="",TRUE()),"",INDEX(tsk_Status,GanttView[[#This Row],[_Row]]))</f>
        <v>Complete</v>
      </c>
      <c r="L11" s="122" t="n">
        <f aca="false">ROW()-ROW(GanttView[[#Headers],[ID]])</f>
        <v>6</v>
      </c>
      <c r="M11" s="123" t="b">
        <f aca="false">IF(IFERROR(INDEX(tsk_Name,GanttView[[#This Row],[_Row]])="",TRUE()),FALSE(),INDEX(tsk_IsSummary,GanttView[[#This Row],[_Row]]))</f>
        <v>0</v>
      </c>
      <c r="N11" s="123" t="b">
        <f aca="false">IF(IFERROR(INDEX(tsk_Name,GanttView[[#This Row],[_Row]])="",TRUE()),FALSE(),AND(INDEX(tsk_IsLeaf,GanttView[[#This Row],[_Row]])=1,N(INDEX(tsk_Duration,GanttView[[#This Row],[_Row]]))=0))</f>
        <v>0</v>
      </c>
      <c r="O11" s="124" t="n">
        <f aca="false">IF(IFERROR(INDEX(tsk_Name,GanttView[[#This Row],[_Row]])="",TRUE()),0,IF(AND(INDEX(tsk_IsLeaf,GanttView[[#This Row],[_Row]])=1,NOT(GanttView[[#This Row],[_IsMilestone]]),N(GanttView[[#This Row],[%]])&gt;0),GanttView[[#This Row],[Forecast Start]],0))</f>
        <v>46280</v>
      </c>
      <c r="P11" s="124" t="n">
        <f aca="false">IF(GanttView[[#This Row],[_DoneFrom]]=0,0,IF(GanttView[[#This Row],[%]]&gt;=1,GanttView[[#This Row],[Forecast Finish]],MAX(GanttView[[#This Row],[_DoneFrom]],GanttView[[#This Row],[Forecast Start]]+ROUND((GanttView[[#This Row],[Forecast Finish]]-GanttView[[#This Row],[Forecast Start]]+1)*GanttView[[#This Row],[%]],0)-1)))</f>
        <v>46290</v>
      </c>
      <c r="Q11" s="124" t="n">
        <f aca="false">IF(IFERROR(INDEX(tsk_Name,GanttView[[#This Row],[_Row]])="",TRUE()),0,IF(OR(INDEX(tsk_IsLeaf,GanttView[[#This Row],[_Row]])&lt;&gt;1,GanttView[[#This Row],[_IsMilestone]],N(GanttView[[#This Row],[%]])&gt;=1),0,IF(GanttView[[#This Row],[_DoneTo]]&gt;0,GanttView[[#This Row],[_DoneTo]]+1,GanttView[[#This Row],[Forecast Start]])))</f>
        <v>0</v>
      </c>
      <c r="R11" s="124" t="n">
        <f aca="false">IF(GanttView[[#This Row],[_RemFrom]]=0,0,GanttView[[#This Row],[Forecast Finish]])</f>
        <v>0</v>
      </c>
      <c r="S11" s="123" t="b">
        <f aca="false">IF(IFERROR(INDEX(tsk_Name,GanttView[[#This Row],[_Row]])="",TRUE()),FALSE(),N(INDEX(tsk_Variance,GanttView[[#This Row],[_Row]]))&gt;0)</f>
        <v>1</v>
      </c>
      <c r="T11" s="124" t="n">
        <f aca="false">IF(IFERROR(INDEX(tsk_Name,GanttView[[#This Row],[_Row]])="",TRUE()),0,N(INDEX(tsk_Deadline,GanttView[[#This Row],[_Row]])))</f>
        <v>0</v>
      </c>
      <c r="U11" s="123" t="b">
        <f aca="false">IF(IFERROR(INDEX(tsk_Name,GanttView[[#This Row],[_Row]])="",TRUE()),FALSE(),INDEX(tsk_Critical,GanttView[[#This Row],[_Row]])="Yes")</f>
        <v>0</v>
      </c>
    </row>
    <row r="12" customFormat="false" ht="15" hidden="false" customHeight="false" outlineLevel="0" collapsed="false">
      <c r="A12" s="117" t="n">
        <f aca="false">IF(IFERROR(INDEX(tsk_Name,GanttView[[#This Row],[_Row]])="",TRUE()),"",INDEX(tsk_ID,GanttView[[#This Row],[_Row]]))</f>
        <v>7</v>
      </c>
      <c r="B12" s="117" t="str">
        <f aca="false">IF(IFERROR(INDEX(tsk_Name,GanttView[[#This Row],[_Row]])="",TRUE()),"",INDEX(tsk_WBS,GanttView[[#This Row],[_Row]]))</f>
        <v>2.2</v>
      </c>
      <c r="C12" s="118" t="str">
        <f aca="false">IF(IFERROR(INDEX(tsk_Name,GanttView[[#This Row],[_Row]])="",TRUE()),"",REPT("    ",INDEX(tsk_Level,GanttView[[#This Row],[_Row]])-1)&amp;INDEX(tsk_Name,GanttView[[#This Row],[_Row]]))</f>
        <v>    Solution architecture</v>
      </c>
      <c r="D12" s="117" t="n">
        <f aca="false">IF(IFERROR(INDEX(tsk_Name,GanttView[[#This Row],[_Row]])="",TRUE()),"",IF(INDEX(tsk_IsSummary,GanttView[[#This Row],[_Row]]),NETWORKDAYS.INTL(INDEX(tsk_FcStart,GanttView[[#This Row],[_Row]]),INDEX(tsk_FcFinish,GanttView[[#This Row],[_Row]]),WorkWeek,Holidays),N(INDEX(tsk_Duration,GanttView[[#This Row],[_Row]]))))</f>
        <v>5</v>
      </c>
      <c r="E12" s="119" t="n">
        <f aca="false">IF(IFERROR(INDEX(tsk_Name,GanttView[[#This Row],[_Row]])="",TRUE()),"",INDEX(tsk_PlanStart,GanttView[[#This Row],[_Row]]))</f>
        <v>46282</v>
      </c>
      <c r="F12" s="119" t="n">
        <f aca="false">IF(IFERROR(INDEX(tsk_Name,GanttView[[#This Row],[_Row]])="",TRUE()),"",INDEX(tsk_PlanFinish,GanttView[[#This Row],[_Row]]))</f>
        <v>46288</v>
      </c>
      <c r="G12" s="119" t="n">
        <f aca="false">IF(IFERROR(INDEX(tsk_Name,GanttView[[#This Row],[_Row]])="",TRUE()),"",INDEX(tsk_FcStart,GanttView[[#This Row],[_Row]]))</f>
        <v>46283</v>
      </c>
      <c r="H12" s="119" t="n">
        <f aca="false">IF(IFERROR(INDEX(tsk_Name,GanttView[[#This Row],[_Row]])="",TRUE()),"",INDEX(tsk_FcFinish,GanttView[[#This Row],[_Row]]))</f>
        <v>46290</v>
      </c>
      <c r="I12" s="120" t="n">
        <f aca="false">IF(IFERROR(INDEX(tsk_Name,GanttView[[#This Row],[_Row]])="",TRUE()),"",INDEX(tsk_Progress,GanttView[[#This Row],[_Row]]))</f>
        <v>1</v>
      </c>
      <c r="J12" s="118" t="str">
        <f aca="false">IF(IFERROR(INDEX(tsk_Name,GanttView[[#This Row],[_Row]])="",TRUE()),"",INDEX(tsk_Resource,GanttView[[#This Row],[_Row]])&amp;"")</f>
        <v>Alex Chen</v>
      </c>
      <c r="K12" s="121" t="str">
        <f aca="false">IF(IFERROR(INDEX(tsk_Name,GanttView[[#This Row],[_Row]])="",TRUE()),"",INDEX(tsk_Status,GanttView[[#This Row],[_Row]]))</f>
        <v>Complete</v>
      </c>
      <c r="L12" s="122" t="n">
        <f aca="false">ROW()-ROW(GanttView[[#Headers],[ID]])</f>
        <v>7</v>
      </c>
      <c r="M12" s="123" t="b">
        <f aca="false">IF(IFERROR(INDEX(tsk_Name,GanttView[[#This Row],[_Row]])="",TRUE()),FALSE(),INDEX(tsk_IsSummary,GanttView[[#This Row],[_Row]]))</f>
        <v>0</v>
      </c>
      <c r="N12" s="123" t="b">
        <f aca="false">IF(IFERROR(INDEX(tsk_Name,GanttView[[#This Row],[_Row]])="",TRUE()),FALSE(),AND(INDEX(tsk_IsLeaf,GanttView[[#This Row],[_Row]])=1,N(INDEX(tsk_Duration,GanttView[[#This Row],[_Row]]))=0))</f>
        <v>0</v>
      </c>
      <c r="O12" s="124" t="n">
        <f aca="false">IF(IFERROR(INDEX(tsk_Name,GanttView[[#This Row],[_Row]])="",TRUE()),0,IF(AND(INDEX(tsk_IsLeaf,GanttView[[#This Row],[_Row]])=1,NOT(GanttView[[#This Row],[_IsMilestone]]),N(GanttView[[#This Row],[%]])&gt;0),GanttView[[#This Row],[Forecast Start]],0))</f>
        <v>46283</v>
      </c>
      <c r="P12" s="124" t="n">
        <f aca="false">IF(GanttView[[#This Row],[_DoneFrom]]=0,0,IF(GanttView[[#This Row],[%]]&gt;=1,GanttView[[#This Row],[Forecast Finish]],MAX(GanttView[[#This Row],[_DoneFrom]],GanttView[[#This Row],[Forecast Start]]+ROUND((GanttView[[#This Row],[Forecast Finish]]-GanttView[[#This Row],[Forecast Start]]+1)*GanttView[[#This Row],[%]],0)-1)))</f>
        <v>46290</v>
      </c>
      <c r="Q12" s="124" t="n">
        <f aca="false">IF(IFERROR(INDEX(tsk_Name,GanttView[[#This Row],[_Row]])="",TRUE()),0,IF(OR(INDEX(tsk_IsLeaf,GanttView[[#This Row],[_Row]])&lt;&gt;1,GanttView[[#This Row],[_IsMilestone]],N(GanttView[[#This Row],[%]])&gt;=1),0,IF(GanttView[[#This Row],[_DoneTo]]&gt;0,GanttView[[#This Row],[_DoneTo]]+1,GanttView[[#This Row],[Forecast Start]])))</f>
        <v>0</v>
      </c>
      <c r="R12" s="124" t="n">
        <f aca="false">IF(GanttView[[#This Row],[_RemFrom]]=0,0,GanttView[[#This Row],[Forecast Finish]])</f>
        <v>0</v>
      </c>
      <c r="S12" s="123" t="b">
        <f aca="false">IF(IFERROR(INDEX(tsk_Name,GanttView[[#This Row],[_Row]])="",TRUE()),FALSE(),N(INDEX(tsk_Variance,GanttView[[#This Row],[_Row]]))&gt;0)</f>
        <v>1</v>
      </c>
      <c r="T12" s="124" t="n">
        <f aca="false">IF(IFERROR(INDEX(tsk_Name,GanttView[[#This Row],[_Row]])="",TRUE()),0,N(INDEX(tsk_Deadline,GanttView[[#This Row],[_Row]])))</f>
        <v>0</v>
      </c>
      <c r="U12" s="123" t="b">
        <f aca="false">IF(IFERROR(INDEX(tsk_Name,GanttView[[#This Row],[_Row]])="",TRUE()),FALSE(),INDEX(tsk_Critical,GanttView[[#This Row],[_Row]])="Yes")</f>
        <v>0</v>
      </c>
    </row>
    <row r="13" customFormat="false" ht="15" hidden="false" customHeight="false" outlineLevel="0" collapsed="false">
      <c r="A13" s="117" t="n">
        <f aca="false">IF(IFERROR(INDEX(tsk_Name,GanttView[[#This Row],[_Row]])="",TRUE()),"",INDEX(tsk_ID,GanttView[[#This Row],[_Row]]))</f>
        <v>8</v>
      </c>
      <c r="B13" s="117" t="str">
        <f aca="false">IF(IFERROR(INDEX(tsk_Name,GanttView[[#This Row],[_Row]])="",TRUE()),"",INDEX(tsk_WBS,GanttView[[#This Row],[_Row]]))</f>
        <v>2.3</v>
      </c>
      <c r="C13" s="118" t="str">
        <f aca="false">IF(IFERROR(INDEX(tsk_Name,GanttView[[#This Row],[_Row]])="",TRUE()),"",REPT("    ",INDEX(tsk_Level,GanttView[[#This Row],[_Row]])-1)&amp;INDEX(tsk_Name,GanttView[[#This Row],[_Row]]))</f>
        <v>    UX wireframes &amp; prototype</v>
      </c>
      <c r="D13" s="117" t="n">
        <f aca="false">IF(IFERROR(INDEX(tsk_Name,GanttView[[#This Row],[_Row]])="",TRUE()),"",IF(INDEX(tsk_IsSummary,GanttView[[#This Row],[_Row]]),NETWORKDAYS.INTL(INDEX(tsk_FcStart,GanttView[[#This Row],[_Row]]),INDEX(tsk_FcFinish,GanttView[[#This Row],[_Row]]),WorkWeek,Holidays),N(INDEX(tsk_Duration,GanttView[[#This Row],[_Row]]))))</f>
        <v>6</v>
      </c>
      <c r="E13" s="119" t="n">
        <f aca="false">IF(IFERROR(INDEX(tsk_Name,GanttView[[#This Row],[_Row]])="",TRUE()),"",INDEX(tsk_PlanStart,GanttView[[#This Row],[_Row]]))</f>
        <v>46289</v>
      </c>
      <c r="F13" s="119" t="n">
        <f aca="false">IF(IFERROR(INDEX(tsk_Name,GanttView[[#This Row],[_Row]])="",TRUE()),"",INDEX(tsk_PlanFinish,GanttView[[#This Row],[_Row]]))</f>
        <v>46296</v>
      </c>
      <c r="G13" s="119" t="n">
        <f aca="false">IF(IFERROR(INDEX(tsk_Name,GanttView[[#This Row],[_Row]])="",TRUE()),"",INDEX(tsk_FcStart,GanttView[[#This Row],[_Row]]))</f>
        <v>46293</v>
      </c>
      <c r="H13" s="119" t="n">
        <f aca="false">IF(IFERROR(INDEX(tsk_Name,GanttView[[#This Row],[_Row]])="",TRUE()),"",INDEX(tsk_FcFinish,GanttView[[#This Row],[_Row]]))</f>
        <v>46301</v>
      </c>
      <c r="I13" s="120" t="n">
        <f aca="false">IF(IFERROR(INDEX(tsk_Name,GanttView[[#This Row],[_Row]])="",TRUE()),"",INDEX(tsk_Progress,GanttView[[#This Row],[_Row]]))</f>
        <v>1</v>
      </c>
      <c r="J13" s="118" t="str">
        <f aca="false">IF(IFERROR(INDEX(tsk_Name,GanttView[[#This Row],[_Row]])="",TRUE()),"",INDEX(tsk_Resource,GanttView[[#This Row],[_Row]])&amp;"")</f>
        <v>Casey Kim</v>
      </c>
      <c r="K13" s="121" t="str">
        <f aca="false">IF(IFERROR(INDEX(tsk_Name,GanttView[[#This Row],[_Row]])="",TRUE()),"",INDEX(tsk_Status,GanttView[[#This Row],[_Row]]))</f>
        <v>Complete</v>
      </c>
      <c r="L13" s="122" t="n">
        <f aca="false">ROW()-ROW(GanttView[[#Headers],[ID]])</f>
        <v>8</v>
      </c>
      <c r="M13" s="123" t="b">
        <f aca="false">IF(IFERROR(INDEX(tsk_Name,GanttView[[#This Row],[_Row]])="",TRUE()),FALSE(),INDEX(tsk_IsSummary,GanttView[[#This Row],[_Row]]))</f>
        <v>0</v>
      </c>
      <c r="N13" s="123" t="b">
        <f aca="false">IF(IFERROR(INDEX(tsk_Name,GanttView[[#This Row],[_Row]])="",TRUE()),FALSE(),AND(INDEX(tsk_IsLeaf,GanttView[[#This Row],[_Row]])=1,N(INDEX(tsk_Duration,GanttView[[#This Row],[_Row]]))=0))</f>
        <v>0</v>
      </c>
      <c r="O13" s="124" t="n">
        <f aca="false">IF(IFERROR(INDEX(tsk_Name,GanttView[[#This Row],[_Row]])="",TRUE()),0,IF(AND(INDEX(tsk_IsLeaf,GanttView[[#This Row],[_Row]])=1,NOT(GanttView[[#This Row],[_IsMilestone]]),N(GanttView[[#This Row],[%]])&gt;0),GanttView[[#This Row],[Forecast Start]],0))</f>
        <v>46293</v>
      </c>
      <c r="P13" s="124" t="n">
        <f aca="false">IF(GanttView[[#This Row],[_DoneFrom]]=0,0,IF(GanttView[[#This Row],[%]]&gt;=1,GanttView[[#This Row],[Forecast Finish]],MAX(GanttView[[#This Row],[_DoneFrom]],GanttView[[#This Row],[Forecast Start]]+ROUND((GanttView[[#This Row],[Forecast Finish]]-GanttView[[#This Row],[Forecast Start]]+1)*GanttView[[#This Row],[%]],0)-1)))</f>
        <v>46301</v>
      </c>
      <c r="Q13" s="124" t="n">
        <f aca="false">IF(IFERROR(INDEX(tsk_Name,GanttView[[#This Row],[_Row]])="",TRUE()),0,IF(OR(INDEX(tsk_IsLeaf,GanttView[[#This Row],[_Row]])&lt;&gt;1,GanttView[[#This Row],[_IsMilestone]],N(GanttView[[#This Row],[%]])&gt;=1),0,IF(GanttView[[#This Row],[_DoneTo]]&gt;0,GanttView[[#This Row],[_DoneTo]]+1,GanttView[[#This Row],[Forecast Start]])))</f>
        <v>0</v>
      </c>
      <c r="R13" s="124" t="n">
        <f aca="false">IF(GanttView[[#This Row],[_RemFrom]]=0,0,GanttView[[#This Row],[Forecast Finish]])</f>
        <v>0</v>
      </c>
      <c r="S13" s="123" t="b">
        <f aca="false">IF(IFERROR(INDEX(tsk_Name,GanttView[[#This Row],[_Row]])="",TRUE()),FALSE(),N(INDEX(tsk_Variance,GanttView[[#This Row],[_Row]]))&gt;0)</f>
        <v>1</v>
      </c>
      <c r="T13" s="124" t="n">
        <f aca="false">IF(IFERROR(INDEX(tsk_Name,GanttView[[#This Row],[_Row]])="",TRUE()),0,N(INDEX(tsk_Deadline,GanttView[[#This Row],[_Row]])))</f>
        <v>0</v>
      </c>
      <c r="U13" s="123" t="b">
        <f aca="false">IF(IFERROR(INDEX(tsk_Name,GanttView[[#This Row],[_Row]])="",TRUE()),FALSE(),INDEX(tsk_Critical,GanttView[[#This Row],[_Row]])="Yes")</f>
        <v>0</v>
      </c>
    </row>
    <row r="14" customFormat="false" ht="15" hidden="false" customHeight="false" outlineLevel="0" collapsed="false">
      <c r="A14" s="117" t="n">
        <f aca="false">IF(IFERROR(INDEX(tsk_Name,GanttView[[#This Row],[_Row]])="",TRUE()),"",INDEX(tsk_ID,GanttView[[#This Row],[_Row]]))</f>
        <v>9</v>
      </c>
      <c r="B14" s="117" t="str">
        <f aca="false">IF(IFERROR(INDEX(tsk_Name,GanttView[[#This Row],[_Row]])="",TRUE()),"",INDEX(tsk_WBS,GanttView[[#This Row],[_Row]]))</f>
        <v>2.4</v>
      </c>
      <c r="C14" s="118" t="str">
        <f aca="false">IF(IFERROR(INDEX(tsk_Name,GanttView[[#This Row],[_Row]])="",TRUE()),"",REPT("    ",INDEX(tsk_Level,GanttView[[#This Row],[_Row]])-1)&amp;INDEX(tsk_Name,GanttView[[#This Row],[_Row]]))</f>
        <v>    Design sign-off</v>
      </c>
      <c r="D14" s="117" t="n">
        <f aca="false">IF(IFERROR(INDEX(tsk_Name,GanttView[[#This Row],[_Row]])="",TRUE()),"",IF(INDEX(tsk_IsSummary,GanttView[[#This Row],[_Row]]),NETWORKDAYS.INTL(INDEX(tsk_FcStart,GanttView[[#This Row],[_Row]]),INDEX(tsk_FcFinish,GanttView[[#This Row],[_Row]]),WorkWeek,Holidays),N(INDEX(tsk_Duration,GanttView[[#This Row],[_Row]]))))</f>
        <v>0</v>
      </c>
      <c r="E14" s="119" t="n">
        <f aca="false">IF(IFERROR(INDEX(tsk_Name,GanttView[[#This Row],[_Row]])="",TRUE()),"",INDEX(tsk_PlanStart,GanttView[[#This Row],[_Row]]))</f>
        <v>46296</v>
      </c>
      <c r="F14" s="119" t="n">
        <f aca="false">IF(IFERROR(INDEX(tsk_Name,GanttView[[#This Row],[_Row]])="",TRUE()),"",INDEX(tsk_PlanFinish,GanttView[[#This Row],[_Row]]))</f>
        <v>46296</v>
      </c>
      <c r="G14" s="119" t="n">
        <f aca="false">IF(IFERROR(INDEX(tsk_Name,GanttView[[#This Row],[_Row]])="",TRUE()),"",INDEX(tsk_FcStart,GanttView[[#This Row],[_Row]]))</f>
        <v>46301</v>
      </c>
      <c r="H14" s="119" t="n">
        <f aca="false">IF(IFERROR(INDEX(tsk_Name,GanttView[[#This Row],[_Row]])="",TRUE()),"",INDEX(tsk_FcFinish,GanttView[[#This Row],[_Row]]))</f>
        <v>46301</v>
      </c>
      <c r="I14" s="120" t="n">
        <f aca="false">IF(IFERROR(INDEX(tsk_Name,GanttView[[#This Row],[_Row]])="",TRUE()),"",INDEX(tsk_Progress,GanttView[[#This Row],[_Row]]))</f>
        <v>1</v>
      </c>
      <c r="J14" s="118" t="str">
        <f aca="false">IF(IFERROR(INDEX(tsk_Name,GanttView[[#This Row],[_Row]])="",TRUE()),"",INDEX(tsk_Resource,GanttView[[#This Row],[_Row]])&amp;"")</f>
        <v/>
      </c>
      <c r="K14" s="121" t="str">
        <f aca="false">IF(IFERROR(INDEX(tsk_Name,GanttView[[#This Row],[_Row]])="",TRUE()),"",INDEX(tsk_Status,GanttView[[#This Row],[_Row]]))</f>
        <v>Complete</v>
      </c>
      <c r="L14" s="122" t="n">
        <f aca="false">ROW()-ROW(GanttView[[#Headers],[ID]])</f>
        <v>9</v>
      </c>
      <c r="M14" s="123" t="b">
        <f aca="false">IF(IFERROR(INDEX(tsk_Name,GanttView[[#This Row],[_Row]])="",TRUE()),FALSE(),INDEX(tsk_IsSummary,GanttView[[#This Row],[_Row]]))</f>
        <v>0</v>
      </c>
      <c r="N14" s="123" t="b">
        <f aca="false">IF(IFERROR(INDEX(tsk_Name,GanttView[[#This Row],[_Row]])="",TRUE()),FALSE(),AND(INDEX(tsk_IsLeaf,GanttView[[#This Row],[_Row]])=1,N(INDEX(tsk_Duration,GanttView[[#This Row],[_Row]]))=0))</f>
        <v>1</v>
      </c>
      <c r="O14" s="124" t="n">
        <f aca="false">IF(IFERROR(INDEX(tsk_Name,GanttView[[#This Row],[_Row]])="",TRUE()),0,IF(AND(INDEX(tsk_IsLeaf,GanttView[[#This Row],[_Row]])=1,NOT(GanttView[[#This Row],[_IsMilestone]]),N(GanttView[[#This Row],[%]])&gt;0),GanttView[[#This Row],[Forecast Start]],0))</f>
        <v>0</v>
      </c>
      <c r="P14" s="124" t="n">
        <f aca="false">IF(GanttView[[#This Row],[_DoneFrom]]=0,0,IF(GanttView[[#This Row],[%]]&gt;=1,GanttView[[#This Row],[Forecast Finish]],MAX(GanttView[[#This Row],[_DoneFrom]],GanttView[[#This Row],[Forecast Start]]+ROUND((GanttView[[#This Row],[Forecast Finish]]-GanttView[[#This Row],[Forecast Start]]+1)*GanttView[[#This Row],[%]],0)-1)))</f>
        <v>0</v>
      </c>
      <c r="Q14" s="124" t="n">
        <f aca="false">IF(IFERROR(INDEX(tsk_Name,GanttView[[#This Row],[_Row]])="",TRUE()),0,IF(OR(INDEX(tsk_IsLeaf,GanttView[[#This Row],[_Row]])&lt;&gt;1,GanttView[[#This Row],[_IsMilestone]],N(GanttView[[#This Row],[%]])&gt;=1),0,IF(GanttView[[#This Row],[_DoneTo]]&gt;0,GanttView[[#This Row],[_DoneTo]]+1,GanttView[[#This Row],[Forecast Start]])))</f>
        <v>0</v>
      </c>
      <c r="R14" s="124" t="n">
        <f aca="false">IF(GanttView[[#This Row],[_RemFrom]]=0,0,GanttView[[#This Row],[Forecast Finish]])</f>
        <v>0</v>
      </c>
      <c r="S14" s="123" t="b">
        <f aca="false">IF(IFERROR(INDEX(tsk_Name,GanttView[[#This Row],[_Row]])="",TRUE()),FALSE(),N(INDEX(tsk_Variance,GanttView[[#This Row],[_Row]]))&gt;0)</f>
        <v>1</v>
      </c>
      <c r="T14" s="124" t="n">
        <f aca="false">IF(IFERROR(INDEX(tsk_Name,GanttView[[#This Row],[_Row]])="",TRUE()),0,N(INDEX(tsk_Deadline,GanttView[[#This Row],[_Row]])))</f>
        <v>0</v>
      </c>
      <c r="U14" s="123" t="b">
        <f aca="false">IF(IFERROR(INDEX(tsk_Name,GanttView[[#This Row],[_Row]])="",TRUE()),FALSE(),INDEX(tsk_Critical,GanttView[[#This Row],[_Row]])="Yes")</f>
        <v>0</v>
      </c>
    </row>
    <row r="15" customFormat="false" ht="15" hidden="false" customHeight="false" outlineLevel="0" collapsed="false">
      <c r="A15" s="117" t="n">
        <f aca="false">IF(IFERROR(INDEX(tsk_Name,GanttView[[#This Row],[_Row]])="",TRUE()),"",INDEX(tsk_ID,GanttView[[#This Row],[_Row]]))</f>
        <v>10</v>
      </c>
      <c r="B15" s="117" t="str">
        <f aca="false">IF(IFERROR(INDEX(tsk_Name,GanttView[[#This Row],[_Row]])="",TRUE()),"",INDEX(tsk_WBS,GanttView[[#This Row],[_Row]]))</f>
        <v>3</v>
      </c>
      <c r="C15" s="118" t="str">
        <f aca="false">IF(IFERROR(INDEX(tsk_Name,GanttView[[#This Row],[_Row]])="",TRUE()),"",REPT("    ",INDEX(tsk_Level,GanttView[[#This Row],[_Row]])-1)&amp;INDEX(tsk_Name,GanttView[[#This Row],[_Row]]))</f>
        <v>Build</v>
      </c>
      <c r="D15" s="117" t="n">
        <f aca="false">IF(IFERROR(INDEX(tsk_Name,GanttView[[#This Row],[_Row]])="",TRUE()),"",IF(INDEX(tsk_IsSummary,GanttView[[#This Row],[_Row]]),NETWORKDAYS.INTL(INDEX(tsk_FcStart,GanttView[[#This Row],[_Row]]),INDEX(tsk_FcFinish,GanttView[[#This Row],[_Row]]),WorkWeek,Holidays),N(INDEX(tsk_Duration,GanttView[[#This Row],[_Row]]))))</f>
        <v>24</v>
      </c>
      <c r="E15" s="119" t="n">
        <f aca="false">IF(IFERROR(INDEX(tsk_Name,GanttView[[#This Row],[_Row]])="",TRUE()),"",INDEX(tsk_PlanStart,GanttView[[#This Row],[_Row]]))</f>
        <v>46297</v>
      </c>
      <c r="F15" s="119" t="n">
        <f aca="false">IF(IFERROR(INDEX(tsk_Name,GanttView[[#This Row],[_Row]])="",TRUE()),"",INDEX(tsk_PlanFinish,GanttView[[#This Row],[_Row]]))</f>
        <v>46325</v>
      </c>
      <c r="G15" s="119" t="n">
        <f aca="false">IF(IFERROR(INDEX(tsk_Name,GanttView[[#This Row],[_Row]])="",TRUE()),"",INDEX(tsk_FcStart,GanttView[[#This Row],[_Row]]))</f>
        <v>46302</v>
      </c>
      <c r="H15" s="119" t="n">
        <f aca="false">IF(IFERROR(INDEX(tsk_Name,GanttView[[#This Row],[_Row]])="",TRUE()),"",INDEX(tsk_FcFinish,GanttView[[#This Row],[_Row]]))</f>
        <v>46335</v>
      </c>
      <c r="I15" s="120" t="n">
        <f aca="false">IF(IFERROR(INDEX(tsk_Name,GanttView[[#This Row],[_Row]])="",TRUE()),"",INDEX(tsk_Progress,GanttView[[#This Row],[_Row]]))</f>
        <v>0.451306413301663</v>
      </c>
      <c r="J15" s="118" t="str">
        <f aca="false">IF(IFERROR(INDEX(tsk_Name,GanttView[[#This Row],[_Row]])="",TRUE()),"",INDEX(tsk_Resource,GanttView[[#This Row],[_Row]])&amp;"")</f>
        <v/>
      </c>
      <c r="K15" s="121" t="str">
        <f aca="false">IF(IFERROR(INDEX(tsk_Name,GanttView[[#This Row],[_Row]])="",TRUE()),"",INDEX(tsk_Status,GanttView[[#This Row],[_Row]]))</f>
        <v>Behind</v>
      </c>
      <c r="L15" s="122" t="n">
        <f aca="false">ROW()-ROW(GanttView[[#Headers],[ID]])</f>
        <v>10</v>
      </c>
      <c r="M15" s="123" t="b">
        <f aca="false">IF(IFERROR(INDEX(tsk_Name,GanttView[[#This Row],[_Row]])="",TRUE()),FALSE(),INDEX(tsk_IsSummary,GanttView[[#This Row],[_Row]]))</f>
        <v>1</v>
      </c>
      <c r="N15" s="123" t="b">
        <f aca="false">IF(IFERROR(INDEX(tsk_Name,GanttView[[#This Row],[_Row]])="",TRUE()),FALSE(),AND(INDEX(tsk_IsLeaf,GanttView[[#This Row],[_Row]])=1,N(INDEX(tsk_Duration,GanttView[[#This Row],[_Row]]))=0))</f>
        <v>0</v>
      </c>
      <c r="O15" s="124" t="n">
        <f aca="false">IF(IFERROR(INDEX(tsk_Name,GanttView[[#This Row],[_Row]])="",TRUE()),0,IF(AND(INDEX(tsk_IsLeaf,GanttView[[#This Row],[_Row]])=1,NOT(GanttView[[#This Row],[_IsMilestone]]),N(GanttView[[#This Row],[%]])&gt;0),GanttView[[#This Row],[Forecast Start]],0))</f>
        <v>0</v>
      </c>
      <c r="P15" s="124" t="n">
        <f aca="false">IF(GanttView[[#This Row],[_DoneFrom]]=0,0,IF(GanttView[[#This Row],[%]]&gt;=1,GanttView[[#This Row],[Forecast Finish]],MAX(GanttView[[#This Row],[_DoneFrom]],GanttView[[#This Row],[Forecast Start]]+ROUND((GanttView[[#This Row],[Forecast Finish]]-GanttView[[#This Row],[Forecast Start]]+1)*GanttView[[#This Row],[%]],0)-1)))</f>
        <v>0</v>
      </c>
      <c r="Q15" s="124" t="n">
        <f aca="false">IF(IFERROR(INDEX(tsk_Name,GanttView[[#This Row],[_Row]])="",TRUE()),0,IF(OR(INDEX(tsk_IsLeaf,GanttView[[#This Row],[_Row]])&lt;&gt;1,GanttView[[#This Row],[_IsMilestone]],N(GanttView[[#This Row],[%]])&gt;=1),0,IF(GanttView[[#This Row],[_DoneTo]]&gt;0,GanttView[[#This Row],[_DoneTo]]+1,GanttView[[#This Row],[Forecast Start]])))</f>
        <v>0</v>
      </c>
      <c r="R15" s="124" t="n">
        <f aca="false">IF(GanttView[[#This Row],[_RemFrom]]=0,0,GanttView[[#This Row],[Forecast Finish]])</f>
        <v>0</v>
      </c>
      <c r="S15" s="123" t="b">
        <f aca="false">IF(IFERROR(INDEX(tsk_Name,GanttView[[#This Row],[_Row]])="",TRUE()),FALSE(),N(INDEX(tsk_Variance,GanttView[[#This Row],[_Row]]))&gt;0)</f>
        <v>1</v>
      </c>
      <c r="T15" s="124" t="n">
        <f aca="false">IF(IFERROR(INDEX(tsk_Name,GanttView[[#This Row],[_Row]])="",TRUE()),0,N(INDEX(tsk_Deadline,GanttView[[#This Row],[_Row]])))</f>
        <v>0</v>
      </c>
      <c r="U15" s="123" t="b">
        <f aca="false">IF(IFERROR(INDEX(tsk_Name,GanttView[[#This Row],[_Row]])="",TRUE()),FALSE(),INDEX(tsk_Critical,GanttView[[#This Row],[_Row]])="Yes")</f>
        <v>1</v>
      </c>
    </row>
    <row r="16" customFormat="false" ht="15" hidden="false" customHeight="false" outlineLevel="0" collapsed="false">
      <c r="A16" s="117" t="n">
        <f aca="false">IF(IFERROR(INDEX(tsk_Name,GanttView[[#This Row],[_Row]])="",TRUE()),"",INDEX(tsk_ID,GanttView[[#This Row],[_Row]]))</f>
        <v>11</v>
      </c>
      <c r="B16" s="117" t="str">
        <f aca="false">IF(IFERROR(INDEX(tsk_Name,GanttView[[#This Row],[_Row]])="",TRUE()),"",INDEX(tsk_WBS,GanttView[[#This Row],[_Row]]))</f>
        <v>3.1</v>
      </c>
      <c r="C16" s="118" t="str">
        <f aca="false">IF(IFERROR(INDEX(tsk_Name,GanttView[[#This Row],[_Row]])="",TRUE()),"",REPT("    ",INDEX(tsk_Level,GanttView[[#This Row],[_Row]])-1)&amp;INDEX(tsk_Name,GanttView[[#This Row],[_Row]]))</f>
        <v>    Backend</v>
      </c>
      <c r="D16" s="117" t="n">
        <f aca="false">IF(IFERROR(INDEX(tsk_Name,GanttView[[#This Row],[_Row]])="",TRUE()),"",IF(INDEX(tsk_IsSummary,GanttView[[#This Row],[_Row]]),NETWORKDAYS.INTL(INDEX(tsk_FcStart,GanttView[[#This Row],[_Row]]),INDEX(tsk_FcFinish,GanttView[[#This Row],[_Row]]),WorkWeek,Holidays),N(INDEX(tsk_Duration,GanttView[[#This Row],[_Row]]))))</f>
        <v>24</v>
      </c>
      <c r="E16" s="119" t="n">
        <f aca="false">IF(IFERROR(INDEX(tsk_Name,GanttView[[#This Row],[_Row]])="",TRUE()),"",INDEX(tsk_PlanStart,GanttView[[#This Row],[_Row]]))</f>
        <v>46297</v>
      </c>
      <c r="F16" s="119" t="n">
        <f aca="false">IF(IFERROR(INDEX(tsk_Name,GanttView[[#This Row],[_Row]])="",TRUE()),"",INDEX(tsk_PlanFinish,GanttView[[#This Row],[_Row]]))</f>
        <v>46325</v>
      </c>
      <c r="G16" s="119" t="n">
        <f aca="false">IF(IFERROR(INDEX(tsk_Name,GanttView[[#This Row],[_Row]])="",TRUE()),"",INDEX(tsk_FcStart,GanttView[[#This Row],[_Row]]))</f>
        <v>46302</v>
      </c>
      <c r="H16" s="119" t="n">
        <f aca="false">IF(IFERROR(INDEX(tsk_Name,GanttView[[#This Row],[_Row]])="",TRUE()),"",INDEX(tsk_FcFinish,GanttView[[#This Row],[_Row]]))</f>
        <v>46335</v>
      </c>
      <c r="I16" s="120" t="n">
        <f aca="false">IF(IFERROR(INDEX(tsk_Name,GanttView[[#This Row],[_Row]])="",TRUE()),"",INDEX(tsk_Progress,GanttView[[#This Row],[_Row]]))</f>
        <v>0.476190476190476</v>
      </c>
      <c r="J16" s="118" t="str">
        <f aca="false">IF(IFERROR(INDEX(tsk_Name,GanttView[[#This Row],[_Row]])="",TRUE()),"",INDEX(tsk_Resource,GanttView[[#This Row],[_Row]])&amp;"")</f>
        <v/>
      </c>
      <c r="K16" s="121" t="str">
        <f aca="false">IF(IFERROR(INDEX(tsk_Name,GanttView[[#This Row],[_Row]])="",TRUE()),"",INDEX(tsk_Status,GanttView[[#This Row],[_Row]]))</f>
        <v>Behind</v>
      </c>
      <c r="L16" s="122" t="n">
        <f aca="false">ROW()-ROW(GanttView[[#Headers],[ID]])</f>
        <v>11</v>
      </c>
      <c r="M16" s="123" t="b">
        <f aca="false">IF(IFERROR(INDEX(tsk_Name,GanttView[[#This Row],[_Row]])="",TRUE()),FALSE(),INDEX(tsk_IsSummary,GanttView[[#This Row],[_Row]]))</f>
        <v>1</v>
      </c>
      <c r="N16" s="123" t="b">
        <f aca="false">IF(IFERROR(INDEX(tsk_Name,GanttView[[#This Row],[_Row]])="",TRUE()),FALSE(),AND(INDEX(tsk_IsLeaf,GanttView[[#This Row],[_Row]])=1,N(INDEX(tsk_Duration,GanttView[[#This Row],[_Row]]))=0))</f>
        <v>0</v>
      </c>
      <c r="O16" s="124" t="n">
        <f aca="false">IF(IFERROR(INDEX(tsk_Name,GanttView[[#This Row],[_Row]])="",TRUE()),0,IF(AND(INDEX(tsk_IsLeaf,GanttView[[#This Row],[_Row]])=1,NOT(GanttView[[#This Row],[_IsMilestone]]),N(GanttView[[#This Row],[%]])&gt;0),GanttView[[#This Row],[Forecast Start]],0))</f>
        <v>0</v>
      </c>
      <c r="P16" s="124" t="n">
        <f aca="false">IF(GanttView[[#This Row],[_DoneFrom]]=0,0,IF(GanttView[[#This Row],[%]]&gt;=1,GanttView[[#This Row],[Forecast Finish]],MAX(GanttView[[#This Row],[_DoneFrom]],GanttView[[#This Row],[Forecast Start]]+ROUND((GanttView[[#This Row],[Forecast Finish]]-GanttView[[#This Row],[Forecast Start]]+1)*GanttView[[#This Row],[%]],0)-1)))</f>
        <v>0</v>
      </c>
      <c r="Q16" s="124" t="n">
        <f aca="false">IF(IFERROR(INDEX(tsk_Name,GanttView[[#This Row],[_Row]])="",TRUE()),0,IF(OR(INDEX(tsk_IsLeaf,GanttView[[#This Row],[_Row]])&lt;&gt;1,GanttView[[#This Row],[_IsMilestone]],N(GanttView[[#This Row],[%]])&gt;=1),0,IF(GanttView[[#This Row],[_DoneTo]]&gt;0,GanttView[[#This Row],[_DoneTo]]+1,GanttView[[#This Row],[Forecast Start]])))</f>
        <v>0</v>
      </c>
      <c r="R16" s="124" t="n">
        <f aca="false">IF(GanttView[[#This Row],[_RemFrom]]=0,0,GanttView[[#This Row],[Forecast Finish]])</f>
        <v>0</v>
      </c>
      <c r="S16" s="123" t="b">
        <f aca="false">IF(IFERROR(INDEX(tsk_Name,GanttView[[#This Row],[_Row]])="",TRUE()),FALSE(),N(INDEX(tsk_Variance,GanttView[[#This Row],[_Row]]))&gt;0)</f>
        <v>1</v>
      </c>
      <c r="T16" s="124" t="n">
        <f aca="false">IF(IFERROR(INDEX(tsk_Name,GanttView[[#This Row],[_Row]])="",TRUE()),0,N(INDEX(tsk_Deadline,GanttView[[#This Row],[_Row]])))</f>
        <v>0</v>
      </c>
      <c r="U16" s="123" t="b">
        <f aca="false">IF(IFERROR(INDEX(tsk_Name,GanttView[[#This Row],[_Row]])="",TRUE()),FALSE(),INDEX(tsk_Critical,GanttView[[#This Row],[_Row]])="Yes")</f>
        <v>1</v>
      </c>
    </row>
    <row r="17" customFormat="false" ht="15" hidden="false" customHeight="false" outlineLevel="0" collapsed="false">
      <c r="A17" s="117" t="n">
        <f aca="false">IF(IFERROR(INDEX(tsk_Name,GanttView[[#This Row],[_Row]])="",TRUE()),"",INDEX(tsk_ID,GanttView[[#This Row],[_Row]]))</f>
        <v>12</v>
      </c>
      <c r="B17" s="117" t="str">
        <f aca="false">IF(IFERROR(INDEX(tsk_Name,GanttView[[#This Row],[_Row]])="",TRUE()),"",INDEX(tsk_WBS,GanttView[[#This Row],[_Row]]))</f>
        <v>3.1.1</v>
      </c>
      <c r="C17" s="118" t="str">
        <f aca="false">IF(IFERROR(INDEX(tsk_Name,GanttView[[#This Row],[_Row]])="",TRUE()),"",REPT("    ",INDEX(tsk_Level,GanttView[[#This Row],[_Row]])-1)&amp;INDEX(tsk_Name,GanttView[[#This Row],[_Row]]))</f>
        <v>        Data model &amp; database setup</v>
      </c>
      <c r="D17" s="117" t="n">
        <f aca="false">IF(IFERROR(INDEX(tsk_Name,GanttView[[#This Row],[_Row]])="",TRUE()),"",IF(INDEX(tsk_IsSummary,GanttView[[#This Row],[_Row]]),NETWORKDAYS.INTL(INDEX(tsk_FcStart,GanttView[[#This Row],[_Row]]),INDEX(tsk_FcFinish,GanttView[[#This Row],[_Row]]),WorkWeek,Holidays),N(INDEX(tsk_Duration,GanttView[[#This Row],[_Row]]))))</f>
        <v>5</v>
      </c>
      <c r="E17" s="119" t="n">
        <f aca="false">IF(IFERROR(INDEX(tsk_Name,GanttView[[#This Row],[_Row]])="",TRUE()),"",INDEX(tsk_PlanStart,GanttView[[#This Row],[_Row]]))</f>
        <v>46297</v>
      </c>
      <c r="F17" s="119" t="n">
        <f aca="false">IF(IFERROR(INDEX(tsk_Name,GanttView[[#This Row],[_Row]])="",TRUE()),"",INDEX(tsk_PlanFinish,GanttView[[#This Row],[_Row]]))</f>
        <v>46303</v>
      </c>
      <c r="G17" s="119" t="n">
        <f aca="false">IF(IFERROR(INDEX(tsk_Name,GanttView[[#This Row],[_Row]])="",TRUE()),"",INDEX(tsk_FcStart,GanttView[[#This Row],[_Row]]))</f>
        <v>46302</v>
      </c>
      <c r="H17" s="119" t="n">
        <f aca="false">IF(IFERROR(INDEX(tsk_Name,GanttView[[#This Row],[_Row]])="",TRUE()),"",INDEX(tsk_FcFinish,GanttView[[#This Row],[_Row]]))</f>
        <v>46309</v>
      </c>
      <c r="I17" s="120" t="n">
        <f aca="false">IF(IFERROR(INDEX(tsk_Name,GanttView[[#This Row],[_Row]])="",TRUE()),"",INDEX(tsk_Progress,GanttView[[#This Row],[_Row]]))</f>
        <v>1</v>
      </c>
      <c r="J17" s="118" t="str">
        <f aca="false">IF(IFERROR(INDEX(tsk_Name,GanttView[[#This Row],[_Row]])="",TRUE()),"",INDEX(tsk_Resource,GanttView[[#This Row],[_Row]])&amp;"")</f>
        <v>Jordan Lee</v>
      </c>
      <c r="K17" s="121" t="str">
        <f aca="false">IF(IFERROR(INDEX(tsk_Name,GanttView[[#This Row],[_Row]])="",TRUE()),"",INDEX(tsk_Status,GanttView[[#This Row],[_Row]]))</f>
        <v>Complete</v>
      </c>
      <c r="L17" s="122" t="n">
        <f aca="false">ROW()-ROW(GanttView[[#Headers],[ID]])</f>
        <v>12</v>
      </c>
      <c r="M17" s="123" t="b">
        <f aca="false">IF(IFERROR(INDEX(tsk_Name,GanttView[[#This Row],[_Row]])="",TRUE()),FALSE(),INDEX(tsk_IsSummary,GanttView[[#This Row],[_Row]]))</f>
        <v>0</v>
      </c>
      <c r="N17" s="123" t="b">
        <f aca="false">IF(IFERROR(INDEX(tsk_Name,GanttView[[#This Row],[_Row]])="",TRUE()),FALSE(),AND(INDEX(tsk_IsLeaf,GanttView[[#This Row],[_Row]])=1,N(INDEX(tsk_Duration,GanttView[[#This Row],[_Row]]))=0))</f>
        <v>0</v>
      </c>
      <c r="O17" s="124" t="n">
        <f aca="false">IF(IFERROR(INDEX(tsk_Name,GanttView[[#This Row],[_Row]])="",TRUE()),0,IF(AND(INDEX(tsk_IsLeaf,GanttView[[#This Row],[_Row]])=1,NOT(GanttView[[#This Row],[_IsMilestone]]),N(GanttView[[#This Row],[%]])&gt;0),GanttView[[#This Row],[Forecast Start]],0))</f>
        <v>46302</v>
      </c>
      <c r="P17" s="124" t="n">
        <f aca="false">IF(GanttView[[#This Row],[_DoneFrom]]=0,0,IF(GanttView[[#This Row],[%]]&gt;=1,GanttView[[#This Row],[Forecast Finish]],MAX(GanttView[[#This Row],[_DoneFrom]],GanttView[[#This Row],[Forecast Start]]+ROUND((GanttView[[#This Row],[Forecast Finish]]-GanttView[[#This Row],[Forecast Start]]+1)*GanttView[[#This Row],[%]],0)-1)))</f>
        <v>46309</v>
      </c>
      <c r="Q17" s="124" t="n">
        <f aca="false">IF(IFERROR(INDEX(tsk_Name,GanttView[[#This Row],[_Row]])="",TRUE()),0,IF(OR(INDEX(tsk_IsLeaf,GanttView[[#This Row],[_Row]])&lt;&gt;1,GanttView[[#This Row],[_IsMilestone]],N(GanttView[[#This Row],[%]])&gt;=1),0,IF(GanttView[[#This Row],[_DoneTo]]&gt;0,GanttView[[#This Row],[_DoneTo]]+1,GanttView[[#This Row],[Forecast Start]])))</f>
        <v>0</v>
      </c>
      <c r="R17" s="124" t="n">
        <f aca="false">IF(GanttView[[#This Row],[_RemFrom]]=0,0,GanttView[[#This Row],[Forecast Finish]])</f>
        <v>0</v>
      </c>
      <c r="S17" s="123" t="b">
        <f aca="false">IF(IFERROR(INDEX(tsk_Name,GanttView[[#This Row],[_Row]])="",TRUE()),FALSE(),N(INDEX(tsk_Variance,GanttView[[#This Row],[_Row]]))&gt;0)</f>
        <v>1</v>
      </c>
      <c r="T17" s="124" t="n">
        <f aca="false">IF(IFERROR(INDEX(tsk_Name,GanttView[[#This Row],[_Row]])="",TRUE()),0,N(INDEX(tsk_Deadline,GanttView[[#This Row],[_Row]])))</f>
        <v>0</v>
      </c>
      <c r="U17" s="123" t="b">
        <f aca="false">IF(IFERROR(INDEX(tsk_Name,GanttView[[#This Row],[_Row]])="",TRUE()),FALSE(),INDEX(tsk_Critical,GanttView[[#This Row],[_Row]])="Yes")</f>
        <v>0</v>
      </c>
    </row>
    <row r="18" customFormat="false" ht="15" hidden="false" customHeight="false" outlineLevel="0" collapsed="false">
      <c r="A18" s="117" t="n">
        <f aca="false">IF(IFERROR(INDEX(tsk_Name,GanttView[[#This Row],[_Row]])="",TRUE()),"",INDEX(tsk_ID,GanttView[[#This Row],[_Row]]))</f>
        <v>13</v>
      </c>
      <c r="B18" s="117" t="str">
        <f aca="false">IF(IFERROR(INDEX(tsk_Name,GanttView[[#This Row],[_Row]])="",TRUE()),"",INDEX(tsk_WBS,GanttView[[#This Row],[_Row]]))</f>
        <v>3.1.2</v>
      </c>
      <c r="C18" s="118" t="str">
        <f aca="false">IF(IFERROR(INDEX(tsk_Name,GanttView[[#This Row],[_Row]])="",TRUE()),"",REPT("    ",INDEX(tsk_Level,GanttView[[#This Row],[_Row]])-1)&amp;INDEX(tsk_Name,GanttView[[#This Row],[_Row]]))</f>
        <v>        Core API endpoints</v>
      </c>
      <c r="D18" s="117" t="n">
        <f aca="false">IF(IFERROR(INDEX(tsk_Name,GanttView[[#This Row],[_Row]])="",TRUE()),"",IF(INDEX(tsk_IsSummary,GanttView[[#This Row],[_Row]]),NETWORKDAYS.INTL(INDEX(tsk_FcStart,GanttView[[#This Row],[_Row]]),INDEX(tsk_FcFinish,GanttView[[#This Row],[_Row]]),WorkWeek,Holidays),N(INDEX(tsk_Duration,GanttView[[#This Row],[_Row]]))))</f>
        <v>10</v>
      </c>
      <c r="E18" s="119" t="n">
        <f aca="false">IF(IFERROR(INDEX(tsk_Name,GanttView[[#This Row],[_Row]])="",TRUE()),"",INDEX(tsk_PlanStart,GanttView[[#This Row],[_Row]]))</f>
        <v>46304</v>
      </c>
      <c r="F18" s="119" t="n">
        <f aca="false">IF(IFERROR(INDEX(tsk_Name,GanttView[[#This Row],[_Row]])="",TRUE()),"",INDEX(tsk_PlanFinish,GanttView[[#This Row],[_Row]]))</f>
        <v>46317</v>
      </c>
      <c r="G18" s="119" t="n">
        <f aca="false">IF(IFERROR(INDEX(tsk_Name,GanttView[[#This Row],[_Row]])="",TRUE()),"",INDEX(tsk_FcStart,GanttView[[#This Row],[_Row]]))</f>
        <v>46310</v>
      </c>
      <c r="H18" s="119" t="n">
        <f aca="false">IF(IFERROR(INDEX(tsk_Name,GanttView[[#This Row],[_Row]])="",TRUE()),"",INDEX(tsk_FcFinish,GanttView[[#This Row],[_Row]]))</f>
        <v>46325</v>
      </c>
      <c r="I18" s="120" t="n">
        <f aca="false">IF(IFERROR(INDEX(tsk_Name,GanttView[[#This Row],[_Row]])="",TRUE()),"",INDEX(tsk_Progress,GanttView[[#This Row],[_Row]]))</f>
        <v>0.5</v>
      </c>
      <c r="J18" s="118" t="str">
        <f aca="false">IF(IFERROR(INDEX(tsk_Name,GanttView[[#This Row],[_Row]])="",TRUE()),"",INDEX(tsk_Resource,GanttView[[#This Row],[_Row]])&amp;"")</f>
        <v>Jordan Lee</v>
      </c>
      <c r="K18" s="121" t="str">
        <f aca="false">IF(IFERROR(INDEX(tsk_Name,GanttView[[#This Row],[_Row]])="",TRUE()),"",INDEX(tsk_Status,GanttView[[#This Row],[_Row]]))</f>
        <v>Behind</v>
      </c>
      <c r="L18" s="122" t="n">
        <f aca="false">ROW()-ROW(GanttView[[#Headers],[ID]])</f>
        <v>13</v>
      </c>
      <c r="M18" s="123" t="b">
        <f aca="false">IF(IFERROR(INDEX(tsk_Name,GanttView[[#This Row],[_Row]])="",TRUE()),FALSE(),INDEX(tsk_IsSummary,GanttView[[#This Row],[_Row]]))</f>
        <v>0</v>
      </c>
      <c r="N18" s="123" t="b">
        <f aca="false">IF(IFERROR(INDEX(tsk_Name,GanttView[[#This Row],[_Row]])="",TRUE()),FALSE(),AND(INDEX(tsk_IsLeaf,GanttView[[#This Row],[_Row]])=1,N(INDEX(tsk_Duration,GanttView[[#This Row],[_Row]]))=0))</f>
        <v>0</v>
      </c>
      <c r="O18" s="124" t="n">
        <f aca="false">IF(IFERROR(INDEX(tsk_Name,GanttView[[#This Row],[_Row]])="",TRUE()),0,IF(AND(INDEX(tsk_IsLeaf,GanttView[[#This Row],[_Row]])=1,NOT(GanttView[[#This Row],[_IsMilestone]]),N(GanttView[[#This Row],[%]])&gt;0),GanttView[[#This Row],[Forecast Start]],0))</f>
        <v>46310</v>
      </c>
      <c r="P18" s="124" t="n">
        <f aca="false">IF(GanttView[[#This Row],[_DoneFrom]]=0,0,IF(GanttView[[#This Row],[%]]&gt;=1,GanttView[[#This Row],[Forecast Finish]],MAX(GanttView[[#This Row],[_DoneFrom]],GanttView[[#This Row],[Forecast Start]]+ROUND((GanttView[[#This Row],[Forecast Finish]]-GanttView[[#This Row],[Forecast Start]]+1)*GanttView[[#This Row],[%]],0)-1)))</f>
        <v>46317</v>
      </c>
      <c r="Q18" s="124" t="n">
        <f aca="false">IF(IFERROR(INDEX(tsk_Name,GanttView[[#This Row],[_Row]])="",TRUE()),0,IF(OR(INDEX(tsk_IsLeaf,GanttView[[#This Row],[_Row]])&lt;&gt;1,GanttView[[#This Row],[_IsMilestone]],N(GanttView[[#This Row],[%]])&gt;=1),0,IF(GanttView[[#This Row],[_DoneTo]]&gt;0,GanttView[[#This Row],[_DoneTo]]+1,GanttView[[#This Row],[Forecast Start]])))</f>
        <v>46318</v>
      </c>
      <c r="R18" s="124" t="n">
        <f aca="false">IF(GanttView[[#This Row],[_RemFrom]]=0,0,GanttView[[#This Row],[Forecast Finish]])</f>
        <v>46325</v>
      </c>
      <c r="S18" s="123" t="b">
        <f aca="false">IF(IFERROR(INDEX(tsk_Name,GanttView[[#This Row],[_Row]])="",TRUE()),FALSE(),N(INDEX(tsk_Variance,GanttView[[#This Row],[_Row]]))&gt;0)</f>
        <v>1</v>
      </c>
      <c r="T18" s="124" t="n">
        <f aca="false">IF(IFERROR(INDEX(tsk_Name,GanttView[[#This Row],[_Row]])="",TRUE()),0,N(INDEX(tsk_Deadline,GanttView[[#This Row],[_Row]])))</f>
        <v>0</v>
      </c>
      <c r="U18" s="123" t="b">
        <f aca="false">IF(IFERROR(INDEX(tsk_Name,GanttView[[#This Row],[_Row]])="",TRUE()),FALSE(),INDEX(tsk_Critical,GanttView[[#This Row],[_Row]])="Yes")</f>
        <v>1</v>
      </c>
    </row>
    <row r="19" customFormat="false" ht="15" hidden="false" customHeight="false" outlineLevel="0" collapsed="false">
      <c r="A19" s="117" t="n">
        <f aca="false">IF(IFERROR(INDEX(tsk_Name,GanttView[[#This Row],[_Row]])="",TRUE()),"",INDEX(tsk_ID,GanttView[[#This Row],[_Row]]))</f>
        <v>14</v>
      </c>
      <c r="B19" s="117" t="str">
        <f aca="false">IF(IFERROR(INDEX(tsk_Name,GanttView[[#This Row],[_Row]])="",TRUE()),"",INDEX(tsk_WBS,GanttView[[#This Row],[_Row]]))</f>
        <v>3.1.3</v>
      </c>
      <c r="C19" s="118" t="str">
        <f aca="false">IF(IFERROR(INDEX(tsk_Name,GanttView[[#This Row],[_Row]])="",TRUE()),"",REPT("    ",INDEX(tsk_Level,GanttView[[#This Row],[_Row]])-1)&amp;INDEX(tsk_Name,GanttView[[#This Row],[_Row]]))</f>
        <v>        Payment gateway integration</v>
      </c>
      <c r="D19" s="117" t="n">
        <f aca="false">IF(IFERROR(INDEX(tsk_Name,GanttView[[#This Row],[_Row]])="",TRUE()),"",IF(INDEX(tsk_IsSummary,GanttView[[#This Row],[_Row]]),NETWORKDAYS.INTL(INDEX(tsk_FcStart,GanttView[[#This Row],[_Row]]),INDEX(tsk_FcFinish,GanttView[[#This Row],[_Row]]),WorkWeek,Holidays),N(INDEX(tsk_Duration,GanttView[[#This Row],[_Row]]))))</f>
        <v>6</v>
      </c>
      <c r="E19" s="119" t="n">
        <f aca="false">IF(IFERROR(INDEX(tsk_Name,GanttView[[#This Row],[_Row]])="",TRUE()),"",INDEX(tsk_PlanStart,GanttView[[#This Row],[_Row]]))</f>
        <v>46318</v>
      </c>
      <c r="F19" s="119" t="n">
        <f aca="false">IF(IFERROR(INDEX(tsk_Name,GanttView[[#This Row],[_Row]])="",TRUE()),"",INDEX(tsk_PlanFinish,GanttView[[#This Row],[_Row]]))</f>
        <v>46325</v>
      </c>
      <c r="G19" s="119" t="n">
        <f aca="false">IF(IFERROR(INDEX(tsk_Name,GanttView[[#This Row],[_Row]])="",TRUE()),"",INDEX(tsk_FcStart,GanttView[[#This Row],[_Row]]))</f>
        <v>46328</v>
      </c>
      <c r="H19" s="119" t="n">
        <f aca="false">IF(IFERROR(INDEX(tsk_Name,GanttView[[#This Row],[_Row]])="",TRUE()),"",INDEX(tsk_FcFinish,GanttView[[#This Row],[_Row]]))</f>
        <v>46335</v>
      </c>
      <c r="I19" s="120" t="n">
        <f aca="false">IF(IFERROR(INDEX(tsk_Name,GanttView[[#This Row],[_Row]])="",TRUE()),"",INDEX(tsk_Progress,GanttView[[#This Row],[_Row]]))</f>
        <v>0</v>
      </c>
      <c r="J19" s="118" t="str">
        <f aca="false">IF(IFERROR(INDEX(tsk_Name,GanttView[[#This Row],[_Row]])="",TRUE()),"",INDEX(tsk_Resource,GanttView[[#This Row],[_Row]])&amp;"")</f>
        <v>Jordan Lee</v>
      </c>
      <c r="K19" s="121" t="str">
        <f aca="false">IF(IFERROR(INDEX(tsk_Name,GanttView[[#This Row],[_Row]])="",TRUE()),"",INDEX(tsk_Status,GanttView[[#This Row],[_Row]]))</f>
        <v>Late Start</v>
      </c>
      <c r="L19" s="122" t="n">
        <f aca="false">ROW()-ROW(GanttView[[#Headers],[ID]])</f>
        <v>14</v>
      </c>
      <c r="M19" s="123" t="b">
        <f aca="false">IF(IFERROR(INDEX(tsk_Name,GanttView[[#This Row],[_Row]])="",TRUE()),FALSE(),INDEX(tsk_IsSummary,GanttView[[#This Row],[_Row]]))</f>
        <v>0</v>
      </c>
      <c r="N19" s="123" t="b">
        <f aca="false">IF(IFERROR(INDEX(tsk_Name,GanttView[[#This Row],[_Row]])="",TRUE()),FALSE(),AND(INDEX(tsk_IsLeaf,GanttView[[#This Row],[_Row]])=1,N(INDEX(tsk_Duration,GanttView[[#This Row],[_Row]]))=0))</f>
        <v>0</v>
      </c>
      <c r="O19" s="124" t="n">
        <f aca="false">IF(IFERROR(INDEX(tsk_Name,GanttView[[#This Row],[_Row]])="",TRUE()),0,IF(AND(INDEX(tsk_IsLeaf,GanttView[[#This Row],[_Row]])=1,NOT(GanttView[[#This Row],[_IsMilestone]]),N(GanttView[[#This Row],[%]])&gt;0),GanttView[[#This Row],[Forecast Start]],0))</f>
        <v>0</v>
      </c>
      <c r="P19" s="124" t="n">
        <f aca="false">IF(GanttView[[#This Row],[_DoneFrom]]=0,0,IF(GanttView[[#This Row],[%]]&gt;=1,GanttView[[#This Row],[Forecast Finish]],MAX(GanttView[[#This Row],[_DoneFrom]],GanttView[[#This Row],[Forecast Start]]+ROUND((GanttView[[#This Row],[Forecast Finish]]-GanttView[[#This Row],[Forecast Start]]+1)*GanttView[[#This Row],[%]],0)-1)))</f>
        <v>0</v>
      </c>
      <c r="Q19" s="124" t="n">
        <f aca="false">IF(IFERROR(INDEX(tsk_Name,GanttView[[#This Row],[_Row]])="",TRUE()),0,IF(OR(INDEX(tsk_IsLeaf,GanttView[[#This Row],[_Row]])&lt;&gt;1,GanttView[[#This Row],[_IsMilestone]],N(GanttView[[#This Row],[%]])&gt;=1),0,IF(GanttView[[#This Row],[_DoneTo]]&gt;0,GanttView[[#This Row],[_DoneTo]]+1,GanttView[[#This Row],[Forecast Start]])))</f>
        <v>46328</v>
      </c>
      <c r="R19" s="124" t="n">
        <f aca="false">IF(GanttView[[#This Row],[_RemFrom]]=0,0,GanttView[[#This Row],[Forecast Finish]])</f>
        <v>46335</v>
      </c>
      <c r="S19" s="123" t="b">
        <f aca="false">IF(IFERROR(INDEX(tsk_Name,GanttView[[#This Row],[_Row]])="",TRUE()),FALSE(),N(INDEX(tsk_Variance,GanttView[[#This Row],[_Row]]))&gt;0)</f>
        <v>1</v>
      </c>
      <c r="T19" s="124" t="n">
        <f aca="false">IF(IFERROR(INDEX(tsk_Name,GanttView[[#This Row],[_Row]])="",TRUE()),0,N(INDEX(tsk_Deadline,GanttView[[#This Row],[_Row]])))</f>
        <v>0</v>
      </c>
      <c r="U19" s="123" t="b">
        <f aca="false">IF(IFERROR(INDEX(tsk_Name,GanttView[[#This Row],[_Row]])="",TRUE()),FALSE(),INDEX(tsk_Critical,GanttView[[#This Row],[_Row]])="Yes")</f>
        <v>1</v>
      </c>
    </row>
    <row r="20" customFormat="false" ht="15" hidden="false" customHeight="false" outlineLevel="0" collapsed="false">
      <c r="A20" s="117" t="n">
        <f aca="false">IF(IFERROR(INDEX(tsk_Name,GanttView[[#This Row],[_Row]])="",TRUE()),"",INDEX(tsk_ID,GanttView[[#This Row],[_Row]]))</f>
        <v>15</v>
      </c>
      <c r="B20" s="117" t="str">
        <f aca="false">IF(IFERROR(INDEX(tsk_Name,GanttView[[#This Row],[_Row]])="",TRUE()),"",INDEX(tsk_WBS,GanttView[[#This Row],[_Row]]))</f>
        <v>3.2</v>
      </c>
      <c r="C20" s="118" t="str">
        <f aca="false">IF(IFERROR(INDEX(tsk_Name,GanttView[[#This Row],[_Row]])="",TRUE()),"",REPT("    ",INDEX(tsk_Level,GanttView[[#This Row],[_Row]])-1)&amp;INDEX(tsk_Name,GanttView[[#This Row],[_Row]]))</f>
        <v>    Frontend</v>
      </c>
      <c r="D20" s="117" t="n">
        <f aca="false">IF(IFERROR(INDEX(tsk_Name,GanttView[[#This Row],[_Row]])="",TRUE()),"",IF(INDEX(tsk_IsSummary,GanttView[[#This Row],[_Row]]),NETWORKDAYS.INTL(INDEX(tsk_FcStart,GanttView[[#This Row],[_Row]]),INDEX(tsk_FcFinish,GanttView[[#This Row],[_Row]]),WorkWeek,Holidays),N(INDEX(tsk_Duration,GanttView[[#This Row],[_Row]]))))</f>
        <v>23</v>
      </c>
      <c r="E20" s="119" t="n">
        <f aca="false">IF(IFERROR(INDEX(tsk_Name,GanttView[[#This Row],[_Row]])="",TRUE()),"",INDEX(tsk_PlanStart,GanttView[[#This Row],[_Row]]))</f>
        <v>46297</v>
      </c>
      <c r="F20" s="119" t="n">
        <f aca="false">IF(IFERROR(INDEX(tsk_Name,GanttView[[#This Row],[_Row]])="",TRUE()),"",INDEX(tsk_PlanFinish,GanttView[[#This Row],[_Row]]))</f>
        <v>46324</v>
      </c>
      <c r="G20" s="119" t="n">
        <f aca="false">IF(IFERROR(INDEX(tsk_Name,GanttView[[#This Row],[_Row]])="",TRUE()),"",INDEX(tsk_FcStart,GanttView[[#This Row],[_Row]]))</f>
        <v>46302</v>
      </c>
      <c r="H20" s="119" t="n">
        <f aca="false">IF(IFERROR(INDEX(tsk_Name,GanttView[[#This Row],[_Row]])="",TRUE()),"",INDEX(tsk_FcFinish,GanttView[[#This Row],[_Row]]))</f>
        <v>46332</v>
      </c>
      <c r="I20" s="120" t="n">
        <f aca="false">IF(IFERROR(INDEX(tsk_Name,GanttView[[#This Row],[_Row]])="",TRUE()),"",INDEX(tsk_Progress,GanttView[[#This Row],[_Row]]))</f>
        <v>0.428571428571429</v>
      </c>
      <c r="J20" s="118" t="str">
        <f aca="false">IF(IFERROR(INDEX(tsk_Name,GanttView[[#This Row],[_Row]])="",TRUE()),"",INDEX(tsk_Resource,GanttView[[#This Row],[_Row]])&amp;"")</f>
        <v/>
      </c>
      <c r="K20" s="121" t="str">
        <f aca="false">IF(IFERROR(INDEX(tsk_Name,GanttView[[#This Row],[_Row]])="",TRUE()),"",INDEX(tsk_Status,GanttView[[#This Row],[_Row]]))</f>
        <v>Behind</v>
      </c>
      <c r="L20" s="122" t="n">
        <f aca="false">ROW()-ROW(GanttView[[#Headers],[ID]])</f>
        <v>15</v>
      </c>
      <c r="M20" s="123" t="b">
        <f aca="false">IF(IFERROR(INDEX(tsk_Name,GanttView[[#This Row],[_Row]])="",TRUE()),FALSE(),INDEX(tsk_IsSummary,GanttView[[#This Row],[_Row]]))</f>
        <v>1</v>
      </c>
      <c r="N20" s="123" t="b">
        <f aca="false">IF(IFERROR(INDEX(tsk_Name,GanttView[[#This Row],[_Row]])="",TRUE()),FALSE(),AND(INDEX(tsk_IsLeaf,GanttView[[#This Row],[_Row]])=1,N(INDEX(tsk_Duration,GanttView[[#This Row],[_Row]]))=0))</f>
        <v>0</v>
      </c>
      <c r="O20" s="124" t="n">
        <f aca="false">IF(IFERROR(INDEX(tsk_Name,GanttView[[#This Row],[_Row]])="",TRUE()),0,IF(AND(INDEX(tsk_IsLeaf,GanttView[[#This Row],[_Row]])=1,NOT(GanttView[[#This Row],[_IsMilestone]]),N(GanttView[[#This Row],[%]])&gt;0),GanttView[[#This Row],[Forecast Start]],0))</f>
        <v>0</v>
      </c>
      <c r="P20" s="124" t="n">
        <f aca="false">IF(GanttView[[#This Row],[_DoneFrom]]=0,0,IF(GanttView[[#This Row],[%]]&gt;=1,GanttView[[#This Row],[Forecast Finish]],MAX(GanttView[[#This Row],[_DoneFrom]],GanttView[[#This Row],[Forecast Start]]+ROUND((GanttView[[#This Row],[Forecast Finish]]-GanttView[[#This Row],[Forecast Start]]+1)*GanttView[[#This Row],[%]],0)-1)))</f>
        <v>0</v>
      </c>
      <c r="Q20" s="124" t="n">
        <f aca="false">IF(IFERROR(INDEX(tsk_Name,GanttView[[#This Row],[_Row]])="",TRUE()),0,IF(OR(INDEX(tsk_IsLeaf,GanttView[[#This Row],[_Row]])&lt;&gt;1,GanttView[[#This Row],[_IsMilestone]],N(GanttView[[#This Row],[%]])&gt;=1),0,IF(GanttView[[#This Row],[_DoneTo]]&gt;0,GanttView[[#This Row],[_DoneTo]]+1,GanttView[[#This Row],[Forecast Start]])))</f>
        <v>0</v>
      </c>
      <c r="R20" s="124" t="n">
        <f aca="false">IF(GanttView[[#This Row],[_RemFrom]]=0,0,GanttView[[#This Row],[Forecast Finish]])</f>
        <v>0</v>
      </c>
      <c r="S20" s="123" t="b">
        <f aca="false">IF(IFERROR(INDEX(tsk_Name,GanttView[[#This Row],[_Row]])="",TRUE()),FALSE(),N(INDEX(tsk_Variance,GanttView[[#This Row],[_Row]]))&gt;0)</f>
        <v>1</v>
      </c>
      <c r="T20" s="124" t="n">
        <f aca="false">IF(IFERROR(INDEX(tsk_Name,GanttView[[#This Row],[_Row]])="",TRUE()),0,N(INDEX(tsk_Deadline,GanttView[[#This Row],[_Row]])))</f>
        <v>0</v>
      </c>
      <c r="U20" s="123" t="b">
        <f aca="false">IF(IFERROR(INDEX(tsk_Name,GanttView[[#This Row],[_Row]])="",TRUE()),FALSE(),INDEX(tsk_Critical,GanttView[[#This Row],[_Row]])="Yes")</f>
        <v>1</v>
      </c>
    </row>
    <row r="21" customFormat="false" ht="15" hidden="false" customHeight="false" outlineLevel="0" collapsed="false">
      <c r="A21" s="117" t="n">
        <f aca="false">IF(IFERROR(INDEX(tsk_Name,GanttView[[#This Row],[_Row]])="",TRUE()),"",INDEX(tsk_ID,GanttView[[#This Row],[_Row]]))</f>
        <v>16</v>
      </c>
      <c r="B21" s="117" t="str">
        <f aca="false">IF(IFERROR(INDEX(tsk_Name,GanttView[[#This Row],[_Row]])="",TRUE()),"",INDEX(tsk_WBS,GanttView[[#This Row],[_Row]]))</f>
        <v>3.2.1</v>
      </c>
      <c r="C21" s="118" t="str">
        <f aca="false">IF(IFERROR(INDEX(tsk_Name,GanttView[[#This Row],[_Row]])="",TRUE()),"",REPT("    ",INDEX(tsk_Level,GanttView[[#This Row],[_Row]])-1)&amp;INDEX(tsk_Name,GanttView[[#This Row],[_Row]]))</f>
        <v>        UI component library</v>
      </c>
      <c r="D21" s="117" t="n">
        <f aca="false">IF(IFERROR(INDEX(tsk_Name,GanttView[[#This Row],[_Row]])="",TRUE()),"",IF(INDEX(tsk_IsSummary,GanttView[[#This Row],[_Row]]),NETWORKDAYS.INTL(INDEX(tsk_FcStart,GanttView[[#This Row],[_Row]]),INDEX(tsk_FcFinish,GanttView[[#This Row],[_Row]]),WorkWeek,Holidays),N(INDEX(tsk_Duration,GanttView[[#This Row],[_Row]]))))</f>
        <v>6</v>
      </c>
      <c r="E21" s="119" t="n">
        <f aca="false">IF(IFERROR(INDEX(tsk_Name,GanttView[[#This Row],[_Row]])="",TRUE()),"",INDEX(tsk_PlanStart,GanttView[[#This Row],[_Row]]))</f>
        <v>46297</v>
      </c>
      <c r="F21" s="119" t="n">
        <f aca="false">IF(IFERROR(INDEX(tsk_Name,GanttView[[#This Row],[_Row]])="",TRUE()),"",INDEX(tsk_PlanFinish,GanttView[[#This Row],[_Row]]))</f>
        <v>46304</v>
      </c>
      <c r="G21" s="119" t="n">
        <f aca="false">IF(IFERROR(INDEX(tsk_Name,GanttView[[#This Row],[_Row]])="",TRUE()),"",INDEX(tsk_FcStart,GanttView[[#This Row],[_Row]]))</f>
        <v>46302</v>
      </c>
      <c r="H21" s="119" t="n">
        <f aca="false">IF(IFERROR(INDEX(tsk_Name,GanttView[[#This Row],[_Row]])="",TRUE()),"",INDEX(tsk_FcFinish,GanttView[[#This Row],[_Row]]))</f>
        <v>46311</v>
      </c>
      <c r="I21" s="120" t="n">
        <f aca="false">IF(IFERROR(INDEX(tsk_Name,GanttView[[#This Row],[_Row]])="",TRUE()),"",INDEX(tsk_Progress,GanttView[[#This Row],[_Row]]))</f>
        <v>1</v>
      </c>
      <c r="J21" s="118" t="str">
        <f aca="false">IF(IFERROR(INDEX(tsk_Name,GanttView[[#This Row],[_Row]])="",TRUE()),"",INDEX(tsk_Resource,GanttView[[#This Row],[_Row]])&amp;"")</f>
        <v>Sam Rivera</v>
      </c>
      <c r="K21" s="121" t="str">
        <f aca="false">IF(IFERROR(INDEX(tsk_Name,GanttView[[#This Row],[_Row]])="",TRUE()),"",INDEX(tsk_Status,GanttView[[#This Row],[_Row]]))</f>
        <v>Complete</v>
      </c>
      <c r="L21" s="122" t="n">
        <f aca="false">ROW()-ROW(GanttView[[#Headers],[ID]])</f>
        <v>16</v>
      </c>
      <c r="M21" s="123" t="b">
        <f aca="false">IF(IFERROR(INDEX(tsk_Name,GanttView[[#This Row],[_Row]])="",TRUE()),FALSE(),INDEX(tsk_IsSummary,GanttView[[#This Row],[_Row]]))</f>
        <v>0</v>
      </c>
      <c r="N21" s="123" t="b">
        <f aca="false">IF(IFERROR(INDEX(tsk_Name,GanttView[[#This Row],[_Row]])="",TRUE()),FALSE(),AND(INDEX(tsk_IsLeaf,GanttView[[#This Row],[_Row]])=1,N(INDEX(tsk_Duration,GanttView[[#This Row],[_Row]]))=0))</f>
        <v>0</v>
      </c>
      <c r="O21" s="124" t="n">
        <f aca="false">IF(IFERROR(INDEX(tsk_Name,GanttView[[#This Row],[_Row]])="",TRUE()),0,IF(AND(INDEX(tsk_IsLeaf,GanttView[[#This Row],[_Row]])=1,NOT(GanttView[[#This Row],[_IsMilestone]]),N(GanttView[[#This Row],[%]])&gt;0),GanttView[[#This Row],[Forecast Start]],0))</f>
        <v>46302</v>
      </c>
      <c r="P21" s="124" t="n">
        <f aca="false">IF(GanttView[[#This Row],[_DoneFrom]]=0,0,IF(GanttView[[#This Row],[%]]&gt;=1,GanttView[[#This Row],[Forecast Finish]],MAX(GanttView[[#This Row],[_DoneFrom]],GanttView[[#This Row],[Forecast Start]]+ROUND((GanttView[[#This Row],[Forecast Finish]]-GanttView[[#This Row],[Forecast Start]]+1)*GanttView[[#This Row],[%]],0)-1)))</f>
        <v>46311</v>
      </c>
      <c r="Q21" s="124" t="n">
        <f aca="false">IF(IFERROR(INDEX(tsk_Name,GanttView[[#This Row],[_Row]])="",TRUE()),0,IF(OR(INDEX(tsk_IsLeaf,GanttView[[#This Row],[_Row]])&lt;&gt;1,GanttView[[#This Row],[_IsMilestone]],N(GanttView[[#This Row],[%]])&gt;=1),0,IF(GanttView[[#This Row],[_DoneTo]]&gt;0,GanttView[[#This Row],[_DoneTo]]+1,GanttView[[#This Row],[Forecast Start]])))</f>
        <v>0</v>
      </c>
      <c r="R21" s="124" t="n">
        <f aca="false">IF(GanttView[[#This Row],[_RemFrom]]=0,0,GanttView[[#This Row],[Forecast Finish]])</f>
        <v>0</v>
      </c>
      <c r="S21" s="123" t="b">
        <f aca="false">IF(IFERROR(INDEX(tsk_Name,GanttView[[#This Row],[_Row]])="",TRUE()),FALSE(),N(INDEX(tsk_Variance,GanttView[[#This Row],[_Row]]))&gt;0)</f>
        <v>1</v>
      </c>
      <c r="T21" s="124" t="n">
        <f aca="false">IF(IFERROR(INDEX(tsk_Name,GanttView[[#This Row],[_Row]])="",TRUE()),0,N(INDEX(tsk_Deadline,GanttView[[#This Row],[_Row]])))</f>
        <v>0</v>
      </c>
      <c r="U21" s="123" t="b">
        <f aca="false">IF(IFERROR(INDEX(tsk_Name,GanttView[[#This Row],[_Row]])="",TRUE()),FALSE(),INDEX(tsk_Critical,GanttView[[#This Row],[_Row]])="Yes")</f>
        <v>0</v>
      </c>
    </row>
    <row r="22" customFormat="false" ht="15" hidden="false" customHeight="false" outlineLevel="0" collapsed="false">
      <c r="A22" s="117" t="n">
        <f aca="false">IF(IFERROR(INDEX(tsk_Name,GanttView[[#This Row],[_Row]])="",TRUE()),"",INDEX(tsk_ID,GanttView[[#This Row],[_Row]]))</f>
        <v>17</v>
      </c>
      <c r="B22" s="117" t="str">
        <f aca="false">IF(IFERROR(INDEX(tsk_Name,GanttView[[#This Row],[_Row]])="",TRUE()),"",INDEX(tsk_WBS,GanttView[[#This Row],[_Row]]))</f>
        <v>3.2.2</v>
      </c>
      <c r="C22" s="118" t="str">
        <f aca="false">IF(IFERROR(INDEX(tsk_Name,GanttView[[#This Row],[_Row]])="",TRUE()),"",REPT("    ",INDEX(tsk_Level,GanttView[[#This Row],[_Row]])-1)&amp;INDEX(tsk_Name,GanttView[[#This Row],[_Row]]))</f>
        <v>        Feature screens</v>
      </c>
      <c r="D22" s="117" t="n">
        <f aca="false">IF(IFERROR(INDEX(tsk_Name,GanttView[[#This Row],[_Row]])="",TRUE()),"",IF(INDEX(tsk_IsSummary,GanttView[[#This Row],[_Row]]),NETWORKDAYS.INTL(INDEX(tsk_FcStart,GanttView[[#This Row],[_Row]]),INDEX(tsk_FcFinish,GanttView[[#This Row],[_Row]]),WorkWeek,Holidays),N(INDEX(tsk_Duration,GanttView[[#This Row],[_Row]]))))</f>
        <v>12</v>
      </c>
      <c r="E22" s="119" t="n">
        <f aca="false">IF(IFERROR(INDEX(tsk_Name,GanttView[[#This Row],[_Row]])="",TRUE()),"",INDEX(tsk_PlanStart,GanttView[[#This Row],[_Row]]))</f>
        <v>46308</v>
      </c>
      <c r="F22" s="119" t="n">
        <f aca="false">IF(IFERROR(INDEX(tsk_Name,GanttView[[#This Row],[_Row]])="",TRUE()),"",INDEX(tsk_PlanFinish,GanttView[[#This Row],[_Row]]))</f>
        <v>46323</v>
      </c>
      <c r="G22" s="119" t="n">
        <f aca="false">IF(IFERROR(INDEX(tsk_Name,GanttView[[#This Row],[_Row]])="",TRUE()),"",INDEX(tsk_FcStart,GanttView[[#This Row],[_Row]]))</f>
        <v>46314</v>
      </c>
      <c r="H22" s="119" t="n">
        <f aca="false">IF(IFERROR(INDEX(tsk_Name,GanttView[[#This Row],[_Row]])="",TRUE()),"",INDEX(tsk_FcFinish,GanttView[[#This Row],[_Row]]))</f>
        <v>46331</v>
      </c>
      <c r="I22" s="120" t="n">
        <f aca="false">IF(IFERROR(INDEX(tsk_Name,GanttView[[#This Row],[_Row]])="",TRUE()),"",INDEX(tsk_Progress,GanttView[[#This Row],[_Row]]))</f>
        <v>0.25</v>
      </c>
      <c r="J22" s="118" t="str">
        <f aca="false">IF(IFERROR(INDEX(tsk_Name,GanttView[[#This Row],[_Row]])="",TRUE()),"",INDEX(tsk_Resource,GanttView[[#This Row],[_Row]])&amp;"")</f>
        <v>Sam Rivera</v>
      </c>
      <c r="K22" s="121" t="str">
        <f aca="false">IF(IFERROR(INDEX(tsk_Name,GanttView[[#This Row],[_Row]])="",TRUE()),"",INDEX(tsk_Status,GanttView[[#This Row],[_Row]]))</f>
        <v>Behind</v>
      </c>
      <c r="L22" s="122" t="n">
        <f aca="false">ROW()-ROW(GanttView[[#Headers],[ID]])</f>
        <v>17</v>
      </c>
      <c r="M22" s="123" t="b">
        <f aca="false">IF(IFERROR(INDEX(tsk_Name,GanttView[[#This Row],[_Row]])="",TRUE()),FALSE(),INDEX(tsk_IsSummary,GanttView[[#This Row],[_Row]]))</f>
        <v>0</v>
      </c>
      <c r="N22" s="123" t="b">
        <f aca="false">IF(IFERROR(INDEX(tsk_Name,GanttView[[#This Row],[_Row]])="",TRUE()),FALSE(),AND(INDEX(tsk_IsLeaf,GanttView[[#This Row],[_Row]])=1,N(INDEX(tsk_Duration,GanttView[[#This Row],[_Row]]))=0))</f>
        <v>0</v>
      </c>
      <c r="O22" s="124" t="n">
        <f aca="false">IF(IFERROR(INDEX(tsk_Name,GanttView[[#This Row],[_Row]])="",TRUE()),0,IF(AND(INDEX(tsk_IsLeaf,GanttView[[#This Row],[_Row]])=1,NOT(GanttView[[#This Row],[_IsMilestone]]),N(GanttView[[#This Row],[%]])&gt;0),GanttView[[#This Row],[Forecast Start]],0))</f>
        <v>46314</v>
      </c>
      <c r="P22" s="124" t="n">
        <f aca="false">IF(GanttView[[#This Row],[_DoneFrom]]=0,0,IF(GanttView[[#This Row],[%]]&gt;=1,GanttView[[#This Row],[Forecast Finish]],MAX(GanttView[[#This Row],[_DoneFrom]],GanttView[[#This Row],[Forecast Start]]+ROUND((GanttView[[#This Row],[Forecast Finish]]-GanttView[[#This Row],[Forecast Start]]+1)*GanttView[[#This Row],[%]],0)-1)))</f>
        <v>46318</v>
      </c>
      <c r="Q22" s="124" t="n">
        <f aca="false">IF(IFERROR(INDEX(tsk_Name,GanttView[[#This Row],[_Row]])="",TRUE()),0,IF(OR(INDEX(tsk_IsLeaf,GanttView[[#This Row],[_Row]])&lt;&gt;1,GanttView[[#This Row],[_IsMilestone]],N(GanttView[[#This Row],[%]])&gt;=1),0,IF(GanttView[[#This Row],[_DoneTo]]&gt;0,GanttView[[#This Row],[_DoneTo]]+1,GanttView[[#This Row],[Forecast Start]])))</f>
        <v>46319</v>
      </c>
      <c r="R22" s="124" t="n">
        <f aca="false">IF(GanttView[[#This Row],[_RemFrom]]=0,0,GanttView[[#This Row],[Forecast Finish]])</f>
        <v>46331</v>
      </c>
      <c r="S22" s="123" t="b">
        <f aca="false">IF(IFERROR(INDEX(tsk_Name,GanttView[[#This Row],[_Row]])="",TRUE()),FALSE(),N(INDEX(tsk_Variance,GanttView[[#This Row],[_Row]]))&gt;0)</f>
        <v>1</v>
      </c>
      <c r="T22" s="124" t="n">
        <f aca="false">IF(IFERROR(INDEX(tsk_Name,GanttView[[#This Row],[_Row]])="",TRUE()),0,N(INDEX(tsk_Deadline,GanttView[[#This Row],[_Row]])))</f>
        <v>0</v>
      </c>
      <c r="U22" s="123" t="b">
        <f aca="false">IF(IFERROR(INDEX(tsk_Name,GanttView[[#This Row],[_Row]])="",TRUE()),FALSE(),INDEX(tsk_Critical,GanttView[[#This Row],[_Row]])="Yes")</f>
        <v>1</v>
      </c>
    </row>
    <row r="23" customFormat="false" ht="15" hidden="false" customHeight="false" outlineLevel="0" collapsed="false">
      <c r="A23" s="117" t="n">
        <f aca="false">IF(IFERROR(INDEX(tsk_Name,GanttView[[#This Row],[_Row]])="",TRUE()),"",INDEX(tsk_ID,GanttView[[#This Row],[_Row]]))</f>
        <v>18</v>
      </c>
      <c r="B23" s="117" t="str">
        <f aca="false">IF(IFERROR(INDEX(tsk_Name,GanttView[[#This Row],[_Row]])="",TRUE()),"",INDEX(tsk_WBS,GanttView[[#This Row],[_Row]]))</f>
        <v>3.2.3</v>
      </c>
      <c r="C23" s="118" t="str">
        <f aca="false">IF(IFERROR(INDEX(tsk_Name,GanttView[[#This Row],[_Row]])="",TRUE()),"",REPT("    ",INDEX(tsk_Level,GanttView[[#This Row],[_Row]])-1)&amp;INDEX(tsk_Name,GanttView[[#This Row],[_Row]]))</f>
        <v>        Accessibility review</v>
      </c>
      <c r="D23" s="117" t="n">
        <f aca="false">IF(IFERROR(INDEX(tsk_Name,GanttView[[#This Row],[_Row]])="",TRUE()),"",IF(INDEX(tsk_IsSummary,GanttView[[#This Row],[_Row]]),NETWORKDAYS.INTL(INDEX(tsk_FcStart,GanttView[[#This Row],[_Row]]),INDEX(tsk_FcFinish,GanttView[[#This Row],[_Row]]),WorkWeek,Holidays),N(INDEX(tsk_Duration,GanttView[[#This Row],[_Row]]))))</f>
        <v>3</v>
      </c>
      <c r="E23" s="119" t="n">
        <f aca="false">IF(IFERROR(INDEX(tsk_Name,GanttView[[#This Row],[_Row]])="",TRUE()),"",INDEX(tsk_PlanStart,GanttView[[#This Row],[_Row]]))</f>
        <v>46322</v>
      </c>
      <c r="F23" s="119" t="n">
        <f aca="false">IF(IFERROR(INDEX(tsk_Name,GanttView[[#This Row],[_Row]])="",TRUE()),"",INDEX(tsk_PlanFinish,GanttView[[#This Row],[_Row]]))</f>
        <v>46324</v>
      </c>
      <c r="G23" s="119" t="n">
        <f aca="false">IF(IFERROR(INDEX(tsk_Name,GanttView[[#This Row],[_Row]])="",TRUE()),"",INDEX(tsk_FcStart,GanttView[[#This Row],[_Row]]))</f>
        <v>46330</v>
      </c>
      <c r="H23" s="119" t="n">
        <f aca="false">IF(IFERROR(INDEX(tsk_Name,GanttView[[#This Row],[_Row]])="",TRUE()),"",INDEX(tsk_FcFinish,GanttView[[#This Row],[_Row]]))</f>
        <v>46332</v>
      </c>
      <c r="I23" s="120" t="n">
        <f aca="false">IF(IFERROR(INDEX(tsk_Name,GanttView[[#This Row],[_Row]])="",TRUE()),"",INDEX(tsk_Progress,GanttView[[#This Row],[_Row]]))</f>
        <v>0</v>
      </c>
      <c r="J23" s="118" t="str">
        <f aca="false">IF(IFERROR(INDEX(tsk_Name,GanttView[[#This Row],[_Row]])="",TRUE()),"",INDEX(tsk_Resource,GanttView[[#This Row],[_Row]])&amp;"")</f>
        <v>Casey Kim</v>
      </c>
      <c r="K23" s="121" t="str">
        <f aca="false">IF(IFERROR(INDEX(tsk_Name,GanttView[[#This Row],[_Row]])="",TRUE()),"",INDEX(tsk_Status,GanttView[[#This Row],[_Row]]))</f>
        <v>Not Started</v>
      </c>
      <c r="L23" s="122" t="n">
        <f aca="false">ROW()-ROW(GanttView[[#Headers],[ID]])</f>
        <v>18</v>
      </c>
      <c r="M23" s="123" t="b">
        <f aca="false">IF(IFERROR(INDEX(tsk_Name,GanttView[[#This Row],[_Row]])="",TRUE()),FALSE(),INDEX(tsk_IsSummary,GanttView[[#This Row],[_Row]]))</f>
        <v>0</v>
      </c>
      <c r="N23" s="123" t="b">
        <f aca="false">IF(IFERROR(INDEX(tsk_Name,GanttView[[#This Row],[_Row]])="",TRUE()),FALSE(),AND(INDEX(tsk_IsLeaf,GanttView[[#This Row],[_Row]])=1,N(INDEX(tsk_Duration,GanttView[[#This Row],[_Row]]))=0))</f>
        <v>0</v>
      </c>
      <c r="O23" s="124" t="n">
        <f aca="false">IF(IFERROR(INDEX(tsk_Name,GanttView[[#This Row],[_Row]])="",TRUE()),0,IF(AND(INDEX(tsk_IsLeaf,GanttView[[#This Row],[_Row]])=1,NOT(GanttView[[#This Row],[_IsMilestone]]),N(GanttView[[#This Row],[%]])&gt;0),GanttView[[#This Row],[Forecast Start]],0))</f>
        <v>0</v>
      </c>
      <c r="P23" s="124" t="n">
        <f aca="false">IF(GanttView[[#This Row],[_DoneFrom]]=0,0,IF(GanttView[[#This Row],[%]]&gt;=1,GanttView[[#This Row],[Forecast Finish]],MAX(GanttView[[#This Row],[_DoneFrom]],GanttView[[#This Row],[Forecast Start]]+ROUND((GanttView[[#This Row],[Forecast Finish]]-GanttView[[#This Row],[Forecast Start]]+1)*GanttView[[#This Row],[%]],0)-1)))</f>
        <v>0</v>
      </c>
      <c r="Q23" s="124" t="n">
        <f aca="false">IF(IFERROR(INDEX(tsk_Name,GanttView[[#This Row],[_Row]])="",TRUE()),0,IF(OR(INDEX(tsk_IsLeaf,GanttView[[#This Row],[_Row]])&lt;&gt;1,GanttView[[#This Row],[_IsMilestone]],N(GanttView[[#This Row],[%]])&gt;=1),0,IF(GanttView[[#This Row],[_DoneTo]]&gt;0,GanttView[[#This Row],[_DoneTo]]+1,GanttView[[#This Row],[Forecast Start]])))</f>
        <v>46330</v>
      </c>
      <c r="R23" s="124" t="n">
        <f aca="false">IF(GanttView[[#This Row],[_RemFrom]]=0,0,GanttView[[#This Row],[Forecast Finish]])</f>
        <v>46332</v>
      </c>
      <c r="S23" s="123" t="b">
        <f aca="false">IF(IFERROR(INDEX(tsk_Name,GanttView[[#This Row],[_Row]])="",TRUE()),FALSE(),N(INDEX(tsk_Variance,GanttView[[#This Row],[_Row]]))&gt;0)</f>
        <v>1</v>
      </c>
      <c r="T23" s="124" t="n">
        <f aca="false">IF(IFERROR(INDEX(tsk_Name,GanttView[[#This Row],[_Row]])="",TRUE()),0,N(INDEX(tsk_Deadline,GanttView[[#This Row],[_Row]])))</f>
        <v>0</v>
      </c>
      <c r="U23" s="123" t="b">
        <f aca="false">IF(IFERROR(INDEX(tsk_Name,GanttView[[#This Row],[_Row]])="",TRUE()),FALSE(),INDEX(tsk_Critical,GanttView[[#This Row],[_Row]])="Yes")</f>
        <v>1</v>
      </c>
    </row>
    <row r="24" customFormat="false" ht="15" hidden="false" customHeight="false" outlineLevel="0" collapsed="false">
      <c r="A24" s="117" t="n">
        <f aca="false">IF(IFERROR(INDEX(tsk_Name,GanttView[[#This Row],[_Row]])="",TRUE()),"",INDEX(tsk_ID,GanttView[[#This Row],[_Row]]))</f>
        <v>19</v>
      </c>
      <c r="B24" s="117" t="str">
        <f aca="false">IF(IFERROR(INDEX(tsk_Name,GanttView[[#This Row],[_Row]])="",TRUE()),"",INDEX(tsk_WBS,GanttView[[#This Row],[_Row]]))</f>
        <v>3.3</v>
      </c>
      <c r="C24" s="118" t="str">
        <f aca="false">IF(IFERROR(INDEX(tsk_Name,GanttView[[#This Row],[_Row]])="",TRUE()),"",REPT("    ",INDEX(tsk_Level,GanttView[[#This Row],[_Row]])-1)&amp;INDEX(tsk_Name,GanttView[[#This Row],[_Row]]))</f>
        <v>    Build complete</v>
      </c>
      <c r="D24" s="117" t="n">
        <f aca="false">IF(IFERROR(INDEX(tsk_Name,GanttView[[#This Row],[_Row]])="",TRUE()),"",IF(INDEX(tsk_IsSummary,GanttView[[#This Row],[_Row]]),NETWORKDAYS.INTL(INDEX(tsk_FcStart,GanttView[[#This Row],[_Row]]),INDEX(tsk_FcFinish,GanttView[[#This Row],[_Row]]),WorkWeek,Holidays),N(INDEX(tsk_Duration,GanttView[[#This Row],[_Row]]))))</f>
        <v>0</v>
      </c>
      <c r="E24" s="119" t="n">
        <f aca="false">IF(IFERROR(INDEX(tsk_Name,GanttView[[#This Row],[_Row]])="",TRUE()),"",INDEX(tsk_PlanStart,GanttView[[#This Row],[_Row]]))</f>
        <v>46325</v>
      </c>
      <c r="F24" s="119" t="n">
        <f aca="false">IF(IFERROR(INDEX(tsk_Name,GanttView[[#This Row],[_Row]])="",TRUE()),"",INDEX(tsk_PlanFinish,GanttView[[#This Row],[_Row]]))</f>
        <v>46325</v>
      </c>
      <c r="G24" s="119" t="n">
        <f aca="false">IF(IFERROR(INDEX(tsk_Name,GanttView[[#This Row],[_Row]])="",TRUE()),"",INDEX(tsk_FcStart,GanttView[[#This Row],[_Row]]))</f>
        <v>46335</v>
      </c>
      <c r="H24" s="119" t="n">
        <f aca="false">IF(IFERROR(INDEX(tsk_Name,GanttView[[#This Row],[_Row]])="",TRUE()),"",INDEX(tsk_FcFinish,GanttView[[#This Row],[_Row]]))</f>
        <v>46335</v>
      </c>
      <c r="I24" s="120" t="n">
        <f aca="false">IF(IFERROR(INDEX(tsk_Name,GanttView[[#This Row],[_Row]])="",TRUE()),"",INDEX(tsk_Progress,GanttView[[#This Row],[_Row]]))</f>
        <v>0</v>
      </c>
      <c r="J24" s="118" t="str">
        <f aca="false">IF(IFERROR(INDEX(tsk_Name,GanttView[[#This Row],[_Row]])="",TRUE()),"",INDEX(tsk_Resource,GanttView[[#This Row],[_Row]])&amp;"")</f>
        <v/>
      </c>
      <c r="K24" s="121" t="str">
        <f aca="false">IF(IFERROR(INDEX(tsk_Name,GanttView[[#This Row],[_Row]])="",TRUE()),"",INDEX(tsk_Status,GanttView[[#This Row],[_Row]]))</f>
        <v>Not Started</v>
      </c>
      <c r="L24" s="122" t="n">
        <f aca="false">ROW()-ROW(GanttView[[#Headers],[ID]])</f>
        <v>19</v>
      </c>
      <c r="M24" s="123" t="b">
        <f aca="false">IF(IFERROR(INDEX(tsk_Name,GanttView[[#This Row],[_Row]])="",TRUE()),FALSE(),INDEX(tsk_IsSummary,GanttView[[#This Row],[_Row]]))</f>
        <v>0</v>
      </c>
      <c r="N24" s="123" t="b">
        <f aca="false">IF(IFERROR(INDEX(tsk_Name,GanttView[[#This Row],[_Row]])="",TRUE()),FALSE(),AND(INDEX(tsk_IsLeaf,GanttView[[#This Row],[_Row]])=1,N(INDEX(tsk_Duration,GanttView[[#This Row],[_Row]]))=0))</f>
        <v>1</v>
      </c>
      <c r="O24" s="124" t="n">
        <f aca="false">IF(IFERROR(INDEX(tsk_Name,GanttView[[#This Row],[_Row]])="",TRUE()),0,IF(AND(INDEX(tsk_IsLeaf,GanttView[[#This Row],[_Row]])=1,NOT(GanttView[[#This Row],[_IsMilestone]]),N(GanttView[[#This Row],[%]])&gt;0),GanttView[[#This Row],[Forecast Start]],0))</f>
        <v>0</v>
      </c>
      <c r="P24" s="124" t="n">
        <f aca="false">IF(GanttView[[#This Row],[_DoneFrom]]=0,0,IF(GanttView[[#This Row],[%]]&gt;=1,GanttView[[#This Row],[Forecast Finish]],MAX(GanttView[[#This Row],[_DoneFrom]],GanttView[[#This Row],[Forecast Start]]+ROUND((GanttView[[#This Row],[Forecast Finish]]-GanttView[[#This Row],[Forecast Start]]+1)*GanttView[[#This Row],[%]],0)-1)))</f>
        <v>0</v>
      </c>
      <c r="Q24" s="124" t="n">
        <f aca="false">IF(IFERROR(INDEX(tsk_Name,GanttView[[#This Row],[_Row]])="",TRUE()),0,IF(OR(INDEX(tsk_IsLeaf,GanttView[[#This Row],[_Row]])&lt;&gt;1,GanttView[[#This Row],[_IsMilestone]],N(GanttView[[#This Row],[%]])&gt;=1),0,IF(GanttView[[#This Row],[_DoneTo]]&gt;0,GanttView[[#This Row],[_DoneTo]]+1,GanttView[[#This Row],[Forecast Start]])))</f>
        <v>0</v>
      </c>
      <c r="R24" s="124" t="n">
        <f aca="false">IF(GanttView[[#This Row],[_RemFrom]]=0,0,GanttView[[#This Row],[Forecast Finish]])</f>
        <v>0</v>
      </c>
      <c r="S24" s="123" t="b">
        <f aca="false">IF(IFERROR(INDEX(tsk_Name,GanttView[[#This Row],[_Row]])="",TRUE()),FALSE(),N(INDEX(tsk_Variance,GanttView[[#This Row],[_Row]]))&gt;0)</f>
        <v>1</v>
      </c>
      <c r="T24" s="124" t="n">
        <f aca="false">IF(IFERROR(INDEX(tsk_Name,GanttView[[#This Row],[_Row]])="",TRUE()),0,N(INDEX(tsk_Deadline,GanttView[[#This Row],[_Row]])))</f>
        <v>46332</v>
      </c>
      <c r="U24" s="123" t="b">
        <f aca="false">IF(IFERROR(INDEX(tsk_Name,GanttView[[#This Row],[_Row]])="",TRUE()),FALSE(),INDEX(tsk_Critical,GanttView[[#This Row],[_Row]])="Yes")</f>
        <v>1</v>
      </c>
    </row>
    <row r="25" customFormat="false" ht="15" hidden="false" customHeight="false" outlineLevel="0" collapsed="false">
      <c r="A25" s="117" t="n">
        <f aca="false">IF(IFERROR(INDEX(tsk_Name,GanttView[[#This Row],[_Row]])="",TRUE()),"",INDEX(tsk_ID,GanttView[[#This Row],[_Row]]))</f>
        <v>20</v>
      </c>
      <c r="B25" s="117" t="str">
        <f aca="false">IF(IFERROR(INDEX(tsk_Name,GanttView[[#This Row],[_Row]])="",TRUE()),"",INDEX(tsk_WBS,GanttView[[#This Row],[_Row]]))</f>
        <v>4</v>
      </c>
      <c r="C25" s="118" t="str">
        <f aca="false">IF(IFERROR(INDEX(tsk_Name,GanttView[[#This Row],[_Row]])="",TRUE()),"",REPT("    ",INDEX(tsk_Level,GanttView[[#This Row],[_Row]])-1)&amp;INDEX(tsk_Name,GanttView[[#This Row],[_Row]]))</f>
        <v>Test &amp; Release</v>
      </c>
      <c r="D25" s="117" t="n">
        <f aca="false">IF(IFERROR(INDEX(tsk_Name,GanttView[[#This Row],[_Row]])="",TRUE()),"",IF(INDEX(tsk_IsSummary,GanttView[[#This Row],[_Row]]),NETWORKDAYS.INTL(INDEX(tsk_FcStart,GanttView[[#This Row],[_Row]]),INDEX(tsk_FcFinish,GanttView[[#This Row],[_Row]]),WorkWeek,Holidays),N(INDEX(tsk_Duration,GanttView[[#This Row],[_Row]]))))</f>
        <v>36</v>
      </c>
      <c r="E25" s="119" t="n">
        <f aca="false">IF(IFERROR(INDEX(tsk_Name,GanttView[[#This Row],[_Row]])="",TRUE()),"",INDEX(tsk_PlanStart,GanttView[[#This Row],[_Row]]))</f>
        <v>46328</v>
      </c>
      <c r="F25" s="119" t="n">
        <f aca="false">IF(IFERROR(INDEX(tsk_Name,GanttView[[#This Row],[_Row]])="",TRUE()),"",INDEX(tsk_PlanFinish,GanttView[[#This Row],[_Row]]))</f>
        <v>46391</v>
      </c>
      <c r="G25" s="119" t="n">
        <f aca="false">IF(IFERROR(INDEX(tsk_Name,GanttView[[#This Row],[_Row]])="",TRUE()),"",INDEX(tsk_FcStart,GanttView[[#This Row],[_Row]]))</f>
        <v>46336</v>
      </c>
      <c r="H25" s="119" t="n">
        <f aca="false">IF(IFERROR(INDEX(tsk_Name,GanttView[[#This Row],[_Row]])="",TRUE()),"",INDEX(tsk_FcFinish,GanttView[[#This Row],[_Row]]))</f>
        <v>46391</v>
      </c>
      <c r="I25" s="120" t="n">
        <f aca="false">IF(IFERROR(INDEX(tsk_Name,GanttView[[#This Row],[_Row]])="",TRUE()),"",INDEX(tsk_Progress,GanttView[[#This Row],[_Row]]))</f>
        <v>0</v>
      </c>
      <c r="J25" s="118" t="str">
        <f aca="false">IF(IFERROR(INDEX(tsk_Name,GanttView[[#This Row],[_Row]])="",TRUE()),"",INDEX(tsk_Resource,GanttView[[#This Row],[_Row]])&amp;"")</f>
        <v/>
      </c>
      <c r="K25" s="121" t="str">
        <f aca="false">IF(IFERROR(INDEX(tsk_Name,GanttView[[#This Row],[_Row]])="",TRUE()),"",INDEX(tsk_Status,GanttView[[#This Row],[_Row]]))</f>
        <v>Not Started</v>
      </c>
      <c r="L25" s="122" t="n">
        <f aca="false">ROW()-ROW(GanttView[[#Headers],[ID]])</f>
        <v>20</v>
      </c>
      <c r="M25" s="123" t="b">
        <f aca="false">IF(IFERROR(INDEX(tsk_Name,GanttView[[#This Row],[_Row]])="",TRUE()),FALSE(),INDEX(tsk_IsSummary,GanttView[[#This Row],[_Row]]))</f>
        <v>1</v>
      </c>
      <c r="N25" s="123" t="b">
        <f aca="false">IF(IFERROR(INDEX(tsk_Name,GanttView[[#This Row],[_Row]])="",TRUE()),FALSE(),AND(INDEX(tsk_IsLeaf,GanttView[[#This Row],[_Row]])=1,N(INDEX(tsk_Duration,GanttView[[#This Row],[_Row]]))=0))</f>
        <v>0</v>
      </c>
      <c r="O25" s="124" t="n">
        <f aca="false">IF(IFERROR(INDEX(tsk_Name,GanttView[[#This Row],[_Row]])="",TRUE()),0,IF(AND(INDEX(tsk_IsLeaf,GanttView[[#This Row],[_Row]])=1,NOT(GanttView[[#This Row],[_IsMilestone]]),N(GanttView[[#This Row],[%]])&gt;0),GanttView[[#This Row],[Forecast Start]],0))</f>
        <v>0</v>
      </c>
      <c r="P25" s="124" t="n">
        <f aca="false">IF(GanttView[[#This Row],[_DoneFrom]]=0,0,IF(GanttView[[#This Row],[%]]&gt;=1,GanttView[[#This Row],[Forecast Finish]],MAX(GanttView[[#This Row],[_DoneFrom]],GanttView[[#This Row],[Forecast Start]]+ROUND((GanttView[[#This Row],[Forecast Finish]]-GanttView[[#This Row],[Forecast Start]]+1)*GanttView[[#This Row],[%]],0)-1)))</f>
        <v>0</v>
      </c>
      <c r="Q25" s="124" t="n">
        <f aca="false">IF(IFERROR(INDEX(tsk_Name,GanttView[[#This Row],[_Row]])="",TRUE()),0,IF(OR(INDEX(tsk_IsLeaf,GanttView[[#This Row],[_Row]])&lt;&gt;1,GanttView[[#This Row],[_IsMilestone]],N(GanttView[[#This Row],[%]])&gt;=1),0,IF(GanttView[[#This Row],[_DoneTo]]&gt;0,GanttView[[#This Row],[_DoneTo]]+1,GanttView[[#This Row],[Forecast Start]])))</f>
        <v>0</v>
      </c>
      <c r="R25" s="124" t="n">
        <f aca="false">IF(GanttView[[#This Row],[_RemFrom]]=0,0,GanttView[[#This Row],[Forecast Finish]])</f>
        <v>0</v>
      </c>
      <c r="S25" s="123" t="b">
        <f aca="false">IF(IFERROR(INDEX(tsk_Name,GanttView[[#This Row],[_Row]])="",TRUE()),FALSE(),N(INDEX(tsk_Variance,GanttView[[#This Row],[_Row]]))&gt;0)</f>
        <v>0</v>
      </c>
      <c r="T25" s="124" t="n">
        <f aca="false">IF(IFERROR(INDEX(tsk_Name,GanttView[[#This Row],[_Row]])="",TRUE()),0,N(INDEX(tsk_Deadline,GanttView[[#This Row],[_Row]])))</f>
        <v>0</v>
      </c>
      <c r="U25" s="123" t="b">
        <f aca="false">IF(IFERROR(INDEX(tsk_Name,GanttView[[#This Row],[_Row]])="",TRUE()),FALSE(),INDEX(tsk_Critical,GanttView[[#This Row],[_Row]])="Yes")</f>
        <v>1</v>
      </c>
    </row>
    <row r="26" customFormat="false" ht="15" hidden="false" customHeight="false" outlineLevel="0" collapsed="false">
      <c r="A26" s="117" t="n">
        <f aca="false">IF(IFERROR(INDEX(tsk_Name,GanttView[[#This Row],[_Row]])="",TRUE()),"",INDEX(tsk_ID,GanttView[[#This Row],[_Row]]))</f>
        <v>21</v>
      </c>
      <c r="B26" s="117" t="str">
        <f aca="false">IF(IFERROR(INDEX(tsk_Name,GanttView[[#This Row],[_Row]])="",TRUE()),"",INDEX(tsk_WBS,GanttView[[#This Row],[_Row]]))</f>
        <v>4.1</v>
      </c>
      <c r="C26" s="118" t="str">
        <f aca="false">IF(IFERROR(INDEX(tsk_Name,GanttView[[#This Row],[_Row]])="",TRUE()),"",REPT("    ",INDEX(tsk_Level,GanttView[[#This Row],[_Row]])-1)&amp;INDEX(tsk_Name,GanttView[[#This Row],[_Row]]))</f>
        <v>    System integration testing</v>
      </c>
      <c r="D26" s="117" t="n">
        <f aca="false">IF(IFERROR(INDEX(tsk_Name,GanttView[[#This Row],[_Row]])="",TRUE()),"",IF(INDEX(tsk_IsSummary,GanttView[[#This Row],[_Row]]),NETWORKDAYS.INTL(INDEX(tsk_FcStart,GanttView[[#This Row],[_Row]]),INDEX(tsk_FcFinish,GanttView[[#This Row],[_Row]]),WorkWeek,Holidays),N(INDEX(tsk_Duration,GanttView[[#This Row],[_Row]]))))</f>
        <v>8</v>
      </c>
      <c r="E26" s="119" t="n">
        <f aca="false">IF(IFERROR(INDEX(tsk_Name,GanttView[[#This Row],[_Row]])="",TRUE()),"",INDEX(tsk_PlanStart,GanttView[[#This Row],[_Row]]))</f>
        <v>46328</v>
      </c>
      <c r="F26" s="119" t="n">
        <f aca="false">IF(IFERROR(INDEX(tsk_Name,GanttView[[#This Row],[_Row]])="",TRUE()),"",INDEX(tsk_PlanFinish,GanttView[[#This Row],[_Row]]))</f>
        <v>46337</v>
      </c>
      <c r="G26" s="119" t="n">
        <f aca="false">IF(IFERROR(INDEX(tsk_Name,GanttView[[#This Row],[_Row]])="",TRUE()),"",INDEX(tsk_FcStart,GanttView[[#This Row],[_Row]]))</f>
        <v>46336</v>
      </c>
      <c r="H26" s="119" t="n">
        <f aca="false">IF(IFERROR(INDEX(tsk_Name,GanttView[[#This Row],[_Row]])="",TRUE()),"",INDEX(tsk_FcFinish,GanttView[[#This Row],[_Row]]))</f>
        <v>46345</v>
      </c>
      <c r="I26" s="120" t="n">
        <f aca="false">IF(IFERROR(INDEX(tsk_Name,GanttView[[#This Row],[_Row]])="",TRUE()),"",INDEX(tsk_Progress,GanttView[[#This Row],[_Row]]))</f>
        <v>0</v>
      </c>
      <c r="J26" s="118" t="str">
        <f aca="false">IF(IFERROR(INDEX(tsk_Name,GanttView[[#This Row],[_Row]])="",TRUE()),"",INDEX(tsk_Resource,GanttView[[#This Row],[_Row]])&amp;"")</f>
        <v>Taylor Morgan</v>
      </c>
      <c r="K26" s="121" t="str">
        <f aca="false">IF(IFERROR(INDEX(tsk_Name,GanttView[[#This Row],[_Row]])="",TRUE()),"",INDEX(tsk_Status,GanttView[[#This Row],[_Row]]))</f>
        <v>Not Started</v>
      </c>
      <c r="L26" s="122" t="n">
        <f aca="false">ROW()-ROW(GanttView[[#Headers],[ID]])</f>
        <v>21</v>
      </c>
      <c r="M26" s="123" t="b">
        <f aca="false">IF(IFERROR(INDEX(tsk_Name,GanttView[[#This Row],[_Row]])="",TRUE()),FALSE(),INDEX(tsk_IsSummary,GanttView[[#This Row],[_Row]]))</f>
        <v>0</v>
      </c>
      <c r="N26" s="123" t="b">
        <f aca="false">IF(IFERROR(INDEX(tsk_Name,GanttView[[#This Row],[_Row]])="",TRUE()),FALSE(),AND(INDEX(tsk_IsLeaf,GanttView[[#This Row],[_Row]])=1,N(INDEX(tsk_Duration,GanttView[[#This Row],[_Row]]))=0))</f>
        <v>0</v>
      </c>
      <c r="O26" s="124" t="n">
        <f aca="false">IF(IFERROR(INDEX(tsk_Name,GanttView[[#This Row],[_Row]])="",TRUE()),0,IF(AND(INDEX(tsk_IsLeaf,GanttView[[#This Row],[_Row]])=1,NOT(GanttView[[#This Row],[_IsMilestone]]),N(GanttView[[#This Row],[%]])&gt;0),GanttView[[#This Row],[Forecast Start]],0))</f>
        <v>0</v>
      </c>
      <c r="P26" s="124" t="n">
        <f aca="false">IF(GanttView[[#This Row],[_DoneFrom]]=0,0,IF(GanttView[[#This Row],[%]]&gt;=1,GanttView[[#This Row],[Forecast Finish]],MAX(GanttView[[#This Row],[_DoneFrom]],GanttView[[#This Row],[Forecast Start]]+ROUND((GanttView[[#This Row],[Forecast Finish]]-GanttView[[#This Row],[Forecast Start]]+1)*GanttView[[#This Row],[%]],0)-1)))</f>
        <v>0</v>
      </c>
      <c r="Q26" s="124" t="n">
        <f aca="false">IF(IFERROR(INDEX(tsk_Name,GanttView[[#This Row],[_Row]])="",TRUE()),0,IF(OR(INDEX(tsk_IsLeaf,GanttView[[#This Row],[_Row]])&lt;&gt;1,GanttView[[#This Row],[_IsMilestone]],N(GanttView[[#This Row],[%]])&gt;=1),0,IF(GanttView[[#This Row],[_DoneTo]]&gt;0,GanttView[[#This Row],[_DoneTo]]+1,GanttView[[#This Row],[Forecast Start]])))</f>
        <v>46336</v>
      </c>
      <c r="R26" s="124" t="n">
        <f aca="false">IF(GanttView[[#This Row],[_RemFrom]]=0,0,GanttView[[#This Row],[Forecast Finish]])</f>
        <v>46345</v>
      </c>
      <c r="S26" s="123" t="b">
        <f aca="false">IF(IFERROR(INDEX(tsk_Name,GanttView[[#This Row],[_Row]])="",TRUE()),FALSE(),N(INDEX(tsk_Variance,GanttView[[#This Row],[_Row]]))&gt;0)</f>
        <v>1</v>
      </c>
      <c r="T26" s="124" t="n">
        <f aca="false">IF(IFERROR(INDEX(tsk_Name,GanttView[[#This Row],[_Row]])="",TRUE()),0,N(INDEX(tsk_Deadline,GanttView[[#This Row],[_Row]])))</f>
        <v>0</v>
      </c>
      <c r="U26" s="123" t="b">
        <f aca="false">IF(IFERROR(INDEX(tsk_Name,GanttView[[#This Row],[_Row]])="",TRUE()),FALSE(),INDEX(tsk_Critical,GanttView[[#This Row],[_Row]])="Yes")</f>
        <v>0</v>
      </c>
    </row>
    <row r="27" customFormat="false" ht="15" hidden="false" customHeight="false" outlineLevel="0" collapsed="false">
      <c r="A27" s="117" t="n">
        <f aca="false">IF(IFERROR(INDEX(tsk_Name,GanttView[[#This Row],[_Row]])="",TRUE()),"",INDEX(tsk_ID,GanttView[[#This Row],[_Row]]))</f>
        <v>22</v>
      </c>
      <c r="B27" s="117" t="str">
        <f aca="false">IF(IFERROR(INDEX(tsk_Name,GanttView[[#This Row],[_Row]])="",TRUE()),"",INDEX(tsk_WBS,GanttView[[#This Row],[_Row]]))</f>
        <v>4.2</v>
      </c>
      <c r="C27" s="118" t="str">
        <f aca="false">IF(IFERROR(INDEX(tsk_Name,GanttView[[#This Row],[_Row]])="",TRUE()),"",REPT("    ",INDEX(tsk_Level,GanttView[[#This Row],[_Row]])-1)&amp;INDEX(tsk_Name,GanttView[[#This Row],[_Row]]))</f>
        <v>    User acceptance testing</v>
      </c>
      <c r="D27" s="117" t="n">
        <f aca="false">IF(IFERROR(INDEX(tsk_Name,GanttView[[#This Row],[_Row]])="",TRUE()),"",IF(INDEX(tsk_IsSummary,GanttView[[#This Row],[_Row]]),NETWORKDAYS.INTL(INDEX(tsk_FcStart,GanttView[[#This Row],[_Row]]),INDEX(tsk_FcFinish,GanttView[[#This Row],[_Row]]),WorkWeek,Holidays),N(INDEX(tsk_Duration,GanttView[[#This Row],[_Row]]))))</f>
        <v>6</v>
      </c>
      <c r="E27" s="119" t="n">
        <f aca="false">IF(IFERROR(INDEX(tsk_Name,GanttView[[#This Row],[_Row]])="",TRUE()),"",INDEX(tsk_PlanStart,GanttView[[#This Row],[_Row]]))</f>
        <v>46363</v>
      </c>
      <c r="F27" s="119" t="n">
        <f aca="false">IF(IFERROR(INDEX(tsk_Name,GanttView[[#This Row],[_Row]])="",TRUE()),"",INDEX(tsk_PlanFinish,GanttView[[#This Row],[_Row]]))</f>
        <v>46370</v>
      </c>
      <c r="G27" s="119" t="n">
        <f aca="false">IF(IFERROR(INDEX(tsk_Name,GanttView[[#This Row],[_Row]])="",TRUE()),"",INDEX(tsk_FcStart,GanttView[[#This Row],[_Row]]))</f>
        <v>46363</v>
      </c>
      <c r="H27" s="119" t="n">
        <f aca="false">IF(IFERROR(INDEX(tsk_Name,GanttView[[#This Row],[_Row]])="",TRUE()),"",INDEX(tsk_FcFinish,GanttView[[#This Row],[_Row]]))</f>
        <v>46370</v>
      </c>
      <c r="I27" s="120" t="n">
        <f aca="false">IF(IFERROR(INDEX(tsk_Name,GanttView[[#This Row],[_Row]])="",TRUE()),"",INDEX(tsk_Progress,GanttView[[#This Row],[_Row]]))</f>
        <v>0</v>
      </c>
      <c r="J27" s="118" t="str">
        <f aca="false">IF(IFERROR(INDEX(tsk_Name,GanttView[[#This Row],[_Row]])="",TRUE()),"",INDEX(tsk_Resource,GanttView[[#This Row],[_Row]])&amp;"")</f>
        <v>Morgan Patel</v>
      </c>
      <c r="K27" s="121" t="str">
        <f aca="false">IF(IFERROR(INDEX(tsk_Name,GanttView[[#This Row],[_Row]])="",TRUE()),"",INDEX(tsk_Status,GanttView[[#This Row],[_Row]]))</f>
        <v>Not Started</v>
      </c>
      <c r="L27" s="122" t="n">
        <f aca="false">ROW()-ROW(GanttView[[#Headers],[ID]])</f>
        <v>22</v>
      </c>
      <c r="M27" s="123" t="b">
        <f aca="false">IF(IFERROR(INDEX(tsk_Name,GanttView[[#This Row],[_Row]])="",TRUE()),FALSE(),INDEX(tsk_IsSummary,GanttView[[#This Row],[_Row]]))</f>
        <v>0</v>
      </c>
      <c r="N27" s="123" t="b">
        <f aca="false">IF(IFERROR(INDEX(tsk_Name,GanttView[[#This Row],[_Row]])="",TRUE()),FALSE(),AND(INDEX(tsk_IsLeaf,GanttView[[#This Row],[_Row]])=1,N(INDEX(tsk_Duration,GanttView[[#This Row],[_Row]]))=0))</f>
        <v>0</v>
      </c>
      <c r="O27" s="124" t="n">
        <f aca="false">IF(IFERROR(INDEX(tsk_Name,GanttView[[#This Row],[_Row]])="",TRUE()),0,IF(AND(INDEX(tsk_IsLeaf,GanttView[[#This Row],[_Row]])=1,NOT(GanttView[[#This Row],[_IsMilestone]]),N(GanttView[[#This Row],[%]])&gt;0),GanttView[[#This Row],[Forecast Start]],0))</f>
        <v>0</v>
      </c>
      <c r="P27" s="124" t="n">
        <f aca="false">IF(GanttView[[#This Row],[_DoneFrom]]=0,0,IF(GanttView[[#This Row],[%]]&gt;=1,GanttView[[#This Row],[Forecast Finish]],MAX(GanttView[[#This Row],[_DoneFrom]],GanttView[[#This Row],[Forecast Start]]+ROUND((GanttView[[#This Row],[Forecast Finish]]-GanttView[[#This Row],[Forecast Start]]+1)*GanttView[[#This Row],[%]],0)-1)))</f>
        <v>0</v>
      </c>
      <c r="Q27" s="124" t="n">
        <f aca="false">IF(IFERROR(INDEX(tsk_Name,GanttView[[#This Row],[_Row]])="",TRUE()),0,IF(OR(INDEX(tsk_IsLeaf,GanttView[[#This Row],[_Row]])&lt;&gt;1,GanttView[[#This Row],[_IsMilestone]],N(GanttView[[#This Row],[%]])&gt;=1),0,IF(GanttView[[#This Row],[_DoneTo]]&gt;0,GanttView[[#This Row],[_DoneTo]]+1,GanttView[[#This Row],[Forecast Start]])))</f>
        <v>46363</v>
      </c>
      <c r="R27" s="124" t="n">
        <f aca="false">IF(GanttView[[#This Row],[_RemFrom]]=0,0,GanttView[[#This Row],[Forecast Finish]])</f>
        <v>46370</v>
      </c>
      <c r="S27" s="123" t="b">
        <f aca="false">IF(IFERROR(INDEX(tsk_Name,GanttView[[#This Row],[_Row]])="",TRUE()),FALSE(),N(INDEX(tsk_Variance,GanttView[[#This Row],[_Row]]))&gt;0)</f>
        <v>0</v>
      </c>
      <c r="T27" s="124" t="n">
        <f aca="false">IF(IFERROR(INDEX(tsk_Name,GanttView[[#This Row],[_Row]])="",TRUE()),0,N(INDEX(tsk_Deadline,GanttView[[#This Row],[_Row]])))</f>
        <v>0</v>
      </c>
      <c r="U27" s="123" t="b">
        <f aca="false">IF(IFERROR(INDEX(tsk_Name,GanttView[[#This Row],[_Row]])="",TRUE()),FALSE(),INDEX(tsk_Critical,GanttView[[#This Row],[_Row]])="Yes")</f>
        <v>1</v>
      </c>
    </row>
    <row r="28" customFormat="false" ht="15" hidden="false" customHeight="false" outlineLevel="0" collapsed="false">
      <c r="A28" s="117" t="n">
        <f aca="false">IF(IFERROR(INDEX(tsk_Name,GanttView[[#This Row],[_Row]])="",TRUE()),"",INDEX(tsk_ID,GanttView[[#This Row],[_Row]]))</f>
        <v>23</v>
      </c>
      <c r="B28" s="117" t="str">
        <f aca="false">IF(IFERROR(INDEX(tsk_Name,GanttView[[#This Row],[_Row]])="",TRUE()),"",INDEX(tsk_WBS,GanttView[[#This Row],[_Row]]))</f>
        <v>4.3</v>
      </c>
      <c r="C28" s="118" t="str">
        <f aca="false">IF(IFERROR(INDEX(tsk_Name,GanttView[[#This Row],[_Row]])="",TRUE()),"",REPT("    ",INDEX(tsk_Level,GanttView[[#This Row],[_Row]])-1)&amp;INDEX(tsk_Name,GanttView[[#This Row],[_Row]]))</f>
        <v>    Training &amp; user guides</v>
      </c>
      <c r="D28" s="117" t="n">
        <f aca="false">IF(IFERROR(INDEX(tsk_Name,GanttView[[#This Row],[_Row]])="",TRUE()),"",IF(INDEX(tsk_IsSummary,GanttView[[#This Row],[_Row]]),NETWORKDAYS.INTL(INDEX(tsk_FcStart,GanttView[[#This Row],[_Row]]),INDEX(tsk_FcFinish,GanttView[[#This Row],[_Row]]),WorkWeek,Holidays),N(INDEX(tsk_Duration,GanttView[[#This Row],[_Row]]))))</f>
        <v>5</v>
      </c>
      <c r="E28" s="119" t="n">
        <f aca="false">IF(IFERROR(INDEX(tsk_Name,GanttView[[#This Row],[_Row]])="",TRUE()),"",INDEX(tsk_PlanStart,GanttView[[#This Row],[_Row]]))</f>
        <v>46330</v>
      </c>
      <c r="F28" s="119" t="n">
        <f aca="false">IF(IFERROR(INDEX(tsk_Name,GanttView[[#This Row],[_Row]])="",TRUE()),"",INDEX(tsk_PlanFinish,GanttView[[#This Row],[_Row]]))</f>
        <v>46336</v>
      </c>
      <c r="G28" s="119" t="n">
        <f aca="false">IF(IFERROR(INDEX(tsk_Name,GanttView[[#This Row],[_Row]])="",TRUE()),"",INDEX(tsk_FcStart,GanttView[[#This Row],[_Row]]))</f>
        <v>46338</v>
      </c>
      <c r="H28" s="119" t="n">
        <f aca="false">IF(IFERROR(INDEX(tsk_Name,GanttView[[#This Row],[_Row]])="",TRUE()),"",INDEX(tsk_FcFinish,GanttView[[#This Row],[_Row]]))</f>
        <v>46344</v>
      </c>
      <c r="I28" s="120" t="n">
        <f aca="false">IF(IFERROR(INDEX(tsk_Name,GanttView[[#This Row],[_Row]])="",TRUE()),"",INDEX(tsk_Progress,GanttView[[#This Row],[_Row]]))</f>
        <v>0</v>
      </c>
      <c r="J28" s="118" t="str">
        <f aca="false">IF(IFERROR(INDEX(tsk_Name,GanttView[[#This Row],[_Row]])="",TRUE()),"",INDEX(tsk_Resource,GanttView[[#This Row],[_Row]])&amp;"")</f>
        <v>Casey Kim</v>
      </c>
      <c r="K28" s="121" t="str">
        <f aca="false">IF(IFERROR(INDEX(tsk_Name,GanttView[[#This Row],[_Row]])="",TRUE()),"",INDEX(tsk_Status,GanttView[[#This Row],[_Row]]))</f>
        <v>Not Started</v>
      </c>
      <c r="L28" s="122" t="n">
        <f aca="false">ROW()-ROW(GanttView[[#Headers],[ID]])</f>
        <v>23</v>
      </c>
      <c r="M28" s="123" t="b">
        <f aca="false">IF(IFERROR(INDEX(tsk_Name,GanttView[[#This Row],[_Row]])="",TRUE()),FALSE(),INDEX(tsk_IsSummary,GanttView[[#This Row],[_Row]]))</f>
        <v>0</v>
      </c>
      <c r="N28" s="123" t="b">
        <f aca="false">IF(IFERROR(INDEX(tsk_Name,GanttView[[#This Row],[_Row]])="",TRUE()),FALSE(),AND(INDEX(tsk_IsLeaf,GanttView[[#This Row],[_Row]])=1,N(INDEX(tsk_Duration,GanttView[[#This Row],[_Row]]))=0))</f>
        <v>0</v>
      </c>
      <c r="O28" s="124" t="n">
        <f aca="false">IF(IFERROR(INDEX(tsk_Name,GanttView[[#This Row],[_Row]])="",TRUE()),0,IF(AND(INDEX(tsk_IsLeaf,GanttView[[#This Row],[_Row]])=1,NOT(GanttView[[#This Row],[_IsMilestone]]),N(GanttView[[#This Row],[%]])&gt;0),GanttView[[#This Row],[Forecast Start]],0))</f>
        <v>0</v>
      </c>
      <c r="P28" s="124" t="n">
        <f aca="false">IF(GanttView[[#This Row],[_DoneFrom]]=0,0,IF(GanttView[[#This Row],[%]]&gt;=1,GanttView[[#This Row],[Forecast Finish]],MAX(GanttView[[#This Row],[_DoneFrom]],GanttView[[#This Row],[Forecast Start]]+ROUND((GanttView[[#This Row],[Forecast Finish]]-GanttView[[#This Row],[Forecast Start]]+1)*GanttView[[#This Row],[%]],0)-1)))</f>
        <v>0</v>
      </c>
      <c r="Q28" s="124" t="n">
        <f aca="false">IF(IFERROR(INDEX(tsk_Name,GanttView[[#This Row],[_Row]])="",TRUE()),0,IF(OR(INDEX(tsk_IsLeaf,GanttView[[#This Row],[_Row]])&lt;&gt;1,GanttView[[#This Row],[_IsMilestone]],N(GanttView[[#This Row],[%]])&gt;=1),0,IF(GanttView[[#This Row],[_DoneTo]]&gt;0,GanttView[[#This Row],[_DoneTo]]+1,GanttView[[#This Row],[Forecast Start]])))</f>
        <v>46338</v>
      </c>
      <c r="R28" s="124" t="n">
        <f aca="false">IF(GanttView[[#This Row],[_RemFrom]]=0,0,GanttView[[#This Row],[Forecast Finish]])</f>
        <v>46344</v>
      </c>
      <c r="S28" s="123" t="b">
        <f aca="false">IF(IFERROR(INDEX(tsk_Name,GanttView[[#This Row],[_Row]])="",TRUE()),FALSE(),N(INDEX(tsk_Variance,GanttView[[#This Row],[_Row]]))&gt;0)</f>
        <v>1</v>
      </c>
      <c r="T28" s="124" t="n">
        <f aca="false">IF(IFERROR(INDEX(tsk_Name,GanttView[[#This Row],[_Row]])="",TRUE()),0,N(INDEX(tsk_Deadline,GanttView[[#This Row],[_Row]])))</f>
        <v>0</v>
      </c>
      <c r="U28" s="123" t="b">
        <f aca="false">IF(IFERROR(INDEX(tsk_Name,GanttView[[#This Row],[_Row]])="",TRUE()),FALSE(),INDEX(tsk_Critical,GanttView[[#This Row],[_Row]])="Yes")</f>
        <v>0</v>
      </c>
    </row>
    <row r="29" customFormat="false" ht="15" hidden="false" customHeight="false" outlineLevel="0" collapsed="false">
      <c r="A29" s="117" t="n">
        <f aca="false">IF(IFERROR(INDEX(tsk_Name,GanttView[[#This Row],[_Row]])="",TRUE()),"",INDEX(tsk_ID,GanttView[[#This Row],[_Row]]))</f>
        <v>24</v>
      </c>
      <c r="B29" s="117" t="str">
        <f aca="false">IF(IFERROR(INDEX(tsk_Name,GanttView[[#This Row],[_Row]])="",TRUE()),"",INDEX(tsk_WBS,GanttView[[#This Row],[_Row]]))</f>
        <v>4.4</v>
      </c>
      <c r="C29" s="118" t="str">
        <f aca="false">IF(IFERROR(INDEX(tsk_Name,GanttView[[#This Row],[_Row]])="",TRUE()),"",REPT("    ",INDEX(tsk_Level,GanttView[[#This Row],[_Row]])-1)&amp;INDEX(tsk_Name,GanttView[[#This Row],[_Row]]))</f>
        <v>    Go-live readiness review</v>
      </c>
      <c r="D29" s="117" t="n">
        <f aca="false">IF(IFERROR(INDEX(tsk_Name,GanttView[[#This Row],[_Row]])="",TRUE()),"",IF(INDEX(tsk_IsSummary,GanttView[[#This Row],[_Row]]),NETWORKDAYS.INTL(INDEX(tsk_FcStart,GanttView[[#This Row],[_Row]]),INDEX(tsk_FcFinish,GanttView[[#This Row],[_Row]]),WorkWeek,Holidays),N(INDEX(tsk_Duration,GanttView[[#This Row],[_Row]]))))</f>
        <v>1</v>
      </c>
      <c r="E29" s="119" t="n">
        <f aca="false">IF(IFERROR(INDEX(tsk_Name,GanttView[[#This Row],[_Row]])="",TRUE()),"",INDEX(tsk_PlanStart,GanttView[[#This Row],[_Row]]))</f>
        <v>46371</v>
      </c>
      <c r="F29" s="119" t="n">
        <f aca="false">IF(IFERROR(INDEX(tsk_Name,GanttView[[#This Row],[_Row]])="",TRUE()),"",INDEX(tsk_PlanFinish,GanttView[[#This Row],[_Row]]))</f>
        <v>46371</v>
      </c>
      <c r="G29" s="119" t="n">
        <f aca="false">IF(IFERROR(INDEX(tsk_Name,GanttView[[#This Row],[_Row]])="",TRUE()),"",INDEX(tsk_FcStart,GanttView[[#This Row],[_Row]]))</f>
        <v>46371</v>
      </c>
      <c r="H29" s="119" t="n">
        <f aca="false">IF(IFERROR(INDEX(tsk_Name,GanttView[[#This Row],[_Row]])="",TRUE()),"",INDEX(tsk_FcFinish,GanttView[[#This Row],[_Row]]))</f>
        <v>46371</v>
      </c>
      <c r="I29" s="120" t="n">
        <f aca="false">IF(IFERROR(INDEX(tsk_Name,GanttView[[#This Row],[_Row]])="",TRUE()),"",INDEX(tsk_Progress,GanttView[[#This Row],[_Row]]))</f>
        <v>0</v>
      </c>
      <c r="J29" s="118" t="str">
        <f aca="false">IF(IFERROR(INDEX(tsk_Name,GanttView[[#This Row],[_Row]])="",TRUE()),"",INDEX(tsk_Resource,GanttView[[#This Row],[_Row]])&amp;"")</f>
        <v>Priya Sharma</v>
      </c>
      <c r="K29" s="121" t="str">
        <f aca="false">IF(IFERROR(INDEX(tsk_Name,GanttView[[#This Row],[_Row]])="",TRUE()),"",INDEX(tsk_Status,GanttView[[#This Row],[_Row]]))</f>
        <v>Not Started</v>
      </c>
      <c r="L29" s="122" t="n">
        <f aca="false">ROW()-ROW(GanttView[[#Headers],[ID]])</f>
        <v>24</v>
      </c>
      <c r="M29" s="123" t="b">
        <f aca="false">IF(IFERROR(INDEX(tsk_Name,GanttView[[#This Row],[_Row]])="",TRUE()),FALSE(),INDEX(tsk_IsSummary,GanttView[[#This Row],[_Row]]))</f>
        <v>0</v>
      </c>
      <c r="N29" s="123" t="b">
        <f aca="false">IF(IFERROR(INDEX(tsk_Name,GanttView[[#This Row],[_Row]])="",TRUE()),FALSE(),AND(INDEX(tsk_IsLeaf,GanttView[[#This Row],[_Row]])=1,N(INDEX(tsk_Duration,GanttView[[#This Row],[_Row]]))=0))</f>
        <v>0</v>
      </c>
      <c r="O29" s="124" t="n">
        <f aca="false">IF(IFERROR(INDEX(tsk_Name,GanttView[[#This Row],[_Row]])="",TRUE()),0,IF(AND(INDEX(tsk_IsLeaf,GanttView[[#This Row],[_Row]])=1,NOT(GanttView[[#This Row],[_IsMilestone]]),N(GanttView[[#This Row],[%]])&gt;0),GanttView[[#This Row],[Forecast Start]],0))</f>
        <v>0</v>
      </c>
      <c r="P29" s="124" t="n">
        <f aca="false">IF(GanttView[[#This Row],[_DoneFrom]]=0,0,IF(GanttView[[#This Row],[%]]&gt;=1,GanttView[[#This Row],[Forecast Finish]],MAX(GanttView[[#This Row],[_DoneFrom]],GanttView[[#This Row],[Forecast Start]]+ROUND((GanttView[[#This Row],[Forecast Finish]]-GanttView[[#This Row],[Forecast Start]]+1)*GanttView[[#This Row],[%]],0)-1)))</f>
        <v>0</v>
      </c>
      <c r="Q29" s="124" t="n">
        <f aca="false">IF(IFERROR(INDEX(tsk_Name,GanttView[[#This Row],[_Row]])="",TRUE()),0,IF(OR(INDEX(tsk_IsLeaf,GanttView[[#This Row],[_Row]])&lt;&gt;1,GanttView[[#This Row],[_IsMilestone]],N(GanttView[[#This Row],[%]])&gt;=1),0,IF(GanttView[[#This Row],[_DoneTo]]&gt;0,GanttView[[#This Row],[_DoneTo]]+1,GanttView[[#This Row],[Forecast Start]])))</f>
        <v>46371</v>
      </c>
      <c r="R29" s="124" t="n">
        <f aca="false">IF(GanttView[[#This Row],[_RemFrom]]=0,0,GanttView[[#This Row],[Forecast Finish]])</f>
        <v>46371</v>
      </c>
      <c r="S29" s="123" t="b">
        <f aca="false">IF(IFERROR(INDEX(tsk_Name,GanttView[[#This Row],[_Row]])="",TRUE()),FALSE(),N(INDEX(tsk_Variance,GanttView[[#This Row],[_Row]]))&gt;0)</f>
        <v>0</v>
      </c>
      <c r="T29" s="124" t="n">
        <f aca="false">IF(IFERROR(INDEX(tsk_Name,GanttView[[#This Row],[_Row]])="",TRUE()),0,N(INDEX(tsk_Deadline,GanttView[[#This Row],[_Row]])))</f>
        <v>0</v>
      </c>
      <c r="U29" s="123" t="b">
        <f aca="false">IF(IFERROR(INDEX(tsk_Name,GanttView[[#This Row],[_Row]])="",TRUE()),FALSE(),INDEX(tsk_Critical,GanttView[[#This Row],[_Row]])="Yes")</f>
        <v>1</v>
      </c>
    </row>
    <row r="30" customFormat="false" ht="15" hidden="false" customHeight="false" outlineLevel="0" collapsed="false">
      <c r="A30" s="117" t="n">
        <f aca="false">IF(IFERROR(INDEX(tsk_Name,GanttView[[#This Row],[_Row]])="",TRUE()),"",INDEX(tsk_ID,GanttView[[#This Row],[_Row]]))</f>
        <v>25</v>
      </c>
      <c r="B30" s="117" t="str">
        <f aca="false">IF(IFERROR(INDEX(tsk_Name,GanttView[[#This Row],[_Row]])="",TRUE()),"",INDEX(tsk_WBS,GanttView[[#This Row],[_Row]]))</f>
        <v>4.5</v>
      </c>
      <c r="C30" s="118" t="str">
        <f aca="false">IF(IFERROR(INDEX(tsk_Name,GanttView[[#This Row],[_Row]])="",TRUE()),"",REPT("    ",INDEX(tsk_Level,GanttView[[#This Row],[_Row]])-1)&amp;INDEX(tsk_Name,GanttView[[#This Row],[_Row]]))</f>
        <v>    Go-live</v>
      </c>
      <c r="D30" s="117" t="n">
        <f aca="false">IF(IFERROR(INDEX(tsk_Name,GanttView[[#This Row],[_Row]])="",TRUE()),"",IF(INDEX(tsk_IsSummary,GanttView[[#This Row],[_Row]]),NETWORKDAYS.INTL(INDEX(tsk_FcStart,GanttView[[#This Row],[_Row]]),INDEX(tsk_FcFinish,GanttView[[#This Row],[_Row]]),WorkWeek,Holidays),N(INDEX(tsk_Duration,GanttView[[#This Row],[_Row]]))))</f>
        <v>0</v>
      </c>
      <c r="E30" s="119" t="n">
        <f aca="false">IF(IFERROR(INDEX(tsk_Name,GanttView[[#This Row],[_Row]])="",TRUE()),"",INDEX(tsk_PlanStart,GanttView[[#This Row],[_Row]]))</f>
        <v>46371</v>
      </c>
      <c r="F30" s="119" t="n">
        <f aca="false">IF(IFERROR(INDEX(tsk_Name,GanttView[[#This Row],[_Row]])="",TRUE()),"",INDEX(tsk_PlanFinish,GanttView[[#This Row],[_Row]]))</f>
        <v>46371</v>
      </c>
      <c r="G30" s="119" t="n">
        <f aca="false">IF(IFERROR(INDEX(tsk_Name,GanttView[[#This Row],[_Row]])="",TRUE()),"",INDEX(tsk_FcStart,GanttView[[#This Row],[_Row]]))</f>
        <v>46371</v>
      </c>
      <c r="H30" s="119" t="n">
        <f aca="false">IF(IFERROR(INDEX(tsk_Name,GanttView[[#This Row],[_Row]])="",TRUE()),"",INDEX(tsk_FcFinish,GanttView[[#This Row],[_Row]]))</f>
        <v>46371</v>
      </c>
      <c r="I30" s="120" t="n">
        <f aca="false">IF(IFERROR(INDEX(tsk_Name,GanttView[[#This Row],[_Row]])="",TRUE()),"",INDEX(tsk_Progress,GanttView[[#This Row],[_Row]]))</f>
        <v>0</v>
      </c>
      <c r="J30" s="118" t="str">
        <f aca="false">IF(IFERROR(INDEX(tsk_Name,GanttView[[#This Row],[_Row]])="",TRUE()),"",INDEX(tsk_Resource,GanttView[[#This Row],[_Row]])&amp;"")</f>
        <v/>
      </c>
      <c r="K30" s="121" t="str">
        <f aca="false">IF(IFERROR(INDEX(tsk_Name,GanttView[[#This Row],[_Row]])="",TRUE()),"",INDEX(tsk_Status,GanttView[[#This Row],[_Row]]))</f>
        <v>Not Started</v>
      </c>
      <c r="L30" s="122" t="n">
        <f aca="false">ROW()-ROW(GanttView[[#Headers],[ID]])</f>
        <v>25</v>
      </c>
      <c r="M30" s="123" t="b">
        <f aca="false">IF(IFERROR(INDEX(tsk_Name,GanttView[[#This Row],[_Row]])="",TRUE()),FALSE(),INDEX(tsk_IsSummary,GanttView[[#This Row],[_Row]]))</f>
        <v>0</v>
      </c>
      <c r="N30" s="123" t="b">
        <f aca="false">IF(IFERROR(INDEX(tsk_Name,GanttView[[#This Row],[_Row]])="",TRUE()),FALSE(),AND(INDEX(tsk_IsLeaf,GanttView[[#This Row],[_Row]])=1,N(INDEX(tsk_Duration,GanttView[[#This Row],[_Row]]))=0))</f>
        <v>1</v>
      </c>
      <c r="O30" s="124" t="n">
        <f aca="false">IF(IFERROR(INDEX(tsk_Name,GanttView[[#This Row],[_Row]])="",TRUE()),0,IF(AND(INDEX(tsk_IsLeaf,GanttView[[#This Row],[_Row]])=1,NOT(GanttView[[#This Row],[_IsMilestone]]),N(GanttView[[#This Row],[%]])&gt;0),GanttView[[#This Row],[Forecast Start]],0))</f>
        <v>0</v>
      </c>
      <c r="P30" s="124" t="n">
        <f aca="false">IF(GanttView[[#This Row],[_DoneFrom]]=0,0,IF(GanttView[[#This Row],[%]]&gt;=1,GanttView[[#This Row],[Forecast Finish]],MAX(GanttView[[#This Row],[_DoneFrom]],GanttView[[#This Row],[Forecast Start]]+ROUND((GanttView[[#This Row],[Forecast Finish]]-GanttView[[#This Row],[Forecast Start]]+1)*GanttView[[#This Row],[%]],0)-1)))</f>
        <v>0</v>
      </c>
      <c r="Q30" s="124" t="n">
        <f aca="false">IF(IFERROR(INDEX(tsk_Name,GanttView[[#This Row],[_Row]])="",TRUE()),0,IF(OR(INDEX(tsk_IsLeaf,GanttView[[#This Row],[_Row]])&lt;&gt;1,GanttView[[#This Row],[_IsMilestone]],N(GanttView[[#This Row],[%]])&gt;=1),0,IF(GanttView[[#This Row],[_DoneTo]]&gt;0,GanttView[[#This Row],[_DoneTo]]+1,GanttView[[#This Row],[Forecast Start]])))</f>
        <v>0</v>
      </c>
      <c r="R30" s="124" t="n">
        <f aca="false">IF(GanttView[[#This Row],[_RemFrom]]=0,0,GanttView[[#This Row],[Forecast Finish]])</f>
        <v>0</v>
      </c>
      <c r="S30" s="123" t="b">
        <f aca="false">IF(IFERROR(INDEX(tsk_Name,GanttView[[#This Row],[_Row]])="",TRUE()),FALSE(),N(INDEX(tsk_Variance,GanttView[[#This Row],[_Row]]))&gt;0)</f>
        <v>0</v>
      </c>
      <c r="T30" s="124" t="n">
        <f aca="false">IF(IFERROR(INDEX(tsk_Name,GanttView[[#This Row],[_Row]])="",TRUE()),0,N(INDEX(tsk_Deadline,GanttView[[#This Row],[_Row]])))</f>
        <v>46374</v>
      </c>
      <c r="U30" s="123" t="b">
        <f aca="false">IF(IFERROR(INDEX(tsk_Name,GanttView[[#This Row],[_Row]])="",TRUE()),FALSE(),INDEX(tsk_Critical,GanttView[[#This Row],[_Row]])="Yes")</f>
        <v>1</v>
      </c>
    </row>
    <row r="31" customFormat="false" ht="15" hidden="false" customHeight="false" outlineLevel="0" collapsed="false">
      <c r="A31" s="117" t="n">
        <f aca="false">IF(IFERROR(INDEX(tsk_Name,GanttView[[#This Row],[_Row]])="",TRUE()),"",INDEX(tsk_ID,GanttView[[#This Row],[_Row]]))</f>
        <v>26</v>
      </c>
      <c r="B31" s="117" t="str">
        <f aca="false">IF(IFERROR(INDEX(tsk_Name,GanttView[[#This Row],[_Row]])="",TRUE()),"",INDEX(tsk_WBS,GanttView[[#This Row],[_Row]]))</f>
        <v>4.6</v>
      </c>
      <c r="C31" s="118" t="str">
        <f aca="false">IF(IFERROR(INDEX(tsk_Name,GanttView[[#This Row],[_Row]])="",TRUE()),"",REPT("    ",INDEX(tsk_Level,GanttView[[#This Row],[_Row]])-1)&amp;INDEX(tsk_Name,GanttView[[#This Row],[_Row]]))</f>
        <v>    Hypercare support</v>
      </c>
      <c r="D31" s="117" t="n">
        <f aca="false">IF(IFERROR(INDEX(tsk_Name,GanttView[[#This Row],[_Row]])="",TRUE()),"",IF(INDEX(tsk_IsSummary,GanttView[[#This Row],[_Row]]),NETWORKDAYS.INTL(INDEX(tsk_FcStart,GanttView[[#This Row],[_Row]]),INDEX(tsk_FcFinish,GanttView[[#This Row],[_Row]]),WorkWeek,Holidays),N(INDEX(tsk_Duration,GanttView[[#This Row],[_Row]]))))</f>
        <v>10</v>
      </c>
      <c r="E31" s="119" t="n">
        <f aca="false">IF(IFERROR(INDEX(tsk_Name,GanttView[[#This Row],[_Row]])="",TRUE()),"",INDEX(tsk_PlanStart,GanttView[[#This Row],[_Row]]))</f>
        <v>46372</v>
      </c>
      <c r="F31" s="119" t="n">
        <f aca="false">IF(IFERROR(INDEX(tsk_Name,GanttView[[#This Row],[_Row]])="",TRUE()),"",INDEX(tsk_PlanFinish,GanttView[[#This Row],[_Row]]))</f>
        <v>46391</v>
      </c>
      <c r="G31" s="119" t="n">
        <f aca="false">IF(IFERROR(INDEX(tsk_Name,GanttView[[#This Row],[_Row]])="",TRUE()),"",INDEX(tsk_FcStart,GanttView[[#This Row],[_Row]]))</f>
        <v>46372</v>
      </c>
      <c r="H31" s="119" t="n">
        <f aca="false">IF(IFERROR(INDEX(tsk_Name,GanttView[[#This Row],[_Row]])="",TRUE()),"",INDEX(tsk_FcFinish,GanttView[[#This Row],[_Row]]))</f>
        <v>46391</v>
      </c>
      <c r="I31" s="120" t="n">
        <f aca="false">IF(IFERROR(INDEX(tsk_Name,GanttView[[#This Row],[_Row]])="",TRUE()),"",INDEX(tsk_Progress,GanttView[[#This Row],[_Row]]))</f>
        <v>0</v>
      </c>
      <c r="J31" s="118" t="str">
        <f aca="false">IF(IFERROR(INDEX(tsk_Name,GanttView[[#This Row],[_Row]])="",TRUE()),"",INDEX(tsk_Resource,GanttView[[#This Row],[_Row]])&amp;"")</f>
        <v>Jordan Lee</v>
      </c>
      <c r="K31" s="121" t="str">
        <f aca="false">IF(IFERROR(INDEX(tsk_Name,GanttView[[#This Row],[_Row]])="",TRUE()),"",INDEX(tsk_Status,GanttView[[#This Row],[_Row]]))</f>
        <v>Not Started</v>
      </c>
      <c r="L31" s="122" t="n">
        <f aca="false">ROW()-ROW(GanttView[[#Headers],[ID]])</f>
        <v>26</v>
      </c>
      <c r="M31" s="123" t="b">
        <f aca="false">IF(IFERROR(INDEX(tsk_Name,GanttView[[#This Row],[_Row]])="",TRUE()),FALSE(),INDEX(tsk_IsSummary,GanttView[[#This Row],[_Row]]))</f>
        <v>0</v>
      </c>
      <c r="N31" s="123" t="b">
        <f aca="false">IF(IFERROR(INDEX(tsk_Name,GanttView[[#This Row],[_Row]])="",TRUE()),FALSE(),AND(INDEX(tsk_IsLeaf,GanttView[[#This Row],[_Row]])=1,N(INDEX(tsk_Duration,GanttView[[#This Row],[_Row]]))=0))</f>
        <v>0</v>
      </c>
      <c r="O31" s="124" t="n">
        <f aca="false">IF(IFERROR(INDEX(tsk_Name,GanttView[[#This Row],[_Row]])="",TRUE()),0,IF(AND(INDEX(tsk_IsLeaf,GanttView[[#This Row],[_Row]])=1,NOT(GanttView[[#This Row],[_IsMilestone]]),N(GanttView[[#This Row],[%]])&gt;0),GanttView[[#This Row],[Forecast Start]],0))</f>
        <v>0</v>
      </c>
      <c r="P31" s="124" t="n">
        <f aca="false">IF(GanttView[[#This Row],[_DoneFrom]]=0,0,IF(GanttView[[#This Row],[%]]&gt;=1,GanttView[[#This Row],[Forecast Finish]],MAX(GanttView[[#This Row],[_DoneFrom]],GanttView[[#This Row],[Forecast Start]]+ROUND((GanttView[[#This Row],[Forecast Finish]]-GanttView[[#This Row],[Forecast Start]]+1)*GanttView[[#This Row],[%]],0)-1)))</f>
        <v>0</v>
      </c>
      <c r="Q31" s="124" t="n">
        <f aca="false">IF(IFERROR(INDEX(tsk_Name,GanttView[[#This Row],[_Row]])="",TRUE()),0,IF(OR(INDEX(tsk_IsLeaf,GanttView[[#This Row],[_Row]])&lt;&gt;1,GanttView[[#This Row],[_IsMilestone]],N(GanttView[[#This Row],[%]])&gt;=1),0,IF(GanttView[[#This Row],[_DoneTo]]&gt;0,GanttView[[#This Row],[_DoneTo]]+1,GanttView[[#This Row],[Forecast Start]])))</f>
        <v>46372</v>
      </c>
      <c r="R31" s="124" t="n">
        <f aca="false">IF(GanttView[[#This Row],[_RemFrom]]=0,0,GanttView[[#This Row],[Forecast Finish]])</f>
        <v>46391</v>
      </c>
      <c r="S31" s="123" t="b">
        <f aca="false">IF(IFERROR(INDEX(tsk_Name,GanttView[[#This Row],[_Row]])="",TRUE()),FALSE(),N(INDEX(tsk_Variance,GanttView[[#This Row],[_Row]]))&gt;0)</f>
        <v>0</v>
      </c>
      <c r="T31" s="124" t="n">
        <f aca="false">IF(IFERROR(INDEX(tsk_Name,GanttView[[#This Row],[_Row]])="",TRUE()),0,N(INDEX(tsk_Deadline,GanttView[[#This Row],[_Row]])))</f>
        <v>0</v>
      </c>
      <c r="U31" s="123" t="b">
        <f aca="false">IF(IFERROR(INDEX(tsk_Name,GanttView[[#This Row],[_Row]])="",TRUE()),FALSE(),INDEX(tsk_Critical,GanttView[[#This Row],[_Row]])="Yes")</f>
        <v>1</v>
      </c>
    </row>
    <row r="32" customFormat="false" ht="15" hidden="false" customHeight="false" outlineLevel="0" collapsed="false">
      <c r="A32" s="117" t="n">
        <f aca="false">IF(IFERROR(INDEX(tsk_Name,GanttView[[#This Row],[_Row]])="",TRUE()),"",INDEX(tsk_ID,GanttView[[#This Row],[_Row]]))</f>
        <v>27</v>
      </c>
      <c r="B32" s="117" t="str">
        <f aca="false">IF(IFERROR(INDEX(tsk_Name,GanttView[[#This Row],[_Row]])="",TRUE()),"",INDEX(tsk_WBS,GanttView[[#This Row],[_Row]]))</f>
        <v>5</v>
      </c>
      <c r="C32" s="118" t="str">
        <f aca="false">IF(IFERROR(INDEX(tsk_Name,GanttView[[#This Row],[_Row]])="",TRUE()),"",REPT("    ",INDEX(tsk_Level,GanttView[[#This Row],[_Row]])-1)&amp;INDEX(tsk_Name,GanttView[[#This Row],[_Row]]))</f>
        <v>Project Close</v>
      </c>
      <c r="D32" s="117" t="n">
        <f aca="false">IF(IFERROR(INDEX(tsk_Name,GanttView[[#This Row],[_Row]])="",TRUE()),"",IF(INDEX(tsk_IsSummary,GanttView[[#This Row],[_Row]]),NETWORKDAYS.INTL(INDEX(tsk_FcStart,GanttView[[#This Row],[_Row]]),INDEX(tsk_FcFinish,GanttView[[#This Row],[_Row]]),WorkWeek,Holidays),N(INDEX(tsk_Duration,GanttView[[#This Row],[_Row]]))))</f>
        <v>34</v>
      </c>
      <c r="E32" s="119" t="n">
        <f aca="false">IF(IFERROR(INDEX(tsk_Name,GanttView[[#This Row],[_Row]])="",TRUE()),"",INDEX(tsk_PlanStart,GanttView[[#This Row],[_Row]]))</f>
        <v>46342</v>
      </c>
      <c r="F32" s="119" t="n">
        <f aca="false">IF(IFERROR(INDEX(tsk_Name,GanttView[[#This Row],[_Row]])="",TRUE()),"",INDEX(tsk_PlanFinish,GanttView[[#This Row],[_Row]]))</f>
        <v>46393</v>
      </c>
      <c r="G32" s="119" t="n">
        <f aca="false">IF(IFERROR(INDEX(tsk_Name,GanttView[[#This Row],[_Row]])="",TRUE()),"",INDEX(tsk_FcStart,GanttView[[#This Row],[_Row]]))</f>
        <v>46342</v>
      </c>
      <c r="H32" s="119" t="n">
        <f aca="false">IF(IFERROR(INDEX(tsk_Name,GanttView[[#This Row],[_Row]])="",TRUE()),"",INDEX(tsk_FcFinish,GanttView[[#This Row],[_Row]]))</f>
        <v>46393</v>
      </c>
      <c r="I32" s="120" t="n">
        <f aca="false">IF(IFERROR(INDEX(tsk_Name,GanttView[[#This Row],[_Row]])="",TRUE()),"",INDEX(tsk_Progress,GanttView[[#This Row],[_Row]]))</f>
        <v>0</v>
      </c>
      <c r="J32" s="118" t="str">
        <f aca="false">IF(IFERROR(INDEX(tsk_Name,GanttView[[#This Row],[_Row]])="",TRUE()),"",INDEX(tsk_Resource,GanttView[[#This Row],[_Row]])&amp;"")</f>
        <v/>
      </c>
      <c r="K32" s="121" t="str">
        <f aca="false">IF(IFERROR(INDEX(tsk_Name,GanttView[[#This Row],[_Row]])="",TRUE()),"",INDEX(tsk_Status,GanttView[[#This Row],[_Row]]))</f>
        <v>Not Started</v>
      </c>
      <c r="L32" s="122" t="n">
        <f aca="false">ROW()-ROW(GanttView[[#Headers],[ID]])</f>
        <v>27</v>
      </c>
      <c r="M32" s="123" t="b">
        <f aca="false">IF(IFERROR(INDEX(tsk_Name,GanttView[[#This Row],[_Row]])="",TRUE()),FALSE(),INDEX(tsk_IsSummary,GanttView[[#This Row],[_Row]]))</f>
        <v>1</v>
      </c>
      <c r="N32" s="123" t="b">
        <f aca="false">IF(IFERROR(INDEX(tsk_Name,GanttView[[#This Row],[_Row]])="",TRUE()),FALSE(),AND(INDEX(tsk_IsLeaf,GanttView[[#This Row],[_Row]])=1,N(INDEX(tsk_Duration,GanttView[[#This Row],[_Row]]))=0))</f>
        <v>0</v>
      </c>
      <c r="O32" s="124" t="n">
        <f aca="false">IF(IFERROR(INDEX(tsk_Name,GanttView[[#This Row],[_Row]])="",TRUE()),0,IF(AND(INDEX(tsk_IsLeaf,GanttView[[#This Row],[_Row]])=1,NOT(GanttView[[#This Row],[_IsMilestone]]),N(GanttView[[#This Row],[%]])&gt;0),GanttView[[#This Row],[Forecast Start]],0))</f>
        <v>0</v>
      </c>
      <c r="P32" s="124" t="n">
        <f aca="false">IF(GanttView[[#This Row],[_DoneFrom]]=0,0,IF(GanttView[[#This Row],[%]]&gt;=1,GanttView[[#This Row],[Forecast Finish]],MAX(GanttView[[#This Row],[_DoneFrom]],GanttView[[#This Row],[Forecast Start]]+ROUND((GanttView[[#This Row],[Forecast Finish]]-GanttView[[#This Row],[Forecast Start]]+1)*GanttView[[#This Row],[%]],0)-1)))</f>
        <v>0</v>
      </c>
      <c r="Q32" s="124" t="n">
        <f aca="false">IF(IFERROR(INDEX(tsk_Name,GanttView[[#This Row],[_Row]])="",TRUE()),0,IF(OR(INDEX(tsk_IsLeaf,GanttView[[#This Row],[_Row]])&lt;&gt;1,GanttView[[#This Row],[_IsMilestone]],N(GanttView[[#This Row],[%]])&gt;=1),0,IF(GanttView[[#This Row],[_DoneTo]]&gt;0,GanttView[[#This Row],[_DoneTo]]+1,GanttView[[#This Row],[Forecast Start]])))</f>
        <v>0</v>
      </c>
      <c r="R32" s="124" t="n">
        <f aca="false">IF(GanttView[[#This Row],[_RemFrom]]=0,0,GanttView[[#This Row],[Forecast Finish]])</f>
        <v>0</v>
      </c>
      <c r="S32" s="123" t="b">
        <f aca="false">IF(IFERROR(INDEX(tsk_Name,GanttView[[#This Row],[_Row]])="",TRUE()),FALSE(),N(INDEX(tsk_Variance,GanttView[[#This Row],[_Row]]))&gt;0)</f>
        <v>0</v>
      </c>
      <c r="T32" s="124" t="n">
        <f aca="false">IF(IFERROR(INDEX(tsk_Name,GanttView[[#This Row],[_Row]])="",TRUE()),0,N(INDEX(tsk_Deadline,GanttView[[#This Row],[_Row]])))</f>
        <v>0</v>
      </c>
      <c r="U32" s="123" t="b">
        <f aca="false">IF(IFERROR(INDEX(tsk_Name,GanttView[[#This Row],[_Row]])="",TRUE()),FALSE(),INDEX(tsk_Critical,GanttView[[#This Row],[_Row]])="Yes")</f>
        <v>1</v>
      </c>
    </row>
    <row r="33" customFormat="false" ht="15" hidden="false" customHeight="false" outlineLevel="0" collapsed="false">
      <c r="A33" s="117" t="n">
        <f aca="false">IF(IFERROR(INDEX(tsk_Name,GanttView[[#This Row],[_Row]])="",TRUE()),"",INDEX(tsk_ID,GanttView[[#This Row],[_Row]]))</f>
        <v>28</v>
      </c>
      <c r="B33" s="117" t="str">
        <f aca="false">IF(IFERROR(INDEX(tsk_Name,GanttView[[#This Row],[_Row]])="",TRUE()),"",INDEX(tsk_WBS,GanttView[[#This Row],[_Row]]))</f>
        <v>5.1</v>
      </c>
      <c r="C33" s="118" t="str">
        <f aca="false">IF(IFERROR(INDEX(tsk_Name,GanttView[[#This Row],[_Row]])="",TRUE()),"",REPT("    ",INDEX(tsk_Level,GanttView[[#This Row],[_Row]])-1)&amp;INDEX(tsk_Name,GanttView[[#This Row],[_Row]]))</f>
        <v>    Steering committee update</v>
      </c>
      <c r="D33" s="117" t="n">
        <f aca="false">IF(IFERROR(INDEX(tsk_Name,GanttView[[#This Row],[_Row]])="",TRUE()),"",IF(INDEX(tsk_IsSummary,GanttView[[#This Row],[_Row]]),NETWORKDAYS.INTL(INDEX(tsk_FcStart,GanttView[[#This Row],[_Row]]),INDEX(tsk_FcFinish,GanttView[[#This Row],[_Row]]),WorkWeek,Holidays),N(INDEX(tsk_Duration,GanttView[[#This Row],[_Row]]))))</f>
        <v>1</v>
      </c>
      <c r="E33" s="119" t="n">
        <f aca="false">IF(IFERROR(INDEX(tsk_Name,GanttView[[#This Row],[_Row]])="",TRUE()),"",INDEX(tsk_PlanStart,GanttView[[#This Row],[_Row]]))</f>
        <v>46342</v>
      </c>
      <c r="F33" s="119" t="n">
        <f aca="false">IF(IFERROR(INDEX(tsk_Name,GanttView[[#This Row],[_Row]])="",TRUE()),"",INDEX(tsk_PlanFinish,GanttView[[#This Row],[_Row]]))</f>
        <v>46342</v>
      </c>
      <c r="G33" s="119" t="n">
        <f aca="false">IF(IFERROR(INDEX(tsk_Name,GanttView[[#This Row],[_Row]])="",TRUE()),"",INDEX(tsk_FcStart,GanttView[[#This Row],[_Row]]))</f>
        <v>46342</v>
      </c>
      <c r="H33" s="119" t="n">
        <f aca="false">IF(IFERROR(INDEX(tsk_Name,GanttView[[#This Row],[_Row]])="",TRUE()),"",INDEX(tsk_FcFinish,GanttView[[#This Row],[_Row]]))</f>
        <v>46342</v>
      </c>
      <c r="I33" s="120" t="n">
        <f aca="false">IF(IFERROR(INDEX(tsk_Name,GanttView[[#This Row],[_Row]])="",TRUE()),"",INDEX(tsk_Progress,GanttView[[#This Row],[_Row]]))</f>
        <v>0</v>
      </c>
      <c r="J33" s="118" t="str">
        <f aca="false">IF(IFERROR(INDEX(tsk_Name,GanttView[[#This Row],[_Row]])="",TRUE()),"",INDEX(tsk_Resource,GanttView[[#This Row],[_Row]])&amp;"")</f>
        <v>Priya Sharma</v>
      </c>
      <c r="K33" s="121" t="str">
        <f aca="false">IF(IFERROR(INDEX(tsk_Name,GanttView[[#This Row],[_Row]])="",TRUE()),"",INDEX(tsk_Status,GanttView[[#This Row],[_Row]]))</f>
        <v>Not Started</v>
      </c>
      <c r="L33" s="122" t="n">
        <f aca="false">ROW()-ROW(GanttView[[#Headers],[ID]])</f>
        <v>28</v>
      </c>
      <c r="M33" s="123" t="b">
        <f aca="false">IF(IFERROR(INDEX(tsk_Name,GanttView[[#This Row],[_Row]])="",TRUE()),FALSE(),INDEX(tsk_IsSummary,GanttView[[#This Row],[_Row]]))</f>
        <v>0</v>
      </c>
      <c r="N33" s="123" t="b">
        <f aca="false">IF(IFERROR(INDEX(tsk_Name,GanttView[[#This Row],[_Row]])="",TRUE()),FALSE(),AND(INDEX(tsk_IsLeaf,GanttView[[#This Row],[_Row]])=1,N(INDEX(tsk_Duration,GanttView[[#This Row],[_Row]]))=0))</f>
        <v>0</v>
      </c>
      <c r="O33" s="124" t="n">
        <f aca="false">IF(IFERROR(INDEX(tsk_Name,GanttView[[#This Row],[_Row]])="",TRUE()),0,IF(AND(INDEX(tsk_IsLeaf,GanttView[[#This Row],[_Row]])=1,NOT(GanttView[[#This Row],[_IsMilestone]]),N(GanttView[[#This Row],[%]])&gt;0),GanttView[[#This Row],[Forecast Start]],0))</f>
        <v>0</v>
      </c>
      <c r="P33" s="124" t="n">
        <f aca="false">IF(GanttView[[#This Row],[_DoneFrom]]=0,0,IF(GanttView[[#This Row],[%]]&gt;=1,GanttView[[#This Row],[Forecast Finish]],MAX(GanttView[[#This Row],[_DoneFrom]],GanttView[[#This Row],[Forecast Start]]+ROUND((GanttView[[#This Row],[Forecast Finish]]-GanttView[[#This Row],[Forecast Start]]+1)*GanttView[[#This Row],[%]],0)-1)))</f>
        <v>0</v>
      </c>
      <c r="Q33" s="124" t="n">
        <f aca="false">IF(IFERROR(INDEX(tsk_Name,GanttView[[#This Row],[_Row]])="",TRUE()),0,IF(OR(INDEX(tsk_IsLeaf,GanttView[[#This Row],[_Row]])&lt;&gt;1,GanttView[[#This Row],[_IsMilestone]],N(GanttView[[#This Row],[%]])&gt;=1),0,IF(GanttView[[#This Row],[_DoneTo]]&gt;0,GanttView[[#This Row],[_DoneTo]]+1,GanttView[[#This Row],[Forecast Start]])))</f>
        <v>46342</v>
      </c>
      <c r="R33" s="124" t="n">
        <f aca="false">IF(GanttView[[#This Row],[_RemFrom]]=0,0,GanttView[[#This Row],[Forecast Finish]])</f>
        <v>46342</v>
      </c>
      <c r="S33" s="123" t="b">
        <f aca="false">IF(IFERROR(INDEX(tsk_Name,GanttView[[#This Row],[_Row]])="",TRUE()),FALSE(),N(INDEX(tsk_Variance,GanttView[[#This Row],[_Row]]))&gt;0)</f>
        <v>0</v>
      </c>
      <c r="T33" s="124" t="n">
        <f aca="false">IF(IFERROR(INDEX(tsk_Name,GanttView[[#This Row],[_Row]])="",TRUE()),0,N(INDEX(tsk_Deadline,GanttView[[#This Row],[_Row]])))</f>
        <v>0</v>
      </c>
      <c r="U33" s="123" t="b">
        <f aca="false">IF(IFERROR(INDEX(tsk_Name,GanttView[[#This Row],[_Row]])="",TRUE()),FALSE(),INDEX(tsk_Critical,GanttView[[#This Row],[_Row]])="Yes")</f>
        <v>0</v>
      </c>
    </row>
    <row r="34" customFormat="false" ht="15" hidden="false" customHeight="false" outlineLevel="0" collapsed="false">
      <c r="A34" s="117" t="n">
        <f aca="false">IF(IFERROR(INDEX(tsk_Name,GanttView[[#This Row],[_Row]])="",TRUE()),"",INDEX(tsk_ID,GanttView[[#This Row],[_Row]]))</f>
        <v>29</v>
      </c>
      <c r="B34" s="117" t="str">
        <f aca="false">IF(IFERROR(INDEX(tsk_Name,GanttView[[#This Row],[_Row]])="",TRUE()),"",INDEX(tsk_WBS,GanttView[[#This Row],[_Row]]))</f>
        <v>5.2</v>
      </c>
      <c r="C34" s="118" t="str">
        <f aca="false">IF(IFERROR(INDEX(tsk_Name,GanttView[[#This Row],[_Row]])="",TRUE()),"",REPT("    ",INDEX(tsk_Level,GanttView[[#This Row],[_Row]])-1)&amp;INDEX(tsk_Name,GanttView[[#This Row],[_Row]]))</f>
        <v>    Lessons learned</v>
      </c>
      <c r="D34" s="117" t="n">
        <f aca="false">IF(IFERROR(INDEX(tsk_Name,GanttView[[#This Row],[_Row]])="",TRUE()),"",IF(INDEX(tsk_IsSummary,GanttView[[#This Row],[_Row]]),NETWORKDAYS.INTL(INDEX(tsk_FcStart,GanttView[[#This Row],[_Row]]),INDEX(tsk_FcFinish,GanttView[[#This Row],[_Row]]),WorkWeek,Holidays),N(INDEX(tsk_Duration,GanttView[[#This Row],[_Row]]))))</f>
        <v>2</v>
      </c>
      <c r="E34" s="119" t="n">
        <f aca="false">IF(IFERROR(INDEX(tsk_Name,GanttView[[#This Row],[_Row]])="",TRUE()),"",INDEX(tsk_PlanStart,GanttView[[#This Row],[_Row]]))</f>
        <v>46392</v>
      </c>
      <c r="F34" s="119" t="n">
        <f aca="false">IF(IFERROR(INDEX(tsk_Name,GanttView[[#This Row],[_Row]])="",TRUE()),"",INDEX(tsk_PlanFinish,GanttView[[#This Row],[_Row]]))</f>
        <v>46393</v>
      </c>
      <c r="G34" s="119" t="n">
        <f aca="false">IF(IFERROR(INDEX(tsk_Name,GanttView[[#This Row],[_Row]])="",TRUE()),"",INDEX(tsk_FcStart,GanttView[[#This Row],[_Row]]))</f>
        <v>46392</v>
      </c>
      <c r="H34" s="119" t="n">
        <f aca="false">IF(IFERROR(INDEX(tsk_Name,GanttView[[#This Row],[_Row]])="",TRUE()),"",INDEX(tsk_FcFinish,GanttView[[#This Row],[_Row]]))</f>
        <v>46393</v>
      </c>
      <c r="I34" s="120" t="n">
        <f aca="false">IF(IFERROR(INDEX(tsk_Name,GanttView[[#This Row],[_Row]])="",TRUE()),"",INDEX(tsk_Progress,GanttView[[#This Row],[_Row]]))</f>
        <v>0</v>
      </c>
      <c r="J34" s="118" t="str">
        <f aca="false">IF(IFERROR(INDEX(tsk_Name,GanttView[[#This Row],[_Row]])="",TRUE()),"",INDEX(tsk_Resource,GanttView[[#This Row],[_Row]])&amp;"")</f>
        <v>Priya Sharma</v>
      </c>
      <c r="K34" s="121" t="str">
        <f aca="false">IF(IFERROR(INDEX(tsk_Name,GanttView[[#This Row],[_Row]])="",TRUE()),"",INDEX(tsk_Status,GanttView[[#This Row],[_Row]]))</f>
        <v>Not Started</v>
      </c>
      <c r="L34" s="122" t="n">
        <f aca="false">ROW()-ROW(GanttView[[#Headers],[ID]])</f>
        <v>29</v>
      </c>
      <c r="M34" s="123" t="b">
        <f aca="false">IF(IFERROR(INDEX(tsk_Name,GanttView[[#This Row],[_Row]])="",TRUE()),FALSE(),INDEX(tsk_IsSummary,GanttView[[#This Row],[_Row]]))</f>
        <v>0</v>
      </c>
      <c r="N34" s="123" t="b">
        <f aca="false">IF(IFERROR(INDEX(tsk_Name,GanttView[[#This Row],[_Row]])="",TRUE()),FALSE(),AND(INDEX(tsk_IsLeaf,GanttView[[#This Row],[_Row]])=1,N(INDEX(tsk_Duration,GanttView[[#This Row],[_Row]]))=0))</f>
        <v>0</v>
      </c>
      <c r="O34" s="124" t="n">
        <f aca="false">IF(IFERROR(INDEX(tsk_Name,GanttView[[#This Row],[_Row]])="",TRUE()),0,IF(AND(INDEX(tsk_IsLeaf,GanttView[[#This Row],[_Row]])=1,NOT(GanttView[[#This Row],[_IsMilestone]]),N(GanttView[[#This Row],[%]])&gt;0),GanttView[[#This Row],[Forecast Start]],0))</f>
        <v>0</v>
      </c>
      <c r="P34" s="124" t="n">
        <f aca="false">IF(GanttView[[#This Row],[_DoneFrom]]=0,0,IF(GanttView[[#This Row],[%]]&gt;=1,GanttView[[#This Row],[Forecast Finish]],MAX(GanttView[[#This Row],[_DoneFrom]],GanttView[[#This Row],[Forecast Start]]+ROUND((GanttView[[#This Row],[Forecast Finish]]-GanttView[[#This Row],[Forecast Start]]+1)*GanttView[[#This Row],[%]],0)-1)))</f>
        <v>0</v>
      </c>
      <c r="Q34" s="124" t="n">
        <f aca="false">IF(IFERROR(INDEX(tsk_Name,GanttView[[#This Row],[_Row]])="",TRUE()),0,IF(OR(INDEX(tsk_IsLeaf,GanttView[[#This Row],[_Row]])&lt;&gt;1,GanttView[[#This Row],[_IsMilestone]],N(GanttView[[#This Row],[%]])&gt;=1),0,IF(GanttView[[#This Row],[_DoneTo]]&gt;0,GanttView[[#This Row],[_DoneTo]]+1,GanttView[[#This Row],[Forecast Start]])))</f>
        <v>46392</v>
      </c>
      <c r="R34" s="124" t="n">
        <f aca="false">IF(GanttView[[#This Row],[_RemFrom]]=0,0,GanttView[[#This Row],[Forecast Finish]])</f>
        <v>46393</v>
      </c>
      <c r="S34" s="123" t="b">
        <f aca="false">IF(IFERROR(INDEX(tsk_Name,GanttView[[#This Row],[_Row]])="",TRUE()),FALSE(),N(INDEX(tsk_Variance,GanttView[[#This Row],[_Row]]))&gt;0)</f>
        <v>0</v>
      </c>
      <c r="T34" s="124" t="n">
        <f aca="false">IF(IFERROR(INDEX(tsk_Name,GanttView[[#This Row],[_Row]])="",TRUE()),0,N(INDEX(tsk_Deadline,GanttView[[#This Row],[_Row]])))</f>
        <v>0</v>
      </c>
      <c r="U34" s="123" t="b">
        <f aca="false">IF(IFERROR(INDEX(tsk_Name,GanttView[[#This Row],[_Row]])="",TRUE()),FALSE(),INDEX(tsk_Critical,GanttView[[#This Row],[_Row]])="Yes")</f>
        <v>1</v>
      </c>
    </row>
    <row r="35" customFormat="false" ht="15" hidden="false" customHeight="false" outlineLevel="0" collapsed="false">
      <c r="A35" s="117" t="n">
        <f aca="false">IF(IFERROR(INDEX(tsk_Name,GanttView[[#This Row],[_Row]])="",TRUE()),"",INDEX(tsk_ID,GanttView[[#This Row],[_Row]]))</f>
        <v>30</v>
      </c>
      <c r="B35" s="117" t="str">
        <f aca="false">IF(IFERROR(INDEX(tsk_Name,GanttView[[#This Row],[_Row]])="",TRUE()),"",INDEX(tsk_WBS,GanttView[[#This Row],[_Row]]))</f>
        <v>5.3</v>
      </c>
      <c r="C35" s="118" t="str">
        <f aca="false">IF(IFERROR(INDEX(tsk_Name,GanttView[[#This Row],[_Row]])="",TRUE()),"",REPT("    ",INDEX(tsk_Level,GanttView[[#This Row],[_Row]])-1)&amp;INDEX(tsk_Name,GanttView[[#This Row],[_Row]]))</f>
        <v>    Project closed</v>
      </c>
      <c r="D35" s="117" t="n">
        <f aca="false">IF(IFERROR(INDEX(tsk_Name,GanttView[[#This Row],[_Row]])="",TRUE()),"",IF(INDEX(tsk_IsSummary,GanttView[[#This Row],[_Row]]),NETWORKDAYS.INTL(INDEX(tsk_FcStart,GanttView[[#This Row],[_Row]]),INDEX(tsk_FcFinish,GanttView[[#This Row],[_Row]]),WorkWeek,Holidays),N(INDEX(tsk_Duration,GanttView[[#This Row],[_Row]]))))</f>
        <v>0</v>
      </c>
      <c r="E35" s="119" t="n">
        <f aca="false">IF(IFERROR(INDEX(tsk_Name,GanttView[[#This Row],[_Row]])="",TRUE()),"",INDEX(tsk_PlanStart,GanttView[[#This Row],[_Row]]))</f>
        <v>46393</v>
      </c>
      <c r="F35" s="119" t="n">
        <f aca="false">IF(IFERROR(INDEX(tsk_Name,GanttView[[#This Row],[_Row]])="",TRUE()),"",INDEX(tsk_PlanFinish,GanttView[[#This Row],[_Row]]))</f>
        <v>46393</v>
      </c>
      <c r="G35" s="119" t="n">
        <f aca="false">IF(IFERROR(INDEX(tsk_Name,GanttView[[#This Row],[_Row]])="",TRUE()),"",INDEX(tsk_FcStart,GanttView[[#This Row],[_Row]]))</f>
        <v>46393</v>
      </c>
      <c r="H35" s="119" t="n">
        <f aca="false">IF(IFERROR(INDEX(tsk_Name,GanttView[[#This Row],[_Row]])="",TRUE()),"",INDEX(tsk_FcFinish,GanttView[[#This Row],[_Row]]))</f>
        <v>46393</v>
      </c>
      <c r="I35" s="120" t="n">
        <f aca="false">IF(IFERROR(INDEX(tsk_Name,GanttView[[#This Row],[_Row]])="",TRUE()),"",INDEX(tsk_Progress,GanttView[[#This Row],[_Row]]))</f>
        <v>0</v>
      </c>
      <c r="J35" s="118" t="str">
        <f aca="false">IF(IFERROR(INDEX(tsk_Name,GanttView[[#This Row],[_Row]])="",TRUE()),"",INDEX(tsk_Resource,GanttView[[#This Row],[_Row]])&amp;"")</f>
        <v/>
      </c>
      <c r="K35" s="121" t="str">
        <f aca="false">IF(IFERROR(INDEX(tsk_Name,GanttView[[#This Row],[_Row]])="",TRUE()),"",INDEX(tsk_Status,GanttView[[#This Row],[_Row]]))</f>
        <v>Not Started</v>
      </c>
      <c r="L35" s="122" t="n">
        <f aca="false">ROW()-ROW(GanttView[[#Headers],[ID]])</f>
        <v>30</v>
      </c>
      <c r="M35" s="123" t="b">
        <f aca="false">IF(IFERROR(INDEX(tsk_Name,GanttView[[#This Row],[_Row]])="",TRUE()),FALSE(),INDEX(tsk_IsSummary,GanttView[[#This Row],[_Row]]))</f>
        <v>0</v>
      </c>
      <c r="N35" s="123" t="b">
        <f aca="false">IF(IFERROR(INDEX(tsk_Name,GanttView[[#This Row],[_Row]])="",TRUE()),FALSE(),AND(INDEX(tsk_IsLeaf,GanttView[[#This Row],[_Row]])=1,N(INDEX(tsk_Duration,GanttView[[#This Row],[_Row]]))=0))</f>
        <v>1</v>
      </c>
      <c r="O35" s="124" t="n">
        <f aca="false">IF(IFERROR(INDEX(tsk_Name,GanttView[[#This Row],[_Row]])="",TRUE()),0,IF(AND(INDEX(tsk_IsLeaf,GanttView[[#This Row],[_Row]])=1,NOT(GanttView[[#This Row],[_IsMilestone]]),N(GanttView[[#This Row],[%]])&gt;0),GanttView[[#This Row],[Forecast Start]],0))</f>
        <v>0</v>
      </c>
      <c r="P35" s="124" t="n">
        <f aca="false">IF(GanttView[[#This Row],[_DoneFrom]]=0,0,IF(GanttView[[#This Row],[%]]&gt;=1,GanttView[[#This Row],[Forecast Finish]],MAX(GanttView[[#This Row],[_DoneFrom]],GanttView[[#This Row],[Forecast Start]]+ROUND((GanttView[[#This Row],[Forecast Finish]]-GanttView[[#This Row],[Forecast Start]]+1)*GanttView[[#This Row],[%]],0)-1)))</f>
        <v>0</v>
      </c>
      <c r="Q35" s="124" t="n">
        <f aca="false">IF(IFERROR(INDEX(tsk_Name,GanttView[[#This Row],[_Row]])="",TRUE()),0,IF(OR(INDEX(tsk_IsLeaf,GanttView[[#This Row],[_Row]])&lt;&gt;1,GanttView[[#This Row],[_IsMilestone]],N(GanttView[[#This Row],[%]])&gt;=1),0,IF(GanttView[[#This Row],[_DoneTo]]&gt;0,GanttView[[#This Row],[_DoneTo]]+1,GanttView[[#This Row],[Forecast Start]])))</f>
        <v>0</v>
      </c>
      <c r="R35" s="124" t="n">
        <f aca="false">IF(GanttView[[#This Row],[_RemFrom]]=0,0,GanttView[[#This Row],[Forecast Finish]])</f>
        <v>0</v>
      </c>
      <c r="S35" s="123" t="b">
        <f aca="false">IF(IFERROR(INDEX(tsk_Name,GanttView[[#This Row],[_Row]])="",TRUE()),FALSE(),N(INDEX(tsk_Variance,GanttView[[#This Row],[_Row]]))&gt;0)</f>
        <v>0</v>
      </c>
      <c r="T35" s="124" t="n">
        <f aca="false">IF(IFERROR(INDEX(tsk_Name,GanttView[[#This Row],[_Row]])="",TRUE()),0,N(INDEX(tsk_Deadline,GanttView[[#This Row],[_Row]])))</f>
        <v>0</v>
      </c>
      <c r="U35" s="123" t="b">
        <f aca="false">IF(IFERROR(INDEX(tsk_Name,GanttView[[#This Row],[_Row]])="",TRUE()),FALSE(),INDEX(tsk_Critical,GanttView[[#This Row],[_Row]])="Yes")</f>
        <v>1</v>
      </c>
    </row>
    <row r="36" customFormat="false" ht="15" hidden="false" customHeight="false" outlineLevel="0" collapsed="false">
      <c r="A36" s="117" t="str">
        <f aca="false">IF(IFERROR(INDEX(tsk_Name,GanttView[[#This Row],[_Row]])="",TRUE()),"",INDEX(tsk_ID,GanttView[[#This Row],[_Row]]))</f>
        <v/>
      </c>
      <c r="B36" s="117" t="str">
        <f aca="false">IF(IFERROR(INDEX(tsk_Name,GanttView[[#This Row],[_Row]])="",TRUE()),"",INDEX(tsk_WBS,GanttView[[#This Row],[_Row]]))</f>
        <v/>
      </c>
      <c r="C36" s="118" t="str">
        <f aca="false">IF(IFERROR(INDEX(tsk_Name,GanttView[[#This Row],[_Row]])="",TRUE()),"",REPT("    ",INDEX(tsk_Level,GanttView[[#This Row],[_Row]])-1)&amp;INDEX(tsk_Name,GanttView[[#This Row],[_Row]]))</f>
        <v/>
      </c>
      <c r="D36" s="117" t="str">
        <f aca="false">IF(IFERROR(INDEX(tsk_Name,GanttView[[#This Row],[_Row]])="",TRUE()),"",IF(INDEX(tsk_IsSummary,GanttView[[#This Row],[_Row]]),NETWORKDAYS.INTL(INDEX(tsk_FcStart,GanttView[[#This Row],[_Row]]),INDEX(tsk_FcFinish,GanttView[[#This Row],[_Row]]),WorkWeek,Holidays),N(INDEX(tsk_Duration,GanttView[[#This Row],[_Row]]))))</f>
        <v/>
      </c>
      <c r="E36" s="119" t="str">
        <f aca="false">IF(IFERROR(INDEX(tsk_Name,GanttView[[#This Row],[_Row]])="",TRUE()),"",INDEX(tsk_PlanStart,GanttView[[#This Row],[_Row]]))</f>
        <v/>
      </c>
      <c r="F36" s="119" t="str">
        <f aca="false">IF(IFERROR(INDEX(tsk_Name,GanttView[[#This Row],[_Row]])="",TRUE()),"",INDEX(tsk_PlanFinish,GanttView[[#This Row],[_Row]]))</f>
        <v/>
      </c>
      <c r="G36" s="119" t="str">
        <f aca="false">IF(IFERROR(INDEX(tsk_Name,GanttView[[#This Row],[_Row]])="",TRUE()),"",INDEX(tsk_FcStart,GanttView[[#This Row],[_Row]]))</f>
        <v/>
      </c>
      <c r="H36" s="119" t="str">
        <f aca="false">IF(IFERROR(INDEX(tsk_Name,GanttView[[#This Row],[_Row]])="",TRUE()),"",INDEX(tsk_FcFinish,GanttView[[#This Row],[_Row]]))</f>
        <v/>
      </c>
      <c r="I36" s="120" t="str">
        <f aca="false">IF(IFERROR(INDEX(tsk_Name,GanttView[[#This Row],[_Row]])="",TRUE()),"",INDEX(tsk_Progress,GanttView[[#This Row],[_Row]]))</f>
        <v/>
      </c>
      <c r="J36" s="118" t="str">
        <f aca="false">IF(IFERROR(INDEX(tsk_Name,GanttView[[#This Row],[_Row]])="",TRUE()),"",INDEX(tsk_Resource,GanttView[[#This Row],[_Row]])&amp;"")</f>
        <v/>
      </c>
      <c r="K36" s="121" t="str">
        <f aca="false">IF(IFERROR(INDEX(tsk_Name,GanttView[[#This Row],[_Row]])="",TRUE()),"",INDEX(tsk_Status,GanttView[[#This Row],[_Row]]))</f>
        <v/>
      </c>
      <c r="L36" s="122" t="n">
        <f aca="false">ROW()-ROW(GanttView[[#Headers],[ID]])</f>
        <v>31</v>
      </c>
      <c r="M36" s="123" t="b">
        <f aca="false">IF(IFERROR(INDEX(tsk_Name,GanttView[[#This Row],[_Row]])="",TRUE()),FALSE(),INDEX(tsk_IsSummary,GanttView[[#This Row],[_Row]]))</f>
        <v>0</v>
      </c>
      <c r="N36" s="123" t="b">
        <f aca="false">IF(IFERROR(INDEX(tsk_Name,GanttView[[#This Row],[_Row]])="",TRUE()),FALSE(),AND(INDEX(tsk_IsLeaf,GanttView[[#This Row],[_Row]])=1,N(INDEX(tsk_Duration,GanttView[[#This Row],[_Row]]))=0))</f>
        <v>0</v>
      </c>
      <c r="O36" s="124" t="n">
        <f aca="false">IF(IFERROR(INDEX(tsk_Name,GanttView[[#This Row],[_Row]])="",TRUE()),0,IF(AND(INDEX(tsk_IsLeaf,GanttView[[#This Row],[_Row]])=1,NOT(GanttView[[#This Row],[_IsMilestone]]),N(GanttView[[#This Row],[%]])&gt;0),GanttView[[#This Row],[Forecast Start]],0))</f>
        <v>0</v>
      </c>
      <c r="P36" s="124" t="n">
        <f aca="false">IF(GanttView[[#This Row],[_DoneFrom]]=0,0,IF(GanttView[[#This Row],[%]]&gt;=1,GanttView[[#This Row],[Forecast Finish]],MAX(GanttView[[#This Row],[_DoneFrom]],GanttView[[#This Row],[Forecast Start]]+ROUND((GanttView[[#This Row],[Forecast Finish]]-GanttView[[#This Row],[Forecast Start]]+1)*GanttView[[#This Row],[%]],0)-1)))</f>
        <v>0</v>
      </c>
      <c r="Q36" s="124" t="n">
        <f aca="false">IF(IFERROR(INDEX(tsk_Name,GanttView[[#This Row],[_Row]])="",TRUE()),0,IF(OR(INDEX(tsk_IsLeaf,GanttView[[#This Row],[_Row]])&lt;&gt;1,GanttView[[#This Row],[_IsMilestone]],N(GanttView[[#This Row],[%]])&gt;=1),0,IF(GanttView[[#This Row],[_DoneTo]]&gt;0,GanttView[[#This Row],[_DoneTo]]+1,GanttView[[#This Row],[Forecast Start]])))</f>
        <v>0</v>
      </c>
      <c r="R36" s="124" t="n">
        <f aca="false">IF(GanttView[[#This Row],[_RemFrom]]=0,0,GanttView[[#This Row],[Forecast Finish]])</f>
        <v>0</v>
      </c>
      <c r="S36" s="123" t="b">
        <f aca="false">IF(IFERROR(INDEX(tsk_Name,GanttView[[#This Row],[_Row]])="",TRUE()),FALSE(),N(INDEX(tsk_Variance,GanttView[[#This Row],[_Row]]))&gt;0)</f>
        <v>0</v>
      </c>
      <c r="T36" s="124" t="n">
        <f aca="false">IF(IFERROR(INDEX(tsk_Name,GanttView[[#This Row],[_Row]])="",TRUE()),0,N(INDEX(tsk_Deadline,GanttView[[#This Row],[_Row]])))</f>
        <v>0</v>
      </c>
      <c r="U36" s="123" t="b">
        <f aca="false">IF(IFERROR(INDEX(tsk_Name,GanttView[[#This Row],[_Row]])="",TRUE()),FALSE(),INDEX(tsk_Critical,GanttView[[#This Row],[_Row]])="Yes")</f>
        <v>0</v>
      </c>
    </row>
    <row r="37" customFormat="false" ht="15" hidden="false" customHeight="false" outlineLevel="0" collapsed="false">
      <c r="A37" s="117" t="str">
        <f aca="false">IF(IFERROR(INDEX(tsk_Name,GanttView[[#This Row],[_Row]])="",TRUE()),"",INDEX(tsk_ID,GanttView[[#This Row],[_Row]]))</f>
        <v/>
      </c>
      <c r="B37" s="117" t="str">
        <f aca="false">IF(IFERROR(INDEX(tsk_Name,GanttView[[#This Row],[_Row]])="",TRUE()),"",INDEX(tsk_WBS,GanttView[[#This Row],[_Row]]))</f>
        <v/>
      </c>
      <c r="C37" s="118" t="str">
        <f aca="false">IF(IFERROR(INDEX(tsk_Name,GanttView[[#This Row],[_Row]])="",TRUE()),"",REPT("    ",INDEX(tsk_Level,GanttView[[#This Row],[_Row]])-1)&amp;INDEX(tsk_Name,GanttView[[#This Row],[_Row]]))</f>
        <v/>
      </c>
      <c r="D37" s="117" t="str">
        <f aca="false">IF(IFERROR(INDEX(tsk_Name,GanttView[[#This Row],[_Row]])="",TRUE()),"",IF(INDEX(tsk_IsSummary,GanttView[[#This Row],[_Row]]),NETWORKDAYS.INTL(INDEX(tsk_FcStart,GanttView[[#This Row],[_Row]]),INDEX(tsk_FcFinish,GanttView[[#This Row],[_Row]]),WorkWeek,Holidays),N(INDEX(tsk_Duration,GanttView[[#This Row],[_Row]]))))</f>
        <v/>
      </c>
      <c r="E37" s="119" t="str">
        <f aca="false">IF(IFERROR(INDEX(tsk_Name,GanttView[[#This Row],[_Row]])="",TRUE()),"",INDEX(tsk_PlanStart,GanttView[[#This Row],[_Row]]))</f>
        <v/>
      </c>
      <c r="F37" s="119" t="str">
        <f aca="false">IF(IFERROR(INDEX(tsk_Name,GanttView[[#This Row],[_Row]])="",TRUE()),"",INDEX(tsk_PlanFinish,GanttView[[#This Row],[_Row]]))</f>
        <v/>
      </c>
      <c r="G37" s="119" t="str">
        <f aca="false">IF(IFERROR(INDEX(tsk_Name,GanttView[[#This Row],[_Row]])="",TRUE()),"",INDEX(tsk_FcStart,GanttView[[#This Row],[_Row]]))</f>
        <v/>
      </c>
      <c r="H37" s="119" t="str">
        <f aca="false">IF(IFERROR(INDEX(tsk_Name,GanttView[[#This Row],[_Row]])="",TRUE()),"",INDEX(tsk_FcFinish,GanttView[[#This Row],[_Row]]))</f>
        <v/>
      </c>
      <c r="I37" s="120" t="str">
        <f aca="false">IF(IFERROR(INDEX(tsk_Name,GanttView[[#This Row],[_Row]])="",TRUE()),"",INDEX(tsk_Progress,GanttView[[#This Row],[_Row]]))</f>
        <v/>
      </c>
      <c r="J37" s="118" t="str">
        <f aca="false">IF(IFERROR(INDEX(tsk_Name,GanttView[[#This Row],[_Row]])="",TRUE()),"",INDEX(tsk_Resource,GanttView[[#This Row],[_Row]])&amp;"")</f>
        <v/>
      </c>
      <c r="K37" s="121" t="str">
        <f aca="false">IF(IFERROR(INDEX(tsk_Name,GanttView[[#This Row],[_Row]])="",TRUE()),"",INDEX(tsk_Status,GanttView[[#This Row],[_Row]]))</f>
        <v/>
      </c>
      <c r="L37" s="122" t="n">
        <f aca="false">ROW()-ROW(GanttView[[#Headers],[ID]])</f>
        <v>32</v>
      </c>
      <c r="M37" s="123" t="b">
        <f aca="false">IF(IFERROR(INDEX(tsk_Name,GanttView[[#This Row],[_Row]])="",TRUE()),FALSE(),INDEX(tsk_IsSummary,GanttView[[#This Row],[_Row]]))</f>
        <v>0</v>
      </c>
      <c r="N37" s="123" t="b">
        <f aca="false">IF(IFERROR(INDEX(tsk_Name,GanttView[[#This Row],[_Row]])="",TRUE()),FALSE(),AND(INDEX(tsk_IsLeaf,GanttView[[#This Row],[_Row]])=1,N(INDEX(tsk_Duration,GanttView[[#This Row],[_Row]]))=0))</f>
        <v>0</v>
      </c>
      <c r="O37" s="124" t="n">
        <f aca="false">IF(IFERROR(INDEX(tsk_Name,GanttView[[#This Row],[_Row]])="",TRUE()),0,IF(AND(INDEX(tsk_IsLeaf,GanttView[[#This Row],[_Row]])=1,NOT(GanttView[[#This Row],[_IsMilestone]]),N(GanttView[[#This Row],[%]])&gt;0),GanttView[[#This Row],[Forecast Start]],0))</f>
        <v>0</v>
      </c>
      <c r="P37" s="124" t="n">
        <f aca="false">IF(GanttView[[#This Row],[_DoneFrom]]=0,0,IF(GanttView[[#This Row],[%]]&gt;=1,GanttView[[#This Row],[Forecast Finish]],MAX(GanttView[[#This Row],[_DoneFrom]],GanttView[[#This Row],[Forecast Start]]+ROUND((GanttView[[#This Row],[Forecast Finish]]-GanttView[[#This Row],[Forecast Start]]+1)*GanttView[[#This Row],[%]],0)-1)))</f>
        <v>0</v>
      </c>
      <c r="Q37" s="124" t="n">
        <f aca="false">IF(IFERROR(INDEX(tsk_Name,GanttView[[#This Row],[_Row]])="",TRUE()),0,IF(OR(INDEX(tsk_IsLeaf,GanttView[[#This Row],[_Row]])&lt;&gt;1,GanttView[[#This Row],[_IsMilestone]],N(GanttView[[#This Row],[%]])&gt;=1),0,IF(GanttView[[#This Row],[_DoneTo]]&gt;0,GanttView[[#This Row],[_DoneTo]]+1,GanttView[[#This Row],[Forecast Start]])))</f>
        <v>0</v>
      </c>
      <c r="R37" s="124" t="n">
        <f aca="false">IF(GanttView[[#This Row],[_RemFrom]]=0,0,GanttView[[#This Row],[Forecast Finish]])</f>
        <v>0</v>
      </c>
      <c r="S37" s="123" t="b">
        <f aca="false">IF(IFERROR(INDEX(tsk_Name,GanttView[[#This Row],[_Row]])="",TRUE()),FALSE(),N(INDEX(tsk_Variance,GanttView[[#This Row],[_Row]]))&gt;0)</f>
        <v>0</v>
      </c>
      <c r="T37" s="124" t="n">
        <f aca="false">IF(IFERROR(INDEX(tsk_Name,GanttView[[#This Row],[_Row]])="",TRUE()),0,N(INDEX(tsk_Deadline,GanttView[[#This Row],[_Row]])))</f>
        <v>0</v>
      </c>
      <c r="U37" s="123" t="b">
        <f aca="false">IF(IFERROR(INDEX(tsk_Name,GanttView[[#This Row],[_Row]])="",TRUE()),FALSE(),INDEX(tsk_Critical,GanttView[[#This Row],[_Row]])="Yes")</f>
        <v>0</v>
      </c>
    </row>
    <row r="38" customFormat="false" ht="15" hidden="false" customHeight="false" outlineLevel="0" collapsed="false">
      <c r="A38" s="117" t="str">
        <f aca="false">IF(IFERROR(INDEX(tsk_Name,GanttView[[#This Row],[_Row]])="",TRUE()),"",INDEX(tsk_ID,GanttView[[#This Row],[_Row]]))</f>
        <v/>
      </c>
      <c r="B38" s="117" t="str">
        <f aca="false">IF(IFERROR(INDEX(tsk_Name,GanttView[[#This Row],[_Row]])="",TRUE()),"",INDEX(tsk_WBS,GanttView[[#This Row],[_Row]]))</f>
        <v/>
      </c>
      <c r="C38" s="118" t="str">
        <f aca="false">IF(IFERROR(INDEX(tsk_Name,GanttView[[#This Row],[_Row]])="",TRUE()),"",REPT("    ",INDEX(tsk_Level,GanttView[[#This Row],[_Row]])-1)&amp;INDEX(tsk_Name,GanttView[[#This Row],[_Row]]))</f>
        <v/>
      </c>
      <c r="D38" s="117" t="str">
        <f aca="false">IF(IFERROR(INDEX(tsk_Name,GanttView[[#This Row],[_Row]])="",TRUE()),"",IF(INDEX(tsk_IsSummary,GanttView[[#This Row],[_Row]]),NETWORKDAYS.INTL(INDEX(tsk_FcStart,GanttView[[#This Row],[_Row]]),INDEX(tsk_FcFinish,GanttView[[#This Row],[_Row]]),WorkWeek,Holidays),N(INDEX(tsk_Duration,GanttView[[#This Row],[_Row]]))))</f>
        <v/>
      </c>
      <c r="E38" s="119" t="str">
        <f aca="false">IF(IFERROR(INDEX(tsk_Name,GanttView[[#This Row],[_Row]])="",TRUE()),"",INDEX(tsk_PlanStart,GanttView[[#This Row],[_Row]]))</f>
        <v/>
      </c>
      <c r="F38" s="119" t="str">
        <f aca="false">IF(IFERROR(INDEX(tsk_Name,GanttView[[#This Row],[_Row]])="",TRUE()),"",INDEX(tsk_PlanFinish,GanttView[[#This Row],[_Row]]))</f>
        <v/>
      </c>
      <c r="G38" s="119" t="str">
        <f aca="false">IF(IFERROR(INDEX(tsk_Name,GanttView[[#This Row],[_Row]])="",TRUE()),"",INDEX(tsk_FcStart,GanttView[[#This Row],[_Row]]))</f>
        <v/>
      </c>
      <c r="H38" s="119" t="str">
        <f aca="false">IF(IFERROR(INDEX(tsk_Name,GanttView[[#This Row],[_Row]])="",TRUE()),"",INDEX(tsk_FcFinish,GanttView[[#This Row],[_Row]]))</f>
        <v/>
      </c>
      <c r="I38" s="120" t="str">
        <f aca="false">IF(IFERROR(INDEX(tsk_Name,GanttView[[#This Row],[_Row]])="",TRUE()),"",INDEX(tsk_Progress,GanttView[[#This Row],[_Row]]))</f>
        <v/>
      </c>
      <c r="J38" s="118" t="str">
        <f aca="false">IF(IFERROR(INDEX(tsk_Name,GanttView[[#This Row],[_Row]])="",TRUE()),"",INDEX(tsk_Resource,GanttView[[#This Row],[_Row]])&amp;"")</f>
        <v/>
      </c>
      <c r="K38" s="121" t="str">
        <f aca="false">IF(IFERROR(INDEX(tsk_Name,GanttView[[#This Row],[_Row]])="",TRUE()),"",INDEX(tsk_Status,GanttView[[#This Row],[_Row]]))</f>
        <v/>
      </c>
      <c r="L38" s="122" t="n">
        <f aca="false">ROW()-ROW(GanttView[[#Headers],[ID]])</f>
        <v>33</v>
      </c>
      <c r="M38" s="123" t="b">
        <f aca="false">IF(IFERROR(INDEX(tsk_Name,GanttView[[#This Row],[_Row]])="",TRUE()),FALSE(),INDEX(tsk_IsSummary,GanttView[[#This Row],[_Row]]))</f>
        <v>0</v>
      </c>
      <c r="N38" s="123" t="b">
        <f aca="false">IF(IFERROR(INDEX(tsk_Name,GanttView[[#This Row],[_Row]])="",TRUE()),FALSE(),AND(INDEX(tsk_IsLeaf,GanttView[[#This Row],[_Row]])=1,N(INDEX(tsk_Duration,GanttView[[#This Row],[_Row]]))=0))</f>
        <v>0</v>
      </c>
      <c r="O38" s="124" t="n">
        <f aca="false">IF(IFERROR(INDEX(tsk_Name,GanttView[[#This Row],[_Row]])="",TRUE()),0,IF(AND(INDEX(tsk_IsLeaf,GanttView[[#This Row],[_Row]])=1,NOT(GanttView[[#This Row],[_IsMilestone]]),N(GanttView[[#This Row],[%]])&gt;0),GanttView[[#This Row],[Forecast Start]],0))</f>
        <v>0</v>
      </c>
      <c r="P38" s="124" t="n">
        <f aca="false">IF(GanttView[[#This Row],[_DoneFrom]]=0,0,IF(GanttView[[#This Row],[%]]&gt;=1,GanttView[[#This Row],[Forecast Finish]],MAX(GanttView[[#This Row],[_DoneFrom]],GanttView[[#This Row],[Forecast Start]]+ROUND((GanttView[[#This Row],[Forecast Finish]]-GanttView[[#This Row],[Forecast Start]]+1)*GanttView[[#This Row],[%]],0)-1)))</f>
        <v>0</v>
      </c>
      <c r="Q38" s="124" t="n">
        <f aca="false">IF(IFERROR(INDEX(tsk_Name,GanttView[[#This Row],[_Row]])="",TRUE()),0,IF(OR(INDEX(tsk_IsLeaf,GanttView[[#This Row],[_Row]])&lt;&gt;1,GanttView[[#This Row],[_IsMilestone]],N(GanttView[[#This Row],[%]])&gt;=1),0,IF(GanttView[[#This Row],[_DoneTo]]&gt;0,GanttView[[#This Row],[_DoneTo]]+1,GanttView[[#This Row],[Forecast Start]])))</f>
        <v>0</v>
      </c>
      <c r="R38" s="124" t="n">
        <f aca="false">IF(GanttView[[#This Row],[_RemFrom]]=0,0,GanttView[[#This Row],[Forecast Finish]])</f>
        <v>0</v>
      </c>
      <c r="S38" s="123" t="b">
        <f aca="false">IF(IFERROR(INDEX(tsk_Name,GanttView[[#This Row],[_Row]])="",TRUE()),FALSE(),N(INDEX(tsk_Variance,GanttView[[#This Row],[_Row]]))&gt;0)</f>
        <v>0</v>
      </c>
      <c r="T38" s="124" t="n">
        <f aca="false">IF(IFERROR(INDEX(tsk_Name,GanttView[[#This Row],[_Row]])="",TRUE()),0,N(INDEX(tsk_Deadline,GanttView[[#This Row],[_Row]])))</f>
        <v>0</v>
      </c>
      <c r="U38" s="123" t="b">
        <f aca="false">IF(IFERROR(INDEX(tsk_Name,GanttView[[#This Row],[_Row]])="",TRUE()),FALSE(),INDEX(tsk_Critical,GanttView[[#This Row],[_Row]])="Yes")</f>
        <v>0</v>
      </c>
    </row>
    <row r="39" customFormat="false" ht="15" hidden="false" customHeight="false" outlineLevel="0" collapsed="false">
      <c r="A39" s="117" t="str">
        <f aca="false">IF(IFERROR(INDEX(tsk_Name,GanttView[[#This Row],[_Row]])="",TRUE()),"",INDEX(tsk_ID,GanttView[[#This Row],[_Row]]))</f>
        <v/>
      </c>
      <c r="B39" s="117" t="str">
        <f aca="false">IF(IFERROR(INDEX(tsk_Name,GanttView[[#This Row],[_Row]])="",TRUE()),"",INDEX(tsk_WBS,GanttView[[#This Row],[_Row]]))</f>
        <v/>
      </c>
      <c r="C39" s="118" t="str">
        <f aca="false">IF(IFERROR(INDEX(tsk_Name,GanttView[[#This Row],[_Row]])="",TRUE()),"",REPT("    ",INDEX(tsk_Level,GanttView[[#This Row],[_Row]])-1)&amp;INDEX(tsk_Name,GanttView[[#This Row],[_Row]]))</f>
        <v/>
      </c>
      <c r="D39" s="117" t="str">
        <f aca="false">IF(IFERROR(INDEX(tsk_Name,GanttView[[#This Row],[_Row]])="",TRUE()),"",IF(INDEX(tsk_IsSummary,GanttView[[#This Row],[_Row]]),NETWORKDAYS.INTL(INDEX(tsk_FcStart,GanttView[[#This Row],[_Row]]),INDEX(tsk_FcFinish,GanttView[[#This Row],[_Row]]),WorkWeek,Holidays),N(INDEX(tsk_Duration,GanttView[[#This Row],[_Row]]))))</f>
        <v/>
      </c>
      <c r="E39" s="119" t="str">
        <f aca="false">IF(IFERROR(INDEX(tsk_Name,GanttView[[#This Row],[_Row]])="",TRUE()),"",INDEX(tsk_PlanStart,GanttView[[#This Row],[_Row]]))</f>
        <v/>
      </c>
      <c r="F39" s="119" t="str">
        <f aca="false">IF(IFERROR(INDEX(tsk_Name,GanttView[[#This Row],[_Row]])="",TRUE()),"",INDEX(tsk_PlanFinish,GanttView[[#This Row],[_Row]]))</f>
        <v/>
      </c>
      <c r="G39" s="119" t="str">
        <f aca="false">IF(IFERROR(INDEX(tsk_Name,GanttView[[#This Row],[_Row]])="",TRUE()),"",INDEX(tsk_FcStart,GanttView[[#This Row],[_Row]]))</f>
        <v/>
      </c>
      <c r="H39" s="119" t="str">
        <f aca="false">IF(IFERROR(INDEX(tsk_Name,GanttView[[#This Row],[_Row]])="",TRUE()),"",INDEX(tsk_FcFinish,GanttView[[#This Row],[_Row]]))</f>
        <v/>
      </c>
      <c r="I39" s="120" t="str">
        <f aca="false">IF(IFERROR(INDEX(tsk_Name,GanttView[[#This Row],[_Row]])="",TRUE()),"",INDEX(tsk_Progress,GanttView[[#This Row],[_Row]]))</f>
        <v/>
      </c>
      <c r="J39" s="118" t="str">
        <f aca="false">IF(IFERROR(INDEX(tsk_Name,GanttView[[#This Row],[_Row]])="",TRUE()),"",INDEX(tsk_Resource,GanttView[[#This Row],[_Row]])&amp;"")</f>
        <v/>
      </c>
      <c r="K39" s="121" t="str">
        <f aca="false">IF(IFERROR(INDEX(tsk_Name,GanttView[[#This Row],[_Row]])="",TRUE()),"",INDEX(tsk_Status,GanttView[[#This Row],[_Row]]))</f>
        <v/>
      </c>
      <c r="L39" s="122" t="n">
        <f aca="false">ROW()-ROW(GanttView[[#Headers],[ID]])</f>
        <v>34</v>
      </c>
      <c r="M39" s="123" t="b">
        <f aca="false">IF(IFERROR(INDEX(tsk_Name,GanttView[[#This Row],[_Row]])="",TRUE()),FALSE(),INDEX(tsk_IsSummary,GanttView[[#This Row],[_Row]]))</f>
        <v>0</v>
      </c>
      <c r="N39" s="123" t="b">
        <f aca="false">IF(IFERROR(INDEX(tsk_Name,GanttView[[#This Row],[_Row]])="",TRUE()),FALSE(),AND(INDEX(tsk_IsLeaf,GanttView[[#This Row],[_Row]])=1,N(INDEX(tsk_Duration,GanttView[[#This Row],[_Row]]))=0))</f>
        <v>0</v>
      </c>
      <c r="O39" s="124" t="n">
        <f aca="false">IF(IFERROR(INDEX(tsk_Name,GanttView[[#This Row],[_Row]])="",TRUE()),0,IF(AND(INDEX(tsk_IsLeaf,GanttView[[#This Row],[_Row]])=1,NOT(GanttView[[#This Row],[_IsMilestone]]),N(GanttView[[#This Row],[%]])&gt;0),GanttView[[#This Row],[Forecast Start]],0))</f>
        <v>0</v>
      </c>
      <c r="P39" s="124" t="n">
        <f aca="false">IF(GanttView[[#This Row],[_DoneFrom]]=0,0,IF(GanttView[[#This Row],[%]]&gt;=1,GanttView[[#This Row],[Forecast Finish]],MAX(GanttView[[#This Row],[_DoneFrom]],GanttView[[#This Row],[Forecast Start]]+ROUND((GanttView[[#This Row],[Forecast Finish]]-GanttView[[#This Row],[Forecast Start]]+1)*GanttView[[#This Row],[%]],0)-1)))</f>
        <v>0</v>
      </c>
      <c r="Q39" s="124" t="n">
        <f aca="false">IF(IFERROR(INDEX(tsk_Name,GanttView[[#This Row],[_Row]])="",TRUE()),0,IF(OR(INDEX(tsk_IsLeaf,GanttView[[#This Row],[_Row]])&lt;&gt;1,GanttView[[#This Row],[_IsMilestone]],N(GanttView[[#This Row],[%]])&gt;=1),0,IF(GanttView[[#This Row],[_DoneTo]]&gt;0,GanttView[[#This Row],[_DoneTo]]+1,GanttView[[#This Row],[Forecast Start]])))</f>
        <v>0</v>
      </c>
      <c r="R39" s="124" t="n">
        <f aca="false">IF(GanttView[[#This Row],[_RemFrom]]=0,0,GanttView[[#This Row],[Forecast Finish]])</f>
        <v>0</v>
      </c>
      <c r="S39" s="123" t="b">
        <f aca="false">IF(IFERROR(INDEX(tsk_Name,GanttView[[#This Row],[_Row]])="",TRUE()),FALSE(),N(INDEX(tsk_Variance,GanttView[[#This Row],[_Row]]))&gt;0)</f>
        <v>0</v>
      </c>
      <c r="T39" s="124" t="n">
        <f aca="false">IF(IFERROR(INDEX(tsk_Name,GanttView[[#This Row],[_Row]])="",TRUE()),0,N(INDEX(tsk_Deadline,GanttView[[#This Row],[_Row]])))</f>
        <v>0</v>
      </c>
      <c r="U39" s="123" t="b">
        <f aca="false">IF(IFERROR(INDEX(tsk_Name,GanttView[[#This Row],[_Row]])="",TRUE()),FALSE(),INDEX(tsk_Critical,GanttView[[#This Row],[_Row]])="Yes")</f>
        <v>0</v>
      </c>
    </row>
    <row r="40" customFormat="false" ht="15" hidden="false" customHeight="false" outlineLevel="0" collapsed="false">
      <c r="A40" s="117" t="str">
        <f aca="false">IF(IFERROR(INDEX(tsk_Name,GanttView[[#This Row],[_Row]])="",TRUE()),"",INDEX(tsk_ID,GanttView[[#This Row],[_Row]]))</f>
        <v/>
      </c>
      <c r="B40" s="117" t="str">
        <f aca="false">IF(IFERROR(INDEX(tsk_Name,GanttView[[#This Row],[_Row]])="",TRUE()),"",INDEX(tsk_WBS,GanttView[[#This Row],[_Row]]))</f>
        <v/>
      </c>
      <c r="C40" s="118" t="str">
        <f aca="false">IF(IFERROR(INDEX(tsk_Name,GanttView[[#This Row],[_Row]])="",TRUE()),"",REPT("    ",INDEX(tsk_Level,GanttView[[#This Row],[_Row]])-1)&amp;INDEX(tsk_Name,GanttView[[#This Row],[_Row]]))</f>
        <v/>
      </c>
      <c r="D40" s="117" t="str">
        <f aca="false">IF(IFERROR(INDEX(tsk_Name,GanttView[[#This Row],[_Row]])="",TRUE()),"",IF(INDEX(tsk_IsSummary,GanttView[[#This Row],[_Row]]),NETWORKDAYS.INTL(INDEX(tsk_FcStart,GanttView[[#This Row],[_Row]]),INDEX(tsk_FcFinish,GanttView[[#This Row],[_Row]]),WorkWeek,Holidays),N(INDEX(tsk_Duration,GanttView[[#This Row],[_Row]]))))</f>
        <v/>
      </c>
      <c r="E40" s="119" t="str">
        <f aca="false">IF(IFERROR(INDEX(tsk_Name,GanttView[[#This Row],[_Row]])="",TRUE()),"",INDEX(tsk_PlanStart,GanttView[[#This Row],[_Row]]))</f>
        <v/>
      </c>
      <c r="F40" s="119" t="str">
        <f aca="false">IF(IFERROR(INDEX(tsk_Name,GanttView[[#This Row],[_Row]])="",TRUE()),"",INDEX(tsk_PlanFinish,GanttView[[#This Row],[_Row]]))</f>
        <v/>
      </c>
      <c r="G40" s="119" t="str">
        <f aca="false">IF(IFERROR(INDEX(tsk_Name,GanttView[[#This Row],[_Row]])="",TRUE()),"",INDEX(tsk_FcStart,GanttView[[#This Row],[_Row]]))</f>
        <v/>
      </c>
      <c r="H40" s="119" t="str">
        <f aca="false">IF(IFERROR(INDEX(tsk_Name,GanttView[[#This Row],[_Row]])="",TRUE()),"",INDEX(tsk_FcFinish,GanttView[[#This Row],[_Row]]))</f>
        <v/>
      </c>
      <c r="I40" s="120" t="str">
        <f aca="false">IF(IFERROR(INDEX(tsk_Name,GanttView[[#This Row],[_Row]])="",TRUE()),"",INDEX(tsk_Progress,GanttView[[#This Row],[_Row]]))</f>
        <v/>
      </c>
      <c r="J40" s="118" t="str">
        <f aca="false">IF(IFERROR(INDEX(tsk_Name,GanttView[[#This Row],[_Row]])="",TRUE()),"",INDEX(tsk_Resource,GanttView[[#This Row],[_Row]])&amp;"")</f>
        <v/>
      </c>
      <c r="K40" s="121" t="str">
        <f aca="false">IF(IFERROR(INDEX(tsk_Name,GanttView[[#This Row],[_Row]])="",TRUE()),"",INDEX(tsk_Status,GanttView[[#This Row],[_Row]]))</f>
        <v/>
      </c>
      <c r="L40" s="122" t="n">
        <f aca="false">ROW()-ROW(GanttView[[#Headers],[ID]])</f>
        <v>35</v>
      </c>
      <c r="M40" s="123" t="b">
        <f aca="false">IF(IFERROR(INDEX(tsk_Name,GanttView[[#This Row],[_Row]])="",TRUE()),FALSE(),INDEX(tsk_IsSummary,GanttView[[#This Row],[_Row]]))</f>
        <v>0</v>
      </c>
      <c r="N40" s="123" t="b">
        <f aca="false">IF(IFERROR(INDEX(tsk_Name,GanttView[[#This Row],[_Row]])="",TRUE()),FALSE(),AND(INDEX(tsk_IsLeaf,GanttView[[#This Row],[_Row]])=1,N(INDEX(tsk_Duration,GanttView[[#This Row],[_Row]]))=0))</f>
        <v>0</v>
      </c>
      <c r="O40" s="124" t="n">
        <f aca="false">IF(IFERROR(INDEX(tsk_Name,GanttView[[#This Row],[_Row]])="",TRUE()),0,IF(AND(INDEX(tsk_IsLeaf,GanttView[[#This Row],[_Row]])=1,NOT(GanttView[[#This Row],[_IsMilestone]]),N(GanttView[[#This Row],[%]])&gt;0),GanttView[[#This Row],[Forecast Start]],0))</f>
        <v>0</v>
      </c>
      <c r="P40" s="124" t="n">
        <f aca="false">IF(GanttView[[#This Row],[_DoneFrom]]=0,0,IF(GanttView[[#This Row],[%]]&gt;=1,GanttView[[#This Row],[Forecast Finish]],MAX(GanttView[[#This Row],[_DoneFrom]],GanttView[[#This Row],[Forecast Start]]+ROUND((GanttView[[#This Row],[Forecast Finish]]-GanttView[[#This Row],[Forecast Start]]+1)*GanttView[[#This Row],[%]],0)-1)))</f>
        <v>0</v>
      </c>
      <c r="Q40" s="124" t="n">
        <f aca="false">IF(IFERROR(INDEX(tsk_Name,GanttView[[#This Row],[_Row]])="",TRUE()),0,IF(OR(INDEX(tsk_IsLeaf,GanttView[[#This Row],[_Row]])&lt;&gt;1,GanttView[[#This Row],[_IsMilestone]],N(GanttView[[#This Row],[%]])&gt;=1),0,IF(GanttView[[#This Row],[_DoneTo]]&gt;0,GanttView[[#This Row],[_DoneTo]]+1,GanttView[[#This Row],[Forecast Start]])))</f>
        <v>0</v>
      </c>
      <c r="R40" s="124" t="n">
        <f aca="false">IF(GanttView[[#This Row],[_RemFrom]]=0,0,GanttView[[#This Row],[Forecast Finish]])</f>
        <v>0</v>
      </c>
      <c r="S40" s="123" t="b">
        <f aca="false">IF(IFERROR(INDEX(tsk_Name,GanttView[[#This Row],[_Row]])="",TRUE()),FALSE(),N(INDEX(tsk_Variance,GanttView[[#This Row],[_Row]]))&gt;0)</f>
        <v>0</v>
      </c>
      <c r="T40" s="124" t="n">
        <f aca="false">IF(IFERROR(INDEX(tsk_Name,GanttView[[#This Row],[_Row]])="",TRUE()),0,N(INDEX(tsk_Deadline,GanttView[[#This Row],[_Row]])))</f>
        <v>0</v>
      </c>
      <c r="U40" s="123" t="b">
        <f aca="false">IF(IFERROR(INDEX(tsk_Name,GanttView[[#This Row],[_Row]])="",TRUE()),FALSE(),INDEX(tsk_Critical,GanttView[[#This Row],[_Row]])="Yes")</f>
        <v>0</v>
      </c>
    </row>
    <row r="41" customFormat="false" ht="15" hidden="false" customHeight="false" outlineLevel="0" collapsed="false">
      <c r="A41" s="117" t="str">
        <f aca="false">IF(IFERROR(INDEX(tsk_Name,GanttView[[#This Row],[_Row]])="",TRUE()),"",INDEX(tsk_ID,GanttView[[#This Row],[_Row]]))</f>
        <v/>
      </c>
      <c r="B41" s="117" t="str">
        <f aca="false">IF(IFERROR(INDEX(tsk_Name,GanttView[[#This Row],[_Row]])="",TRUE()),"",INDEX(tsk_WBS,GanttView[[#This Row],[_Row]]))</f>
        <v/>
      </c>
      <c r="C41" s="118" t="str">
        <f aca="false">IF(IFERROR(INDEX(tsk_Name,GanttView[[#This Row],[_Row]])="",TRUE()),"",REPT("    ",INDEX(tsk_Level,GanttView[[#This Row],[_Row]])-1)&amp;INDEX(tsk_Name,GanttView[[#This Row],[_Row]]))</f>
        <v/>
      </c>
      <c r="D41" s="117" t="str">
        <f aca="false">IF(IFERROR(INDEX(tsk_Name,GanttView[[#This Row],[_Row]])="",TRUE()),"",IF(INDEX(tsk_IsSummary,GanttView[[#This Row],[_Row]]),NETWORKDAYS.INTL(INDEX(tsk_FcStart,GanttView[[#This Row],[_Row]]),INDEX(tsk_FcFinish,GanttView[[#This Row],[_Row]]),WorkWeek,Holidays),N(INDEX(tsk_Duration,GanttView[[#This Row],[_Row]]))))</f>
        <v/>
      </c>
      <c r="E41" s="119" t="str">
        <f aca="false">IF(IFERROR(INDEX(tsk_Name,GanttView[[#This Row],[_Row]])="",TRUE()),"",INDEX(tsk_PlanStart,GanttView[[#This Row],[_Row]]))</f>
        <v/>
      </c>
      <c r="F41" s="119" t="str">
        <f aca="false">IF(IFERROR(INDEX(tsk_Name,GanttView[[#This Row],[_Row]])="",TRUE()),"",INDEX(tsk_PlanFinish,GanttView[[#This Row],[_Row]]))</f>
        <v/>
      </c>
      <c r="G41" s="119" t="str">
        <f aca="false">IF(IFERROR(INDEX(tsk_Name,GanttView[[#This Row],[_Row]])="",TRUE()),"",INDEX(tsk_FcStart,GanttView[[#This Row],[_Row]]))</f>
        <v/>
      </c>
      <c r="H41" s="119" t="str">
        <f aca="false">IF(IFERROR(INDEX(tsk_Name,GanttView[[#This Row],[_Row]])="",TRUE()),"",INDEX(tsk_FcFinish,GanttView[[#This Row],[_Row]]))</f>
        <v/>
      </c>
      <c r="I41" s="120" t="str">
        <f aca="false">IF(IFERROR(INDEX(tsk_Name,GanttView[[#This Row],[_Row]])="",TRUE()),"",INDEX(tsk_Progress,GanttView[[#This Row],[_Row]]))</f>
        <v/>
      </c>
      <c r="J41" s="118" t="str">
        <f aca="false">IF(IFERROR(INDEX(tsk_Name,GanttView[[#This Row],[_Row]])="",TRUE()),"",INDEX(tsk_Resource,GanttView[[#This Row],[_Row]])&amp;"")</f>
        <v/>
      </c>
      <c r="K41" s="121" t="str">
        <f aca="false">IF(IFERROR(INDEX(tsk_Name,GanttView[[#This Row],[_Row]])="",TRUE()),"",INDEX(tsk_Status,GanttView[[#This Row],[_Row]]))</f>
        <v/>
      </c>
      <c r="L41" s="122" t="n">
        <f aca="false">ROW()-ROW(GanttView[[#Headers],[ID]])</f>
        <v>36</v>
      </c>
      <c r="M41" s="123" t="b">
        <f aca="false">IF(IFERROR(INDEX(tsk_Name,GanttView[[#This Row],[_Row]])="",TRUE()),FALSE(),INDEX(tsk_IsSummary,GanttView[[#This Row],[_Row]]))</f>
        <v>0</v>
      </c>
      <c r="N41" s="123" t="b">
        <f aca="false">IF(IFERROR(INDEX(tsk_Name,GanttView[[#This Row],[_Row]])="",TRUE()),FALSE(),AND(INDEX(tsk_IsLeaf,GanttView[[#This Row],[_Row]])=1,N(INDEX(tsk_Duration,GanttView[[#This Row],[_Row]]))=0))</f>
        <v>0</v>
      </c>
      <c r="O41" s="124" t="n">
        <f aca="false">IF(IFERROR(INDEX(tsk_Name,GanttView[[#This Row],[_Row]])="",TRUE()),0,IF(AND(INDEX(tsk_IsLeaf,GanttView[[#This Row],[_Row]])=1,NOT(GanttView[[#This Row],[_IsMilestone]]),N(GanttView[[#This Row],[%]])&gt;0),GanttView[[#This Row],[Forecast Start]],0))</f>
        <v>0</v>
      </c>
      <c r="P41" s="124" t="n">
        <f aca="false">IF(GanttView[[#This Row],[_DoneFrom]]=0,0,IF(GanttView[[#This Row],[%]]&gt;=1,GanttView[[#This Row],[Forecast Finish]],MAX(GanttView[[#This Row],[_DoneFrom]],GanttView[[#This Row],[Forecast Start]]+ROUND((GanttView[[#This Row],[Forecast Finish]]-GanttView[[#This Row],[Forecast Start]]+1)*GanttView[[#This Row],[%]],0)-1)))</f>
        <v>0</v>
      </c>
      <c r="Q41" s="124" t="n">
        <f aca="false">IF(IFERROR(INDEX(tsk_Name,GanttView[[#This Row],[_Row]])="",TRUE()),0,IF(OR(INDEX(tsk_IsLeaf,GanttView[[#This Row],[_Row]])&lt;&gt;1,GanttView[[#This Row],[_IsMilestone]],N(GanttView[[#This Row],[%]])&gt;=1),0,IF(GanttView[[#This Row],[_DoneTo]]&gt;0,GanttView[[#This Row],[_DoneTo]]+1,GanttView[[#This Row],[Forecast Start]])))</f>
        <v>0</v>
      </c>
      <c r="R41" s="124" t="n">
        <f aca="false">IF(GanttView[[#This Row],[_RemFrom]]=0,0,GanttView[[#This Row],[Forecast Finish]])</f>
        <v>0</v>
      </c>
      <c r="S41" s="123" t="b">
        <f aca="false">IF(IFERROR(INDEX(tsk_Name,GanttView[[#This Row],[_Row]])="",TRUE()),FALSE(),N(INDEX(tsk_Variance,GanttView[[#This Row],[_Row]]))&gt;0)</f>
        <v>0</v>
      </c>
      <c r="T41" s="124" t="n">
        <f aca="false">IF(IFERROR(INDEX(tsk_Name,GanttView[[#This Row],[_Row]])="",TRUE()),0,N(INDEX(tsk_Deadline,GanttView[[#This Row],[_Row]])))</f>
        <v>0</v>
      </c>
      <c r="U41" s="123" t="b">
        <f aca="false">IF(IFERROR(INDEX(tsk_Name,GanttView[[#This Row],[_Row]])="",TRUE()),FALSE(),INDEX(tsk_Critical,GanttView[[#This Row],[_Row]])="Yes")</f>
        <v>0</v>
      </c>
    </row>
    <row r="42" customFormat="false" ht="15" hidden="false" customHeight="false" outlineLevel="0" collapsed="false">
      <c r="A42" s="117" t="str">
        <f aca="false">IF(IFERROR(INDEX(tsk_Name,GanttView[[#This Row],[_Row]])="",TRUE()),"",INDEX(tsk_ID,GanttView[[#This Row],[_Row]]))</f>
        <v/>
      </c>
      <c r="B42" s="117" t="str">
        <f aca="false">IF(IFERROR(INDEX(tsk_Name,GanttView[[#This Row],[_Row]])="",TRUE()),"",INDEX(tsk_WBS,GanttView[[#This Row],[_Row]]))</f>
        <v/>
      </c>
      <c r="C42" s="118" t="str">
        <f aca="false">IF(IFERROR(INDEX(tsk_Name,GanttView[[#This Row],[_Row]])="",TRUE()),"",REPT("    ",INDEX(tsk_Level,GanttView[[#This Row],[_Row]])-1)&amp;INDEX(tsk_Name,GanttView[[#This Row],[_Row]]))</f>
        <v/>
      </c>
      <c r="D42" s="117" t="str">
        <f aca="false">IF(IFERROR(INDEX(tsk_Name,GanttView[[#This Row],[_Row]])="",TRUE()),"",IF(INDEX(tsk_IsSummary,GanttView[[#This Row],[_Row]]),NETWORKDAYS.INTL(INDEX(tsk_FcStart,GanttView[[#This Row],[_Row]]),INDEX(tsk_FcFinish,GanttView[[#This Row],[_Row]]),WorkWeek,Holidays),N(INDEX(tsk_Duration,GanttView[[#This Row],[_Row]]))))</f>
        <v/>
      </c>
      <c r="E42" s="119" t="str">
        <f aca="false">IF(IFERROR(INDEX(tsk_Name,GanttView[[#This Row],[_Row]])="",TRUE()),"",INDEX(tsk_PlanStart,GanttView[[#This Row],[_Row]]))</f>
        <v/>
      </c>
      <c r="F42" s="119" t="str">
        <f aca="false">IF(IFERROR(INDEX(tsk_Name,GanttView[[#This Row],[_Row]])="",TRUE()),"",INDEX(tsk_PlanFinish,GanttView[[#This Row],[_Row]]))</f>
        <v/>
      </c>
      <c r="G42" s="119" t="str">
        <f aca="false">IF(IFERROR(INDEX(tsk_Name,GanttView[[#This Row],[_Row]])="",TRUE()),"",INDEX(tsk_FcStart,GanttView[[#This Row],[_Row]]))</f>
        <v/>
      </c>
      <c r="H42" s="119" t="str">
        <f aca="false">IF(IFERROR(INDEX(tsk_Name,GanttView[[#This Row],[_Row]])="",TRUE()),"",INDEX(tsk_FcFinish,GanttView[[#This Row],[_Row]]))</f>
        <v/>
      </c>
      <c r="I42" s="120" t="str">
        <f aca="false">IF(IFERROR(INDEX(tsk_Name,GanttView[[#This Row],[_Row]])="",TRUE()),"",INDEX(tsk_Progress,GanttView[[#This Row],[_Row]]))</f>
        <v/>
      </c>
      <c r="J42" s="118" t="str">
        <f aca="false">IF(IFERROR(INDEX(tsk_Name,GanttView[[#This Row],[_Row]])="",TRUE()),"",INDEX(tsk_Resource,GanttView[[#This Row],[_Row]])&amp;"")</f>
        <v/>
      </c>
      <c r="K42" s="121" t="str">
        <f aca="false">IF(IFERROR(INDEX(tsk_Name,GanttView[[#This Row],[_Row]])="",TRUE()),"",INDEX(tsk_Status,GanttView[[#This Row],[_Row]]))</f>
        <v/>
      </c>
      <c r="L42" s="122" t="n">
        <f aca="false">ROW()-ROW(GanttView[[#Headers],[ID]])</f>
        <v>37</v>
      </c>
      <c r="M42" s="123" t="b">
        <f aca="false">IF(IFERROR(INDEX(tsk_Name,GanttView[[#This Row],[_Row]])="",TRUE()),FALSE(),INDEX(tsk_IsSummary,GanttView[[#This Row],[_Row]]))</f>
        <v>0</v>
      </c>
      <c r="N42" s="123" t="b">
        <f aca="false">IF(IFERROR(INDEX(tsk_Name,GanttView[[#This Row],[_Row]])="",TRUE()),FALSE(),AND(INDEX(tsk_IsLeaf,GanttView[[#This Row],[_Row]])=1,N(INDEX(tsk_Duration,GanttView[[#This Row],[_Row]]))=0))</f>
        <v>0</v>
      </c>
      <c r="O42" s="124" t="n">
        <f aca="false">IF(IFERROR(INDEX(tsk_Name,GanttView[[#This Row],[_Row]])="",TRUE()),0,IF(AND(INDEX(tsk_IsLeaf,GanttView[[#This Row],[_Row]])=1,NOT(GanttView[[#This Row],[_IsMilestone]]),N(GanttView[[#This Row],[%]])&gt;0),GanttView[[#This Row],[Forecast Start]],0))</f>
        <v>0</v>
      </c>
      <c r="P42" s="124" t="n">
        <f aca="false">IF(GanttView[[#This Row],[_DoneFrom]]=0,0,IF(GanttView[[#This Row],[%]]&gt;=1,GanttView[[#This Row],[Forecast Finish]],MAX(GanttView[[#This Row],[_DoneFrom]],GanttView[[#This Row],[Forecast Start]]+ROUND((GanttView[[#This Row],[Forecast Finish]]-GanttView[[#This Row],[Forecast Start]]+1)*GanttView[[#This Row],[%]],0)-1)))</f>
        <v>0</v>
      </c>
      <c r="Q42" s="124" t="n">
        <f aca="false">IF(IFERROR(INDEX(tsk_Name,GanttView[[#This Row],[_Row]])="",TRUE()),0,IF(OR(INDEX(tsk_IsLeaf,GanttView[[#This Row],[_Row]])&lt;&gt;1,GanttView[[#This Row],[_IsMilestone]],N(GanttView[[#This Row],[%]])&gt;=1),0,IF(GanttView[[#This Row],[_DoneTo]]&gt;0,GanttView[[#This Row],[_DoneTo]]+1,GanttView[[#This Row],[Forecast Start]])))</f>
        <v>0</v>
      </c>
      <c r="R42" s="124" t="n">
        <f aca="false">IF(GanttView[[#This Row],[_RemFrom]]=0,0,GanttView[[#This Row],[Forecast Finish]])</f>
        <v>0</v>
      </c>
      <c r="S42" s="123" t="b">
        <f aca="false">IF(IFERROR(INDEX(tsk_Name,GanttView[[#This Row],[_Row]])="",TRUE()),FALSE(),N(INDEX(tsk_Variance,GanttView[[#This Row],[_Row]]))&gt;0)</f>
        <v>0</v>
      </c>
      <c r="T42" s="124" t="n">
        <f aca="false">IF(IFERROR(INDEX(tsk_Name,GanttView[[#This Row],[_Row]])="",TRUE()),0,N(INDEX(tsk_Deadline,GanttView[[#This Row],[_Row]])))</f>
        <v>0</v>
      </c>
      <c r="U42" s="123" t="b">
        <f aca="false">IF(IFERROR(INDEX(tsk_Name,GanttView[[#This Row],[_Row]])="",TRUE()),FALSE(),INDEX(tsk_Critical,GanttView[[#This Row],[_Row]])="Yes")</f>
        <v>0</v>
      </c>
    </row>
    <row r="43" customFormat="false" ht="15" hidden="false" customHeight="false" outlineLevel="0" collapsed="false">
      <c r="A43" s="117" t="str">
        <f aca="false">IF(IFERROR(INDEX(tsk_Name,GanttView[[#This Row],[_Row]])="",TRUE()),"",INDEX(tsk_ID,GanttView[[#This Row],[_Row]]))</f>
        <v/>
      </c>
      <c r="B43" s="117" t="str">
        <f aca="false">IF(IFERROR(INDEX(tsk_Name,GanttView[[#This Row],[_Row]])="",TRUE()),"",INDEX(tsk_WBS,GanttView[[#This Row],[_Row]]))</f>
        <v/>
      </c>
      <c r="C43" s="118" t="str">
        <f aca="false">IF(IFERROR(INDEX(tsk_Name,GanttView[[#This Row],[_Row]])="",TRUE()),"",REPT("    ",INDEX(tsk_Level,GanttView[[#This Row],[_Row]])-1)&amp;INDEX(tsk_Name,GanttView[[#This Row],[_Row]]))</f>
        <v/>
      </c>
      <c r="D43" s="117" t="str">
        <f aca="false">IF(IFERROR(INDEX(tsk_Name,GanttView[[#This Row],[_Row]])="",TRUE()),"",IF(INDEX(tsk_IsSummary,GanttView[[#This Row],[_Row]]),NETWORKDAYS.INTL(INDEX(tsk_FcStart,GanttView[[#This Row],[_Row]]),INDEX(tsk_FcFinish,GanttView[[#This Row],[_Row]]),WorkWeek,Holidays),N(INDEX(tsk_Duration,GanttView[[#This Row],[_Row]]))))</f>
        <v/>
      </c>
      <c r="E43" s="119" t="str">
        <f aca="false">IF(IFERROR(INDEX(tsk_Name,GanttView[[#This Row],[_Row]])="",TRUE()),"",INDEX(tsk_PlanStart,GanttView[[#This Row],[_Row]]))</f>
        <v/>
      </c>
      <c r="F43" s="119" t="str">
        <f aca="false">IF(IFERROR(INDEX(tsk_Name,GanttView[[#This Row],[_Row]])="",TRUE()),"",INDEX(tsk_PlanFinish,GanttView[[#This Row],[_Row]]))</f>
        <v/>
      </c>
      <c r="G43" s="119" t="str">
        <f aca="false">IF(IFERROR(INDEX(tsk_Name,GanttView[[#This Row],[_Row]])="",TRUE()),"",INDEX(tsk_FcStart,GanttView[[#This Row],[_Row]]))</f>
        <v/>
      </c>
      <c r="H43" s="119" t="str">
        <f aca="false">IF(IFERROR(INDEX(tsk_Name,GanttView[[#This Row],[_Row]])="",TRUE()),"",INDEX(tsk_FcFinish,GanttView[[#This Row],[_Row]]))</f>
        <v/>
      </c>
      <c r="I43" s="120" t="str">
        <f aca="false">IF(IFERROR(INDEX(tsk_Name,GanttView[[#This Row],[_Row]])="",TRUE()),"",INDEX(tsk_Progress,GanttView[[#This Row],[_Row]]))</f>
        <v/>
      </c>
      <c r="J43" s="118" t="str">
        <f aca="false">IF(IFERROR(INDEX(tsk_Name,GanttView[[#This Row],[_Row]])="",TRUE()),"",INDEX(tsk_Resource,GanttView[[#This Row],[_Row]])&amp;"")</f>
        <v/>
      </c>
      <c r="K43" s="121" t="str">
        <f aca="false">IF(IFERROR(INDEX(tsk_Name,GanttView[[#This Row],[_Row]])="",TRUE()),"",INDEX(tsk_Status,GanttView[[#This Row],[_Row]]))</f>
        <v/>
      </c>
      <c r="L43" s="122" t="n">
        <f aca="false">ROW()-ROW(GanttView[[#Headers],[ID]])</f>
        <v>38</v>
      </c>
      <c r="M43" s="123" t="b">
        <f aca="false">IF(IFERROR(INDEX(tsk_Name,GanttView[[#This Row],[_Row]])="",TRUE()),FALSE(),INDEX(tsk_IsSummary,GanttView[[#This Row],[_Row]]))</f>
        <v>0</v>
      </c>
      <c r="N43" s="123" t="b">
        <f aca="false">IF(IFERROR(INDEX(tsk_Name,GanttView[[#This Row],[_Row]])="",TRUE()),FALSE(),AND(INDEX(tsk_IsLeaf,GanttView[[#This Row],[_Row]])=1,N(INDEX(tsk_Duration,GanttView[[#This Row],[_Row]]))=0))</f>
        <v>0</v>
      </c>
      <c r="O43" s="124" t="n">
        <f aca="false">IF(IFERROR(INDEX(tsk_Name,GanttView[[#This Row],[_Row]])="",TRUE()),0,IF(AND(INDEX(tsk_IsLeaf,GanttView[[#This Row],[_Row]])=1,NOT(GanttView[[#This Row],[_IsMilestone]]),N(GanttView[[#This Row],[%]])&gt;0),GanttView[[#This Row],[Forecast Start]],0))</f>
        <v>0</v>
      </c>
      <c r="P43" s="124" t="n">
        <f aca="false">IF(GanttView[[#This Row],[_DoneFrom]]=0,0,IF(GanttView[[#This Row],[%]]&gt;=1,GanttView[[#This Row],[Forecast Finish]],MAX(GanttView[[#This Row],[_DoneFrom]],GanttView[[#This Row],[Forecast Start]]+ROUND((GanttView[[#This Row],[Forecast Finish]]-GanttView[[#This Row],[Forecast Start]]+1)*GanttView[[#This Row],[%]],0)-1)))</f>
        <v>0</v>
      </c>
      <c r="Q43" s="124" t="n">
        <f aca="false">IF(IFERROR(INDEX(tsk_Name,GanttView[[#This Row],[_Row]])="",TRUE()),0,IF(OR(INDEX(tsk_IsLeaf,GanttView[[#This Row],[_Row]])&lt;&gt;1,GanttView[[#This Row],[_IsMilestone]],N(GanttView[[#This Row],[%]])&gt;=1),0,IF(GanttView[[#This Row],[_DoneTo]]&gt;0,GanttView[[#This Row],[_DoneTo]]+1,GanttView[[#This Row],[Forecast Start]])))</f>
        <v>0</v>
      </c>
      <c r="R43" s="124" t="n">
        <f aca="false">IF(GanttView[[#This Row],[_RemFrom]]=0,0,GanttView[[#This Row],[Forecast Finish]])</f>
        <v>0</v>
      </c>
      <c r="S43" s="123" t="b">
        <f aca="false">IF(IFERROR(INDEX(tsk_Name,GanttView[[#This Row],[_Row]])="",TRUE()),FALSE(),N(INDEX(tsk_Variance,GanttView[[#This Row],[_Row]]))&gt;0)</f>
        <v>0</v>
      </c>
      <c r="T43" s="124" t="n">
        <f aca="false">IF(IFERROR(INDEX(tsk_Name,GanttView[[#This Row],[_Row]])="",TRUE()),0,N(INDEX(tsk_Deadline,GanttView[[#This Row],[_Row]])))</f>
        <v>0</v>
      </c>
      <c r="U43" s="123" t="b">
        <f aca="false">IF(IFERROR(INDEX(tsk_Name,GanttView[[#This Row],[_Row]])="",TRUE()),FALSE(),INDEX(tsk_Critical,GanttView[[#This Row],[_Row]])="Yes")</f>
        <v>0</v>
      </c>
    </row>
    <row r="44" customFormat="false" ht="15" hidden="false" customHeight="false" outlineLevel="0" collapsed="false">
      <c r="A44" s="117" t="str">
        <f aca="false">IF(IFERROR(INDEX(tsk_Name,GanttView[[#This Row],[_Row]])="",TRUE()),"",INDEX(tsk_ID,GanttView[[#This Row],[_Row]]))</f>
        <v/>
      </c>
      <c r="B44" s="117" t="str">
        <f aca="false">IF(IFERROR(INDEX(tsk_Name,GanttView[[#This Row],[_Row]])="",TRUE()),"",INDEX(tsk_WBS,GanttView[[#This Row],[_Row]]))</f>
        <v/>
      </c>
      <c r="C44" s="118" t="str">
        <f aca="false">IF(IFERROR(INDEX(tsk_Name,GanttView[[#This Row],[_Row]])="",TRUE()),"",REPT("    ",INDEX(tsk_Level,GanttView[[#This Row],[_Row]])-1)&amp;INDEX(tsk_Name,GanttView[[#This Row],[_Row]]))</f>
        <v/>
      </c>
      <c r="D44" s="117" t="str">
        <f aca="false">IF(IFERROR(INDEX(tsk_Name,GanttView[[#This Row],[_Row]])="",TRUE()),"",IF(INDEX(tsk_IsSummary,GanttView[[#This Row],[_Row]]),NETWORKDAYS.INTL(INDEX(tsk_FcStart,GanttView[[#This Row],[_Row]]),INDEX(tsk_FcFinish,GanttView[[#This Row],[_Row]]),WorkWeek,Holidays),N(INDEX(tsk_Duration,GanttView[[#This Row],[_Row]]))))</f>
        <v/>
      </c>
      <c r="E44" s="119" t="str">
        <f aca="false">IF(IFERROR(INDEX(tsk_Name,GanttView[[#This Row],[_Row]])="",TRUE()),"",INDEX(tsk_PlanStart,GanttView[[#This Row],[_Row]]))</f>
        <v/>
      </c>
      <c r="F44" s="119" t="str">
        <f aca="false">IF(IFERROR(INDEX(tsk_Name,GanttView[[#This Row],[_Row]])="",TRUE()),"",INDEX(tsk_PlanFinish,GanttView[[#This Row],[_Row]]))</f>
        <v/>
      </c>
      <c r="G44" s="119" t="str">
        <f aca="false">IF(IFERROR(INDEX(tsk_Name,GanttView[[#This Row],[_Row]])="",TRUE()),"",INDEX(tsk_FcStart,GanttView[[#This Row],[_Row]]))</f>
        <v/>
      </c>
      <c r="H44" s="119" t="str">
        <f aca="false">IF(IFERROR(INDEX(tsk_Name,GanttView[[#This Row],[_Row]])="",TRUE()),"",INDEX(tsk_FcFinish,GanttView[[#This Row],[_Row]]))</f>
        <v/>
      </c>
      <c r="I44" s="120" t="str">
        <f aca="false">IF(IFERROR(INDEX(tsk_Name,GanttView[[#This Row],[_Row]])="",TRUE()),"",INDEX(tsk_Progress,GanttView[[#This Row],[_Row]]))</f>
        <v/>
      </c>
      <c r="J44" s="118" t="str">
        <f aca="false">IF(IFERROR(INDEX(tsk_Name,GanttView[[#This Row],[_Row]])="",TRUE()),"",INDEX(tsk_Resource,GanttView[[#This Row],[_Row]])&amp;"")</f>
        <v/>
      </c>
      <c r="K44" s="121" t="str">
        <f aca="false">IF(IFERROR(INDEX(tsk_Name,GanttView[[#This Row],[_Row]])="",TRUE()),"",INDEX(tsk_Status,GanttView[[#This Row],[_Row]]))</f>
        <v/>
      </c>
      <c r="L44" s="122" t="n">
        <f aca="false">ROW()-ROW(GanttView[[#Headers],[ID]])</f>
        <v>39</v>
      </c>
      <c r="M44" s="123" t="b">
        <f aca="false">IF(IFERROR(INDEX(tsk_Name,GanttView[[#This Row],[_Row]])="",TRUE()),FALSE(),INDEX(tsk_IsSummary,GanttView[[#This Row],[_Row]]))</f>
        <v>0</v>
      </c>
      <c r="N44" s="123" t="b">
        <f aca="false">IF(IFERROR(INDEX(tsk_Name,GanttView[[#This Row],[_Row]])="",TRUE()),FALSE(),AND(INDEX(tsk_IsLeaf,GanttView[[#This Row],[_Row]])=1,N(INDEX(tsk_Duration,GanttView[[#This Row],[_Row]]))=0))</f>
        <v>0</v>
      </c>
      <c r="O44" s="124" t="n">
        <f aca="false">IF(IFERROR(INDEX(tsk_Name,GanttView[[#This Row],[_Row]])="",TRUE()),0,IF(AND(INDEX(tsk_IsLeaf,GanttView[[#This Row],[_Row]])=1,NOT(GanttView[[#This Row],[_IsMilestone]]),N(GanttView[[#This Row],[%]])&gt;0),GanttView[[#This Row],[Forecast Start]],0))</f>
        <v>0</v>
      </c>
      <c r="P44" s="124" t="n">
        <f aca="false">IF(GanttView[[#This Row],[_DoneFrom]]=0,0,IF(GanttView[[#This Row],[%]]&gt;=1,GanttView[[#This Row],[Forecast Finish]],MAX(GanttView[[#This Row],[_DoneFrom]],GanttView[[#This Row],[Forecast Start]]+ROUND((GanttView[[#This Row],[Forecast Finish]]-GanttView[[#This Row],[Forecast Start]]+1)*GanttView[[#This Row],[%]],0)-1)))</f>
        <v>0</v>
      </c>
      <c r="Q44" s="124" t="n">
        <f aca="false">IF(IFERROR(INDEX(tsk_Name,GanttView[[#This Row],[_Row]])="",TRUE()),0,IF(OR(INDEX(tsk_IsLeaf,GanttView[[#This Row],[_Row]])&lt;&gt;1,GanttView[[#This Row],[_IsMilestone]],N(GanttView[[#This Row],[%]])&gt;=1),0,IF(GanttView[[#This Row],[_DoneTo]]&gt;0,GanttView[[#This Row],[_DoneTo]]+1,GanttView[[#This Row],[Forecast Start]])))</f>
        <v>0</v>
      </c>
      <c r="R44" s="124" t="n">
        <f aca="false">IF(GanttView[[#This Row],[_RemFrom]]=0,0,GanttView[[#This Row],[Forecast Finish]])</f>
        <v>0</v>
      </c>
      <c r="S44" s="123" t="b">
        <f aca="false">IF(IFERROR(INDEX(tsk_Name,GanttView[[#This Row],[_Row]])="",TRUE()),FALSE(),N(INDEX(tsk_Variance,GanttView[[#This Row],[_Row]]))&gt;0)</f>
        <v>0</v>
      </c>
      <c r="T44" s="124" t="n">
        <f aca="false">IF(IFERROR(INDEX(tsk_Name,GanttView[[#This Row],[_Row]])="",TRUE()),0,N(INDEX(tsk_Deadline,GanttView[[#This Row],[_Row]])))</f>
        <v>0</v>
      </c>
      <c r="U44" s="123" t="b">
        <f aca="false">IF(IFERROR(INDEX(tsk_Name,GanttView[[#This Row],[_Row]])="",TRUE()),FALSE(),INDEX(tsk_Critical,GanttView[[#This Row],[_Row]])="Yes")</f>
        <v>0</v>
      </c>
    </row>
    <row r="45" customFormat="false" ht="15" hidden="false" customHeight="false" outlineLevel="0" collapsed="false">
      <c r="A45" s="117" t="str">
        <f aca="false">IF(IFERROR(INDEX(tsk_Name,GanttView[[#This Row],[_Row]])="",TRUE()),"",INDEX(tsk_ID,GanttView[[#This Row],[_Row]]))</f>
        <v/>
      </c>
      <c r="B45" s="117" t="str">
        <f aca="false">IF(IFERROR(INDEX(tsk_Name,GanttView[[#This Row],[_Row]])="",TRUE()),"",INDEX(tsk_WBS,GanttView[[#This Row],[_Row]]))</f>
        <v/>
      </c>
      <c r="C45" s="118" t="str">
        <f aca="false">IF(IFERROR(INDEX(tsk_Name,GanttView[[#This Row],[_Row]])="",TRUE()),"",REPT("    ",INDEX(tsk_Level,GanttView[[#This Row],[_Row]])-1)&amp;INDEX(tsk_Name,GanttView[[#This Row],[_Row]]))</f>
        <v/>
      </c>
      <c r="D45" s="117" t="str">
        <f aca="false">IF(IFERROR(INDEX(tsk_Name,GanttView[[#This Row],[_Row]])="",TRUE()),"",IF(INDEX(tsk_IsSummary,GanttView[[#This Row],[_Row]]),NETWORKDAYS.INTL(INDEX(tsk_FcStart,GanttView[[#This Row],[_Row]]),INDEX(tsk_FcFinish,GanttView[[#This Row],[_Row]]),WorkWeek,Holidays),N(INDEX(tsk_Duration,GanttView[[#This Row],[_Row]]))))</f>
        <v/>
      </c>
      <c r="E45" s="119" t="str">
        <f aca="false">IF(IFERROR(INDEX(tsk_Name,GanttView[[#This Row],[_Row]])="",TRUE()),"",INDEX(tsk_PlanStart,GanttView[[#This Row],[_Row]]))</f>
        <v/>
      </c>
      <c r="F45" s="119" t="str">
        <f aca="false">IF(IFERROR(INDEX(tsk_Name,GanttView[[#This Row],[_Row]])="",TRUE()),"",INDEX(tsk_PlanFinish,GanttView[[#This Row],[_Row]]))</f>
        <v/>
      </c>
      <c r="G45" s="119" t="str">
        <f aca="false">IF(IFERROR(INDEX(tsk_Name,GanttView[[#This Row],[_Row]])="",TRUE()),"",INDEX(tsk_FcStart,GanttView[[#This Row],[_Row]]))</f>
        <v/>
      </c>
      <c r="H45" s="119" t="str">
        <f aca="false">IF(IFERROR(INDEX(tsk_Name,GanttView[[#This Row],[_Row]])="",TRUE()),"",INDEX(tsk_FcFinish,GanttView[[#This Row],[_Row]]))</f>
        <v/>
      </c>
      <c r="I45" s="120" t="str">
        <f aca="false">IF(IFERROR(INDEX(tsk_Name,GanttView[[#This Row],[_Row]])="",TRUE()),"",INDEX(tsk_Progress,GanttView[[#This Row],[_Row]]))</f>
        <v/>
      </c>
      <c r="J45" s="118" t="str">
        <f aca="false">IF(IFERROR(INDEX(tsk_Name,GanttView[[#This Row],[_Row]])="",TRUE()),"",INDEX(tsk_Resource,GanttView[[#This Row],[_Row]])&amp;"")</f>
        <v/>
      </c>
      <c r="K45" s="121" t="str">
        <f aca="false">IF(IFERROR(INDEX(tsk_Name,GanttView[[#This Row],[_Row]])="",TRUE()),"",INDEX(tsk_Status,GanttView[[#This Row],[_Row]]))</f>
        <v/>
      </c>
      <c r="L45" s="122" t="n">
        <f aca="false">ROW()-ROW(GanttView[[#Headers],[ID]])</f>
        <v>40</v>
      </c>
      <c r="M45" s="123" t="b">
        <f aca="false">IF(IFERROR(INDEX(tsk_Name,GanttView[[#This Row],[_Row]])="",TRUE()),FALSE(),INDEX(tsk_IsSummary,GanttView[[#This Row],[_Row]]))</f>
        <v>0</v>
      </c>
      <c r="N45" s="123" t="b">
        <f aca="false">IF(IFERROR(INDEX(tsk_Name,GanttView[[#This Row],[_Row]])="",TRUE()),FALSE(),AND(INDEX(tsk_IsLeaf,GanttView[[#This Row],[_Row]])=1,N(INDEX(tsk_Duration,GanttView[[#This Row],[_Row]]))=0))</f>
        <v>0</v>
      </c>
      <c r="O45" s="124" t="n">
        <f aca="false">IF(IFERROR(INDEX(tsk_Name,GanttView[[#This Row],[_Row]])="",TRUE()),0,IF(AND(INDEX(tsk_IsLeaf,GanttView[[#This Row],[_Row]])=1,NOT(GanttView[[#This Row],[_IsMilestone]]),N(GanttView[[#This Row],[%]])&gt;0),GanttView[[#This Row],[Forecast Start]],0))</f>
        <v>0</v>
      </c>
      <c r="P45" s="124" t="n">
        <f aca="false">IF(GanttView[[#This Row],[_DoneFrom]]=0,0,IF(GanttView[[#This Row],[%]]&gt;=1,GanttView[[#This Row],[Forecast Finish]],MAX(GanttView[[#This Row],[_DoneFrom]],GanttView[[#This Row],[Forecast Start]]+ROUND((GanttView[[#This Row],[Forecast Finish]]-GanttView[[#This Row],[Forecast Start]]+1)*GanttView[[#This Row],[%]],0)-1)))</f>
        <v>0</v>
      </c>
      <c r="Q45" s="124" t="n">
        <f aca="false">IF(IFERROR(INDEX(tsk_Name,GanttView[[#This Row],[_Row]])="",TRUE()),0,IF(OR(INDEX(tsk_IsLeaf,GanttView[[#This Row],[_Row]])&lt;&gt;1,GanttView[[#This Row],[_IsMilestone]],N(GanttView[[#This Row],[%]])&gt;=1),0,IF(GanttView[[#This Row],[_DoneTo]]&gt;0,GanttView[[#This Row],[_DoneTo]]+1,GanttView[[#This Row],[Forecast Start]])))</f>
        <v>0</v>
      </c>
      <c r="R45" s="124" t="n">
        <f aca="false">IF(GanttView[[#This Row],[_RemFrom]]=0,0,GanttView[[#This Row],[Forecast Finish]])</f>
        <v>0</v>
      </c>
      <c r="S45" s="123" t="b">
        <f aca="false">IF(IFERROR(INDEX(tsk_Name,GanttView[[#This Row],[_Row]])="",TRUE()),FALSE(),N(INDEX(tsk_Variance,GanttView[[#This Row],[_Row]]))&gt;0)</f>
        <v>0</v>
      </c>
      <c r="T45" s="124" t="n">
        <f aca="false">IF(IFERROR(INDEX(tsk_Name,GanttView[[#This Row],[_Row]])="",TRUE()),0,N(INDEX(tsk_Deadline,GanttView[[#This Row],[_Row]])))</f>
        <v>0</v>
      </c>
      <c r="U45" s="123" t="b">
        <f aca="false">IF(IFERROR(INDEX(tsk_Name,GanttView[[#This Row],[_Row]])="",TRUE()),FALSE(),INDEX(tsk_Critical,GanttView[[#This Row],[_Row]])="Yes")</f>
        <v>0</v>
      </c>
    </row>
    <row r="46" customFormat="false" ht="15" hidden="false" customHeight="false" outlineLevel="0" collapsed="false">
      <c r="A46" s="117" t="str">
        <f aca="false">IF(IFERROR(INDEX(tsk_Name,GanttView[[#This Row],[_Row]])="",TRUE()),"",INDEX(tsk_ID,GanttView[[#This Row],[_Row]]))</f>
        <v/>
      </c>
      <c r="B46" s="117" t="str">
        <f aca="false">IF(IFERROR(INDEX(tsk_Name,GanttView[[#This Row],[_Row]])="",TRUE()),"",INDEX(tsk_WBS,GanttView[[#This Row],[_Row]]))</f>
        <v/>
      </c>
      <c r="C46" s="118" t="str">
        <f aca="false">IF(IFERROR(INDEX(tsk_Name,GanttView[[#This Row],[_Row]])="",TRUE()),"",REPT("    ",INDEX(tsk_Level,GanttView[[#This Row],[_Row]])-1)&amp;INDEX(tsk_Name,GanttView[[#This Row],[_Row]]))</f>
        <v/>
      </c>
      <c r="D46" s="117" t="str">
        <f aca="false">IF(IFERROR(INDEX(tsk_Name,GanttView[[#This Row],[_Row]])="",TRUE()),"",IF(INDEX(tsk_IsSummary,GanttView[[#This Row],[_Row]]),NETWORKDAYS.INTL(INDEX(tsk_FcStart,GanttView[[#This Row],[_Row]]),INDEX(tsk_FcFinish,GanttView[[#This Row],[_Row]]),WorkWeek,Holidays),N(INDEX(tsk_Duration,GanttView[[#This Row],[_Row]]))))</f>
        <v/>
      </c>
      <c r="E46" s="119" t="str">
        <f aca="false">IF(IFERROR(INDEX(tsk_Name,GanttView[[#This Row],[_Row]])="",TRUE()),"",INDEX(tsk_PlanStart,GanttView[[#This Row],[_Row]]))</f>
        <v/>
      </c>
      <c r="F46" s="119" t="str">
        <f aca="false">IF(IFERROR(INDEX(tsk_Name,GanttView[[#This Row],[_Row]])="",TRUE()),"",INDEX(tsk_PlanFinish,GanttView[[#This Row],[_Row]]))</f>
        <v/>
      </c>
      <c r="G46" s="119" t="str">
        <f aca="false">IF(IFERROR(INDEX(tsk_Name,GanttView[[#This Row],[_Row]])="",TRUE()),"",INDEX(tsk_FcStart,GanttView[[#This Row],[_Row]]))</f>
        <v/>
      </c>
      <c r="H46" s="119" t="str">
        <f aca="false">IF(IFERROR(INDEX(tsk_Name,GanttView[[#This Row],[_Row]])="",TRUE()),"",INDEX(tsk_FcFinish,GanttView[[#This Row],[_Row]]))</f>
        <v/>
      </c>
      <c r="I46" s="120" t="str">
        <f aca="false">IF(IFERROR(INDEX(tsk_Name,GanttView[[#This Row],[_Row]])="",TRUE()),"",INDEX(tsk_Progress,GanttView[[#This Row],[_Row]]))</f>
        <v/>
      </c>
      <c r="J46" s="118" t="str">
        <f aca="false">IF(IFERROR(INDEX(tsk_Name,GanttView[[#This Row],[_Row]])="",TRUE()),"",INDEX(tsk_Resource,GanttView[[#This Row],[_Row]])&amp;"")</f>
        <v/>
      </c>
      <c r="K46" s="121" t="str">
        <f aca="false">IF(IFERROR(INDEX(tsk_Name,GanttView[[#This Row],[_Row]])="",TRUE()),"",INDEX(tsk_Status,GanttView[[#This Row],[_Row]]))</f>
        <v/>
      </c>
      <c r="L46" s="122" t="n">
        <f aca="false">ROW()-ROW(GanttView[[#Headers],[ID]])</f>
        <v>41</v>
      </c>
      <c r="M46" s="123" t="b">
        <f aca="false">IF(IFERROR(INDEX(tsk_Name,GanttView[[#This Row],[_Row]])="",TRUE()),FALSE(),INDEX(tsk_IsSummary,GanttView[[#This Row],[_Row]]))</f>
        <v>0</v>
      </c>
      <c r="N46" s="123" t="b">
        <f aca="false">IF(IFERROR(INDEX(tsk_Name,GanttView[[#This Row],[_Row]])="",TRUE()),FALSE(),AND(INDEX(tsk_IsLeaf,GanttView[[#This Row],[_Row]])=1,N(INDEX(tsk_Duration,GanttView[[#This Row],[_Row]]))=0))</f>
        <v>0</v>
      </c>
      <c r="O46" s="124" t="n">
        <f aca="false">IF(IFERROR(INDEX(tsk_Name,GanttView[[#This Row],[_Row]])="",TRUE()),0,IF(AND(INDEX(tsk_IsLeaf,GanttView[[#This Row],[_Row]])=1,NOT(GanttView[[#This Row],[_IsMilestone]]),N(GanttView[[#This Row],[%]])&gt;0),GanttView[[#This Row],[Forecast Start]],0))</f>
        <v>0</v>
      </c>
      <c r="P46" s="124" t="n">
        <f aca="false">IF(GanttView[[#This Row],[_DoneFrom]]=0,0,IF(GanttView[[#This Row],[%]]&gt;=1,GanttView[[#This Row],[Forecast Finish]],MAX(GanttView[[#This Row],[_DoneFrom]],GanttView[[#This Row],[Forecast Start]]+ROUND((GanttView[[#This Row],[Forecast Finish]]-GanttView[[#This Row],[Forecast Start]]+1)*GanttView[[#This Row],[%]],0)-1)))</f>
        <v>0</v>
      </c>
      <c r="Q46" s="124" t="n">
        <f aca="false">IF(IFERROR(INDEX(tsk_Name,GanttView[[#This Row],[_Row]])="",TRUE()),0,IF(OR(INDEX(tsk_IsLeaf,GanttView[[#This Row],[_Row]])&lt;&gt;1,GanttView[[#This Row],[_IsMilestone]],N(GanttView[[#This Row],[%]])&gt;=1),0,IF(GanttView[[#This Row],[_DoneTo]]&gt;0,GanttView[[#This Row],[_DoneTo]]+1,GanttView[[#This Row],[Forecast Start]])))</f>
        <v>0</v>
      </c>
      <c r="R46" s="124" t="n">
        <f aca="false">IF(GanttView[[#This Row],[_RemFrom]]=0,0,GanttView[[#This Row],[Forecast Finish]])</f>
        <v>0</v>
      </c>
      <c r="S46" s="123" t="b">
        <f aca="false">IF(IFERROR(INDEX(tsk_Name,GanttView[[#This Row],[_Row]])="",TRUE()),FALSE(),N(INDEX(tsk_Variance,GanttView[[#This Row],[_Row]]))&gt;0)</f>
        <v>0</v>
      </c>
      <c r="T46" s="124" t="n">
        <f aca="false">IF(IFERROR(INDEX(tsk_Name,GanttView[[#This Row],[_Row]])="",TRUE()),0,N(INDEX(tsk_Deadline,GanttView[[#This Row],[_Row]])))</f>
        <v>0</v>
      </c>
      <c r="U46" s="123" t="b">
        <f aca="false">IF(IFERROR(INDEX(tsk_Name,GanttView[[#This Row],[_Row]])="",TRUE()),FALSE(),INDEX(tsk_Critical,GanttView[[#This Row],[_Row]])="Yes")</f>
        <v>0</v>
      </c>
    </row>
    <row r="47" customFormat="false" ht="15" hidden="false" customHeight="false" outlineLevel="0" collapsed="false">
      <c r="A47" s="117" t="str">
        <f aca="false">IF(IFERROR(INDEX(tsk_Name,GanttView[[#This Row],[_Row]])="",TRUE()),"",INDEX(tsk_ID,GanttView[[#This Row],[_Row]]))</f>
        <v/>
      </c>
      <c r="B47" s="117" t="str">
        <f aca="false">IF(IFERROR(INDEX(tsk_Name,GanttView[[#This Row],[_Row]])="",TRUE()),"",INDEX(tsk_WBS,GanttView[[#This Row],[_Row]]))</f>
        <v/>
      </c>
      <c r="C47" s="118" t="str">
        <f aca="false">IF(IFERROR(INDEX(tsk_Name,GanttView[[#This Row],[_Row]])="",TRUE()),"",REPT("    ",INDEX(tsk_Level,GanttView[[#This Row],[_Row]])-1)&amp;INDEX(tsk_Name,GanttView[[#This Row],[_Row]]))</f>
        <v/>
      </c>
      <c r="D47" s="117" t="str">
        <f aca="false">IF(IFERROR(INDEX(tsk_Name,GanttView[[#This Row],[_Row]])="",TRUE()),"",IF(INDEX(tsk_IsSummary,GanttView[[#This Row],[_Row]]),NETWORKDAYS.INTL(INDEX(tsk_FcStart,GanttView[[#This Row],[_Row]]),INDEX(tsk_FcFinish,GanttView[[#This Row],[_Row]]),WorkWeek,Holidays),N(INDEX(tsk_Duration,GanttView[[#This Row],[_Row]]))))</f>
        <v/>
      </c>
      <c r="E47" s="119" t="str">
        <f aca="false">IF(IFERROR(INDEX(tsk_Name,GanttView[[#This Row],[_Row]])="",TRUE()),"",INDEX(tsk_PlanStart,GanttView[[#This Row],[_Row]]))</f>
        <v/>
      </c>
      <c r="F47" s="119" t="str">
        <f aca="false">IF(IFERROR(INDEX(tsk_Name,GanttView[[#This Row],[_Row]])="",TRUE()),"",INDEX(tsk_PlanFinish,GanttView[[#This Row],[_Row]]))</f>
        <v/>
      </c>
      <c r="G47" s="119" t="str">
        <f aca="false">IF(IFERROR(INDEX(tsk_Name,GanttView[[#This Row],[_Row]])="",TRUE()),"",INDEX(tsk_FcStart,GanttView[[#This Row],[_Row]]))</f>
        <v/>
      </c>
      <c r="H47" s="119" t="str">
        <f aca="false">IF(IFERROR(INDEX(tsk_Name,GanttView[[#This Row],[_Row]])="",TRUE()),"",INDEX(tsk_FcFinish,GanttView[[#This Row],[_Row]]))</f>
        <v/>
      </c>
      <c r="I47" s="120" t="str">
        <f aca="false">IF(IFERROR(INDEX(tsk_Name,GanttView[[#This Row],[_Row]])="",TRUE()),"",INDEX(tsk_Progress,GanttView[[#This Row],[_Row]]))</f>
        <v/>
      </c>
      <c r="J47" s="118" t="str">
        <f aca="false">IF(IFERROR(INDEX(tsk_Name,GanttView[[#This Row],[_Row]])="",TRUE()),"",INDEX(tsk_Resource,GanttView[[#This Row],[_Row]])&amp;"")</f>
        <v/>
      </c>
      <c r="K47" s="121" t="str">
        <f aca="false">IF(IFERROR(INDEX(tsk_Name,GanttView[[#This Row],[_Row]])="",TRUE()),"",INDEX(tsk_Status,GanttView[[#This Row],[_Row]]))</f>
        <v/>
      </c>
      <c r="L47" s="122" t="n">
        <f aca="false">ROW()-ROW(GanttView[[#Headers],[ID]])</f>
        <v>42</v>
      </c>
      <c r="M47" s="123" t="b">
        <f aca="false">IF(IFERROR(INDEX(tsk_Name,GanttView[[#This Row],[_Row]])="",TRUE()),FALSE(),INDEX(tsk_IsSummary,GanttView[[#This Row],[_Row]]))</f>
        <v>0</v>
      </c>
      <c r="N47" s="123" t="b">
        <f aca="false">IF(IFERROR(INDEX(tsk_Name,GanttView[[#This Row],[_Row]])="",TRUE()),FALSE(),AND(INDEX(tsk_IsLeaf,GanttView[[#This Row],[_Row]])=1,N(INDEX(tsk_Duration,GanttView[[#This Row],[_Row]]))=0))</f>
        <v>0</v>
      </c>
      <c r="O47" s="124" t="n">
        <f aca="false">IF(IFERROR(INDEX(tsk_Name,GanttView[[#This Row],[_Row]])="",TRUE()),0,IF(AND(INDEX(tsk_IsLeaf,GanttView[[#This Row],[_Row]])=1,NOT(GanttView[[#This Row],[_IsMilestone]]),N(GanttView[[#This Row],[%]])&gt;0),GanttView[[#This Row],[Forecast Start]],0))</f>
        <v>0</v>
      </c>
      <c r="P47" s="124" t="n">
        <f aca="false">IF(GanttView[[#This Row],[_DoneFrom]]=0,0,IF(GanttView[[#This Row],[%]]&gt;=1,GanttView[[#This Row],[Forecast Finish]],MAX(GanttView[[#This Row],[_DoneFrom]],GanttView[[#This Row],[Forecast Start]]+ROUND((GanttView[[#This Row],[Forecast Finish]]-GanttView[[#This Row],[Forecast Start]]+1)*GanttView[[#This Row],[%]],0)-1)))</f>
        <v>0</v>
      </c>
      <c r="Q47" s="124" t="n">
        <f aca="false">IF(IFERROR(INDEX(tsk_Name,GanttView[[#This Row],[_Row]])="",TRUE()),0,IF(OR(INDEX(tsk_IsLeaf,GanttView[[#This Row],[_Row]])&lt;&gt;1,GanttView[[#This Row],[_IsMilestone]],N(GanttView[[#This Row],[%]])&gt;=1),0,IF(GanttView[[#This Row],[_DoneTo]]&gt;0,GanttView[[#This Row],[_DoneTo]]+1,GanttView[[#This Row],[Forecast Start]])))</f>
        <v>0</v>
      </c>
      <c r="R47" s="124" t="n">
        <f aca="false">IF(GanttView[[#This Row],[_RemFrom]]=0,0,GanttView[[#This Row],[Forecast Finish]])</f>
        <v>0</v>
      </c>
      <c r="S47" s="123" t="b">
        <f aca="false">IF(IFERROR(INDEX(tsk_Name,GanttView[[#This Row],[_Row]])="",TRUE()),FALSE(),N(INDEX(tsk_Variance,GanttView[[#This Row],[_Row]]))&gt;0)</f>
        <v>0</v>
      </c>
      <c r="T47" s="124" t="n">
        <f aca="false">IF(IFERROR(INDEX(tsk_Name,GanttView[[#This Row],[_Row]])="",TRUE()),0,N(INDEX(tsk_Deadline,GanttView[[#This Row],[_Row]])))</f>
        <v>0</v>
      </c>
      <c r="U47" s="123" t="b">
        <f aca="false">IF(IFERROR(INDEX(tsk_Name,GanttView[[#This Row],[_Row]])="",TRUE()),FALSE(),INDEX(tsk_Critical,GanttView[[#This Row],[_Row]])="Yes")</f>
        <v>0</v>
      </c>
    </row>
    <row r="48" customFormat="false" ht="15" hidden="false" customHeight="false" outlineLevel="0" collapsed="false">
      <c r="A48" s="117" t="str">
        <f aca="false">IF(IFERROR(INDEX(tsk_Name,GanttView[[#This Row],[_Row]])="",TRUE()),"",INDEX(tsk_ID,GanttView[[#This Row],[_Row]]))</f>
        <v/>
      </c>
      <c r="B48" s="117" t="str">
        <f aca="false">IF(IFERROR(INDEX(tsk_Name,GanttView[[#This Row],[_Row]])="",TRUE()),"",INDEX(tsk_WBS,GanttView[[#This Row],[_Row]]))</f>
        <v/>
      </c>
      <c r="C48" s="118" t="str">
        <f aca="false">IF(IFERROR(INDEX(tsk_Name,GanttView[[#This Row],[_Row]])="",TRUE()),"",REPT("    ",INDEX(tsk_Level,GanttView[[#This Row],[_Row]])-1)&amp;INDEX(tsk_Name,GanttView[[#This Row],[_Row]]))</f>
        <v/>
      </c>
      <c r="D48" s="117" t="str">
        <f aca="false">IF(IFERROR(INDEX(tsk_Name,GanttView[[#This Row],[_Row]])="",TRUE()),"",IF(INDEX(tsk_IsSummary,GanttView[[#This Row],[_Row]]),NETWORKDAYS.INTL(INDEX(tsk_FcStart,GanttView[[#This Row],[_Row]]),INDEX(tsk_FcFinish,GanttView[[#This Row],[_Row]]),WorkWeek,Holidays),N(INDEX(tsk_Duration,GanttView[[#This Row],[_Row]]))))</f>
        <v/>
      </c>
      <c r="E48" s="119" t="str">
        <f aca="false">IF(IFERROR(INDEX(tsk_Name,GanttView[[#This Row],[_Row]])="",TRUE()),"",INDEX(tsk_PlanStart,GanttView[[#This Row],[_Row]]))</f>
        <v/>
      </c>
      <c r="F48" s="119" t="str">
        <f aca="false">IF(IFERROR(INDEX(tsk_Name,GanttView[[#This Row],[_Row]])="",TRUE()),"",INDEX(tsk_PlanFinish,GanttView[[#This Row],[_Row]]))</f>
        <v/>
      </c>
      <c r="G48" s="119" t="str">
        <f aca="false">IF(IFERROR(INDEX(tsk_Name,GanttView[[#This Row],[_Row]])="",TRUE()),"",INDEX(tsk_FcStart,GanttView[[#This Row],[_Row]]))</f>
        <v/>
      </c>
      <c r="H48" s="119" t="str">
        <f aca="false">IF(IFERROR(INDEX(tsk_Name,GanttView[[#This Row],[_Row]])="",TRUE()),"",INDEX(tsk_FcFinish,GanttView[[#This Row],[_Row]]))</f>
        <v/>
      </c>
      <c r="I48" s="120" t="str">
        <f aca="false">IF(IFERROR(INDEX(tsk_Name,GanttView[[#This Row],[_Row]])="",TRUE()),"",INDEX(tsk_Progress,GanttView[[#This Row],[_Row]]))</f>
        <v/>
      </c>
      <c r="J48" s="118" t="str">
        <f aca="false">IF(IFERROR(INDEX(tsk_Name,GanttView[[#This Row],[_Row]])="",TRUE()),"",INDEX(tsk_Resource,GanttView[[#This Row],[_Row]])&amp;"")</f>
        <v/>
      </c>
      <c r="K48" s="121" t="str">
        <f aca="false">IF(IFERROR(INDEX(tsk_Name,GanttView[[#This Row],[_Row]])="",TRUE()),"",INDEX(tsk_Status,GanttView[[#This Row],[_Row]]))</f>
        <v/>
      </c>
      <c r="L48" s="122" t="n">
        <f aca="false">ROW()-ROW(GanttView[[#Headers],[ID]])</f>
        <v>43</v>
      </c>
      <c r="M48" s="123" t="b">
        <f aca="false">IF(IFERROR(INDEX(tsk_Name,GanttView[[#This Row],[_Row]])="",TRUE()),FALSE(),INDEX(tsk_IsSummary,GanttView[[#This Row],[_Row]]))</f>
        <v>0</v>
      </c>
      <c r="N48" s="123" t="b">
        <f aca="false">IF(IFERROR(INDEX(tsk_Name,GanttView[[#This Row],[_Row]])="",TRUE()),FALSE(),AND(INDEX(tsk_IsLeaf,GanttView[[#This Row],[_Row]])=1,N(INDEX(tsk_Duration,GanttView[[#This Row],[_Row]]))=0))</f>
        <v>0</v>
      </c>
      <c r="O48" s="124" t="n">
        <f aca="false">IF(IFERROR(INDEX(tsk_Name,GanttView[[#This Row],[_Row]])="",TRUE()),0,IF(AND(INDEX(tsk_IsLeaf,GanttView[[#This Row],[_Row]])=1,NOT(GanttView[[#This Row],[_IsMilestone]]),N(GanttView[[#This Row],[%]])&gt;0),GanttView[[#This Row],[Forecast Start]],0))</f>
        <v>0</v>
      </c>
      <c r="P48" s="124" t="n">
        <f aca="false">IF(GanttView[[#This Row],[_DoneFrom]]=0,0,IF(GanttView[[#This Row],[%]]&gt;=1,GanttView[[#This Row],[Forecast Finish]],MAX(GanttView[[#This Row],[_DoneFrom]],GanttView[[#This Row],[Forecast Start]]+ROUND((GanttView[[#This Row],[Forecast Finish]]-GanttView[[#This Row],[Forecast Start]]+1)*GanttView[[#This Row],[%]],0)-1)))</f>
        <v>0</v>
      </c>
      <c r="Q48" s="124" t="n">
        <f aca="false">IF(IFERROR(INDEX(tsk_Name,GanttView[[#This Row],[_Row]])="",TRUE()),0,IF(OR(INDEX(tsk_IsLeaf,GanttView[[#This Row],[_Row]])&lt;&gt;1,GanttView[[#This Row],[_IsMilestone]],N(GanttView[[#This Row],[%]])&gt;=1),0,IF(GanttView[[#This Row],[_DoneTo]]&gt;0,GanttView[[#This Row],[_DoneTo]]+1,GanttView[[#This Row],[Forecast Start]])))</f>
        <v>0</v>
      </c>
      <c r="R48" s="124" t="n">
        <f aca="false">IF(GanttView[[#This Row],[_RemFrom]]=0,0,GanttView[[#This Row],[Forecast Finish]])</f>
        <v>0</v>
      </c>
      <c r="S48" s="123" t="b">
        <f aca="false">IF(IFERROR(INDEX(tsk_Name,GanttView[[#This Row],[_Row]])="",TRUE()),FALSE(),N(INDEX(tsk_Variance,GanttView[[#This Row],[_Row]]))&gt;0)</f>
        <v>0</v>
      </c>
      <c r="T48" s="124" t="n">
        <f aca="false">IF(IFERROR(INDEX(tsk_Name,GanttView[[#This Row],[_Row]])="",TRUE()),0,N(INDEX(tsk_Deadline,GanttView[[#This Row],[_Row]])))</f>
        <v>0</v>
      </c>
      <c r="U48" s="123" t="b">
        <f aca="false">IF(IFERROR(INDEX(tsk_Name,GanttView[[#This Row],[_Row]])="",TRUE()),FALSE(),INDEX(tsk_Critical,GanttView[[#This Row],[_Row]])="Yes")</f>
        <v>0</v>
      </c>
    </row>
    <row r="49" customFormat="false" ht="15" hidden="false" customHeight="false" outlineLevel="0" collapsed="false">
      <c r="A49" s="117" t="str">
        <f aca="false">IF(IFERROR(INDEX(tsk_Name,GanttView[[#This Row],[_Row]])="",TRUE()),"",INDEX(tsk_ID,GanttView[[#This Row],[_Row]]))</f>
        <v/>
      </c>
      <c r="B49" s="117" t="str">
        <f aca="false">IF(IFERROR(INDEX(tsk_Name,GanttView[[#This Row],[_Row]])="",TRUE()),"",INDEX(tsk_WBS,GanttView[[#This Row],[_Row]]))</f>
        <v/>
      </c>
      <c r="C49" s="118" t="str">
        <f aca="false">IF(IFERROR(INDEX(tsk_Name,GanttView[[#This Row],[_Row]])="",TRUE()),"",REPT("    ",INDEX(tsk_Level,GanttView[[#This Row],[_Row]])-1)&amp;INDEX(tsk_Name,GanttView[[#This Row],[_Row]]))</f>
        <v/>
      </c>
      <c r="D49" s="117" t="str">
        <f aca="false">IF(IFERROR(INDEX(tsk_Name,GanttView[[#This Row],[_Row]])="",TRUE()),"",IF(INDEX(tsk_IsSummary,GanttView[[#This Row],[_Row]]),NETWORKDAYS.INTL(INDEX(tsk_FcStart,GanttView[[#This Row],[_Row]]),INDEX(tsk_FcFinish,GanttView[[#This Row],[_Row]]),WorkWeek,Holidays),N(INDEX(tsk_Duration,GanttView[[#This Row],[_Row]]))))</f>
        <v/>
      </c>
      <c r="E49" s="119" t="str">
        <f aca="false">IF(IFERROR(INDEX(tsk_Name,GanttView[[#This Row],[_Row]])="",TRUE()),"",INDEX(tsk_PlanStart,GanttView[[#This Row],[_Row]]))</f>
        <v/>
      </c>
      <c r="F49" s="119" t="str">
        <f aca="false">IF(IFERROR(INDEX(tsk_Name,GanttView[[#This Row],[_Row]])="",TRUE()),"",INDEX(tsk_PlanFinish,GanttView[[#This Row],[_Row]]))</f>
        <v/>
      </c>
      <c r="G49" s="119" t="str">
        <f aca="false">IF(IFERROR(INDEX(tsk_Name,GanttView[[#This Row],[_Row]])="",TRUE()),"",INDEX(tsk_FcStart,GanttView[[#This Row],[_Row]]))</f>
        <v/>
      </c>
      <c r="H49" s="119" t="str">
        <f aca="false">IF(IFERROR(INDEX(tsk_Name,GanttView[[#This Row],[_Row]])="",TRUE()),"",INDEX(tsk_FcFinish,GanttView[[#This Row],[_Row]]))</f>
        <v/>
      </c>
      <c r="I49" s="120" t="str">
        <f aca="false">IF(IFERROR(INDEX(tsk_Name,GanttView[[#This Row],[_Row]])="",TRUE()),"",INDEX(tsk_Progress,GanttView[[#This Row],[_Row]]))</f>
        <v/>
      </c>
      <c r="J49" s="118" t="str">
        <f aca="false">IF(IFERROR(INDEX(tsk_Name,GanttView[[#This Row],[_Row]])="",TRUE()),"",INDEX(tsk_Resource,GanttView[[#This Row],[_Row]])&amp;"")</f>
        <v/>
      </c>
      <c r="K49" s="121" t="str">
        <f aca="false">IF(IFERROR(INDEX(tsk_Name,GanttView[[#This Row],[_Row]])="",TRUE()),"",INDEX(tsk_Status,GanttView[[#This Row],[_Row]]))</f>
        <v/>
      </c>
      <c r="L49" s="122" t="n">
        <f aca="false">ROW()-ROW(GanttView[[#Headers],[ID]])</f>
        <v>44</v>
      </c>
      <c r="M49" s="123" t="b">
        <f aca="false">IF(IFERROR(INDEX(tsk_Name,GanttView[[#This Row],[_Row]])="",TRUE()),FALSE(),INDEX(tsk_IsSummary,GanttView[[#This Row],[_Row]]))</f>
        <v>0</v>
      </c>
      <c r="N49" s="123" t="b">
        <f aca="false">IF(IFERROR(INDEX(tsk_Name,GanttView[[#This Row],[_Row]])="",TRUE()),FALSE(),AND(INDEX(tsk_IsLeaf,GanttView[[#This Row],[_Row]])=1,N(INDEX(tsk_Duration,GanttView[[#This Row],[_Row]]))=0))</f>
        <v>0</v>
      </c>
      <c r="O49" s="124" t="n">
        <f aca="false">IF(IFERROR(INDEX(tsk_Name,GanttView[[#This Row],[_Row]])="",TRUE()),0,IF(AND(INDEX(tsk_IsLeaf,GanttView[[#This Row],[_Row]])=1,NOT(GanttView[[#This Row],[_IsMilestone]]),N(GanttView[[#This Row],[%]])&gt;0),GanttView[[#This Row],[Forecast Start]],0))</f>
        <v>0</v>
      </c>
      <c r="P49" s="124" t="n">
        <f aca="false">IF(GanttView[[#This Row],[_DoneFrom]]=0,0,IF(GanttView[[#This Row],[%]]&gt;=1,GanttView[[#This Row],[Forecast Finish]],MAX(GanttView[[#This Row],[_DoneFrom]],GanttView[[#This Row],[Forecast Start]]+ROUND((GanttView[[#This Row],[Forecast Finish]]-GanttView[[#This Row],[Forecast Start]]+1)*GanttView[[#This Row],[%]],0)-1)))</f>
        <v>0</v>
      </c>
      <c r="Q49" s="124" t="n">
        <f aca="false">IF(IFERROR(INDEX(tsk_Name,GanttView[[#This Row],[_Row]])="",TRUE()),0,IF(OR(INDEX(tsk_IsLeaf,GanttView[[#This Row],[_Row]])&lt;&gt;1,GanttView[[#This Row],[_IsMilestone]],N(GanttView[[#This Row],[%]])&gt;=1),0,IF(GanttView[[#This Row],[_DoneTo]]&gt;0,GanttView[[#This Row],[_DoneTo]]+1,GanttView[[#This Row],[Forecast Start]])))</f>
        <v>0</v>
      </c>
      <c r="R49" s="124" t="n">
        <f aca="false">IF(GanttView[[#This Row],[_RemFrom]]=0,0,GanttView[[#This Row],[Forecast Finish]])</f>
        <v>0</v>
      </c>
      <c r="S49" s="123" t="b">
        <f aca="false">IF(IFERROR(INDEX(tsk_Name,GanttView[[#This Row],[_Row]])="",TRUE()),FALSE(),N(INDEX(tsk_Variance,GanttView[[#This Row],[_Row]]))&gt;0)</f>
        <v>0</v>
      </c>
      <c r="T49" s="124" t="n">
        <f aca="false">IF(IFERROR(INDEX(tsk_Name,GanttView[[#This Row],[_Row]])="",TRUE()),0,N(INDEX(tsk_Deadline,GanttView[[#This Row],[_Row]])))</f>
        <v>0</v>
      </c>
      <c r="U49" s="123" t="b">
        <f aca="false">IF(IFERROR(INDEX(tsk_Name,GanttView[[#This Row],[_Row]])="",TRUE()),FALSE(),INDEX(tsk_Critical,GanttView[[#This Row],[_Row]])="Yes")</f>
        <v>0</v>
      </c>
    </row>
    <row r="50" customFormat="false" ht="15" hidden="false" customHeight="false" outlineLevel="0" collapsed="false">
      <c r="A50" s="117" t="str">
        <f aca="false">IF(IFERROR(INDEX(tsk_Name,GanttView[[#This Row],[_Row]])="",TRUE()),"",INDEX(tsk_ID,GanttView[[#This Row],[_Row]]))</f>
        <v/>
      </c>
      <c r="B50" s="117" t="str">
        <f aca="false">IF(IFERROR(INDEX(tsk_Name,GanttView[[#This Row],[_Row]])="",TRUE()),"",INDEX(tsk_WBS,GanttView[[#This Row],[_Row]]))</f>
        <v/>
      </c>
      <c r="C50" s="118" t="str">
        <f aca="false">IF(IFERROR(INDEX(tsk_Name,GanttView[[#This Row],[_Row]])="",TRUE()),"",REPT("    ",INDEX(tsk_Level,GanttView[[#This Row],[_Row]])-1)&amp;INDEX(tsk_Name,GanttView[[#This Row],[_Row]]))</f>
        <v/>
      </c>
      <c r="D50" s="117" t="str">
        <f aca="false">IF(IFERROR(INDEX(tsk_Name,GanttView[[#This Row],[_Row]])="",TRUE()),"",IF(INDEX(tsk_IsSummary,GanttView[[#This Row],[_Row]]),NETWORKDAYS.INTL(INDEX(tsk_FcStart,GanttView[[#This Row],[_Row]]),INDEX(tsk_FcFinish,GanttView[[#This Row],[_Row]]),WorkWeek,Holidays),N(INDEX(tsk_Duration,GanttView[[#This Row],[_Row]]))))</f>
        <v/>
      </c>
      <c r="E50" s="119" t="str">
        <f aca="false">IF(IFERROR(INDEX(tsk_Name,GanttView[[#This Row],[_Row]])="",TRUE()),"",INDEX(tsk_PlanStart,GanttView[[#This Row],[_Row]]))</f>
        <v/>
      </c>
      <c r="F50" s="119" t="str">
        <f aca="false">IF(IFERROR(INDEX(tsk_Name,GanttView[[#This Row],[_Row]])="",TRUE()),"",INDEX(tsk_PlanFinish,GanttView[[#This Row],[_Row]]))</f>
        <v/>
      </c>
      <c r="G50" s="119" t="str">
        <f aca="false">IF(IFERROR(INDEX(tsk_Name,GanttView[[#This Row],[_Row]])="",TRUE()),"",INDEX(tsk_FcStart,GanttView[[#This Row],[_Row]]))</f>
        <v/>
      </c>
      <c r="H50" s="119" t="str">
        <f aca="false">IF(IFERROR(INDEX(tsk_Name,GanttView[[#This Row],[_Row]])="",TRUE()),"",INDEX(tsk_FcFinish,GanttView[[#This Row],[_Row]]))</f>
        <v/>
      </c>
      <c r="I50" s="120" t="str">
        <f aca="false">IF(IFERROR(INDEX(tsk_Name,GanttView[[#This Row],[_Row]])="",TRUE()),"",INDEX(tsk_Progress,GanttView[[#This Row],[_Row]]))</f>
        <v/>
      </c>
      <c r="J50" s="118" t="str">
        <f aca="false">IF(IFERROR(INDEX(tsk_Name,GanttView[[#This Row],[_Row]])="",TRUE()),"",INDEX(tsk_Resource,GanttView[[#This Row],[_Row]])&amp;"")</f>
        <v/>
      </c>
      <c r="K50" s="121" t="str">
        <f aca="false">IF(IFERROR(INDEX(tsk_Name,GanttView[[#This Row],[_Row]])="",TRUE()),"",INDEX(tsk_Status,GanttView[[#This Row],[_Row]]))</f>
        <v/>
      </c>
      <c r="L50" s="122" t="n">
        <f aca="false">ROW()-ROW(GanttView[[#Headers],[ID]])</f>
        <v>45</v>
      </c>
      <c r="M50" s="123" t="b">
        <f aca="false">IF(IFERROR(INDEX(tsk_Name,GanttView[[#This Row],[_Row]])="",TRUE()),FALSE(),INDEX(tsk_IsSummary,GanttView[[#This Row],[_Row]]))</f>
        <v>0</v>
      </c>
      <c r="N50" s="123" t="b">
        <f aca="false">IF(IFERROR(INDEX(tsk_Name,GanttView[[#This Row],[_Row]])="",TRUE()),FALSE(),AND(INDEX(tsk_IsLeaf,GanttView[[#This Row],[_Row]])=1,N(INDEX(tsk_Duration,GanttView[[#This Row],[_Row]]))=0))</f>
        <v>0</v>
      </c>
      <c r="O50" s="124" t="n">
        <f aca="false">IF(IFERROR(INDEX(tsk_Name,GanttView[[#This Row],[_Row]])="",TRUE()),0,IF(AND(INDEX(tsk_IsLeaf,GanttView[[#This Row],[_Row]])=1,NOT(GanttView[[#This Row],[_IsMilestone]]),N(GanttView[[#This Row],[%]])&gt;0),GanttView[[#This Row],[Forecast Start]],0))</f>
        <v>0</v>
      </c>
      <c r="P50" s="124" t="n">
        <f aca="false">IF(GanttView[[#This Row],[_DoneFrom]]=0,0,IF(GanttView[[#This Row],[%]]&gt;=1,GanttView[[#This Row],[Forecast Finish]],MAX(GanttView[[#This Row],[_DoneFrom]],GanttView[[#This Row],[Forecast Start]]+ROUND((GanttView[[#This Row],[Forecast Finish]]-GanttView[[#This Row],[Forecast Start]]+1)*GanttView[[#This Row],[%]],0)-1)))</f>
        <v>0</v>
      </c>
      <c r="Q50" s="124" t="n">
        <f aca="false">IF(IFERROR(INDEX(tsk_Name,GanttView[[#This Row],[_Row]])="",TRUE()),0,IF(OR(INDEX(tsk_IsLeaf,GanttView[[#This Row],[_Row]])&lt;&gt;1,GanttView[[#This Row],[_IsMilestone]],N(GanttView[[#This Row],[%]])&gt;=1),0,IF(GanttView[[#This Row],[_DoneTo]]&gt;0,GanttView[[#This Row],[_DoneTo]]+1,GanttView[[#This Row],[Forecast Start]])))</f>
        <v>0</v>
      </c>
      <c r="R50" s="124" t="n">
        <f aca="false">IF(GanttView[[#This Row],[_RemFrom]]=0,0,GanttView[[#This Row],[Forecast Finish]])</f>
        <v>0</v>
      </c>
      <c r="S50" s="123" t="b">
        <f aca="false">IF(IFERROR(INDEX(tsk_Name,GanttView[[#This Row],[_Row]])="",TRUE()),FALSE(),N(INDEX(tsk_Variance,GanttView[[#This Row],[_Row]]))&gt;0)</f>
        <v>0</v>
      </c>
      <c r="T50" s="124" t="n">
        <f aca="false">IF(IFERROR(INDEX(tsk_Name,GanttView[[#This Row],[_Row]])="",TRUE()),0,N(INDEX(tsk_Deadline,GanttView[[#This Row],[_Row]])))</f>
        <v>0</v>
      </c>
      <c r="U50" s="123" t="b">
        <f aca="false">IF(IFERROR(INDEX(tsk_Name,GanttView[[#This Row],[_Row]])="",TRUE()),FALSE(),INDEX(tsk_Critical,GanttView[[#This Row],[_Row]])="Yes")</f>
        <v>0</v>
      </c>
    </row>
    <row r="51" customFormat="false" ht="15" hidden="false" customHeight="false" outlineLevel="0" collapsed="false">
      <c r="A51" s="117" t="str">
        <f aca="false">IF(IFERROR(INDEX(tsk_Name,GanttView[[#This Row],[_Row]])="",TRUE()),"",INDEX(tsk_ID,GanttView[[#This Row],[_Row]]))</f>
        <v/>
      </c>
      <c r="B51" s="117" t="str">
        <f aca="false">IF(IFERROR(INDEX(tsk_Name,GanttView[[#This Row],[_Row]])="",TRUE()),"",INDEX(tsk_WBS,GanttView[[#This Row],[_Row]]))</f>
        <v/>
      </c>
      <c r="C51" s="118" t="str">
        <f aca="false">IF(IFERROR(INDEX(tsk_Name,GanttView[[#This Row],[_Row]])="",TRUE()),"",REPT("    ",INDEX(tsk_Level,GanttView[[#This Row],[_Row]])-1)&amp;INDEX(tsk_Name,GanttView[[#This Row],[_Row]]))</f>
        <v/>
      </c>
      <c r="D51" s="117" t="str">
        <f aca="false">IF(IFERROR(INDEX(tsk_Name,GanttView[[#This Row],[_Row]])="",TRUE()),"",IF(INDEX(tsk_IsSummary,GanttView[[#This Row],[_Row]]),NETWORKDAYS.INTL(INDEX(tsk_FcStart,GanttView[[#This Row],[_Row]]),INDEX(tsk_FcFinish,GanttView[[#This Row],[_Row]]),WorkWeek,Holidays),N(INDEX(tsk_Duration,GanttView[[#This Row],[_Row]]))))</f>
        <v/>
      </c>
      <c r="E51" s="119" t="str">
        <f aca="false">IF(IFERROR(INDEX(tsk_Name,GanttView[[#This Row],[_Row]])="",TRUE()),"",INDEX(tsk_PlanStart,GanttView[[#This Row],[_Row]]))</f>
        <v/>
      </c>
      <c r="F51" s="119" t="str">
        <f aca="false">IF(IFERROR(INDEX(tsk_Name,GanttView[[#This Row],[_Row]])="",TRUE()),"",INDEX(tsk_PlanFinish,GanttView[[#This Row],[_Row]]))</f>
        <v/>
      </c>
      <c r="G51" s="119" t="str">
        <f aca="false">IF(IFERROR(INDEX(tsk_Name,GanttView[[#This Row],[_Row]])="",TRUE()),"",INDEX(tsk_FcStart,GanttView[[#This Row],[_Row]]))</f>
        <v/>
      </c>
      <c r="H51" s="119" t="str">
        <f aca="false">IF(IFERROR(INDEX(tsk_Name,GanttView[[#This Row],[_Row]])="",TRUE()),"",INDEX(tsk_FcFinish,GanttView[[#This Row],[_Row]]))</f>
        <v/>
      </c>
      <c r="I51" s="120" t="str">
        <f aca="false">IF(IFERROR(INDEX(tsk_Name,GanttView[[#This Row],[_Row]])="",TRUE()),"",INDEX(tsk_Progress,GanttView[[#This Row],[_Row]]))</f>
        <v/>
      </c>
      <c r="J51" s="118" t="str">
        <f aca="false">IF(IFERROR(INDEX(tsk_Name,GanttView[[#This Row],[_Row]])="",TRUE()),"",INDEX(tsk_Resource,GanttView[[#This Row],[_Row]])&amp;"")</f>
        <v/>
      </c>
      <c r="K51" s="121" t="str">
        <f aca="false">IF(IFERROR(INDEX(tsk_Name,GanttView[[#This Row],[_Row]])="",TRUE()),"",INDEX(tsk_Status,GanttView[[#This Row],[_Row]]))</f>
        <v/>
      </c>
      <c r="L51" s="122" t="n">
        <f aca="false">ROW()-ROW(GanttView[[#Headers],[ID]])</f>
        <v>46</v>
      </c>
      <c r="M51" s="123" t="b">
        <f aca="false">IF(IFERROR(INDEX(tsk_Name,GanttView[[#This Row],[_Row]])="",TRUE()),FALSE(),INDEX(tsk_IsSummary,GanttView[[#This Row],[_Row]]))</f>
        <v>0</v>
      </c>
      <c r="N51" s="123" t="b">
        <f aca="false">IF(IFERROR(INDEX(tsk_Name,GanttView[[#This Row],[_Row]])="",TRUE()),FALSE(),AND(INDEX(tsk_IsLeaf,GanttView[[#This Row],[_Row]])=1,N(INDEX(tsk_Duration,GanttView[[#This Row],[_Row]]))=0))</f>
        <v>0</v>
      </c>
      <c r="O51" s="124" t="n">
        <f aca="false">IF(IFERROR(INDEX(tsk_Name,GanttView[[#This Row],[_Row]])="",TRUE()),0,IF(AND(INDEX(tsk_IsLeaf,GanttView[[#This Row],[_Row]])=1,NOT(GanttView[[#This Row],[_IsMilestone]]),N(GanttView[[#This Row],[%]])&gt;0),GanttView[[#This Row],[Forecast Start]],0))</f>
        <v>0</v>
      </c>
      <c r="P51" s="124" t="n">
        <f aca="false">IF(GanttView[[#This Row],[_DoneFrom]]=0,0,IF(GanttView[[#This Row],[%]]&gt;=1,GanttView[[#This Row],[Forecast Finish]],MAX(GanttView[[#This Row],[_DoneFrom]],GanttView[[#This Row],[Forecast Start]]+ROUND((GanttView[[#This Row],[Forecast Finish]]-GanttView[[#This Row],[Forecast Start]]+1)*GanttView[[#This Row],[%]],0)-1)))</f>
        <v>0</v>
      </c>
      <c r="Q51" s="124" t="n">
        <f aca="false">IF(IFERROR(INDEX(tsk_Name,GanttView[[#This Row],[_Row]])="",TRUE()),0,IF(OR(INDEX(tsk_IsLeaf,GanttView[[#This Row],[_Row]])&lt;&gt;1,GanttView[[#This Row],[_IsMilestone]],N(GanttView[[#This Row],[%]])&gt;=1),0,IF(GanttView[[#This Row],[_DoneTo]]&gt;0,GanttView[[#This Row],[_DoneTo]]+1,GanttView[[#This Row],[Forecast Start]])))</f>
        <v>0</v>
      </c>
      <c r="R51" s="124" t="n">
        <f aca="false">IF(GanttView[[#This Row],[_RemFrom]]=0,0,GanttView[[#This Row],[Forecast Finish]])</f>
        <v>0</v>
      </c>
      <c r="S51" s="123" t="b">
        <f aca="false">IF(IFERROR(INDEX(tsk_Name,GanttView[[#This Row],[_Row]])="",TRUE()),FALSE(),N(INDEX(tsk_Variance,GanttView[[#This Row],[_Row]]))&gt;0)</f>
        <v>0</v>
      </c>
      <c r="T51" s="124" t="n">
        <f aca="false">IF(IFERROR(INDEX(tsk_Name,GanttView[[#This Row],[_Row]])="",TRUE()),0,N(INDEX(tsk_Deadline,GanttView[[#This Row],[_Row]])))</f>
        <v>0</v>
      </c>
      <c r="U51" s="123" t="b">
        <f aca="false">IF(IFERROR(INDEX(tsk_Name,GanttView[[#This Row],[_Row]])="",TRUE()),FALSE(),INDEX(tsk_Critical,GanttView[[#This Row],[_Row]])="Yes")</f>
        <v>0</v>
      </c>
    </row>
    <row r="52" customFormat="false" ht="15" hidden="false" customHeight="false" outlineLevel="0" collapsed="false">
      <c r="A52" s="117" t="str">
        <f aca="false">IF(IFERROR(INDEX(tsk_Name,GanttView[[#This Row],[_Row]])="",TRUE()),"",INDEX(tsk_ID,GanttView[[#This Row],[_Row]]))</f>
        <v/>
      </c>
      <c r="B52" s="117" t="str">
        <f aca="false">IF(IFERROR(INDEX(tsk_Name,GanttView[[#This Row],[_Row]])="",TRUE()),"",INDEX(tsk_WBS,GanttView[[#This Row],[_Row]]))</f>
        <v/>
      </c>
      <c r="C52" s="118" t="str">
        <f aca="false">IF(IFERROR(INDEX(tsk_Name,GanttView[[#This Row],[_Row]])="",TRUE()),"",REPT("    ",INDEX(tsk_Level,GanttView[[#This Row],[_Row]])-1)&amp;INDEX(tsk_Name,GanttView[[#This Row],[_Row]]))</f>
        <v/>
      </c>
      <c r="D52" s="117" t="str">
        <f aca="false">IF(IFERROR(INDEX(tsk_Name,GanttView[[#This Row],[_Row]])="",TRUE()),"",IF(INDEX(tsk_IsSummary,GanttView[[#This Row],[_Row]]),NETWORKDAYS.INTL(INDEX(tsk_FcStart,GanttView[[#This Row],[_Row]]),INDEX(tsk_FcFinish,GanttView[[#This Row],[_Row]]),WorkWeek,Holidays),N(INDEX(tsk_Duration,GanttView[[#This Row],[_Row]]))))</f>
        <v/>
      </c>
      <c r="E52" s="119" t="str">
        <f aca="false">IF(IFERROR(INDEX(tsk_Name,GanttView[[#This Row],[_Row]])="",TRUE()),"",INDEX(tsk_PlanStart,GanttView[[#This Row],[_Row]]))</f>
        <v/>
      </c>
      <c r="F52" s="119" t="str">
        <f aca="false">IF(IFERROR(INDEX(tsk_Name,GanttView[[#This Row],[_Row]])="",TRUE()),"",INDEX(tsk_PlanFinish,GanttView[[#This Row],[_Row]]))</f>
        <v/>
      </c>
      <c r="G52" s="119" t="str">
        <f aca="false">IF(IFERROR(INDEX(tsk_Name,GanttView[[#This Row],[_Row]])="",TRUE()),"",INDEX(tsk_FcStart,GanttView[[#This Row],[_Row]]))</f>
        <v/>
      </c>
      <c r="H52" s="119" t="str">
        <f aca="false">IF(IFERROR(INDEX(tsk_Name,GanttView[[#This Row],[_Row]])="",TRUE()),"",INDEX(tsk_FcFinish,GanttView[[#This Row],[_Row]]))</f>
        <v/>
      </c>
      <c r="I52" s="120" t="str">
        <f aca="false">IF(IFERROR(INDEX(tsk_Name,GanttView[[#This Row],[_Row]])="",TRUE()),"",INDEX(tsk_Progress,GanttView[[#This Row],[_Row]]))</f>
        <v/>
      </c>
      <c r="J52" s="118" t="str">
        <f aca="false">IF(IFERROR(INDEX(tsk_Name,GanttView[[#This Row],[_Row]])="",TRUE()),"",INDEX(tsk_Resource,GanttView[[#This Row],[_Row]])&amp;"")</f>
        <v/>
      </c>
      <c r="K52" s="121" t="str">
        <f aca="false">IF(IFERROR(INDEX(tsk_Name,GanttView[[#This Row],[_Row]])="",TRUE()),"",INDEX(tsk_Status,GanttView[[#This Row],[_Row]]))</f>
        <v/>
      </c>
      <c r="L52" s="122" t="n">
        <f aca="false">ROW()-ROW(GanttView[[#Headers],[ID]])</f>
        <v>47</v>
      </c>
      <c r="M52" s="123" t="b">
        <f aca="false">IF(IFERROR(INDEX(tsk_Name,GanttView[[#This Row],[_Row]])="",TRUE()),FALSE(),INDEX(tsk_IsSummary,GanttView[[#This Row],[_Row]]))</f>
        <v>0</v>
      </c>
      <c r="N52" s="123" t="b">
        <f aca="false">IF(IFERROR(INDEX(tsk_Name,GanttView[[#This Row],[_Row]])="",TRUE()),FALSE(),AND(INDEX(tsk_IsLeaf,GanttView[[#This Row],[_Row]])=1,N(INDEX(tsk_Duration,GanttView[[#This Row],[_Row]]))=0))</f>
        <v>0</v>
      </c>
      <c r="O52" s="124" t="n">
        <f aca="false">IF(IFERROR(INDEX(tsk_Name,GanttView[[#This Row],[_Row]])="",TRUE()),0,IF(AND(INDEX(tsk_IsLeaf,GanttView[[#This Row],[_Row]])=1,NOT(GanttView[[#This Row],[_IsMilestone]]),N(GanttView[[#This Row],[%]])&gt;0),GanttView[[#This Row],[Forecast Start]],0))</f>
        <v>0</v>
      </c>
      <c r="P52" s="124" t="n">
        <f aca="false">IF(GanttView[[#This Row],[_DoneFrom]]=0,0,IF(GanttView[[#This Row],[%]]&gt;=1,GanttView[[#This Row],[Forecast Finish]],MAX(GanttView[[#This Row],[_DoneFrom]],GanttView[[#This Row],[Forecast Start]]+ROUND((GanttView[[#This Row],[Forecast Finish]]-GanttView[[#This Row],[Forecast Start]]+1)*GanttView[[#This Row],[%]],0)-1)))</f>
        <v>0</v>
      </c>
      <c r="Q52" s="124" t="n">
        <f aca="false">IF(IFERROR(INDEX(tsk_Name,GanttView[[#This Row],[_Row]])="",TRUE()),0,IF(OR(INDEX(tsk_IsLeaf,GanttView[[#This Row],[_Row]])&lt;&gt;1,GanttView[[#This Row],[_IsMilestone]],N(GanttView[[#This Row],[%]])&gt;=1),0,IF(GanttView[[#This Row],[_DoneTo]]&gt;0,GanttView[[#This Row],[_DoneTo]]+1,GanttView[[#This Row],[Forecast Start]])))</f>
        <v>0</v>
      </c>
      <c r="R52" s="124" t="n">
        <f aca="false">IF(GanttView[[#This Row],[_RemFrom]]=0,0,GanttView[[#This Row],[Forecast Finish]])</f>
        <v>0</v>
      </c>
      <c r="S52" s="123" t="b">
        <f aca="false">IF(IFERROR(INDEX(tsk_Name,GanttView[[#This Row],[_Row]])="",TRUE()),FALSE(),N(INDEX(tsk_Variance,GanttView[[#This Row],[_Row]]))&gt;0)</f>
        <v>0</v>
      </c>
      <c r="T52" s="124" t="n">
        <f aca="false">IF(IFERROR(INDEX(tsk_Name,GanttView[[#This Row],[_Row]])="",TRUE()),0,N(INDEX(tsk_Deadline,GanttView[[#This Row],[_Row]])))</f>
        <v>0</v>
      </c>
      <c r="U52" s="123" t="b">
        <f aca="false">IF(IFERROR(INDEX(tsk_Name,GanttView[[#This Row],[_Row]])="",TRUE()),FALSE(),INDEX(tsk_Critical,GanttView[[#This Row],[_Row]])="Yes")</f>
        <v>0</v>
      </c>
    </row>
    <row r="53" customFormat="false" ht="15" hidden="false" customHeight="false" outlineLevel="0" collapsed="false">
      <c r="A53" s="117" t="str">
        <f aca="false">IF(IFERROR(INDEX(tsk_Name,GanttView[[#This Row],[_Row]])="",TRUE()),"",INDEX(tsk_ID,GanttView[[#This Row],[_Row]]))</f>
        <v/>
      </c>
      <c r="B53" s="117" t="str">
        <f aca="false">IF(IFERROR(INDEX(tsk_Name,GanttView[[#This Row],[_Row]])="",TRUE()),"",INDEX(tsk_WBS,GanttView[[#This Row],[_Row]]))</f>
        <v/>
      </c>
      <c r="C53" s="118" t="str">
        <f aca="false">IF(IFERROR(INDEX(tsk_Name,GanttView[[#This Row],[_Row]])="",TRUE()),"",REPT("    ",INDEX(tsk_Level,GanttView[[#This Row],[_Row]])-1)&amp;INDEX(tsk_Name,GanttView[[#This Row],[_Row]]))</f>
        <v/>
      </c>
      <c r="D53" s="117" t="str">
        <f aca="false">IF(IFERROR(INDEX(tsk_Name,GanttView[[#This Row],[_Row]])="",TRUE()),"",IF(INDEX(tsk_IsSummary,GanttView[[#This Row],[_Row]]),NETWORKDAYS.INTL(INDEX(tsk_FcStart,GanttView[[#This Row],[_Row]]),INDEX(tsk_FcFinish,GanttView[[#This Row],[_Row]]),WorkWeek,Holidays),N(INDEX(tsk_Duration,GanttView[[#This Row],[_Row]]))))</f>
        <v/>
      </c>
      <c r="E53" s="119" t="str">
        <f aca="false">IF(IFERROR(INDEX(tsk_Name,GanttView[[#This Row],[_Row]])="",TRUE()),"",INDEX(tsk_PlanStart,GanttView[[#This Row],[_Row]]))</f>
        <v/>
      </c>
      <c r="F53" s="119" t="str">
        <f aca="false">IF(IFERROR(INDEX(tsk_Name,GanttView[[#This Row],[_Row]])="",TRUE()),"",INDEX(tsk_PlanFinish,GanttView[[#This Row],[_Row]]))</f>
        <v/>
      </c>
      <c r="G53" s="119" t="str">
        <f aca="false">IF(IFERROR(INDEX(tsk_Name,GanttView[[#This Row],[_Row]])="",TRUE()),"",INDEX(tsk_FcStart,GanttView[[#This Row],[_Row]]))</f>
        <v/>
      </c>
      <c r="H53" s="119" t="str">
        <f aca="false">IF(IFERROR(INDEX(tsk_Name,GanttView[[#This Row],[_Row]])="",TRUE()),"",INDEX(tsk_FcFinish,GanttView[[#This Row],[_Row]]))</f>
        <v/>
      </c>
      <c r="I53" s="120" t="str">
        <f aca="false">IF(IFERROR(INDEX(tsk_Name,GanttView[[#This Row],[_Row]])="",TRUE()),"",INDEX(tsk_Progress,GanttView[[#This Row],[_Row]]))</f>
        <v/>
      </c>
      <c r="J53" s="118" t="str">
        <f aca="false">IF(IFERROR(INDEX(tsk_Name,GanttView[[#This Row],[_Row]])="",TRUE()),"",INDEX(tsk_Resource,GanttView[[#This Row],[_Row]])&amp;"")</f>
        <v/>
      </c>
      <c r="K53" s="121" t="str">
        <f aca="false">IF(IFERROR(INDEX(tsk_Name,GanttView[[#This Row],[_Row]])="",TRUE()),"",INDEX(tsk_Status,GanttView[[#This Row],[_Row]]))</f>
        <v/>
      </c>
      <c r="L53" s="122" t="n">
        <f aca="false">ROW()-ROW(GanttView[[#Headers],[ID]])</f>
        <v>48</v>
      </c>
      <c r="M53" s="123" t="b">
        <f aca="false">IF(IFERROR(INDEX(tsk_Name,GanttView[[#This Row],[_Row]])="",TRUE()),FALSE(),INDEX(tsk_IsSummary,GanttView[[#This Row],[_Row]]))</f>
        <v>0</v>
      </c>
      <c r="N53" s="123" t="b">
        <f aca="false">IF(IFERROR(INDEX(tsk_Name,GanttView[[#This Row],[_Row]])="",TRUE()),FALSE(),AND(INDEX(tsk_IsLeaf,GanttView[[#This Row],[_Row]])=1,N(INDEX(tsk_Duration,GanttView[[#This Row],[_Row]]))=0))</f>
        <v>0</v>
      </c>
      <c r="O53" s="124" t="n">
        <f aca="false">IF(IFERROR(INDEX(tsk_Name,GanttView[[#This Row],[_Row]])="",TRUE()),0,IF(AND(INDEX(tsk_IsLeaf,GanttView[[#This Row],[_Row]])=1,NOT(GanttView[[#This Row],[_IsMilestone]]),N(GanttView[[#This Row],[%]])&gt;0),GanttView[[#This Row],[Forecast Start]],0))</f>
        <v>0</v>
      </c>
      <c r="P53" s="124" t="n">
        <f aca="false">IF(GanttView[[#This Row],[_DoneFrom]]=0,0,IF(GanttView[[#This Row],[%]]&gt;=1,GanttView[[#This Row],[Forecast Finish]],MAX(GanttView[[#This Row],[_DoneFrom]],GanttView[[#This Row],[Forecast Start]]+ROUND((GanttView[[#This Row],[Forecast Finish]]-GanttView[[#This Row],[Forecast Start]]+1)*GanttView[[#This Row],[%]],0)-1)))</f>
        <v>0</v>
      </c>
      <c r="Q53" s="124" t="n">
        <f aca="false">IF(IFERROR(INDEX(tsk_Name,GanttView[[#This Row],[_Row]])="",TRUE()),0,IF(OR(INDEX(tsk_IsLeaf,GanttView[[#This Row],[_Row]])&lt;&gt;1,GanttView[[#This Row],[_IsMilestone]],N(GanttView[[#This Row],[%]])&gt;=1),0,IF(GanttView[[#This Row],[_DoneTo]]&gt;0,GanttView[[#This Row],[_DoneTo]]+1,GanttView[[#This Row],[Forecast Start]])))</f>
        <v>0</v>
      </c>
      <c r="R53" s="124" t="n">
        <f aca="false">IF(GanttView[[#This Row],[_RemFrom]]=0,0,GanttView[[#This Row],[Forecast Finish]])</f>
        <v>0</v>
      </c>
      <c r="S53" s="123" t="b">
        <f aca="false">IF(IFERROR(INDEX(tsk_Name,GanttView[[#This Row],[_Row]])="",TRUE()),FALSE(),N(INDEX(tsk_Variance,GanttView[[#This Row],[_Row]]))&gt;0)</f>
        <v>0</v>
      </c>
      <c r="T53" s="124" t="n">
        <f aca="false">IF(IFERROR(INDEX(tsk_Name,GanttView[[#This Row],[_Row]])="",TRUE()),0,N(INDEX(tsk_Deadline,GanttView[[#This Row],[_Row]])))</f>
        <v>0</v>
      </c>
      <c r="U53" s="123" t="b">
        <f aca="false">IF(IFERROR(INDEX(tsk_Name,GanttView[[#This Row],[_Row]])="",TRUE()),FALSE(),INDEX(tsk_Critical,GanttView[[#This Row],[_Row]])="Yes")</f>
        <v>0</v>
      </c>
    </row>
    <row r="54" customFormat="false" ht="15" hidden="false" customHeight="false" outlineLevel="0" collapsed="false">
      <c r="A54" s="117" t="str">
        <f aca="false">IF(IFERROR(INDEX(tsk_Name,GanttView[[#This Row],[_Row]])="",TRUE()),"",INDEX(tsk_ID,GanttView[[#This Row],[_Row]]))</f>
        <v/>
      </c>
      <c r="B54" s="117" t="str">
        <f aca="false">IF(IFERROR(INDEX(tsk_Name,GanttView[[#This Row],[_Row]])="",TRUE()),"",INDEX(tsk_WBS,GanttView[[#This Row],[_Row]]))</f>
        <v/>
      </c>
      <c r="C54" s="118" t="str">
        <f aca="false">IF(IFERROR(INDEX(tsk_Name,GanttView[[#This Row],[_Row]])="",TRUE()),"",REPT("    ",INDEX(tsk_Level,GanttView[[#This Row],[_Row]])-1)&amp;INDEX(tsk_Name,GanttView[[#This Row],[_Row]]))</f>
        <v/>
      </c>
      <c r="D54" s="117" t="str">
        <f aca="false">IF(IFERROR(INDEX(tsk_Name,GanttView[[#This Row],[_Row]])="",TRUE()),"",IF(INDEX(tsk_IsSummary,GanttView[[#This Row],[_Row]]),NETWORKDAYS.INTL(INDEX(tsk_FcStart,GanttView[[#This Row],[_Row]]),INDEX(tsk_FcFinish,GanttView[[#This Row],[_Row]]),WorkWeek,Holidays),N(INDEX(tsk_Duration,GanttView[[#This Row],[_Row]]))))</f>
        <v/>
      </c>
      <c r="E54" s="119" t="str">
        <f aca="false">IF(IFERROR(INDEX(tsk_Name,GanttView[[#This Row],[_Row]])="",TRUE()),"",INDEX(tsk_PlanStart,GanttView[[#This Row],[_Row]]))</f>
        <v/>
      </c>
      <c r="F54" s="119" t="str">
        <f aca="false">IF(IFERROR(INDEX(tsk_Name,GanttView[[#This Row],[_Row]])="",TRUE()),"",INDEX(tsk_PlanFinish,GanttView[[#This Row],[_Row]]))</f>
        <v/>
      </c>
      <c r="G54" s="119" t="str">
        <f aca="false">IF(IFERROR(INDEX(tsk_Name,GanttView[[#This Row],[_Row]])="",TRUE()),"",INDEX(tsk_FcStart,GanttView[[#This Row],[_Row]]))</f>
        <v/>
      </c>
      <c r="H54" s="119" t="str">
        <f aca="false">IF(IFERROR(INDEX(tsk_Name,GanttView[[#This Row],[_Row]])="",TRUE()),"",INDEX(tsk_FcFinish,GanttView[[#This Row],[_Row]]))</f>
        <v/>
      </c>
      <c r="I54" s="120" t="str">
        <f aca="false">IF(IFERROR(INDEX(tsk_Name,GanttView[[#This Row],[_Row]])="",TRUE()),"",INDEX(tsk_Progress,GanttView[[#This Row],[_Row]]))</f>
        <v/>
      </c>
      <c r="J54" s="118" t="str">
        <f aca="false">IF(IFERROR(INDEX(tsk_Name,GanttView[[#This Row],[_Row]])="",TRUE()),"",INDEX(tsk_Resource,GanttView[[#This Row],[_Row]])&amp;"")</f>
        <v/>
      </c>
      <c r="K54" s="121" t="str">
        <f aca="false">IF(IFERROR(INDEX(tsk_Name,GanttView[[#This Row],[_Row]])="",TRUE()),"",INDEX(tsk_Status,GanttView[[#This Row],[_Row]]))</f>
        <v/>
      </c>
      <c r="L54" s="122" t="n">
        <f aca="false">ROW()-ROW(GanttView[[#Headers],[ID]])</f>
        <v>49</v>
      </c>
      <c r="M54" s="123" t="b">
        <f aca="false">IF(IFERROR(INDEX(tsk_Name,GanttView[[#This Row],[_Row]])="",TRUE()),FALSE(),INDEX(tsk_IsSummary,GanttView[[#This Row],[_Row]]))</f>
        <v>0</v>
      </c>
      <c r="N54" s="123" t="b">
        <f aca="false">IF(IFERROR(INDEX(tsk_Name,GanttView[[#This Row],[_Row]])="",TRUE()),FALSE(),AND(INDEX(tsk_IsLeaf,GanttView[[#This Row],[_Row]])=1,N(INDEX(tsk_Duration,GanttView[[#This Row],[_Row]]))=0))</f>
        <v>0</v>
      </c>
      <c r="O54" s="124" t="n">
        <f aca="false">IF(IFERROR(INDEX(tsk_Name,GanttView[[#This Row],[_Row]])="",TRUE()),0,IF(AND(INDEX(tsk_IsLeaf,GanttView[[#This Row],[_Row]])=1,NOT(GanttView[[#This Row],[_IsMilestone]]),N(GanttView[[#This Row],[%]])&gt;0),GanttView[[#This Row],[Forecast Start]],0))</f>
        <v>0</v>
      </c>
      <c r="P54" s="124" t="n">
        <f aca="false">IF(GanttView[[#This Row],[_DoneFrom]]=0,0,IF(GanttView[[#This Row],[%]]&gt;=1,GanttView[[#This Row],[Forecast Finish]],MAX(GanttView[[#This Row],[_DoneFrom]],GanttView[[#This Row],[Forecast Start]]+ROUND((GanttView[[#This Row],[Forecast Finish]]-GanttView[[#This Row],[Forecast Start]]+1)*GanttView[[#This Row],[%]],0)-1)))</f>
        <v>0</v>
      </c>
      <c r="Q54" s="124" t="n">
        <f aca="false">IF(IFERROR(INDEX(tsk_Name,GanttView[[#This Row],[_Row]])="",TRUE()),0,IF(OR(INDEX(tsk_IsLeaf,GanttView[[#This Row],[_Row]])&lt;&gt;1,GanttView[[#This Row],[_IsMilestone]],N(GanttView[[#This Row],[%]])&gt;=1),0,IF(GanttView[[#This Row],[_DoneTo]]&gt;0,GanttView[[#This Row],[_DoneTo]]+1,GanttView[[#This Row],[Forecast Start]])))</f>
        <v>0</v>
      </c>
      <c r="R54" s="124" t="n">
        <f aca="false">IF(GanttView[[#This Row],[_RemFrom]]=0,0,GanttView[[#This Row],[Forecast Finish]])</f>
        <v>0</v>
      </c>
      <c r="S54" s="123" t="b">
        <f aca="false">IF(IFERROR(INDEX(tsk_Name,GanttView[[#This Row],[_Row]])="",TRUE()),FALSE(),N(INDEX(tsk_Variance,GanttView[[#This Row],[_Row]]))&gt;0)</f>
        <v>0</v>
      </c>
      <c r="T54" s="124" t="n">
        <f aca="false">IF(IFERROR(INDEX(tsk_Name,GanttView[[#This Row],[_Row]])="",TRUE()),0,N(INDEX(tsk_Deadline,GanttView[[#This Row],[_Row]])))</f>
        <v>0</v>
      </c>
      <c r="U54" s="123" t="b">
        <f aca="false">IF(IFERROR(INDEX(tsk_Name,GanttView[[#This Row],[_Row]])="",TRUE()),FALSE(),INDEX(tsk_Critical,GanttView[[#This Row],[_Row]])="Yes")</f>
        <v>0</v>
      </c>
    </row>
    <row r="55" customFormat="false" ht="15" hidden="false" customHeight="false" outlineLevel="0" collapsed="false">
      <c r="A55" s="117" t="str">
        <f aca="false">IF(IFERROR(INDEX(tsk_Name,GanttView[[#This Row],[_Row]])="",TRUE()),"",INDEX(tsk_ID,GanttView[[#This Row],[_Row]]))</f>
        <v/>
      </c>
      <c r="B55" s="117" t="str">
        <f aca="false">IF(IFERROR(INDEX(tsk_Name,GanttView[[#This Row],[_Row]])="",TRUE()),"",INDEX(tsk_WBS,GanttView[[#This Row],[_Row]]))</f>
        <v/>
      </c>
      <c r="C55" s="118" t="str">
        <f aca="false">IF(IFERROR(INDEX(tsk_Name,GanttView[[#This Row],[_Row]])="",TRUE()),"",REPT("    ",INDEX(tsk_Level,GanttView[[#This Row],[_Row]])-1)&amp;INDEX(tsk_Name,GanttView[[#This Row],[_Row]]))</f>
        <v/>
      </c>
      <c r="D55" s="117" t="str">
        <f aca="false">IF(IFERROR(INDEX(tsk_Name,GanttView[[#This Row],[_Row]])="",TRUE()),"",IF(INDEX(tsk_IsSummary,GanttView[[#This Row],[_Row]]),NETWORKDAYS.INTL(INDEX(tsk_FcStart,GanttView[[#This Row],[_Row]]),INDEX(tsk_FcFinish,GanttView[[#This Row],[_Row]]),WorkWeek,Holidays),N(INDEX(tsk_Duration,GanttView[[#This Row],[_Row]]))))</f>
        <v/>
      </c>
      <c r="E55" s="119" t="str">
        <f aca="false">IF(IFERROR(INDEX(tsk_Name,GanttView[[#This Row],[_Row]])="",TRUE()),"",INDEX(tsk_PlanStart,GanttView[[#This Row],[_Row]]))</f>
        <v/>
      </c>
      <c r="F55" s="119" t="str">
        <f aca="false">IF(IFERROR(INDEX(tsk_Name,GanttView[[#This Row],[_Row]])="",TRUE()),"",INDEX(tsk_PlanFinish,GanttView[[#This Row],[_Row]]))</f>
        <v/>
      </c>
      <c r="G55" s="119" t="str">
        <f aca="false">IF(IFERROR(INDEX(tsk_Name,GanttView[[#This Row],[_Row]])="",TRUE()),"",INDEX(tsk_FcStart,GanttView[[#This Row],[_Row]]))</f>
        <v/>
      </c>
      <c r="H55" s="119" t="str">
        <f aca="false">IF(IFERROR(INDEX(tsk_Name,GanttView[[#This Row],[_Row]])="",TRUE()),"",INDEX(tsk_FcFinish,GanttView[[#This Row],[_Row]]))</f>
        <v/>
      </c>
      <c r="I55" s="120" t="str">
        <f aca="false">IF(IFERROR(INDEX(tsk_Name,GanttView[[#This Row],[_Row]])="",TRUE()),"",INDEX(tsk_Progress,GanttView[[#This Row],[_Row]]))</f>
        <v/>
      </c>
      <c r="J55" s="118" t="str">
        <f aca="false">IF(IFERROR(INDEX(tsk_Name,GanttView[[#This Row],[_Row]])="",TRUE()),"",INDEX(tsk_Resource,GanttView[[#This Row],[_Row]])&amp;"")</f>
        <v/>
      </c>
      <c r="K55" s="121" t="str">
        <f aca="false">IF(IFERROR(INDEX(tsk_Name,GanttView[[#This Row],[_Row]])="",TRUE()),"",INDEX(tsk_Status,GanttView[[#This Row],[_Row]]))</f>
        <v/>
      </c>
      <c r="L55" s="122" t="n">
        <f aca="false">ROW()-ROW(GanttView[[#Headers],[ID]])</f>
        <v>50</v>
      </c>
      <c r="M55" s="123" t="b">
        <f aca="false">IF(IFERROR(INDEX(tsk_Name,GanttView[[#This Row],[_Row]])="",TRUE()),FALSE(),INDEX(tsk_IsSummary,GanttView[[#This Row],[_Row]]))</f>
        <v>0</v>
      </c>
      <c r="N55" s="123" t="b">
        <f aca="false">IF(IFERROR(INDEX(tsk_Name,GanttView[[#This Row],[_Row]])="",TRUE()),FALSE(),AND(INDEX(tsk_IsLeaf,GanttView[[#This Row],[_Row]])=1,N(INDEX(tsk_Duration,GanttView[[#This Row],[_Row]]))=0))</f>
        <v>0</v>
      </c>
      <c r="O55" s="124" t="n">
        <f aca="false">IF(IFERROR(INDEX(tsk_Name,GanttView[[#This Row],[_Row]])="",TRUE()),0,IF(AND(INDEX(tsk_IsLeaf,GanttView[[#This Row],[_Row]])=1,NOT(GanttView[[#This Row],[_IsMilestone]]),N(GanttView[[#This Row],[%]])&gt;0),GanttView[[#This Row],[Forecast Start]],0))</f>
        <v>0</v>
      </c>
      <c r="P55" s="124" t="n">
        <f aca="false">IF(GanttView[[#This Row],[_DoneFrom]]=0,0,IF(GanttView[[#This Row],[%]]&gt;=1,GanttView[[#This Row],[Forecast Finish]],MAX(GanttView[[#This Row],[_DoneFrom]],GanttView[[#This Row],[Forecast Start]]+ROUND((GanttView[[#This Row],[Forecast Finish]]-GanttView[[#This Row],[Forecast Start]]+1)*GanttView[[#This Row],[%]],0)-1)))</f>
        <v>0</v>
      </c>
      <c r="Q55" s="124" t="n">
        <f aca="false">IF(IFERROR(INDEX(tsk_Name,GanttView[[#This Row],[_Row]])="",TRUE()),0,IF(OR(INDEX(tsk_IsLeaf,GanttView[[#This Row],[_Row]])&lt;&gt;1,GanttView[[#This Row],[_IsMilestone]],N(GanttView[[#This Row],[%]])&gt;=1),0,IF(GanttView[[#This Row],[_DoneTo]]&gt;0,GanttView[[#This Row],[_DoneTo]]+1,GanttView[[#This Row],[Forecast Start]])))</f>
        <v>0</v>
      </c>
      <c r="R55" s="124" t="n">
        <f aca="false">IF(GanttView[[#This Row],[_RemFrom]]=0,0,GanttView[[#This Row],[Forecast Finish]])</f>
        <v>0</v>
      </c>
      <c r="S55" s="123" t="b">
        <f aca="false">IF(IFERROR(INDEX(tsk_Name,GanttView[[#This Row],[_Row]])="",TRUE()),FALSE(),N(INDEX(tsk_Variance,GanttView[[#This Row],[_Row]]))&gt;0)</f>
        <v>0</v>
      </c>
      <c r="T55" s="124" t="n">
        <f aca="false">IF(IFERROR(INDEX(tsk_Name,GanttView[[#This Row],[_Row]])="",TRUE()),0,N(INDEX(tsk_Deadline,GanttView[[#This Row],[_Row]])))</f>
        <v>0</v>
      </c>
      <c r="U55" s="123" t="b">
        <f aca="false">IF(IFERROR(INDEX(tsk_Name,GanttView[[#This Row],[_Row]])="",TRUE()),FALSE(),INDEX(tsk_Critical,GanttView[[#This Row],[_Row]])="Yes")</f>
        <v>0</v>
      </c>
    </row>
    <row r="56" customFormat="false" ht="15" hidden="false" customHeight="false" outlineLevel="0" collapsed="false">
      <c r="A56" s="117" t="str">
        <f aca="false">IF(IFERROR(INDEX(tsk_Name,GanttView[[#This Row],[_Row]])="",TRUE()),"",INDEX(tsk_ID,GanttView[[#This Row],[_Row]]))</f>
        <v/>
      </c>
      <c r="B56" s="117" t="str">
        <f aca="false">IF(IFERROR(INDEX(tsk_Name,GanttView[[#This Row],[_Row]])="",TRUE()),"",INDEX(tsk_WBS,GanttView[[#This Row],[_Row]]))</f>
        <v/>
      </c>
      <c r="C56" s="118" t="str">
        <f aca="false">IF(IFERROR(INDEX(tsk_Name,GanttView[[#This Row],[_Row]])="",TRUE()),"",REPT("    ",INDEX(tsk_Level,GanttView[[#This Row],[_Row]])-1)&amp;INDEX(tsk_Name,GanttView[[#This Row],[_Row]]))</f>
        <v/>
      </c>
      <c r="D56" s="117" t="str">
        <f aca="false">IF(IFERROR(INDEX(tsk_Name,GanttView[[#This Row],[_Row]])="",TRUE()),"",IF(INDEX(tsk_IsSummary,GanttView[[#This Row],[_Row]]),NETWORKDAYS.INTL(INDEX(tsk_FcStart,GanttView[[#This Row],[_Row]]),INDEX(tsk_FcFinish,GanttView[[#This Row],[_Row]]),WorkWeek,Holidays),N(INDEX(tsk_Duration,GanttView[[#This Row],[_Row]]))))</f>
        <v/>
      </c>
      <c r="E56" s="119" t="str">
        <f aca="false">IF(IFERROR(INDEX(tsk_Name,GanttView[[#This Row],[_Row]])="",TRUE()),"",INDEX(tsk_PlanStart,GanttView[[#This Row],[_Row]]))</f>
        <v/>
      </c>
      <c r="F56" s="119" t="str">
        <f aca="false">IF(IFERROR(INDEX(tsk_Name,GanttView[[#This Row],[_Row]])="",TRUE()),"",INDEX(tsk_PlanFinish,GanttView[[#This Row],[_Row]]))</f>
        <v/>
      </c>
      <c r="G56" s="119" t="str">
        <f aca="false">IF(IFERROR(INDEX(tsk_Name,GanttView[[#This Row],[_Row]])="",TRUE()),"",INDEX(tsk_FcStart,GanttView[[#This Row],[_Row]]))</f>
        <v/>
      </c>
      <c r="H56" s="119" t="str">
        <f aca="false">IF(IFERROR(INDEX(tsk_Name,GanttView[[#This Row],[_Row]])="",TRUE()),"",INDEX(tsk_FcFinish,GanttView[[#This Row],[_Row]]))</f>
        <v/>
      </c>
      <c r="I56" s="120" t="str">
        <f aca="false">IF(IFERROR(INDEX(tsk_Name,GanttView[[#This Row],[_Row]])="",TRUE()),"",INDEX(tsk_Progress,GanttView[[#This Row],[_Row]]))</f>
        <v/>
      </c>
      <c r="J56" s="118" t="str">
        <f aca="false">IF(IFERROR(INDEX(tsk_Name,GanttView[[#This Row],[_Row]])="",TRUE()),"",INDEX(tsk_Resource,GanttView[[#This Row],[_Row]])&amp;"")</f>
        <v/>
      </c>
      <c r="K56" s="121" t="str">
        <f aca="false">IF(IFERROR(INDEX(tsk_Name,GanttView[[#This Row],[_Row]])="",TRUE()),"",INDEX(tsk_Status,GanttView[[#This Row],[_Row]]))</f>
        <v/>
      </c>
      <c r="L56" s="122" t="n">
        <f aca="false">ROW()-ROW(GanttView[[#Headers],[ID]])</f>
        <v>51</v>
      </c>
      <c r="M56" s="123" t="b">
        <f aca="false">IF(IFERROR(INDEX(tsk_Name,GanttView[[#This Row],[_Row]])="",TRUE()),FALSE(),INDEX(tsk_IsSummary,GanttView[[#This Row],[_Row]]))</f>
        <v>0</v>
      </c>
      <c r="N56" s="123" t="b">
        <f aca="false">IF(IFERROR(INDEX(tsk_Name,GanttView[[#This Row],[_Row]])="",TRUE()),FALSE(),AND(INDEX(tsk_IsLeaf,GanttView[[#This Row],[_Row]])=1,N(INDEX(tsk_Duration,GanttView[[#This Row],[_Row]]))=0))</f>
        <v>0</v>
      </c>
      <c r="O56" s="124" t="n">
        <f aca="false">IF(IFERROR(INDEX(tsk_Name,GanttView[[#This Row],[_Row]])="",TRUE()),0,IF(AND(INDEX(tsk_IsLeaf,GanttView[[#This Row],[_Row]])=1,NOT(GanttView[[#This Row],[_IsMilestone]]),N(GanttView[[#This Row],[%]])&gt;0),GanttView[[#This Row],[Forecast Start]],0))</f>
        <v>0</v>
      </c>
      <c r="P56" s="124" t="n">
        <f aca="false">IF(GanttView[[#This Row],[_DoneFrom]]=0,0,IF(GanttView[[#This Row],[%]]&gt;=1,GanttView[[#This Row],[Forecast Finish]],MAX(GanttView[[#This Row],[_DoneFrom]],GanttView[[#This Row],[Forecast Start]]+ROUND((GanttView[[#This Row],[Forecast Finish]]-GanttView[[#This Row],[Forecast Start]]+1)*GanttView[[#This Row],[%]],0)-1)))</f>
        <v>0</v>
      </c>
      <c r="Q56" s="124" t="n">
        <f aca="false">IF(IFERROR(INDEX(tsk_Name,GanttView[[#This Row],[_Row]])="",TRUE()),0,IF(OR(INDEX(tsk_IsLeaf,GanttView[[#This Row],[_Row]])&lt;&gt;1,GanttView[[#This Row],[_IsMilestone]],N(GanttView[[#This Row],[%]])&gt;=1),0,IF(GanttView[[#This Row],[_DoneTo]]&gt;0,GanttView[[#This Row],[_DoneTo]]+1,GanttView[[#This Row],[Forecast Start]])))</f>
        <v>0</v>
      </c>
      <c r="R56" s="124" t="n">
        <f aca="false">IF(GanttView[[#This Row],[_RemFrom]]=0,0,GanttView[[#This Row],[Forecast Finish]])</f>
        <v>0</v>
      </c>
      <c r="S56" s="123" t="b">
        <f aca="false">IF(IFERROR(INDEX(tsk_Name,GanttView[[#This Row],[_Row]])="",TRUE()),FALSE(),N(INDEX(tsk_Variance,GanttView[[#This Row],[_Row]]))&gt;0)</f>
        <v>0</v>
      </c>
      <c r="T56" s="124" t="n">
        <f aca="false">IF(IFERROR(INDEX(tsk_Name,GanttView[[#This Row],[_Row]])="",TRUE()),0,N(INDEX(tsk_Deadline,GanttView[[#This Row],[_Row]])))</f>
        <v>0</v>
      </c>
      <c r="U56" s="123" t="b">
        <f aca="false">IF(IFERROR(INDEX(tsk_Name,GanttView[[#This Row],[_Row]])="",TRUE()),FALSE(),INDEX(tsk_Critical,GanttView[[#This Row],[_Row]])="Yes")</f>
        <v>0</v>
      </c>
    </row>
    <row r="57" customFormat="false" ht="15" hidden="false" customHeight="false" outlineLevel="0" collapsed="false">
      <c r="A57" s="117" t="str">
        <f aca="false">IF(IFERROR(INDEX(tsk_Name,GanttView[[#This Row],[_Row]])="",TRUE()),"",INDEX(tsk_ID,GanttView[[#This Row],[_Row]]))</f>
        <v/>
      </c>
      <c r="B57" s="117" t="str">
        <f aca="false">IF(IFERROR(INDEX(tsk_Name,GanttView[[#This Row],[_Row]])="",TRUE()),"",INDEX(tsk_WBS,GanttView[[#This Row],[_Row]]))</f>
        <v/>
      </c>
      <c r="C57" s="118" t="str">
        <f aca="false">IF(IFERROR(INDEX(tsk_Name,GanttView[[#This Row],[_Row]])="",TRUE()),"",REPT("    ",INDEX(tsk_Level,GanttView[[#This Row],[_Row]])-1)&amp;INDEX(tsk_Name,GanttView[[#This Row],[_Row]]))</f>
        <v/>
      </c>
      <c r="D57" s="117" t="str">
        <f aca="false">IF(IFERROR(INDEX(tsk_Name,GanttView[[#This Row],[_Row]])="",TRUE()),"",IF(INDEX(tsk_IsSummary,GanttView[[#This Row],[_Row]]),NETWORKDAYS.INTL(INDEX(tsk_FcStart,GanttView[[#This Row],[_Row]]),INDEX(tsk_FcFinish,GanttView[[#This Row],[_Row]]),WorkWeek,Holidays),N(INDEX(tsk_Duration,GanttView[[#This Row],[_Row]]))))</f>
        <v/>
      </c>
      <c r="E57" s="119" t="str">
        <f aca="false">IF(IFERROR(INDEX(tsk_Name,GanttView[[#This Row],[_Row]])="",TRUE()),"",INDEX(tsk_PlanStart,GanttView[[#This Row],[_Row]]))</f>
        <v/>
      </c>
      <c r="F57" s="119" t="str">
        <f aca="false">IF(IFERROR(INDEX(tsk_Name,GanttView[[#This Row],[_Row]])="",TRUE()),"",INDEX(tsk_PlanFinish,GanttView[[#This Row],[_Row]]))</f>
        <v/>
      </c>
      <c r="G57" s="119" t="str">
        <f aca="false">IF(IFERROR(INDEX(tsk_Name,GanttView[[#This Row],[_Row]])="",TRUE()),"",INDEX(tsk_FcStart,GanttView[[#This Row],[_Row]]))</f>
        <v/>
      </c>
      <c r="H57" s="119" t="str">
        <f aca="false">IF(IFERROR(INDEX(tsk_Name,GanttView[[#This Row],[_Row]])="",TRUE()),"",INDEX(tsk_FcFinish,GanttView[[#This Row],[_Row]]))</f>
        <v/>
      </c>
      <c r="I57" s="120" t="str">
        <f aca="false">IF(IFERROR(INDEX(tsk_Name,GanttView[[#This Row],[_Row]])="",TRUE()),"",INDEX(tsk_Progress,GanttView[[#This Row],[_Row]]))</f>
        <v/>
      </c>
      <c r="J57" s="118" t="str">
        <f aca="false">IF(IFERROR(INDEX(tsk_Name,GanttView[[#This Row],[_Row]])="",TRUE()),"",INDEX(tsk_Resource,GanttView[[#This Row],[_Row]])&amp;"")</f>
        <v/>
      </c>
      <c r="K57" s="121" t="str">
        <f aca="false">IF(IFERROR(INDEX(tsk_Name,GanttView[[#This Row],[_Row]])="",TRUE()),"",INDEX(tsk_Status,GanttView[[#This Row],[_Row]]))</f>
        <v/>
      </c>
      <c r="L57" s="122" t="n">
        <f aca="false">ROW()-ROW(GanttView[[#Headers],[ID]])</f>
        <v>52</v>
      </c>
      <c r="M57" s="123" t="b">
        <f aca="false">IF(IFERROR(INDEX(tsk_Name,GanttView[[#This Row],[_Row]])="",TRUE()),FALSE(),INDEX(tsk_IsSummary,GanttView[[#This Row],[_Row]]))</f>
        <v>0</v>
      </c>
      <c r="N57" s="123" t="b">
        <f aca="false">IF(IFERROR(INDEX(tsk_Name,GanttView[[#This Row],[_Row]])="",TRUE()),FALSE(),AND(INDEX(tsk_IsLeaf,GanttView[[#This Row],[_Row]])=1,N(INDEX(tsk_Duration,GanttView[[#This Row],[_Row]]))=0))</f>
        <v>0</v>
      </c>
      <c r="O57" s="124" t="n">
        <f aca="false">IF(IFERROR(INDEX(tsk_Name,GanttView[[#This Row],[_Row]])="",TRUE()),0,IF(AND(INDEX(tsk_IsLeaf,GanttView[[#This Row],[_Row]])=1,NOT(GanttView[[#This Row],[_IsMilestone]]),N(GanttView[[#This Row],[%]])&gt;0),GanttView[[#This Row],[Forecast Start]],0))</f>
        <v>0</v>
      </c>
      <c r="P57" s="124" t="n">
        <f aca="false">IF(GanttView[[#This Row],[_DoneFrom]]=0,0,IF(GanttView[[#This Row],[%]]&gt;=1,GanttView[[#This Row],[Forecast Finish]],MAX(GanttView[[#This Row],[_DoneFrom]],GanttView[[#This Row],[Forecast Start]]+ROUND((GanttView[[#This Row],[Forecast Finish]]-GanttView[[#This Row],[Forecast Start]]+1)*GanttView[[#This Row],[%]],0)-1)))</f>
        <v>0</v>
      </c>
      <c r="Q57" s="124" t="n">
        <f aca="false">IF(IFERROR(INDEX(tsk_Name,GanttView[[#This Row],[_Row]])="",TRUE()),0,IF(OR(INDEX(tsk_IsLeaf,GanttView[[#This Row],[_Row]])&lt;&gt;1,GanttView[[#This Row],[_IsMilestone]],N(GanttView[[#This Row],[%]])&gt;=1),0,IF(GanttView[[#This Row],[_DoneTo]]&gt;0,GanttView[[#This Row],[_DoneTo]]+1,GanttView[[#This Row],[Forecast Start]])))</f>
        <v>0</v>
      </c>
      <c r="R57" s="124" t="n">
        <f aca="false">IF(GanttView[[#This Row],[_RemFrom]]=0,0,GanttView[[#This Row],[Forecast Finish]])</f>
        <v>0</v>
      </c>
      <c r="S57" s="123" t="b">
        <f aca="false">IF(IFERROR(INDEX(tsk_Name,GanttView[[#This Row],[_Row]])="",TRUE()),FALSE(),N(INDEX(tsk_Variance,GanttView[[#This Row],[_Row]]))&gt;0)</f>
        <v>0</v>
      </c>
      <c r="T57" s="124" t="n">
        <f aca="false">IF(IFERROR(INDEX(tsk_Name,GanttView[[#This Row],[_Row]])="",TRUE()),0,N(INDEX(tsk_Deadline,GanttView[[#This Row],[_Row]])))</f>
        <v>0</v>
      </c>
      <c r="U57" s="123" t="b">
        <f aca="false">IF(IFERROR(INDEX(tsk_Name,GanttView[[#This Row],[_Row]])="",TRUE()),FALSE(),INDEX(tsk_Critical,GanttView[[#This Row],[_Row]])="Yes")</f>
        <v>0</v>
      </c>
    </row>
    <row r="58" customFormat="false" ht="15" hidden="false" customHeight="false" outlineLevel="0" collapsed="false">
      <c r="A58" s="117" t="str">
        <f aca="false">IF(IFERROR(INDEX(tsk_Name,GanttView[[#This Row],[_Row]])="",TRUE()),"",INDEX(tsk_ID,GanttView[[#This Row],[_Row]]))</f>
        <v/>
      </c>
      <c r="B58" s="117" t="str">
        <f aca="false">IF(IFERROR(INDEX(tsk_Name,GanttView[[#This Row],[_Row]])="",TRUE()),"",INDEX(tsk_WBS,GanttView[[#This Row],[_Row]]))</f>
        <v/>
      </c>
      <c r="C58" s="118" t="str">
        <f aca="false">IF(IFERROR(INDEX(tsk_Name,GanttView[[#This Row],[_Row]])="",TRUE()),"",REPT("    ",INDEX(tsk_Level,GanttView[[#This Row],[_Row]])-1)&amp;INDEX(tsk_Name,GanttView[[#This Row],[_Row]]))</f>
        <v/>
      </c>
      <c r="D58" s="117" t="str">
        <f aca="false">IF(IFERROR(INDEX(tsk_Name,GanttView[[#This Row],[_Row]])="",TRUE()),"",IF(INDEX(tsk_IsSummary,GanttView[[#This Row],[_Row]]),NETWORKDAYS.INTL(INDEX(tsk_FcStart,GanttView[[#This Row],[_Row]]),INDEX(tsk_FcFinish,GanttView[[#This Row],[_Row]]),WorkWeek,Holidays),N(INDEX(tsk_Duration,GanttView[[#This Row],[_Row]]))))</f>
        <v/>
      </c>
      <c r="E58" s="119" t="str">
        <f aca="false">IF(IFERROR(INDEX(tsk_Name,GanttView[[#This Row],[_Row]])="",TRUE()),"",INDEX(tsk_PlanStart,GanttView[[#This Row],[_Row]]))</f>
        <v/>
      </c>
      <c r="F58" s="119" t="str">
        <f aca="false">IF(IFERROR(INDEX(tsk_Name,GanttView[[#This Row],[_Row]])="",TRUE()),"",INDEX(tsk_PlanFinish,GanttView[[#This Row],[_Row]]))</f>
        <v/>
      </c>
      <c r="G58" s="119" t="str">
        <f aca="false">IF(IFERROR(INDEX(tsk_Name,GanttView[[#This Row],[_Row]])="",TRUE()),"",INDEX(tsk_FcStart,GanttView[[#This Row],[_Row]]))</f>
        <v/>
      </c>
      <c r="H58" s="119" t="str">
        <f aca="false">IF(IFERROR(INDEX(tsk_Name,GanttView[[#This Row],[_Row]])="",TRUE()),"",INDEX(tsk_FcFinish,GanttView[[#This Row],[_Row]]))</f>
        <v/>
      </c>
      <c r="I58" s="120" t="str">
        <f aca="false">IF(IFERROR(INDEX(tsk_Name,GanttView[[#This Row],[_Row]])="",TRUE()),"",INDEX(tsk_Progress,GanttView[[#This Row],[_Row]]))</f>
        <v/>
      </c>
      <c r="J58" s="118" t="str">
        <f aca="false">IF(IFERROR(INDEX(tsk_Name,GanttView[[#This Row],[_Row]])="",TRUE()),"",INDEX(tsk_Resource,GanttView[[#This Row],[_Row]])&amp;"")</f>
        <v/>
      </c>
      <c r="K58" s="121" t="str">
        <f aca="false">IF(IFERROR(INDEX(tsk_Name,GanttView[[#This Row],[_Row]])="",TRUE()),"",INDEX(tsk_Status,GanttView[[#This Row],[_Row]]))</f>
        <v/>
      </c>
      <c r="L58" s="122" t="n">
        <f aca="false">ROW()-ROW(GanttView[[#Headers],[ID]])</f>
        <v>53</v>
      </c>
      <c r="M58" s="123" t="b">
        <f aca="false">IF(IFERROR(INDEX(tsk_Name,GanttView[[#This Row],[_Row]])="",TRUE()),FALSE(),INDEX(tsk_IsSummary,GanttView[[#This Row],[_Row]]))</f>
        <v>0</v>
      </c>
      <c r="N58" s="123" t="b">
        <f aca="false">IF(IFERROR(INDEX(tsk_Name,GanttView[[#This Row],[_Row]])="",TRUE()),FALSE(),AND(INDEX(tsk_IsLeaf,GanttView[[#This Row],[_Row]])=1,N(INDEX(tsk_Duration,GanttView[[#This Row],[_Row]]))=0))</f>
        <v>0</v>
      </c>
      <c r="O58" s="124" t="n">
        <f aca="false">IF(IFERROR(INDEX(tsk_Name,GanttView[[#This Row],[_Row]])="",TRUE()),0,IF(AND(INDEX(tsk_IsLeaf,GanttView[[#This Row],[_Row]])=1,NOT(GanttView[[#This Row],[_IsMilestone]]),N(GanttView[[#This Row],[%]])&gt;0),GanttView[[#This Row],[Forecast Start]],0))</f>
        <v>0</v>
      </c>
      <c r="P58" s="124" t="n">
        <f aca="false">IF(GanttView[[#This Row],[_DoneFrom]]=0,0,IF(GanttView[[#This Row],[%]]&gt;=1,GanttView[[#This Row],[Forecast Finish]],MAX(GanttView[[#This Row],[_DoneFrom]],GanttView[[#This Row],[Forecast Start]]+ROUND((GanttView[[#This Row],[Forecast Finish]]-GanttView[[#This Row],[Forecast Start]]+1)*GanttView[[#This Row],[%]],0)-1)))</f>
        <v>0</v>
      </c>
      <c r="Q58" s="124" t="n">
        <f aca="false">IF(IFERROR(INDEX(tsk_Name,GanttView[[#This Row],[_Row]])="",TRUE()),0,IF(OR(INDEX(tsk_IsLeaf,GanttView[[#This Row],[_Row]])&lt;&gt;1,GanttView[[#This Row],[_IsMilestone]],N(GanttView[[#This Row],[%]])&gt;=1),0,IF(GanttView[[#This Row],[_DoneTo]]&gt;0,GanttView[[#This Row],[_DoneTo]]+1,GanttView[[#This Row],[Forecast Start]])))</f>
        <v>0</v>
      </c>
      <c r="R58" s="124" t="n">
        <f aca="false">IF(GanttView[[#This Row],[_RemFrom]]=0,0,GanttView[[#This Row],[Forecast Finish]])</f>
        <v>0</v>
      </c>
      <c r="S58" s="123" t="b">
        <f aca="false">IF(IFERROR(INDEX(tsk_Name,GanttView[[#This Row],[_Row]])="",TRUE()),FALSE(),N(INDEX(tsk_Variance,GanttView[[#This Row],[_Row]]))&gt;0)</f>
        <v>0</v>
      </c>
      <c r="T58" s="124" t="n">
        <f aca="false">IF(IFERROR(INDEX(tsk_Name,GanttView[[#This Row],[_Row]])="",TRUE()),0,N(INDEX(tsk_Deadline,GanttView[[#This Row],[_Row]])))</f>
        <v>0</v>
      </c>
      <c r="U58" s="123" t="b">
        <f aca="false">IF(IFERROR(INDEX(tsk_Name,GanttView[[#This Row],[_Row]])="",TRUE()),FALSE(),INDEX(tsk_Critical,GanttView[[#This Row],[_Row]])="Yes")</f>
        <v>0</v>
      </c>
    </row>
    <row r="59" customFormat="false" ht="15" hidden="false" customHeight="false" outlineLevel="0" collapsed="false">
      <c r="A59" s="117" t="str">
        <f aca="false">IF(IFERROR(INDEX(tsk_Name,GanttView[[#This Row],[_Row]])="",TRUE()),"",INDEX(tsk_ID,GanttView[[#This Row],[_Row]]))</f>
        <v/>
      </c>
      <c r="B59" s="117" t="str">
        <f aca="false">IF(IFERROR(INDEX(tsk_Name,GanttView[[#This Row],[_Row]])="",TRUE()),"",INDEX(tsk_WBS,GanttView[[#This Row],[_Row]]))</f>
        <v/>
      </c>
      <c r="C59" s="118" t="str">
        <f aca="false">IF(IFERROR(INDEX(tsk_Name,GanttView[[#This Row],[_Row]])="",TRUE()),"",REPT("    ",INDEX(tsk_Level,GanttView[[#This Row],[_Row]])-1)&amp;INDEX(tsk_Name,GanttView[[#This Row],[_Row]]))</f>
        <v/>
      </c>
      <c r="D59" s="117" t="str">
        <f aca="false">IF(IFERROR(INDEX(tsk_Name,GanttView[[#This Row],[_Row]])="",TRUE()),"",IF(INDEX(tsk_IsSummary,GanttView[[#This Row],[_Row]]),NETWORKDAYS.INTL(INDEX(tsk_FcStart,GanttView[[#This Row],[_Row]]),INDEX(tsk_FcFinish,GanttView[[#This Row],[_Row]]),WorkWeek,Holidays),N(INDEX(tsk_Duration,GanttView[[#This Row],[_Row]]))))</f>
        <v/>
      </c>
      <c r="E59" s="119" t="str">
        <f aca="false">IF(IFERROR(INDEX(tsk_Name,GanttView[[#This Row],[_Row]])="",TRUE()),"",INDEX(tsk_PlanStart,GanttView[[#This Row],[_Row]]))</f>
        <v/>
      </c>
      <c r="F59" s="119" t="str">
        <f aca="false">IF(IFERROR(INDEX(tsk_Name,GanttView[[#This Row],[_Row]])="",TRUE()),"",INDEX(tsk_PlanFinish,GanttView[[#This Row],[_Row]]))</f>
        <v/>
      </c>
      <c r="G59" s="119" t="str">
        <f aca="false">IF(IFERROR(INDEX(tsk_Name,GanttView[[#This Row],[_Row]])="",TRUE()),"",INDEX(tsk_FcStart,GanttView[[#This Row],[_Row]]))</f>
        <v/>
      </c>
      <c r="H59" s="119" t="str">
        <f aca="false">IF(IFERROR(INDEX(tsk_Name,GanttView[[#This Row],[_Row]])="",TRUE()),"",INDEX(tsk_FcFinish,GanttView[[#This Row],[_Row]]))</f>
        <v/>
      </c>
      <c r="I59" s="120" t="str">
        <f aca="false">IF(IFERROR(INDEX(tsk_Name,GanttView[[#This Row],[_Row]])="",TRUE()),"",INDEX(tsk_Progress,GanttView[[#This Row],[_Row]]))</f>
        <v/>
      </c>
      <c r="J59" s="118" t="str">
        <f aca="false">IF(IFERROR(INDEX(tsk_Name,GanttView[[#This Row],[_Row]])="",TRUE()),"",INDEX(tsk_Resource,GanttView[[#This Row],[_Row]])&amp;"")</f>
        <v/>
      </c>
      <c r="K59" s="121" t="str">
        <f aca="false">IF(IFERROR(INDEX(tsk_Name,GanttView[[#This Row],[_Row]])="",TRUE()),"",INDEX(tsk_Status,GanttView[[#This Row],[_Row]]))</f>
        <v/>
      </c>
      <c r="L59" s="122" t="n">
        <f aca="false">ROW()-ROW(GanttView[[#Headers],[ID]])</f>
        <v>54</v>
      </c>
      <c r="M59" s="123" t="b">
        <f aca="false">IF(IFERROR(INDEX(tsk_Name,GanttView[[#This Row],[_Row]])="",TRUE()),FALSE(),INDEX(tsk_IsSummary,GanttView[[#This Row],[_Row]]))</f>
        <v>0</v>
      </c>
      <c r="N59" s="123" t="b">
        <f aca="false">IF(IFERROR(INDEX(tsk_Name,GanttView[[#This Row],[_Row]])="",TRUE()),FALSE(),AND(INDEX(tsk_IsLeaf,GanttView[[#This Row],[_Row]])=1,N(INDEX(tsk_Duration,GanttView[[#This Row],[_Row]]))=0))</f>
        <v>0</v>
      </c>
      <c r="O59" s="124" t="n">
        <f aca="false">IF(IFERROR(INDEX(tsk_Name,GanttView[[#This Row],[_Row]])="",TRUE()),0,IF(AND(INDEX(tsk_IsLeaf,GanttView[[#This Row],[_Row]])=1,NOT(GanttView[[#This Row],[_IsMilestone]]),N(GanttView[[#This Row],[%]])&gt;0),GanttView[[#This Row],[Forecast Start]],0))</f>
        <v>0</v>
      </c>
      <c r="P59" s="124" t="n">
        <f aca="false">IF(GanttView[[#This Row],[_DoneFrom]]=0,0,IF(GanttView[[#This Row],[%]]&gt;=1,GanttView[[#This Row],[Forecast Finish]],MAX(GanttView[[#This Row],[_DoneFrom]],GanttView[[#This Row],[Forecast Start]]+ROUND((GanttView[[#This Row],[Forecast Finish]]-GanttView[[#This Row],[Forecast Start]]+1)*GanttView[[#This Row],[%]],0)-1)))</f>
        <v>0</v>
      </c>
      <c r="Q59" s="124" t="n">
        <f aca="false">IF(IFERROR(INDEX(tsk_Name,GanttView[[#This Row],[_Row]])="",TRUE()),0,IF(OR(INDEX(tsk_IsLeaf,GanttView[[#This Row],[_Row]])&lt;&gt;1,GanttView[[#This Row],[_IsMilestone]],N(GanttView[[#This Row],[%]])&gt;=1),0,IF(GanttView[[#This Row],[_DoneTo]]&gt;0,GanttView[[#This Row],[_DoneTo]]+1,GanttView[[#This Row],[Forecast Start]])))</f>
        <v>0</v>
      </c>
      <c r="R59" s="124" t="n">
        <f aca="false">IF(GanttView[[#This Row],[_RemFrom]]=0,0,GanttView[[#This Row],[Forecast Finish]])</f>
        <v>0</v>
      </c>
      <c r="S59" s="123" t="b">
        <f aca="false">IF(IFERROR(INDEX(tsk_Name,GanttView[[#This Row],[_Row]])="",TRUE()),FALSE(),N(INDEX(tsk_Variance,GanttView[[#This Row],[_Row]]))&gt;0)</f>
        <v>0</v>
      </c>
      <c r="T59" s="124" t="n">
        <f aca="false">IF(IFERROR(INDEX(tsk_Name,GanttView[[#This Row],[_Row]])="",TRUE()),0,N(INDEX(tsk_Deadline,GanttView[[#This Row],[_Row]])))</f>
        <v>0</v>
      </c>
      <c r="U59" s="123" t="b">
        <f aca="false">IF(IFERROR(INDEX(tsk_Name,GanttView[[#This Row],[_Row]])="",TRUE()),FALSE(),INDEX(tsk_Critical,GanttView[[#This Row],[_Row]])="Yes")</f>
        <v>0</v>
      </c>
    </row>
    <row r="60" customFormat="false" ht="15" hidden="false" customHeight="false" outlineLevel="0" collapsed="false">
      <c r="A60" s="117" t="str">
        <f aca="false">IF(IFERROR(INDEX(tsk_Name,GanttView[[#This Row],[_Row]])="",TRUE()),"",INDEX(tsk_ID,GanttView[[#This Row],[_Row]]))</f>
        <v/>
      </c>
      <c r="B60" s="117" t="str">
        <f aca="false">IF(IFERROR(INDEX(tsk_Name,GanttView[[#This Row],[_Row]])="",TRUE()),"",INDEX(tsk_WBS,GanttView[[#This Row],[_Row]]))</f>
        <v/>
      </c>
      <c r="C60" s="118" t="str">
        <f aca="false">IF(IFERROR(INDEX(tsk_Name,GanttView[[#This Row],[_Row]])="",TRUE()),"",REPT("    ",INDEX(tsk_Level,GanttView[[#This Row],[_Row]])-1)&amp;INDEX(tsk_Name,GanttView[[#This Row],[_Row]]))</f>
        <v/>
      </c>
      <c r="D60" s="117" t="str">
        <f aca="false">IF(IFERROR(INDEX(tsk_Name,GanttView[[#This Row],[_Row]])="",TRUE()),"",IF(INDEX(tsk_IsSummary,GanttView[[#This Row],[_Row]]),NETWORKDAYS.INTL(INDEX(tsk_FcStart,GanttView[[#This Row],[_Row]]),INDEX(tsk_FcFinish,GanttView[[#This Row],[_Row]]),WorkWeek,Holidays),N(INDEX(tsk_Duration,GanttView[[#This Row],[_Row]]))))</f>
        <v/>
      </c>
      <c r="E60" s="119" t="str">
        <f aca="false">IF(IFERROR(INDEX(tsk_Name,GanttView[[#This Row],[_Row]])="",TRUE()),"",INDEX(tsk_PlanStart,GanttView[[#This Row],[_Row]]))</f>
        <v/>
      </c>
      <c r="F60" s="119" t="str">
        <f aca="false">IF(IFERROR(INDEX(tsk_Name,GanttView[[#This Row],[_Row]])="",TRUE()),"",INDEX(tsk_PlanFinish,GanttView[[#This Row],[_Row]]))</f>
        <v/>
      </c>
      <c r="G60" s="119" t="str">
        <f aca="false">IF(IFERROR(INDEX(tsk_Name,GanttView[[#This Row],[_Row]])="",TRUE()),"",INDEX(tsk_FcStart,GanttView[[#This Row],[_Row]]))</f>
        <v/>
      </c>
      <c r="H60" s="119" t="str">
        <f aca="false">IF(IFERROR(INDEX(tsk_Name,GanttView[[#This Row],[_Row]])="",TRUE()),"",INDEX(tsk_FcFinish,GanttView[[#This Row],[_Row]]))</f>
        <v/>
      </c>
      <c r="I60" s="120" t="str">
        <f aca="false">IF(IFERROR(INDEX(tsk_Name,GanttView[[#This Row],[_Row]])="",TRUE()),"",INDEX(tsk_Progress,GanttView[[#This Row],[_Row]]))</f>
        <v/>
      </c>
      <c r="J60" s="118" t="str">
        <f aca="false">IF(IFERROR(INDEX(tsk_Name,GanttView[[#This Row],[_Row]])="",TRUE()),"",INDEX(tsk_Resource,GanttView[[#This Row],[_Row]])&amp;"")</f>
        <v/>
      </c>
      <c r="K60" s="121" t="str">
        <f aca="false">IF(IFERROR(INDEX(tsk_Name,GanttView[[#This Row],[_Row]])="",TRUE()),"",INDEX(tsk_Status,GanttView[[#This Row],[_Row]]))</f>
        <v/>
      </c>
      <c r="L60" s="122" t="n">
        <f aca="false">ROW()-ROW(GanttView[[#Headers],[ID]])</f>
        <v>55</v>
      </c>
      <c r="M60" s="123" t="b">
        <f aca="false">IF(IFERROR(INDEX(tsk_Name,GanttView[[#This Row],[_Row]])="",TRUE()),FALSE(),INDEX(tsk_IsSummary,GanttView[[#This Row],[_Row]]))</f>
        <v>0</v>
      </c>
      <c r="N60" s="123" t="b">
        <f aca="false">IF(IFERROR(INDEX(tsk_Name,GanttView[[#This Row],[_Row]])="",TRUE()),FALSE(),AND(INDEX(tsk_IsLeaf,GanttView[[#This Row],[_Row]])=1,N(INDEX(tsk_Duration,GanttView[[#This Row],[_Row]]))=0))</f>
        <v>0</v>
      </c>
      <c r="O60" s="124" t="n">
        <f aca="false">IF(IFERROR(INDEX(tsk_Name,GanttView[[#This Row],[_Row]])="",TRUE()),0,IF(AND(INDEX(tsk_IsLeaf,GanttView[[#This Row],[_Row]])=1,NOT(GanttView[[#This Row],[_IsMilestone]]),N(GanttView[[#This Row],[%]])&gt;0),GanttView[[#This Row],[Forecast Start]],0))</f>
        <v>0</v>
      </c>
      <c r="P60" s="124" t="n">
        <f aca="false">IF(GanttView[[#This Row],[_DoneFrom]]=0,0,IF(GanttView[[#This Row],[%]]&gt;=1,GanttView[[#This Row],[Forecast Finish]],MAX(GanttView[[#This Row],[_DoneFrom]],GanttView[[#This Row],[Forecast Start]]+ROUND((GanttView[[#This Row],[Forecast Finish]]-GanttView[[#This Row],[Forecast Start]]+1)*GanttView[[#This Row],[%]],0)-1)))</f>
        <v>0</v>
      </c>
      <c r="Q60" s="124" t="n">
        <f aca="false">IF(IFERROR(INDEX(tsk_Name,GanttView[[#This Row],[_Row]])="",TRUE()),0,IF(OR(INDEX(tsk_IsLeaf,GanttView[[#This Row],[_Row]])&lt;&gt;1,GanttView[[#This Row],[_IsMilestone]],N(GanttView[[#This Row],[%]])&gt;=1),0,IF(GanttView[[#This Row],[_DoneTo]]&gt;0,GanttView[[#This Row],[_DoneTo]]+1,GanttView[[#This Row],[Forecast Start]])))</f>
        <v>0</v>
      </c>
      <c r="R60" s="124" t="n">
        <f aca="false">IF(GanttView[[#This Row],[_RemFrom]]=0,0,GanttView[[#This Row],[Forecast Finish]])</f>
        <v>0</v>
      </c>
      <c r="S60" s="123" t="b">
        <f aca="false">IF(IFERROR(INDEX(tsk_Name,GanttView[[#This Row],[_Row]])="",TRUE()),FALSE(),N(INDEX(tsk_Variance,GanttView[[#This Row],[_Row]]))&gt;0)</f>
        <v>0</v>
      </c>
      <c r="T60" s="124" t="n">
        <f aca="false">IF(IFERROR(INDEX(tsk_Name,GanttView[[#This Row],[_Row]])="",TRUE()),0,N(INDEX(tsk_Deadline,GanttView[[#This Row],[_Row]])))</f>
        <v>0</v>
      </c>
      <c r="U60" s="123" t="b">
        <f aca="false">IF(IFERROR(INDEX(tsk_Name,GanttView[[#This Row],[_Row]])="",TRUE()),FALSE(),INDEX(tsk_Critical,GanttView[[#This Row],[_Row]])="Yes")</f>
        <v>0</v>
      </c>
    </row>
    <row r="61" customFormat="false" ht="15" hidden="false" customHeight="false" outlineLevel="0" collapsed="false">
      <c r="A61" s="117" t="str">
        <f aca="false">IF(IFERROR(INDEX(tsk_Name,GanttView[[#This Row],[_Row]])="",TRUE()),"",INDEX(tsk_ID,GanttView[[#This Row],[_Row]]))</f>
        <v/>
      </c>
      <c r="B61" s="117" t="str">
        <f aca="false">IF(IFERROR(INDEX(tsk_Name,GanttView[[#This Row],[_Row]])="",TRUE()),"",INDEX(tsk_WBS,GanttView[[#This Row],[_Row]]))</f>
        <v/>
      </c>
      <c r="C61" s="118" t="str">
        <f aca="false">IF(IFERROR(INDEX(tsk_Name,GanttView[[#This Row],[_Row]])="",TRUE()),"",REPT("    ",INDEX(tsk_Level,GanttView[[#This Row],[_Row]])-1)&amp;INDEX(tsk_Name,GanttView[[#This Row],[_Row]]))</f>
        <v/>
      </c>
      <c r="D61" s="117" t="str">
        <f aca="false">IF(IFERROR(INDEX(tsk_Name,GanttView[[#This Row],[_Row]])="",TRUE()),"",IF(INDEX(tsk_IsSummary,GanttView[[#This Row],[_Row]]),NETWORKDAYS.INTL(INDEX(tsk_FcStart,GanttView[[#This Row],[_Row]]),INDEX(tsk_FcFinish,GanttView[[#This Row],[_Row]]),WorkWeek,Holidays),N(INDEX(tsk_Duration,GanttView[[#This Row],[_Row]]))))</f>
        <v/>
      </c>
      <c r="E61" s="119" t="str">
        <f aca="false">IF(IFERROR(INDEX(tsk_Name,GanttView[[#This Row],[_Row]])="",TRUE()),"",INDEX(tsk_PlanStart,GanttView[[#This Row],[_Row]]))</f>
        <v/>
      </c>
      <c r="F61" s="119" t="str">
        <f aca="false">IF(IFERROR(INDEX(tsk_Name,GanttView[[#This Row],[_Row]])="",TRUE()),"",INDEX(tsk_PlanFinish,GanttView[[#This Row],[_Row]]))</f>
        <v/>
      </c>
      <c r="G61" s="119" t="str">
        <f aca="false">IF(IFERROR(INDEX(tsk_Name,GanttView[[#This Row],[_Row]])="",TRUE()),"",INDEX(tsk_FcStart,GanttView[[#This Row],[_Row]]))</f>
        <v/>
      </c>
      <c r="H61" s="119" t="str">
        <f aca="false">IF(IFERROR(INDEX(tsk_Name,GanttView[[#This Row],[_Row]])="",TRUE()),"",INDEX(tsk_FcFinish,GanttView[[#This Row],[_Row]]))</f>
        <v/>
      </c>
      <c r="I61" s="120" t="str">
        <f aca="false">IF(IFERROR(INDEX(tsk_Name,GanttView[[#This Row],[_Row]])="",TRUE()),"",INDEX(tsk_Progress,GanttView[[#This Row],[_Row]]))</f>
        <v/>
      </c>
      <c r="J61" s="118" t="str">
        <f aca="false">IF(IFERROR(INDEX(tsk_Name,GanttView[[#This Row],[_Row]])="",TRUE()),"",INDEX(tsk_Resource,GanttView[[#This Row],[_Row]])&amp;"")</f>
        <v/>
      </c>
      <c r="K61" s="121" t="str">
        <f aca="false">IF(IFERROR(INDEX(tsk_Name,GanttView[[#This Row],[_Row]])="",TRUE()),"",INDEX(tsk_Status,GanttView[[#This Row],[_Row]]))</f>
        <v/>
      </c>
      <c r="L61" s="122" t="n">
        <f aca="false">ROW()-ROW(GanttView[[#Headers],[ID]])</f>
        <v>56</v>
      </c>
      <c r="M61" s="123" t="b">
        <f aca="false">IF(IFERROR(INDEX(tsk_Name,GanttView[[#This Row],[_Row]])="",TRUE()),FALSE(),INDEX(tsk_IsSummary,GanttView[[#This Row],[_Row]]))</f>
        <v>0</v>
      </c>
      <c r="N61" s="123" t="b">
        <f aca="false">IF(IFERROR(INDEX(tsk_Name,GanttView[[#This Row],[_Row]])="",TRUE()),FALSE(),AND(INDEX(tsk_IsLeaf,GanttView[[#This Row],[_Row]])=1,N(INDEX(tsk_Duration,GanttView[[#This Row],[_Row]]))=0))</f>
        <v>0</v>
      </c>
      <c r="O61" s="124" t="n">
        <f aca="false">IF(IFERROR(INDEX(tsk_Name,GanttView[[#This Row],[_Row]])="",TRUE()),0,IF(AND(INDEX(tsk_IsLeaf,GanttView[[#This Row],[_Row]])=1,NOT(GanttView[[#This Row],[_IsMilestone]]),N(GanttView[[#This Row],[%]])&gt;0),GanttView[[#This Row],[Forecast Start]],0))</f>
        <v>0</v>
      </c>
      <c r="P61" s="124" t="n">
        <f aca="false">IF(GanttView[[#This Row],[_DoneFrom]]=0,0,IF(GanttView[[#This Row],[%]]&gt;=1,GanttView[[#This Row],[Forecast Finish]],MAX(GanttView[[#This Row],[_DoneFrom]],GanttView[[#This Row],[Forecast Start]]+ROUND((GanttView[[#This Row],[Forecast Finish]]-GanttView[[#This Row],[Forecast Start]]+1)*GanttView[[#This Row],[%]],0)-1)))</f>
        <v>0</v>
      </c>
      <c r="Q61" s="124" t="n">
        <f aca="false">IF(IFERROR(INDEX(tsk_Name,GanttView[[#This Row],[_Row]])="",TRUE()),0,IF(OR(INDEX(tsk_IsLeaf,GanttView[[#This Row],[_Row]])&lt;&gt;1,GanttView[[#This Row],[_IsMilestone]],N(GanttView[[#This Row],[%]])&gt;=1),0,IF(GanttView[[#This Row],[_DoneTo]]&gt;0,GanttView[[#This Row],[_DoneTo]]+1,GanttView[[#This Row],[Forecast Start]])))</f>
        <v>0</v>
      </c>
      <c r="R61" s="124" t="n">
        <f aca="false">IF(GanttView[[#This Row],[_RemFrom]]=0,0,GanttView[[#This Row],[Forecast Finish]])</f>
        <v>0</v>
      </c>
      <c r="S61" s="123" t="b">
        <f aca="false">IF(IFERROR(INDEX(tsk_Name,GanttView[[#This Row],[_Row]])="",TRUE()),FALSE(),N(INDEX(tsk_Variance,GanttView[[#This Row],[_Row]]))&gt;0)</f>
        <v>0</v>
      </c>
      <c r="T61" s="124" t="n">
        <f aca="false">IF(IFERROR(INDEX(tsk_Name,GanttView[[#This Row],[_Row]])="",TRUE()),0,N(INDEX(tsk_Deadline,GanttView[[#This Row],[_Row]])))</f>
        <v>0</v>
      </c>
      <c r="U61" s="123" t="b">
        <f aca="false">IF(IFERROR(INDEX(tsk_Name,GanttView[[#This Row],[_Row]])="",TRUE()),FALSE(),INDEX(tsk_Critical,GanttView[[#This Row],[_Row]])="Yes")</f>
        <v>0</v>
      </c>
    </row>
    <row r="62" customFormat="false" ht="15" hidden="false" customHeight="false" outlineLevel="0" collapsed="false">
      <c r="A62" s="117" t="str">
        <f aca="false">IF(IFERROR(INDEX(tsk_Name,GanttView[[#This Row],[_Row]])="",TRUE()),"",INDEX(tsk_ID,GanttView[[#This Row],[_Row]]))</f>
        <v/>
      </c>
      <c r="B62" s="117" t="str">
        <f aca="false">IF(IFERROR(INDEX(tsk_Name,GanttView[[#This Row],[_Row]])="",TRUE()),"",INDEX(tsk_WBS,GanttView[[#This Row],[_Row]]))</f>
        <v/>
      </c>
      <c r="C62" s="118" t="str">
        <f aca="false">IF(IFERROR(INDEX(tsk_Name,GanttView[[#This Row],[_Row]])="",TRUE()),"",REPT("    ",INDEX(tsk_Level,GanttView[[#This Row],[_Row]])-1)&amp;INDEX(tsk_Name,GanttView[[#This Row],[_Row]]))</f>
        <v/>
      </c>
      <c r="D62" s="117" t="str">
        <f aca="false">IF(IFERROR(INDEX(tsk_Name,GanttView[[#This Row],[_Row]])="",TRUE()),"",IF(INDEX(tsk_IsSummary,GanttView[[#This Row],[_Row]]),NETWORKDAYS.INTL(INDEX(tsk_FcStart,GanttView[[#This Row],[_Row]]),INDEX(tsk_FcFinish,GanttView[[#This Row],[_Row]]),WorkWeek,Holidays),N(INDEX(tsk_Duration,GanttView[[#This Row],[_Row]]))))</f>
        <v/>
      </c>
      <c r="E62" s="119" t="str">
        <f aca="false">IF(IFERROR(INDEX(tsk_Name,GanttView[[#This Row],[_Row]])="",TRUE()),"",INDEX(tsk_PlanStart,GanttView[[#This Row],[_Row]]))</f>
        <v/>
      </c>
      <c r="F62" s="119" t="str">
        <f aca="false">IF(IFERROR(INDEX(tsk_Name,GanttView[[#This Row],[_Row]])="",TRUE()),"",INDEX(tsk_PlanFinish,GanttView[[#This Row],[_Row]]))</f>
        <v/>
      </c>
      <c r="G62" s="119" t="str">
        <f aca="false">IF(IFERROR(INDEX(tsk_Name,GanttView[[#This Row],[_Row]])="",TRUE()),"",INDEX(tsk_FcStart,GanttView[[#This Row],[_Row]]))</f>
        <v/>
      </c>
      <c r="H62" s="119" t="str">
        <f aca="false">IF(IFERROR(INDEX(tsk_Name,GanttView[[#This Row],[_Row]])="",TRUE()),"",INDEX(tsk_FcFinish,GanttView[[#This Row],[_Row]]))</f>
        <v/>
      </c>
      <c r="I62" s="120" t="str">
        <f aca="false">IF(IFERROR(INDEX(tsk_Name,GanttView[[#This Row],[_Row]])="",TRUE()),"",INDEX(tsk_Progress,GanttView[[#This Row],[_Row]]))</f>
        <v/>
      </c>
      <c r="J62" s="118" t="str">
        <f aca="false">IF(IFERROR(INDEX(tsk_Name,GanttView[[#This Row],[_Row]])="",TRUE()),"",INDEX(tsk_Resource,GanttView[[#This Row],[_Row]])&amp;"")</f>
        <v/>
      </c>
      <c r="K62" s="121" t="str">
        <f aca="false">IF(IFERROR(INDEX(tsk_Name,GanttView[[#This Row],[_Row]])="",TRUE()),"",INDEX(tsk_Status,GanttView[[#This Row],[_Row]]))</f>
        <v/>
      </c>
      <c r="L62" s="122" t="n">
        <f aca="false">ROW()-ROW(GanttView[[#Headers],[ID]])</f>
        <v>57</v>
      </c>
      <c r="M62" s="123" t="b">
        <f aca="false">IF(IFERROR(INDEX(tsk_Name,GanttView[[#This Row],[_Row]])="",TRUE()),FALSE(),INDEX(tsk_IsSummary,GanttView[[#This Row],[_Row]]))</f>
        <v>0</v>
      </c>
      <c r="N62" s="123" t="b">
        <f aca="false">IF(IFERROR(INDEX(tsk_Name,GanttView[[#This Row],[_Row]])="",TRUE()),FALSE(),AND(INDEX(tsk_IsLeaf,GanttView[[#This Row],[_Row]])=1,N(INDEX(tsk_Duration,GanttView[[#This Row],[_Row]]))=0))</f>
        <v>0</v>
      </c>
      <c r="O62" s="124" t="n">
        <f aca="false">IF(IFERROR(INDEX(tsk_Name,GanttView[[#This Row],[_Row]])="",TRUE()),0,IF(AND(INDEX(tsk_IsLeaf,GanttView[[#This Row],[_Row]])=1,NOT(GanttView[[#This Row],[_IsMilestone]]),N(GanttView[[#This Row],[%]])&gt;0),GanttView[[#This Row],[Forecast Start]],0))</f>
        <v>0</v>
      </c>
      <c r="P62" s="124" t="n">
        <f aca="false">IF(GanttView[[#This Row],[_DoneFrom]]=0,0,IF(GanttView[[#This Row],[%]]&gt;=1,GanttView[[#This Row],[Forecast Finish]],MAX(GanttView[[#This Row],[_DoneFrom]],GanttView[[#This Row],[Forecast Start]]+ROUND((GanttView[[#This Row],[Forecast Finish]]-GanttView[[#This Row],[Forecast Start]]+1)*GanttView[[#This Row],[%]],0)-1)))</f>
        <v>0</v>
      </c>
      <c r="Q62" s="124" t="n">
        <f aca="false">IF(IFERROR(INDEX(tsk_Name,GanttView[[#This Row],[_Row]])="",TRUE()),0,IF(OR(INDEX(tsk_IsLeaf,GanttView[[#This Row],[_Row]])&lt;&gt;1,GanttView[[#This Row],[_IsMilestone]],N(GanttView[[#This Row],[%]])&gt;=1),0,IF(GanttView[[#This Row],[_DoneTo]]&gt;0,GanttView[[#This Row],[_DoneTo]]+1,GanttView[[#This Row],[Forecast Start]])))</f>
        <v>0</v>
      </c>
      <c r="R62" s="124" t="n">
        <f aca="false">IF(GanttView[[#This Row],[_RemFrom]]=0,0,GanttView[[#This Row],[Forecast Finish]])</f>
        <v>0</v>
      </c>
      <c r="S62" s="123" t="b">
        <f aca="false">IF(IFERROR(INDEX(tsk_Name,GanttView[[#This Row],[_Row]])="",TRUE()),FALSE(),N(INDEX(tsk_Variance,GanttView[[#This Row],[_Row]]))&gt;0)</f>
        <v>0</v>
      </c>
      <c r="T62" s="124" t="n">
        <f aca="false">IF(IFERROR(INDEX(tsk_Name,GanttView[[#This Row],[_Row]])="",TRUE()),0,N(INDEX(tsk_Deadline,GanttView[[#This Row],[_Row]])))</f>
        <v>0</v>
      </c>
      <c r="U62" s="123" t="b">
        <f aca="false">IF(IFERROR(INDEX(tsk_Name,GanttView[[#This Row],[_Row]])="",TRUE()),FALSE(),INDEX(tsk_Critical,GanttView[[#This Row],[_Row]])="Yes")</f>
        <v>0</v>
      </c>
    </row>
    <row r="63" customFormat="false" ht="15" hidden="false" customHeight="false" outlineLevel="0" collapsed="false">
      <c r="A63" s="117" t="str">
        <f aca="false">IF(IFERROR(INDEX(tsk_Name,GanttView[[#This Row],[_Row]])="",TRUE()),"",INDEX(tsk_ID,GanttView[[#This Row],[_Row]]))</f>
        <v/>
      </c>
      <c r="B63" s="117" t="str">
        <f aca="false">IF(IFERROR(INDEX(tsk_Name,GanttView[[#This Row],[_Row]])="",TRUE()),"",INDEX(tsk_WBS,GanttView[[#This Row],[_Row]]))</f>
        <v/>
      </c>
      <c r="C63" s="118" t="str">
        <f aca="false">IF(IFERROR(INDEX(tsk_Name,GanttView[[#This Row],[_Row]])="",TRUE()),"",REPT("    ",INDEX(tsk_Level,GanttView[[#This Row],[_Row]])-1)&amp;INDEX(tsk_Name,GanttView[[#This Row],[_Row]]))</f>
        <v/>
      </c>
      <c r="D63" s="117" t="str">
        <f aca="false">IF(IFERROR(INDEX(tsk_Name,GanttView[[#This Row],[_Row]])="",TRUE()),"",IF(INDEX(tsk_IsSummary,GanttView[[#This Row],[_Row]]),NETWORKDAYS.INTL(INDEX(tsk_FcStart,GanttView[[#This Row],[_Row]]),INDEX(tsk_FcFinish,GanttView[[#This Row],[_Row]]),WorkWeek,Holidays),N(INDEX(tsk_Duration,GanttView[[#This Row],[_Row]]))))</f>
        <v/>
      </c>
      <c r="E63" s="119" t="str">
        <f aca="false">IF(IFERROR(INDEX(tsk_Name,GanttView[[#This Row],[_Row]])="",TRUE()),"",INDEX(tsk_PlanStart,GanttView[[#This Row],[_Row]]))</f>
        <v/>
      </c>
      <c r="F63" s="119" t="str">
        <f aca="false">IF(IFERROR(INDEX(tsk_Name,GanttView[[#This Row],[_Row]])="",TRUE()),"",INDEX(tsk_PlanFinish,GanttView[[#This Row],[_Row]]))</f>
        <v/>
      </c>
      <c r="G63" s="119" t="str">
        <f aca="false">IF(IFERROR(INDEX(tsk_Name,GanttView[[#This Row],[_Row]])="",TRUE()),"",INDEX(tsk_FcStart,GanttView[[#This Row],[_Row]]))</f>
        <v/>
      </c>
      <c r="H63" s="119" t="str">
        <f aca="false">IF(IFERROR(INDEX(tsk_Name,GanttView[[#This Row],[_Row]])="",TRUE()),"",INDEX(tsk_FcFinish,GanttView[[#This Row],[_Row]]))</f>
        <v/>
      </c>
      <c r="I63" s="120" t="str">
        <f aca="false">IF(IFERROR(INDEX(tsk_Name,GanttView[[#This Row],[_Row]])="",TRUE()),"",INDEX(tsk_Progress,GanttView[[#This Row],[_Row]]))</f>
        <v/>
      </c>
      <c r="J63" s="118" t="str">
        <f aca="false">IF(IFERROR(INDEX(tsk_Name,GanttView[[#This Row],[_Row]])="",TRUE()),"",INDEX(tsk_Resource,GanttView[[#This Row],[_Row]])&amp;"")</f>
        <v/>
      </c>
      <c r="K63" s="121" t="str">
        <f aca="false">IF(IFERROR(INDEX(tsk_Name,GanttView[[#This Row],[_Row]])="",TRUE()),"",INDEX(tsk_Status,GanttView[[#This Row],[_Row]]))</f>
        <v/>
      </c>
      <c r="L63" s="122" t="n">
        <f aca="false">ROW()-ROW(GanttView[[#Headers],[ID]])</f>
        <v>58</v>
      </c>
      <c r="M63" s="123" t="b">
        <f aca="false">IF(IFERROR(INDEX(tsk_Name,GanttView[[#This Row],[_Row]])="",TRUE()),FALSE(),INDEX(tsk_IsSummary,GanttView[[#This Row],[_Row]]))</f>
        <v>0</v>
      </c>
      <c r="N63" s="123" t="b">
        <f aca="false">IF(IFERROR(INDEX(tsk_Name,GanttView[[#This Row],[_Row]])="",TRUE()),FALSE(),AND(INDEX(tsk_IsLeaf,GanttView[[#This Row],[_Row]])=1,N(INDEX(tsk_Duration,GanttView[[#This Row],[_Row]]))=0))</f>
        <v>0</v>
      </c>
      <c r="O63" s="124" t="n">
        <f aca="false">IF(IFERROR(INDEX(tsk_Name,GanttView[[#This Row],[_Row]])="",TRUE()),0,IF(AND(INDEX(tsk_IsLeaf,GanttView[[#This Row],[_Row]])=1,NOT(GanttView[[#This Row],[_IsMilestone]]),N(GanttView[[#This Row],[%]])&gt;0),GanttView[[#This Row],[Forecast Start]],0))</f>
        <v>0</v>
      </c>
      <c r="P63" s="124" t="n">
        <f aca="false">IF(GanttView[[#This Row],[_DoneFrom]]=0,0,IF(GanttView[[#This Row],[%]]&gt;=1,GanttView[[#This Row],[Forecast Finish]],MAX(GanttView[[#This Row],[_DoneFrom]],GanttView[[#This Row],[Forecast Start]]+ROUND((GanttView[[#This Row],[Forecast Finish]]-GanttView[[#This Row],[Forecast Start]]+1)*GanttView[[#This Row],[%]],0)-1)))</f>
        <v>0</v>
      </c>
      <c r="Q63" s="124" t="n">
        <f aca="false">IF(IFERROR(INDEX(tsk_Name,GanttView[[#This Row],[_Row]])="",TRUE()),0,IF(OR(INDEX(tsk_IsLeaf,GanttView[[#This Row],[_Row]])&lt;&gt;1,GanttView[[#This Row],[_IsMilestone]],N(GanttView[[#This Row],[%]])&gt;=1),0,IF(GanttView[[#This Row],[_DoneTo]]&gt;0,GanttView[[#This Row],[_DoneTo]]+1,GanttView[[#This Row],[Forecast Start]])))</f>
        <v>0</v>
      </c>
      <c r="R63" s="124" t="n">
        <f aca="false">IF(GanttView[[#This Row],[_RemFrom]]=0,0,GanttView[[#This Row],[Forecast Finish]])</f>
        <v>0</v>
      </c>
      <c r="S63" s="123" t="b">
        <f aca="false">IF(IFERROR(INDEX(tsk_Name,GanttView[[#This Row],[_Row]])="",TRUE()),FALSE(),N(INDEX(tsk_Variance,GanttView[[#This Row],[_Row]]))&gt;0)</f>
        <v>0</v>
      </c>
      <c r="T63" s="124" t="n">
        <f aca="false">IF(IFERROR(INDEX(tsk_Name,GanttView[[#This Row],[_Row]])="",TRUE()),0,N(INDEX(tsk_Deadline,GanttView[[#This Row],[_Row]])))</f>
        <v>0</v>
      </c>
      <c r="U63" s="123" t="b">
        <f aca="false">IF(IFERROR(INDEX(tsk_Name,GanttView[[#This Row],[_Row]])="",TRUE()),FALSE(),INDEX(tsk_Critical,GanttView[[#This Row],[_Row]])="Yes")</f>
        <v>0</v>
      </c>
    </row>
    <row r="64" customFormat="false" ht="15" hidden="false" customHeight="false" outlineLevel="0" collapsed="false">
      <c r="A64" s="117" t="str">
        <f aca="false">IF(IFERROR(INDEX(tsk_Name,GanttView[[#This Row],[_Row]])="",TRUE()),"",INDEX(tsk_ID,GanttView[[#This Row],[_Row]]))</f>
        <v/>
      </c>
      <c r="B64" s="117" t="str">
        <f aca="false">IF(IFERROR(INDEX(tsk_Name,GanttView[[#This Row],[_Row]])="",TRUE()),"",INDEX(tsk_WBS,GanttView[[#This Row],[_Row]]))</f>
        <v/>
      </c>
      <c r="C64" s="118" t="str">
        <f aca="false">IF(IFERROR(INDEX(tsk_Name,GanttView[[#This Row],[_Row]])="",TRUE()),"",REPT("    ",INDEX(tsk_Level,GanttView[[#This Row],[_Row]])-1)&amp;INDEX(tsk_Name,GanttView[[#This Row],[_Row]]))</f>
        <v/>
      </c>
      <c r="D64" s="117" t="str">
        <f aca="false">IF(IFERROR(INDEX(tsk_Name,GanttView[[#This Row],[_Row]])="",TRUE()),"",IF(INDEX(tsk_IsSummary,GanttView[[#This Row],[_Row]]),NETWORKDAYS.INTL(INDEX(tsk_FcStart,GanttView[[#This Row],[_Row]]),INDEX(tsk_FcFinish,GanttView[[#This Row],[_Row]]),WorkWeek,Holidays),N(INDEX(tsk_Duration,GanttView[[#This Row],[_Row]]))))</f>
        <v/>
      </c>
      <c r="E64" s="119" t="str">
        <f aca="false">IF(IFERROR(INDEX(tsk_Name,GanttView[[#This Row],[_Row]])="",TRUE()),"",INDEX(tsk_PlanStart,GanttView[[#This Row],[_Row]]))</f>
        <v/>
      </c>
      <c r="F64" s="119" t="str">
        <f aca="false">IF(IFERROR(INDEX(tsk_Name,GanttView[[#This Row],[_Row]])="",TRUE()),"",INDEX(tsk_PlanFinish,GanttView[[#This Row],[_Row]]))</f>
        <v/>
      </c>
      <c r="G64" s="119" t="str">
        <f aca="false">IF(IFERROR(INDEX(tsk_Name,GanttView[[#This Row],[_Row]])="",TRUE()),"",INDEX(tsk_FcStart,GanttView[[#This Row],[_Row]]))</f>
        <v/>
      </c>
      <c r="H64" s="119" t="str">
        <f aca="false">IF(IFERROR(INDEX(tsk_Name,GanttView[[#This Row],[_Row]])="",TRUE()),"",INDEX(tsk_FcFinish,GanttView[[#This Row],[_Row]]))</f>
        <v/>
      </c>
      <c r="I64" s="120" t="str">
        <f aca="false">IF(IFERROR(INDEX(tsk_Name,GanttView[[#This Row],[_Row]])="",TRUE()),"",INDEX(tsk_Progress,GanttView[[#This Row],[_Row]]))</f>
        <v/>
      </c>
      <c r="J64" s="118" t="str">
        <f aca="false">IF(IFERROR(INDEX(tsk_Name,GanttView[[#This Row],[_Row]])="",TRUE()),"",INDEX(tsk_Resource,GanttView[[#This Row],[_Row]])&amp;"")</f>
        <v/>
      </c>
      <c r="K64" s="121" t="str">
        <f aca="false">IF(IFERROR(INDEX(tsk_Name,GanttView[[#This Row],[_Row]])="",TRUE()),"",INDEX(tsk_Status,GanttView[[#This Row],[_Row]]))</f>
        <v/>
      </c>
      <c r="L64" s="122" t="n">
        <f aca="false">ROW()-ROW(GanttView[[#Headers],[ID]])</f>
        <v>59</v>
      </c>
      <c r="M64" s="123" t="b">
        <f aca="false">IF(IFERROR(INDEX(tsk_Name,GanttView[[#This Row],[_Row]])="",TRUE()),FALSE(),INDEX(tsk_IsSummary,GanttView[[#This Row],[_Row]]))</f>
        <v>0</v>
      </c>
      <c r="N64" s="123" t="b">
        <f aca="false">IF(IFERROR(INDEX(tsk_Name,GanttView[[#This Row],[_Row]])="",TRUE()),FALSE(),AND(INDEX(tsk_IsLeaf,GanttView[[#This Row],[_Row]])=1,N(INDEX(tsk_Duration,GanttView[[#This Row],[_Row]]))=0))</f>
        <v>0</v>
      </c>
      <c r="O64" s="124" t="n">
        <f aca="false">IF(IFERROR(INDEX(tsk_Name,GanttView[[#This Row],[_Row]])="",TRUE()),0,IF(AND(INDEX(tsk_IsLeaf,GanttView[[#This Row],[_Row]])=1,NOT(GanttView[[#This Row],[_IsMilestone]]),N(GanttView[[#This Row],[%]])&gt;0),GanttView[[#This Row],[Forecast Start]],0))</f>
        <v>0</v>
      </c>
      <c r="P64" s="124" t="n">
        <f aca="false">IF(GanttView[[#This Row],[_DoneFrom]]=0,0,IF(GanttView[[#This Row],[%]]&gt;=1,GanttView[[#This Row],[Forecast Finish]],MAX(GanttView[[#This Row],[_DoneFrom]],GanttView[[#This Row],[Forecast Start]]+ROUND((GanttView[[#This Row],[Forecast Finish]]-GanttView[[#This Row],[Forecast Start]]+1)*GanttView[[#This Row],[%]],0)-1)))</f>
        <v>0</v>
      </c>
      <c r="Q64" s="124" t="n">
        <f aca="false">IF(IFERROR(INDEX(tsk_Name,GanttView[[#This Row],[_Row]])="",TRUE()),0,IF(OR(INDEX(tsk_IsLeaf,GanttView[[#This Row],[_Row]])&lt;&gt;1,GanttView[[#This Row],[_IsMilestone]],N(GanttView[[#This Row],[%]])&gt;=1),0,IF(GanttView[[#This Row],[_DoneTo]]&gt;0,GanttView[[#This Row],[_DoneTo]]+1,GanttView[[#This Row],[Forecast Start]])))</f>
        <v>0</v>
      </c>
      <c r="R64" s="124" t="n">
        <f aca="false">IF(GanttView[[#This Row],[_RemFrom]]=0,0,GanttView[[#This Row],[Forecast Finish]])</f>
        <v>0</v>
      </c>
      <c r="S64" s="123" t="b">
        <f aca="false">IF(IFERROR(INDEX(tsk_Name,GanttView[[#This Row],[_Row]])="",TRUE()),FALSE(),N(INDEX(tsk_Variance,GanttView[[#This Row],[_Row]]))&gt;0)</f>
        <v>0</v>
      </c>
      <c r="T64" s="124" t="n">
        <f aca="false">IF(IFERROR(INDEX(tsk_Name,GanttView[[#This Row],[_Row]])="",TRUE()),0,N(INDEX(tsk_Deadline,GanttView[[#This Row],[_Row]])))</f>
        <v>0</v>
      </c>
      <c r="U64" s="123" t="b">
        <f aca="false">IF(IFERROR(INDEX(tsk_Name,GanttView[[#This Row],[_Row]])="",TRUE()),FALSE(),INDEX(tsk_Critical,GanttView[[#This Row],[_Row]])="Yes")</f>
        <v>0</v>
      </c>
    </row>
    <row r="65" customFormat="false" ht="15" hidden="false" customHeight="false" outlineLevel="0" collapsed="false">
      <c r="A65" s="117" t="str">
        <f aca="false">IF(IFERROR(INDEX(tsk_Name,GanttView[[#This Row],[_Row]])="",TRUE()),"",INDEX(tsk_ID,GanttView[[#This Row],[_Row]]))</f>
        <v/>
      </c>
      <c r="B65" s="117" t="str">
        <f aca="false">IF(IFERROR(INDEX(tsk_Name,GanttView[[#This Row],[_Row]])="",TRUE()),"",INDEX(tsk_WBS,GanttView[[#This Row],[_Row]]))</f>
        <v/>
      </c>
      <c r="C65" s="118" t="str">
        <f aca="false">IF(IFERROR(INDEX(tsk_Name,GanttView[[#This Row],[_Row]])="",TRUE()),"",REPT("    ",INDEX(tsk_Level,GanttView[[#This Row],[_Row]])-1)&amp;INDEX(tsk_Name,GanttView[[#This Row],[_Row]]))</f>
        <v/>
      </c>
      <c r="D65" s="117" t="str">
        <f aca="false">IF(IFERROR(INDEX(tsk_Name,GanttView[[#This Row],[_Row]])="",TRUE()),"",IF(INDEX(tsk_IsSummary,GanttView[[#This Row],[_Row]]),NETWORKDAYS.INTL(INDEX(tsk_FcStart,GanttView[[#This Row],[_Row]]),INDEX(tsk_FcFinish,GanttView[[#This Row],[_Row]]),WorkWeek,Holidays),N(INDEX(tsk_Duration,GanttView[[#This Row],[_Row]]))))</f>
        <v/>
      </c>
      <c r="E65" s="119" t="str">
        <f aca="false">IF(IFERROR(INDEX(tsk_Name,GanttView[[#This Row],[_Row]])="",TRUE()),"",INDEX(tsk_PlanStart,GanttView[[#This Row],[_Row]]))</f>
        <v/>
      </c>
      <c r="F65" s="119" t="str">
        <f aca="false">IF(IFERROR(INDEX(tsk_Name,GanttView[[#This Row],[_Row]])="",TRUE()),"",INDEX(tsk_PlanFinish,GanttView[[#This Row],[_Row]]))</f>
        <v/>
      </c>
      <c r="G65" s="119" t="str">
        <f aca="false">IF(IFERROR(INDEX(tsk_Name,GanttView[[#This Row],[_Row]])="",TRUE()),"",INDEX(tsk_FcStart,GanttView[[#This Row],[_Row]]))</f>
        <v/>
      </c>
      <c r="H65" s="119" t="str">
        <f aca="false">IF(IFERROR(INDEX(tsk_Name,GanttView[[#This Row],[_Row]])="",TRUE()),"",INDEX(tsk_FcFinish,GanttView[[#This Row],[_Row]]))</f>
        <v/>
      </c>
      <c r="I65" s="120" t="str">
        <f aca="false">IF(IFERROR(INDEX(tsk_Name,GanttView[[#This Row],[_Row]])="",TRUE()),"",INDEX(tsk_Progress,GanttView[[#This Row],[_Row]]))</f>
        <v/>
      </c>
      <c r="J65" s="118" t="str">
        <f aca="false">IF(IFERROR(INDEX(tsk_Name,GanttView[[#This Row],[_Row]])="",TRUE()),"",INDEX(tsk_Resource,GanttView[[#This Row],[_Row]])&amp;"")</f>
        <v/>
      </c>
      <c r="K65" s="121" t="str">
        <f aca="false">IF(IFERROR(INDEX(tsk_Name,GanttView[[#This Row],[_Row]])="",TRUE()),"",INDEX(tsk_Status,GanttView[[#This Row],[_Row]]))</f>
        <v/>
      </c>
      <c r="L65" s="122" t="n">
        <f aca="false">ROW()-ROW(GanttView[[#Headers],[ID]])</f>
        <v>60</v>
      </c>
      <c r="M65" s="123" t="b">
        <f aca="false">IF(IFERROR(INDEX(tsk_Name,GanttView[[#This Row],[_Row]])="",TRUE()),FALSE(),INDEX(tsk_IsSummary,GanttView[[#This Row],[_Row]]))</f>
        <v>0</v>
      </c>
      <c r="N65" s="123" t="b">
        <f aca="false">IF(IFERROR(INDEX(tsk_Name,GanttView[[#This Row],[_Row]])="",TRUE()),FALSE(),AND(INDEX(tsk_IsLeaf,GanttView[[#This Row],[_Row]])=1,N(INDEX(tsk_Duration,GanttView[[#This Row],[_Row]]))=0))</f>
        <v>0</v>
      </c>
      <c r="O65" s="124" t="n">
        <f aca="false">IF(IFERROR(INDEX(tsk_Name,GanttView[[#This Row],[_Row]])="",TRUE()),0,IF(AND(INDEX(tsk_IsLeaf,GanttView[[#This Row],[_Row]])=1,NOT(GanttView[[#This Row],[_IsMilestone]]),N(GanttView[[#This Row],[%]])&gt;0),GanttView[[#This Row],[Forecast Start]],0))</f>
        <v>0</v>
      </c>
      <c r="P65" s="124" t="n">
        <f aca="false">IF(GanttView[[#This Row],[_DoneFrom]]=0,0,IF(GanttView[[#This Row],[%]]&gt;=1,GanttView[[#This Row],[Forecast Finish]],MAX(GanttView[[#This Row],[_DoneFrom]],GanttView[[#This Row],[Forecast Start]]+ROUND((GanttView[[#This Row],[Forecast Finish]]-GanttView[[#This Row],[Forecast Start]]+1)*GanttView[[#This Row],[%]],0)-1)))</f>
        <v>0</v>
      </c>
      <c r="Q65" s="124" t="n">
        <f aca="false">IF(IFERROR(INDEX(tsk_Name,GanttView[[#This Row],[_Row]])="",TRUE()),0,IF(OR(INDEX(tsk_IsLeaf,GanttView[[#This Row],[_Row]])&lt;&gt;1,GanttView[[#This Row],[_IsMilestone]],N(GanttView[[#This Row],[%]])&gt;=1),0,IF(GanttView[[#This Row],[_DoneTo]]&gt;0,GanttView[[#This Row],[_DoneTo]]+1,GanttView[[#This Row],[Forecast Start]])))</f>
        <v>0</v>
      </c>
      <c r="R65" s="124" t="n">
        <f aca="false">IF(GanttView[[#This Row],[_RemFrom]]=0,0,GanttView[[#This Row],[Forecast Finish]])</f>
        <v>0</v>
      </c>
      <c r="S65" s="123" t="b">
        <f aca="false">IF(IFERROR(INDEX(tsk_Name,GanttView[[#This Row],[_Row]])="",TRUE()),FALSE(),N(INDEX(tsk_Variance,GanttView[[#This Row],[_Row]]))&gt;0)</f>
        <v>0</v>
      </c>
      <c r="T65" s="124" t="n">
        <f aca="false">IF(IFERROR(INDEX(tsk_Name,GanttView[[#This Row],[_Row]])="",TRUE()),0,N(INDEX(tsk_Deadline,GanttView[[#This Row],[_Row]])))</f>
        <v>0</v>
      </c>
      <c r="U65" s="123" t="b">
        <f aca="false">IF(IFERROR(INDEX(tsk_Name,GanttView[[#This Row],[_Row]])="",TRUE()),FALSE(),INDEX(tsk_Critical,GanttView[[#This Row],[_Row]])="Yes")</f>
        <v>0</v>
      </c>
    </row>
    <row r="66" customFormat="false" ht="15" hidden="false" customHeight="false" outlineLevel="0" collapsed="false">
      <c r="A66" s="117" t="str">
        <f aca="false">IF(IFERROR(INDEX(tsk_Name,GanttView[[#This Row],[_Row]])="",TRUE()),"",INDEX(tsk_ID,GanttView[[#This Row],[_Row]]))</f>
        <v/>
      </c>
      <c r="B66" s="117" t="str">
        <f aca="false">IF(IFERROR(INDEX(tsk_Name,GanttView[[#This Row],[_Row]])="",TRUE()),"",INDEX(tsk_WBS,GanttView[[#This Row],[_Row]]))</f>
        <v/>
      </c>
      <c r="C66" s="118" t="str">
        <f aca="false">IF(IFERROR(INDEX(tsk_Name,GanttView[[#This Row],[_Row]])="",TRUE()),"",REPT("    ",INDEX(tsk_Level,GanttView[[#This Row],[_Row]])-1)&amp;INDEX(tsk_Name,GanttView[[#This Row],[_Row]]))</f>
        <v/>
      </c>
      <c r="D66" s="117" t="str">
        <f aca="false">IF(IFERROR(INDEX(tsk_Name,GanttView[[#This Row],[_Row]])="",TRUE()),"",IF(INDEX(tsk_IsSummary,GanttView[[#This Row],[_Row]]),NETWORKDAYS.INTL(INDEX(tsk_FcStart,GanttView[[#This Row],[_Row]]),INDEX(tsk_FcFinish,GanttView[[#This Row],[_Row]]),WorkWeek,Holidays),N(INDEX(tsk_Duration,GanttView[[#This Row],[_Row]]))))</f>
        <v/>
      </c>
      <c r="E66" s="119" t="str">
        <f aca="false">IF(IFERROR(INDEX(tsk_Name,GanttView[[#This Row],[_Row]])="",TRUE()),"",INDEX(tsk_PlanStart,GanttView[[#This Row],[_Row]]))</f>
        <v/>
      </c>
      <c r="F66" s="119" t="str">
        <f aca="false">IF(IFERROR(INDEX(tsk_Name,GanttView[[#This Row],[_Row]])="",TRUE()),"",INDEX(tsk_PlanFinish,GanttView[[#This Row],[_Row]]))</f>
        <v/>
      </c>
      <c r="G66" s="119" t="str">
        <f aca="false">IF(IFERROR(INDEX(tsk_Name,GanttView[[#This Row],[_Row]])="",TRUE()),"",INDEX(tsk_FcStart,GanttView[[#This Row],[_Row]]))</f>
        <v/>
      </c>
      <c r="H66" s="119" t="str">
        <f aca="false">IF(IFERROR(INDEX(tsk_Name,GanttView[[#This Row],[_Row]])="",TRUE()),"",INDEX(tsk_FcFinish,GanttView[[#This Row],[_Row]]))</f>
        <v/>
      </c>
      <c r="I66" s="120" t="str">
        <f aca="false">IF(IFERROR(INDEX(tsk_Name,GanttView[[#This Row],[_Row]])="",TRUE()),"",INDEX(tsk_Progress,GanttView[[#This Row],[_Row]]))</f>
        <v/>
      </c>
      <c r="J66" s="118" t="str">
        <f aca="false">IF(IFERROR(INDEX(tsk_Name,GanttView[[#This Row],[_Row]])="",TRUE()),"",INDEX(tsk_Resource,GanttView[[#This Row],[_Row]])&amp;"")</f>
        <v/>
      </c>
      <c r="K66" s="121" t="str">
        <f aca="false">IF(IFERROR(INDEX(tsk_Name,GanttView[[#This Row],[_Row]])="",TRUE()),"",INDEX(tsk_Status,GanttView[[#This Row],[_Row]]))</f>
        <v/>
      </c>
      <c r="L66" s="122" t="n">
        <f aca="false">ROW()-ROW(GanttView[[#Headers],[ID]])</f>
        <v>61</v>
      </c>
      <c r="M66" s="123" t="b">
        <f aca="false">IF(IFERROR(INDEX(tsk_Name,GanttView[[#This Row],[_Row]])="",TRUE()),FALSE(),INDEX(tsk_IsSummary,GanttView[[#This Row],[_Row]]))</f>
        <v>0</v>
      </c>
      <c r="N66" s="123" t="b">
        <f aca="false">IF(IFERROR(INDEX(tsk_Name,GanttView[[#This Row],[_Row]])="",TRUE()),FALSE(),AND(INDEX(tsk_IsLeaf,GanttView[[#This Row],[_Row]])=1,N(INDEX(tsk_Duration,GanttView[[#This Row],[_Row]]))=0))</f>
        <v>0</v>
      </c>
      <c r="O66" s="124" t="n">
        <f aca="false">IF(IFERROR(INDEX(tsk_Name,GanttView[[#This Row],[_Row]])="",TRUE()),0,IF(AND(INDEX(tsk_IsLeaf,GanttView[[#This Row],[_Row]])=1,NOT(GanttView[[#This Row],[_IsMilestone]]),N(GanttView[[#This Row],[%]])&gt;0),GanttView[[#This Row],[Forecast Start]],0))</f>
        <v>0</v>
      </c>
      <c r="P66" s="124" t="n">
        <f aca="false">IF(GanttView[[#This Row],[_DoneFrom]]=0,0,IF(GanttView[[#This Row],[%]]&gt;=1,GanttView[[#This Row],[Forecast Finish]],MAX(GanttView[[#This Row],[_DoneFrom]],GanttView[[#This Row],[Forecast Start]]+ROUND((GanttView[[#This Row],[Forecast Finish]]-GanttView[[#This Row],[Forecast Start]]+1)*GanttView[[#This Row],[%]],0)-1)))</f>
        <v>0</v>
      </c>
      <c r="Q66" s="124" t="n">
        <f aca="false">IF(IFERROR(INDEX(tsk_Name,GanttView[[#This Row],[_Row]])="",TRUE()),0,IF(OR(INDEX(tsk_IsLeaf,GanttView[[#This Row],[_Row]])&lt;&gt;1,GanttView[[#This Row],[_IsMilestone]],N(GanttView[[#This Row],[%]])&gt;=1),0,IF(GanttView[[#This Row],[_DoneTo]]&gt;0,GanttView[[#This Row],[_DoneTo]]+1,GanttView[[#This Row],[Forecast Start]])))</f>
        <v>0</v>
      </c>
      <c r="R66" s="124" t="n">
        <f aca="false">IF(GanttView[[#This Row],[_RemFrom]]=0,0,GanttView[[#This Row],[Forecast Finish]])</f>
        <v>0</v>
      </c>
      <c r="S66" s="123" t="b">
        <f aca="false">IF(IFERROR(INDEX(tsk_Name,GanttView[[#This Row],[_Row]])="",TRUE()),FALSE(),N(INDEX(tsk_Variance,GanttView[[#This Row],[_Row]]))&gt;0)</f>
        <v>0</v>
      </c>
      <c r="T66" s="124" t="n">
        <f aca="false">IF(IFERROR(INDEX(tsk_Name,GanttView[[#This Row],[_Row]])="",TRUE()),0,N(INDEX(tsk_Deadline,GanttView[[#This Row],[_Row]])))</f>
        <v>0</v>
      </c>
      <c r="U66" s="123" t="b">
        <f aca="false">IF(IFERROR(INDEX(tsk_Name,GanttView[[#This Row],[_Row]])="",TRUE()),FALSE(),INDEX(tsk_Critical,GanttView[[#This Row],[_Row]])="Yes")</f>
        <v>0</v>
      </c>
    </row>
    <row r="67" customFormat="false" ht="15" hidden="false" customHeight="false" outlineLevel="0" collapsed="false">
      <c r="A67" s="117" t="str">
        <f aca="false">IF(IFERROR(INDEX(tsk_Name,GanttView[[#This Row],[_Row]])="",TRUE()),"",INDEX(tsk_ID,GanttView[[#This Row],[_Row]]))</f>
        <v/>
      </c>
      <c r="B67" s="117" t="str">
        <f aca="false">IF(IFERROR(INDEX(tsk_Name,GanttView[[#This Row],[_Row]])="",TRUE()),"",INDEX(tsk_WBS,GanttView[[#This Row],[_Row]]))</f>
        <v/>
      </c>
      <c r="C67" s="118" t="str">
        <f aca="false">IF(IFERROR(INDEX(tsk_Name,GanttView[[#This Row],[_Row]])="",TRUE()),"",REPT("    ",INDEX(tsk_Level,GanttView[[#This Row],[_Row]])-1)&amp;INDEX(tsk_Name,GanttView[[#This Row],[_Row]]))</f>
        <v/>
      </c>
      <c r="D67" s="117" t="str">
        <f aca="false">IF(IFERROR(INDEX(tsk_Name,GanttView[[#This Row],[_Row]])="",TRUE()),"",IF(INDEX(tsk_IsSummary,GanttView[[#This Row],[_Row]]),NETWORKDAYS.INTL(INDEX(tsk_FcStart,GanttView[[#This Row],[_Row]]),INDEX(tsk_FcFinish,GanttView[[#This Row],[_Row]]),WorkWeek,Holidays),N(INDEX(tsk_Duration,GanttView[[#This Row],[_Row]]))))</f>
        <v/>
      </c>
      <c r="E67" s="119" t="str">
        <f aca="false">IF(IFERROR(INDEX(tsk_Name,GanttView[[#This Row],[_Row]])="",TRUE()),"",INDEX(tsk_PlanStart,GanttView[[#This Row],[_Row]]))</f>
        <v/>
      </c>
      <c r="F67" s="119" t="str">
        <f aca="false">IF(IFERROR(INDEX(tsk_Name,GanttView[[#This Row],[_Row]])="",TRUE()),"",INDEX(tsk_PlanFinish,GanttView[[#This Row],[_Row]]))</f>
        <v/>
      </c>
      <c r="G67" s="119" t="str">
        <f aca="false">IF(IFERROR(INDEX(tsk_Name,GanttView[[#This Row],[_Row]])="",TRUE()),"",INDEX(tsk_FcStart,GanttView[[#This Row],[_Row]]))</f>
        <v/>
      </c>
      <c r="H67" s="119" t="str">
        <f aca="false">IF(IFERROR(INDEX(tsk_Name,GanttView[[#This Row],[_Row]])="",TRUE()),"",INDEX(tsk_FcFinish,GanttView[[#This Row],[_Row]]))</f>
        <v/>
      </c>
      <c r="I67" s="120" t="str">
        <f aca="false">IF(IFERROR(INDEX(tsk_Name,GanttView[[#This Row],[_Row]])="",TRUE()),"",INDEX(tsk_Progress,GanttView[[#This Row],[_Row]]))</f>
        <v/>
      </c>
      <c r="J67" s="118" t="str">
        <f aca="false">IF(IFERROR(INDEX(tsk_Name,GanttView[[#This Row],[_Row]])="",TRUE()),"",INDEX(tsk_Resource,GanttView[[#This Row],[_Row]])&amp;"")</f>
        <v/>
      </c>
      <c r="K67" s="121" t="str">
        <f aca="false">IF(IFERROR(INDEX(tsk_Name,GanttView[[#This Row],[_Row]])="",TRUE()),"",INDEX(tsk_Status,GanttView[[#This Row],[_Row]]))</f>
        <v/>
      </c>
      <c r="L67" s="122" t="n">
        <f aca="false">ROW()-ROW(GanttView[[#Headers],[ID]])</f>
        <v>62</v>
      </c>
      <c r="M67" s="123" t="b">
        <f aca="false">IF(IFERROR(INDEX(tsk_Name,GanttView[[#This Row],[_Row]])="",TRUE()),FALSE(),INDEX(tsk_IsSummary,GanttView[[#This Row],[_Row]]))</f>
        <v>0</v>
      </c>
      <c r="N67" s="123" t="b">
        <f aca="false">IF(IFERROR(INDEX(tsk_Name,GanttView[[#This Row],[_Row]])="",TRUE()),FALSE(),AND(INDEX(tsk_IsLeaf,GanttView[[#This Row],[_Row]])=1,N(INDEX(tsk_Duration,GanttView[[#This Row],[_Row]]))=0))</f>
        <v>0</v>
      </c>
      <c r="O67" s="124" t="n">
        <f aca="false">IF(IFERROR(INDEX(tsk_Name,GanttView[[#This Row],[_Row]])="",TRUE()),0,IF(AND(INDEX(tsk_IsLeaf,GanttView[[#This Row],[_Row]])=1,NOT(GanttView[[#This Row],[_IsMilestone]]),N(GanttView[[#This Row],[%]])&gt;0),GanttView[[#This Row],[Forecast Start]],0))</f>
        <v>0</v>
      </c>
      <c r="P67" s="124" t="n">
        <f aca="false">IF(GanttView[[#This Row],[_DoneFrom]]=0,0,IF(GanttView[[#This Row],[%]]&gt;=1,GanttView[[#This Row],[Forecast Finish]],MAX(GanttView[[#This Row],[_DoneFrom]],GanttView[[#This Row],[Forecast Start]]+ROUND((GanttView[[#This Row],[Forecast Finish]]-GanttView[[#This Row],[Forecast Start]]+1)*GanttView[[#This Row],[%]],0)-1)))</f>
        <v>0</v>
      </c>
      <c r="Q67" s="124" t="n">
        <f aca="false">IF(IFERROR(INDEX(tsk_Name,GanttView[[#This Row],[_Row]])="",TRUE()),0,IF(OR(INDEX(tsk_IsLeaf,GanttView[[#This Row],[_Row]])&lt;&gt;1,GanttView[[#This Row],[_IsMilestone]],N(GanttView[[#This Row],[%]])&gt;=1),0,IF(GanttView[[#This Row],[_DoneTo]]&gt;0,GanttView[[#This Row],[_DoneTo]]+1,GanttView[[#This Row],[Forecast Start]])))</f>
        <v>0</v>
      </c>
      <c r="R67" s="124" t="n">
        <f aca="false">IF(GanttView[[#This Row],[_RemFrom]]=0,0,GanttView[[#This Row],[Forecast Finish]])</f>
        <v>0</v>
      </c>
      <c r="S67" s="123" t="b">
        <f aca="false">IF(IFERROR(INDEX(tsk_Name,GanttView[[#This Row],[_Row]])="",TRUE()),FALSE(),N(INDEX(tsk_Variance,GanttView[[#This Row],[_Row]]))&gt;0)</f>
        <v>0</v>
      </c>
      <c r="T67" s="124" t="n">
        <f aca="false">IF(IFERROR(INDEX(tsk_Name,GanttView[[#This Row],[_Row]])="",TRUE()),0,N(INDEX(tsk_Deadline,GanttView[[#This Row],[_Row]])))</f>
        <v>0</v>
      </c>
      <c r="U67" s="123" t="b">
        <f aca="false">IF(IFERROR(INDEX(tsk_Name,GanttView[[#This Row],[_Row]])="",TRUE()),FALSE(),INDEX(tsk_Critical,GanttView[[#This Row],[_Row]])="Yes")</f>
        <v>0</v>
      </c>
    </row>
    <row r="68" customFormat="false" ht="15" hidden="false" customHeight="false" outlineLevel="0" collapsed="false">
      <c r="A68" s="117" t="str">
        <f aca="false">IF(IFERROR(INDEX(tsk_Name,GanttView[[#This Row],[_Row]])="",TRUE()),"",INDEX(tsk_ID,GanttView[[#This Row],[_Row]]))</f>
        <v/>
      </c>
      <c r="B68" s="117" t="str">
        <f aca="false">IF(IFERROR(INDEX(tsk_Name,GanttView[[#This Row],[_Row]])="",TRUE()),"",INDEX(tsk_WBS,GanttView[[#This Row],[_Row]]))</f>
        <v/>
      </c>
      <c r="C68" s="118" t="str">
        <f aca="false">IF(IFERROR(INDEX(tsk_Name,GanttView[[#This Row],[_Row]])="",TRUE()),"",REPT("    ",INDEX(tsk_Level,GanttView[[#This Row],[_Row]])-1)&amp;INDEX(tsk_Name,GanttView[[#This Row],[_Row]]))</f>
        <v/>
      </c>
      <c r="D68" s="117" t="str">
        <f aca="false">IF(IFERROR(INDEX(tsk_Name,GanttView[[#This Row],[_Row]])="",TRUE()),"",IF(INDEX(tsk_IsSummary,GanttView[[#This Row],[_Row]]),NETWORKDAYS.INTL(INDEX(tsk_FcStart,GanttView[[#This Row],[_Row]]),INDEX(tsk_FcFinish,GanttView[[#This Row],[_Row]]),WorkWeek,Holidays),N(INDEX(tsk_Duration,GanttView[[#This Row],[_Row]]))))</f>
        <v/>
      </c>
      <c r="E68" s="119" t="str">
        <f aca="false">IF(IFERROR(INDEX(tsk_Name,GanttView[[#This Row],[_Row]])="",TRUE()),"",INDEX(tsk_PlanStart,GanttView[[#This Row],[_Row]]))</f>
        <v/>
      </c>
      <c r="F68" s="119" t="str">
        <f aca="false">IF(IFERROR(INDEX(tsk_Name,GanttView[[#This Row],[_Row]])="",TRUE()),"",INDEX(tsk_PlanFinish,GanttView[[#This Row],[_Row]]))</f>
        <v/>
      </c>
      <c r="G68" s="119" t="str">
        <f aca="false">IF(IFERROR(INDEX(tsk_Name,GanttView[[#This Row],[_Row]])="",TRUE()),"",INDEX(tsk_FcStart,GanttView[[#This Row],[_Row]]))</f>
        <v/>
      </c>
      <c r="H68" s="119" t="str">
        <f aca="false">IF(IFERROR(INDEX(tsk_Name,GanttView[[#This Row],[_Row]])="",TRUE()),"",INDEX(tsk_FcFinish,GanttView[[#This Row],[_Row]]))</f>
        <v/>
      </c>
      <c r="I68" s="120" t="str">
        <f aca="false">IF(IFERROR(INDEX(tsk_Name,GanttView[[#This Row],[_Row]])="",TRUE()),"",INDEX(tsk_Progress,GanttView[[#This Row],[_Row]]))</f>
        <v/>
      </c>
      <c r="J68" s="118" t="str">
        <f aca="false">IF(IFERROR(INDEX(tsk_Name,GanttView[[#This Row],[_Row]])="",TRUE()),"",INDEX(tsk_Resource,GanttView[[#This Row],[_Row]])&amp;"")</f>
        <v/>
      </c>
      <c r="K68" s="121" t="str">
        <f aca="false">IF(IFERROR(INDEX(tsk_Name,GanttView[[#This Row],[_Row]])="",TRUE()),"",INDEX(tsk_Status,GanttView[[#This Row],[_Row]]))</f>
        <v/>
      </c>
      <c r="L68" s="122" t="n">
        <f aca="false">ROW()-ROW(GanttView[[#Headers],[ID]])</f>
        <v>63</v>
      </c>
      <c r="M68" s="123" t="b">
        <f aca="false">IF(IFERROR(INDEX(tsk_Name,GanttView[[#This Row],[_Row]])="",TRUE()),FALSE(),INDEX(tsk_IsSummary,GanttView[[#This Row],[_Row]]))</f>
        <v>0</v>
      </c>
      <c r="N68" s="123" t="b">
        <f aca="false">IF(IFERROR(INDEX(tsk_Name,GanttView[[#This Row],[_Row]])="",TRUE()),FALSE(),AND(INDEX(tsk_IsLeaf,GanttView[[#This Row],[_Row]])=1,N(INDEX(tsk_Duration,GanttView[[#This Row],[_Row]]))=0))</f>
        <v>0</v>
      </c>
      <c r="O68" s="124" t="n">
        <f aca="false">IF(IFERROR(INDEX(tsk_Name,GanttView[[#This Row],[_Row]])="",TRUE()),0,IF(AND(INDEX(tsk_IsLeaf,GanttView[[#This Row],[_Row]])=1,NOT(GanttView[[#This Row],[_IsMilestone]]),N(GanttView[[#This Row],[%]])&gt;0),GanttView[[#This Row],[Forecast Start]],0))</f>
        <v>0</v>
      </c>
      <c r="P68" s="124" t="n">
        <f aca="false">IF(GanttView[[#This Row],[_DoneFrom]]=0,0,IF(GanttView[[#This Row],[%]]&gt;=1,GanttView[[#This Row],[Forecast Finish]],MAX(GanttView[[#This Row],[_DoneFrom]],GanttView[[#This Row],[Forecast Start]]+ROUND((GanttView[[#This Row],[Forecast Finish]]-GanttView[[#This Row],[Forecast Start]]+1)*GanttView[[#This Row],[%]],0)-1)))</f>
        <v>0</v>
      </c>
      <c r="Q68" s="124" t="n">
        <f aca="false">IF(IFERROR(INDEX(tsk_Name,GanttView[[#This Row],[_Row]])="",TRUE()),0,IF(OR(INDEX(tsk_IsLeaf,GanttView[[#This Row],[_Row]])&lt;&gt;1,GanttView[[#This Row],[_IsMilestone]],N(GanttView[[#This Row],[%]])&gt;=1),0,IF(GanttView[[#This Row],[_DoneTo]]&gt;0,GanttView[[#This Row],[_DoneTo]]+1,GanttView[[#This Row],[Forecast Start]])))</f>
        <v>0</v>
      </c>
      <c r="R68" s="124" t="n">
        <f aca="false">IF(GanttView[[#This Row],[_RemFrom]]=0,0,GanttView[[#This Row],[Forecast Finish]])</f>
        <v>0</v>
      </c>
      <c r="S68" s="123" t="b">
        <f aca="false">IF(IFERROR(INDEX(tsk_Name,GanttView[[#This Row],[_Row]])="",TRUE()),FALSE(),N(INDEX(tsk_Variance,GanttView[[#This Row],[_Row]]))&gt;0)</f>
        <v>0</v>
      </c>
      <c r="T68" s="124" t="n">
        <f aca="false">IF(IFERROR(INDEX(tsk_Name,GanttView[[#This Row],[_Row]])="",TRUE()),0,N(INDEX(tsk_Deadline,GanttView[[#This Row],[_Row]])))</f>
        <v>0</v>
      </c>
      <c r="U68" s="123" t="b">
        <f aca="false">IF(IFERROR(INDEX(tsk_Name,GanttView[[#This Row],[_Row]])="",TRUE()),FALSE(),INDEX(tsk_Critical,GanttView[[#This Row],[_Row]])="Yes")</f>
        <v>0</v>
      </c>
    </row>
    <row r="69" customFormat="false" ht="15" hidden="false" customHeight="false" outlineLevel="0" collapsed="false">
      <c r="A69" s="117" t="str">
        <f aca="false">IF(IFERROR(INDEX(tsk_Name,GanttView[[#This Row],[_Row]])="",TRUE()),"",INDEX(tsk_ID,GanttView[[#This Row],[_Row]]))</f>
        <v/>
      </c>
      <c r="B69" s="117" t="str">
        <f aca="false">IF(IFERROR(INDEX(tsk_Name,GanttView[[#This Row],[_Row]])="",TRUE()),"",INDEX(tsk_WBS,GanttView[[#This Row],[_Row]]))</f>
        <v/>
      </c>
      <c r="C69" s="118" t="str">
        <f aca="false">IF(IFERROR(INDEX(tsk_Name,GanttView[[#This Row],[_Row]])="",TRUE()),"",REPT("    ",INDEX(tsk_Level,GanttView[[#This Row],[_Row]])-1)&amp;INDEX(tsk_Name,GanttView[[#This Row],[_Row]]))</f>
        <v/>
      </c>
      <c r="D69" s="117" t="str">
        <f aca="false">IF(IFERROR(INDEX(tsk_Name,GanttView[[#This Row],[_Row]])="",TRUE()),"",IF(INDEX(tsk_IsSummary,GanttView[[#This Row],[_Row]]),NETWORKDAYS.INTL(INDEX(tsk_FcStart,GanttView[[#This Row],[_Row]]),INDEX(tsk_FcFinish,GanttView[[#This Row],[_Row]]),WorkWeek,Holidays),N(INDEX(tsk_Duration,GanttView[[#This Row],[_Row]]))))</f>
        <v/>
      </c>
      <c r="E69" s="119" t="str">
        <f aca="false">IF(IFERROR(INDEX(tsk_Name,GanttView[[#This Row],[_Row]])="",TRUE()),"",INDEX(tsk_PlanStart,GanttView[[#This Row],[_Row]]))</f>
        <v/>
      </c>
      <c r="F69" s="119" t="str">
        <f aca="false">IF(IFERROR(INDEX(tsk_Name,GanttView[[#This Row],[_Row]])="",TRUE()),"",INDEX(tsk_PlanFinish,GanttView[[#This Row],[_Row]]))</f>
        <v/>
      </c>
      <c r="G69" s="119" t="str">
        <f aca="false">IF(IFERROR(INDEX(tsk_Name,GanttView[[#This Row],[_Row]])="",TRUE()),"",INDEX(tsk_FcStart,GanttView[[#This Row],[_Row]]))</f>
        <v/>
      </c>
      <c r="H69" s="119" t="str">
        <f aca="false">IF(IFERROR(INDEX(tsk_Name,GanttView[[#This Row],[_Row]])="",TRUE()),"",INDEX(tsk_FcFinish,GanttView[[#This Row],[_Row]]))</f>
        <v/>
      </c>
      <c r="I69" s="120" t="str">
        <f aca="false">IF(IFERROR(INDEX(tsk_Name,GanttView[[#This Row],[_Row]])="",TRUE()),"",INDEX(tsk_Progress,GanttView[[#This Row],[_Row]]))</f>
        <v/>
      </c>
      <c r="J69" s="118" t="str">
        <f aca="false">IF(IFERROR(INDEX(tsk_Name,GanttView[[#This Row],[_Row]])="",TRUE()),"",INDEX(tsk_Resource,GanttView[[#This Row],[_Row]])&amp;"")</f>
        <v/>
      </c>
      <c r="K69" s="121" t="str">
        <f aca="false">IF(IFERROR(INDEX(tsk_Name,GanttView[[#This Row],[_Row]])="",TRUE()),"",INDEX(tsk_Status,GanttView[[#This Row],[_Row]]))</f>
        <v/>
      </c>
      <c r="L69" s="122" t="n">
        <f aca="false">ROW()-ROW(GanttView[[#Headers],[ID]])</f>
        <v>64</v>
      </c>
      <c r="M69" s="123" t="b">
        <f aca="false">IF(IFERROR(INDEX(tsk_Name,GanttView[[#This Row],[_Row]])="",TRUE()),FALSE(),INDEX(tsk_IsSummary,GanttView[[#This Row],[_Row]]))</f>
        <v>0</v>
      </c>
      <c r="N69" s="123" t="b">
        <f aca="false">IF(IFERROR(INDEX(tsk_Name,GanttView[[#This Row],[_Row]])="",TRUE()),FALSE(),AND(INDEX(tsk_IsLeaf,GanttView[[#This Row],[_Row]])=1,N(INDEX(tsk_Duration,GanttView[[#This Row],[_Row]]))=0))</f>
        <v>0</v>
      </c>
      <c r="O69" s="124" t="n">
        <f aca="false">IF(IFERROR(INDEX(tsk_Name,GanttView[[#This Row],[_Row]])="",TRUE()),0,IF(AND(INDEX(tsk_IsLeaf,GanttView[[#This Row],[_Row]])=1,NOT(GanttView[[#This Row],[_IsMilestone]]),N(GanttView[[#This Row],[%]])&gt;0),GanttView[[#This Row],[Forecast Start]],0))</f>
        <v>0</v>
      </c>
      <c r="P69" s="124" t="n">
        <f aca="false">IF(GanttView[[#This Row],[_DoneFrom]]=0,0,IF(GanttView[[#This Row],[%]]&gt;=1,GanttView[[#This Row],[Forecast Finish]],MAX(GanttView[[#This Row],[_DoneFrom]],GanttView[[#This Row],[Forecast Start]]+ROUND((GanttView[[#This Row],[Forecast Finish]]-GanttView[[#This Row],[Forecast Start]]+1)*GanttView[[#This Row],[%]],0)-1)))</f>
        <v>0</v>
      </c>
      <c r="Q69" s="124" t="n">
        <f aca="false">IF(IFERROR(INDEX(tsk_Name,GanttView[[#This Row],[_Row]])="",TRUE()),0,IF(OR(INDEX(tsk_IsLeaf,GanttView[[#This Row],[_Row]])&lt;&gt;1,GanttView[[#This Row],[_IsMilestone]],N(GanttView[[#This Row],[%]])&gt;=1),0,IF(GanttView[[#This Row],[_DoneTo]]&gt;0,GanttView[[#This Row],[_DoneTo]]+1,GanttView[[#This Row],[Forecast Start]])))</f>
        <v>0</v>
      </c>
      <c r="R69" s="124" t="n">
        <f aca="false">IF(GanttView[[#This Row],[_RemFrom]]=0,0,GanttView[[#This Row],[Forecast Finish]])</f>
        <v>0</v>
      </c>
      <c r="S69" s="123" t="b">
        <f aca="false">IF(IFERROR(INDEX(tsk_Name,GanttView[[#This Row],[_Row]])="",TRUE()),FALSE(),N(INDEX(tsk_Variance,GanttView[[#This Row],[_Row]]))&gt;0)</f>
        <v>0</v>
      </c>
      <c r="T69" s="124" t="n">
        <f aca="false">IF(IFERROR(INDEX(tsk_Name,GanttView[[#This Row],[_Row]])="",TRUE()),0,N(INDEX(tsk_Deadline,GanttView[[#This Row],[_Row]])))</f>
        <v>0</v>
      </c>
      <c r="U69" s="123" t="b">
        <f aca="false">IF(IFERROR(INDEX(tsk_Name,GanttView[[#This Row],[_Row]])="",TRUE()),FALSE(),INDEX(tsk_Critical,GanttView[[#This Row],[_Row]])="Yes")</f>
        <v>0</v>
      </c>
    </row>
    <row r="70" customFormat="false" ht="15" hidden="false" customHeight="false" outlineLevel="0" collapsed="false">
      <c r="A70" s="117" t="str">
        <f aca="false">IF(IFERROR(INDEX(tsk_Name,GanttView[[#This Row],[_Row]])="",TRUE()),"",INDEX(tsk_ID,GanttView[[#This Row],[_Row]]))</f>
        <v/>
      </c>
      <c r="B70" s="117" t="str">
        <f aca="false">IF(IFERROR(INDEX(tsk_Name,GanttView[[#This Row],[_Row]])="",TRUE()),"",INDEX(tsk_WBS,GanttView[[#This Row],[_Row]]))</f>
        <v/>
      </c>
      <c r="C70" s="118" t="str">
        <f aca="false">IF(IFERROR(INDEX(tsk_Name,GanttView[[#This Row],[_Row]])="",TRUE()),"",REPT("    ",INDEX(tsk_Level,GanttView[[#This Row],[_Row]])-1)&amp;INDEX(tsk_Name,GanttView[[#This Row],[_Row]]))</f>
        <v/>
      </c>
      <c r="D70" s="117" t="str">
        <f aca="false">IF(IFERROR(INDEX(tsk_Name,GanttView[[#This Row],[_Row]])="",TRUE()),"",IF(INDEX(tsk_IsSummary,GanttView[[#This Row],[_Row]]),NETWORKDAYS.INTL(INDEX(tsk_FcStart,GanttView[[#This Row],[_Row]]),INDEX(tsk_FcFinish,GanttView[[#This Row],[_Row]]),WorkWeek,Holidays),N(INDEX(tsk_Duration,GanttView[[#This Row],[_Row]]))))</f>
        <v/>
      </c>
      <c r="E70" s="119" t="str">
        <f aca="false">IF(IFERROR(INDEX(tsk_Name,GanttView[[#This Row],[_Row]])="",TRUE()),"",INDEX(tsk_PlanStart,GanttView[[#This Row],[_Row]]))</f>
        <v/>
      </c>
      <c r="F70" s="119" t="str">
        <f aca="false">IF(IFERROR(INDEX(tsk_Name,GanttView[[#This Row],[_Row]])="",TRUE()),"",INDEX(tsk_PlanFinish,GanttView[[#This Row],[_Row]]))</f>
        <v/>
      </c>
      <c r="G70" s="119" t="str">
        <f aca="false">IF(IFERROR(INDEX(tsk_Name,GanttView[[#This Row],[_Row]])="",TRUE()),"",INDEX(tsk_FcStart,GanttView[[#This Row],[_Row]]))</f>
        <v/>
      </c>
      <c r="H70" s="119" t="str">
        <f aca="false">IF(IFERROR(INDEX(tsk_Name,GanttView[[#This Row],[_Row]])="",TRUE()),"",INDEX(tsk_FcFinish,GanttView[[#This Row],[_Row]]))</f>
        <v/>
      </c>
      <c r="I70" s="120" t="str">
        <f aca="false">IF(IFERROR(INDEX(tsk_Name,GanttView[[#This Row],[_Row]])="",TRUE()),"",INDEX(tsk_Progress,GanttView[[#This Row],[_Row]]))</f>
        <v/>
      </c>
      <c r="J70" s="118" t="str">
        <f aca="false">IF(IFERROR(INDEX(tsk_Name,GanttView[[#This Row],[_Row]])="",TRUE()),"",INDEX(tsk_Resource,GanttView[[#This Row],[_Row]])&amp;"")</f>
        <v/>
      </c>
      <c r="K70" s="121" t="str">
        <f aca="false">IF(IFERROR(INDEX(tsk_Name,GanttView[[#This Row],[_Row]])="",TRUE()),"",INDEX(tsk_Status,GanttView[[#This Row],[_Row]]))</f>
        <v/>
      </c>
      <c r="L70" s="122" t="n">
        <f aca="false">ROW()-ROW(GanttView[[#Headers],[ID]])</f>
        <v>65</v>
      </c>
      <c r="M70" s="123" t="b">
        <f aca="false">IF(IFERROR(INDEX(tsk_Name,GanttView[[#This Row],[_Row]])="",TRUE()),FALSE(),INDEX(tsk_IsSummary,GanttView[[#This Row],[_Row]]))</f>
        <v>0</v>
      </c>
      <c r="N70" s="123" t="b">
        <f aca="false">IF(IFERROR(INDEX(tsk_Name,GanttView[[#This Row],[_Row]])="",TRUE()),FALSE(),AND(INDEX(tsk_IsLeaf,GanttView[[#This Row],[_Row]])=1,N(INDEX(tsk_Duration,GanttView[[#This Row],[_Row]]))=0))</f>
        <v>0</v>
      </c>
      <c r="O70" s="124" t="n">
        <f aca="false">IF(IFERROR(INDEX(tsk_Name,GanttView[[#This Row],[_Row]])="",TRUE()),0,IF(AND(INDEX(tsk_IsLeaf,GanttView[[#This Row],[_Row]])=1,NOT(GanttView[[#This Row],[_IsMilestone]]),N(GanttView[[#This Row],[%]])&gt;0),GanttView[[#This Row],[Forecast Start]],0))</f>
        <v>0</v>
      </c>
      <c r="P70" s="124" t="n">
        <f aca="false">IF(GanttView[[#This Row],[_DoneFrom]]=0,0,IF(GanttView[[#This Row],[%]]&gt;=1,GanttView[[#This Row],[Forecast Finish]],MAX(GanttView[[#This Row],[_DoneFrom]],GanttView[[#This Row],[Forecast Start]]+ROUND((GanttView[[#This Row],[Forecast Finish]]-GanttView[[#This Row],[Forecast Start]]+1)*GanttView[[#This Row],[%]],0)-1)))</f>
        <v>0</v>
      </c>
      <c r="Q70" s="124" t="n">
        <f aca="false">IF(IFERROR(INDEX(tsk_Name,GanttView[[#This Row],[_Row]])="",TRUE()),0,IF(OR(INDEX(tsk_IsLeaf,GanttView[[#This Row],[_Row]])&lt;&gt;1,GanttView[[#This Row],[_IsMilestone]],N(GanttView[[#This Row],[%]])&gt;=1),0,IF(GanttView[[#This Row],[_DoneTo]]&gt;0,GanttView[[#This Row],[_DoneTo]]+1,GanttView[[#This Row],[Forecast Start]])))</f>
        <v>0</v>
      </c>
      <c r="R70" s="124" t="n">
        <f aca="false">IF(GanttView[[#This Row],[_RemFrom]]=0,0,GanttView[[#This Row],[Forecast Finish]])</f>
        <v>0</v>
      </c>
      <c r="S70" s="123" t="b">
        <f aca="false">IF(IFERROR(INDEX(tsk_Name,GanttView[[#This Row],[_Row]])="",TRUE()),FALSE(),N(INDEX(tsk_Variance,GanttView[[#This Row],[_Row]]))&gt;0)</f>
        <v>0</v>
      </c>
      <c r="T70" s="124" t="n">
        <f aca="false">IF(IFERROR(INDEX(tsk_Name,GanttView[[#This Row],[_Row]])="",TRUE()),0,N(INDEX(tsk_Deadline,GanttView[[#This Row],[_Row]])))</f>
        <v>0</v>
      </c>
      <c r="U70" s="123" t="b">
        <f aca="false">IF(IFERROR(INDEX(tsk_Name,GanttView[[#This Row],[_Row]])="",TRUE()),FALSE(),INDEX(tsk_Critical,GanttView[[#This Row],[_Row]])="Yes")</f>
        <v>0</v>
      </c>
    </row>
    <row r="71" customFormat="false" ht="15" hidden="false" customHeight="false" outlineLevel="0" collapsed="false">
      <c r="A71" s="117" t="str">
        <f aca="false">IF(IFERROR(INDEX(tsk_Name,GanttView[[#This Row],[_Row]])="",TRUE()),"",INDEX(tsk_ID,GanttView[[#This Row],[_Row]]))</f>
        <v/>
      </c>
      <c r="B71" s="117" t="str">
        <f aca="false">IF(IFERROR(INDEX(tsk_Name,GanttView[[#This Row],[_Row]])="",TRUE()),"",INDEX(tsk_WBS,GanttView[[#This Row],[_Row]]))</f>
        <v/>
      </c>
      <c r="C71" s="118" t="str">
        <f aca="false">IF(IFERROR(INDEX(tsk_Name,GanttView[[#This Row],[_Row]])="",TRUE()),"",REPT("    ",INDEX(tsk_Level,GanttView[[#This Row],[_Row]])-1)&amp;INDEX(tsk_Name,GanttView[[#This Row],[_Row]]))</f>
        <v/>
      </c>
      <c r="D71" s="117" t="str">
        <f aca="false">IF(IFERROR(INDEX(tsk_Name,GanttView[[#This Row],[_Row]])="",TRUE()),"",IF(INDEX(tsk_IsSummary,GanttView[[#This Row],[_Row]]),NETWORKDAYS.INTL(INDEX(tsk_FcStart,GanttView[[#This Row],[_Row]]),INDEX(tsk_FcFinish,GanttView[[#This Row],[_Row]]),WorkWeek,Holidays),N(INDEX(tsk_Duration,GanttView[[#This Row],[_Row]]))))</f>
        <v/>
      </c>
      <c r="E71" s="119" t="str">
        <f aca="false">IF(IFERROR(INDEX(tsk_Name,GanttView[[#This Row],[_Row]])="",TRUE()),"",INDEX(tsk_PlanStart,GanttView[[#This Row],[_Row]]))</f>
        <v/>
      </c>
      <c r="F71" s="119" t="str">
        <f aca="false">IF(IFERROR(INDEX(tsk_Name,GanttView[[#This Row],[_Row]])="",TRUE()),"",INDEX(tsk_PlanFinish,GanttView[[#This Row],[_Row]]))</f>
        <v/>
      </c>
      <c r="G71" s="119" t="str">
        <f aca="false">IF(IFERROR(INDEX(tsk_Name,GanttView[[#This Row],[_Row]])="",TRUE()),"",INDEX(tsk_FcStart,GanttView[[#This Row],[_Row]]))</f>
        <v/>
      </c>
      <c r="H71" s="119" t="str">
        <f aca="false">IF(IFERROR(INDEX(tsk_Name,GanttView[[#This Row],[_Row]])="",TRUE()),"",INDEX(tsk_FcFinish,GanttView[[#This Row],[_Row]]))</f>
        <v/>
      </c>
      <c r="I71" s="120" t="str">
        <f aca="false">IF(IFERROR(INDEX(tsk_Name,GanttView[[#This Row],[_Row]])="",TRUE()),"",INDEX(tsk_Progress,GanttView[[#This Row],[_Row]]))</f>
        <v/>
      </c>
      <c r="J71" s="118" t="str">
        <f aca="false">IF(IFERROR(INDEX(tsk_Name,GanttView[[#This Row],[_Row]])="",TRUE()),"",INDEX(tsk_Resource,GanttView[[#This Row],[_Row]])&amp;"")</f>
        <v/>
      </c>
      <c r="K71" s="121" t="str">
        <f aca="false">IF(IFERROR(INDEX(tsk_Name,GanttView[[#This Row],[_Row]])="",TRUE()),"",INDEX(tsk_Status,GanttView[[#This Row],[_Row]]))</f>
        <v/>
      </c>
      <c r="L71" s="122" t="n">
        <f aca="false">ROW()-ROW(GanttView[[#Headers],[ID]])</f>
        <v>66</v>
      </c>
      <c r="M71" s="123" t="b">
        <f aca="false">IF(IFERROR(INDEX(tsk_Name,GanttView[[#This Row],[_Row]])="",TRUE()),FALSE(),INDEX(tsk_IsSummary,GanttView[[#This Row],[_Row]]))</f>
        <v>0</v>
      </c>
      <c r="N71" s="123" t="b">
        <f aca="false">IF(IFERROR(INDEX(tsk_Name,GanttView[[#This Row],[_Row]])="",TRUE()),FALSE(),AND(INDEX(tsk_IsLeaf,GanttView[[#This Row],[_Row]])=1,N(INDEX(tsk_Duration,GanttView[[#This Row],[_Row]]))=0))</f>
        <v>0</v>
      </c>
      <c r="O71" s="124" t="n">
        <f aca="false">IF(IFERROR(INDEX(tsk_Name,GanttView[[#This Row],[_Row]])="",TRUE()),0,IF(AND(INDEX(tsk_IsLeaf,GanttView[[#This Row],[_Row]])=1,NOT(GanttView[[#This Row],[_IsMilestone]]),N(GanttView[[#This Row],[%]])&gt;0),GanttView[[#This Row],[Forecast Start]],0))</f>
        <v>0</v>
      </c>
      <c r="P71" s="124" t="n">
        <f aca="false">IF(GanttView[[#This Row],[_DoneFrom]]=0,0,IF(GanttView[[#This Row],[%]]&gt;=1,GanttView[[#This Row],[Forecast Finish]],MAX(GanttView[[#This Row],[_DoneFrom]],GanttView[[#This Row],[Forecast Start]]+ROUND((GanttView[[#This Row],[Forecast Finish]]-GanttView[[#This Row],[Forecast Start]]+1)*GanttView[[#This Row],[%]],0)-1)))</f>
        <v>0</v>
      </c>
      <c r="Q71" s="124" t="n">
        <f aca="false">IF(IFERROR(INDEX(tsk_Name,GanttView[[#This Row],[_Row]])="",TRUE()),0,IF(OR(INDEX(tsk_IsLeaf,GanttView[[#This Row],[_Row]])&lt;&gt;1,GanttView[[#This Row],[_IsMilestone]],N(GanttView[[#This Row],[%]])&gt;=1),0,IF(GanttView[[#This Row],[_DoneTo]]&gt;0,GanttView[[#This Row],[_DoneTo]]+1,GanttView[[#This Row],[Forecast Start]])))</f>
        <v>0</v>
      </c>
      <c r="R71" s="124" t="n">
        <f aca="false">IF(GanttView[[#This Row],[_RemFrom]]=0,0,GanttView[[#This Row],[Forecast Finish]])</f>
        <v>0</v>
      </c>
      <c r="S71" s="123" t="b">
        <f aca="false">IF(IFERROR(INDEX(tsk_Name,GanttView[[#This Row],[_Row]])="",TRUE()),FALSE(),N(INDEX(tsk_Variance,GanttView[[#This Row],[_Row]]))&gt;0)</f>
        <v>0</v>
      </c>
      <c r="T71" s="124" t="n">
        <f aca="false">IF(IFERROR(INDEX(tsk_Name,GanttView[[#This Row],[_Row]])="",TRUE()),0,N(INDEX(tsk_Deadline,GanttView[[#This Row],[_Row]])))</f>
        <v>0</v>
      </c>
      <c r="U71" s="123" t="b">
        <f aca="false">IF(IFERROR(INDEX(tsk_Name,GanttView[[#This Row],[_Row]])="",TRUE()),FALSE(),INDEX(tsk_Critical,GanttView[[#This Row],[_Row]])="Yes")</f>
        <v>0</v>
      </c>
    </row>
    <row r="72" customFormat="false" ht="15" hidden="false" customHeight="false" outlineLevel="0" collapsed="false">
      <c r="A72" s="117" t="str">
        <f aca="false">IF(IFERROR(INDEX(tsk_Name,GanttView[[#This Row],[_Row]])="",TRUE()),"",INDEX(tsk_ID,GanttView[[#This Row],[_Row]]))</f>
        <v/>
      </c>
      <c r="B72" s="117" t="str">
        <f aca="false">IF(IFERROR(INDEX(tsk_Name,GanttView[[#This Row],[_Row]])="",TRUE()),"",INDEX(tsk_WBS,GanttView[[#This Row],[_Row]]))</f>
        <v/>
      </c>
      <c r="C72" s="118" t="str">
        <f aca="false">IF(IFERROR(INDEX(tsk_Name,GanttView[[#This Row],[_Row]])="",TRUE()),"",REPT("    ",INDEX(tsk_Level,GanttView[[#This Row],[_Row]])-1)&amp;INDEX(tsk_Name,GanttView[[#This Row],[_Row]]))</f>
        <v/>
      </c>
      <c r="D72" s="117" t="str">
        <f aca="false">IF(IFERROR(INDEX(tsk_Name,GanttView[[#This Row],[_Row]])="",TRUE()),"",IF(INDEX(tsk_IsSummary,GanttView[[#This Row],[_Row]]),NETWORKDAYS.INTL(INDEX(tsk_FcStart,GanttView[[#This Row],[_Row]]),INDEX(tsk_FcFinish,GanttView[[#This Row],[_Row]]),WorkWeek,Holidays),N(INDEX(tsk_Duration,GanttView[[#This Row],[_Row]]))))</f>
        <v/>
      </c>
      <c r="E72" s="119" t="str">
        <f aca="false">IF(IFERROR(INDEX(tsk_Name,GanttView[[#This Row],[_Row]])="",TRUE()),"",INDEX(tsk_PlanStart,GanttView[[#This Row],[_Row]]))</f>
        <v/>
      </c>
      <c r="F72" s="119" t="str">
        <f aca="false">IF(IFERROR(INDEX(tsk_Name,GanttView[[#This Row],[_Row]])="",TRUE()),"",INDEX(tsk_PlanFinish,GanttView[[#This Row],[_Row]]))</f>
        <v/>
      </c>
      <c r="G72" s="119" t="str">
        <f aca="false">IF(IFERROR(INDEX(tsk_Name,GanttView[[#This Row],[_Row]])="",TRUE()),"",INDEX(tsk_FcStart,GanttView[[#This Row],[_Row]]))</f>
        <v/>
      </c>
      <c r="H72" s="119" t="str">
        <f aca="false">IF(IFERROR(INDEX(tsk_Name,GanttView[[#This Row],[_Row]])="",TRUE()),"",INDEX(tsk_FcFinish,GanttView[[#This Row],[_Row]]))</f>
        <v/>
      </c>
      <c r="I72" s="120" t="str">
        <f aca="false">IF(IFERROR(INDEX(tsk_Name,GanttView[[#This Row],[_Row]])="",TRUE()),"",INDEX(tsk_Progress,GanttView[[#This Row],[_Row]]))</f>
        <v/>
      </c>
      <c r="J72" s="118" t="str">
        <f aca="false">IF(IFERROR(INDEX(tsk_Name,GanttView[[#This Row],[_Row]])="",TRUE()),"",INDEX(tsk_Resource,GanttView[[#This Row],[_Row]])&amp;"")</f>
        <v/>
      </c>
      <c r="K72" s="121" t="str">
        <f aca="false">IF(IFERROR(INDEX(tsk_Name,GanttView[[#This Row],[_Row]])="",TRUE()),"",INDEX(tsk_Status,GanttView[[#This Row],[_Row]]))</f>
        <v/>
      </c>
      <c r="L72" s="122" t="n">
        <f aca="false">ROW()-ROW(GanttView[[#Headers],[ID]])</f>
        <v>67</v>
      </c>
      <c r="M72" s="123" t="b">
        <f aca="false">IF(IFERROR(INDEX(tsk_Name,GanttView[[#This Row],[_Row]])="",TRUE()),FALSE(),INDEX(tsk_IsSummary,GanttView[[#This Row],[_Row]]))</f>
        <v>0</v>
      </c>
      <c r="N72" s="123" t="b">
        <f aca="false">IF(IFERROR(INDEX(tsk_Name,GanttView[[#This Row],[_Row]])="",TRUE()),FALSE(),AND(INDEX(tsk_IsLeaf,GanttView[[#This Row],[_Row]])=1,N(INDEX(tsk_Duration,GanttView[[#This Row],[_Row]]))=0))</f>
        <v>0</v>
      </c>
      <c r="O72" s="124" t="n">
        <f aca="false">IF(IFERROR(INDEX(tsk_Name,GanttView[[#This Row],[_Row]])="",TRUE()),0,IF(AND(INDEX(tsk_IsLeaf,GanttView[[#This Row],[_Row]])=1,NOT(GanttView[[#This Row],[_IsMilestone]]),N(GanttView[[#This Row],[%]])&gt;0),GanttView[[#This Row],[Forecast Start]],0))</f>
        <v>0</v>
      </c>
      <c r="P72" s="124" t="n">
        <f aca="false">IF(GanttView[[#This Row],[_DoneFrom]]=0,0,IF(GanttView[[#This Row],[%]]&gt;=1,GanttView[[#This Row],[Forecast Finish]],MAX(GanttView[[#This Row],[_DoneFrom]],GanttView[[#This Row],[Forecast Start]]+ROUND((GanttView[[#This Row],[Forecast Finish]]-GanttView[[#This Row],[Forecast Start]]+1)*GanttView[[#This Row],[%]],0)-1)))</f>
        <v>0</v>
      </c>
      <c r="Q72" s="124" t="n">
        <f aca="false">IF(IFERROR(INDEX(tsk_Name,GanttView[[#This Row],[_Row]])="",TRUE()),0,IF(OR(INDEX(tsk_IsLeaf,GanttView[[#This Row],[_Row]])&lt;&gt;1,GanttView[[#This Row],[_IsMilestone]],N(GanttView[[#This Row],[%]])&gt;=1),0,IF(GanttView[[#This Row],[_DoneTo]]&gt;0,GanttView[[#This Row],[_DoneTo]]+1,GanttView[[#This Row],[Forecast Start]])))</f>
        <v>0</v>
      </c>
      <c r="R72" s="124" t="n">
        <f aca="false">IF(GanttView[[#This Row],[_RemFrom]]=0,0,GanttView[[#This Row],[Forecast Finish]])</f>
        <v>0</v>
      </c>
      <c r="S72" s="123" t="b">
        <f aca="false">IF(IFERROR(INDEX(tsk_Name,GanttView[[#This Row],[_Row]])="",TRUE()),FALSE(),N(INDEX(tsk_Variance,GanttView[[#This Row],[_Row]]))&gt;0)</f>
        <v>0</v>
      </c>
      <c r="T72" s="124" t="n">
        <f aca="false">IF(IFERROR(INDEX(tsk_Name,GanttView[[#This Row],[_Row]])="",TRUE()),0,N(INDEX(tsk_Deadline,GanttView[[#This Row],[_Row]])))</f>
        <v>0</v>
      </c>
      <c r="U72" s="123" t="b">
        <f aca="false">IF(IFERROR(INDEX(tsk_Name,GanttView[[#This Row],[_Row]])="",TRUE()),FALSE(),INDEX(tsk_Critical,GanttView[[#This Row],[_Row]])="Yes")</f>
        <v>0</v>
      </c>
    </row>
    <row r="73" customFormat="false" ht="15" hidden="false" customHeight="false" outlineLevel="0" collapsed="false">
      <c r="A73" s="117" t="str">
        <f aca="false">IF(IFERROR(INDEX(tsk_Name,GanttView[[#This Row],[_Row]])="",TRUE()),"",INDEX(tsk_ID,GanttView[[#This Row],[_Row]]))</f>
        <v/>
      </c>
      <c r="B73" s="117" t="str">
        <f aca="false">IF(IFERROR(INDEX(tsk_Name,GanttView[[#This Row],[_Row]])="",TRUE()),"",INDEX(tsk_WBS,GanttView[[#This Row],[_Row]]))</f>
        <v/>
      </c>
      <c r="C73" s="118" t="str">
        <f aca="false">IF(IFERROR(INDEX(tsk_Name,GanttView[[#This Row],[_Row]])="",TRUE()),"",REPT("    ",INDEX(tsk_Level,GanttView[[#This Row],[_Row]])-1)&amp;INDEX(tsk_Name,GanttView[[#This Row],[_Row]]))</f>
        <v/>
      </c>
      <c r="D73" s="117" t="str">
        <f aca="false">IF(IFERROR(INDEX(tsk_Name,GanttView[[#This Row],[_Row]])="",TRUE()),"",IF(INDEX(tsk_IsSummary,GanttView[[#This Row],[_Row]]),NETWORKDAYS.INTL(INDEX(tsk_FcStart,GanttView[[#This Row],[_Row]]),INDEX(tsk_FcFinish,GanttView[[#This Row],[_Row]]),WorkWeek,Holidays),N(INDEX(tsk_Duration,GanttView[[#This Row],[_Row]]))))</f>
        <v/>
      </c>
      <c r="E73" s="119" t="str">
        <f aca="false">IF(IFERROR(INDEX(tsk_Name,GanttView[[#This Row],[_Row]])="",TRUE()),"",INDEX(tsk_PlanStart,GanttView[[#This Row],[_Row]]))</f>
        <v/>
      </c>
      <c r="F73" s="119" t="str">
        <f aca="false">IF(IFERROR(INDEX(tsk_Name,GanttView[[#This Row],[_Row]])="",TRUE()),"",INDEX(tsk_PlanFinish,GanttView[[#This Row],[_Row]]))</f>
        <v/>
      </c>
      <c r="G73" s="119" t="str">
        <f aca="false">IF(IFERROR(INDEX(tsk_Name,GanttView[[#This Row],[_Row]])="",TRUE()),"",INDEX(tsk_FcStart,GanttView[[#This Row],[_Row]]))</f>
        <v/>
      </c>
      <c r="H73" s="119" t="str">
        <f aca="false">IF(IFERROR(INDEX(tsk_Name,GanttView[[#This Row],[_Row]])="",TRUE()),"",INDEX(tsk_FcFinish,GanttView[[#This Row],[_Row]]))</f>
        <v/>
      </c>
      <c r="I73" s="120" t="str">
        <f aca="false">IF(IFERROR(INDEX(tsk_Name,GanttView[[#This Row],[_Row]])="",TRUE()),"",INDEX(tsk_Progress,GanttView[[#This Row],[_Row]]))</f>
        <v/>
      </c>
      <c r="J73" s="118" t="str">
        <f aca="false">IF(IFERROR(INDEX(tsk_Name,GanttView[[#This Row],[_Row]])="",TRUE()),"",INDEX(tsk_Resource,GanttView[[#This Row],[_Row]])&amp;"")</f>
        <v/>
      </c>
      <c r="K73" s="121" t="str">
        <f aca="false">IF(IFERROR(INDEX(tsk_Name,GanttView[[#This Row],[_Row]])="",TRUE()),"",INDEX(tsk_Status,GanttView[[#This Row],[_Row]]))</f>
        <v/>
      </c>
      <c r="L73" s="122" t="n">
        <f aca="false">ROW()-ROW(GanttView[[#Headers],[ID]])</f>
        <v>68</v>
      </c>
      <c r="M73" s="123" t="b">
        <f aca="false">IF(IFERROR(INDEX(tsk_Name,GanttView[[#This Row],[_Row]])="",TRUE()),FALSE(),INDEX(tsk_IsSummary,GanttView[[#This Row],[_Row]]))</f>
        <v>0</v>
      </c>
      <c r="N73" s="123" t="b">
        <f aca="false">IF(IFERROR(INDEX(tsk_Name,GanttView[[#This Row],[_Row]])="",TRUE()),FALSE(),AND(INDEX(tsk_IsLeaf,GanttView[[#This Row],[_Row]])=1,N(INDEX(tsk_Duration,GanttView[[#This Row],[_Row]]))=0))</f>
        <v>0</v>
      </c>
      <c r="O73" s="124" t="n">
        <f aca="false">IF(IFERROR(INDEX(tsk_Name,GanttView[[#This Row],[_Row]])="",TRUE()),0,IF(AND(INDEX(tsk_IsLeaf,GanttView[[#This Row],[_Row]])=1,NOT(GanttView[[#This Row],[_IsMilestone]]),N(GanttView[[#This Row],[%]])&gt;0),GanttView[[#This Row],[Forecast Start]],0))</f>
        <v>0</v>
      </c>
      <c r="P73" s="124" t="n">
        <f aca="false">IF(GanttView[[#This Row],[_DoneFrom]]=0,0,IF(GanttView[[#This Row],[%]]&gt;=1,GanttView[[#This Row],[Forecast Finish]],MAX(GanttView[[#This Row],[_DoneFrom]],GanttView[[#This Row],[Forecast Start]]+ROUND((GanttView[[#This Row],[Forecast Finish]]-GanttView[[#This Row],[Forecast Start]]+1)*GanttView[[#This Row],[%]],0)-1)))</f>
        <v>0</v>
      </c>
      <c r="Q73" s="124" t="n">
        <f aca="false">IF(IFERROR(INDEX(tsk_Name,GanttView[[#This Row],[_Row]])="",TRUE()),0,IF(OR(INDEX(tsk_IsLeaf,GanttView[[#This Row],[_Row]])&lt;&gt;1,GanttView[[#This Row],[_IsMilestone]],N(GanttView[[#This Row],[%]])&gt;=1),0,IF(GanttView[[#This Row],[_DoneTo]]&gt;0,GanttView[[#This Row],[_DoneTo]]+1,GanttView[[#This Row],[Forecast Start]])))</f>
        <v>0</v>
      </c>
      <c r="R73" s="124" t="n">
        <f aca="false">IF(GanttView[[#This Row],[_RemFrom]]=0,0,GanttView[[#This Row],[Forecast Finish]])</f>
        <v>0</v>
      </c>
      <c r="S73" s="123" t="b">
        <f aca="false">IF(IFERROR(INDEX(tsk_Name,GanttView[[#This Row],[_Row]])="",TRUE()),FALSE(),N(INDEX(tsk_Variance,GanttView[[#This Row],[_Row]]))&gt;0)</f>
        <v>0</v>
      </c>
      <c r="T73" s="124" t="n">
        <f aca="false">IF(IFERROR(INDEX(tsk_Name,GanttView[[#This Row],[_Row]])="",TRUE()),0,N(INDEX(tsk_Deadline,GanttView[[#This Row],[_Row]])))</f>
        <v>0</v>
      </c>
      <c r="U73" s="123" t="b">
        <f aca="false">IF(IFERROR(INDEX(tsk_Name,GanttView[[#This Row],[_Row]])="",TRUE()),FALSE(),INDEX(tsk_Critical,GanttView[[#This Row],[_Row]])="Yes")</f>
        <v>0</v>
      </c>
    </row>
    <row r="74" customFormat="false" ht="15" hidden="false" customHeight="false" outlineLevel="0" collapsed="false">
      <c r="A74" s="117" t="str">
        <f aca="false">IF(IFERROR(INDEX(tsk_Name,GanttView[[#This Row],[_Row]])="",TRUE()),"",INDEX(tsk_ID,GanttView[[#This Row],[_Row]]))</f>
        <v/>
      </c>
      <c r="B74" s="117" t="str">
        <f aca="false">IF(IFERROR(INDEX(tsk_Name,GanttView[[#This Row],[_Row]])="",TRUE()),"",INDEX(tsk_WBS,GanttView[[#This Row],[_Row]]))</f>
        <v/>
      </c>
      <c r="C74" s="118" t="str">
        <f aca="false">IF(IFERROR(INDEX(tsk_Name,GanttView[[#This Row],[_Row]])="",TRUE()),"",REPT("    ",INDEX(tsk_Level,GanttView[[#This Row],[_Row]])-1)&amp;INDEX(tsk_Name,GanttView[[#This Row],[_Row]]))</f>
        <v/>
      </c>
      <c r="D74" s="117" t="str">
        <f aca="false">IF(IFERROR(INDEX(tsk_Name,GanttView[[#This Row],[_Row]])="",TRUE()),"",IF(INDEX(tsk_IsSummary,GanttView[[#This Row],[_Row]]),NETWORKDAYS.INTL(INDEX(tsk_FcStart,GanttView[[#This Row],[_Row]]),INDEX(tsk_FcFinish,GanttView[[#This Row],[_Row]]),WorkWeek,Holidays),N(INDEX(tsk_Duration,GanttView[[#This Row],[_Row]]))))</f>
        <v/>
      </c>
      <c r="E74" s="119" t="str">
        <f aca="false">IF(IFERROR(INDEX(tsk_Name,GanttView[[#This Row],[_Row]])="",TRUE()),"",INDEX(tsk_PlanStart,GanttView[[#This Row],[_Row]]))</f>
        <v/>
      </c>
      <c r="F74" s="119" t="str">
        <f aca="false">IF(IFERROR(INDEX(tsk_Name,GanttView[[#This Row],[_Row]])="",TRUE()),"",INDEX(tsk_PlanFinish,GanttView[[#This Row],[_Row]]))</f>
        <v/>
      </c>
      <c r="G74" s="119" t="str">
        <f aca="false">IF(IFERROR(INDEX(tsk_Name,GanttView[[#This Row],[_Row]])="",TRUE()),"",INDEX(tsk_FcStart,GanttView[[#This Row],[_Row]]))</f>
        <v/>
      </c>
      <c r="H74" s="119" t="str">
        <f aca="false">IF(IFERROR(INDEX(tsk_Name,GanttView[[#This Row],[_Row]])="",TRUE()),"",INDEX(tsk_FcFinish,GanttView[[#This Row],[_Row]]))</f>
        <v/>
      </c>
      <c r="I74" s="120" t="str">
        <f aca="false">IF(IFERROR(INDEX(tsk_Name,GanttView[[#This Row],[_Row]])="",TRUE()),"",INDEX(tsk_Progress,GanttView[[#This Row],[_Row]]))</f>
        <v/>
      </c>
      <c r="J74" s="118" t="str">
        <f aca="false">IF(IFERROR(INDEX(tsk_Name,GanttView[[#This Row],[_Row]])="",TRUE()),"",INDEX(tsk_Resource,GanttView[[#This Row],[_Row]])&amp;"")</f>
        <v/>
      </c>
      <c r="K74" s="121" t="str">
        <f aca="false">IF(IFERROR(INDEX(tsk_Name,GanttView[[#This Row],[_Row]])="",TRUE()),"",INDEX(tsk_Status,GanttView[[#This Row],[_Row]]))</f>
        <v/>
      </c>
      <c r="L74" s="122" t="n">
        <f aca="false">ROW()-ROW(GanttView[[#Headers],[ID]])</f>
        <v>69</v>
      </c>
      <c r="M74" s="123" t="b">
        <f aca="false">IF(IFERROR(INDEX(tsk_Name,GanttView[[#This Row],[_Row]])="",TRUE()),FALSE(),INDEX(tsk_IsSummary,GanttView[[#This Row],[_Row]]))</f>
        <v>0</v>
      </c>
      <c r="N74" s="123" t="b">
        <f aca="false">IF(IFERROR(INDEX(tsk_Name,GanttView[[#This Row],[_Row]])="",TRUE()),FALSE(),AND(INDEX(tsk_IsLeaf,GanttView[[#This Row],[_Row]])=1,N(INDEX(tsk_Duration,GanttView[[#This Row],[_Row]]))=0))</f>
        <v>0</v>
      </c>
      <c r="O74" s="124" t="n">
        <f aca="false">IF(IFERROR(INDEX(tsk_Name,GanttView[[#This Row],[_Row]])="",TRUE()),0,IF(AND(INDEX(tsk_IsLeaf,GanttView[[#This Row],[_Row]])=1,NOT(GanttView[[#This Row],[_IsMilestone]]),N(GanttView[[#This Row],[%]])&gt;0),GanttView[[#This Row],[Forecast Start]],0))</f>
        <v>0</v>
      </c>
      <c r="P74" s="124" t="n">
        <f aca="false">IF(GanttView[[#This Row],[_DoneFrom]]=0,0,IF(GanttView[[#This Row],[%]]&gt;=1,GanttView[[#This Row],[Forecast Finish]],MAX(GanttView[[#This Row],[_DoneFrom]],GanttView[[#This Row],[Forecast Start]]+ROUND((GanttView[[#This Row],[Forecast Finish]]-GanttView[[#This Row],[Forecast Start]]+1)*GanttView[[#This Row],[%]],0)-1)))</f>
        <v>0</v>
      </c>
      <c r="Q74" s="124" t="n">
        <f aca="false">IF(IFERROR(INDEX(tsk_Name,GanttView[[#This Row],[_Row]])="",TRUE()),0,IF(OR(INDEX(tsk_IsLeaf,GanttView[[#This Row],[_Row]])&lt;&gt;1,GanttView[[#This Row],[_IsMilestone]],N(GanttView[[#This Row],[%]])&gt;=1),0,IF(GanttView[[#This Row],[_DoneTo]]&gt;0,GanttView[[#This Row],[_DoneTo]]+1,GanttView[[#This Row],[Forecast Start]])))</f>
        <v>0</v>
      </c>
      <c r="R74" s="124" t="n">
        <f aca="false">IF(GanttView[[#This Row],[_RemFrom]]=0,0,GanttView[[#This Row],[Forecast Finish]])</f>
        <v>0</v>
      </c>
      <c r="S74" s="123" t="b">
        <f aca="false">IF(IFERROR(INDEX(tsk_Name,GanttView[[#This Row],[_Row]])="",TRUE()),FALSE(),N(INDEX(tsk_Variance,GanttView[[#This Row],[_Row]]))&gt;0)</f>
        <v>0</v>
      </c>
      <c r="T74" s="124" t="n">
        <f aca="false">IF(IFERROR(INDEX(tsk_Name,GanttView[[#This Row],[_Row]])="",TRUE()),0,N(INDEX(tsk_Deadline,GanttView[[#This Row],[_Row]])))</f>
        <v>0</v>
      </c>
      <c r="U74" s="123" t="b">
        <f aca="false">IF(IFERROR(INDEX(tsk_Name,GanttView[[#This Row],[_Row]])="",TRUE()),FALSE(),INDEX(tsk_Critical,GanttView[[#This Row],[_Row]])="Yes")</f>
        <v>0</v>
      </c>
    </row>
    <row r="75" customFormat="false" ht="15" hidden="false" customHeight="false" outlineLevel="0" collapsed="false">
      <c r="A75" s="117" t="str">
        <f aca="false">IF(IFERROR(INDEX(tsk_Name,GanttView[[#This Row],[_Row]])="",TRUE()),"",INDEX(tsk_ID,GanttView[[#This Row],[_Row]]))</f>
        <v/>
      </c>
      <c r="B75" s="117" t="str">
        <f aca="false">IF(IFERROR(INDEX(tsk_Name,GanttView[[#This Row],[_Row]])="",TRUE()),"",INDEX(tsk_WBS,GanttView[[#This Row],[_Row]]))</f>
        <v/>
      </c>
      <c r="C75" s="118" t="str">
        <f aca="false">IF(IFERROR(INDEX(tsk_Name,GanttView[[#This Row],[_Row]])="",TRUE()),"",REPT("    ",INDEX(tsk_Level,GanttView[[#This Row],[_Row]])-1)&amp;INDEX(tsk_Name,GanttView[[#This Row],[_Row]]))</f>
        <v/>
      </c>
      <c r="D75" s="117" t="str">
        <f aca="false">IF(IFERROR(INDEX(tsk_Name,GanttView[[#This Row],[_Row]])="",TRUE()),"",IF(INDEX(tsk_IsSummary,GanttView[[#This Row],[_Row]]),NETWORKDAYS.INTL(INDEX(tsk_FcStart,GanttView[[#This Row],[_Row]]),INDEX(tsk_FcFinish,GanttView[[#This Row],[_Row]]),WorkWeek,Holidays),N(INDEX(tsk_Duration,GanttView[[#This Row],[_Row]]))))</f>
        <v/>
      </c>
      <c r="E75" s="119" t="str">
        <f aca="false">IF(IFERROR(INDEX(tsk_Name,GanttView[[#This Row],[_Row]])="",TRUE()),"",INDEX(tsk_PlanStart,GanttView[[#This Row],[_Row]]))</f>
        <v/>
      </c>
      <c r="F75" s="119" t="str">
        <f aca="false">IF(IFERROR(INDEX(tsk_Name,GanttView[[#This Row],[_Row]])="",TRUE()),"",INDEX(tsk_PlanFinish,GanttView[[#This Row],[_Row]]))</f>
        <v/>
      </c>
      <c r="G75" s="119" t="str">
        <f aca="false">IF(IFERROR(INDEX(tsk_Name,GanttView[[#This Row],[_Row]])="",TRUE()),"",INDEX(tsk_FcStart,GanttView[[#This Row],[_Row]]))</f>
        <v/>
      </c>
      <c r="H75" s="119" t="str">
        <f aca="false">IF(IFERROR(INDEX(tsk_Name,GanttView[[#This Row],[_Row]])="",TRUE()),"",INDEX(tsk_FcFinish,GanttView[[#This Row],[_Row]]))</f>
        <v/>
      </c>
      <c r="I75" s="120" t="str">
        <f aca="false">IF(IFERROR(INDEX(tsk_Name,GanttView[[#This Row],[_Row]])="",TRUE()),"",INDEX(tsk_Progress,GanttView[[#This Row],[_Row]]))</f>
        <v/>
      </c>
      <c r="J75" s="118" t="str">
        <f aca="false">IF(IFERROR(INDEX(tsk_Name,GanttView[[#This Row],[_Row]])="",TRUE()),"",INDEX(tsk_Resource,GanttView[[#This Row],[_Row]])&amp;"")</f>
        <v/>
      </c>
      <c r="K75" s="121" t="str">
        <f aca="false">IF(IFERROR(INDEX(tsk_Name,GanttView[[#This Row],[_Row]])="",TRUE()),"",INDEX(tsk_Status,GanttView[[#This Row],[_Row]]))</f>
        <v/>
      </c>
      <c r="L75" s="122" t="n">
        <f aca="false">ROW()-ROW(GanttView[[#Headers],[ID]])</f>
        <v>70</v>
      </c>
      <c r="M75" s="123" t="b">
        <f aca="false">IF(IFERROR(INDEX(tsk_Name,GanttView[[#This Row],[_Row]])="",TRUE()),FALSE(),INDEX(tsk_IsSummary,GanttView[[#This Row],[_Row]]))</f>
        <v>0</v>
      </c>
      <c r="N75" s="123" t="b">
        <f aca="false">IF(IFERROR(INDEX(tsk_Name,GanttView[[#This Row],[_Row]])="",TRUE()),FALSE(),AND(INDEX(tsk_IsLeaf,GanttView[[#This Row],[_Row]])=1,N(INDEX(tsk_Duration,GanttView[[#This Row],[_Row]]))=0))</f>
        <v>0</v>
      </c>
      <c r="O75" s="124" t="n">
        <f aca="false">IF(IFERROR(INDEX(tsk_Name,GanttView[[#This Row],[_Row]])="",TRUE()),0,IF(AND(INDEX(tsk_IsLeaf,GanttView[[#This Row],[_Row]])=1,NOT(GanttView[[#This Row],[_IsMilestone]]),N(GanttView[[#This Row],[%]])&gt;0),GanttView[[#This Row],[Forecast Start]],0))</f>
        <v>0</v>
      </c>
      <c r="P75" s="124" t="n">
        <f aca="false">IF(GanttView[[#This Row],[_DoneFrom]]=0,0,IF(GanttView[[#This Row],[%]]&gt;=1,GanttView[[#This Row],[Forecast Finish]],MAX(GanttView[[#This Row],[_DoneFrom]],GanttView[[#This Row],[Forecast Start]]+ROUND((GanttView[[#This Row],[Forecast Finish]]-GanttView[[#This Row],[Forecast Start]]+1)*GanttView[[#This Row],[%]],0)-1)))</f>
        <v>0</v>
      </c>
      <c r="Q75" s="124" t="n">
        <f aca="false">IF(IFERROR(INDEX(tsk_Name,GanttView[[#This Row],[_Row]])="",TRUE()),0,IF(OR(INDEX(tsk_IsLeaf,GanttView[[#This Row],[_Row]])&lt;&gt;1,GanttView[[#This Row],[_IsMilestone]],N(GanttView[[#This Row],[%]])&gt;=1),0,IF(GanttView[[#This Row],[_DoneTo]]&gt;0,GanttView[[#This Row],[_DoneTo]]+1,GanttView[[#This Row],[Forecast Start]])))</f>
        <v>0</v>
      </c>
      <c r="R75" s="124" t="n">
        <f aca="false">IF(GanttView[[#This Row],[_RemFrom]]=0,0,GanttView[[#This Row],[Forecast Finish]])</f>
        <v>0</v>
      </c>
      <c r="S75" s="123" t="b">
        <f aca="false">IF(IFERROR(INDEX(tsk_Name,GanttView[[#This Row],[_Row]])="",TRUE()),FALSE(),N(INDEX(tsk_Variance,GanttView[[#This Row],[_Row]]))&gt;0)</f>
        <v>0</v>
      </c>
      <c r="T75" s="124" t="n">
        <f aca="false">IF(IFERROR(INDEX(tsk_Name,GanttView[[#This Row],[_Row]])="",TRUE()),0,N(INDEX(tsk_Deadline,GanttView[[#This Row],[_Row]])))</f>
        <v>0</v>
      </c>
      <c r="U75" s="123" t="b">
        <f aca="false">IF(IFERROR(INDEX(tsk_Name,GanttView[[#This Row],[_Row]])="",TRUE()),FALSE(),INDEX(tsk_Critical,GanttView[[#This Row],[_Row]])="Yes")</f>
        <v>0</v>
      </c>
    </row>
    <row r="76" customFormat="false" ht="15" hidden="false" customHeight="false" outlineLevel="0" collapsed="false">
      <c r="A76" s="117" t="str">
        <f aca="false">IF(IFERROR(INDEX(tsk_Name,GanttView[[#This Row],[_Row]])="",TRUE()),"",INDEX(tsk_ID,GanttView[[#This Row],[_Row]]))</f>
        <v/>
      </c>
      <c r="B76" s="117" t="str">
        <f aca="false">IF(IFERROR(INDEX(tsk_Name,GanttView[[#This Row],[_Row]])="",TRUE()),"",INDEX(tsk_WBS,GanttView[[#This Row],[_Row]]))</f>
        <v/>
      </c>
      <c r="C76" s="118" t="str">
        <f aca="false">IF(IFERROR(INDEX(tsk_Name,GanttView[[#This Row],[_Row]])="",TRUE()),"",REPT("    ",INDEX(tsk_Level,GanttView[[#This Row],[_Row]])-1)&amp;INDEX(tsk_Name,GanttView[[#This Row],[_Row]]))</f>
        <v/>
      </c>
      <c r="D76" s="117" t="str">
        <f aca="false">IF(IFERROR(INDEX(tsk_Name,GanttView[[#This Row],[_Row]])="",TRUE()),"",IF(INDEX(tsk_IsSummary,GanttView[[#This Row],[_Row]]),NETWORKDAYS.INTL(INDEX(tsk_FcStart,GanttView[[#This Row],[_Row]]),INDEX(tsk_FcFinish,GanttView[[#This Row],[_Row]]),WorkWeek,Holidays),N(INDEX(tsk_Duration,GanttView[[#This Row],[_Row]]))))</f>
        <v/>
      </c>
      <c r="E76" s="119" t="str">
        <f aca="false">IF(IFERROR(INDEX(tsk_Name,GanttView[[#This Row],[_Row]])="",TRUE()),"",INDEX(tsk_PlanStart,GanttView[[#This Row],[_Row]]))</f>
        <v/>
      </c>
      <c r="F76" s="119" t="str">
        <f aca="false">IF(IFERROR(INDEX(tsk_Name,GanttView[[#This Row],[_Row]])="",TRUE()),"",INDEX(tsk_PlanFinish,GanttView[[#This Row],[_Row]]))</f>
        <v/>
      </c>
      <c r="G76" s="119" t="str">
        <f aca="false">IF(IFERROR(INDEX(tsk_Name,GanttView[[#This Row],[_Row]])="",TRUE()),"",INDEX(tsk_FcStart,GanttView[[#This Row],[_Row]]))</f>
        <v/>
      </c>
      <c r="H76" s="119" t="str">
        <f aca="false">IF(IFERROR(INDEX(tsk_Name,GanttView[[#This Row],[_Row]])="",TRUE()),"",INDEX(tsk_FcFinish,GanttView[[#This Row],[_Row]]))</f>
        <v/>
      </c>
      <c r="I76" s="120" t="str">
        <f aca="false">IF(IFERROR(INDEX(tsk_Name,GanttView[[#This Row],[_Row]])="",TRUE()),"",INDEX(tsk_Progress,GanttView[[#This Row],[_Row]]))</f>
        <v/>
      </c>
      <c r="J76" s="118" t="str">
        <f aca="false">IF(IFERROR(INDEX(tsk_Name,GanttView[[#This Row],[_Row]])="",TRUE()),"",INDEX(tsk_Resource,GanttView[[#This Row],[_Row]])&amp;"")</f>
        <v/>
      </c>
      <c r="K76" s="121" t="str">
        <f aca="false">IF(IFERROR(INDEX(tsk_Name,GanttView[[#This Row],[_Row]])="",TRUE()),"",INDEX(tsk_Status,GanttView[[#This Row],[_Row]]))</f>
        <v/>
      </c>
      <c r="L76" s="122" t="n">
        <f aca="false">ROW()-ROW(GanttView[[#Headers],[ID]])</f>
        <v>71</v>
      </c>
      <c r="M76" s="123" t="b">
        <f aca="false">IF(IFERROR(INDEX(tsk_Name,GanttView[[#This Row],[_Row]])="",TRUE()),FALSE(),INDEX(tsk_IsSummary,GanttView[[#This Row],[_Row]]))</f>
        <v>0</v>
      </c>
      <c r="N76" s="123" t="b">
        <f aca="false">IF(IFERROR(INDEX(tsk_Name,GanttView[[#This Row],[_Row]])="",TRUE()),FALSE(),AND(INDEX(tsk_IsLeaf,GanttView[[#This Row],[_Row]])=1,N(INDEX(tsk_Duration,GanttView[[#This Row],[_Row]]))=0))</f>
        <v>0</v>
      </c>
      <c r="O76" s="124" t="n">
        <f aca="false">IF(IFERROR(INDEX(tsk_Name,GanttView[[#This Row],[_Row]])="",TRUE()),0,IF(AND(INDEX(tsk_IsLeaf,GanttView[[#This Row],[_Row]])=1,NOT(GanttView[[#This Row],[_IsMilestone]]),N(GanttView[[#This Row],[%]])&gt;0),GanttView[[#This Row],[Forecast Start]],0))</f>
        <v>0</v>
      </c>
      <c r="P76" s="124" t="n">
        <f aca="false">IF(GanttView[[#This Row],[_DoneFrom]]=0,0,IF(GanttView[[#This Row],[%]]&gt;=1,GanttView[[#This Row],[Forecast Finish]],MAX(GanttView[[#This Row],[_DoneFrom]],GanttView[[#This Row],[Forecast Start]]+ROUND((GanttView[[#This Row],[Forecast Finish]]-GanttView[[#This Row],[Forecast Start]]+1)*GanttView[[#This Row],[%]],0)-1)))</f>
        <v>0</v>
      </c>
      <c r="Q76" s="124" t="n">
        <f aca="false">IF(IFERROR(INDEX(tsk_Name,GanttView[[#This Row],[_Row]])="",TRUE()),0,IF(OR(INDEX(tsk_IsLeaf,GanttView[[#This Row],[_Row]])&lt;&gt;1,GanttView[[#This Row],[_IsMilestone]],N(GanttView[[#This Row],[%]])&gt;=1),0,IF(GanttView[[#This Row],[_DoneTo]]&gt;0,GanttView[[#This Row],[_DoneTo]]+1,GanttView[[#This Row],[Forecast Start]])))</f>
        <v>0</v>
      </c>
      <c r="R76" s="124" t="n">
        <f aca="false">IF(GanttView[[#This Row],[_RemFrom]]=0,0,GanttView[[#This Row],[Forecast Finish]])</f>
        <v>0</v>
      </c>
      <c r="S76" s="123" t="b">
        <f aca="false">IF(IFERROR(INDEX(tsk_Name,GanttView[[#This Row],[_Row]])="",TRUE()),FALSE(),N(INDEX(tsk_Variance,GanttView[[#This Row],[_Row]]))&gt;0)</f>
        <v>0</v>
      </c>
      <c r="T76" s="124" t="n">
        <f aca="false">IF(IFERROR(INDEX(tsk_Name,GanttView[[#This Row],[_Row]])="",TRUE()),0,N(INDEX(tsk_Deadline,GanttView[[#This Row],[_Row]])))</f>
        <v>0</v>
      </c>
      <c r="U76" s="123" t="b">
        <f aca="false">IF(IFERROR(INDEX(tsk_Name,GanttView[[#This Row],[_Row]])="",TRUE()),FALSE(),INDEX(tsk_Critical,GanttView[[#This Row],[_Row]])="Yes")</f>
        <v>0</v>
      </c>
    </row>
    <row r="77" customFormat="false" ht="15" hidden="false" customHeight="false" outlineLevel="0" collapsed="false">
      <c r="A77" s="117" t="str">
        <f aca="false">IF(IFERROR(INDEX(tsk_Name,GanttView[[#This Row],[_Row]])="",TRUE()),"",INDEX(tsk_ID,GanttView[[#This Row],[_Row]]))</f>
        <v/>
      </c>
      <c r="B77" s="117" t="str">
        <f aca="false">IF(IFERROR(INDEX(tsk_Name,GanttView[[#This Row],[_Row]])="",TRUE()),"",INDEX(tsk_WBS,GanttView[[#This Row],[_Row]]))</f>
        <v/>
      </c>
      <c r="C77" s="118" t="str">
        <f aca="false">IF(IFERROR(INDEX(tsk_Name,GanttView[[#This Row],[_Row]])="",TRUE()),"",REPT("    ",INDEX(tsk_Level,GanttView[[#This Row],[_Row]])-1)&amp;INDEX(tsk_Name,GanttView[[#This Row],[_Row]]))</f>
        <v/>
      </c>
      <c r="D77" s="117" t="str">
        <f aca="false">IF(IFERROR(INDEX(tsk_Name,GanttView[[#This Row],[_Row]])="",TRUE()),"",IF(INDEX(tsk_IsSummary,GanttView[[#This Row],[_Row]]),NETWORKDAYS.INTL(INDEX(tsk_FcStart,GanttView[[#This Row],[_Row]]),INDEX(tsk_FcFinish,GanttView[[#This Row],[_Row]]),WorkWeek,Holidays),N(INDEX(tsk_Duration,GanttView[[#This Row],[_Row]]))))</f>
        <v/>
      </c>
      <c r="E77" s="119" t="str">
        <f aca="false">IF(IFERROR(INDEX(tsk_Name,GanttView[[#This Row],[_Row]])="",TRUE()),"",INDEX(tsk_PlanStart,GanttView[[#This Row],[_Row]]))</f>
        <v/>
      </c>
      <c r="F77" s="119" t="str">
        <f aca="false">IF(IFERROR(INDEX(tsk_Name,GanttView[[#This Row],[_Row]])="",TRUE()),"",INDEX(tsk_PlanFinish,GanttView[[#This Row],[_Row]]))</f>
        <v/>
      </c>
      <c r="G77" s="119" t="str">
        <f aca="false">IF(IFERROR(INDEX(tsk_Name,GanttView[[#This Row],[_Row]])="",TRUE()),"",INDEX(tsk_FcStart,GanttView[[#This Row],[_Row]]))</f>
        <v/>
      </c>
      <c r="H77" s="119" t="str">
        <f aca="false">IF(IFERROR(INDEX(tsk_Name,GanttView[[#This Row],[_Row]])="",TRUE()),"",INDEX(tsk_FcFinish,GanttView[[#This Row],[_Row]]))</f>
        <v/>
      </c>
      <c r="I77" s="120" t="str">
        <f aca="false">IF(IFERROR(INDEX(tsk_Name,GanttView[[#This Row],[_Row]])="",TRUE()),"",INDEX(tsk_Progress,GanttView[[#This Row],[_Row]]))</f>
        <v/>
      </c>
      <c r="J77" s="118" t="str">
        <f aca="false">IF(IFERROR(INDEX(tsk_Name,GanttView[[#This Row],[_Row]])="",TRUE()),"",INDEX(tsk_Resource,GanttView[[#This Row],[_Row]])&amp;"")</f>
        <v/>
      </c>
      <c r="K77" s="121" t="str">
        <f aca="false">IF(IFERROR(INDEX(tsk_Name,GanttView[[#This Row],[_Row]])="",TRUE()),"",INDEX(tsk_Status,GanttView[[#This Row],[_Row]]))</f>
        <v/>
      </c>
      <c r="L77" s="122" t="n">
        <f aca="false">ROW()-ROW(GanttView[[#Headers],[ID]])</f>
        <v>72</v>
      </c>
      <c r="M77" s="123" t="b">
        <f aca="false">IF(IFERROR(INDEX(tsk_Name,GanttView[[#This Row],[_Row]])="",TRUE()),FALSE(),INDEX(tsk_IsSummary,GanttView[[#This Row],[_Row]]))</f>
        <v>0</v>
      </c>
      <c r="N77" s="123" t="b">
        <f aca="false">IF(IFERROR(INDEX(tsk_Name,GanttView[[#This Row],[_Row]])="",TRUE()),FALSE(),AND(INDEX(tsk_IsLeaf,GanttView[[#This Row],[_Row]])=1,N(INDEX(tsk_Duration,GanttView[[#This Row],[_Row]]))=0))</f>
        <v>0</v>
      </c>
      <c r="O77" s="124" t="n">
        <f aca="false">IF(IFERROR(INDEX(tsk_Name,GanttView[[#This Row],[_Row]])="",TRUE()),0,IF(AND(INDEX(tsk_IsLeaf,GanttView[[#This Row],[_Row]])=1,NOT(GanttView[[#This Row],[_IsMilestone]]),N(GanttView[[#This Row],[%]])&gt;0),GanttView[[#This Row],[Forecast Start]],0))</f>
        <v>0</v>
      </c>
      <c r="P77" s="124" t="n">
        <f aca="false">IF(GanttView[[#This Row],[_DoneFrom]]=0,0,IF(GanttView[[#This Row],[%]]&gt;=1,GanttView[[#This Row],[Forecast Finish]],MAX(GanttView[[#This Row],[_DoneFrom]],GanttView[[#This Row],[Forecast Start]]+ROUND((GanttView[[#This Row],[Forecast Finish]]-GanttView[[#This Row],[Forecast Start]]+1)*GanttView[[#This Row],[%]],0)-1)))</f>
        <v>0</v>
      </c>
      <c r="Q77" s="124" t="n">
        <f aca="false">IF(IFERROR(INDEX(tsk_Name,GanttView[[#This Row],[_Row]])="",TRUE()),0,IF(OR(INDEX(tsk_IsLeaf,GanttView[[#This Row],[_Row]])&lt;&gt;1,GanttView[[#This Row],[_IsMilestone]],N(GanttView[[#This Row],[%]])&gt;=1),0,IF(GanttView[[#This Row],[_DoneTo]]&gt;0,GanttView[[#This Row],[_DoneTo]]+1,GanttView[[#This Row],[Forecast Start]])))</f>
        <v>0</v>
      </c>
      <c r="R77" s="124" t="n">
        <f aca="false">IF(GanttView[[#This Row],[_RemFrom]]=0,0,GanttView[[#This Row],[Forecast Finish]])</f>
        <v>0</v>
      </c>
      <c r="S77" s="123" t="b">
        <f aca="false">IF(IFERROR(INDEX(tsk_Name,GanttView[[#This Row],[_Row]])="",TRUE()),FALSE(),N(INDEX(tsk_Variance,GanttView[[#This Row],[_Row]]))&gt;0)</f>
        <v>0</v>
      </c>
      <c r="T77" s="124" t="n">
        <f aca="false">IF(IFERROR(INDEX(tsk_Name,GanttView[[#This Row],[_Row]])="",TRUE()),0,N(INDEX(tsk_Deadline,GanttView[[#This Row],[_Row]])))</f>
        <v>0</v>
      </c>
      <c r="U77" s="123" t="b">
        <f aca="false">IF(IFERROR(INDEX(tsk_Name,GanttView[[#This Row],[_Row]])="",TRUE()),FALSE(),INDEX(tsk_Critical,GanttView[[#This Row],[_Row]])="Yes")</f>
        <v>0</v>
      </c>
    </row>
    <row r="78" customFormat="false" ht="15" hidden="false" customHeight="false" outlineLevel="0" collapsed="false">
      <c r="A78" s="117" t="str">
        <f aca="false">IF(IFERROR(INDEX(tsk_Name,GanttView[[#This Row],[_Row]])="",TRUE()),"",INDEX(tsk_ID,GanttView[[#This Row],[_Row]]))</f>
        <v/>
      </c>
      <c r="B78" s="117" t="str">
        <f aca="false">IF(IFERROR(INDEX(tsk_Name,GanttView[[#This Row],[_Row]])="",TRUE()),"",INDEX(tsk_WBS,GanttView[[#This Row],[_Row]]))</f>
        <v/>
      </c>
      <c r="C78" s="118" t="str">
        <f aca="false">IF(IFERROR(INDEX(tsk_Name,GanttView[[#This Row],[_Row]])="",TRUE()),"",REPT("    ",INDEX(tsk_Level,GanttView[[#This Row],[_Row]])-1)&amp;INDEX(tsk_Name,GanttView[[#This Row],[_Row]]))</f>
        <v/>
      </c>
      <c r="D78" s="117" t="str">
        <f aca="false">IF(IFERROR(INDEX(tsk_Name,GanttView[[#This Row],[_Row]])="",TRUE()),"",IF(INDEX(tsk_IsSummary,GanttView[[#This Row],[_Row]]),NETWORKDAYS.INTL(INDEX(tsk_FcStart,GanttView[[#This Row],[_Row]]),INDEX(tsk_FcFinish,GanttView[[#This Row],[_Row]]),WorkWeek,Holidays),N(INDEX(tsk_Duration,GanttView[[#This Row],[_Row]]))))</f>
        <v/>
      </c>
      <c r="E78" s="119" t="str">
        <f aca="false">IF(IFERROR(INDEX(tsk_Name,GanttView[[#This Row],[_Row]])="",TRUE()),"",INDEX(tsk_PlanStart,GanttView[[#This Row],[_Row]]))</f>
        <v/>
      </c>
      <c r="F78" s="119" t="str">
        <f aca="false">IF(IFERROR(INDEX(tsk_Name,GanttView[[#This Row],[_Row]])="",TRUE()),"",INDEX(tsk_PlanFinish,GanttView[[#This Row],[_Row]]))</f>
        <v/>
      </c>
      <c r="G78" s="119" t="str">
        <f aca="false">IF(IFERROR(INDEX(tsk_Name,GanttView[[#This Row],[_Row]])="",TRUE()),"",INDEX(tsk_FcStart,GanttView[[#This Row],[_Row]]))</f>
        <v/>
      </c>
      <c r="H78" s="119" t="str">
        <f aca="false">IF(IFERROR(INDEX(tsk_Name,GanttView[[#This Row],[_Row]])="",TRUE()),"",INDEX(tsk_FcFinish,GanttView[[#This Row],[_Row]]))</f>
        <v/>
      </c>
      <c r="I78" s="120" t="str">
        <f aca="false">IF(IFERROR(INDEX(tsk_Name,GanttView[[#This Row],[_Row]])="",TRUE()),"",INDEX(tsk_Progress,GanttView[[#This Row],[_Row]]))</f>
        <v/>
      </c>
      <c r="J78" s="118" t="str">
        <f aca="false">IF(IFERROR(INDEX(tsk_Name,GanttView[[#This Row],[_Row]])="",TRUE()),"",INDEX(tsk_Resource,GanttView[[#This Row],[_Row]])&amp;"")</f>
        <v/>
      </c>
      <c r="K78" s="121" t="str">
        <f aca="false">IF(IFERROR(INDEX(tsk_Name,GanttView[[#This Row],[_Row]])="",TRUE()),"",INDEX(tsk_Status,GanttView[[#This Row],[_Row]]))</f>
        <v/>
      </c>
      <c r="L78" s="122" t="n">
        <f aca="false">ROW()-ROW(GanttView[[#Headers],[ID]])</f>
        <v>73</v>
      </c>
      <c r="M78" s="123" t="b">
        <f aca="false">IF(IFERROR(INDEX(tsk_Name,GanttView[[#This Row],[_Row]])="",TRUE()),FALSE(),INDEX(tsk_IsSummary,GanttView[[#This Row],[_Row]]))</f>
        <v>0</v>
      </c>
      <c r="N78" s="123" t="b">
        <f aca="false">IF(IFERROR(INDEX(tsk_Name,GanttView[[#This Row],[_Row]])="",TRUE()),FALSE(),AND(INDEX(tsk_IsLeaf,GanttView[[#This Row],[_Row]])=1,N(INDEX(tsk_Duration,GanttView[[#This Row],[_Row]]))=0))</f>
        <v>0</v>
      </c>
      <c r="O78" s="124" t="n">
        <f aca="false">IF(IFERROR(INDEX(tsk_Name,GanttView[[#This Row],[_Row]])="",TRUE()),0,IF(AND(INDEX(tsk_IsLeaf,GanttView[[#This Row],[_Row]])=1,NOT(GanttView[[#This Row],[_IsMilestone]]),N(GanttView[[#This Row],[%]])&gt;0),GanttView[[#This Row],[Forecast Start]],0))</f>
        <v>0</v>
      </c>
      <c r="P78" s="124" t="n">
        <f aca="false">IF(GanttView[[#This Row],[_DoneFrom]]=0,0,IF(GanttView[[#This Row],[%]]&gt;=1,GanttView[[#This Row],[Forecast Finish]],MAX(GanttView[[#This Row],[_DoneFrom]],GanttView[[#This Row],[Forecast Start]]+ROUND((GanttView[[#This Row],[Forecast Finish]]-GanttView[[#This Row],[Forecast Start]]+1)*GanttView[[#This Row],[%]],0)-1)))</f>
        <v>0</v>
      </c>
      <c r="Q78" s="124" t="n">
        <f aca="false">IF(IFERROR(INDEX(tsk_Name,GanttView[[#This Row],[_Row]])="",TRUE()),0,IF(OR(INDEX(tsk_IsLeaf,GanttView[[#This Row],[_Row]])&lt;&gt;1,GanttView[[#This Row],[_IsMilestone]],N(GanttView[[#This Row],[%]])&gt;=1),0,IF(GanttView[[#This Row],[_DoneTo]]&gt;0,GanttView[[#This Row],[_DoneTo]]+1,GanttView[[#This Row],[Forecast Start]])))</f>
        <v>0</v>
      </c>
      <c r="R78" s="124" t="n">
        <f aca="false">IF(GanttView[[#This Row],[_RemFrom]]=0,0,GanttView[[#This Row],[Forecast Finish]])</f>
        <v>0</v>
      </c>
      <c r="S78" s="123" t="b">
        <f aca="false">IF(IFERROR(INDEX(tsk_Name,GanttView[[#This Row],[_Row]])="",TRUE()),FALSE(),N(INDEX(tsk_Variance,GanttView[[#This Row],[_Row]]))&gt;0)</f>
        <v>0</v>
      </c>
      <c r="T78" s="124" t="n">
        <f aca="false">IF(IFERROR(INDEX(tsk_Name,GanttView[[#This Row],[_Row]])="",TRUE()),0,N(INDEX(tsk_Deadline,GanttView[[#This Row],[_Row]])))</f>
        <v>0</v>
      </c>
      <c r="U78" s="123" t="b">
        <f aca="false">IF(IFERROR(INDEX(tsk_Name,GanttView[[#This Row],[_Row]])="",TRUE()),FALSE(),INDEX(tsk_Critical,GanttView[[#This Row],[_Row]])="Yes")</f>
        <v>0</v>
      </c>
    </row>
    <row r="79" customFormat="false" ht="15" hidden="false" customHeight="false" outlineLevel="0" collapsed="false">
      <c r="A79" s="117" t="str">
        <f aca="false">IF(IFERROR(INDEX(tsk_Name,GanttView[[#This Row],[_Row]])="",TRUE()),"",INDEX(tsk_ID,GanttView[[#This Row],[_Row]]))</f>
        <v/>
      </c>
      <c r="B79" s="117" t="str">
        <f aca="false">IF(IFERROR(INDEX(tsk_Name,GanttView[[#This Row],[_Row]])="",TRUE()),"",INDEX(tsk_WBS,GanttView[[#This Row],[_Row]]))</f>
        <v/>
      </c>
      <c r="C79" s="118" t="str">
        <f aca="false">IF(IFERROR(INDEX(tsk_Name,GanttView[[#This Row],[_Row]])="",TRUE()),"",REPT("    ",INDEX(tsk_Level,GanttView[[#This Row],[_Row]])-1)&amp;INDEX(tsk_Name,GanttView[[#This Row],[_Row]]))</f>
        <v/>
      </c>
      <c r="D79" s="117" t="str">
        <f aca="false">IF(IFERROR(INDEX(tsk_Name,GanttView[[#This Row],[_Row]])="",TRUE()),"",IF(INDEX(tsk_IsSummary,GanttView[[#This Row],[_Row]]),NETWORKDAYS.INTL(INDEX(tsk_FcStart,GanttView[[#This Row],[_Row]]),INDEX(tsk_FcFinish,GanttView[[#This Row],[_Row]]),WorkWeek,Holidays),N(INDEX(tsk_Duration,GanttView[[#This Row],[_Row]]))))</f>
        <v/>
      </c>
      <c r="E79" s="119" t="str">
        <f aca="false">IF(IFERROR(INDEX(tsk_Name,GanttView[[#This Row],[_Row]])="",TRUE()),"",INDEX(tsk_PlanStart,GanttView[[#This Row],[_Row]]))</f>
        <v/>
      </c>
      <c r="F79" s="119" t="str">
        <f aca="false">IF(IFERROR(INDEX(tsk_Name,GanttView[[#This Row],[_Row]])="",TRUE()),"",INDEX(tsk_PlanFinish,GanttView[[#This Row],[_Row]]))</f>
        <v/>
      </c>
      <c r="G79" s="119" t="str">
        <f aca="false">IF(IFERROR(INDEX(tsk_Name,GanttView[[#This Row],[_Row]])="",TRUE()),"",INDEX(tsk_FcStart,GanttView[[#This Row],[_Row]]))</f>
        <v/>
      </c>
      <c r="H79" s="119" t="str">
        <f aca="false">IF(IFERROR(INDEX(tsk_Name,GanttView[[#This Row],[_Row]])="",TRUE()),"",INDEX(tsk_FcFinish,GanttView[[#This Row],[_Row]]))</f>
        <v/>
      </c>
      <c r="I79" s="120" t="str">
        <f aca="false">IF(IFERROR(INDEX(tsk_Name,GanttView[[#This Row],[_Row]])="",TRUE()),"",INDEX(tsk_Progress,GanttView[[#This Row],[_Row]]))</f>
        <v/>
      </c>
      <c r="J79" s="118" t="str">
        <f aca="false">IF(IFERROR(INDEX(tsk_Name,GanttView[[#This Row],[_Row]])="",TRUE()),"",INDEX(tsk_Resource,GanttView[[#This Row],[_Row]])&amp;"")</f>
        <v/>
      </c>
      <c r="K79" s="121" t="str">
        <f aca="false">IF(IFERROR(INDEX(tsk_Name,GanttView[[#This Row],[_Row]])="",TRUE()),"",INDEX(tsk_Status,GanttView[[#This Row],[_Row]]))</f>
        <v/>
      </c>
      <c r="L79" s="122" t="n">
        <f aca="false">ROW()-ROW(GanttView[[#Headers],[ID]])</f>
        <v>74</v>
      </c>
      <c r="M79" s="123" t="b">
        <f aca="false">IF(IFERROR(INDEX(tsk_Name,GanttView[[#This Row],[_Row]])="",TRUE()),FALSE(),INDEX(tsk_IsSummary,GanttView[[#This Row],[_Row]]))</f>
        <v>0</v>
      </c>
      <c r="N79" s="123" t="b">
        <f aca="false">IF(IFERROR(INDEX(tsk_Name,GanttView[[#This Row],[_Row]])="",TRUE()),FALSE(),AND(INDEX(tsk_IsLeaf,GanttView[[#This Row],[_Row]])=1,N(INDEX(tsk_Duration,GanttView[[#This Row],[_Row]]))=0))</f>
        <v>0</v>
      </c>
      <c r="O79" s="124" t="n">
        <f aca="false">IF(IFERROR(INDEX(tsk_Name,GanttView[[#This Row],[_Row]])="",TRUE()),0,IF(AND(INDEX(tsk_IsLeaf,GanttView[[#This Row],[_Row]])=1,NOT(GanttView[[#This Row],[_IsMilestone]]),N(GanttView[[#This Row],[%]])&gt;0),GanttView[[#This Row],[Forecast Start]],0))</f>
        <v>0</v>
      </c>
      <c r="P79" s="124" t="n">
        <f aca="false">IF(GanttView[[#This Row],[_DoneFrom]]=0,0,IF(GanttView[[#This Row],[%]]&gt;=1,GanttView[[#This Row],[Forecast Finish]],MAX(GanttView[[#This Row],[_DoneFrom]],GanttView[[#This Row],[Forecast Start]]+ROUND((GanttView[[#This Row],[Forecast Finish]]-GanttView[[#This Row],[Forecast Start]]+1)*GanttView[[#This Row],[%]],0)-1)))</f>
        <v>0</v>
      </c>
      <c r="Q79" s="124" t="n">
        <f aca="false">IF(IFERROR(INDEX(tsk_Name,GanttView[[#This Row],[_Row]])="",TRUE()),0,IF(OR(INDEX(tsk_IsLeaf,GanttView[[#This Row],[_Row]])&lt;&gt;1,GanttView[[#This Row],[_IsMilestone]],N(GanttView[[#This Row],[%]])&gt;=1),0,IF(GanttView[[#This Row],[_DoneTo]]&gt;0,GanttView[[#This Row],[_DoneTo]]+1,GanttView[[#This Row],[Forecast Start]])))</f>
        <v>0</v>
      </c>
      <c r="R79" s="124" t="n">
        <f aca="false">IF(GanttView[[#This Row],[_RemFrom]]=0,0,GanttView[[#This Row],[Forecast Finish]])</f>
        <v>0</v>
      </c>
      <c r="S79" s="123" t="b">
        <f aca="false">IF(IFERROR(INDEX(tsk_Name,GanttView[[#This Row],[_Row]])="",TRUE()),FALSE(),N(INDEX(tsk_Variance,GanttView[[#This Row],[_Row]]))&gt;0)</f>
        <v>0</v>
      </c>
      <c r="T79" s="124" t="n">
        <f aca="false">IF(IFERROR(INDEX(tsk_Name,GanttView[[#This Row],[_Row]])="",TRUE()),0,N(INDEX(tsk_Deadline,GanttView[[#This Row],[_Row]])))</f>
        <v>0</v>
      </c>
      <c r="U79" s="123" t="b">
        <f aca="false">IF(IFERROR(INDEX(tsk_Name,GanttView[[#This Row],[_Row]])="",TRUE()),FALSE(),INDEX(tsk_Critical,GanttView[[#This Row],[_Row]])="Yes")</f>
        <v>0</v>
      </c>
    </row>
    <row r="80" customFormat="false" ht="15" hidden="false" customHeight="false" outlineLevel="0" collapsed="false">
      <c r="A80" s="117" t="str">
        <f aca="false">IF(IFERROR(INDEX(tsk_Name,GanttView[[#This Row],[_Row]])="",TRUE()),"",INDEX(tsk_ID,GanttView[[#This Row],[_Row]]))</f>
        <v/>
      </c>
      <c r="B80" s="117" t="str">
        <f aca="false">IF(IFERROR(INDEX(tsk_Name,GanttView[[#This Row],[_Row]])="",TRUE()),"",INDEX(tsk_WBS,GanttView[[#This Row],[_Row]]))</f>
        <v/>
      </c>
      <c r="C80" s="118" t="str">
        <f aca="false">IF(IFERROR(INDEX(tsk_Name,GanttView[[#This Row],[_Row]])="",TRUE()),"",REPT("    ",INDEX(tsk_Level,GanttView[[#This Row],[_Row]])-1)&amp;INDEX(tsk_Name,GanttView[[#This Row],[_Row]]))</f>
        <v/>
      </c>
      <c r="D80" s="117" t="str">
        <f aca="false">IF(IFERROR(INDEX(tsk_Name,GanttView[[#This Row],[_Row]])="",TRUE()),"",IF(INDEX(tsk_IsSummary,GanttView[[#This Row],[_Row]]),NETWORKDAYS.INTL(INDEX(tsk_FcStart,GanttView[[#This Row],[_Row]]),INDEX(tsk_FcFinish,GanttView[[#This Row],[_Row]]),WorkWeek,Holidays),N(INDEX(tsk_Duration,GanttView[[#This Row],[_Row]]))))</f>
        <v/>
      </c>
      <c r="E80" s="119" t="str">
        <f aca="false">IF(IFERROR(INDEX(tsk_Name,GanttView[[#This Row],[_Row]])="",TRUE()),"",INDEX(tsk_PlanStart,GanttView[[#This Row],[_Row]]))</f>
        <v/>
      </c>
      <c r="F80" s="119" t="str">
        <f aca="false">IF(IFERROR(INDEX(tsk_Name,GanttView[[#This Row],[_Row]])="",TRUE()),"",INDEX(tsk_PlanFinish,GanttView[[#This Row],[_Row]]))</f>
        <v/>
      </c>
      <c r="G80" s="119" t="str">
        <f aca="false">IF(IFERROR(INDEX(tsk_Name,GanttView[[#This Row],[_Row]])="",TRUE()),"",INDEX(tsk_FcStart,GanttView[[#This Row],[_Row]]))</f>
        <v/>
      </c>
      <c r="H80" s="119" t="str">
        <f aca="false">IF(IFERROR(INDEX(tsk_Name,GanttView[[#This Row],[_Row]])="",TRUE()),"",INDEX(tsk_FcFinish,GanttView[[#This Row],[_Row]]))</f>
        <v/>
      </c>
      <c r="I80" s="120" t="str">
        <f aca="false">IF(IFERROR(INDEX(tsk_Name,GanttView[[#This Row],[_Row]])="",TRUE()),"",INDEX(tsk_Progress,GanttView[[#This Row],[_Row]]))</f>
        <v/>
      </c>
      <c r="J80" s="118" t="str">
        <f aca="false">IF(IFERROR(INDEX(tsk_Name,GanttView[[#This Row],[_Row]])="",TRUE()),"",INDEX(tsk_Resource,GanttView[[#This Row],[_Row]])&amp;"")</f>
        <v/>
      </c>
      <c r="K80" s="121" t="str">
        <f aca="false">IF(IFERROR(INDEX(tsk_Name,GanttView[[#This Row],[_Row]])="",TRUE()),"",INDEX(tsk_Status,GanttView[[#This Row],[_Row]]))</f>
        <v/>
      </c>
      <c r="L80" s="122" t="n">
        <f aca="false">ROW()-ROW(GanttView[[#Headers],[ID]])</f>
        <v>75</v>
      </c>
      <c r="M80" s="123" t="b">
        <f aca="false">IF(IFERROR(INDEX(tsk_Name,GanttView[[#This Row],[_Row]])="",TRUE()),FALSE(),INDEX(tsk_IsSummary,GanttView[[#This Row],[_Row]]))</f>
        <v>0</v>
      </c>
      <c r="N80" s="123" t="b">
        <f aca="false">IF(IFERROR(INDEX(tsk_Name,GanttView[[#This Row],[_Row]])="",TRUE()),FALSE(),AND(INDEX(tsk_IsLeaf,GanttView[[#This Row],[_Row]])=1,N(INDEX(tsk_Duration,GanttView[[#This Row],[_Row]]))=0))</f>
        <v>0</v>
      </c>
      <c r="O80" s="124" t="n">
        <f aca="false">IF(IFERROR(INDEX(tsk_Name,GanttView[[#This Row],[_Row]])="",TRUE()),0,IF(AND(INDEX(tsk_IsLeaf,GanttView[[#This Row],[_Row]])=1,NOT(GanttView[[#This Row],[_IsMilestone]]),N(GanttView[[#This Row],[%]])&gt;0),GanttView[[#This Row],[Forecast Start]],0))</f>
        <v>0</v>
      </c>
      <c r="P80" s="124" t="n">
        <f aca="false">IF(GanttView[[#This Row],[_DoneFrom]]=0,0,IF(GanttView[[#This Row],[%]]&gt;=1,GanttView[[#This Row],[Forecast Finish]],MAX(GanttView[[#This Row],[_DoneFrom]],GanttView[[#This Row],[Forecast Start]]+ROUND((GanttView[[#This Row],[Forecast Finish]]-GanttView[[#This Row],[Forecast Start]]+1)*GanttView[[#This Row],[%]],0)-1)))</f>
        <v>0</v>
      </c>
      <c r="Q80" s="124" t="n">
        <f aca="false">IF(IFERROR(INDEX(tsk_Name,GanttView[[#This Row],[_Row]])="",TRUE()),0,IF(OR(INDEX(tsk_IsLeaf,GanttView[[#This Row],[_Row]])&lt;&gt;1,GanttView[[#This Row],[_IsMilestone]],N(GanttView[[#This Row],[%]])&gt;=1),0,IF(GanttView[[#This Row],[_DoneTo]]&gt;0,GanttView[[#This Row],[_DoneTo]]+1,GanttView[[#This Row],[Forecast Start]])))</f>
        <v>0</v>
      </c>
      <c r="R80" s="124" t="n">
        <f aca="false">IF(GanttView[[#This Row],[_RemFrom]]=0,0,GanttView[[#This Row],[Forecast Finish]])</f>
        <v>0</v>
      </c>
      <c r="S80" s="123" t="b">
        <f aca="false">IF(IFERROR(INDEX(tsk_Name,GanttView[[#This Row],[_Row]])="",TRUE()),FALSE(),N(INDEX(tsk_Variance,GanttView[[#This Row],[_Row]]))&gt;0)</f>
        <v>0</v>
      </c>
      <c r="T80" s="124" t="n">
        <f aca="false">IF(IFERROR(INDEX(tsk_Name,GanttView[[#This Row],[_Row]])="",TRUE()),0,N(INDEX(tsk_Deadline,GanttView[[#This Row],[_Row]])))</f>
        <v>0</v>
      </c>
      <c r="U80" s="123" t="b">
        <f aca="false">IF(IFERROR(INDEX(tsk_Name,GanttView[[#This Row],[_Row]])="",TRUE()),FALSE(),INDEX(tsk_Critical,GanttView[[#This Row],[_Row]])="Yes")</f>
        <v>0</v>
      </c>
    </row>
    <row r="81" customFormat="false" ht="15" hidden="false" customHeight="false" outlineLevel="0" collapsed="false">
      <c r="A81" s="117" t="str">
        <f aca="false">IF(IFERROR(INDEX(tsk_Name,GanttView[[#This Row],[_Row]])="",TRUE()),"",INDEX(tsk_ID,GanttView[[#This Row],[_Row]]))</f>
        <v/>
      </c>
      <c r="B81" s="117" t="str">
        <f aca="false">IF(IFERROR(INDEX(tsk_Name,GanttView[[#This Row],[_Row]])="",TRUE()),"",INDEX(tsk_WBS,GanttView[[#This Row],[_Row]]))</f>
        <v/>
      </c>
      <c r="C81" s="118" t="str">
        <f aca="false">IF(IFERROR(INDEX(tsk_Name,GanttView[[#This Row],[_Row]])="",TRUE()),"",REPT("    ",INDEX(tsk_Level,GanttView[[#This Row],[_Row]])-1)&amp;INDEX(tsk_Name,GanttView[[#This Row],[_Row]]))</f>
        <v/>
      </c>
      <c r="D81" s="117" t="str">
        <f aca="false">IF(IFERROR(INDEX(tsk_Name,GanttView[[#This Row],[_Row]])="",TRUE()),"",IF(INDEX(tsk_IsSummary,GanttView[[#This Row],[_Row]]),NETWORKDAYS.INTL(INDEX(tsk_FcStart,GanttView[[#This Row],[_Row]]),INDEX(tsk_FcFinish,GanttView[[#This Row],[_Row]]),WorkWeek,Holidays),N(INDEX(tsk_Duration,GanttView[[#This Row],[_Row]]))))</f>
        <v/>
      </c>
      <c r="E81" s="119" t="str">
        <f aca="false">IF(IFERROR(INDEX(tsk_Name,GanttView[[#This Row],[_Row]])="",TRUE()),"",INDEX(tsk_PlanStart,GanttView[[#This Row],[_Row]]))</f>
        <v/>
      </c>
      <c r="F81" s="119" t="str">
        <f aca="false">IF(IFERROR(INDEX(tsk_Name,GanttView[[#This Row],[_Row]])="",TRUE()),"",INDEX(tsk_PlanFinish,GanttView[[#This Row],[_Row]]))</f>
        <v/>
      </c>
      <c r="G81" s="119" t="str">
        <f aca="false">IF(IFERROR(INDEX(tsk_Name,GanttView[[#This Row],[_Row]])="",TRUE()),"",INDEX(tsk_FcStart,GanttView[[#This Row],[_Row]]))</f>
        <v/>
      </c>
      <c r="H81" s="119" t="str">
        <f aca="false">IF(IFERROR(INDEX(tsk_Name,GanttView[[#This Row],[_Row]])="",TRUE()),"",INDEX(tsk_FcFinish,GanttView[[#This Row],[_Row]]))</f>
        <v/>
      </c>
      <c r="I81" s="120" t="str">
        <f aca="false">IF(IFERROR(INDEX(tsk_Name,GanttView[[#This Row],[_Row]])="",TRUE()),"",INDEX(tsk_Progress,GanttView[[#This Row],[_Row]]))</f>
        <v/>
      </c>
      <c r="J81" s="118" t="str">
        <f aca="false">IF(IFERROR(INDEX(tsk_Name,GanttView[[#This Row],[_Row]])="",TRUE()),"",INDEX(tsk_Resource,GanttView[[#This Row],[_Row]])&amp;"")</f>
        <v/>
      </c>
      <c r="K81" s="121" t="str">
        <f aca="false">IF(IFERROR(INDEX(tsk_Name,GanttView[[#This Row],[_Row]])="",TRUE()),"",INDEX(tsk_Status,GanttView[[#This Row],[_Row]]))</f>
        <v/>
      </c>
      <c r="L81" s="122" t="n">
        <f aca="false">ROW()-ROW(GanttView[[#Headers],[ID]])</f>
        <v>76</v>
      </c>
      <c r="M81" s="123" t="b">
        <f aca="false">IF(IFERROR(INDEX(tsk_Name,GanttView[[#This Row],[_Row]])="",TRUE()),FALSE(),INDEX(tsk_IsSummary,GanttView[[#This Row],[_Row]]))</f>
        <v>0</v>
      </c>
      <c r="N81" s="123" t="b">
        <f aca="false">IF(IFERROR(INDEX(tsk_Name,GanttView[[#This Row],[_Row]])="",TRUE()),FALSE(),AND(INDEX(tsk_IsLeaf,GanttView[[#This Row],[_Row]])=1,N(INDEX(tsk_Duration,GanttView[[#This Row],[_Row]]))=0))</f>
        <v>0</v>
      </c>
      <c r="O81" s="124" t="n">
        <f aca="false">IF(IFERROR(INDEX(tsk_Name,GanttView[[#This Row],[_Row]])="",TRUE()),0,IF(AND(INDEX(tsk_IsLeaf,GanttView[[#This Row],[_Row]])=1,NOT(GanttView[[#This Row],[_IsMilestone]]),N(GanttView[[#This Row],[%]])&gt;0),GanttView[[#This Row],[Forecast Start]],0))</f>
        <v>0</v>
      </c>
      <c r="P81" s="124" t="n">
        <f aca="false">IF(GanttView[[#This Row],[_DoneFrom]]=0,0,IF(GanttView[[#This Row],[%]]&gt;=1,GanttView[[#This Row],[Forecast Finish]],MAX(GanttView[[#This Row],[_DoneFrom]],GanttView[[#This Row],[Forecast Start]]+ROUND((GanttView[[#This Row],[Forecast Finish]]-GanttView[[#This Row],[Forecast Start]]+1)*GanttView[[#This Row],[%]],0)-1)))</f>
        <v>0</v>
      </c>
      <c r="Q81" s="124" t="n">
        <f aca="false">IF(IFERROR(INDEX(tsk_Name,GanttView[[#This Row],[_Row]])="",TRUE()),0,IF(OR(INDEX(tsk_IsLeaf,GanttView[[#This Row],[_Row]])&lt;&gt;1,GanttView[[#This Row],[_IsMilestone]],N(GanttView[[#This Row],[%]])&gt;=1),0,IF(GanttView[[#This Row],[_DoneTo]]&gt;0,GanttView[[#This Row],[_DoneTo]]+1,GanttView[[#This Row],[Forecast Start]])))</f>
        <v>0</v>
      </c>
      <c r="R81" s="124" t="n">
        <f aca="false">IF(GanttView[[#This Row],[_RemFrom]]=0,0,GanttView[[#This Row],[Forecast Finish]])</f>
        <v>0</v>
      </c>
      <c r="S81" s="123" t="b">
        <f aca="false">IF(IFERROR(INDEX(tsk_Name,GanttView[[#This Row],[_Row]])="",TRUE()),FALSE(),N(INDEX(tsk_Variance,GanttView[[#This Row],[_Row]]))&gt;0)</f>
        <v>0</v>
      </c>
      <c r="T81" s="124" t="n">
        <f aca="false">IF(IFERROR(INDEX(tsk_Name,GanttView[[#This Row],[_Row]])="",TRUE()),0,N(INDEX(tsk_Deadline,GanttView[[#This Row],[_Row]])))</f>
        <v>0</v>
      </c>
      <c r="U81" s="123" t="b">
        <f aca="false">IF(IFERROR(INDEX(tsk_Name,GanttView[[#This Row],[_Row]])="",TRUE()),FALSE(),INDEX(tsk_Critical,GanttView[[#This Row],[_Row]])="Yes")</f>
        <v>0</v>
      </c>
    </row>
    <row r="82" customFormat="false" ht="15" hidden="false" customHeight="false" outlineLevel="0" collapsed="false">
      <c r="A82" s="117" t="str">
        <f aca="false">IF(IFERROR(INDEX(tsk_Name,GanttView[[#This Row],[_Row]])="",TRUE()),"",INDEX(tsk_ID,GanttView[[#This Row],[_Row]]))</f>
        <v/>
      </c>
      <c r="B82" s="117" t="str">
        <f aca="false">IF(IFERROR(INDEX(tsk_Name,GanttView[[#This Row],[_Row]])="",TRUE()),"",INDEX(tsk_WBS,GanttView[[#This Row],[_Row]]))</f>
        <v/>
      </c>
      <c r="C82" s="118" t="str">
        <f aca="false">IF(IFERROR(INDEX(tsk_Name,GanttView[[#This Row],[_Row]])="",TRUE()),"",REPT("    ",INDEX(tsk_Level,GanttView[[#This Row],[_Row]])-1)&amp;INDEX(tsk_Name,GanttView[[#This Row],[_Row]]))</f>
        <v/>
      </c>
      <c r="D82" s="117" t="str">
        <f aca="false">IF(IFERROR(INDEX(tsk_Name,GanttView[[#This Row],[_Row]])="",TRUE()),"",IF(INDEX(tsk_IsSummary,GanttView[[#This Row],[_Row]]),NETWORKDAYS.INTL(INDEX(tsk_FcStart,GanttView[[#This Row],[_Row]]),INDEX(tsk_FcFinish,GanttView[[#This Row],[_Row]]),WorkWeek,Holidays),N(INDEX(tsk_Duration,GanttView[[#This Row],[_Row]]))))</f>
        <v/>
      </c>
      <c r="E82" s="119" t="str">
        <f aca="false">IF(IFERROR(INDEX(tsk_Name,GanttView[[#This Row],[_Row]])="",TRUE()),"",INDEX(tsk_PlanStart,GanttView[[#This Row],[_Row]]))</f>
        <v/>
      </c>
      <c r="F82" s="119" t="str">
        <f aca="false">IF(IFERROR(INDEX(tsk_Name,GanttView[[#This Row],[_Row]])="",TRUE()),"",INDEX(tsk_PlanFinish,GanttView[[#This Row],[_Row]]))</f>
        <v/>
      </c>
      <c r="G82" s="119" t="str">
        <f aca="false">IF(IFERROR(INDEX(tsk_Name,GanttView[[#This Row],[_Row]])="",TRUE()),"",INDEX(tsk_FcStart,GanttView[[#This Row],[_Row]]))</f>
        <v/>
      </c>
      <c r="H82" s="119" t="str">
        <f aca="false">IF(IFERROR(INDEX(tsk_Name,GanttView[[#This Row],[_Row]])="",TRUE()),"",INDEX(tsk_FcFinish,GanttView[[#This Row],[_Row]]))</f>
        <v/>
      </c>
      <c r="I82" s="120" t="str">
        <f aca="false">IF(IFERROR(INDEX(tsk_Name,GanttView[[#This Row],[_Row]])="",TRUE()),"",INDEX(tsk_Progress,GanttView[[#This Row],[_Row]]))</f>
        <v/>
      </c>
      <c r="J82" s="118" t="str">
        <f aca="false">IF(IFERROR(INDEX(tsk_Name,GanttView[[#This Row],[_Row]])="",TRUE()),"",INDEX(tsk_Resource,GanttView[[#This Row],[_Row]])&amp;"")</f>
        <v/>
      </c>
      <c r="K82" s="121" t="str">
        <f aca="false">IF(IFERROR(INDEX(tsk_Name,GanttView[[#This Row],[_Row]])="",TRUE()),"",INDEX(tsk_Status,GanttView[[#This Row],[_Row]]))</f>
        <v/>
      </c>
      <c r="L82" s="122" t="n">
        <f aca="false">ROW()-ROW(GanttView[[#Headers],[ID]])</f>
        <v>77</v>
      </c>
      <c r="M82" s="123" t="b">
        <f aca="false">IF(IFERROR(INDEX(tsk_Name,GanttView[[#This Row],[_Row]])="",TRUE()),FALSE(),INDEX(tsk_IsSummary,GanttView[[#This Row],[_Row]]))</f>
        <v>0</v>
      </c>
      <c r="N82" s="123" t="b">
        <f aca="false">IF(IFERROR(INDEX(tsk_Name,GanttView[[#This Row],[_Row]])="",TRUE()),FALSE(),AND(INDEX(tsk_IsLeaf,GanttView[[#This Row],[_Row]])=1,N(INDEX(tsk_Duration,GanttView[[#This Row],[_Row]]))=0))</f>
        <v>0</v>
      </c>
      <c r="O82" s="124" t="n">
        <f aca="false">IF(IFERROR(INDEX(tsk_Name,GanttView[[#This Row],[_Row]])="",TRUE()),0,IF(AND(INDEX(tsk_IsLeaf,GanttView[[#This Row],[_Row]])=1,NOT(GanttView[[#This Row],[_IsMilestone]]),N(GanttView[[#This Row],[%]])&gt;0),GanttView[[#This Row],[Forecast Start]],0))</f>
        <v>0</v>
      </c>
      <c r="P82" s="124" t="n">
        <f aca="false">IF(GanttView[[#This Row],[_DoneFrom]]=0,0,IF(GanttView[[#This Row],[%]]&gt;=1,GanttView[[#This Row],[Forecast Finish]],MAX(GanttView[[#This Row],[_DoneFrom]],GanttView[[#This Row],[Forecast Start]]+ROUND((GanttView[[#This Row],[Forecast Finish]]-GanttView[[#This Row],[Forecast Start]]+1)*GanttView[[#This Row],[%]],0)-1)))</f>
        <v>0</v>
      </c>
      <c r="Q82" s="124" t="n">
        <f aca="false">IF(IFERROR(INDEX(tsk_Name,GanttView[[#This Row],[_Row]])="",TRUE()),0,IF(OR(INDEX(tsk_IsLeaf,GanttView[[#This Row],[_Row]])&lt;&gt;1,GanttView[[#This Row],[_IsMilestone]],N(GanttView[[#This Row],[%]])&gt;=1),0,IF(GanttView[[#This Row],[_DoneTo]]&gt;0,GanttView[[#This Row],[_DoneTo]]+1,GanttView[[#This Row],[Forecast Start]])))</f>
        <v>0</v>
      </c>
      <c r="R82" s="124" t="n">
        <f aca="false">IF(GanttView[[#This Row],[_RemFrom]]=0,0,GanttView[[#This Row],[Forecast Finish]])</f>
        <v>0</v>
      </c>
      <c r="S82" s="123" t="b">
        <f aca="false">IF(IFERROR(INDEX(tsk_Name,GanttView[[#This Row],[_Row]])="",TRUE()),FALSE(),N(INDEX(tsk_Variance,GanttView[[#This Row],[_Row]]))&gt;0)</f>
        <v>0</v>
      </c>
      <c r="T82" s="124" t="n">
        <f aca="false">IF(IFERROR(INDEX(tsk_Name,GanttView[[#This Row],[_Row]])="",TRUE()),0,N(INDEX(tsk_Deadline,GanttView[[#This Row],[_Row]])))</f>
        <v>0</v>
      </c>
      <c r="U82" s="123" t="b">
        <f aca="false">IF(IFERROR(INDEX(tsk_Name,GanttView[[#This Row],[_Row]])="",TRUE()),FALSE(),INDEX(tsk_Critical,GanttView[[#This Row],[_Row]])="Yes")</f>
        <v>0</v>
      </c>
    </row>
    <row r="83" customFormat="false" ht="15" hidden="false" customHeight="false" outlineLevel="0" collapsed="false">
      <c r="A83" s="117" t="str">
        <f aca="false">IF(IFERROR(INDEX(tsk_Name,GanttView[[#This Row],[_Row]])="",TRUE()),"",INDEX(tsk_ID,GanttView[[#This Row],[_Row]]))</f>
        <v/>
      </c>
      <c r="B83" s="117" t="str">
        <f aca="false">IF(IFERROR(INDEX(tsk_Name,GanttView[[#This Row],[_Row]])="",TRUE()),"",INDEX(tsk_WBS,GanttView[[#This Row],[_Row]]))</f>
        <v/>
      </c>
      <c r="C83" s="118" t="str">
        <f aca="false">IF(IFERROR(INDEX(tsk_Name,GanttView[[#This Row],[_Row]])="",TRUE()),"",REPT("    ",INDEX(tsk_Level,GanttView[[#This Row],[_Row]])-1)&amp;INDEX(tsk_Name,GanttView[[#This Row],[_Row]]))</f>
        <v/>
      </c>
      <c r="D83" s="117" t="str">
        <f aca="false">IF(IFERROR(INDEX(tsk_Name,GanttView[[#This Row],[_Row]])="",TRUE()),"",IF(INDEX(tsk_IsSummary,GanttView[[#This Row],[_Row]]),NETWORKDAYS.INTL(INDEX(tsk_FcStart,GanttView[[#This Row],[_Row]]),INDEX(tsk_FcFinish,GanttView[[#This Row],[_Row]]),WorkWeek,Holidays),N(INDEX(tsk_Duration,GanttView[[#This Row],[_Row]]))))</f>
        <v/>
      </c>
      <c r="E83" s="119" t="str">
        <f aca="false">IF(IFERROR(INDEX(tsk_Name,GanttView[[#This Row],[_Row]])="",TRUE()),"",INDEX(tsk_PlanStart,GanttView[[#This Row],[_Row]]))</f>
        <v/>
      </c>
      <c r="F83" s="119" t="str">
        <f aca="false">IF(IFERROR(INDEX(tsk_Name,GanttView[[#This Row],[_Row]])="",TRUE()),"",INDEX(tsk_PlanFinish,GanttView[[#This Row],[_Row]]))</f>
        <v/>
      </c>
      <c r="G83" s="119" t="str">
        <f aca="false">IF(IFERROR(INDEX(tsk_Name,GanttView[[#This Row],[_Row]])="",TRUE()),"",INDEX(tsk_FcStart,GanttView[[#This Row],[_Row]]))</f>
        <v/>
      </c>
      <c r="H83" s="119" t="str">
        <f aca="false">IF(IFERROR(INDEX(tsk_Name,GanttView[[#This Row],[_Row]])="",TRUE()),"",INDEX(tsk_FcFinish,GanttView[[#This Row],[_Row]]))</f>
        <v/>
      </c>
      <c r="I83" s="120" t="str">
        <f aca="false">IF(IFERROR(INDEX(tsk_Name,GanttView[[#This Row],[_Row]])="",TRUE()),"",INDEX(tsk_Progress,GanttView[[#This Row],[_Row]]))</f>
        <v/>
      </c>
      <c r="J83" s="118" t="str">
        <f aca="false">IF(IFERROR(INDEX(tsk_Name,GanttView[[#This Row],[_Row]])="",TRUE()),"",INDEX(tsk_Resource,GanttView[[#This Row],[_Row]])&amp;"")</f>
        <v/>
      </c>
      <c r="K83" s="121" t="str">
        <f aca="false">IF(IFERROR(INDEX(tsk_Name,GanttView[[#This Row],[_Row]])="",TRUE()),"",INDEX(tsk_Status,GanttView[[#This Row],[_Row]]))</f>
        <v/>
      </c>
      <c r="L83" s="122" t="n">
        <f aca="false">ROW()-ROW(GanttView[[#Headers],[ID]])</f>
        <v>78</v>
      </c>
      <c r="M83" s="123" t="b">
        <f aca="false">IF(IFERROR(INDEX(tsk_Name,GanttView[[#This Row],[_Row]])="",TRUE()),FALSE(),INDEX(tsk_IsSummary,GanttView[[#This Row],[_Row]]))</f>
        <v>0</v>
      </c>
      <c r="N83" s="123" t="b">
        <f aca="false">IF(IFERROR(INDEX(tsk_Name,GanttView[[#This Row],[_Row]])="",TRUE()),FALSE(),AND(INDEX(tsk_IsLeaf,GanttView[[#This Row],[_Row]])=1,N(INDEX(tsk_Duration,GanttView[[#This Row],[_Row]]))=0))</f>
        <v>0</v>
      </c>
      <c r="O83" s="124" t="n">
        <f aca="false">IF(IFERROR(INDEX(tsk_Name,GanttView[[#This Row],[_Row]])="",TRUE()),0,IF(AND(INDEX(tsk_IsLeaf,GanttView[[#This Row],[_Row]])=1,NOT(GanttView[[#This Row],[_IsMilestone]]),N(GanttView[[#This Row],[%]])&gt;0),GanttView[[#This Row],[Forecast Start]],0))</f>
        <v>0</v>
      </c>
      <c r="P83" s="124" t="n">
        <f aca="false">IF(GanttView[[#This Row],[_DoneFrom]]=0,0,IF(GanttView[[#This Row],[%]]&gt;=1,GanttView[[#This Row],[Forecast Finish]],MAX(GanttView[[#This Row],[_DoneFrom]],GanttView[[#This Row],[Forecast Start]]+ROUND((GanttView[[#This Row],[Forecast Finish]]-GanttView[[#This Row],[Forecast Start]]+1)*GanttView[[#This Row],[%]],0)-1)))</f>
        <v>0</v>
      </c>
      <c r="Q83" s="124" t="n">
        <f aca="false">IF(IFERROR(INDEX(tsk_Name,GanttView[[#This Row],[_Row]])="",TRUE()),0,IF(OR(INDEX(tsk_IsLeaf,GanttView[[#This Row],[_Row]])&lt;&gt;1,GanttView[[#This Row],[_IsMilestone]],N(GanttView[[#This Row],[%]])&gt;=1),0,IF(GanttView[[#This Row],[_DoneTo]]&gt;0,GanttView[[#This Row],[_DoneTo]]+1,GanttView[[#This Row],[Forecast Start]])))</f>
        <v>0</v>
      </c>
      <c r="R83" s="124" t="n">
        <f aca="false">IF(GanttView[[#This Row],[_RemFrom]]=0,0,GanttView[[#This Row],[Forecast Finish]])</f>
        <v>0</v>
      </c>
      <c r="S83" s="123" t="b">
        <f aca="false">IF(IFERROR(INDEX(tsk_Name,GanttView[[#This Row],[_Row]])="",TRUE()),FALSE(),N(INDEX(tsk_Variance,GanttView[[#This Row],[_Row]]))&gt;0)</f>
        <v>0</v>
      </c>
      <c r="T83" s="124" t="n">
        <f aca="false">IF(IFERROR(INDEX(tsk_Name,GanttView[[#This Row],[_Row]])="",TRUE()),0,N(INDEX(tsk_Deadline,GanttView[[#This Row],[_Row]])))</f>
        <v>0</v>
      </c>
      <c r="U83" s="123" t="b">
        <f aca="false">IF(IFERROR(INDEX(tsk_Name,GanttView[[#This Row],[_Row]])="",TRUE()),FALSE(),INDEX(tsk_Critical,GanttView[[#This Row],[_Row]])="Yes")</f>
        <v>0</v>
      </c>
    </row>
    <row r="84" customFormat="false" ht="15" hidden="false" customHeight="false" outlineLevel="0" collapsed="false">
      <c r="A84" s="117" t="str">
        <f aca="false">IF(IFERROR(INDEX(tsk_Name,GanttView[[#This Row],[_Row]])="",TRUE()),"",INDEX(tsk_ID,GanttView[[#This Row],[_Row]]))</f>
        <v/>
      </c>
      <c r="B84" s="117" t="str">
        <f aca="false">IF(IFERROR(INDEX(tsk_Name,GanttView[[#This Row],[_Row]])="",TRUE()),"",INDEX(tsk_WBS,GanttView[[#This Row],[_Row]]))</f>
        <v/>
      </c>
      <c r="C84" s="118" t="str">
        <f aca="false">IF(IFERROR(INDEX(tsk_Name,GanttView[[#This Row],[_Row]])="",TRUE()),"",REPT("    ",INDEX(tsk_Level,GanttView[[#This Row],[_Row]])-1)&amp;INDEX(tsk_Name,GanttView[[#This Row],[_Row]]))</f>
        <v/>
      </c>
      <c r="D84" s="117" t="str">
        <f aca="false">IF(IFERROR(INDEX(tsk_Name,GanttView[[#This Row],[_Row]])="",TRUE()),"",IF(INDEX(tsk_IsSummary,GanttView[[#This Row],[_Row]]),NETWORKDAYS.INTL(INDEX(tsk_FcStart,GanttView[[#This Row],[_Row]]),INDEX(tsk_FcFinish,GanttView[[#This Row],[_Row]]),WorkWeek,Holidays),N(INDEX(tsk_Duration,GanttView[[#This Row],[_Row]]))))</f>
        <v/>
      </c>
      <c r="E84" s="119" t="str">
        <f aca="false">IF(IFERROR(INDEX(tsk_Name,GanttView[[#This Row],[_Row]])="",TRUE()),"",INDEX(tsk_PlanStart,GanttView[[#This Row],[_Row]]))</f>
        <v/>
      </c>
      <c r="F84" s="119" t="str">
        <f aca="false">IF(IFERROR(INDEX(tsk_Name,GanttView[[#This Row],[_Row]])="",TRUE()),"",INDEX(tsk_PlanFinish,GanttView[[#This Row],[_Row]]))</f>
        <v/>
      </c>
      <c r="G84" s="119" t="str">
        <f aca="false">IF(IFERROR(INDEX(tsk_Name,GanttView[[#This Row],[_Row]])="",TRUE()),"",INDEX(tsk_FcStart,GanttView[[#This Row],[_Row]]))</f>
        <v/>
      </c>
      <c r="H84" s="119" t="str">
        <f aca="false">IF(IFERROR(INDEX(tsk_Name,GanttView[[#This Row],[_Row]])="",TRUE()),"",INDEX(tsk_FcFinish,GanttView[[#This Row],[_Row]]))</f>
        <v/>
      </c>
      <c r="I84" s="120" t="str">
        <f aca="false">IF(IFERROR(INDEX(tsk_Name,GanttView[[#This Row],[_Row]])="",TRUE()),"",INDEX(tsk_Progress,GanttView[[#This Row],[_Row]]))</f>
        <v/>
      </c>
      <c r="J84" s="118" t="str">
        <f aca="false">IF(IFERROR(INDEX(tsk_Name,GanttView[[#This Row],[_Row]])="",TRUE()),"",INDEX(tsk_Resource,GanttView[[#This Row],[_Row]])&amp;"")</f>
        <v/>
      </c>
      <c r="K84" s="121" t="str">
        <f aca="false">IF(IFERROR(INDEX(tsk_Name,GanttView[[#This Row],[_Row]])="",TRUE()),"",INDEX(tsk_Status,GanttView[[#This Row],[_Row]]))</f>
        <v/>
      </c>
      <c r="L84" s="122" t="n">
        <f aca="false">ROW()-ROW(GanttView[[#Headers],[ID]])</f>
        <v>79</v>
      </c>
      <c r="M84" s="123" t="b">
        <f aca="false">IF(IFERROR(INDEX(tsk_Name,GanttView[[#This Row],[_Row]])="",TRUE()),FALSE(),INDEX(tsk_IsSummary,GanttView[[#This Row],[_Row]]))</f>
        <v>0</v>
      </c>
      <c r="N84" s="123" t="b">
        <f aca="false">IF(IFERROR(INDEX(tsk_Name,GanttView[[#This Row],[_Row]])="",TRUE()),FALSE(),AND(INDEX(tsk_IsLeaf,GanttView[[#This Row],[_Row]])=1,N(INDEX(tsk_Duration,GanttView[[#This Row],[_Row]]))=0))</f>
        <v>0</v>
      </c>
      <c r="O84" s="124" t="n">
        <f aca="false">IF(IFERROR(INDEX(tsk_Name,GanttView[[#This Row],[_Row]])="",TRUE()),0,IF(AND(INDEX(tsk_IsLeaf,GanttView[[#This Row],[_Row]])=1,NOT(GanttView[[#This Row],[_IsMilestone]]),N(GanttView[[#This Row],[%]])&gt;0),GanttView[[#This Row],[Forecast Start]],0))</f>
        <v>0</v>
      </c>
      <c r="P84" s="124" t="n">
        <f aca="false">IF(GanttView[[#This Row],[_DoneFrom]]=0,0,IF(GanttView[[#This Row],[%]]&gt;=1,GanttView[[#This Row],[Forecast Finish]],MAX(GanttView[[#This Row],[_DoneFrom]],GanttView[[#This Row],[Forecast Start]]+ROUND((GanttView[[#This Row],[Forecast Finish]]-GanttView[[#This Row],[Forecast Start]]+1)*GanttView[[#This Row],[%]],0)-1)))</f>
        <v>0</v>
      </c>
      <c r="Q84" s="124" t="n">
        <f aca="false">IF(IFERROR(INDEX(tsk_Name,GanttView[[#This Row],[_Row]])="",TRUE()),0,IF(OR(INDEX(tsk_IsLeaf,GanttView[[#This Row],[_Row]])&lt;&gt;1,GanttView[[#This Row],[_IsMilestone]],N(GanttView[[#This Row],[%]])&gt;=1),0,IF(GanttView[[#This Row],[_DoneTo]]&gt;0,GanttView[[#This Row],[_DoneTo]]+1,GanttView[[#This Row],[Forecast Start]])))</f>
        <v>0</v>
      </c>
      <c r="R84" s="124" t="n">
        <f aca="false">IF(GanttView[[#This Row],[_RemFrom]]=0,0,GanttView[[#This Row],[Forecast Finish]])</f>
        <v>0</v>
      </c>
      <c r="S84" s="123" t="b">
        <f aca="false">IF(IFERROR(INDEX(tsk_Name,GanttView[[#This Row],[_Row]])="",TRUE()),FALSE(),N(INDEX(tsk_Variance,GanttView[[#This Row],[_Row]]))&gt;0)</f>
        <v>0</v>
      </c>
      <c r="T84" s="124" t="n">
        <f aca="false">IF(IFERROR(INDEX(tsk_Name,GanttView[[#This Row],[_Row]])="",TRUE()),0,N(INDEX(tsk_Deadline,GanttView[[#This Row],[_Row]])))</f>
        <v>0</v>
      </c>
      <c r="U84" s="123" t="b">
        <f aca="false">IF(IFERROR(INDEX(tsk_Name,GanttView[[#This Row],[_Row]])="",TRUE()),FALSE(),INDEX(tsk_Critical,GanttView[[#This Row],[_Row]])="Yes")</f>
        <v>0</v>
      </c>
    </row>
    <row r="85" customFormat="false" ht="15" hidden="false" customHeight="false" outlineLevel="0" collapsed="false">
      <c r="A85" s="117" t="str">
        <f aca="false">IF(IFERROR(INDEX(tsk_Name,GanttView[[#This Row],[_Row]])="",TRUE()),"",INDEX(tsk_ID,GanttView[[#This Row],[_Row]]))</f>
        <v/>
      </c>
      <c r="B85" s="117" t="str">
        <f aca="false">IF(IFERROR(INDEX(tsk_Name,GanttView[[#This Row],[_Row]])="",TRUE()),"",INDEX(tsk_WBS,GanttView[[#This Row],[_Row]]))</f>
        <v/>
      </c>
      <c r="C85" s="118" t="str">
        <f aca="false">IF(IFERROR(INDEX(tsk_Name,GanttView[[#This Row],[_Row]])="",TRUE()),"",REPT("    ",INDEX(tsk_Level,GanttView[[#This Row],[_Row]])-1)&amp;INDEX(tsk_Name,GanttView[[#This Row],[_Row]]))</f>
        <v/>
      </c>
      <c r="D85" s="117" t="str">
        <f aca="false">IF(IFERROR(INDEX(tsk_Name,GanttView[[#This Row],[_Row]])="",TRUE()),"",IF(INDEX(tsk_IsSummary,GanttView[[#This Row],[_Row]]),NETWORKDAYS.INTL(INDEX(tsk_FcStart,GanttView[[#This Row],[_Row]]),INDEX(tsk_FcFinish,GanttView[[#This Row],[_Row]]),WorkWeek,Holidays),N(INDEX(tsk_Duration,GanttView[[#This Row],[_Row]]))))</f>
        <v/>
      </c>
      <c r="E85" s="119" t="str">
        <f aca="false">IF(IFERROR(INDEX(tsk_Name,GanttView[[#This Row],[_Row]])="",TRUE()),"",INDEX(tsk_PlanStart,GanttView[[#This Row],[_Row]]))</f>
        <v/>
      </c>
      <c r="F85" s="119" t="str">
        <f aca="false">IF(IFERROR(INDEX(tsk_Name,GanttView[[#This Row],[_Row]])="",TRUE()),"",INDEX(tsk_PlanFinish,GanttView[[#This Row],[_Row]]))</f>
        <v/>
      </c>
      <c r="G85" s="119" t="str">
        <f aca="false">IF(IFERROR(INDEX(tsk_Name,GanttView[[#This Row],[_Row]])="",TRUE()),"",INDEX(tsk_FcStart,GanttView[[#This Row],[_Row]]))</f>
        <v/>
      </c>
      <c r="H85" s="119" t="str">
        <f aca="false">IF(IFERROR(INDEX(tsk_Name,GanttView[[#This Row],[_Row]])="",TRUE()),"",INDEX(tsk_FcFinish,GanttView[[#This Row],[_Row]]))</f>
        <v/>
      </c>
      <c r="I85" s="120" t="str">
        <f aca="false">IF(IFERROR(INDEX(tsk_Name,GanttView[[#This Row],[_Row]])="",TRUE()),"",INDEX(tsk_Progress,GanttView[[#This Row],[_Row]]))</f>
        <v/>
      </c>
      <c r="J85" s="118" t="str">
        <f aca="false">IF(IFERROR(INDEX(tsk_Name,GanttView[[#This Row],[_Row]])="",TRUE()),"",INDEX(tsk_Resource,GanttView[[#This Row],[_Row]])&amp;"")</f>
        <v/>
      </c>
      <c r="K85" s="121" t="str">
        <f aca="false">IF(IFERROR(INDEX(tsk_Name,GanttView[[#This Row],[_Row]])="",TRUE()),"",INDEX(tsk_Status,GanttView[[#This Row],[_Row]]))</f>
        <v/>
      </c>
      <c r="L85" s="122" t="n">
        <f aca="false">ROW()-ROW(GanttView[[#Headers],[ID]])</f>
        <v>80</v>
      </c>
      <c r="M85" s="123" t="b">
        <f aca="false">IF(IFERROR(INDEX(tsk_Name,GanttView[[#This Row],[_Row]])="",TRUE()),FALSE(),INDEX(tsk_IsSummary,GanttView[[#This Row],[_Row]]))</f>
        <v>0</v>
      </c>
      <c r="N85" s="123" t="b">
        <f aca="false">IF(IFERROR(INDEX(tsk_Name,GanttView[[#This Row],[_Row]])="",TRUE()),FALSE(),AND(INDEX(tsk_IsLeaf,GanttView[[#This Row],[_Row]])=1,N(INDEX(tsk_Duration,GanttView[[#This Row],[_Row]]))=0))</f>
        <v>0</v>
      </c>
      <c r="O85" s="124" t="n">
        <f aca="false">IF(IFERROR(INDEX(tsk_Name,GanttView[[#This Row],[_Row]])="",TRUE()),0,IF(AND(INDEX(tsk_IsLeaf,GanttView[[#This Row],[_Row]])=1,NOT(GanttView[[#This Row],[_IsMilestone]]),N(GanttView[[#This Row],[%]])&gt;0),GanttView[[#This Row],[Forecast Start]],0))</f>
        <v>0</v>
      </c>
      <c r="P85" s="124" t="n">
        <f aca="false">IF(GanttView[[#This Row],[_DoneFrom]]=0,0,IF(GanttView[[#This Row],[%]]&gt;=1,GanttView[[#This Row],[Forecast Finish]],MAX(GanttView[[#This Row],[_DoneFrom]],GanttView[[#This Row],[Forecast Start]]+ROUND((GanttView[[#This Row],[Forecast Finish]]-GanttView[[#This Row],[Forecast Start]]+1)*GanttView[[#This Row],[%]],0)-1)))</f>
        <v>0</v>
      </c>
      <c r="Q85" s="124" t="n">
        <f aca="false">IF(IFERROR(INDEX(tsk_Name,GanttView[[#This Row],[_Row]])="",TRUE()),0,IF(OR(INDEX(tsk_IsLeaf,GanttView[[#This Row],[_Row]])&lt;&gt;1,GanttView[[#This Row],[_IsMilestone]],N(GanttView[[#This Row],[%]])&gt;=1),0,IF(GanttView[[#This Row],[_DoneTo]]&gt;0,GanttView[[#This Row],[_DoneTo]]+1,GanttView[[#This Row],[Forecast Start]])))</f>
        <v>0</v>
      </c>
      <c r="R85" s="124" t="n">
        <f aca="false">IF(GanttView[[#This Row],[_RemFrom]]=0,0,GanttView[[#This Row],[Forecast Finish]])</f>
        <v>0</v>
      </c>
      <c r="S85" s="123" t="b">
        <f aca="false">IF(IFERROR(INDEX(tsk_Name,GanttView[[#This Row],[_Row]])="",TRUE()),FALSE(),N(INDEX(tsk_Variance,GanttView[[#This Row],[_Row]]))&gt;0)</f>
        <v>0</v>
      </c>
      <c r="T85" s="124" t="n">
        <f aca="false">IF(IFERROR(INDEX(tsk_Name,GanttView[[#This Row],[_Row]])="",TRUE()),0,N(INDEX(tsk_Deadline,GanttView[[#This Row],[_Row]])))</f>
        <v>0</v>
      </c>
      <c r="U85" s="123" t="b">
        <f aca="false">IF(IFERROR(INDEX(tsk_Name,GanttView[[#This Row],[_Row]])="",TRUE()),FALSE(),INDEX(tsk_Critical,GanttView[[#This Row],[_Row]])="Yes")</f>
        <v>0</v>
      </c>
    </row>
    <row r="86" customFormat="false" ht="15" hidden="false" customHeight="false" outlineLevel="0" collapsed="false">
      <c r="A86" s="117" t="str">
        <f aca="false">IF(IFERROR(INDEX(tsk_Name,GanttView[[#This Row],[_Row]])="",TRUE()),"",INDEX(tsk_ID,GanttView[[#This Row],[_Row]]))</f>
        <v/>
      </c>
      <c r="B86" s="117" t="str">
        <f aca="false">IF(IFERROR(INDEX(tsk_Name,GanttView[[#This Row],[_Row]])="",TRUE()),"",INDEX(tsk_WBS,GanttView[[#This Row],[_Row]]))</f>
        <v/>
      </c>
      <c r="C86" s="118" t="str">
        <f aca="false">IF(IFERROR(INDEX(tsk_Name,GanttView[[#This Row],[_Row]])="",TRUE()),"",REPT("    ",INDEX(tsk_Level,GanttView[[#This Row],[_Row]])-1)&amp;INDEX(tsk_Name,GanttView[[#This Row],[_Row]]))</f>
        <v/>
      </c>
      <c r="D86" s="117" t="str">
        <f aca="false">IF(IFERROR(INDEX(tsk_Name,GanttView[[#This Row],[_Row]])="",TRUE()),"",IF(INDEX(tsk_IsSummary,GanttView[[#This Row],[_Row]]),NETWORKDAYS.INTL(INDEX(tsk_FcStart,GanttView[[#This Row],[_Row]]),INDEX(tsk_FcFinish,GanttView[[#This Row],[_Row]]),WorkWeek,Holidays),N(INDEX(tsk_Duration,GanttView[[#This Row],[_Row]]))))</f>
        <v/>
      </c>
      <c r="E86" s="119" t="str">
        <f aca="false">IF(IFERROR(INDEX(tsk_Name,GanttView[[#This Row],[_Row]])="",TRUE()),"",INDEX(tsk_PlanStart,GanttView[[#This Row],[_Row]]))</f>
        <v/>
      </c>
      <c r="F86" s="119" t="str">
        <f aca="false">IF(IFERROR(INDEX(tsk_Name,GanttView[[#This Row],[_Row]])="",TRUE()),"",INDEX(tsk_PlanFinish,GanttView[[#This Row],[_Row]]))</f>
        <v/>
      </c>
      <c r="G86" s="119" t="str">
        <f aca="false">IF(IFERROR(INDEX(tsk_Name,GanttView[[#This Row],[_Row]])="",TRUE()),"",INDEX(tsk_FcStart,GanttView[[#This Row],[_Row]]))</f>
        <v/>
      </c>
      <c r="H86" s="119" t="str">
        <f aca="false">IF(IFERROR(INDEX(tsk_Name,GanttView[[#This Row],[_Row]])="",TRUE()),"",INDEX(tsk_FcFinish,GanttView[[#This Row],[_Row]]))</f>
        <v/>
      </c>
      <c r="I86" s="120" t="str">
        <f aca="false">IF(IFERROR(INDEX(tsk_Name,GanttView[[#This Row],[_Row]])="",TRUE()),"",INDEX(tsk_Progress,GanttView[[#This Row],[_Row]]))</f>
        <v/>
      </c>
      <c r="J86" s="118" t="str">
        <f aca="false">IF(IFERROR(INDEX(tsk_Name,GanttView[[#This Row],[_Row]])="",TRUE()),"",INDEX(tsk_Resource,GanttView[[#This Row],[_Row]])&amp;"")</f>
        <v/>
      </c>
      <c r="K86" s="121" t="str">
        <f aca="false">IF(IFERROR(INDEX(tsk_Name,GanttView[[#This Row],[_Row]])="",TRUE()),"",INDEX(tsk_Status,GanttView[[#This Row],[_Row]]))</f>
        <v/>
      </c>
      <c r="L86" s="122" t="n">
        <f aca="false">ROW()-ROW(GanttView[[#Headers],[ID]])</f>
        <v>81</v>
      </c>
      <c r="M86" s="123" t="b">
        <f aca="false">IF(IFERROR(INDEX(tsk_Name,GanttView[[#This Row],[_Row]])="",TRUE()),FALSE(),INDEX(tsk_IsSummary,GanttView[[#This Row],[_Row]]))</f>
        <v>0</v>
      </c>
      <c r="N86" s="123" t="b">
        <f aca="false">IF(IFERROR(INDEX(tsk_Name,GanttView[[#This Row],[_Row]])="",TRUE()),FALSE(),AND(INDEX(tsk_IsLeaf,GanttView[[#This Row],[_Row]])=1,N(INDEX(tsk_Duration,GanttView[[#This Row],[_Row]]))=0))</f>
        <v>0</v>
      </c>
      <c r="O86" s="124" t="n">
        <f aca="false">IF(IFERROR(INDEX(tsk_Name,GanttView[[#This Row],[_Row]])="",TRUE()),0,IF(AND(INDEX(tsk_IsLeaf,GanttView[[#This Row],[_Row]])=1,NOT(GanttView[[#This Row],[_IsMilestone]]),N(GanttView[[#This Row],[%]])&gt;0),GanttView[[#This Row],[Forecast Start]],0))</f>
        <v>0</v>
      </c>
      <c r="P86" s="124" t="n">
        <f aca="false">IF(GanttView[[#This Row],[_DoneFrom]]=0,0,IF(GanttView[[#This Row],[%]]&gt;=1,GanttView[[#This Row],[Forecast Finish]],MAX(GanttView[[#This Row],[_DoneFrom]],GanttView[[#This Row],[Forecast Start]]+ROUND((GanttView[[#This Row],[Forecast Finish]]-GanttView[[#This Row],[Forecast Start]]+1)*GanttView[[#This Row],[%]],0)-1)))</f>
        <v>0</v>
      </c>
      <c r="Q86" s="124" t="n">
        <f aca="false">IF(IFERROR(INDEX(tsk_Name,GanttView[[#This Row],[_Row]])="",TRUE()),0,IF(OR(INDEX(tsk_IsLeaf,GanttView[[#This Row],[_Row]])&lt;&gt;1,GanttView[[#This Row],[_IsMilestone]],N(GanttView[[#This Row],[%]])&gt;=1),0,IF(GanttView[[#This Row],[_DoneTo]]&gt;0,GanttView[[#This Row],[_DoneTo]]+1,GanttView[[#This Row],[Forecast Start]])))</f>
        <v>0</v>
      </c>
      <c r="R86" s="124" t="n">
        <f aca="false">IF(GanttView[[#This Row],[_RemFrom]]=0,0,GanttView[[#This Row],[Forecast Finish]])</f>
        <v>0</v>
      </c>
      <c r="S86" s="123" t="b">
        <f aca="false">IF(IFERROR(INDEX(tsk_Name,GanttView[[#This Row],[_Row]])="",TRUE()),FALSE(),N(INDEX(tsk_Variance,GanttView[[#This Row],[_Row]]))&gt;0)</f>
        <v>0</v>
      </c>
      <c r="T86" s="124" t="n">
        <f aca="false">IF(IFERROR(INDEX(tsk_Name,GanttView[[#This Row],[_Row]])="",TRUE()),0,N(INDEX(tsk_Deadline,GanttView[[#This Row],[_Row]])))</f>
        <v>0</v>
      </c>
      <c r="U86" s="123" t="b">
        <f aca="false">IF(IFERROR(INDEX(tsk_Name,GanttView[[#This Row],[_Row]])="",TRUE()),FALSE(),INDEX(tsk_Critical,GanttView[[#This Row],[_Row]])="Yes")</f>
        <v>0</v>
      </c>
    </row>
    <row r="87" customFormat="false" ht="15" hidden="false" customHeight="false" outlineLevel="0" collapsed="false">
      <c r="A87" s="117" t="str">
        <f aca="false">IF(IFERROR(INDEX(tsk_Name,GanttView[[#This Row],[_Row]])="",TRUE()),"",INDEX(tsk_ID,GanttView[[#This Row],[_Row]]))</f>
        <v/>
      </c>
      <c r="B87" s="117" t="str">
        <f aca="false">IF(IFERROR(INDEX(tsk_Name,GanttView[[#This Row],[_Row]])="",TRUE()),"",INDEX(tsk_WBS,GanttView[[#This Row],[_Row]]))</f>
        <v/>
      </c>
      <c r="C87" s="118" t="str">
        <f aca="false">IF(IFERROR(INDEX(tsk_Name,GanttView[[#This Row],[_Row]])="",TRUE()),"",REPT("    ",INDEX(tsk_Level,GanttView[[#This Row],[_Row]])-1)&amp;INDEX(tsk_Name,GanttView[[#This Row],[_Row]]))</f>
        <v/>
      </c>
      <c r="D87" s="117" t="str">
        <f aca="false">IF(IFERROR(INDEX(tsk_Name,GanttView[[#This Row],[_Row]])="",TRUE()),"",IF(INDEX(tsk_IsSummary,GanttView[[#This Row],[_Row]]),NETWORKDAYS.INTL(INDEX(tsk_FcStart,GanttView[[#This Row],[_Row]]),INDEX(tsk_FcFinish,GanttView[[#This Row],[_Row]]),WorkWeek,Holidays),N(INDEX(tsk_Duration,GanttView[[#This Row],[_Row]]))))</f>
        <v/>
      </c>
      <c r="E87" s="119" t="str">
        <f aca="false">IF(IFERROR(INDEX(tsk_Name,GanttView[[#This Row],[_Row]])="",TRUE()),"",INDEX(tsk_PlanStart,GanttView[[#This Row],[_Row]]))</f>
        <v/>
      </c>
      <c r="F87" s="119" t="str">
        <f aca="false">IF(IFERROR(INDEX(tsk_Name,GanttView[[#This Row],[_Row]])="",TRUE()),"",INDEX(tsk_PlanFinish,GanttView[[#This Row],[_Row]]))</f>
        <v/>
      </c>
      <c r="G87" s="119" t="str">
        <f aca="false">IF(IFERROR(INDEX(tsk_Name,GanttView[[#This Row],[_Row]])="",TRUE()),"",INDEX(tsk_FcStart,GanttView[[#This Row],[_Row]]))</f>
        <v/>
      </c>
      <c r="H87" s="119" t="str">
        <f aca="false">IF(IFERROR(INDEX(tsk_Name,GanttView[[#This Row],[_Row]])="",TRUE()),"",INDEX(tsk_FcFinish,GanttView[[#This Row],[_Row]]))</f>
        <v/>
      </c>
      <c r="I87" s="120" t="str">
        <f aca="false">IF(IFERROR(INDEX(tsk_Name,GanttView[[#This Row],[_Row]])="",TRUE()),"",INDEX(tsk_Progress,GanttView[[#This Row],[_Row]]))</f>
        <v/>
      </c>
      <c r="J87" s="118" t="str">
        <f aca="false">IF(IFERROR(INDEX(tsk_Name,GanttView[[#This Row],[_Row]])="",TRUE()),"",INDEX(tsk_Resource,GanttView[[#This Row],[_Row]])&amp;"")</f>
        <v/>
      </c>
      <c r="K87" s="121" t="str">
        <f aca="false">IF(IFERROR(INDEX(tsk_Name,GanttView[[#This Row],[_Row]])="",TRUE()),"",INDEX(tsk_Status,GanttView[[#This Row],[_Row]]))</f>
        <v/>
      </c>
      <c r="L87" s="122" t="n">
        <f aca="false">ROW()-ROW(GanttView[[#Headers],[ID]])</f>
        <v>82</v>
      </c>
      <c r="M87" s="123" t="b">
        <f aca="false">IF(IFERROR(INDEX(tsk_Name,GanttView[[#This Row],[_Row]])="",TRUE()),FALSE(),INDEX(tsk_IsSummary,GanttView[[#This Row],[_Row]]))</f>
        <v>0</v>
      </c>
      <c r="N87" s="123" t="b">
        <f aca="false">IF(IFERROR(INDEX(tsk_Name,GanttView[[#This Row],[_Row]])="",TRUE()),FALSE(),AND(INDEX(tsk_IsLeaf,GanttView[[#This Row],[_Row]])=1,N(INDEX(tsk_Duration,GanttView[[#This Row],[_Row]]))=0))</f>
        <v>0</v>
      </c>
      <c r="O87" s="124" t="n">
        <f aca="false">IF(IFERROR(INDEX(tsk_Name,GanttView[[#This Row],[_Row]])="",TRUE()),0,IF(AND(INDEX(tsk_IsLeaf,GanttView[[#This Row],[_Row]])=1,NOT(GanttView[[#This Row],[_IsMilestone]]),N(GanttView[[#This Row],[%]])&gt;0),GanttView[[#This Row],[Forecast Start]],0))</f>
        <v>0</v>
      </c>
      <c r="P87" s="124" t="n">
        <f aca="false">IF(GanttView[[#This Row],[_DoneFrom]]=0,0,IF(GanttView[[#This Row],[%]]&gt;=1,GanttView[[#This Row],[Forecast Finish]],MAX(GanttView[[#This Row],[_DoneFrom]],GanttView[[#This Row],[Forecast Start]]+ROUND((GanttView[[#This Row],[Forecast Finish]]-GanttView[[#This Row],[Forecast Start]]+1)*GanttView[[#This Row],[%]],0)-1)))</f>
        <v>0</v>
      </c>
      <c r="Q87" s="124" t="n">
        <f aca="false">IF(IFERROR(INDEX(tsk_Name,GanttView[[#This Row],[_Row]])="",TRUE()),0,IF(OR(INDEX(tsk_IsLeaf,GanttView[[#This Row],[_Row]])&lt;&gt;1,GanttView[[#This Row],[_IsMilestone]],N(GanttView[[#This Row],[%]])&gt;=1),0,IF(GanttView[[#This Row],[_DoneTo]]&gt;0,GanttView[[#This Row],[_DoneTo]]+1,GanttView[[#This Row],[Forecast Start]])))</f>
        <v>0</v>
      </c>
      <c r="R87" s="124" t="n">
        <f aca="false">IF(GanttView[[#This Row],[_RemFrom]]=0,0,GanttView[[#This Row],[Forecast Finish]])</f>
        <v>0</v>
      </c>
      <c r="S87" s="123" t="b">
        <f aca="false">IF(IFERROR(INDEX(tsk_Name,GanttView[[#This Row],[_Row]])="",TRUE()),FALSE(),N(INDEX(tsk_Variance,GanttView[[#This Row],[_Row]]))&gt;0)</f>
        <v>0</v>
      </c>
      <c r="T87" s="124" t="n">
        <f aca="false">IF(IFERROR(INDEX(tsk_Name,GanttView[[#This Row],[_Row]])="",TRUE()),0,N(INDEX(tsk_Deadline,GanttView[[#This Row],[_Row]])))</f>
        <v>0</v>
      </c>
      <c r="U87" s="123" t="b">
        <f aca="false">IF(IFERROR(INDEX(tsk_Name,GanttView[[#This Row],[_Row]])="",TRUE()),FALSE(),INDEX(tsk_Critical,GanttView[[#This Row],[_Row]])="Yes")</f>
        <v>0</v>
      </c>
    </row>
    <row r="88" customFormat="false" ht="15" hidden="false" customHeight="false" outlineLevel="0" collapsed="false">
      <c r="A88" s="117" t="str">
        <f aca="false">IF(IFERROR(INDEX(tsk_Name,GanttView[[#This Row],[_Row]])="",TRUE()),"",INDEX(tsk_ID,GanttView[[#This Row],[_Row]]))</f>
        <v/>
      </c>
      <c r="B88" s="117" t="str">
        <f aca="false">IF(IFERROR(INDEX(tsk_Name,GanttView[[#This Row],[_Row]])="",TRUE()),"",INDEX(tsk_WBS,GanttView[[#This Row],[_Row]]))</f>
        <v/>
      </c>
      <c r="C88" s="118" t="str">
        <f aca="false">IF(IFERROR(INDEX(tsk_Name,GanttView[[#This Row],[_Row]])="",TRUE()),"",REPT("    ",INDEX(tsk_Level,GanttView[[#This Row],[_Row]])-1)&amp;INDEX(tsk_Name,GanttView[[#This Row],[_Row]]))</f>
        <v/>
      </c>
      <c r="D88" s="117" t="str">
        <f aca="false">IF(IFERROR(INDEX(tsk_Name,GanttView[[#This Row],[_Row]])="",TRUE()),"",IF(INDEX(tsk_IsSummary,GanttView[[#This Row],[_Row]]),NETWORKDAYS.INTL(INDEX(tsk_FcStart,GanttView[[#This Row],[_Row]]),INDEX(tsk_FcFinish,GanttView[[#This Row],[_Row]]),WorkWeek,Holidays),N(INDEX(tsk_Duration,GanttView[[#This Row],[_Row]]))))</f>
        <v/>
      </c>
      <c r="E88" s="119" t="str">
        <f aca="false">IF(IFERROR(INDEX(tsk_Name,GanttView[[#This Row],[_Row]])="",TRUE()),"",INDEX(tsk_PlanStart,GanttView[[#This Row],[_Row]]))</f>
        <v/>
      </c>
      <c r="F88" s="119" t="str">
        <f aca="false">IF(IFERROR(INDEX(tsk_Name,GanttView[[#This Row],[_Row]])="",TRUE()),"",INDEX(tsk_PlanFinish,GanttView[[#This Row],[_Row]]))</f>
        <v/>
      </c>
      <c r="G88" s="119" t="str">
        <f aca="false">IF(IFERROR(INDEX(tsk_Name,GanttView[[#This Row],[_Row]])="",TRUE()),"",INDEX(tsk_FcStart,GanttView[[#This Row],[_Row]]))</f>
        <v/>
      </c>
      <c r="H88" s="119" t="str">
        <f aca="false">IF(IFERROR(INDEX(tsk_Name,GanttView[[#This Row],[_Row]])="",TRUE()),"",INDEX(tsk_FcFinish,GanttView[[#This Row],[_Row]]))</f>
        <v/>
      </c>
      <c r="I88" s="120" t="str">
        <f aca="false">IF(IFERROR(INDEX(tsk_Name,GanttView[[#This Row],[_Row]])="",TRUE()),"",INDEX(tsk_Progress,GanttView[[#This Row],[_Row]]))</f>
        <v/>
      </c>
      <c r="J88" s="118" t="str">
        <f aca="false">IF(IFERROR(INDEX(tsk_Name,GanttView[[#This Row],[_Row]])="",TRUE()),"",INDEX(tsk_Resource,GanttView[[#This Row],[_Row]])&amp;"")</f>
        <v/>
      </c>
      <c r="K88" s="121" t="str">
        <f aca="false">IF(IFERROR(INDEX(tsk_Name,GanttView[[#This Row],[_Row]])="",TRUE()),"",INDEX(tsk_Status,GanttView[[#This Row],[_Row]]))</f>
        <v/>
      </c>
      <c r="L88" s="122" t="n">
        <f aca="false">ROW()-ROW(GanttView[[#Headers],[ID]])</f>
        <v>83</v>
      </c>
      <c r="M88" s="123" t="b">
        <f aca="false">IF(IFERROR(INDEX(tsk_Name,GanttView[[#This Row],[_Row]])="",TRUE()),FALSE(),INDEX(tsk_IsSummary,GanttView[[#This Row],[_Row]]))</f>
        <v>0</v>
      </c>
      <c r="N88" s="123" t="b">
        <f aca="false">IF(IFERROR(INDEX(tsk_Name,GanttView[[#This Row],[_Row]])="",TRUE()),FALSE(),AND(INDEX(tsk_IsLeaf,GanttView[[#This Row],[_Row]])=1,N(INDEX(tsk_Duration,GanttView[[#This Row],[_Row]]))=0))</f>
        <v>0</v>
      </c>
      <c r="O88" s="124" t="n">
        <f aca="false">IF(IFERROR(INDEX(tsk_Name,GanttView[[#This Row],[_Row]])="",TRUE()),0,IF(AND(INDEX(tsk_IsLeaf,GanttView[[#This Row],[_Row]])=1,NOT(GanttView[[#This Row],[_IsMilestone]]),N(GanttView[[#This Row],[%]])&gt;0),GanttView[[#This Row],[Forecast Start]],0))</f>
        <v>0</v>
      </c>
      <c r="P88" s="124" t="n">
        <f aca="false">IF(GanttView[[#This Row],[_DoneFrom]]=0,0,IF(GanttView[[#This Row],[%]]&gt;=1,GanttView[[#This Row],[Forecast Finish]],MAX(GanttView[[#This Row],[_DoneFrom]],GanttView[[#This Row],[Forecast Start]]+ROUND((GanttView[[#This Row],[Forecast Finish]]-GanttView[[#This Row],[Forecast Start]]+1)*GanttView[[#This Row],[%]],0)-1)))</f>
        <v>0</v>
      </c>
      <c r="Q88" s="124" t="n">
        <f aca="false">IF(IFERROR(INDEX(tsk_Name,GanttView[[#This Row],[_Row]])="",TRUE()),0,IF(OR(INDEX(tsk_IsLeaf,GanttView[[#This Row],[_Row]])&lt;&gt;1,GanttView[[#This Row],[_IsMilestone]],N(GanttView[[#This Row],[%]])&gt;=1),0,IF(GanttView[[#This Row],[_DoneTo]]&gt;0,GanttView[[#This Row],[_DoneTo]]+1,GanttView[[#This Row],[Forecast Start]])))</f>
        <v>0</v>
      </c>
      <c r="R88" s="124" t="n">
        <f aca="false">IF(GanttView[[#This Row],[_RemFrom]]=0,0,GanttView[[#This Row],[Forecast Finish]])</f>
        <v>0</v>
      </c>
      <c r="S88" s="123" t="b">
        <f aca="false">IF(IFERROR(INDEX(tsk_Name,GanttView[[#This Row],[_Row]])="",TRUE()),FALSE(),N(INDEX(tsk_Variance,GanttView[[#This Row],[_Row]]))&gt;0)</f>
        <v>0</v>
      </c>
      <c r="T88" s="124" t="n">
        <f aca="false">IF(IFERROR(INDEX(tsk_Name,GanttView[[#This Row],[_Row]])="",TRUE()),0,N(INDEX(tsk_Deadline,GanttView[[#This Row],[_Row]])))</f>
        <v>0</v>
      </c>
      <c r="U88" s="123" t="b">
        <f aca="false">IF(IFERROR(INDEX(tsk_Name,GanttView[[#This Row],[_Row]])="",TRUE()),FALSE(),INDEX(tsk_Critical,GanttView[[#This Row],[_Row]])="Yes")</f>
        <v>0</v>
      </c>
    </row>
    <row r="89" customFormat="false" ht="15" hidden="false" customHeight="false" outlineLevel="0" collapsed="false">
      <c r="A89" s="117" t="str">
        <f aca="false">IF(IFERROR(INDEX(tsk_Name,GanttView[[#This Row],[_Row]])="",TRUE()),"",INDEX(tsk_ID,GanttView[[#This Row],[_Row]]))</f>
        <v/>
      </c>
      <c r="B89" s="117" t="str">
        <f aca="false">IF(IFERROR(INDEX(tsk_Name,GanttView[[#This Row],[_Row]])="",TRUE()),"",INDEX(tsk_WBS,GanttView[[#This Row],[_Row]]))</f>
        <v/>
      </c>
      <c r="C89" s="118" t="str">
        <f aca="false">IF(IFERROR(INDEX(tsk_Name,GanttView[[#This Row],[_Row]])="",TRUE()),"",REPT("    ",INDEX(tsk_Level,GanttView[[#This Row],[_Row]])-1)&amp;INDEX(tsk_Name,GanttView[[#This Row],[_Row]]))</f>
        <v/>
      </c>
      <c r="D89" s="117" t="str">
        <f aca="false">IF(IFERROR(INDEX(tsk_Name,GanttView[[#This Row],[_Row]])="",TRUE()),"",IF(INDEX(tsk_IsSummary,GanttView[[#This Row],[_Row]]),NETWORKDAYS.INTL(INDEX(tsk_FcStart,GanttView[[#This Row],[_Row]]),INDEX(tsk_FcFinish,GanttView[[#This Row],[_Row]]),WorkWeek,Holidays),N(INDEX(tsk_Duration,GanttView[[#This Row],[_Row]]))))</f>
        <v/>
      </c>
      <c r="E89" s="119" t="str">
        <f aca="false">IF(IFERROR(INDEX(tsk_Name,GanttView[[#This Row],[_Row]])="",TRUE()),"",INDEX(tsk_PlanStart,GanttView[[#This Row],[_Row]]))</f>
        <v/>
      </c>
      <c r="F89" s="119" t="str">
        <f aca="false">IF(IFERROR(INDEX(tsk_Name,GanttView[[#This Row],[_Row]])="",TRUE()),"",INDEX(tsk_PlanFinish,GanttView[[#This Row],[_Row]]))</f>
        <v/>
      </c>
      <c r="G89" s="119" t="str">
        <f aca="false">IF(IFERROR(INDEX(tsk_Name,GanttView[[#This Row],[_Row]])="",TRUE()),"",INDEX(tsk_FcStart,GanttView[[#This Row],[_Row]]))</f>
        <v/>
      </c>
      <c r="H89" s="119" t="str">
        <f aca="false">IF(IFERROR(INDEX(tsk_Name,GanttView[[#This Row],[_Row]])="",TRUE()),"",INDEX(tsk_FcFinish,GanttView[[#This Row],[_Row]]))</f>
        <v/>
      </c>
      <c r="I89" s="120" t="str">
        <f aca="false">IF(IFERROR(INDEX(tsk_Name,GanttView[[#This Row],[_Row]])="",TRUE()),"",INDEX(tsk_Progress,GanttView[[#This Row],[_Row]]))</f>
        <v/>
      </c>
      <c r="J89" s="118" t="str">
        <f aca="false">IF(IFERROR(INDEX(tsk_Name,GanttView[[#This Row],[_Row]])="",TRUE()),"",INDEX(tsk_Resource,GanttView[[#This Row],[_Row]])&amp;"")</f>
        <v/>
      </c>
      <c r="K89" s="121" t="str">
        <f aca="false">IF(IFERROR(INDEX(tsk_Name,GanttView[[#This Row],[_Row]])="",TRUE()),"",INDEX(tsk_Status,GanttView[[#This Row],[_Row]]))</f>
        <v/>
      </c>
      <c r="L89" s="122" t="n">
        <f aca="false">ROW()-ROW(GanttView[[#Headers],[ID]])</f>
        <v>84</v>
      </c>
      <c r="M89" s="123" t="b">
        <f aca="false">IF(IFERROR(INDEX(tsk_Name,GanttView[[#This Row],[_Row]])="",TRUE()),FALSE(),INDEX(tsk_IsSummary,GanttView[[#This Row],[_Row]]))</f>
        <v>0</v>
      </c>
      <c r="N89" s="123" t="b">
        <f aca="false">IF(IFERROR(INDEX(tsk_Name,GanttView[[#This Row],[_Row]])="",TRUE()),FALSE(),AND(INDEX(tsk_IsLeaf,GanttView[[#This Row],[_Row]])=1,N(INDEX(tsk_Duration,GanttView[[#This Row],[_Row]]))=0))</f>
        <v>0</v>
      </c>
      <c r="O89" s="124" t="n">
        <f aca="false">IF(IFERROR(INDEX(tsk_Name,GanttView[[#This Row],[_Row]])="",TRUE()),0,IF(AND(INDEX(tsk_IsLeaf,GanttView[[#This Row],[_Row]])=1,NOT(GanttView[[#This Row],[_IsMilestone]]),N(GanttView[[#This Row],[%]])&gt;0),GanttView[[#This Row],[Forecast Start]],0))</f>
        <v>0</v>
      </c>
      <c r="P89" s="124" t="n">
        <f aca="false">IF(GanttView[[#This Row],[_DoneFrom]]=0,0,IF(GanttView[[#This Row],[%]]&gt;=1,GanttView[[#This Row],[Forecast Finish]],MAX(GanttView[[#This Row],[_DoneFrom]],GanttView[[#This Row],[Forecast Start]]+ROUND((GanttView[[#This Row],[Forecast Finish]]-GanttView[[#This Row],[Forecast Start]]+1)*GanttView[[#This Row],[%]],0)-1)))</f>
        <v>0</v>
      </c>
      <c r="Q89" s="124" t="n">
        <f aca="false">IF(IFERROR(INDEX(tsk_Name,GanttView[[#This Row],[_Row]])="",TRUE()),0,IF(OR(INDEX(tsk_IsLeaf,GanttView[[#This Row],[_Row]])&lt;&gt;1,GanttView[[#This Row],[_IsMilestone]],N(GanttView[[#This Row],[%]])&gt;=1),0,IF(GanttView[[#This Row],[_DoneTo]]&gt;0,GanttView[[#This Row],[_DoneTo]]+1,GanttView[[#This Row],[Forecast Start]])))</f>
        <v>0</v>
      </c>
      <c r="R89" s="124" t="n">
        <f aca="false">IF(GanttView[[#This Row],[_RemFrom]]=0,0,GanttView[[#This Row],[Forecast Finish]])</f>
        <v>0</v>
      </c>
      <c r="S89" s="123" t="b">
        <f aca="false">IF(IFERROR(INDEX(tsk_Name,GanttView[[#This Row],[_Row]])="",TRUE()),FALSE(),N(INDEX(tsk_Variance,GanttView[[#This Row],[_Row]]))&gt;0)</f>
        <v>0</v>
      </c>
      <c r="T89" s="124" t="n">
        <f aca="false">IF(IFERROR(INDEX(tsk_Name,GanttView[[#This Row],[_Row]])="",TRUE()),0,N(INDEX(tsk_Deadline,GanttView[[#This Row],[_Row]])))</f>
        <v>0</v>
      </c>
      <c r="U89" s="123" t="b">
        <f aca="false">IF(IFERROR(INDEX(tsk_Name,GanttView[[#This Row],[_Row]])="",TRUE()),FALSE(),INDEX(tsk_Critical,GanttView[[#This Row],[_Row]])="Yes")</f>
        <v>0</v>
      </c>
    </row>
    <row r="90" customFormat="false" ht="15" hidden="false" customHeight="false" outlineLevel="0" collapsed="false">
      <c r="A90" s="117" t="str">
        <f aca="false">IF(IFERROR(INDEX(tsk_Name,GanttView[[#This Row],[_Row]])="",TRUE()),"",INDEX(tsk_ID,GanttView[[#This Row],[_Row]]))</f>
        <v/>
      </c>
      <c r="B90" s="117" t="str">
        <f aca="false">IF(IFERROR(INDEX(tsk_Name,GanttView[[#This Row],[_Row]])="",TRUE()),"",INDEX(tsk_WBS,GanttView[[#This Row],[_Row]]))</f>
        <v/>
      </c>
      <c r="C90" s="118" t="str">
        <f aca="false">IF(IFERROR(INDEX(tsk_Name,GanttView[[#This Row],[_Row]])="",TRUE()),"",REPT("    ",INDEX(tsk_Level,GanttView[[#This Row],[_Row]])-1)&amp;INDEX(tsk_Name,GanttView[[#This Row],[_Row]]))</f>
        <v/>
      </c>
      <c r="D90" s="117" t="str">
        <f aca="false">IF(IFERROR(INDEX(tsk_Name,GanttView[[#This Row],[_Row]])="",TRUE()),"",IF(INDEX(tsk_IsSummary,GanttView[[#This Row],[_Row]]),NETWORKDAYS.INTL(INDEX(tsk_FcStart,GanttView[[#This Row],[_Row]]),INDEX(tsk_FcFinish,GanttView[[#This Row],[_Row]]),WorkWeek,Holidays),N(INDEX(tsk_Duration,GanttView[[#This Row],[_Row]]))))</f>
        <v/>
      </c>
      <c r="E90" s="119" t="str">
        <f aca="false">IF(IFERROR(INDEX(tsk_Name,GanttView[[#This Row],[_Row]])="",TRUE()),"",INDEX(tsk_PlanStart,GanttView[[#This Row],[_Row]]))</f>
        <v/>
      </c>
      <c r="F90" s="119" t="str">
        <f aca="false">IF(IFERROR(INDEX(tsk_Name,GanttView[[#This Row],[_Row]])="",TRUE()),"",INDEX(tsk_PlanFinish,GanttView[[#This Row],[_Row]]))</f>
        <v/>
      </c>
      <c r="G90" s="119" t="str">
        <f aca="false">IF(IFERROR(INDEX(tsk_Name,GanttView[[#This Row],[_Row]])="",TRUE()),"",INDEX(tsk_FcStart,GanttView[[#This Row],[_Row]]))</f>
        <v/>
      </c>
      <c r="H90" s="119" t="str">
        <f aca="false">IF(IFERROR(INDEX(tsk_Name,GanttView[[#This Row],[_Row]])="",TRUE()),"",INDEX(tsk_FcFinish,GanttView[[#This Row],[_Row]]))</f>
        <v/>
      </c>
      <c r="I90" s="120" t="str">
        <f aca="false">IF(IFERROR(INDEX(tsk_Name,GanttView[[#This Row],[_Row]])="",TRUE()),"",INDEX(tsk_Progress,GanttView[[#This Row],[_Row]]))</f>
        <v/>
      </c>
      <c r="J90" s="118" t="str">
        <f aca="false">IF(IFERROR(INDEX(tsk_Name,GanttView[[#This Row],[_Row]])="",TRUE()),"",INDEX(tsk_Resource,GanttView[[#This Row],[_Row]])&amp;"")</f>
        <v/>
      </c>
      <c r="K90" s="121" t="str">
        <f aca="false">IF(IFERROR(INDEX(tsk_Name,GanttView[[#This Row],[_Row]])="",TRUE()),"",INDEX(tsk_Status,GanttView[[#This Row],[_Row]]))</f>
        <v/>
      </c>
      <c r="L90" s="122" t="n">
        <f aca="false">ROW()-ROW(GanttView[[#Headers],[ID]])</f>
        <v>85</v>
      </c>
      <c r="M90" s="123" t="b">
        <f aca="false">IF(IFERROR(INDEX(tsk_Name,GanttView[[#This Row],[_Row]])="",TRUE()),FALSE(),INDEX(tsk_IsSummary,GanttView[[#This Row],[_Row]]))</f>
        <v>0</v>
      </c>
      <c r="N90" s="123" t="b">
        <f aca="false">IF(IFERROR(INDEX(tsk_Name,GanttView[[#This Row],[_Row]])="",TRUE()),FALSE(),AND(INDEX(tsk_IsLeaf,GanttView[[#This Row],[_Row]])=1,N(INDEX(tsk_Duration,GanttView[[#This Row],[_Row]]))=0))</f>
        <v>0</v>
      </c>
      <c r="O90" s="124" t="n">
        <f aca="false">IF(IFERROR(INDEX(tsk_Name,GanttView[[#This Row],[_Row]])="",TRUE()),0,IF(AND(INDEX(tsk_IsLeaf,GanttView[[#This Row],[_Row]])=1,NOT(GanttView[[#This Row],[_IsMilestone]]),N(GanttView[[#This Row],[%]])&gt;0),GanttView[[#This Row],[Forecast Start]],0))</f>
        <v>0</v>
      </c>
      <c r="P90" s="124" t="n">
        <f aca="false">IF(GanttView[[#This Row],[_DoneFrom]]=0,0,IF(GanttView[[#This Row],[%]]&gt;=1,GanttView[[#This Row],[Forecast Finish]],MAX(GanttView[[#This Row],[_DoneFrom]],GanttView[[#This Row],[Forecast Start]]+ROUND((GanttView[[#This Row],[Forecast Finish]]-GanttView[[#This Row],[Forecast Start]]+1)*GanttView[[#This Row],[%]],0)-1)))</f>
        <v>0</v>
      </c>
      <c r="Q90" s="124" t="n">
        <f aca="false">IF(IFERROR(INDEX(tsk_Name,GanttView[[#This Row],[_Row]])="",TRUE()),0,IF(OR(INDEX(tsk_IsLeaf,GanttView[[#This Row],[_Row]])&lt;&gt;1,GanttView[[#This Row],[_IsMilestone]],N(GanttView[[#This Row],[%]])&gt;=1),0,IF(GanttView[[#This Row],[_DoneTo]]&gt;0,GanttView[[#This Row],[_DoneTo]]+1,GanttView[[#This Row],[Forecast Start]])))</f>
        <v>0</v>
      </c>
      <c r="R90" s="124" t="n">
        <f aca="false">IF(GanttView[[#This Row],[_RemFrom]]=0,0,GanttView[[#This Row],[Forecast Finish]])</f>
        <v>0</v>
      </c>
      <c r="S90" s="123" t="b">
        <f aca="false">IF(IFERROR(INDEX(tsk_Name,GanttView[[#This Row],[_Row]])="",TRUE()),FALSE(),N(INDEX(tsk_Variance,GanttView[[#This Row],[_Row]]))&gt;0)</f>
        <v>0</v>
      </c>
      <c r="T90" s="124" t="n">
        <f aca="false">IF(IFERROR(INDEX(tsk_Name,GanttView[[#This Row],[_Row]])="",TRUE()),0,N(INDEX(tsk_Deadline,GanttView[[#This Row],[_Row]])))</f>
        <v>0</v>
      </c>
      <c r="U90" s="123" t="b">
        <f aca="false">IF(IFERROR(INDEX(tsk_Name,GanttView[[#This Row],[_Row]])="",TRUE()),FALSE(),INDEX(tsk_Critical,GanttView[[#This Row],[_Row]])="Yes")</f>
        <v>0</v>
      </c>
    </row>
    <row r="91" customFormat="false" ht="15" hidden="false" customHeight="false" outlineLevel="0" collapsed="false">
      <c r="A91" s="117" t="str">
        <f aca="false">IF(IFERROR(INDEX(tsk_Name,GanttView[[#This Row],[_Row]])="",TRUE()),"",INDEX(tsk_ID,GanttView[[#This Row],[_Row]]))</f>
        <v/>
      </c>
      <c r="B91" s="117" t="str">
        <f aca="false">IF(IFERROR(INDEX(tsk_Name,GanttView[[#This Row],[_Row]])="",TRUE()),"",INDEX(tsk_WBS,GanttView[[#This Row],[_Row]]))</f>
        <v/>
      </c>
      <c r="C91" s="118" t="str">
        <f aca="false">IF(IFERROR(INDEX(tsk_Name,GanttView[[#This Row],[_Row]])="",TRUE()),"",REPT("    ",INDEX(tsk_Level,GanttView[[#This Row],[_Row]])-1)&amp;INDEX(tsk_Name,GanttView[[#This Row],[_Row]]))</f>
        <v/>
      </c>
      <c r="D91" s="117" t="str">
        <f aca="false">IF(IFERROR(INDEX(tsk_Name,GanttView[[#This Row],[_Row]])="",TRUE()),"",IF(INDEX(tsk_IsSummary,GanttView[[#This Row],[_Row]]),NETWORKDAYS.INTL(INDEX(tsk_FcStart,GanttView[[#This Row],[_Row]]),INDEX(tsk_FcFinish,GanttView[[#This Row],[_Row]]),WorkWeek,Holidays),N(INDEX(tsk_Duration,GanttView[[#This Row],[_Row]]))))</f>
        <v/>
      </c>
      <c r="E91" s="119" t="str">
        <f aca="false">IF(IFERROR(INDEX(tsk_Name,GanttView[[#This Row],[_Row]])="",TRUE()),"",INDEX(tsk_PlanStart,GanttView[[#This Row],[_Row]]))</f>
        <v/>
      </c>
      <c r="F91" s="119" t="str">
        <f aca="false">IF(IFERROR(INDEX(tsk_Name,GanttView[[#This Row],[_Row]])="",TRUE()),"",INDEX(tsk_PlanFinish,GanttView[[#This Row],[_Row]]))</f>
        <v/>
      </c>
      <c r="G91" s="119" t="str">
        <f aca="false">IF(IFERROR(INDEX(tsk_Name,GanttView[[#This Row],[_Row]])="",TRUE()),"",INDEX(tsk_FcStart,GanttView[[#This Row],[_Row]]))</f>
        <v/>
      </c>
      <c r="H91" s="119" t="str">
        <f aca="false">IF(IFERROR(INDEX(tsk_Name,GanttView[[#This Row],[_Row]])="",TRUE()),"",INDEX(tsk_FcFinish,GanttView[[#This Row],[_Row]]))</f>
        <v/>
      </c>
      <c r="I91" s="120" t="str">
        <f aca="false">IF(IFERROR(INDEX(tsk_Name,GanttView[[#This Row],[_Row]])="",TRUE()),"",INDEX(tsk_Progress,GanttView[[#This Row],[_Row]]))</f>
        <v/>
      </c>
      <c r="J91" s="118" t="str">
        <f aca="false">IF(IFERROR(INDEX(tsk_Name,GanttView[[#This Row],[_Row]])="",TRUE()),"",INDEX(tsk_Resource,GanttView[[#This Row],[_Row]])&amp;"")</f>
        <v/>
      </c>
      <c r="K91" s="121" t="str">
        <f aca="false">IF(IFERROR(INDEX(tsk_Name,GanttView[[#This Row],[_Row]])="",TRUE()),"",INDEX(tsk_Status,GanttView[[#This Row],[_Row]]))</f>
        <v/>
      </c>
      <c r="L91" s="122" t="n">
        <f aca="false">ROW()-ROW(GanttView[[#Headers],[ID]])</f>
        <v>86</v>
      </c>
      <c r="M91" s="123" t="b">
        <f aca="false">IF(IFERROR(INDEX(tsk_Name,GanttView[[#This Row],[_Row]])="",TRUE()),FALSE(),INDEX(tsk_IsSummary,GanttView[[#This Row],[_Row]]))</f>
        <v>0</v>
      </c>
      <c r="N91" s="123" t="b">
        <f aca="false">IF(IFERROR(INDEX(tsk_Name,GanttView[[#This Row],[_Row]])="",TRUE()),FALSE(),AND(INDEX(tsk_IsLeaf,GanttView[[#This Row],[_Row]])=1,N(INDEX(tsk_Duration,GanttView[[#This Row],[_Row]]))=0))</f>
        <v>0</v>
      </c>
      <c r="O91" s="124" t="n">
        <f aca="false">IF(IFERROR(INDEX(tsk_Name,GanttView[[#This Row],[_Row]])="",TRUE()),0,IF(AND(INDEX(tsk_IsLeaf,GanttView[[#This Row],[_Row]])=1,NOT(GanttView[[#This Row],[_IsMilestone]]),N(GanttView[[#This Row],[%]])&gt;0),GanttView[[#This Row],[Forecast Start]],0))</f>
        <v>0</v>
      </c>
      <c r="P91" s="124" t="n">
        <f aca="false">IF(GanttView[[#This Row],[_DoneFrom]]=0,0,IF(GanttView[[#This Row],[%]]&gt;=1,GanttView[[#This Row],[Forecast Finish]],MAX(GanttView[[#This Row],[_DoneFrom]],GanttView[[#This Row],[Forecast Start]]+ROUND((GanttView[[#This Row],[Forecast Finish]]-GanttView[[#This Row],[Forecast Start]]+1)*GanttView[[#This Row],[%]],0)-1)))</f>
        <v>0</v>
      </c>
      <c r="Q91" s="124" t="n">
        <f aca="false">IF(IFERROR(INDEX(tsk_Name,GanttView[[#This Row],[_Row]])="",TRUE()),0,IF(OR(INDEX(tsk_IsLeaf,GanttView[[#This Row],[_Row]])&lt;&gt;1,GanttView[[#This Row],[_IsMilestone]],N(GanttView[[#This Row],[%]])&gt;=1),0,IF(GanttView[[#This Row],[_DoneTo]]&gt;0,GanttView[[#This Row],[_DoneTo]]+1,GanttView[[#This Row],[Forecast Start]])))</f>
        <v>0</v>
      </c>
      <c r="R91" s="124" t="n">
        <f aca="false">IF(GanttView[[#This Row],[_RemFrom]]=0,0,GanttView[[#This Row],[Forecast Finish]])</f>
        <v>0</v>
      </c>
      <c r="S91" s="123" t="b">
        <f aca="false">IF(IFERROR(INDEX(tsk_Name,GanttView[[#This Row],[_Row]])="",TRUE()),FALSE(),N(INDEX(tsk_Variance,GanttView[[#This Row],[_Row]]))&gt;0)</f>
        <v>0</v>
      </c>
      <c r="T91" s="124" t="n">
        <f aca="false">IF(IFERROR(INDEX(tsk_Name,GanttView[[#This Row],[_Row]])="",TRUE()),0,N(INDEX(tsk_Deadline,GanttView[[#This Row],[_Row]])))</f>
        <v>0</v>
      </c>
      <c r="U91" s="123" t="b">
        <f aca="false">IF(IFERROR(INDEX(tsk_Name,GanttView[[#This Row],[_Row]])="",TRUE()),FALSE(),INDEX(tsk_Critical,GanttView[[#This Row],[_Row]])="Yes")</f>
        <v>0</v>
      </c>
    </row>
    <row r="92" customFormat="false" ht="15" hidden="false" customHeight="false" outlineLevel="0" collapsed="false">
      <c r="A92" s="117" t="str">
        <f aca="false">IF(IFERROR(INDEX(tsk_Name,GanttView[[#This Row],[_Row]])="",TRUE()),"",INDEX(tsk_ID,GanttView[[#This Row],[_Row]]))</f>
        <v/>
      </c>
      <c r="B92" s="117" t="str">
        <f aca="false">IF(IFERROR(INDEX(tsk_Name,GanttView[[#This Row],[_Row]])="",TRUE()),"",INDEX(tsk_WBS,GanttView[[#This Row],[_Row]]))</f>
        <v/>
      </c>
      <c r="C92" s="118" t="str">
        <f aca="false">IF(IFERROR(INDEX(tsk_Name,GanttView[[#This Row],[_Row]])="",TRUE()),"",REPT("    ",INDEX(tsk_Level,GanttView[[#This Row],[_Row]])-1)&amp;INDEX(tsk_Name,GanttView[[#This Row],[_Row]]))</f>
        <v/>
      </c>
      <c r="D92" s="117" t="str">
        <f aca="false">IF(IFERROR(INDEX(tsk_Name,GanttView[[#This Row],[_Row]])="",TRUE()),"",IF(INDEX(tsk_IsSummary,GanttView[[#This Row],[_Row]]),NETWORKDAYS.INTL(INDEX(tsk_FcStart,GanttView[[#This Row],[_Row]]),INDEX(tsk_FcFinish,GanttView[[#This Row],[_Row]]),WorkWeek,Holidays),N(INDEX(tsk_Duration,GanttView[[#This Row],[_Row]]))))</f>
        <v/>
      </c>
      <c r="E92" s="119" t="str">
        <f aca="false">IF(IFERROR(INDEX(tsk_Name,GanttView[[#This Row],[_Row]])="",TRUE()),"",INDEX(tsk_PlanStart,GanttView[[#This Row],[_Row]]))</f>
        <v/>
      </c>
      <c r="F92" s="119" t="str">
        <f aca="false">IF(IFERROR(INDEX(tsk_Name,GanttView[[#This Row],[_Row]])="",TRUE()),"",INDEX(tsk_PlanFinish,GanttView[[#This Row],[_Row]]))</f>
        <v/>
      </c>
      <c r="G92" s="119" t="str">
        <f aca="false">IF(IFERROR(INDEX(tsk_Name,GanttView[[#This Row],[_Row]])="",TRUE()),"",INDEX(tsk_FcStart,GanttView[[#This Row],[_Row]]))</f>
        <v/>
      </c>
      <c r="H92" s="119" t="str">
        <f aca="false">IF(IFERROR(INDEX(tsk_Name,GanttView[[#This Row],[_Row]])="",TRUE()),"",INDEX(tsk_FcFinish,GanttView[[#This Row],[_Row]]))</f>
        <v/>
      </c>
      <c r="I92" s="120" t="str">
        <f aca="false">IF(IFERROR(INDEX(tsk_Name,GanttView[[#This Row],[_Row]])="",TRUE()),"",INDEX(tsk_Progress,GanttView[[#This Row],[_Row]]))</f>
        <v/>
      </c>
      <c r="J92" s="118" t="str">
        <f aca="false">IF(IFERROR(INDEX(tsk_Name,GanttView[[#This Row],[_Row]])="",TRUE()),"",INDEX(tsk_Resource,GanttView[[#This Row],[_Row]])&amp;"")</f>
        <v/>
      </c>
      <c r="K92" s="121" t="str">
        <f aca="false">IF(IFERROR(INDEX(tsk_Name,GanttView[[#This Row],[_Row]])="",TRUE()),"",INDEX(tsk_Status,GanttView[[#This Row],[_Row]]))</f>
        <v/>
      </c>
      <c r="L92" s="122" t="n">
        <f aca="false">ROW()-ROW(GanttView[[#Headers],[ID]])</f>
        <v>87</v>
      </c>
      <c r="M92" s="123" t="b">
        <f aca="false">IF(IFERROR(INDEX(tsk_Name,GanttView[[#This Row],[_Row]])="",TRUE()),FALSE(),INDEX(tsk_IsSummary,GanttView[[#This Row],[_Row]]))</f>
        <v>0</v>
      </c>
      <c r="N92" s="123" t="b">
        <f aca="false">IF(IFERROR(INDEX(tsk_Name,GanttView[[#This Row],[_Row]])="",TRUE()),FALSE(),AND(INDEX(tsk_IsLeaf,GanttView[[#This Row],[_Row]])=1,N(INDEX(tsk_Duration,GanttView[[#This Row],[_Row]]))=0))</f>
        <v>0</v>
      </c>
      <c r="O92" s="124" t="n">
        <f aca="false">IF(IFERROR(INDEX(tsk_Name,GanttView[[#This Row],[_Row]])="",TRUE()),0,IF(AND(INDEX(tsk_IsLeaf,GanttView[[#This Row],[_Row]])=1,NOT(GanttView[[#This Row],[_IsMilestone]]),N(GanttView[[#This Row],[%]])&gt;0),GanttView[[#This Row],[Forecast Start]],0))</f>
        <v>0</v>
      </c>
      <c r="P92" s="124" t="n">
        <f aca="false">IF(GanttView[[#This Row],[_DoneFrom]]=0,0,IF(GanttView[[#This Row],[%]]&gt;=1,GanttView[[#This Row],[Forecast Finish]],MAX(GanttView[[#This Row],[_DoneFrom]],GanttView[[#This Row],[Forecast Start]]+ROUND((GanttView[[#This Row],[Forecast Finish]]-GanttView[[#This Row],[Forecast Start]]+1)*GanttView[[#This Row],[%]],0)-1)))</f>
        <v>0</v>
      </c>
      <c r="Q92" s="124" t="n">
        <f aca="false">IF(IFERROR(INDEX(tsk_Name,GanttView[[#This Row],[_Row]])="",TRUE()),0,IF(OR(INDEX(tsk_IsLeaf,GanttView[[#This Row],[_Row]])&lt;&gt;1,GanttView[[#This Row],[_IsMilestone]],N(GanttView[[#This Row],[%]])&gt;=1),0,IF(GanttView[[#This Row],[_DoneTo]]&gt;0,GanttView[[#This Row],[_DoneTo]]+1,GanttView[[#This Row],[Forecast Start]])))</f>
        <v>0</v>
      </c>
      <c r="R92" s="124" t="n">
        <f aca="false">IF(GanttView[[#This Row],[_RemFrom]]=0,0,GanttView[[#This Row],[Forecast Finish]])</f>
        <v>0</v>
      </c>
      <c r="S92" s="123" t="b">
        <f aca="false">IF(IFERROR(INDEX(tsk_Name,GanttView[[#This Row],[_Row]])="",TRUE()),FALSE(),N(INDEX(tsk_Variance,GanttView[[#This Row],[_Row]]))&gt;0)</f>
        <v>0</v>
      </c>
      <c r="T92" s="124" t="n">
        <f aca="false">IF(IFERROR(INDEX(tsk_Name,GanttView[[#This Row],[_Row]])="",TRUE()),0,N(INDEX(tsk_Deadline,GanttView[[#This Row],[_Row]])))</f>
        <v>0</v>
      </c>
      <c r="U92" s="123" t="b">
        <f aca="false">IF(IFERROR(INDEX(tsk_Name,GanttView[[#This Row],[_Row]])="",TRUE()),FALSE(),INDEX(tsk_Critical,GanttView[[#This Row],[_Row]])="Yes")</f>
        <v>0</v>
      </c>
    </row>
    <row r="93" customFormat="false" ht="15" hidden="false" customHeight="false" outlineLevel="0" collapsed="false">
      <c r="A93" s="117" t="str">
        <f aca="false">IF(IFERROR(INDEX(tsk_Name,GanttView[[#This Row],[_Row]])="",TRUE()),"",INDEX(tsk_ID,GanttView[[#This Row],[_Row]]))</f>
        <v/>
      </c>
      <c r="B93" s="117" t="str">
        <f aca="false">IF(IFERROR(INDEX(tsk_Name,GanttView[[#This Row],[_Row]])="",TRUE()),"",INDEX(tsk_WBS,GanttView[[#This Row],[_Row]]))</f>
        <v/>
      </c>
      <c r="C93" s="118" t="str">
        <f aca="false">IF(IFERROR(INDEX(tsk_Name,GanttView[[#This Row],[_Row]])="",TRUE()),"",REPT("    ",INDEX(tsk_Level,GanttView[[#This Row],[_Row]])-1)&amp;INDEX(tsk_Name,GanttView[[#This Row],[_Row]]))</f>
        <v/>
      </c>
      <c r="D93" s="117" t="str">
        <f aca="false">IF(IFERROR(INDEX(tsk_Name,GanttView[[#This Row],[_Row]])="",TRUE()),"",IF(INDEX(tsk_IsSummary,GanttView[[#This Row],[_Row]]),NETWORKDAYS.INTL(INDEX(tsk_FcStart,GanttView[[#This Row],[_Row]]),INDEX(tsk_FcFinish,GanttView[[#This Row],[_Row]]),WorkWeek,Holidays),N(INDEX(tsk_Duration,GanttView[[#This Row],[_Row]]))))</f>
        <v/>
      </c>
      <c r="E93" s="119" t="str">
        <f aca="false">IF(IFERROR(INDEX(tsk_Name,GanttView[[#This Row],[_Row]])="",TRUE()),"",INDEX(tsk_PlanStart,GanttView[[#This Row],[_Row]]))</f>
        <v/>
      </c>
      <c r="F93" s="119" t="str">
        <f aca="false">IF(IFERROR(INDEX(tsk_Name,GanttView[[#This Row],[_Row]])="",TRUE()),"",INDEX(tsk_PlanFinish,GanttView[[#This Row],[_Row]]))</f>
        <v/>
      </c>
      <c r="G93" s="119" t="str">
        <f aca="false">IF(IFERROR(INDEX(tsk_Name,GanttView[[#This Row],[_Row]])="",TRUE()),"",INDEX(tsk_FcStart,GanttView[[#This Row],[_Row]]))</f>
        <v/>
      </c>
      <c r="H93" s="119" t="str">
        <f aca="false">IF(IFERROR(INDEX(tsk_Name,GanttView[[#This Row],[_Row]])="",TRUE()),"",INDEX(tsk_FcFinish,GanttView[[#This Row],[_Row]]))</f>
        <v/>
      </c>
      <c r="I93" s="120" t="str">
        <f aca="false">IF(IFERROR(INDEX(tsk_Name,GanttView[[#This Row],[_Row]])="",TRUE()),"",INDEX(tsk_Progress,GanttView[[#This Row],[_Row]]))</f>
        <v/>
      </c>
      <c r="J93" s="118" t="str">
        <f aca="false">IF(IFERROR(INDEX(tsk_Name,GanttView[[#This Row],[_Row]])="",TRUE()),"",INDEX(tsk_Resource,GanttView[[#This Row],[_Row]])&amp;"")</f>
        <v/>
      </c>
      <c r="K93" s="121" t="str">
        <f aca="false">IF(IFERROR(INDEX(tsk_Name,GanttView[[#This Row],[_Row]])="",TRUE()),"",INDEX(tsk_Status,GanttView[[#This Row],[_Row]]))</f>
        <v/>
      </c>
      <c r="L93" s="122" t="n">
        <f aca="false">ROW()-ROW(GanttView[[#Headers],[ID]])</f>
        <v>88</v>
      </c>
      <c r="M93" s="123" t="b">
        <f aca="false">IF(IFERROR(INDEX(tsk_Name,GanttView[[#This Row],[_Row]])="",TRUE()),FALSE(),INDEX(tsk_IsSummary,GanttView[[#This Row],[_Row]]))</f>
        <v>0</v>
      </c>
      <c r="N93" s="123" t="b">
        <f aca="false">IF(IFERROR(INDEX(tsk_Name,GanttView[[#This Row],[_Row]])="",TRUE()),FALSE(),AND(INDEX(tsk_IsLeaf,GanttView[[#This Row],[_Row]])=1,N(INDEX(tsk_Duration,GanttView[[#This Row],[_Row]]))=0))</f>
        <v>0</v>
      </c>
      <c r="O93" s="124" t="n">
        <f aca="false">IF(IFERROR(INDEX(tsk_Name,GanttView[[#This Row],[_Row]])="",TRUE()),0,IF(AND(INDEX(tsk_IsLeaf,GanttView[[#This Row],[_Row]])=1,NOT(GanttView[[#This Row],[_IsMilestone]]),N(GanttView[[#This Row],[%]])&gt;0),GanttView[[#This Row],[Forecast Start]],0))</f>
        <v>0</v>
      </c>
      <c r="P93" s="124" t="n">
        <f aca="false">IF(GanttView[[#This Row],[_DoneFrom]]=0,0,IF(GanttView[[#This Row],[%]]&gt;=1,GanttView[[#This Row],[Forecast Finish]],MAX(GanttView[[#This Row],[_DoneFrom]],GanttView[[#This Row],[Forecast Start]]+ROUND((GanttView[[#This Row],[Forecast Finish]]-GanttView[[#This Row],[Forecast Start]]+1)*GanttView[[#This Row],[%]],0)-1)))</f>
        <v>0</v>
      </c>
      <c r="Q93" s="124" t="n">
        <f aca="false">IF(IFERROR(INDEX(tsk_Name,GanttView[[#This Row],[_Row]])="",TRUE()),0,IF(OR(INDEX(tsk_IsLeaf,GanttView[[#This Row],[_Row]])&lt;&gt;1,GanttView[[#This Row],[_IsMilestone]],N(GanttView[[#This Row],[%]])&gt;=1),0,IF(GanttView[[#This Row],[_DoneTo]]&gt;0,GanttView[[#This Row],[_DoneTo]]+1,GanttView[[#This Row],[Forecast Start]])))</f>
        <v>0</v>
      </c>
      <c r="R93" s="124" t="n">
        <f aca="false">IF(GanttView[[#This Row],[_RemFrom]]=0,0,GanttView[[#This Row],[Forecast Finish]])</f>
        <v>0</v>
      </c>
      <c r="S93" s="123" t="b">
        <f aca="false">IF(IFERROR(INDEX(tsk_Name,GanttView[[#This Row],[_Row]])="",TRUE()),FALSE(),N(INDEX(tsk_Variance,GanttView[[#This Row],[_Row]]))&gt;0)</f>
        <v>0</v>
      </c>
      <c r="T93" s="124" t="n">
        <f aca="false">IF(IFERROR(INDEX(tsk_Name,GanttView[[#This Row],[_Row]])="",TRUE()),0,N(INDEX(tsk_Deadline,GanttView[[#This Row],[_Row]])))</f>
        <v>0</v>
      </c>
      <c r="U93" s="123" t="b">
        <f aca="false">IF(IFERROR(INDEX(tsk_Name,GanttView[[#This Row],[_Row]])="",TRUE()),FALSE(),INDEX(tsk_Critical,GanttView[[#This Row],[_Row]])="Yes")</f>
        <v>0</v>
      </c>
    </row>
    <row r="94" customFormat="false" ht="15" hidden="false" customHeight="false" outlineLevel="0" collapsed="false">
      <c r="A94" s="117" t="str">
        <f aca="false">IF(IFERROR(INDEX(tsk_Name,GanttView[[#This Row],[_Row]])="",TRUE()),"",INDEX(tsk_ID,GanttView[[#This Row],[_Row]]))</f>
        <v/>
      </c>
      <c r="B94" s="117" t="str">
        <f aca="false">IF(IFERROR(INDEX(tsk_Name,GanttView[[#This Row],[_Row]])="",TRUE()),"",INDEX(tsk_WBS,GanttView[[#This Row],[_Row]]))</f>
        <v/>
      </c>
      <c r="C94" s="118" t="str">
        <f aca="false">IF(IFERROR(INDEX(tsk_Name,GanttView[[#This Row],[_Row]])="",TRUE()),"",REPT("    ",INDEX(tsk_Level,GanttView[[#This Row],[_Row]])-1)&amp;INDEX(tsk_Name,GanttView[[#This Row],[_Row]]))</f>
        <v/>
      </c>
      <c r="D94" s="117" t="str">
        <f aca="false">IF(IFERROR(INDEX(tsk_Name,GanttView[[#This Row],[_Row]])="",TRUE()),"",IF(INDEX(tsk_IsSummary,GanttView[[#This Row],[_Row]]),NETWORKDAYS.INTL(INDEX(tsk_FcStart,GanttView[[#This Row],[_Row]]),INDEX(tsk_FcFinish,GanttView[[#This Row],[_Row]]),WorkWeek,Holidays),N(INDEX(tsk_Duration,GanttView[[#This Row],[_Row]]))))</f>
        <v/>
      </c>
      <c r="E94" s="119" t="str">
        <f aca="false">IF(IFERROR(INDEX(tsk_Name,GanttView[[#This Row],[_Row]])="",TRUE()),"",INDEX(tsk_PlanStart,GanttView[[#This Row],[_Row]]))</f>
        <v/>
      </c>
      <c r="F94" s="119" t="str">
        <f aca="false">IF(IFERROR(INDEX(tsk_Name,GanttView[[#This Row],[_Row]])="",TRUE()),"",INDEX(tsk_PlanFinish,GanttView[[#This Row],[_Row]]))</f>
        <v/>
      </c>
      <c r="G94" s="119" t="str">
        <f aca="false">IF(IFERROR(INDEX(tsk_Name,GanttView[[#This Row],[_Row]])="",TRUE()),"",INDEX(tsk_FcStart,GanttView[[#This Row],[_Row]]))</f>
        <v/>
      </c>
      <c r="H94" s="119" t="str">
        <f aca="false">IF(IFERROR(INDEX(tsk_Name,GanttView[[#This Row],[_Row]])="",TRUE()),"",INDEX(tsk_FcFinish,GanttView[[#This Row],[_Row]]))</f>
        <v/>
      </c>
      <c r="I94" s="120" t="str">
        <f aca="false">IF(IFERROR(INDEX(tsk_Name,GanttView[[#This Row],[_Row]])="",TRUE()),"",INDEX(tsk_Progress,GanttView[[#This Row],[_Row]]))</f>
        <v/>
      </c>
      <c r="J94" s="118" t="str">
        <f aca="false">IF(IFERROR(INDEX(tsk_Name,GanttView[[#This Row],[_Row]])="",TRUE()),"",INDEX(tsk_Resource,GanttView[[#This Row],[_Row]])&amp;"")</f>
        <v/>
      </c>
      <c r="K94" s="121" t="str">
        <f aca="false">IF(IFERROR(INDEX(tsk_Name,GanttView[[#This Row],[_Row]])="",TRUE()),"",INDEX(tsk_Status,GanttView[[#This Row],[_Row]]))</f>
        <v/>
      </c>
      <c r="L94" s="122" t="n">
        <f aca="false">ROW()-ROW(GanttView[[#Headers],[ID]])</f>
        <v>89</v>
      </c>
      <c r="M94" s="123" t="b">
        <f aca="false">IF(IFERROR(INDEX(tsk_Name,GanttView[[#This Row],[_Row]])="",TRUE()),FALSE(),INDEX(tsk_IsSummary,GanttView[[#This Row],[_Row]]))</f>
        <v>0</v>
      </c>
      <c r="N94" s="123" t="b">
        <f aca="false">IF(IFERROR(INDEX(tsk_Name,GanttView[[#This Row],[_Row]])="",TRUE()),FALSE(),AND(INDEX(tsk_IsLeaf,GanttView[[#This Row],[_Row]])=1,N(INDEX(tsk_Duration,GanttView[[#This Row],[_Row]]))=0))</f>
        <v>0</v>
      </c>
      <c r="O94" s="124" t="n">
        <f aca="false">IF(IFERROR(INDEX(tsk_Name,GanttView[[#This Row],[_Row]])="",TRUE()),0,IF(AND(INDEX(tsk_IsLeaf,GanttView[[#This Row],[_Row]])=1,NOT(GanttView[[#This Row],[_IsMilestone]]),N(GanttView[[#This Row],[%]])&gt;0),GanttView[[#This Row],[Forecast Start]],0))</f>
        <v>0</v>
      </c>
      <c r="P94" s="124" t="n">
        <f aca="false">IF(GanttView[[#This Row],[_DoneFrom]]=0,0,IF(GanttView[[#This Row],[%]]&gt;=1,GanttView[[#This Row],[Forecast Finish]],MAX(GanttView[[#This Row],[_DoneFrom]],GanttView[[#This Row],[Forecast Start]]+ROUND((GanttView[[#This Row],[Forecast Finish]]-GanttView[[#This Row],[Forecast Start]]+1)*GanttView[[#This Row],[%]],0)-1)))</f>
        <v>0</v>
      </c>
      <c r="Q94" s="124" t="n">
        <f aca="false">IF(IFERROR(INDEX(tsk_Name,GanttView[[#This Row],[_Row]])="",TRUE()),0,IF(OR(INDEX(tsk_IsLeaf,GanttView[[#This Row],[_Row]])&lt;&gt;1,GanttView[[#This Row],[_IsMilestone]],N(GanttView[[#This Row],[%]])&gt;=1),0,IF(GanttView[[#This Row],[_DoneTo]]&gt;0,GanttView[[#This Row],[_DoneTo]]+1,GanttView[[#This Row],[Forecast Start]])))</f>
        <v>0</v>
      </c>
      <c r="R94" s="124" t="n">
        <f aca="false">IF(GanttView[[#This Row],[_RemFrom]]=0,0,GanttView[[#This Row],[Forecast Finish]])</f>
        <v>0</v>
      </c>
      <c r="S94" s="123" t="b">
        <f aca="false">IF(IFERROR(INDEX(tsk_Name,GanttView[[#This Row],[_Row]])="",TRUE()),FALSE(),N(INDEX(tsk_Variance,GanttView[[#This Row],[_Row]]))&gt;0)</f>
        <v>0</v>
      </c>
      <c r="T94" s="124" t="n">
        <f aca="false">IF(IFERROR(INDEX(tsk_Name,GanttView[[#This Row],[_Row]])="",TRUE()),0,N(INDEX(tsk_Deadline,GanttView[[#This Row],[_Row]])))</f>
        <v>0</v>
      </c>
      <c r="U94" s="123" t="b">
        <f aca="false">IF(IFERROR(INDEX(tsk_Name,GanttView[[#This Row],[_Row]])="",TRUE()),FALSE(),INDEX(tsk_Critical,GanttView[[#This Row],[_Row]])="Yes")</f>
        <v>0</v>
      </c>
    </row>
    <row r="95" customFormat="false" ht="15" hidden="false" customHeight="false" outlineLevel="0" collapsed="false">
      <c r="A95" s="117" t="str">
        <f aca="false">IF(IFERROR(INDEX(tsk_Name,GanttView[[#This Row],[_Row]])="",TRUE()),"",INDEX(tsk_ID,GanttView[[#This Row],[_Row]]))</f>
        <v/>
      </c>
      <c r="B95" s="117" t="str">
        <f aca="false">IF(IFERROR(INDEX(tsk_Name,GanttView[[#This Row],[_Row]])="",TRUE()),"",INDEX(tsk_WBS,GanttView[[#This Row],[_Row]]))</f>
        <v/>
      </c>
      <c r="C95" s="118" t="str">
        <f aca="false">IF(IFERROR(INDEX(tsk_Name,GanttView[[#This Row],[_Row]])="",TRUE()),"",REPT("    ",INDEX(tsk_Level,GanttView[[#This Row],[_Row]])-1)&amp;INDEX(tsk_Name,GanttView[[#This Row],[_Row]]))</f>
        <v/>
      </c>
      <c r="D95" s="117" t="str">
        <f aca="false">IF(IFERROR(INDEX(tsk_Name,GanttView[[#This Row],[_Row]])="",TRUE()),"",IF(INDEX(tsk_IsSummary,GanttView[[#This Row],[_Row]]),NETWORKDAYS.INTL(INDEX(tsk_FcStart,GanttView[[#This Row],[_Row]]),INDEX(tsk_FcFinish,GanttView[[#This Row],[_Row]]),WorkWeek,Holidays),N(INDEX(tsk_Duration,GanttView[[#This Row],[_Row]]))))</f>
        <v/>
      </c>
      <c r="E95" s="119" t="str">
        <f aca="false">IF(IFERROR(INDEX(tsk_Name,GanttView[[#This Row],[_Row]])="",TRUE()),"",INDEX(tsk_PlanStart,GanttView[[#This Row],[_Row]]))</f>
        <v/>
      </c>
      <c r="F95" s="119" t="str">
        <f aca="false">IF(IFERROR(INDEX(tsk_Name,GanttView[[#This Row],[_Row]])="",TRUE()),"",INDEX(tsk_PlanFinish,GanttView[[#This Row],[_Row]]))</f>
        <v/>
      </c>
      <c r="G95" s="119" t="str">
        <f aca="false">IF(IFERROR(INDEX(tsk_Name,GanttView[[#This Row],[_Row]])="",TRUE()),"",INDEX(tsk_FcStart,GanttView[[#This Row],[_Row]]))</f>
        <v/>
      </c>
      <c r="H95" s="119" t="str">
        <f aca="false">IF(IFERROR(INDEX(tsk_Name,GanttView[[#This Row],[_Row]])="",TRUE()),"",INDEX(tsk_FcFinish,GanttView[[#This Row],[_Row]]))</f>
        <v/>
      </c>
      <c r="I95" s="120" t="str">
        <f aca="false">IF(IFERROR(INDEX(tsk_Name,GanttView[[#This Row],[_Row]])="",TRUE()),"",INDEX(tsk_Progress,GanttView[[#This Row],[_Row]]))</f>
        <v/>
      </c>
      <c r="J95" s="118" t="str">
        <f aca="false">IF(IFERROR(INDEX(tsk_Name,GanttView[[#This Row],[_Row]])="",TRUE()),"",INDEX(tsk_Resource,GanttView[[#This Row],[_Row]])&amp;"")</f>
        <v/>
      </c>
      <c r="K95" s="121" t="str">
        <f aca="false">IF(IFERROR(INDEX(tsk_Name,GanttView[[#This Row],[_Row]])="",TRUE()),"",INDEX(tsk_Status,GanttView[[#This Row],[_Row]]))</f>
        <v/>
      </c>
      <c r="L95" s="122" t="n">
        <f aca="false">ROW()-ROW(GanttView[[#Headers],[ID]])</f>
        <v>90</v>
      </c>
      <c r="M95" s="123" t="b">
        <f aca="false">IF(IFERROR(INDEX(tsk_Name,GanttView[[#This Row],[_Row]])="",TRUE()),FALSE(),INDEX(tsk_IsSummary,GanttView[[#This Row],[_Row]]))</f>
        <v>0</v>
      </c>
      <c r="N95" s="123" t="b">
        <f aca="false">IF(IFERROR(INDEX(tsk_Name,GanttView[[#This Row],[_Row]])="",TRUE()),FALSE(),AND(INDEX(tsk_IsLeaf,GanttView[[#This Row],[_Row]])=1,N(INDEX(tsk_Duration,GanttView[[#This Row],[_Row]]))=0))</f>
        <v>0</v>
      </c>
      <c r="O95" s="124" t="n">
        <f aca="false">IF(IFERROR(INDEX(tsk_Name,GanttView[[#This Row],[_Row]])="",TRUE()),0,IF(AND(INDEX(tsk_IsLeaf,GanttView[[#This Row],[_Row]])=1,NOT(GanttView[[#This Row],[_IsMilestone]]),N(GanttView[[#This Row],[%]])&gt;0),GanttView[[#This Row],[Forecast Start]],0))</f>
        <v>0</v>
      </c>
      <c r="P95" s="124" t="n">
        <f aca="false">IF(GanttView[[#This Row],[_DoneFrom]]=0,0,IF(GanttView[[#This Row],[%]]&gt;=1,GanttView[[#This Row],[Forecast Finish]],MAX(GanttView[[#This Row],[_DoneFrom]],GanttView[[#This Row],[Forecast Start]]+ROUND((GanttView[[#This Row],[Forecast Finish]]-GanttView[[#This Row],[Forecast Start]]+1)*GanttView[[#This Row],[%]],0)-1)))</f>
        <v>0</v>
      </c>
      <c r="Q95" s="124" t="n">
        <f aca="false">IF(IFERROR(INDEX(tsk_Name,GanttView[[#This Row],[_Row]])="",TRUE()),0,IF(OR(INDEX(tsk_IsLeaf,GanttView[[#This Row],[_Row]])&lt;&gt;1,GanttView[[#This Row],[_IsMilestone]],N(GanttView[[#This Row],[%]])&gt;=1),0,IF(GanttView[[#This Row],[_DoneTo]]&gt;0,GanttView[[#This Row],[_DoneTo]]+1,GanttView[[#This Row],[Forecast Start]])))</f>
        <v>0</v>
      </c>
      <c r="R95" s="124" t="n">
        <f aca="false">IF(GanttView[[#This Row],[_RemFrom]]=0,0,GanttView[[#This Row],[Forecast Finish]])</f>
        <v>0</v>
      </c>
      <c r="S95" s="123" t="b">
        <f aca="false">IF(IFERROR(INDEX(tsk_Name,GanttView[[#This Row],[_Row]])="",TRUE()),FALSE(),N(INDEX(tsk_Variance,GanttView[[#This Row],[_Row]]))&gt;0)</f>
        <v>0</v>
      </c>
      <c r="T95" s="124" t="n">
        <f aca="false">IF(IFERROR(INDEX(tsk_Name,GanttView[[#This Row],[_Row]])="",TRUE()),0,N(INDEX(tsk_Deadline,GanttView[[#This Row],[_Row]])))</f>
        <v>0</v>
      </c>
      <c r="U95" s="123" t="b">
        <f aca="false">IF(IFERROR(INDEX(tsk_Name,GanttView[[#This Row],[_Row]])="",TRUE()),FALSE(),INDEX(tsk_Critical,GanttView[[#This Row],[_Row]])="Yes")</f>
        <v>0</v>
      </c>
    </row>
    <row r="96" customFormat="false" ht="15" hidden="false" customHeight="false" outlineLevel="0" collapsed="false">
      <c r="A96" s="117" t="str">
        <f aca="false">IF(IFERROR(INDEX(tsk_Name,GanttView[[#This Row],[_Row]])="",TRUE()),"",INDEX(tsk_ID,GanttView[[#This Row],[_Row]]))</f>
        <v/>
      </c>
      <c r="B96" s="117" t="str">
        <f aca="false">IF(IFERROR(INDEX(tsk_Name,GanttView[[#This Row],[_Row]])="",TRUE()),"",INDEX(tsk_WBS,GanttView[[#This Row],[_Row]]))</f>
        <v/>
      </c>
      <c r="C96" s="118" t="str">
        <f aca="false">IF(IFERROR(INDEX(tsk_Name,GanttView[[#This Row],[_Row]])="",TRUE()),"",REPT("    ",INDEX(tsk_Level,GanttView[[#This Row],[_Row]])-1)&amp;INDEX(tsk_Name,GanttView[[#This Row],[_Row]]))</f>
        <v/>
      </c>
      <c r="D96" s="117" t="str">
        <f aca="false">IF(IFERROR(INDEX(tsk_Name,GanttView[[#This Row],[_Row]])="",TRUE()),"",IF(INDEX(tsk_IsSummary,GanttView[[#This Row],[_Row]]),NETWORKDAYS.INTL(INDEX(tsk_FcStart,GanttView[[#This Row],[_Row]]),INDEX(tsk_FcFinish,GanttView[[#This Row],[_Row]]),WorkWeek,Holidays),N(INDEX(tsk_Duration,GanttView[[#This Row],[_Row]]))))</f>
        <v/>
      </c>
      <c r="E96" s="119" t="str">
        <f aca="false">IF(IFERROR(INDEX(tsk_Name,GanttView[[#This Row],[_Row]])="",TRUE()),"",INDEX(tsk_PlanStart,GanttView[[#This Row],[_Row]]))</f>
        <v/>
      </c>
      <c r="F96" s="119" t="str">
        <f aca="false">IF(IFERROR(INDEX(tsk_Name,GanttView[[#This Row],[_Row]])="",TRUE()),"",INDEX(tsk_PlanFinish,GanttView[[#This Row],[_Row]]))</f>
        <v/>
      </c>
      <c r="G96" s="119" t="str">
        <f aca="false">IF(IFERROR(INDEX(tsk_Name,GanttView[[#This Row],[_Row]])="",TRUE()),"",INDEX(tsk_FcStart,GanttView[[#This Row],[_Row]]))</f>
        <v/>
      </c>
      <c r="H96" s="119" t="str">
        <f aca="false">IF(IFERROR(INDEX(tsk_Name,GanttView[[#This Row],[_Row]])="",TRUE()),"",INDEX(tsk_FcFinish,GanttView[[#This Row],[_Row]]))</f>
        <v/>
      </c>
      <c r="I96" s="120" t="str">
        <f aca="false">IF(IFERROR(INDEX(tsk_Name,GanttView[[#This Row],[_Row]])="",TRUE()),"",INDEX(tsk_Progress,GanttView[[#This Row],[_Row]]))</f>
        <v/>
      </c>
      <c r="J96" s="118" t="str">
        <f aca="false">IF(IFERROR(INDEX(tsk_Name,GanttView[[#This Row],[_Row]])="",TRUE()),"",INDEX(tsk_Resource,GanttView[[#This Row],[_Row]])&amp;"")</f>
        <v/>
      </c>
      <c r="K96" s="121" t="str">
        <f aca="false">IF(IFERROR(INDEX(tsk_Name,GanttView[[#This Row],[_Row]])="",TRUE()),"",INDEX(tsk_Status,GanttView[[#This Row],[_Row]]))</f>
        <v/>
      </c>
      <c r="L96" s="122" t="n">
        <f aca="false">ROW()-ROW(GanttView[[#Headers],[ID]])</f>
        <v>91</v>
      </c>
      <c r="M96" s="123" t="b">
        <f aca="false">IF(IFERROR(INDEX(tsk_Name,GanttView[[#This Row],[_Row]])="",TRUE()),FALSE(),INDEX(tsk_IsSummary,GanttView[[#This Row],[_Row]]))</f>
        <v>0</v>
      </c>
      <c r="N96" s="123" t="b">
        <f aca="false">IF(IFERROR(INDEX(tsk_Name,GanttView[[#This Row],[_Row]])="",TRUE()),FALSE(),AND(INDEX(tsk_IsLeaf,GanttView[[#This Row],[_Row]])=1,N(INDEX(tsk_Duration,GanttView[[#This Row],[_Row]]))=0))</f>
        <v>0</v>
      </c>
      <c r="O96" s="124" t="n">
        <f aca="false">IF(IFERROR(INDEX(tsk_Name,GanttView[[#This Row],[_Row]])="",TRUE()),0,IF(AND(INDEX(tsk_IsLeaf,GanttView[[#This Row],[_Row]])=1,NOT(GanttView[[#This Row],[_IsMilestone]]),N(GanttView[[#This Row],[%]])&gt;0),GanttView[[#This Row],[Forecast Start]],0))</f>
        <v>0</v>
      </c>
      <c r="P96" s="124" t="n">
        <f aca="false">IF(GanttView[[#This Row],[_DoneFrom]]=0,0,IF(GanttView[[#This Row],[%]]&gt;=1,GanttView[[#This Row],[Forecast Finish]],MAX(GanttView[[#This Row],[_DoneFrom]],GanttView[[#This Row],[Forecast Start]]+ROUND((GanttView[[#This Row],[Forecast Finish]]-GanttView[[#This Row],[Forecast Start]]+1)*GanttView[[#This Row],[%]],0)-1)))</f>
        <v>0</v>
      </c>
      <c r="Q96" s="124" t="n">
        <f aca="false">IF(IFERROR(INDEX(tsk_Name,GanttView[[#This Row],[_Row]])="",TRUE()),0,IF(OR(INDEX(tsk_IsLeaf,GanttView[[#This Row],[_Row]])&lt;&gt;1,GanttView[[#This Row],[_IsMilestone]],N(GanttView[[#This Row],[%]])&gt;=1),0,IF(GanttView[[#This Row],[_DoneTo]]&gt;0,GanttView[[#This Row],[_DoneTo]]+1,GanttView[[#This Row],[Forecast Start]])))</f>
        <v>0</v>
      </c>
      <c r="R96" s="124" t="n">
        <f aca="false">IF(GanttView[[#This Row],[_RemFrom]]=0,0,GanttView[[#This Row],[Forecast Finish]])</f>
        <v>0</v>
      </c>
      <c r="S96" s="123" t="b">
        <f aca="false">IF(IFERROR(INDEX(tsk_Name,GanttView[[#This Row],[_Row]])="",TRUE()),FALSE(),N(INDEX(tsk_Variance,GanttView[[#This Row],[_Row]]))&gt;0)</f>
        <v>0</v>
      </c>
      <c r="T96" s="124" t="n">
        <f aca="false">IF(IFERROR(INDEX(tsk_Name,GanttView[[#This Row],[_Row]])="",TRUE()),0,N(INDEX(tsk_Deadline,GanttView[[#This Row],[_Row]])))</f>
        <v>0</v>
      </c>
      <c r="U96" s="123" t="b">
        <f aca="false">IF(IFERROR(INDEX(tsk_Name,GanttView[[#This Row],[_Row]])="",TRUE()),FALSE(),INDEX(tsk_Critical,GanttView[[#This Row],[_Row]])="Yes")</f>
        <v>0</v>
      </c>
    </row>
    <row r="97" customFormat="false" ht="15" hidden="false" customHeight="false" outlineLevel="0" collapsed="false">
      <c r="A97" s="117" t="str">
        <f aca="false">IF(IFERROR(INDEX(tsk_Name,GanttView[[#This Row],[_Row]])="",TRUE()),"",INDEX(tsk_ID,GanttView[[#This Row],[_Row]]))</f>
        <v/>
      </c>
      <c r="B97" s="117" t="str">
        <f aca="false">IF(IFERROR(INDEX(tsk_Name,GanttView[[#This Row],[_Row]])="",TRUE()),"",INDEX(tsk_WBS,GanttView[[#This Row],[_Row]]))</f>
        <v/>
      </c>
      <c r="C97" s="118" t="str">
        <f aca="false">IF(IFERROR(INDEX(tsk_Name,GanttView[[#This Row],[_Row]])="",TRUE()),"",REPT("    ",INDEX(tsk_Level,GanttView[[#This Row],[_Row]])-1)&amp;INDEX(tsk_Name,GanttView[[#This Row],[_Row]]))</f>
        <v/>
      </c>
      <c r="D97" s="117" t="str">
        <f aca="false">IF(IFERROR(INDEX(tsk_Name,GanttView[[#This Row],[_Row]])="",TRUE()),"",IF(INDEX(tsk_IsSummary,GanttView[[#This Row],[_Row]]),NETWORKDAYS.INTL(INDEX(tsk_FcStart,GanttView[[#This Row],[_Row]]),INDEX(tsk_FcFinish,GanttView[[#This Row],[_Row]]),WorkWeek,Holidays),N(INDEX(tsk_Duration,GanttView[[#This Row],[_Row]]))))</f>
        <v/>
      </c>
      <c r="E97" s="119" t="str">
        <f aca="false">IF(IFERROR(INDEX(tsk_Name,GanttView[[#This Row],[_Row]])="",TRUE()),"",INDEX(tsk_PlanStart,GanttView[[#This Row],[_Row]]))</f>
        <v/>
      </c>
      <c r="F97" s="119" t="str">
        <f aca="false">IF(IFERROR(INDEX(tsk_Name,GanttView[[#This Row],[_Row]])="",TRUE()),"",INDEX(tsk_PlanFinish,GanttView[[#This Row],[_Row]]))</f>
        <v/>
      </c>
      <c r="G97" s="119" t="str">
        <f aca="false">IF(IFERROR(INDEX(tsk_Name,GanttView[[#This Row],[_Row]])="",TRUE()),"",INDEX(tsk_FcStart,GanttView[[#This Row],[_Row]]))</f>
        <v/>
      </c>
      <c r="H97" s="119" t="str">
        <f aca="false">IF(IFERROR(INDEX(tsk_Name,GanttView[[#This Row],[_Row]])="",TRUE()),"",INDEX(tsk_FcFinish,GanttView[[#This Row],[_Row]]))</f>
        <v/>
      </c>
      <c r="I97" s="120" t="str">
        <f aca="false">IF(IFERROR(INDEX(tsk_Name,GanttView[[#This Row],[_Row]])="",TRUE()),"",INDEX(tsk_Progress,GanttView[[#This Row],[_Row]]))</f>
        <v/>
      </c>
      <c r="J97" s="118" t="str">
        <f aca="false">IF(IFERROR(INDEX(tsk_Name,GanttView[[#This Row],[_Row]])="",TRUE()),"",INDEX(tsk_Resource,GanttView[[#This Row],[_Row]])&amp;"")</f>
        <v/>
      </c>
      <c r="K97" s="121" t="str">
        <f aca="false">IF(IFERROR(INDEX(tsk_Name,GanttView[[#This Row],[_Row]])="",TRUE()),"",INDEX(tsk_Status,GanttView[[#This Row],[_Row]]))</f>
        <v/>
      </c>
      <c r="L97" s="122" t="n">
        <f aca="false">ROW()-ROW(GanttView[[#Headers],[ID]])</f>
        <v>92</v>
      </c>
      <c r="M97" s="123" t="b">
        <f aca="false">IF(IFERROR(INDEX(tsk_Name,GanttView[[#This Row],[_Row]])="",TRUE()),FALSE(),INDEX(tsk_IsSummary,GanttView[[#This Row],[_Row]]))</f>
        <v>0</v>
      </c>
      <c r="N97" s="123" t="b">
        <f aca="false">IF(IFERROR(INDEX(tsk_Name,GanttView[[#This Row],[_Row]])="",TRUE()),FALSE(),AND(INDEX(tsk_IsLeaf,GanttView[[#This Row],[_Row]])=1,N(INDEX(tsk_Duration,GanttView[[#This Row],[_Row]]))=0))</f>
        <v>0</v>
      </c>
      <c r="O97" s="124" t="n">
        <f aca="false">IF(IFERROR(INDEX(tsk_Name,GanttView[[#This Row],[_Row]])="",TRUE()),0,IF(AND(INDEX(tsk_IsLeaf,GanttView[[#This Row],[_Row]])=1,NOT(GanttView[[#This Row],[_IsMilestone]]),N(GanttView[[#This Row],[%]])&gt;0),GanttView[[#This Row],[Forecast Start]],0))</f>
        <v>0</v>
      </c>
      <c r="P97" s="124" t="n">
        <f aca="false">IF(GanttView[[#This Row],[_DoneFrom]]=0,0,IF(GanttView[[#This Row],[%]]&gt;=1,GanttView[[#This Row],[Forecast Finish]],MAX(GanttView[[#This Row],[_DoneFrom]],GanttView[[#This Row],[Forecast Start]]+ROUND((GanttView[[#This Row],[Forecast Finish]]-GanttView[[#This Row],[Forecast Start]]+1)*GanttView[[#This Row],[%]],0)-1)))</f>
        <v>0</v>
      </c>
      <c r="Q97" s="124" t="n">
        <f aca="false">IF(IFERROR(INDEX(tsk_Name,GanttView[[#This Row],[_Row]])="",TRUE()),0,IF(OR(INDEX(tsk_IsLeaf,GanttView[[#This Row],[_Row]])&lt;&gt;1,GanttView[[#This Row],[_IsMilestone]],N(GanttView[[#This Row],[%]])&gt;=1),0,IF(GanttView[[#This Row],[_DoneTo]]&gt;0,GanttView[[#This Row],[_DoneTo]]+1,GanttView[[#This Row],[Forecast Start]])))</f>
        <v>0</v>
      </c>
      <c r="R97" s="124" t="n">
        <f aca="false">IF(GanttView[[#This Row],[_RemFrom]]=0,0,GanttView[[#This Row],[Forecast Finish]])</f>
        <v>0</v>
      </c>
      <c r="S97" s="123" t="b">
        <f aca="false">IF(IFERROR(INDEX(tsk_Name,GanttView[[#This Row],[_Row]])="",TRUE()),FALSE(),N(INDEX(tsk_Variance,GanttView[[#This Row],[_Row]]))&gt;0)</f>
        <v>0</v>
      </c>
      <c r="T97" s="124" t="n">
        <f aca="false">IF(IFERROR(INDEX(tsk_Name,GanttView[[#This Row],[_Row]])="",TRUE()),0,N(INDEX(tsk_Deadline,GanttView[[#This Row],[_Row]])))</f>
        <v>0</v>
      </c>
      <c r="U97" s="123" t="b">
        <f aca="false">IF(IFERROR(INDEX(tsk_Name,GanttView[[#This Row],[_Row]])="",TRUE()),FALSE(),INDEX(tsk_Critical,GanttView[[#This Row],[_Row]])="Yes")</f>
        <v>0</v>
      </c>
    </row>
    <row r="98" customFormat="false" ht="15" hidden="false" customHeight="false" outlineLevel="0" collapsed="false">
      <c r="A98" s="117" t="str">
        <f aca="false">IF(IFERROR(INDEX(tsk_Name,GanttView[[#This Row],[_Row]])="",TRUE()),"",INDEX(tsk_ID,GanttView[[#This Row],[_Row]]))</f>
        <v/>
      </c>
      <c r="B98" s="117" t="str">
        <f aca="false">IF(IFERROR(INDEX(tsk_Name,GanttView[[#This Row],[_Row]])="",TRUE()),"",INDEX(tsk_WBS,GanttView[[#This Row],[_Row]]))</f>
        <v/>
      </c>
      <c r="C98" s="118" t="str">
        <f aca="false">IF(IFERROR(INDEX(tsk_Name,GanttView[[#This Row],[_Row]])="",TRUE()),"",REPT("    ",INDEX(tsk_Level,GanttView[[#This Row],[_Row]])-1)&amp;INDEX(tsk_Name,GanttView[[#This Row],[_Row]]))</f>
        <v/>
      </c>
      <c r="D98" s="117" t="str">
        <f aca="false">IF(IFERROR(INDEX(tsk_Name,GanttView[[#This Row],[_Row]])="",TRUE()),"",IF(INDEX(tsk_IsSummary,GanttView[[#This Row],[_Row]]),NETWORKDAYS.INTL(INDEX(tsk_FcStart,GanttView[[#This Row],[_Row]]),INDEX(tsk_FcFinish,GanttView[[#This Row],[_Row]]),WorkWeek,Holidays),N(INDEX(tsk_Duration,GanttView[[#This Row],[_Row]]))))</f>
        <v/>
      </c>
      <c r="E98" s="119" t="str">
        <f aca="false">IF(IFERROR(INDEX(tsk_Name,GanttView[[#This Row],[_Row]])="",TRUE()),"",INDEX(tsk_PlanStart,GanttView[[#This Row],[_Row]]))</f>
        <v/>
      </c>
      <c r="F98" s="119" t="str">
        <f aca="false">IF(IFERROR(INDEX(tsk_Name,GanttView[[#This Row],[_Row]])="",TRUE()),"",INDEX(tsk_PlanFinish,GanttView[[#This Row],[_Row]]))</f>
        <v/>
      </c>
      <c r="G98" s="119" t="str">
        <f aca="false">IF(IFERROR(INDEX(tsk_Name,GanttView[[#This Row],[_Row]])="",TRUE()),"",INDEX(tsk_FcStart,GanttView[[#This Row],[_Row]]))</f>
        <v/>
      </c>
      <c r="H98" s="119" t="str">
        <f aca="false">IF(IFERROR(INDEX(tsk_Name,GanttView[[#This Row],[_Row]])="",TRUE()),"",INDEX(tsk_FcFinish,GanttView[[#This Row],[_Row]]))</f>
        <v/>
      </c>
      <c r="I98" s="120" t="str">
        <f aca="false">IF(IFERROR(INDEX(tsk_Name,GanttView[[#This Row],[_Row]])="",TRUE()),"",INDEX(tsk_Progress,GanttView[[#This Row],[_Row]]))</f>
        <v/>
      </c>
      <c r="J98" s="118" t="str">
        <f aca="false">IF(IFERROR(INDEX(tsk_Name,GanttView[[#This Row],[_Row]])="",TRUE()),"",INDEX(tsk_Resource,GanttView[[#This Row],[_Row]])&amp;"")</f>
        <v/>
      </c>
      <c r="K98" s="121" t="str">
        <f aca="false">IF(IFERROR(INDEX(tsk_Name,GanttView[[#This Row],[_Row]])="",TRUE()),"",INDEX(tsk_Status,GanttView[[#This Row],[_Row]]))</f>
        <v/>
      </c>
      <c r="L98" s="122" t="n">
        <f aca="false">ROW()-ROW(GanttView[[#Headers],[ID]])</f>
        <v>93</v>
      </c>
      <c r="M98" s="123" t="b">
        <f aca="false">IF(IFERROR(INDEX(tsk_Name,GanttView[[#This Row],[_Row]])="",TRUE()),FALSE(),INDEX(tsk_IsSummary,GanttView[[#This Row],[_Row]]))</f>
        <v>0</v>
      </c>
      <c r="N98" s="123" t="b">
        <f aca="false">IF(IFERROR(INDEX(tsk_Name,GanttView[[#This Row],[_Row]])="",TRUE()),FALSE(),AND(INDEX(tsk_IsLeaf,GanttView[[#This Row],[_Row]])=1,N(INDEX(tsk_Duration,GanttView[[#This Row],[_Row]]))=0))</f>
        <v>0</v>
      </c>
      <c r="O98" s="124" t="n">
        <f aca="false">IF(IFERROR(INDEX(tsk_Name,GanttView[[#This Row],[_Row]])="",TRUE()),0,IF(AND(INDEX(tsk_IsLeaf,GanttView[[#This Row],[_Row]])=1,NOT(GanttView[[#This Row],[_IsMilestone]]),N(GanttView[[#This Row],[%]])&gt;0),GanttView[[#This Row],[Forecast Start]],0))</f>
        <v>0</v>
      </c>
      <c r="P98" s="124" t="n">
        <f aca="false">IF(GanttView[[#This Row],[_DoneFrom]]=0,0,IF(GanttView[[#This Row],[%]]&gt;=1,GanttView[[#This Row],[Forecast Finish]],MAX(GanttView[[#This Row],[_DoneFrom]],GanttView[[#This Row],[Forecast Start]]+ROUND((GanttView[[#This Row],[Forecast Finish]]-GanttView[[#This Row],[Forecast Start]]+1)*GanttView[[#This Row],[%]],0)-1)))</f>
        <v>0</v>
      </c>
      <c r="Q98" s="124" t="n">
        <f aca="false">IF(IFERROR(INDEX(tsk_Name,GanttView[[#This Row],[_Row]])="",TRUE()),0,IF(OR(INDEX(tsk_IsLeaf,GanttView[[#This Row],[_Row]])&lt;&gt;1,GanttView[[#This Row],[_IsMilestone]],N(GanttView[[#This Row],[%]])&gt;=1),0,IF(GanttView[[#This Row],[_DoneTo]]&gt;0,GanttView[[#This Row],[_DoneTo]]+1,GanttView[[#This Row],[Forecast Start]])))</f>
        <v>0</v>
      </c>
      <c r="R98" s="124" t="n">
        <f aca="false">IF(GanttView[[#This Row],[_RemFrom]]=0,0,GanttView[[#This Row],[Forecast Finish]])</f>
        <v>0</v>
      </c>
      <c r="S98" s="123" t="b">
        <f aca="false">IF(IFERROR(INDEX(tsk_Name,GanttView[[#This Row],[_Row]])="",TRUE()),FALSE(),N(INDEX(tsk_Variance,GanttView[[#This Row],[_Row]]))&gt;0)</f>
        <v>0</v>
      </c>
      <c r="T98" s="124" t="n">
        <f aca="false">IF(IFERROR(INDEX(tsk_Name,GanttView[[#This Row],[_Row]])="",TRUE()),0,N(INDEX(tsk_Deadline,GanttView[[#This Row],[_Row]])))</f>
        <v>0</v>
      </c>
      <c r="U98" s="123" t="b">
        <f aca="false">IF(IFERROR(INDEX(tsk_Name,GanttView[[#This Row],[_Row]])="",TRUE()),FALSE(),INDEX(tsk_Critical,GanttView[[#This Row],[_Row]])="Yes")</f>
        <v>0</v>
      </c>
    </row>
    <row r="99" customFormat="false" ht="15" hidden="false" customHeight="false" outlineLevel="0" collapsed="false">
      <c r="A99" s="117" t="str">
        <f aca="false">IF(IFERROR(INDEX(tsk_Name,GanttView[[#This Row],[_Row]])="",TRUE()),"",INDEX(tsk_ID,GanttView[[#This Row],[_Row]]))</f>
        <v/>
      </c>
      <c r="B99" s="117" t="str">
        <f aca="false">IF(IFERROR(INDEX(tsk_Name,GanttView[[#This Row],[_Row]])="",TRUE()),"",INDEX(tsk_WBS,GanttView[[#This Row],[_Row]]))</f>
        <v/>
      </c>
      <c r="C99" s="118" t="str">
        <f aca="false">IF(IFERROR(INDEX(tsk_Name,GanttView[[#This Row],[_Row]])="",TRUE()),"",REPT("    ",INDEX(tsk_Level,GanttView[[#This Row],[_Row]])-1)&amp;INDEX(tsk_Name,GanttView[[#This Row],[_Row]]))</f>
        <v/>
      </c>
      <c r="D99" s="117" t="str">
        <f aca="false">IF(IFERROR(INDEX(tsk_Name,GanttView[[#This Row],[_Row]])="",TRUE()),"",IF(INDEX(tsk_IsSummary,GanttView[[#This Row],[_Row]]),NETWORKDAYS.INTL(INDEX(tsk_FcStart,GanttView[[#This Row],[_Row]]),INDEX(tsk_FcFinish,GanttView[[#This Row],[_Row]]),WorkWeek,Holidays),N(INDEX(tsk_Duration,GanttView[[#This Row],[_Row]]))))</f>
        <v/>
      </c>
      <c r="E99" s="119" t="str">
        <f aca="false">IF(IFERROR(INDEX(tsk_Name,GanttView[[#This Row],[_Row]])="",TRUE()),"",INDEX(tsk_PlanStart,GanttView[[#This Row],[_Row]]))</f>
        <v/>
      </c>
      <c r="F99" s="119" t="str">
        <f aca="false">IF(IFERROR(INDEX(tsk_Name,GanttView[[#This Row],[_Row]])="",TRUE()),"",INDEX(tsk_PlanFinish,GanttView[[#This Row],[_Row]]))</f>
        <v/>
      </c>
      <c r="G99" s="119" t="str">
        <f aca="false">IF(IFERROR(INDEX(tsk_Name,GanttView[[#This Row],[_Row]])="",TRUE()),"",INDEX(tsk_FcStart,GanttView[[#This Row],[_Row]]))</f>
        <v/>
      </c>
      <c r="H99" s="119" t="str">
        <f aca="false">IF(IFERROR(INDEX(tsk_Name,GanttView[[#This Row],[_Row]])="",TRUE()),"",INDEX(tsk_FcFinish,GanttView[[#This Row],[_Row]]))</f>
        <v/>
      </c>
      <c r="I99" s="120" t="str">
        <f aca="false">IF(IFERROR(INDEX(tsk_Name,GanttView[[#This Row],[_Row]])="",TRUE()),"",INDEX(tsk_Progress,GanttView[[#This Row],[_Row]]))</f>
        <v/>
      </c>
      <c r="J99" s="118" t="str">
        <f aca="false">IF(IFERROR(INDEX(tsk_Name,GanttView[[#This Row],[_Row]])="",TRUE()),"",INDEX(tsk_Resource,GanttView[[#This Row],[_Row]])&amp;"")</f>
        <v/>
      </c>
      <c r="K99" s="121" t="str">
        <f aca="false">IF(IFERROR(INDEX(tsk_Name,GanttView[[#This Row],[_Row]])="",TRUE()),"",INDEX(tsk_Status,GanttView[[#This Row],[_Row]]))</f>
        <v/>
      </c>
      <c r="L99" s="122" t="n">
        <f aca="false">ROW()-ROW(GanttView[[#Headers],[ID]])</f>
        <v>94</v>
      </c>
      <c r="M99" s="123" t="b">
        <f aca="false">IF(IFERROR(INDEX(tsk_Name,GanttView[[#This Row],[_Row]])="",TRUE()),FALSE(),INDEX(tsk_IsSummary,GanttView[[#This Row],[_Row]]))</f>
        <v>0</v>
      </c>
      <c r="N99" s="123" t="b">
        <f aca="false">IF(IFERROR(INDEX(tsk_Name,GanttView[[#This Row],[_Row]])="",TRUE()),FALSE(),AND(INDEX(tsk_IsLeaf,GanttView[[#This Row],[_Row]])=1,N(INDEX(tsk_Duration,GanttView[[#This Row],[_Row]]))=0))</f>
        <v>0</v>
      </c>
      <c r="O99" s="124" t="n">
        <f aca="false">IF(IFERROR(INDEX(tsk_Name,GanttView[[#This Row],[_Row]])="",TRUE()),0,IF(AND(INDEX(tsk_IsLeaf,GanttView[[#This Row],[_Row]])=1,NOT(GanttView[[#This Row],[_IsMilestone]]),N(GanttView[[#This Row],[%]])&gt;0),GanttView[[#This Row],[Forecast Start]],0))</f>
        <v>0</v>
      </c>
      <c r="P99" s="124" t="n">
        <f aca="false">IF(GanttView[[#This Row],[_DoneFrom]]=0,0,IF(GanttView[[#This Row],[%]]&gt;=1,GanttView[[#This Row],[Forecast Finish]],MAX(GanttView[[#This Row],[_DoneFrom]],GanttView[[#This Row],[Forecast Start]]+ROUND((GanttView[[#This Row],[Forecast Finish]]-GanttView[[#This Row],[Forecast Start]]+1)*GanttView[[#This Row],[%]],0)-1)))</f>
        <v>0</v>
      </c>
      <c r="Q99" s="124" t="n">
        <f aca="false">IF(IFERROR(INDEX(tsk_Name,GanttView[[#This Row],[_Row]])="",TRUE()),0,IF(OR(INDEX(tsk_IsLeaf,GanttView[[#This Row],[_Row]])&lt;&gt;1,GanttView[[#This Row],[_IsMilestone]],N(GanttView[[#This Row],[%]])&gt;=1),0,IF(GanttView[[#This Row],[_DoneTo]]&gt;0,GanttView[[#This Row],[_DoneTo]]+1,GanttView[[#This Row],[Forecast Start]])))</f>
        <v>0</v>
      </c>
      <c r="R99" s="124" t="n">
        <f aca="false">IF(GanttView[[#This Row],[_RemFrom]]=0,0,GanttView[[#This Row],[Forecast Finish]])</f>
        <v>0</v>
      </c>
      <c r="S99" s="123" t="b">
        <f aca="false">IF(IFERROR(INDEX(tsk_Name,GanttView[[#This Row],[_Row]])="",TRUE()),FALSE(),N(INDEX(tsk_Variance,GanttView[[#This Row],[_Row]]))&gt;0)</f>
        <v>0</v>
      </c>
      <c r="T99" s="124" t="n">
        <f aca="false">IF(IFERROR(INDEX(tsk_Name,GanttView[[#This Row],[_Row]])="",TRUE()),0,N(INDEX(tsk_Deadline,GanttView[[#This Row],[_Row]])))</f>
        <v>0</v>
      </c>
      <c r="U99" s="123" t="b">
        <f aca="false">IF(IFERROR(INDEX(tsk_Name,GanttView[[#This Row],[_Row]])="",TRUE()),FALSE(),INDEX(tsk_Critical,GanttView[[#This Row],[_Row]])="Yes")</f>
        <v>0</v>
      </c>
    </row>
    <row r="100" customFormat="false" ht="15" hidden="false" customHeight="false" outlineLevel="0" collapsed="false">
      <c r="A100" s="117" t="str">
        <f aca="false">IF(IFERROR(INDEX(tsk_Name,GanttView[[#This Row],[_Row]])="",TRUE()),"",INDEX(tsk_ID,GanttView[[#This Row],[_Row]]))</f>
        <v/>
      </c>
      <c r="B100" s="117" t="str">
        <f aca="false">IF(IFERROR(INDEX(tsk_Name,GanttView[[#This Row],[_Row]])="",TRUE()),"",INDEX(tsk_WBS,GanttView[[#This Row],[_Row]]))</f>
        <v/>
      </c>
      <c r="C100" s="118" t="str">
        <f aca="false">IF(IFERROR(INDEX(tsk_Name,GanttView[[#This Row],[_Row]])="",TRUE()),"",REPT("    ",INDEX(tsk_Level,GanttView[[#This Row],[_Row]])-1)&amp;INDEX(tsk_Name,GanttView[[#This Row],[_Row]]))</f>
        <v/>
      </c>
      <c r="D100" s="117" t="str">
        <f aca="false">IF(IFERROR(INDEX(tsk_Name,GanttView[[#This Row],[_Row]])="",TRUE()),"",IF(INDEX(tsk_IsSummary,GanttView[[#This Row],[_Row]]),NETWORKDAYS.INTL(INDEX(tsk_FcStart,GanttView[[#This Row],[_Row]]),INDEX(tsk_FcFinish,GanttView[[#This Row],[_Row]]),WorkWeek,Holidays),N(INDEX(tsk_Duration,GanttView[[#This Row],[_Row]]))))</f>
        <v/>
      </c>
      <c r="E100" s="119" t="str">
        <f aca="false">IF(IFERROR(INDEX(tsk_Name,GanttView[[#This Row],[_Row]])="",TRUE()),"",INDEX(tsk_PlanStart,GanttView[[#This Row],[_Row]]))</f>
        <v/>
      </c>
      <c r="F100" s="119" t="str">
        <f aca="false">IF(IFERROR(INDEX(tsk_Name,GanttView[[#This Row],[_Row]])="",TRUE()),"",INDEX(tsk_PlanFinish,GanttView[[#This Row],[_Row]]))</f>
        <v/>
      </c>
      <c r="G100" s="119" t="str">
        <f aca="false">IF(IFERROR(INDEX(tsk_Name,GanttView[[#This Row],[_Row]])="",TRUE()),"",INDEX(tsk_FcStart,GanttView[[#This Row],[_Row]]))</f>
        <v/>
      </c>
      <c r="H100" s="119" t="str">
        <f aca="false">IF(IFERROR(INDEX(tsk_Name,GanttView[[#This Row],[_Row]])="",TRUE()),"",INDEX(tsk_FcFinish,GanttView[[#This Row],[_Row]]))</f>
        <v/>
      </c>
      <c r="I100" s="120" t="str">
        <f aca="false">IF(IFERROR(INDEX(tsk_Name,GanttView[[#This Row],[_Row]])="",TRUE()),"",INDEX(tsk_Progress,GanttView[[#This Row],[_Row]]))</f>
        <v/>
      </c>
      <c r="J100" s="118" t="str">
        <f aca="false">IF(IFERROR(INDEX(tsk_Name,GanttView[[#This Row],[_Row]])="",TRUE()),"",INDEX(tsk_Resource,GanttView[[#This Row],[_Row]])&amp;"")</f>
        <v/>
      </c>
      <c r="K100" s="121" t="str">
        <f aca="false">IF(IFERROR(INDEX(tsk_Name,GanttView[[#This Row],[_Row]])="",TRUE()),"",INDEX(tsk_Status,GanttView[[#This Row],[_Row]]))</f>
        <v/>
      </c>
      <c r="L100" s="122" t="n">
        <f aca="false">ROW()-ROW(GanttView[[#Headers],[ID]])</f>
        <v>95</v>
      </c>
      <c r="M100" s="123" t="b">
        <f aca="false">IF(IFERROR(INDEX(tsk_Name,GanttView[[#This Row],[_Row]])="",TRUE()),FALSE(),INDEX(tsk_IsSummary,GanttView[[#This Row],[_Row]]))</f>
        <v>0</v>
      </c>
      <c r="N100" s="123" t="b">
        <f aca="false">IF(IFERROR(INDEX(tsk_Name,GanttView[[#This Row],[_Row]])="",TRUE()),FALSE(),AND(INDEX(tsk_IsLeaf,GanttView[[#This Row],[_Row]])=1,N(INDEX(tsk_Duration,GanttView[[#This Row],[_Row]]))=0))</f>
        <v>0</v>
      </c>
      <c r="O100" s="124" t="n">
        <f aca="false">IF(IFERROR(INDEX(tsk_Name,GanttView[[#This Row],[_Row]])="",TRUE()),0,IF(AND(INDEX(tsk_IsLeaf,GanttView[[#This Row],[_Row]])=1,NOT(GanttView[[#This Row],[_IsMilestone]]),N(GanttView[[#This Row],[%]])&gt;0),GanttView[[#This Row],[Forecast Start]],0))</f>
        <v>0</v>
      </c>
      <c r="P100" s="124" t="n">
        <f aca="false">IF(GanttView[[#This Row],[_DoneFrom]]=0,0,IF(GanttView[[#This Row],[%]]&gt;=1,GanttView[[#This Row],[Forecast Finish]],MAX(GanttView[[#This Row],[_DoneFrom]],GanttView[[#This Row],[Forecast Start]]+ROUND((GanttView[[#This Row],[Forecast Finish]]-GanttView[[#This Row],[Forecast Start]]+1)*GanttView[[#This Row],[%]],0)-1)))</f>
        <v>0</v>
      </c>
      <c r="Q100" s="124" t="n">
        <f aca="false">IF(IFERROR(INDEX(tsk_Name,GanttView[[#This Row],[_Row]])="",TRUE()),0,IF(OR(INDEX(tsk_IsLeaf,GanttView[[#This Row],[_Row]])&lt;&gt;1,GanttView[[#This Row],[_IsMilestone]],N(GanttView[[#This Row],[%]])&gt;=1),0,IF(GanttView[[#This Row],[_DoneTo]]&gt;0,GanttView[[#This Row],[_DoneTo]]+1,GanttView[[#This Row],[Forecast Start]])))</f>
        <v>0</v>
      </c>
      <c r="R100" s="124" t="n">
        <f aca="false">IF(GanttView[[#This Row],[_RemFrom]]=0,0,GanttView[[#This Row],[Forecast Finish]])</f>
        <v>0</v>
      </c>
      <c r="S100" s="123" t="b">
        <f aca="false">IF(IFERROR(INDEX(tsk_Name,GanttView[[#This Row],[_Row]])="",TRUE()),FALSE(),N(INDEX(tsk_Variance,GanttView[[#This Row],[_Row]]))&gt;0)</f>
        <v>0</v>
      </c>
      <c r="T100" s="124" t="n">
        <f aca="false">IF(IFERROR(INDEX(tsk_Name,GanttView[[#This Row],[_Row]])="",TRUE()),0,N(INDEX(tsk_Deadline,GanttView[[#This Row],[_Row]])))</f>
        <v>0</v>
      </c>
      <c r="U100" s="123" t="b">
        <f aca="false">IF(IFERROR(INDEX(tsk_Name,GanttView[[#This Row],[_Row]])="",TRUE()),FALSE(),INDEX(tsk_Critical,GanttView[[#This Row],[_Row]])="Yes")</f>
        <v>0</v>
      </c>
    </row>
    <row r="101" customFormat="false" ht="15" hidden="false" customHeight="false" outlineLevel="0" collapsed="false">
      <c r="A101" s="117" t="str">
        <f aca="false">IF(IFERROR(INDEX(tsk_Name,GanttView[[#This Row],[_Row]])="",TRUE()),"",INDEX(tsk_ID,GanttView[[#This Row],[_Row]]))</f>
        <v/>
      </c>
      <c r="B101" s="117" t="str">
        <f aca="false">IF(IFERROR(INDEX(tsk_Name,GanttView[[#This Row],[_Row]])="",TRUE()),"",INDEX(tsk_WBS,GanttView[[#This Row],[_Row]]))</f>
        <v/>
      </c>
      <c r="C101" s="118" t="str">
        <f aca="false">IF(IFERROR(INDEX(tsk_Name,GanttView[[#This Row],[_Row]])="",TRUE()),"",REPT("    ",INDEX(tsk_Level,GanttView[[#This Row],[_Row]])-1)&amp;INDEX(tsk_Name,GanttView[[#This Row],[_Row]]))</f>
        <v/>
      </c>
      <c r="D101" s="117" t="str">
        <f aca="false">IF(IFERROR(INDEX(tsk_Name,GanttView[[#This Row],[_Row]])="",TRUE()),"",IF(INDEX(tsk_IsSummary,GanttView[[#This Row],[_Row]]),NETWORKDAYS.INTL(INDEX(tsk_FcStart,GanttView[[#This Row],[_Row]]),INDEX(tsk_FcFinish,GanttView[[#This Row],[_Row]]),WorkWeek,Holidays),N(INDEX(tsk_Duration,GanttView[[#This Row],[_Row]]))))</f>
        <v/>
      </c>
      <c r="E101" s="119" t="str">
        <f aca="false">IF(IFERROR(INDEX(tsk_Name,GanttView[[#This Row],[_Row]])="",TRUE()),"",INDEX(tsk_PlanStart,GanttView[[#This Row],[_Row]]))</f>
        <v/>
      </c>
      <c r="F101" s="119" t="str">
        <f aca="false">IF(IFERROR(INDEX(tsk_Name,GanttView[[#This Row],[_Row]])="",TRUE()),"",INDEX(tsk_PlanFinish,GanttView[[#This Row],[_Row]]))</f>
        <v/>
      </c>
      <c r="G101" s="119" t="str">
        <f aca="false">IF(IFERROR(INDEX(tsk_Name,GanttView[[#This Row],[_Row]])="",TRUE()),"",INDEX(tsk_FcStart,GanttView[[#This Row],[_Row]]))</f>
        <v/>
      </c>
      <c r="H101" s="119" t="str">
        <f aca="false">IF(IFERROR(INDEX(tsk_Name,GanttView[[#This Row],[_Row]])="",TRUE()),"",INDEX(tsk_FcFinish,GanttView[[#This Row],[_Row]]))</f>
        <v/>
      </c>
      <c r="I101" s="120" t="str">
        <f aca="false">IF(IFERROR(INDEX(tsk_Name,GanttView[[#This Row],[_Row]])="",TRUE()),"",INDEX(tsk_Progress,GanttView[[#This Row],[_Row]]))</f>
        <v/>
      </c>
      <c r="J101" s="118" t="str">
        <f aca="false">IF(IFERROR(INDEX(tsk_Name,GanttView[[#This Row],[_Row]])="",TRUE()),"",INDEX(tsk_Resource,GanttView[[#This Row],[_Row]])&amp;"")</f>
        <v/>
      </c>
      <c r="K101" s="121" t="str">
        <f aca="false">IF(IFERROR(INDEX(tsk_Name,GanttView[[#This Row],[_Row]])="",TRUE()),"",INDEX(tsk_Status,GanttView[[#This Row],[_Row]]))</f>
        <v/>
      </c>
      <c r="L101" s="122" t="n">
        <f aca="false">ROW()-ROW(GanttView[[#Headers],[ID]])</f>
        <v>96</v>
      </c>
      <c r="M101" s="123" t="b">
        <f aca="false">IF(IFERROR(INDEX(tsk_Name,GanttView[[#This Row],[_Row]])="",TRUE()),FALSE(),INDEX(tsk_IsSummary,GanttView[[#This Row],[_Row]]))</f>
        <v>0</v>
      </c>
      <c r="N101" s="123" t="b">
        <f aca="false">IF(IFERROR(INDEX(tsk_Name,GanttView[[#This Row],[_Row]])="",TRUE()),FALSE(),AND(INDEX(tsk_IsLeaf,GanttView[[#This Row],[_Row]])=1,N(INDEX(tsk_Duration,GanttView[[#This Row],[_Row]]))=0))</f>
        <v>0</v>
      </c>
      <c r="O101" s="124" t="n">
        <f aca="false">IF(IFERROR(INDEX(tsk_Name,GanttView[[#This Row],[_Row]])="",TRUE()),0,IF(AND(INDEX(tsk_IsLeaf,GanttView[[#This Row],[_Row]])=1,NOT(GanttView[[#This Row],[_IsMilestone]]),N(GanttView[[#This Row],[%]])&gt;0),GanttView[[#This Row],[Forecast Start]],0))</f>
        <v>0</v>
      </c>
      <c r="P101" s="124" t="n">
        <f aca="false">IF(GanttView[[#This Row],[_DoneFrom]]=0,0,IF(GanttView[[#This Row],[%]]&gt;=1,GanttView[[#This Row],[Forecast Finish]],MAX(GanttView[[#This Row],[_DoneFrom]],GanttView[[#This Row],[Forecast Start]]+ROUND((GanttView[[#This Row],[Forecast Finish]]-GanttView[[#This Row],[Forecast Start]]+1)*GanttView[[#This Row],[%]],0)-1)))</f>
        <v>0</v>
      </c>
      <c r="Q101" s="124" t="n">
        <f aca="false">IF(IFERROR(INDEX(tsk_Name,GanttView[[#This Row],[_Row]])="",TRUE()),0,IF(OR(INDEX(tsk_IsLeaf,GanttView[[#This Row],[_Row]])&lt;&gt;1,GanttView[[#This Row],[_IsMilestone]],N(GanttView[[#This Row],[%]])&gt;=1),0,IF(GanttView[[#This Row],[_DoneTo]]&gt;0,GanttView[[#This Row],[_DoneTo]]+1,GanttView[[#This Row],[Forecast Start]])))</f>
        <v>0</v>
      </c>
      <c r="R101" s="124" t="n">
        <f aca="false">IF(GanttView[[#This Row],[_RemFrom]]=0,0,GanttView[[#This Row],[Forecast Finish]])</f>
        <v>0</v>
      </c>
      <c r="S101" s="123" t="b">
        <f aca="false">IF(IFERROR(INDEX(tsk_Name,GanttView[[#This Row],[_Row]])="",TRUE()),FALSE(),N(INDEX(tsk_Variance,GanttView[[#This Row],[_Row]]))&gt;0)</f>
        <v>0</v>
      </c>
      <c r="T101" s="124" t="n">
        <f aca="false">IF(IFERROR(INDEX(tsk_Name,GanttView[[#This Row],[_Row]])="",TRUE()),0,N(INDEX(tsk_Deadline,GanttView[[#This Row],[_Row]])))</f>
        <v>0</v>
      </c>
      <c r="U101" s="123" t="b">
        <f aca="false">IF(IFERROR(INDEX(tsk_Name,GanttView[[#This Row],[_Row]])="",TRUE()),FALSE(),INDEX(tsk_Critical,GanttView[[#This Row],[_Row]])="Yes")</f>
        <v>0</v>
      </c>
    </row>
    <row r="102" customFormat="false" ht="15" hidden="false" customHeight="false" outlineLevel="0" collapsed="false">
      <c r="A102" s="117" t="str">
        <f aca="false">IF(IFERROR(INDEX(tsk_Name,GanttView[[#This Row],[_Row]])="",TRUE()),"",INDEX(tsk_ID,GanttView[[#This Row],[_Row]]))</f>
        <v/>
      </c>
      <c r="B102" s="117" t="str">
        <f aca="false">IF(IFERROR(INDEX(tsk_Name,GanttView[[#This Row],[_Row]])="",TRUE()),"",INDEX(tsk_WBS,GanttView[[#This Row],[_Row]]))</f>
        <v/>
      </c>
      <c r="C102" s="118" t="str">
        <f aca="false">IF(IFERROR(INDEX(tsk_Name,GanttView[[#This Row],[_Row]])="",TRUE()),"",REPT("    ",INDEX(tsk_Level,GanttView[[#This Row],[_Row]])-1)&amp;INDEX(tsk_Name,GanttView[[#This Row],[_Row]]))</f>
        <v/>
      </c>
      <c r="D102" s="117" t="str">
        <f aca="false">IF(IFERROR(INDEX(tsk_Name,GanttView[[#This Row],[_Row]])="",TRUE()),"",IF(INDEX(tsk_IsSummary,GanttView[[#This Row],[_Row]]),NETWORKDAYS.INTL(INDEX(tsk_FcStart,GanttView[[#This Row],[_Row]]),INDEX(tsk_FcFinish,GanttView[[#This Row],[_Row]]),WorkWeek,Holidays),N(INDEX(tsk_Duration,GanttView[[#This Row],[_Row]]))))</f>
        <v/>
      </c>
      <c r="E102" s="119" t="str">
        <f aca="false">IF(IFERROR(INDEX(tsk_Name,GanttView[[#This Row],[_Row]])="",TRUE()),"",INDEX(tsk_PlanStart,GanttView[[#This Row],[_Row]]))</f>
        <v/>
      </c>
      <c r="F102" s="119" t="str">
        <f aca="false">IF(IFERROR(INDEX(tsk_Name,GanttView[[#This Row],[_Row]])="",TRUE()),"",INDEX(tsk_PlanFinish,GanttView[[#This Row],[_Row]]))</f>
        <v/>
      </c>
      <c r="G102" s="119" t="str">
        <f aca="false">IF(IFERROR(INDEX(tsk_Name,GanttView[[#This Row],[_Row]])="",TRUE()),"",INDEX(tsk_FcStart,GanttView[[#This Row],[_Row]]))</f>
        <v/>
      </c>
      <c r="H102" s="119" t="str">
        <f aca="false">IF(IFERROR(INDEX(tsk_Name,GanttView[[#This Row],[_Row]])="",TRUE()),"",INDEX(tsk_FcFinish,GanttView[[#This Row],[_Row]]))</f>
        <v/>
      </c>
      <c r="I102" s="120" t="str">
        <f aca="false">IF(IFERROR(INDEX(tsk_Name,GanttView[[#This Row],[_Row]])="",TRUE()),"",INDEX(tsk_Progress,GanttView[[#This Row],[_Row]]))</f>
        <v/>
      </c>
      <c r="J102" s="118" t="str">
        <f aca="false">IF(IFERROR(INDEX(tsk_Name,GanttView[[#This Row],[_Row]])="",TRUE()),"",INDEX(tsk_Resource,GanttView[[#This Row],[_Row]])&amp;"")</f>
        <v/>
      </c>
      <c r="K102" s="121" t="str">
        <f aca="false">IF(IFERROR(INDEX(tsk_Name,GanttView[[#This Row],[_Row]])="",TRUE()),"",INDEX(tsk_Status,GanttView[[#This Row],[_Row]]))</f>
        <v/>
      </c>
      <c r="L102" s="122" t="n">
        <f aca="false">ROW()-ROW(GanttView[[#Headers],[ID]])</f>
        <v>97</v>
      </c>
      <c r="M102" s="123" t="b">
        <f aca="false">IF(IFERROR(INDEX(tsk_Name,GanttView[[#This Row],[_Row]])="",TRUE()),FALSE(),INDEX(tsk_IsSummary,GanttView[[#This Row],[_Row]]))</f>
        <v>0</v>
      </c>
      <c r="N102" s="123" t="b">
        <f aca="false">IF(IFERROR(INDEX(tsk_Name,GanttView[[#This Row],[_Row]])="",TRUE()),FALSE(),AND(INDEX(tsk_IsLeaf,GanttView[[#This Row],[_Row]])=1,N(INDEX(tsk_Duration,GanttView[[#This Row],[_Row]]))=0))</f>
        <v>0</v>
      </c>
      <c r="O102" s="124" t="n">
        <f aca="false">IF(IFERROR(INDEX(tsk_Name,GanttView[[#This Row],[_Row]])="",TRUE()),0,IF(AND(INDEX(tsk_IsLeaf,GanttView[[#This Row],[_Row]])=1,NOT(GanttView[[#This Row],[_IsMilestone]]),N(GanttView[[#This Row],[%]])&gt;0),GanttView[[#This Row],[Forecast Start]],0))</f>
        <v>0</v>
      </c>
      <c r="P102" s="124" t="n">
        <f aca="false">IF(GanttView[[#This Row],[_DoneFrom]]=0,0,IF(GanttView[[#This Row],[%]]&gt;=1,GanttView[[#This Row],[Forecast Finish]],MAX(GanttView[[#This Row],[_DoneFrom]],GanttView[[#This Row],[Forecast Start]]+ROUND((GanttView[[#This Row],[Forecast Finish]]-GanttView[[#This Row],[Forecast Start]]+1)*GanttView[[#This Row],[%]],0)-1)))</f>
        <v>0</v>
      </c>
      <c r="Q102" s="124" t="n">
        <f aca="false">IF(IFERROR(INDEX(tsk_Name,GanttView[[#This Row],[_Row]])="",TRUE()),0,IF(OR(INDEX(tsk_IsLeaf,GanttView[[#This Row],[_Row]])&lt;&gt;1,GanttView[[#This Row],[_IsMilestone]],N(GanttView[[#This Row],[%]])&gt;=1),0,IF(GanttView[[#This Row],[_DoneTo]]&gt;0,GanttView[[#This Row],[_DoneTo]]+1,GanttView[[#This Row],[Forecast Start]])))</f>
        <v>0</v>
      </c>
      <c r="R102" s="124" t="n">
        <f aca="false">IF(GanttView[[#This Row],[_RemFrom]]=0,0,GanttView[[#This Row],[Forecast Finish]])</f>
        <v>0</v>
      </c>
      <c r="S102" s="123" t="b">
        <f aca="false">IF(IFERROR(INDEX(tsk_Name,GanttView[[#This Row],[_Row]])="",TRUE()),FALSE(),N(INDEX(tsk_Variance,GanttView[[#This Row],[_Row]]))&gt;0)</f>
        <v>0</v>
      </c>
      <c r="T102" s="124" t="n">
        <f aca="false">IF(IFERROR(INDEX(tsk_Name,GanttView[[#This Row],[_Row]])="",TRUE()),0,N(INDEX(tsk_Deadline,GanttView[[#This Row],[_Row]])))</f>
        <v>0</v>
      </c>
      <c r="U102" s="123" t="b">
        <f aca="false">IF(IFERROR(INDEX(tsk_Name,GanttView[[#This Row],[_Row]])="",TRUE()),FALSE(),INDEX(tsk_Critical,GanttView[[#This Row],[_Row]])="Yes")</f>
        <v>0</v>
      </c>
    </row>
    <row r="103" customFormat="false" ht="15" hidden="false" customHeight="false" outlineLevel="0" collapsed="false">
      <c r="A103" s="117" t="str">
        <f aca="false">IF(IFERROR(INDEX(tsk_Name,GanttView[[#This Row],[_Row]])="",TRUE()),"",INDEX(tsk_ID,GanttView[[#This Row],[_Row]]))</f>
        <v/>
      </c>
      <c r="B103" s="117" t="str">
        <f aca="false">IF(IFERROR(INDEX(tsk_Name,GanttView[[#This Row],[_Row]])="",TRUE()),"",INDEX(tsk_WBS,GanttView[[#This Row],[_Row]]))</f>
        <v/>
      </c>
      <c r="C103" s="118" t="str">
        <f aca="false">IF(IFERROR(INDEX(tsk_Name,GanttView[[#This Row],[_Row]])="",TRUE()),"",REPT("    ",INDEX(tsk_Level,GanttView[[#This Row],[_Row]])-1)&amp;INDEX(tsk_Name,GanttView[[#This Row],[_Row]]))</f>
        <v/>
      </c>
      <c r="D103" s="117" t="str">
        <f aca="false">IF(IFERROR(INDEX(tsk_Name,GanttView[[#This Row],[_Row]])="",TRUE()),"",IF(INDEX(tsk_IsSummary,GanttView[[#This Row],[_Row]]),NETWORKDAYS.INTL(INDEX(tsk_FcStart,GanttView[[#This Row],[_Row]]),INDEX(tsk_FcFinish,GanttView[[#This Row],[_Row]]),WorkWeek,Holidays),N(INDEX(tsk_Duration,GanttView[[#This Row],[_Row]]))))</f>
        <v/>
      </c>
      <c r="E103" s="119" t="str">
        <f aca="false">IF(IFERROR(INDEX(tsk_Name,GanttView[[#This Row],[_Row]])="",TRUE()),"",INDEX(tsk_PlanStart,GanttView[[#This Row],[_Row]]))</f>
        <v/>
      </c>
      <c r="F103" s="119" t="str">
        <f aca="false">IF(IFERROR(INDEX(tsk_Name,GanttView[[#This Row],[_Row]])="",TRUE()),"",INDEX(tsk_PlanFinish,GanttView[[#This Row],[_Row]]))</f>
        <v/>
      </c>
      <c r="G103" s="119" t="str">
        <f aca="false">IF(IFERROR(INDEX(tsk_Name,GanttView[[#This Row],[_Row]])="",TRUE()),"",INDEX(tsk_FcStart,GanttView[[#This Row],[_Row]]))</f>
        <v/>
      </c>
      <c r="H103" s="119" t="str">
        <f aca="false">IF(IFERROR(INDEX(tsk_Name,GanttView[[#This Row],[_Row]])="",TRUE()),"",INDEX(tsk_FcFinish,GanttView[[#This Row],[_Row]]))</f>
        <v/>
      </c>
      <c r="I103" s="120" t="str">
        <f aca="false">IF(IFERROR(INDEX(tsk_Name,GanttView[[#This Row],[_Row]])="",TRUE()),"",INDEX(tsk_Progress,GanttView[[#This Row],[_Row]]))</f>
        <v/>
      </c>
      <c r="J103" s="118" t="str">
        <f aca="false">IF(IFERROR(INDEX(tsk_Name,GanttView[[#This Row],[_Row]])="",TRUE()),"",INDEX(tsk_Resource,GanttView[[#This Row],[_Row]])&amp;"")</f>
        <v/>
      </c>
      <c r="K103" s="121" t="str">
        <f aca="false">IF(IFERROR(INDEX(tsk_Name,GanttView[[#This Row],[_Row]])="",TRUE()),"",INDEX(tsk_Status,GanttView[[#This Row],[_Row]]))</f>
        <v/>
      </c>
      <c r="L103" s="122" t="n">
        <f aca="false">ROW()-ROW(GanttView[[#Headers],[ID]])</f>
        <v>98</v>
      </c>
      <c r="M103" s="123" t="b">
        <f aca="false">IF(IFERROR(INDEX(tsk_Name,GanttView[[#This Row],[_Row]])="",TRUE()),FALSE(),INDEX(tsk_IsSummary,GanttView[[#This Row],[_Row]]))</f>
        <v>0</v>
      </c>
      <c r="N103" s="123" t="b">
        <f aca="false">IF(IFERROR(INDEX(tsk_Name,GanttView[[#This Row],[_Row]])="",TRUE()),FALSE(),AND(INDEX(tsk_IsLeaf,GanttView[[#This Row],[_Row]])=1,N(INDEX(tsk_Duration,GanttView[[#This Row],[_Row]]))=0))</f>
        <v>0</v>
      </c>
      <c r="O103" s="124" t="n">
        <f aca="false">IF(IFERROR(INDEX(tsk_Name,GanttView[[#This Row],[_Row]])="",TRUE()),0,IF(AND(INDEX(tsk_IsLeaf,GanttView[[#This Row],[_Row]])=1,NOT(GanttView[[#This Row],[_IsMilestone]]),N(GanttView[[#This Row],[%]])&gt;0),GanttView[[#This Row],[Forecast Start]],0))</f>
        <v>0</v>
      </c>
      <c r="P103" s="124" t="n">
        <f aca="false">IF(GanttView[[#This Row],[_DoneFrom]]=0,0,IF(GanttView[[#This Row],[%]]&gt;=1,GanttView[[#This Row],[Forecast Finish]],MAX(GanttView[[#This Row],[_DoneFrom]],GanttView[[#This Row],[Forecast Start]]+ROUND((GanttView[[#This Row],[Forecast Finish]]-GanttView[[#This Row],[Forecast Start]]+1)*GanttView[[#This Row],[%]],0)-1)))</f>
        <v>0</v>
      </c>
      <c r="Q103" s="124" t="n">
        <f aca="false">IF(IFERROR(INDEX(tsk_Name,GanttView[[#This Row],[_Row]])="",TRUE()),0,IF(OR(INDEX(tsk_IsLeaf,GanttView[[#This Row],[_Row]])&lt;&gt;1,GanttView[[#This Row],[_IsMilestone]],N(GanttView[[#This Row],[%]])&gt;=1),0,IF(GanttView[[#This Row],[_DoneTo]]&gt;0,GanttView[[#This Row],[_DoneTo]]+1,GanttView[[#This Row],[Forecast Start]])))</f>
        <v>0</v>
      </c>
      <c r="R103" s="124" t="n">
        <f aca="false">IF(GanttView[[#This Row],[_RemFrom]]=0,0,GanttView[[#This Row],[Forecast Finish]])</f>
        <v>0</v>
      </c>
      <c r="S103" s="123" t="b">
        <f aca="false">IF(IFERROR(INDEX(tsk_Name,GanttView[[#This Row],[_Row]])="",TRUE()),FALSE(),N(INDEX(tsk_Variance,GanttView[[#This Row],[_Row]]))&gt;0)</f>
        <v>0</v>
      </c>
      <c r="T103" s="124" t="n">
        <f aca="false">IF(IFERROR(INDEX(tsk_Name,GanttView[[#This Row],[_Row]])="",TRUE()),0,N(INDEX(tsk_Deadline,GanttView[[#This Row],[_Row]])))</f>
        <v>0</v>
      </c>
      <c r="U103" s="123" t="b">
        <f aca="false">IF(IFERROR(INDEX(tsk_Name,GanttView[[#This Row],[_Row]])="",TRUE()),FALSE(),INDEX(tsk_Critical,GanttView[[#This Row],[_Row]])="Yes")</f>
        <v>0</v>
      </c>
    </row>
    <row r="104" customFormat="false" ht="15" hidden="false" customHeight="false" outlineLevel="0" collapsed="false">
      <c r="A104" s="117" t="str">
        <f aca="false">IF(IFERROR(INDEX(tsk_Name,GanttView[[#This Row],[_Row]])="",TRUE()),"",INDEX(tsk_ID,GanttView[[#This Row],[_Row]]))</f>
        <v/>
      </c>
      <c r="B104" s="117" t="str">
        <f aca="false">IF(IFERROR(INDEX(tsk_Name,GanttView[[#This Row],[_Row]])="",TRUE()),"",INDEX(tsk_WBS,GanttView[[#This Row],[_Row]]))</f>
        <v/>
      </c>
      <c r="C104" s="118" t="str">
        <f aca="false">IF(IFERROR(INDEX(tsk_Name,GanttView[[#This Row],[_Row]])="",TRUE()),"",REPT("    ",INDEX(tsk_Level,GanttView[[#This Row],[_Row]])-1)&amp;INDEX(tsk_Name,GanttView[[#This Row],[_Row]]))</f>
        <v/>
      </c>
      <c r="D104" s="117" t="str">
        <f aca="false">IF(IFERROR(INDEX(tsk_Name,GanttView[[#This Row],[_Row]])="",TRUE()),"",IF(INDEX(tsk_IsSummary,GanttView[[#This Row],[_Row]]),NETWORKDAYS.INTL(INDEX(tsk_FcStart,GanttView[[#This Row],[_Row]]),INDEX(tsk_FcFinish,GanttView[[#This Row],[_Row]]),WorkWeek,Holidays),N(INDEX(tsk_Duration,GanttView[[#This Row],[_Row]]))))</f>
        <v/>
      </c>
      <c r="E104" s="119" t="str">
        <f aca="false">IF(IFERROR(INDEX(tsk_Name,GanttView[[#This Row],[_Row]])="",TRUE()),"",INDEX(tsk_PlanStart,GanttView[[#This Row],[_Row]]))</f>
        <v/>
      </c>
      <c r="F104" s="119" t="str">
        <f aca="false">IF(IFERROR(INDEX(tsk_Name,GanttView[[#This Row],[_Row]])="",TRUE()),"",INDEX(tsk_PlanFinish,GanttView[[#This Row],[_Row]]))</f>
        <v/>
      </c>
      <c r="G104" s="119" t="str">
        <f aca="false">IF(IFERROR(INDEX(tsk_Name,GanttView[[#This Row],[_Row]])="",TRUE()),"",INDEX(tsk_FcStart,GanttView[[#This Row],[_Row]]))</f>
        <v/>
      </c>
      <c r="H104" s="119" t="str">
        <f aca="false">IF(IFERROR(INDEX(tsk_Name,GanttView[[#This Row],[_Row]])="",TRUE()),"",INDEX(tsk_FcFinish,GanttView[[#This Row],[_Row]]))</f>
        <v/>
      </c>
      <c r="I104" s="120" t="str">
        <f aca="false">IF(IFERROR(INDEX(tsk_Name,GanttView[[#This Row],[_Row]])="",TRUE()),"",INDEX(tsk_Progress,GanttView[[#This Row],[_Row]]))</f>
        <v/>
      </c>
      <c r="J104" s="118" t="str">
        <f aca="false">IF(IFERROR(INDEX(tsk_Name,GanttView[[#This Row],[_Row]])="",TRUE()),"",INDEX(tsk_Resource,GanttView[[#This Row],[_Row]])&amp;"")</f>
        <v/>
      </c>
      <c r="K104" s="121" t="str">
        <f aca="false">IF(IFERROR(INDEX(tsk_Name,GanttView[[#This Row],[_Row]])="",TRUE()),"",INDEX(tsk_Status,GanttView[[#This Row],[_Row]]))</f>
        <v/>
      </c>
      <c r="L104" s="122" t="n">
        <f aca="false">ROW()-ROW(GanttView[[#Headers],[ID]])</f>
        <v>99</v>
      </c>
      <c r="M104" s="123" t="b">
        <f aca="false">IF(IFERROR(INDEX(tsk_Name,GanttView[[#This Row],[_Row]])="",TRUE()),FALSE(),INDEX(tsk_IsSummary,GanttView[[#This Row],[_Row]]))</f>
        <v>0</v>
      </c>
      <c r="N104" s="123" t="b">
        <f aca="false">IF(IFERROR(INDEX(tsk_Name,GanttView[[#This Row],[_Row]])="",TRUE()),FALSE(),AND(INDEX(tsk_IsLeaf,GanttView[[#This Row],[_Row]])=1,N(INDEX(tsk_Duration,GanttView[[#This Row],[_Row]]))=0))</f>
        <v>0</v>
      </c>
      <c r="O104" s="124" t="n">
        <f aca="false">IF(IFERROR(INDEX(tsk_Name,GanttView[[#This Row],[_Row]])="",TRUE()),0,IF(AND(INDEX(tsk_IsLeaf,GanttView[[#This Row],[_Row]])=1,NOT(GanttView[[#This Row],[_IsMilestone]]),N(GanttView[[#This Row],[%]])&gt;0),GanttView[[#This Row],[Forecast Start]],0))</f>
        <v>0</v>
      </c>
      <c r="P104" s="124" t="n">
        <f aca="false">IF(GanttView[[#This Row],[_DoneFrom]]=0,0,IF(GanttView[[#This Row],[%]]&gt;=1,GanttView[[#This Row],[Forecast Finish]],MAX(GanttView[[#This Row],[_DoneFrom]],GanttView[[#This Row],[Forecast Start]]+ROUND((GanttView[[#This Row],[Forecast Finish]]-GanttView[[#This Row],[Forecast Start]]+1)*GanttView[[#This Row],[%]],0)-1)))</f>
        <v>0</v>
      </c>
      <c r="Q104" s="124" t="n">
        <f aca="false">IF(IFERROR(INDEX(tsk_Name,GanttView[[#This Row],[_Row]])="",TRUE()),0,IF(OR(INDEX(tsk_IsLeaf,GanttView[[#This Row],[_Row]])&lt;&gt;1,GanttView[[#This Row],[_IsMilestone]],N(GanttView[[#This Row],[%]])&gt;=1),0,IF(GanttView[[#This Row],[_DoneTo]]&gt;0,GanttView[[#This Row],[_DoneTo]]+1,GanttView[[#This Row],[Forecast Start]])))</f>
        <v>0</v>
      </c>
      <c r="R104" s="124" t="n">
        <f aca="false">IF(GanttView[[#This Row],[_RemFrom]]=0,0,GanttView[[#This Row],[Forecast Finish]])</f>
        <v>0</v>
      </c>
      <c r="S104" s="123" t="b">
        <f aca="false">IF(IFERROR(INDEX(tsk_Name,GanttView[[#This Row],[_Row]])="",TRUE()),FALSE(),N(INDEX(tsk_Variance,GanttView[[#This Row],[_Row]]))&gt;0)</f>
        <v>0</v>
      </c>
      <c r="T104" s="124" t="n">
        <f aca="false">IF(IFERROR(INDEX(tsk_Name,GanttView[[#This Row],[_Row]])="",TRUE()),0,N(INDEX(tsk_Deadline,GanttView[[#This Row],[_Row]])))</f>
        <v>0</v>
      </c>
      <c r="U104" s="123" t="b">
        <f aca="false">IF(IFERROR(INDEX(tsk_Name,GanttView[[#This Row],[_Row]])="",TRUE()),FALSE(),INDEX(tsk_Critical,GanttView[[#This Row],[_Row]])="Yes")</f>
        <v>0</v>
      </c>
    </row>
    <row r="105" customFormat="false" ht="15" hidden="false" customHeight="false" outlineLevel="0" collapsed="false">
      <c r="A105" s="117" t="str">
        <f aca="false">IF(IFERROR(INDEX(tsk_Name,GanttView[[#This Row],[_Row]])="",TRUE()),"",INDEX(tsk_ID,GanttView[[#This Row],[_Row]]))</f>
        <v/>
      </c>
      <c r="B105" s="117" t="str">
        <f aca="false">IF(IFERROR(INDEX(tsk_Name,GanttView[[#This Row],[_Row]])="",TRUE()),"",INDEX(tsk_WBS,GanttView[[#This Row],[_Row]]))</f>
        <v/>
      </c>
      <c r="C105" s="118" t="str">
        <f aca="false">IF(IFERROR(INDEX(tsk_Name,GanttView[[#This Row],[_Row]])="",TRUE()),"",REPT("    ",INDEX(tsk_Level,GanttView[[#This Row],[_Row]])-1)&amp;INDEX(tsk_Name,GanttView[[#This Row],[_Row]]))</f>
        <v/>
      </c>
      <c r="D105" s="117" t="str">
        <f aca="false">IF(IFERROR(INDEX(tsk_Name,GanttView[[#This Row],[_Row]])="",TRUE()),"",IF(INDEX(tsk_IsSummary,GanttView[[#This Row],[_Row]]),NETWORKDAYS.INTL(INDEX(tsk_FcStart,GanttView[[#This Row],[_Row]]),INDEX(tsk_FcFinish,GanttView[[#This Row],[_Row]]),WorkWeek,Holidays),N(INDEX(tsk_Duration,GanttView[[#This Row],[_Row]]))))</f>
        <v/>
      </c>
      <c r="E105" s="119" t="str">
        <f aca="false">IF(IFERROR(INDEX(tsk_Name,GanttView[[#This Row],[_Row]])="",TRUE()),"",INDEX(tsk_PlanStart,GanttView[[#This Row],[_Row]]))</f>
        <v/>
      </c>
      <c r="F105" s="119" t="str">
        <f aca="false">IF(IFERROR(INDEX(tsk_Name,GanttView[[#This Row],[_Row]])="",TRUE()),"",INDEX(tsk_PlanFinish,GanttView[[#This Row],[_Row]]))</f>
        <v/>
      </c>
      <c r="G105" s="119" t="str">
        <f aca="false">IF(IFERROR(INDEX(tsk_Name,GanttView[[#This Row],[_Row]])="",TRUE()),"",INDEX(tsk_FcStart,GanttView[[#This Row],[_Row]]))</f>
        <v/>
      </c>
      <c r="H105" s="119" t="str">
        <f aca="false">IF(IFERROR(INDEX(tsk_Name,GanttView[[#This Row],[_Row]])="",TRUE()),"",INDEX(tsk_FcFinish,GanttView[[#This Row],[_Row]]))</f>
        <v/>
      </c>
      <c r="I105" s="120" t="str">
        <f aca="false">IF(IFERROR(INDEX(tsk_Name,GanttView[[#This Row],[_Row]])="",TRUE()),"",INDEX(tsk_Progress,GanttView[[#This Row],[_Row]]))</f>
        <v/>
      </c>
      <c r="J105" s="118" t="str">
        <f aca="false">IF(IFERROR(INDEX(tsk_Name,GanttView[[#This Row],[_Row]])="",TRUE()),"",INDEX(tsk_Resource,GanttView[[#This Row],[_Row]])&amp;"")</f>
        <v/>
      </c>
      <c r="K105" s="121" t="str">
        <f aca="false">IF(IFERROR(INDEX(tsk_Name,GanttView[[#This Row],[_Row]])="",TRUE()),"",INDEX(tsk_Status,GanttView[[#This Row],[_Row]]))</f>
        <v/>
      </c>
      <c r="L105" s="122" t="n">
        <f aca="false">ROW()-ROW(GanttView[[#Headers],[ID]])</f>
        <v>100</v>
      </c>
      <c r="M105" s="123" t="b">
        <f aca="false">IF(IFERROR(INDEX(tsk_Name,GanttView[[#This Row],[_Row]])="",TRUE()),FALSE(),INDEX(tsk_IsSummary,GanttView[[#This Row],[_Row]]))</f>
        <v>0</v>
      </c>
      <c r="N105" s="123" t="b">
        <f aca="false">IF(IFERROR(INDEX(tsk_Name,GanttView[[#This Row],[_Row]])="",TRUE()),FALSE(),AND(INDEX(tsk_IsLeaf,GanttView[[#This Row],[_Row]])=1,N(INDEX(tsk_Duration,GanttView[[#This Row],[_Row]]))=0))</f>
        <v>0</v>
      </c>
      <c r="O105" s="124" t="n">
        <f aca="false">IF(IFERROR(INDEX(tsk_Name,GanttView[[#This Row],[_Row]])="",TRUE()),0,IF(AND(INDEX(tsk_IsLeaf,GanttView[[#This Row],[_Row]])=1,NOT(GanttView[[#This Row],[_IsMilestone]]),N(GanttView[[#This Row],[%]])&gt;0),GanttView[[#This Row],[Forecast Start]],0))</f>
        <v>0</v>
      </c>
      <c r="P105" s="124" t="n">
        <f aca="false">IF(GanttView[[#This Row],[_DoneFrom]]=0,0,IF(GanttView[[#This Row],[%]]&gt;=1,GanttView[[#This Row],[Forecast Finish]],MAX(GanttView[[#This Row],[_DoneFrom]],GanttView[[#This Row],[Forecast Start]]+ROUND((GanttView[[#This Row],[Forecast Finish]]-GanttView[[#This Row],[Forecast Start]]+1)*GanttView[[#This Row],[%]],0)-1)))</f>
        <v>0</v>
      </c>
      <c r="Q105" s="124" t="n">
        <f aca="false">IF(IFERROR(INDEX(tsk_Name,GanttView[[#This Row],[_Row]])="",TRUE()),0,IF(OR(INDEX(tsk_IsLeaf,GanttView[[#This Row],[_Row]])&lt;&gt;1,GanttView[[#This Row],[_IsMilestone]],N(GanttView[[#This Row],[%]])&gt;=1),0,IF(GanttView[[#This Row],[_DoneTo]]&gt;0,GanttView[[#This Row],[_DoneTo]]+1,GanttView[[#This Row],[Forecast Start]])))</f>
        <v>0</v>
      </c>
      <c r="R105" s="124" t="n">
        <f aca="false">IF(GanttView[[#This Row],[_RemFrom]]=0,0,GanttView[[#This Row],[Forecast Finish]])</f>
        <v>0</v>
      </c>
      <c r="S105" s="123" t="b">
        <f aca="false">IF(IFERROR(INDEX(tsk_Name,GanttView[[#This Row],[_Row]])="",TRUE()),FALSE(),N(INDEX(tsk_Variance,GanttView[[#This Row],[_Row]]))&gt;0)</f>
        <v>0</v>
      </c>
      <c r="T105" s="124" t="n">
        <f aca="false">IF(IFERROR(INDEX(tsk_Name,GanttView[[#This Row],[_Row]])="",TRUE()),0,N(INDEX(tsk_Deadline,GanttView[[#This Row],[_Row]])))</f>
        <v>0</v>
      </c>
      <c r="U105" s="123" t="b">
        <f aca="false">IF(IFERROR(INDEX(tsk_Name,GanttView[[#This Row],[_Row]])="",TRUE()),FALSE(),INDEX(tsk_Critical,GanttView[[#This Row],[_Row]])="Yes")</f>
        <v>0</v>
      </c>
    </row>
    <row r="106" customFormat="false" ht="15" hidden="false" customHeight="false" outlineLevel="0" collapsed="false">
      <c r="A106" s="117" t="str">
        <f aca="false">IF(IFERROR(INDEX(tsk_Name,GanttView[[#This Row],[_Row]])="",TRUE()),"",INDEX(tsk_ID,GanttView[[#This Row],[_Row]]))</f>
        <v/>
      </c>
      <c r="B106" s="117" t="str">
        <f aca="false">IF(IFERROR(INDEX(tsk_Name,GanttView[[#This Row],[_Row]])="",TRUE()),"",INDEX(tsk_WBS,GanttView[[#This Row],[_Row]]))</f>
        <v/>
      </c>
      <c r="C106" s="118" t="str">
        <f aca="false">IF(IFERROR(INDEX(tsk_Name,GanttView[[#This Row],[_Row]])="",TRUE()),"",REPT("    ",INDEX(tsk_Level,GanttView[[#This Row],[_Row]])-1)&amp;INDEX(tsk_Name,GanttView[[#This Row],[_Row]]))</f>
        <v/>
      </c>
      <c r="D106" s="117" t="str">
        <f aca="false">IF(IFERROR(INDEX(tsk_Name,GanttView[[#This Row],[_Row]])="",TRUE()),"",IF(INDEX(tsk_IsSummary,GanttView[[#This Row],[_Row]]),NETWORKDAYS.INTL(INDEX(tsk_FcStart,GanttView[[#This Row],[_Row]]),INDEX(tsk_FcFinish,GanttView[[#This Row],[_Row]]),WorkWeek,Holidays),N(INDEX(tsk_Duration,GanttView[[#This Row],[_Row]]))))</f>
        <v/>
      </c>
      <c r="E106" s="119" t="str">
        <f aca="false">IF(IFERROR(INDEX(tsk_Name,GanttView[[#This Row],[_Row]])="",TRUE()),"",INDEX(tsk_PlanStart,GanttView[[#This Row],[_Row]]))</f>
        <v/>
      </c>
      <c r="F106" s="119" t="str">
        <f aca="false">IF(IFERROR(INDEX(tsk_Name,GanttView[[#This Row],[_Row]])="",TRUE()),"",INDEX(tsk_PlanFinish,GanttView[[#This Row],[_Row]]))</f>
        <v/>
      </c>
      <c r="G106" s="119" t="str">
        <f aca="false">IF(IFERROR(INDEX(tsk_Name,GanttView[[#This Row],[_Row]])="",TRUE()),"",INDEX(tsk_FcStart,GanttView[[#This Row],[_Row]]))</f>
        <v/>
      </c>
      <c r="H106" s="119" t="str">
        <f aca="false">IF(IFERROR(INDEX(tsk_Name,GanttView[[#This Row],[_Row]])="",TRUE()),"",INDEX(tsk_FcFinish,GanttView[[#This Row],[_Row]]))</f>
        <v/>
      </c>
      <c r="I106" s="120" t="str">
        <f aca="false">IF(IFERROR(INDEX(tsk_Name,GanttView[[#This Row],[_Row]])="",TRUE()),"",INDEX(tsk_Progress,GanttView[[#This Row],[_Row]]))</f>
        <v/>
      </c>
      <c r="J106" s="118" t="str">
        <f aca="false">IF(IFERROR(INDEX(tsk_Name,GanttView[[#This Row],[_Row]])="",TRUE()),"",INDEX(tsk_Resource,GanttView[[#This Row],[_Row]])&amp;"")</f>
        <v/>
      </c>
      <c r="K106" s="121" t="str">
        <f aca="false">IF(IFERROR(INDEX(tsk_Name,GanttView[[#This Row],[_Row]])="",TRUE()),"",INDEX(tsk_Status,GanttView[[#This Row],[_Row]]))</f>
        <v/>
      </c>
      <c r="L106" s="122" t="n">
        <f aca="false">ROW()-ROW(GanttView[[#Headers],[ID]])</f>
        <v>101</v>
      </c>
      <c r="M106" s="123" t="b">
        <f aca="false">IF(IFERROR(INDEX(tsk_Name,GanttView[[#This Row],[_Row]])="",TRUE()),FALSE(),INDEX(tsk_IsSummary,GanttView[[#This Row],[_Row]]))</f>
        <v>0</v>
      </c>
      <c r="N106" s="123" t="b">
        <f aca="false">IF(IFERROR(INDEX(tsk_Name,GanttView[[#This Row],[_Row]])="",TRUE()),FALSE(),AND(INDEX(tsk_IsLeaf,GanttView[[#This Row],[_Row]])=1,N(INDEX(tsk_Duration,GanttView[[#This Row],[_Row]]))=0))</f>
        <v>0</v>
      </c>
      <c r="O106" s="124" t="n">
        <f aca="false">IF(IFERROR(INDEX(tsk_Name,GanttView[[#This Row],[_Row]])="",TRUE()),0,IF(AND(INDEX(tsk_IsLeaf,GanttView[[#This Row],[_Row]])=1,NOT(GanttView[[#This Row],[_IsMilestone]]),N(GanttView[[#This Row],[%]])&gt;0),GanttView[[#This Row],[Forecast Start]],0))</f>
        <v>0</v>
      </c>
      <c r="P106" s="124" t="n">
        <f aca="false">IF(GanttView[[#This Row],[_DoneFrom]]=0,0,IF(GanttView[[#This Row],[%]]&gt;=1,GanttView[[#This Row],[Forecast Finish]],MAX(GanttView[[#This Row],[_DoneFrom]],GanttView[[#This Row],[Forecast Start]]+ROUND((GanttView[[#This Row],[Forecast Finish]]-GanttView[[#This Row],[Forecast Start]]+1)*GanttView[[#This Row],[%]],0)-1)))</f>
        <v>0</v>
      </c>
      <c r="Q106" s="124" t="n">
        <f aca="false">IF(IFERROR(INDEX(tsk_Name,GanttView[[#This Row],[_Row]])="",TRUE()),0,IF(OR(INDEX(tsk_IsLeaf,GanttView[[#This Row],[_Row]])&lt;&gt;1,GanttView[[#This Row],[_IsMilestone]],N(GanttView[[#This Row],[%]])&gt;=1),0,IF(GanttView[[#This Row],[_DoneTo]]&gt;0,GanttView[[#This Row],[_DoneTo]]+1,GanttView[[#This Row],[Forecast Start]])))</f>
        <v>0</v>
      </c>
      <c r="R106" s="124" t="n">
        <f aca="false">IF(GanttView[[#This Row],[_RemFrom]]=0,0,GanttView[[#This Row],[Forecast Finish]])</f>
        <v>0</v>
      </c>
      <c r="S106" s="123" t="b">
        <f aca="false">IF(IFERROR(INDEX(tsk_Name,GanttView[[#This Row],[_Row]])="",TRUE()),FALSE(),N(INDEX(tsk_Variance,GanttView[[#This Row],[_Row]]))&gt;0)</f>
        <v>0</v>
      </c>
      <c r="T106" s="124" t="n">
        <f aca="false">IF(IFERROR(INDEX(tsk_Name,GanttView[[#This Row],[_Row]])="",TRUE()),0,N(INDEX(tsk_Deadline,GanttView[[#This Row],[_Row]])))</f>
        <v>0</v>
      </c>
      <c r="U106" s="123" t="b">
        <f aca="false">IF(IFERROR(INDEX(tsk_Name,GanttView[[#This Row],[_Row]])="",TRUE()),FALSE(),INDEX(tsk_Critical,GanttView[[#This Row],[_Row]])="Yes")</f>
        <v>0</v>
      </c>
    </row>
    <row r="107" customFormat="false" ht="15" hidden="false" customHeight="false" outlineLevel="0" collapsed="false">
      <c r="A107" s="117" t="str">
        <f aca="false">IF(IFERROR(INDEX(tsk_Name,GanttView[[#This Row],[_Row]])="",TRUE()),"",INDEX(tsk_ID,GanttView[[#This Row],[_Row]]))</f>
        <v/>
      </c>
      <c r="B107" s="117" t="str">
        <f aca="false">IF(IFERROR(INDEX(tsk_Name,GanttView[[#This Row],[_Row]])="",TRUE()),"",INDEX(tsk_WBS,GanttView[[#This Row],[_Row]]))</f>
        <v/>
      </c>
      <c r="C107" s="118" t="str">
        <f aca="false">IF(IFERROR(INDEX(tsk_Name,GanttView[[#This Row],[_Row]])="",TRUE()),"",REPT("    ",INDEX(tsk_Level,GanttView[[#This Row],[_Row]])-1)&amp;INDEX(tsk_Name,GanttView[[#This Row],[_Row]]))</f>
        <v/>
      </c>
      <c r="D107" s="117" t="str">
        <f aca="false">IF(IFERROR(INDEX(tsk_Name,GanttView[[#This Row],[_Row]])="",TRUE()),"",IF(INDEX(tsk_IsSummary,GanttView[[#This Row],[_Row]]),NETWORKDAYS.INTL(INDEX(tsk_FcStart,GanttView[[#This Row],[_Row]]),INDEX(tsk_FcFinish,GanttView[[#This Row],[_Row]]),WorkWeek,Holidays),N(INDEX(tsk_Duration,GanttView[[#This Row],[_Row]]))))</f>
        <v/>
      </c>
      <c r="E107" s="119" t="str">
        <f aca="false">IF(IFERROR(INDEX(tsk_Name,GanttView[[#This Row],[_Row]])="",TRUE()),"",INDEX(tsk_PlanStart,GanttView[[#This Row],[_Row]]))</f>
        <v/>
      </c>
      <c r="F107" s="119" t="str">
        <f aca="false">IF(IFERROR(INDEX(tsk_Name,GanttView[[#This Row],[_Row]])="",TRUE()),"",INDEX(tsk_PlanFinish,GanttView[[#This Row],[_Row]]))</f>
        <v/>
      </c>
      <c r="G107" s="119" t="str">
        <f aca="false">IF(IFERROR(INDEX(tsk_Name,GanttView[[#This Row],[_Row]])="",TRUE()),"",INDEX(tsk_FcStart,GanttView[[#This Row],[_Row]]))</f>
        <v/>
      </c>
      <c r="H107" s="119" t="str">
        <f aca="false">IF(IFERROR(INDEX(tsk_Name,GanttView[[#This Row],[_Row]])="",TRUE()),"",INDEX(tsk_FcFinish,GanttView[[#This Row],[_Row]]))</f>
        <v/>
      </c>
      <c r="I107" s="120" t="str">
        <f aca="false">IF(IFERROR(INDEX(tsk_Name,GanttView[[#This Row],[_Row]])="",TRUE()),"",INDEX(tsk_Progress,GanttView[[#This Row],[_Row]]))</f>
        <v/>
      </c>
      <c r="J107" s="118" t="str">
        <f aca="false">IF(IFERROR(INDEX(tsk_Name,GanttView[[#This Row],[_Row]])="",TRUE()),"",INDEX(tsk_Resource,GanttView[[#This Row],[_Row]])&amp;"")</f>
        <v/>
      </c>
      <c r="K107" s="121" t="str">
        <f aca="false">IF(IFERROR(INDEX(tsk_Name,GanttView[[#This Row],[_Row]])="",TRUE()),"",INDEX(tsk_Status,GanttView[[#This Row],[_Row]]))</f>
        <v/>
      </c>
      <c r="L107" s="122" t="n">
        <f aca="false">ROW()-ROW(GanttView[[#Headers],[ID]])</f>
        <v>102</v>
      </c>
      <c r="M107" s="123" t="b">
        <f aca="false">IF(IFERROR(INDEX(tsk_Name,GanttView[[#This Row],[_Row]])="",TRUE()),FALSE(),INDEX(tsk_IsSummary,GanttView[[#This Row],[_Row]]))</f>
        <v>0</v>
      </c>
      <c r="N107" s="123" t="b">
        <f aca="false">IF(IFERROR(INDEX(tsk_Name,GanttView[[#This Row],[_Row]])="",TRUE()),FALSE(),AND(INDEX(tsk_IsLeaf,GanttView[[#This Row],[_Row]])=1,N(INDEX(tsk_Duration,GanttView[[#This Row],[_Row]]))=0))</f>
        <v>0</v>
      </c>
      <c r="O107" s="124" t="n">
        <f aca="false">IF(IFERROR(INDEX(tsk_Name,GanttView[[#This Row],[_Row]])="",TRUE()),0,IF(AND(INDEX(tsk_IsLeaf,GanttView[[#This Row],[_Row]])=1,NOT(GanttView[[#This Row],[_IsMilestone]]),N(GanttView[[#This Row],[%]])&gt;0),GanttView[[#This Row],[Forecast Start]],0))</f>
        <v>0</v>
      </c>
      <c r="P107" s="124" t="n">
        <f aca="false">IF(GanttView[[#This Row],[_DoneFrom]]=0,0,IF(GanttView[[#This Row],[%]]&gt;=1,GanttView[[#This Row],[Forecast Finish]],MAX(GanttView[[#This Row],[_DoneFrom]],GanttView[[#This Row],[Forecast Start]]+ROUND((GanttView[[#This Row],[Forecast Finish]]-GanttView[[#This Row],[Forecast Start]]+1)*GanttView[[#This Row],[%]],0)-1)))</f>
        <v>0</v>
      </c>
      <c r="Q107" s="124" t="n">
        <f aca="false">IF(IFERROR(INDEX(tsk_Name,GanttView[[#This Row],[_Row]])="",TRUE()),0,IF(OR(INDEX(tsk_IsLeaf,GanttView[[#This Row],[_Row]])&lt;&gt;1,GanttView[[#This Row],[_IsMilestone]],N(GanttView[[#This Row],[%]])&gt;=1),0,IF(GanttView[[#This Row],[_DoneTo]]&gt;0,GanttView[[#This Row],[_DoneTo]]+1,GanttView[[#This Row],[Forecast Start]])))</f>
        <v>0</v>
      </c>
      <c r="R107" s="124" t="n">
        <f aca="false">IF(GanttView[[#This Row],[_RemFrom]]=0,0,GanttView[[#This Row],[Forecast Finish]])</f>
        <v>0</v>
      </c>
      <c r="S107" s="123" t="b">
        <f aca="false">IF(IFERROR(INDEX(tsk_Name,GanttView[[#This Row],[_Row]])="",TRUE()),FALSE(),N(INDEX(tsk_Variance,GanttView[[#This Row],[_Row]]))&gt;0)</f>
        <v>0</v>
      </c>
      <c r="T107" s="124" t="n">
        <f aca="false">IF(IFERROR(INDEX(tsk_Name,GanttView[[#This Row],[_Row]])="",TRUE()),0,N(INDEX(tsk_Deadline,GanttView[[#This Row],[_Row]])))</f>
        <v>0</v>
      </c>
      <c r="U107" s="123" t="b">
        <f aca="false">IF(IFERROR(INDEX(tsk_Name,GanttView[[#This Row],[_Row]])="",TRUE()),FALSE(),INDEX(tsk_Critical,GanttView[[#This Row],[_Row]])="Yes")</f>
        <v>0</v>
      </c>
    </row>
    <row r="108" customFormat="false" ht="15" hidden="false" customHeight="false" outlineLevel="0" collapsed="false">
      <c r="A108" s="117" t="str">
        <f aca="false">IF(IFERROR(INDEX(tsk_Name,GanttView[[#This Row],[_Row]])="",TRUE()),"",INDEX(tsk_ID,GanttView[[#This Row],[_Row]]))</f>
        <v/>
      </c>
      <c r="B108" s="117" t="str">
        <f aca="false">IF(IFERROR(INDEX(tsk_Name,GanttView[[#This Row],[_Row]])="",TRUE()),"",INDEX(tsk_WBS,GanttView[[#This Row],[_Row]]))</f>
        <v/>
      </c>
      <c r="C108" s="118" t="str">
        <f aca="false">IF(IFERROR(INDEX(tsk_Name,GanttView[[#This Row],[_Row]])="",TRUE()),"",REPT("    ",INDEX(tsk_Level,GanttView[[#This Row],[_Row]])-1)&amp;INDEX(tsk_Name,GanttView[[#This Row],[_Row]]))</f>
        <v/>
      </c>
      <c r="D108" s="117" t="str">
        <f aca="false">IF(IFERROR(INDEX(tsk_Name,GanttView[[#This Row],[_Row]])="",TRUE()),"",IF(INDEX(tsk_IsSummary,GanttView[[#This Row],[_Row]]),NETWORKDAYS.INTL(INDEX(tsk_FcStart,GanttView[[#This Row],[_Row]]),INDEX(tsk_FcFinish,GanttView[[#This Row],[_Row]]),WorkWeek,Holidays),N(INDEX(tsk_Duration,GanttView[[#This Row],[_Row]]))))</f>
        <v/>
      </c>
      <c r="E108" s="119" t="str">
        <f aca="false">IF(IFERROR(INDEX(tsk_Name,GanttView[[#This Row],[_Row]])="",TRUE()),"",INDEX(tsk_PlanStart,GanttView[[#This Row],[_Row]]))</f>
        <v/>
      </c>
      <c r="F108" s="119" t="str">
        <f aca="false">IF(IFERROR(INDEX(tsk_Name,GanttView[[#This Row],[_Row]])="",TRUE()),"",INDEX(tsk_PlanFinish,GanttView[[#This Row],[_Row]]))</f>
        <v/>
      </c>
      <c r="G108" s="119" t="str">
        <f aca="false">IF(IFERROR(INDEX(tsk_Name,GanttView[[#This Row],[_Row]])="",TRUE()),"",INDEX(tsk_FcStart,GanttView[[#This Row],[_Row]]))</f>
        <v/>
      </c>
      <c r="H108" s="119" t="str">
        <f aca="false">IF(IFERROR(INDEX(tsk_Name,GanttView[[#This Row],[_Row]])="",TRUE()),"",INDEX(tsk_FcFinish,GanttView[[#This Row],[_Row]]))</f>
        <v/>
      </c>
      <c r="I108" s="120" t="str">
        <f aca="false">IF(IFERROR(INDEX(tsk_Name,GanttView[[#This Row],[_Row]])="",TRUE()),"",INDEX(tsk_Progress,GanttView[[#This Row],[_Row]]))</f>
        <v/>
      </c>
      <c r="J108" s="118" t="str">
        <f aca="false">IF(IFERROR(INDEX(tsk_Name,GanttView[[#This Row],[_Row]])="",TRUE()),"",INDEX(tsk_Resource,GanttView[[#This Row],[_Row]])&amp;"")</f>
        <v/>
      </c>
      <c r="K108" s="121" t="str">
        <f aca="false">IF(IFERROR(INDEX(tsk_Name,GanttView[[#This Row],[_Row]])="",TRUE()),"",INDEX(tsk_Status,GanttView[[#This Row],[_Row]]))</f>
        <v/>
      </c>
      <c r="L108" s="122" t="n">
        <f aca="false">ROW()-ROW(GanttView[[#Headers],[ID]])</f>
        <v>103</v>
      </c>
      <c r="M108" s="123" t="b">
        <f aca="false">IF(IFERROR(INDEX(tsk_Name,GanttView[[#This Row],[_Row]])="",TRUE()),FALSE(),INDEX(tsk_IsSummary,GanttView[[#This Row],[_Row]]))</f>
        <v>0</v>
      </c>
      <c r="N108" s="123" t="b">
        <f aca="false">IF(IFERROR(INDEX(tsk_Name,GanttView[[#This Row],[_Row]])="",TRUE()),FALSE(),AND(INDEX(tsk_IsLeaf,GanttView[[#This Row],[_Row]])=1,N(INDEX(tsk_Duration,GanttView[[#This Row],[_Row]]))=0))</f>
        <v>0</v>
      </c>
      <c r="O108" s="124" t="n">
        <f aca="false">IF(IFERROR(INDEX(tsk_Name,GanttView[[#This Row],[_Row]])="",TRUE()),0,IF(AND(INDEX(tsk_IsLeaf,GanttView[[#This Row],[_Row]])=1,NOT(GanttView[[#This Row],[_IsMilestone]]),N(GanttView[[#This Row],[%]])&gt;0),GanttView[[#This Row],[Forecast Start]],0))</f>
        <v>0</v>
      </c>
      <c r="P108" s="124" t="n">
        <f aca="false">IF(GanttView[[#This Row],[_DoneFrom]]=0,0,IF(GanttView[[#This Row],[%]]&gt;=1,GanttView[[#This Row],[Forecast Finish]],MAX(GanttView[[#This Row],[_DoneFrom]],GanttView[[#This Row],[Forecast Start]]+ROUND((GanttView[[#This Row],[Forecast Finish]]-GanttView[[#This Row],[Forecast Start]]+1)*GanttView[[#This Row],[%]],0)-1)))</f>
        <v>0</v>
      </c>
      <c r="Q108" s="124" t="n">
        <f aca="false">IF(IFERROR(INDEX(tsk_Name,GanttView[[#This Row],[_Row]])="",TRUE()),0,IF(OR(INDEX(tsk_IsLeaf,GanttView[[#This Row],[_Row]])&lt;&gt;1,GanttView[[#This Row],[_IsMilestone]],N(GanttView[[#This Row],[%]])&gt;=1),0,IF(GanttView[[#This Row],[_DoneTo]]&gt;0,GanttView[[#This Row],[_DoneTo]]+1,GanttView[[#This Row],[Forecast Start]])))</f>
        <v>0</v>
      </c>
      <c r="R108" s="124" t="n">
        <f aca="false">IF(GanttView[[#This Row],[_RemFrom]]=0,0,GanttView[[#This Row],[Forecast Finish]])</f>
        <v>0</v>
      </c>
      <c r="S108" s="123" t="b">
        <f aca="false">IF(IFERROR(INDEX(tsk_Name,GanttView[[#This Row],[_Row]])="",TRUE()),FALSE(),N(INDEX(tsk_Variance,GanttView[[#This Row],[_Row]]))&gt;0)</f>
        <v>0</v>
      </c>
      <c r="T108" s="124" t="n">
        <f aca="false">IF(IFERROR(INDEX(tsk_Name,GanttView[[#This Row],[_Row]])="",TRUE()),0,N(INDEX(tsk_Deadline,GanttView[[#This Row],[_Row]])))</f>
        <v>0</v>
      </c>
      <c r="U108" s="123" t="b">
        <f aca="false">IF(IFERROR(INDEX(tsk_Name,GanttView[[#This Row],[_Row]])="",TRUE()),FALSE(),INDEX(tsk_Critical,GanttView[[#This Row],[_Row]])="Yes")</f>
        <v>0</v>
      </c>
    </row>
    <row r="109" customFormat="false" ht="15" hidden="false" customHeight="false" outlineLevel="0" collapsed="false">
      <c r="A109" s="117" t="str">
        <f aca="false">IF(IFERROR(INDEX(tsk_Name,GanttView[[#This Row],[_Row]])="",TRUE()),"",INDEX(tsk_ID,GanttView[[#This Row],[_Row]]))</f>
        <v/>
      </c>
      <c r="B109" s="117" t="str">
        <f aca="false">IF(IFERROR(INDEX(tsk_Name,GanttView[[#This Row],[_Row]])="",TRUE()),"",INDEX(tsk_WBS,GanttView[[#This Row],[_Row]]))</f>
        <v/>
      </c>
      <c r="C109" s="118" t="str">
        <f aca="false">IF(IFERROR(INDEX(tsk_Name,GanttView[[#This Row],[_Row]])="",TRUE()),"",REPT("    ",INDEX(tsk_Level,GanttView[[#This Row],[_Row]])-1)&amp;INDEX(tsk_Name,GanttView[[#This Row],[_Row]]))</f>
        <v/>
      </c>
      <c r="D109" s="117" t="str">
        <f aca="false">IF(IFERROR(INDEX(tsk_Name,GanttView[[#This Row],[_Row]])="",TRUE()),"",IF(INDEX(tsk_IsSummary,GanttView[[#This Row],[_Row]]),NETWORKDAYS.INTL(INDEX(tsk_FcStart,GanttView[[#This Row],[_Row]]),INDEX(tsk_FcFinish,GanttView[[#This Row],[_Row]]),WorkWeek,Holidays),N(INDEX(tsk_Duration,GanttView[[#This Row],[_Row]]))))</f>
        <v/>
      </c>
      <c r="E109" s="119" t="str">
        <f aca="false">IF(IFERROR(INDEX(tsk_Name,GanttView[[#This Row],[_Row]])="",TRUE()),"",INDEX(tsk_PlanStart,GanttView[[#This Row],[_Row]]))</f>
        <v/>
      </c>
      <c r="F109" s="119" t="str">
        <f aca="false">IF(IFERROR(INDEX(tsk_Name,GanttView[[#This Row],[_Row]])="",TRUE()),"",INDEX(tsk_PlanFinish,GanttView[[#This Row],[_Row]]))</f>
        <v/>
      </c>
      <c r="G109" s="119" t="str">
        <f aca="false">IF(IFERROR(INDEX(tsk_Name,GanttView[[#This Row],[_Row]])="",TRUE()),"",INDEX(tsk_FcStart,GanttView[[#This Row],[_Row]]))</f>
        <v/>
      </c>
      <c r="H109" s="119" t="str">
        <f aca="false">IF(IFERROR(INDEX(tsk_Name,GanttView[[#This Row],[_Row]])="",TRUE()),"",INDEX(tsk_FcFinish,GanttView[[#This Row],[_Row]]))</f>
        <v/>
      </c>
      <c r="I109" s="120" t="str">
        <f aca="false">IF(IFERROR(INDEX(tsk_Name,GanttView[[#This Row],[_Row]])="",TRUE()),"",INDEX(tsk_Progress,GanttView[[#This Row],[_Row]]))</f>
        <v/>
      </c>
      <c r="J109" s="118" t="str">
        <f aca="false">IF(IFERROR(INDEX(tsk_Name,GanttView[[#This Row],[_Row]])="",TRUE()),"",INDEX(tsk_Resource,GanttView[[#This Row],[_Row]])&amp;"")</f>
        <v/>
      </c>
      <c r="K109" s="121" t="str">
        <f aca="false">IF(IFERROR(INDEX(tsk_Name,GanttView[[#This Row],[_Row]])="",TRUE()),"",INDEX(tsk_Status,GanttView[[#This Row],[_Row]]))</f>
        <v/>
      </c>
      <c r="L109" s="122" t="n">
        <f aca="false">ROW()-ROW(GanttView[[#Headers],[ID]])</f>
        <v>104</v>
      </c>
      <c r="M109" s="123" t="b">
        <f aca="false">IF(IFERROR(INDEX(tsk_Name,GanttView[[#This Row],[_Row]])="",TRUE()),FALSE(),INDEX(tsk_IsSummary,GanttView[[#This Row],[_Row]]))</f>
        <v>0</v>
      </c>
      <c r="N109" s="123" t="b">
        <f aca="false">IF(IFERROR(INDEX(tsk_Name,GanttView[[#This Row],[_Row]])="",TRUE()),FALSE(),AND(INDEX(tsk_IsLeaf,GanttView[[#This Row],[_Row]])=1,N(INDEX(tsk_Duration,GanttView[[#This Row],[_Row]]))=0))</f>
        <v>0</v>
      </c>
      <c r="O109" s="124" t="n">
        <f aca="false">IF(IFERROR(INDEX(tsk_Name,GanttView[[#This Row],[_Row]])="",TRUE()),0,IF(AND(INDEX(tsk_IsLeaf,GanttView[[#This Row],[_Row]])=1,NOT(GanttView[[#This Row],[_IsMilestone]]),N(GanttView[[#This Row],[%]])&gt;0),GanttView[[#This Row],[Forecast Start]],0))</f>
        <v>0</v>
      </c>
      <c r="P109" s="124" t="n">
        <f aca="false">IF(GanttView[[#This Row],[_DoneFrom]]=0,0,IF(GanttView[[#This Row],[%]]&gt;=1,GanttView[[#This Row],[Forecast Finish]],MAX(GanttView[[#This Row],[_DoneFrom]],GanttView[[#This Row],[Forecast Start]]+ROUND((GanttView[[#This Row],[Forecast Finish]]-GanttView[[#This Row],[Forecast Start]]+1)*GanttView[[#This Row],[%]],0)-1)))</f>
        <v>0</v>
      </c>
      <c r="Q109" s="124" t="n">
        <f aca="false">IF(IFERROR(INDEX(tsk_Name,GanttView[[#This Row],[_Row]])="",TRUE()),0,IF(OR(INDEX(tsk_IsLeaf,GanttView[[#This Row],[_Row]])&lt;&gt;1,GanttView[[#This Row],[_IsMilestone]],N(GanttView[[#This Row],[%]])&gt;=1),0,IF(GanttView[[#This Row],[_DoneTo]]&gt;0,GanttView[[#This Row],[_DoneTo]]+1,GanttView[[#This Row],[Forecast Start]])))</f>
        <v>0</v>
      </c>
      <c r="R109" s="124" t="n">
        <f aca="false">IF(GanttView[[#This Row],[_RemFrom]]=0,0,GanttView[[#This Row],[Forecast Finish]])</f>
        <v>0</v>
      </c>
      <c r="S109" s="123" t="b">
        <f aca="false">IF(IFERROR(INDEX(tsk_Name,GanttView[[#This Row],[_Row]])="",TRUE()),FALSE(),N(INDEX(tsk_Variance,GanttView[[#This Row],[_Row]]))&gt;0)</f>
        <v>0</v>
      </c>
      <c r="T109" s="124" t="n">
        <f aca="false">IF(IFERROR(INDEX(tsk_Name,GanttView[[#This Row],[_Row]])="",TRUE()),0,N(INDEX(tsk_Deadline,GanttView[[#This Row],[_Row]])))</f>
        <v>0</v>
      </c>
      <c r="U109" s="123" t="b">
        <f aca="false">IF(IFERROR(INDEX(tsk_Name,GanttView[[#This Row],[_Row]])="",TRUE()),FALSE(),INDEX(tsk_Critical,GanttView[[#This Row],[_Row]])="Yes")</f>
        <v>0</v>
      </c>
    </row>
    <row r="110" customFormat="false" ht="15" hidden="false" customHeight="false" outlineLevel="0" collapsed="false">
      <c r="A110" s="117" t="str">
        <f aca="false">IF(IFERROR(INDEX(tsk_Name,GanttView[[#This Row],[_Row]])="",TRUE()),"",INDEX(tsk_ID,GanttView[[#This Row],[_Row]]))</f>
        <v/>
      </c>
      <c r="B110" s="117" t="str">
        <f aca="false">IF(IFERROR(INDEX(tsk_Name,GanttView[[#This Row],[_Row]])="",TRUE()),"",INDEX(tsk_WBS,GanttView[[#This Row],[_Row]]))</f>
        <v/>
      </c>
      <c r="C110" s="118" t="str">
        <f aca="false">IF(IFERROR(INDEX(tsk_Name,GanttView[[#This Row],[_Row]])="",TRUE()),"",REPT("    ",INDEX(tsk_Level,GanttView[[#This Row],[_Row]])-1)&amp;INDEX(tsk_Name,GanttView[[#This Row],[_Row]]))</f>
        <v/>
      </c>
      <c r="D110" s="117" t="str">
        <f aca="false">IF(IFERROR(INDEX(tsk_Name,GanttView[[#This Row],[_Row]])="",TRUE()),"",IF(INDEX(tsk_IsSummary,GanttView[[#This Row],[_Row]]),NETWORKDAYS.INTL(INDEX(tsk_FcStart,GanttView[[#This Row],[_Row]]),INDEX(tsk_FcFinish,GanttView[[#This Row],[_Row]]),WorkWeek,Holidays),N(INDEX(tsk_Duration,GanttView[[#This Row],[_Row]]))))</f>
        <v/>
      </c>
      <c r="E110" s="119" t="str">
        <f aca="false">IF(IFERROR(INDEX(tsk_Name,GanttView[[#This Row],[_Row]])="",TRUE()),"",INDEX(tsk_PlanStart,GanttView[[#This Row],[_Row]]))</f>
        <v/>
      </c>
      <c r="F110" s="119" t="str">
        <f aca="false">IF(IFERROR(INDEX(tsk_Name,GanttView[[#This Row],[_Row]])="",TRUE()),"",INDEX(tsk_PlanFinish,GanttView[[#This Row],[_Row]]))</f>
        <v/>
      </c>
      <c r="G110" s="119" t="str">
        <f aca="false">IF(IFERROR(INDEX(tsk_Name,GanttView[[#This Row],[_Row]])="",TRUE()),"",INDEX(tsk_FcStart,GanttView[[#This Row],[_Row]]))</f>
        <v/>
      </c>
      <c r="H110" s="119" t="str">
        <f aca="false">IF(IFERROR(INDEX(tsk_Name,GanttView[[#This Row],[_Row]])="",TRUE()),"",INDEX(tsk_FcFinish,GanttView[[#This Row],[_Row]]))</f>
        <v/>
      </c>
      <c r="I110" s="120" t="str">
        <f aca="false">IF(IFERROR(INDEX(tsk_Name,GanttView[[#This Row],[_Row]])="",TRUE()),"",INDEX(tsk_Progress,GanttView[[#This Row],[_Row]]))</f>
        <v/>
      </c>
      <c r="J110" s="118" t="str">
        <f aca="false">IF(IFERROR(INDEX(tsk_Name,GanttView[[#This Row],[_Row]])="",TRUE()),"",INDEX(tsk_Resource,GanttView[[#This Row],[_Row]])&amp;"")</f>
        <v/>
      </c>
      <c r="K110" s="121" t="str">
        <f aca="false">IF(IFERROR(INDEX(tsk_Name,GanttView[[#This Row],[_Row]])="",TRUE()),"",INDEX(tsk_Status,GanttView[[#This Row],[_Row]]))</f>
        <v/>
      </c>
      <c r="L110" s="122" t="n">
        <f aca="false">ROW()-ROW(GanttView[[#Headers],[ID]])</f>
        <v>105</v>
      </c>
      <c r="M110" s="123" t="b">
        <f aca="false">IF(IFERROR(INDEX(tsk_Name,GanttView[[#This Row],[_Row]])="",TRUE()),FALSE(),INDEX(tsk_IsSummary,GanttView[[#This Row],[_Row]]))</f>
        <v>0</v>
      </c>
      <c r="N110" s="123" t="b">
        <f aca="false">IF(IFERROR(INDEX(tsk_Name,GanttView[[#This Row],[_Row]])="",TRUE()),FALSE(),AND(INDEX(tsk_IsLeaf,GanttView[[#This Row],[_Row]])=1,N(INDEX(tsk_Duration,GanttView[[#This Row],[_Row]]))=0))</f>
        <v>0</v>
      </c>
      <c r="O110" s="124" t="n">
        <f aca="false">IF(IFERROR(INDEX(tsk_Name,GanttView[[#This Row],[_Row]])="",TRUE()),0,IF(AND(INDEX(tsk_IsLeaf,GanttView[[#This Row],[_Row]])=1,NOT(GanttView[[#This Row],[_IsMilestone]]),N(GanttView[[#This Row],[%]])&gt;0),GanttView[[#This Row],[Forecast Start]],0))</f>
        <v>0</v>
      </c>
      <c r="P110" s="124" t="n">
        <f aca="false">IF(GanttView[[#This Row],[_DoneFrom]]=0,0,IF(GanttView[[#This Row],[%]]&gt;=1,GanttView[[#This Row],[Forecast Finish]],MAX(GanttView[[#This Row],[_DoneFrom]],GanttView[[#This Row],[Forecast Start]]+ROUND((GanttView[[#This Row],[Forecast Finish]]-GanttView[[#This Row],[Forecast Start]]+1)*GanttView[[#This Row],[%]],0)-1)))</f>
        <v>0</v>
      </c>
      <c r="Q110" s="124" t="n">
        <f aca="false">IF(IFERROR(INDEX(tsk_Name,GanttView[[#This Row],[_Row]])="",TRUE()),0,IF(OR(INDEX(tsk_IsLeaf,GanttView[[#This Row],[_Row]])&lt;&gt;1,GanttView[[#This Row],[_IsMilestone]],N(GanttView[[#This Row],[%]])&gt;=1),0,IF(GanttView[[#This Row],[_DoneTo]]&gt;0,GanttView[[#This Row],[_DoneTo]]+1,GanttView[[#This Row],[Forecast Start]])))</f>
        <v>0</v>
      </c>
      <c r="R110" s="124" t="n">
        <f aca="false">IF(GanttView[[#This Row],[_RemFrom]]=0,0,GanttView[[#This Row],[Forecast Finish]])</f>
        <v>0</v>
      </c>
      <c r="S110" s="123" t="b">
        <f aca="false">IF(IFERROR(INDEX(tsk_Name,GanttView[[#This Row],[_Row]])="",TRUE()),FALSE(),N(INDEX(tsk_Variance,GanttView[[#This Row],[_Row]]))&gt;0)</f>
        <v>0</v>
      </c>
      <c r="T110" s="124" t="n">
        <f aca="false">IF(IFERROR(INDEX(tsk_Name,GanttView[[#This Row],[_Row]])="",TRUE()),0,N(INDEX(tsk_Deadline,GanttView[[#This Row],[_Row]])))</f>
        <v>0</v>
      </c>
      <c r="U110" s="123" t="b">
        <f aca="false">IF(IFERROR(INDEX(tsk_Name,GanttView[[#This Row],[_Row]])="",TRUE()),FALSE(),INDEX(tsk_Critical,GanttView[[#This Row],[_Row]])="Yes")</f>
        <v>0</v>
      </c>
    </row>
    <row r="111" customFormat="false" ht="15" hidden="false" customHeight="false" outlineLevel="0" collapsed="false">
      <c r="A111" s="117" t="str">
        <f aca="false">IF(IFERROR(INDEX(tsk_Name,GanttView[[#This Row],[_Row]])="",TRUE()),"",INDEX(tsk_ID,GanttView[[#This Row],[_Row]]))</f>
        <v/>
      </c>
      <c r="B111" s="117" t="str">
        <f aca="false">IF(IFERROR(INDEX(tsk_Name,GanttView[[#This Row],[_Row]])="",TRUE()),"",INDEX(tsk_WBS,GanttView[[#This Row],[_Row]]))</f>
        <v/>
      </c>
      <c r="C111" s="118" t="str">
        <f aca="false">IF(IFERROR(INDEX(tsk_Name,GanttView[[#This Row],[_Row]])="",TRUE()),"",REPT("    ",INDEX(tsk_Level,GanttView[[#This Row],[_Row]])-1)&amp;INDEX(tsk_Name,GanttView[[#This Row],[_Row]]))</f>
        <v/>
      </c>
      <c r="D111" s="117" t="str">
        <f aca="false">IF(IFERROR(INDEX(tsk_Name,GanttView[[#This Row],[_Row]])="",TRUE()),"",IF(INDEX(tsk_IsSummary,GanttView[[#This Row],[_Row]]),NETWORKDAYS.INTL(INDEX(tsk_FcStart,GanttView[[#This Row],[_Row]]),INDEX(tsk_FcFinish,GanttView[[#This Row],[_Row]]),WorkWeek,Holidays),N(INDEX(tsk_Duration,GanttView[[#This Row],[_Row]]))))</f>
        <v/>
      </c>
      <c r="E111" s="119" t="str">
        <f aca="false">IF(IFERROR(INDEX(tsk_Name,GanttView[[#This Row],[_Row]])="",TRUE()),"",INDEX(tsk_PlanStart,GanttView[[#This Row],[_Row]]))</f>
        <v/>
      </c>
      <c r="F111" s="119" t="str">
        <f aca="false">IF(IFERROR(INDEX(tsk_Name,GanttView[[#This Row],[_Row]])="",TRUE()),"",INDEX(tsk_PlanFinish,GanttView[[#This Row],[_Row]]))</f>
        <v/>
      </c>
      <c r="G111" s="119" t="str">
        <f aca="false">IF(IFERROR(INDEX(tsk_Name,GanttView[[#This Row],[_Row]])="",TRUE()),"",INDEX(tsk_FcStart,GanttView[[#This Row],[_Row]]))</f>
        <v/>
      </c>
      <c r="H111" s="119" t="str">
        <f aca="false">IF(IFERROR(INDEX(tsk_Name,GanttView[[#This Row],[_Row]])="",TRUE()),"",INDEX(tsk_FcFinish,GanttView[[#This Row],[_Row]]))</f>
        <v/>
      </c>
      <c r="I111" s="120" t="str">
        <f aca="false">IF(IFERROR(INDEX(tsk_Name,GanttView[[#This Row],[_Row]])="",TRUE()),"",INDEX(tsk_Progress,GanttView[[#This Row],[_Row]]))</f>
        <v/>
      </c>
      <c r="J111" s="118" t="str">
        <f aca="false">IF(IFERROR(INDEX(tsk_Name,GanttView[[#This Row],[_Row]])="",TRUE()),"",INDEX(tsk_Resource,GanttView[[#This Row],[_Row]])&amp;"")</f>
        <v/>
      </c>
      <c r="K111" s="121" t="str">
        <f aca="false">IF(IFERROR(INDEX(tsk_Name,GanttView[[#This Row],[_Row]])="",TRUE()),"",INDEX(tsk_Status,GanttView[[#This Row],[_Row]]))</f>
        <v/>
      </c>
      <c r="L111" s="122" t="n">
        <f aca="false">ROW()-ROW(GanttView[[#Headers],[ID]])</f>
        <v>106</v>
      </c>
      <c r="M111" s="123" t="b">
        <f aca="false">IF(IFERROR(INDEX(tsk_Name,GanttView[[#This Row],[_Row]])="",TRUE()),FALSE(),INDEX(tsk_IsSummary,GanttView[[#This Row],[_Row]]))</f>
        <v>0</v>
      </c>
      <c r="N111" s="123" t="b">
        <f aca="false">IF(IFERROR(INDEX(tsk_Name,GanttView[[#This Row],[_Row]])="",TRUE()),FALSE(),AND(INDEX(tsk_IsLeaf,GanttView[[#This Row],[_Row]])=1,N(INDEX(tsk_Duration,GanttView[[#This Row],[_Row]]))=0))</f>
        <v>0</v>
      </c>
      <c r="O111" s="124" t="n">
        <f aca="false">IF(IFERROR(INDEX(tsk_Name,GanttView[[#This Row],[_Row]])="",TRUE()),0,IF(AND(INDEX(tsk_IsLeaf,GanttView[[#This Row],[_Row]])=1,NOT(GanttView[[#This Row],[_IsMilestone]]),N(GanttView[[#This Row],[%]])&gt;0),GanttView[[#This Row],[Forecast Start]],0))</f>
        <v>0</v>
      </c>
      <c r="P111" s="124" t="n">
        <f aca="false">IF(GanttView[[#This Row],[_DoneFrom]]=0,0,IF(GanttView[[#This Row],[%]]&gt;=1,GanttView[[#This Row],[Forecast Finish]],MAX(GanttView[[#This Row],[_DoneFrom]],GanttView[[#This Row],[Forecast Start]]+ROUND((GanttView[[#This Row],[Forecast Finish]]-GanttView[[#This Row],[Forecast Start]]+1)*GanttView[[#This Row],[%]],0)-1)))</f>
        <v>0</v>
      </c>
      <c r="Q111" s="124" t="n">
        <f aca="false">IF(IFERROR(INDEX(tsk_Name,GanttView[[#This Row],[_Row]])="",TRUE()),0,IF(OR(INDEX(tsk_IsLeaf,GanttView[[#This Row],[_Row]])&lt;&gt;1,GanttView[[#This Row],[_IsMilestone]],N(GanttView[[#This Row],[%]])&gt;=1),0,IF(GanttView[[#This Row],[_DoneTo]]&gt;0,GanttView[[#This Row],[_DoneTo]]+1,GanttView[[#This Row],[Forecast Start]])))</f>
        <v>0</v>
      </c>
      <c r="R111" s="124" t="n">
        <f aca="false">IF(GanttView[[#This Row],[_RemFrom]]=0,0,GanttView[[#This Row],[Forecast Finish]])</f>
        <v>0</v>
      </c>
      <c r="S111" s="123" t="b">
        <f aca="false">IF(IFERROR(INDEX(tsk_Name,GanttView[[#This Row],[_Row]])="",TRUE()),FALSE(),N(INDEX(tsk_Variance,GanttView[[#This Row],[_Row]]))&gt;0)</f>
        <v>0</v>
      </c>
      <c r="T111" s="124" t="n">
        <f aca="false">IF(IFERROR(INDEX(tsk_Name,GanttView[[#This Row],[_Row]])="",TRUE()),0,N(INDEX(tsk_Deadline,GanttView[[#This Row],[_Row]])))</f>
        <v>0</v>
      </c>
      <c r="U111" s="123" t="b">
        <f aca="false">IF(IFERROR(INDEX(tsk_Name,GanttView[[#This Row],[_Row]])="",TRUE()),FALSE(),INDEX(tsk_Critical,GanttView[[#This Row],[_Row]])="Yes")</f>
        <v>0</v>
      </c>
    </row>
    <row r="112" customFormat="false" ht="15" hidden="false" customHeight="false" outlineLevel="0" collapsed="false">
      <c r="A112" s="117" t="str">
        <f aca="false">IF(IFERROR(INDEX(tsk_Name,GanttView[[#This Row],[_Row]])="",TRUE()),"",INDEX(tsk_ID,GanttView[[#This Row],[_Row]]))</f>
        <v/>
      </c>
      <c r="B112" s="117" t="str">
        <f aca="false">IF(IFERROR(INDEX(tsk_Name,GanttView[[#This Row],[_Row]])="",TRUE()),"",INDEX(tsk_WBS,GanttView[[#This Row],[_Row]]))</f>
        <v/>
      </c>
      <c r="C112" s="118" t="str">
        <f aca="false">IF(IFERROR(INDEX(tsk_Name,GanttView[[#This Row],[_Row]])="",TRUE()),"",REPT("    ",INDEX(tsk_Level,GanttView[[#This Row],[_Row]])-1)&amp;INDEX(tsk_Name,GanttView[[#This Row],[_Row]]))</f>
        <v/>
      </c>
      <c r="D112" s="117" t="str">
        <f aca="false">IF(IFERROR(INDEX(tsk_Name,GanttView[[#This Row],[_Row]])="",TRUE()),"",IF(INDEX(tsk_IsSummary,GanttView[[#This Row],[_Row]]),NETWORKDAYS.INTL(INDEX(tsk_FcStart,GanttView[[#This Row],[_Row]]),INDEX(tsk_FcFinish,GanttView[[#This Row],[_Row]]),WorkWeek,Holidays),N(INDEX(tsk_Duration,GanttView[[#This Row],[_Row]]))))</f>
        <v/>
      </c>
      <c r="E112" s="119" t="str">
        <f aca="false">IF(IFERROR(INDEX(tsk_Name,GanttView[[#This Row],[_Row]])="",TRUE()),"",INDEX(tsk_PlanStart,GanttView[[#This Row],[_Row]]))</f>
        <v/>
      </c>
      <c r="F112" s="119" t="str">
        <f aca="false">IF(IFERROR(INDEX(tsk_Name,GanttView[[#This Row],[_Row]])="",TRUE()),"",INDEX(tsk_PlanFinish,GanttView[[#This Row],[_Row]]))</f>
        <v/>
      </c>
      <c r="G112" s="119" t="str">
        <f aca="false">IF(IFERROR(INDEX(tsk_Name,GanttView[[#This Row],[_Row]])="",TRUE()),"",INDEX(tsk_FcStart,GanttView[[#This Row],[_Row]]))</f>
        <v/>
      </c>
      <c r="H112" s="119" t="str">
        <f aca="false">IF(IFERROR(INDEX(tsk_Name,GanttView[[#This Row],[_Row]])="",TRUE()),"",INDEX(tsk_FcFinish,GanttView[[#This Row],[_Row]]))</f>
        <v/>
      </c>
      <c r="I112" s="120" t="str">
        <f aca="false">IF(IFERROR(INDEX(tsk_Name,GanttView[[#This Row],[_Row]])="",TRUE()),"",INDEX(tsk_Progress,GanttView[[#This Row],[_Row]]))</f>
        <v/>
      </c>
      <c r="J112" s="118" t="str">
        <f aca="false">IF(IFERROR(INDEX(tsk_Name,GanttView[[#This Row],[_Row]])="",TRUE()),"",INDEX(tsk_Resource,GanttView[[#This Row],[_Row]])&amp;"")</f>
        <v/>
      </c>
      <c r="K112" s="121" t="str">
        <f aca="false">IF(IFERROR(INDEX(tsk_Name,GanttView[[#This Row],[_Row]])="",TRUE()),"",INDEX(tsk_Status,GanttView[[#This Row],[_Row]]))</f>
        <v/>
      </c>
      <c r="L112" s="122" t="n">
        <f aca="false">ROW()-ROW(GanttView[[#Headers],[ID]])</f>
        <v>107</v>
      </c>
      <c r="M112" s="123" t="b">
        <f aca="false">IF(IFERROR(INDEX(tsk_Name,GanttView[[#This Row],[_Row]])="",TRUE()),FALSE(),INDEX(tsk_IsSummary,GanttView[[#This Row],[_Row]]))</f>
        <v>0</v>
      </c>
      <c r="N112" s="123" t="b">
        <f aca="false">IF(IFERROR(INDEX(tsk_Name,GanttView[[#This Row],[_Row]])="",TRUE()),FALSE(),AND(INDEX(tsk_IsLeaf,GanttView[[#This Row],[_Row]])=1,N(INDEX(tsk_Duration,GanttView[[#This Row],[_Row]]))=0))</f>
        <v>0</v>
      </c>
      <c r="O112" s="124" t="n">
        <f aca="false">IF(IFERROR(INDEX(tsk_Name,GanttView[[#This Row],[_Row]])="",TRUE()),0,IF(AND(INDEX(tsk_IsLeaf,GanttView[[#This Row],[_Row]])=1,NOT(GanttView[[#This Row],[_IsMilestone]]),N(GanttView[[#This Row],[%]])&gt;0),GanttView[[#This Row],[Forecast Start]],0))</f>
        <v>0</v>
      </c>
      <c r="P112" s="124" t="n">
        <f aca="false">IF(GanttView[[#This Row],[_DoneFrom]]=0,0,IF(GanttView[[#This Row],[%]]&gt;=1,GanttView[[#This Row],[Forecast Finish]],MAX(GanttView[[#This Row],[_DoneFrom]],GanttView[[#This Row],[Forecast Start]]+ROUND((GanttView[[#This Row],[Forecast Finish]]-GanttView[[#This Row],[Forecast Start]]+1)*GanttView[[#This Row],[%]],0)-1)))</f>
        <v>0</v>
      </c>
      <c r="Q112" s="124" t="n">
        <f aca="false">IF(IFERROR(INDEX(tsk_Name,GanttView[[#This Row],[_Row]])="",TRUE()),0,IF(OR(INDEX(tsk_IsLeaf,GanttView[[#This Row],[_Row]])&lt;&gt;1,GanttView[[#This Row],[_IsMilestone]],N(GanttView[[#This Row],[%]])&gt;=1),0,IF(GanttView[[#This Row],[_DoneTo]]&gt;0,GanttView[[#This Row],[_DoneTo]]+1,GanttView[[#This Row],[Forecast Start]])))</f>
        <v>0</v>
      </c>
      <c r="R112" s="124" t="n">
        <f aca="false">IF(GanttView[[#This Row],[_RemFrom]]=0,0,GanttView[[#This Row],[Forecast Finish]])</f>
        <v>0</v>
      </c>
      <c r="S112" s="123" t="b">
        <f aca="false">IF(IFERROR(INDEX(tsk_Name,GanttView[[#This Row],[_Row]])="",TRUE()),FALSE(),N(INDEX(tsk_Variance,GanttView[[#This Row],[_Row]]))&gt;0)</f>
        <v>0</v>
      </c>
      <c r="T112" s="124" t="n">
        <f aca="false">IF(IFERROR(INDEX(tsk_Name,GanttView[[#This Row],[_Row]])="",TRUE()),0,N(INDEX(tsk_Deadline,GanttView[[#This Row],[_Row]])))</f>
        <v>0</v>
      </c>
      <c r="U112" s="123" t="b">
        <f aca="false">IF(IFERROR(INDEX(tsk_Name,GanttView[[#This Row],[_Row]])="",TRUE()),FALSE(),INDEX(tsk_Critical,GanttView[[#This Row],[_Row]])="Yes")</f>
        <v>0</v>
      </c>
    </row>
    <row r="113" customFormat="false" ht="15" hidden="false" customHeight="false" outlineLevel="0" collapsed="false">
      <c r="A113" s="117" t="str">
        <f aca="false">IF(IFERROR(INDEX(tsk_Name,GanttView[[#This Row],[_Row]])="",TRUE()),"",INDEX(tsk_ID,GanttView[[#This Row],[_Row]]))</f>
        <v/>
      </c>
      <c r="B113" s="117" t="str">
        <f aca="false">IF(IFERROR(INDEX(tsk_Name,GanttView[[#This Row],[_Row]])="",TRUE()),"",INDEX(tsk_WBS,GanttView[[#This Row],[_Row]]))</f>
        <v/>
      </c>
      <c r="C113" s="118" t="str">
        <f aca="false">IF(IFERROR(INDEX(tsk_Name,GanttView[[#This Row],[_Row]])="",TRUE()),"",REPT("    ",INDEX(tsk_Level,GanttView[[#This Row],[_Row]])-1)&amp;INDEX(tsk_Name,GanttView[[#This Row],[_Row]]))</f>
        <v/>
      </c>
      <c r="D113" s="117" t="str">
        <f aca="false">IF(IFERROR(INDEX(tsk_Name,GanttView[[#This Row],[_Row]])="",TRUE()),"",IF(INDEX(tsk_IsSummary,GanttView[[#This Row],[_Row]]),NETWORKDAYS.INTL(INDEX(tsk_FcStart,GanttView[[#This Row],[_Row]]),INDEX(tsk_FcFinish,GanttView[[#This Row],[_Row]]),WorkWeek,Holidays),N(INDEX(tsk_Duration,GanttView[[#This Row],[_Row]]))))</f>
        <v/>
      </c>
      <c r="E113" s="119" t="str">
        <f aca="false">IF(IFERROR(INDEX(tsk_Name,GanttView[[#This Row],[_Row]])="",TRUE()),"",INDEX(tsk_PlanStart,GanttView[[#This Row],[_Row]]))</f>
        <v/>
      </c>
      <c r="F113" s="119" t="str">
        <f aca="false">IF(IFERROR(INDEX(tsk_Name,GanttView[[#This Row],[_Row]])="",TRUE()),"",INDEX(tsk_PlanFinish,GanttView[[#This Row],[_Row]]))</f>
        <v/>
      </c>
      <c r="G113" s="119" t="str">
        <f aca="false">IF(IFERROR(INDEX(tsk_Name,GanttView[[#This Row],[_Row]])="",TRUE()),"",INDEX(tsk_FcStart,GanttView[[#This Row],[_Row]]))</f>
        <v/>
      </c>
      <c r="H113" s="119" t="str">
        <f aca="false">IF(IFERROR(INDEX(tsk_Name,GanttView[[#This Row],[_Row]])="",TRUE()),"",INDEX(tsk_FcFinish,GanttView[[#This Row],[_Row]]))</f>
        <v/>
      </c>
      <c r="I113" s="120" t="str">
        <f aca="false">IF(IFERROR(INDEX(tsk_Name,GanttView[[#This Row],[_Row]])="",TRUE()),"",INDEX(tsk_Progress,GanttView[[#This Row],[_Row]]))</f>
        <v/>
      </c>
      <c r="J113" s="118" t="str">
        <f aca="false">IF(IFERROR(INDEX(tsk_Name,GanttView[[#This Row],[_Row]])="",TRUE()),"",INDEX(tsk_Resource,GanttView[[#This Row],[_Row]])&amp;"")</f>
        <v/>
      </c>
      <c r="K113" s="121" t="str">
        <f aca="false">IF(IFERROR(INDEX(tsk_Name,GanttView[[#This Row],[_Row]])="",TRUE()),"",INDEX(tsk_Status,GanttView[[#This Row],[_Row]]))</f>
        <v/>
      </c>
      <c r="L113" s="122" t="n">
        <f aca="false">ROW()-ROW(GanttView[[#Headers],[ID]])</f>
        <v>108</v>
      </c>
      <c r="M113" s="123" t="b">
        <f aca="false">IF(IFERROR(INDEX(tsk_Name,GanttView[[#This Row],[_Row]])="",TRUE()),FALSE(),INDEX(tsk_IsSummary,GanttView[[#This Row],[_Row]]))</f>
        <v>0</v>
      </c>
      <c r="N113" s="123" t="b">
        <f aca="false">IF(IFERROR(INDEX(tsk_Name,GanttView[[#This Row],[_Row]])="",TRUE()),FALSE(),AND(INDEX(tsk_IsLeaf,GanttView[[#This Row],[_Row]])=1,N(INDEX(tsk_Duration,GanttView[[#This Row],[_Row]]))=0))</f>
        <v>0</v>
      </c>
      <c r="O113" s="124" t="n">
        <f aca="false">IF(IFERROR(INDEX(tsk_Name,GanttView[[#This Row],[_Row]])="",TRUE()),0,IF(AND(INDEX(tsk_IsLeaf,GanttView[[#This Row],[_Row]])=1,NOT(GanttView[[#This Row],[_IsMilestone]]),N(GanttView[[#This Row],[%]])&gt;0),GanttView[[#This Row],[Forecast Start]],0))</f>
        <v>0</v>
      </c>
      <c r="P113" s="124" t="n">
        <f aca="false">IF(GanttView[[#This Row],[_DoneFrom]]=0,0,IF(GanttView[[#This Row],[%]]&gt;=1,GanttView[[#This Row],[Forecast Finish]],MAX(GanttView[[#This Row],[_DoneFrom]],GanttView[[#This Row],[Forecast Start]]+ROUND((GanttView[[#This Row],[Forecast Finish]]-GanttView[[#This Row],[Forecast Start]]+1)*GanttView[[#This Row],[%]],0)-1)))</f>
        <v>0</v>
      </c>
      <c r="Q113" s="124" t="n">
        <f aca="false">IF(IFERROR(INDEX(tsk_Name,GanttView[[#This Row],[_Row]])="",TRUE()),0,IF(OR(INDEX(tsk_IsLeaf,GanttView[[#This Row],[_Row]])&lt;&gt;1,GanttView[[#This Row],[_IsMilestone]],N(GanttView[[#This Row],[%]])&gt;=1),0,IF(GanttView[[#This Row],[_DoneTo]]&gt;0,GanttView[[#This Row],[_DoneTo]]+1,GanttView[[#This Row],[Forecast Start]])))</f>
        <v>0</v>
      </c>
      <c r="R113" s="124" t="n">
        <f aca="false">IF(GanttView[[#This Row],[_RemFrom]]=0,0,GanttView[[#This Row],[Forecast Finish]])</f>
        <v>0</v>
      </c>
      <c r="S113" s="123" t="b">
        <f aca="false">IF(IFERROR(INDEX(tsk_Name,GanttView[[#This Row],[_Row]])="",TRUE()),FALSE(),N(INDEX(tsk_Variance,GanttView[[#This Row],[_Row]]))&gt;0)</f>
        <v>0</v>
      </c>
      <c r="T113" s="124" t="n">
        <f aca="false">IF(IFERROR(INDEX(tsk_Name,GanttView[[#This Row],[_Row]])="",TRUE()),0,N(INDEX(tsk_Deadline,GanttView[[#This Row],[_Row]])))</f>
        <v>0</v>
      </c>
      <c r="U113" s="123" t="b">
        <f aca="false">IF(IFERROR(INDEX(tsk_Name,GanttView[[#This Row],[_Row]])="",TRUE()),FALSE(),INDEX(tsk_Critical,GanttView[[#This Row],[_Row]])="Yes")</f>
        <v>0</v>
      </c>
    </row>
    <row r="114" customFormat="false" ht="15" hidden="false" customHeight="false" outlineLevel="0" collapsed="false">
      <c r="A114" s="117" t="str">
        <f aca="false">IF(IFERROR(INDEX(tsk_Name,GanttView[[#This Row],[_Row]])="",TRUE()),"",INDEX(tsk_ID,GanttView[[#This Row],[_Row]]))</f>
        <v/>
      </c>
      <c r="B114" s="117" t="str">
        <f aca="false">IF(IFERROR(INDEX(tsk_Name,GanttView[[#This Row],[_Row]])="",TRUE()),"",INDEX(tsk_WBS,GanttView[[#This Row],[_Row]]))</f>
        <v/>
      </c>
      <c r="C114" s="118" t="str">
        <f aca="false">IF(IFERROR(INDEX(tsk_Name,GanttView[[#This Row],[_Row]])="",TRUE()),"",REPT("    ",INDEX(tsk_Level,GanttView[[#This Row],[_Row]])-1)&amp;INDEX(tsk_Name,GanttView[[#This Row],[_Row]]))</f>
        <v/>
      </c>
      <c r="D114" s="117" t="str">
        <f aca="false">IF(IFERROR(INDEX(tsk_Name,GanttView[[#This Row],[_Row]])="",TRUE()),"",IF(INDEX(tsk_IsSummary,GanttView[[#This Row],[_Row]]),NETWORKDAYS.INTL(INDEX(tsk_FcStart,GanttView[[#This Row],[_Row]]),INDEX(tsk_FcFinish,GanttView[[#This Row],[_Row]]),WorkWeek,Holidays),N(INDEX(tsk_Duration,GanttView[[#This Row],[_Row]]))))</f>
        <v/>
      </c>
      <c r="E114" s="119" t="str">
        <f aca="false">IF(IFERROR(INDEX(tsk_Name,GanttView[[#This Row],[_Row]])="",TRUE()),"",INDEX(tsk_PlanStart,GanttView[[#This Row],[_Row]]))</f>
        <v/>
      </c>
      <c r="F114" s="119" t="str">
        <f aca="false">IF(IFERROR(INDEX(tsk_Name,GanttView[[#This Row],[_Row]])="",TRUE()),"",INDEX(tsk_PlanFinish,GanttView[[#This Row],[_Row]]))</f>
        <v/>
      </c>
      <c r="G114" s="119" t="str">
        <f aca="false">IF(IFERROR(INDEX(tsk_Name,GanttView[[#This Row],[_Row]])="",TRUE()),"",INDEX(tsk_FcStart,GanttView[[#This Row],[_Row]]))</f>
        <v/>
      </c>
      <c r="H114" s="119" t="str">
        <f aca="false">IF(IFERROR(INDEX(tsk_Name,GanttView[[#This Row],[_Row]])="",TRUE()),"",INDEX(tsk_FcFinish,GanttView[[#This Row],[_Row]]))</f>
        <v/>
      </c>
      <c r="I114" s="120" t="str">
        <f aca="false">IF(IFERROR(INDEX(tsk_Name,GanttView[[#This Row],[_Row]])="",TRUE()),"",INDEX(tsk_Progress,GanttView[[#This Row],[_Row]]))</f>
        <v/>
      </c>
      <c r="J114" s="118" t="str">
        <f aca="false">IF(IFERROR(INDEX(tsk_Name,GanttView[[#This Row],[_Row]])="",TRUE()),"",INDEX(tsk_Resource,GanttView[[#This Row],[_Row]])&amp;"")</f>
        <v/>
      </c>
      <c r="K114" s="121" t="str">
        <f aca="false">IF(IFERROR(INDEX(tsk_Name,GanttView[[#This Row],[_Row]])="",TRUE()),"",INDEX(tsk_Status,GanttView[[#This Row],[_Row]]))</f>
        <v/>
      </c>
      <c r="L114" s="122" t="n">
        <f aca="false">ROW()-ROW(GanttView[[#Headers],[ID]])</f>
        <v>109</v>
      </c>
      <c r="M114" s="123" t="b">
        <f aca="false">IF(IFERROR(INDEX(tsk_Name,GanttView[[#This Row],[_Row]])="",TRUE()),FALSE(),INDEX(tsk_IsSummary,GanttView[[#This Row],[_Row]]))</f>
        <v>0</v>
      </c>
      <c r="N114" s="123" t="b">
        <f aca="false">IF(IFERROR(INDEX(tsk_Name,GanttView[[#This Row],[_Row]])="",TRUE()),FALSE(),AND(INDEX(tsk_IsLeaf,GanttView[[#This Row],[_Row]])=1,N(INDEX(tsk_Duration,GanttView[[#This Row],[_Row]]))=0))</f>
        <v>0</v>
      </c>
      <c r="O114" s="124" t="n">
        <f aca="false">IF(IFERROR(INDEX(tsk_Name,GanttView[[#This Row],[_Row]])="",TRUE()),0,IF(AND(INDEX(tsk_IsLeaf,GanttView[[#This Row],[_Row]])=1,NOT(GanttView[[#This Row],[_IsMilestone]]),N(GanttView[[#This Row],[%]])&gt;0),GanttView[[#This Row],[Forecast Start]],0))</f>
        <v>0</v>
      </c>
      <c r="P114" s="124" t="n">
        <f aca="false">IF(GanttView[[#This Row],[_DoneFrom]]=0,0,IF(GanttView[[#This Row],[%]]&gt;=1,GanttView[[#This Row],[Forecast Finish]],MAX(GanttView[[#This Row],[_DoneFrom]],GanttView[[#This Row],[Forecast Start]]+ROUND((GanttView[[#This Row],[Forecast Finish]]-GanttView[[#This Row],[Forecast Start]]+1)*GanttView[[#This Row],[%]],0)-1)))</f>
        <v>0</v>
      </c>
      <c r="Q114" s="124" t="n">
        <f aca="false">IF(IFERROR(INDEX(tsk_Name,GanttView[[#This Row],[_Row]])="",TRUE()),0,IF(OR(INDEX(tsk_IsLeaf,GanttView[[#This Row],[_Row]])&lt;&gt;1,GanttView[[#This Row],[_IsMilestone]],N(GanttView[[#This Row],[%]])&gt;=1),0,IF(GanttView[[#This Row],[_DoneTo]]&gt;0,GanttView[[#This Row],[_DoneTo]]+1,GanttView[[#This Row],[Forecast Start]])))</f>
        <v>0</v>
      </c>
      <c r="R114" s="124" t="n">
        <f aca="false">IF(GanttView[[#This Row],[_RemFrom]]=0,0,GanttView[[#This Row],[Forecast Finish]])</f>
        <v>0</v>
      </c>
      <c r="S114" s="123" t="b">
        <f aca="false">IF(IFERROR(INDEX(tsk_Name,GanttView[[#This Row],[_Row]])="",TRUE()),FALSE(),N(INDEX(tsk_Variance,GanttView[[#This Row],[_Row]]))&gt;0)</f>
        <v>0</v>
      </c>
      <c r="T114" s="124" t="n">
        <f aca="false">IF(IFERROR(INDEX(tsk_Name,GanttView[[#This Row],[_Row]])="",TRUE()),0,N(INDEX(tsk_Deadline,GanttView[[#This Row],[_Row]])))</f>
        <v>0</v>
      </c>
      <c r="U114" s="123" t="b">
        <f aca="false">IF(IFERROR(INDEX(tsk_Name,GanttView[[#This Row],[_Row]])="",TRUE()),FALSE(),INDEX(tsk_Critical,GanttView[[#This Row],[_Row]])="Yes")</f>
        <v>0</v>
      </c>
    </row>
    <row r="115" customFormat="false" ht="15" hidden="false" customHeight="false" outlineLevel="0" collapsed="false">
      <c r="A115" s="117" t="str">
        <f aca="false">IF(IFERROR(INDEX(tsk_Name,GanttView[[#This Row],[_Row]])="",TRUE()),"",INDEX(tsk_ID,GanttView[[#This Row],[_Row]]))</f>
        <v/>
      </c>
      <c r="B115" s="117" t="str">
        <f aca="false">IF(IFERROR(INDEX(tsk_Name,GanttView[[#This Row],[_Row]])="",TRUE()),"",INDEX(tsk_WBS,GanttView[[#This Row],[_Row]]))</f>
        <v/>
      </c>
      <c r="C115" s="118" t="str">
        <f aca="false">IF(IFERROR(INDEX(tsk_Name,GanttView[[#This Row],[_Row]])="",TRUE()),"",REPT("    ",INDEX(tsk_Level,GanttView[[#This Row],[_Row]])-1)&amp;INDEX(tsk_Name,GanttView[[#This Row],[_Row]]))</f>
        <v/>
      </c>
      <c r="D115" s="117" t="str">
        <f aca="false">IF(IFERROR(INDEX(tsk_Name,GanttView[[#This Row],[_Row]])="",TRUE()),"",IF(INDEX(tsk_IsSummary,GanttView[[#This Row],[_Row]]),NETWORKDAYS.INTL(INDEX(tsk_FcStart,GanttView[[#This Row],[_Row]]),INDEX(tsk_FcFinish,GanttView[[#This Row],[_Row]]),WorkWeek,Holidays),N(INDEX(tsk_Duration,GanttView[[#This Row],[_Row]]))))</f>
        <v/>
      </c>
      <c r="E115" s="119" t="str">
        <f aca="false">IF(IFERROR(INDEX(tsk_Name,GanttView[[#This Row],[_Row]])="",TRUE()),"",INDEX(tsk_PlanStart,GanttView[[#This Row],[_Row]]))</f>
        <v/>
      </c>
      <c r="F115" s="119" t="str">
        <f aca="false">IF(IFERROR(INDEX(tsk_Name,GanttView[[#This Row],[_Row]])="",TRUE()),"",INDEX(tsk_PlanFinish,GanttView[[#This Row],[_Row]]))</f>
        <v/>
      </c>
      <c r="G115" s="119" t="str">
        <f aca="false">IF(IFERROR(INDEX(tsk_Name,GanttView[[#This Row],[_Row]])="",TRUE()),"",INDEX(tsk_FcStart,GanttView[[#This Row],[_Row]]))</f>
        <v/>
      </c>
      <c r="H115" s="119" t="str">
        <f aca="false">IF(IFERROR(INDEX(tsk_Name,GanttView[[#This Row],[_Row]])="",TRUE()),"",INDEX(tsk_FcFinish,GanttView[[#This Row],[_Row]]))</f>
        <v/>
      </c>
      <c r="I115" s="120" t="str">
        <f aca="false">IF(IFERROR(INDEX(tsk_Name,GanttView[[#This Row],[_Row]])="",TRUE()),"",INDEX(tsk_Progress,GanttView[[#This Row],[_Row]]))</f>
        <v/>
      </c>
      <c r="J115" s="118" t="str">
        <f aca="false">IF(IFERROR(INDEX(tsk_Name,GanttView[[#This Row],[_Row]])="",TRUE()),"",INDEX(tsk_Resource,GanttView[[#This Row],[_Row]])&amp;"")</f>
        <v/>
      </c>
      <c r="K115" s="121" t="str">
        <f aca="false">IF(IFERROR(INDEX(tsk_Name,GanttView[[#This Row],[_Row]])="",TRUE()),"",INDEX(tsk_Status,GanttView[[#This Row],[_Row]]))</f>
        <v/>
      </c>
      <c r="L115" s="122" t="n">
        <f aca="false">ROW()-ROW(GanttView[[#Headers],[ID]])</f>
        <v>110</v>
      </c>
      <c r="M115" s="123" t="b">
        <f aca="false">IF(IFERROR(INDEX(tsk_Name,GanttView[[#This Row],[_Row]])="",TRUE()),FALSE(),INDEX(tsk_IsSummary,GanttView[[#This Row],[_Row]]))</f>
        <v>0</v>
      </c>
      <c r="N115" s="123" t="b">
        <f aca="false">IF(IFERROR(INDEX(tsk_Name,GanttView[[#This Row],[_Row]])="",TRUE()),FALSE(),AND(INDEX(tsk_IsLeaf,GanttView[[#This Row],[_Row]])=1,N(INDEX(tsk_Duration,GanttView[[#This Row],[_Row]]))=0))</f>
        <v>0</v>
      </c>
      <c r="O115" s="124" t="n">
        <f aca="false">IF(IFERROR(INDEX(tsk_Name,GanttView[[#This Row],[_Row]])="",TRUE()),0,IF(AND(INDEX(tsk_IsLeaf,GanttView[[#This Row],[_Row]])=1,NOT(GanttView[[#This Row],[_IsMilestone]]),N(GanttView[[#This Row],[%]])&gt;0),GanttView[[#This Row],[Forecast Start]],0))</f>
        <v>0</v>
      </c>
      <c r="P115" s="124" t="n">
        <f aca="false">IF(GanttView[[#This Row],[_DoneFrom]]=0,0,IF(GanttView[[#This Row],[%]]&gt;=1,GanttView[[#This Row],[Forecast Finish]],MAX(GanttView[[#This Row],[_DoneFrom]],GanttView[[#This Row],[Forecast Start]]+ROUND((GanttView[[#This Row],[Forecast Finish]]-GanttView[[#This Row],[Forecast Start]]+1)*GanttView[[#This Row],[%]],0)-1)))</f>
        <v>0</v>
      </c>
      <c r="Q115" s="124" t="n">
        <f aca="false">IF(IFERROR(INDEX(tsk_Name,GanttView[[#This Row],[_Row]])="",TRUE()),0,IF(OR(INDEX(tsk_IsLeaf,GanttView[[#This Row],[_Row]])&lt;&gt;1,GanttView[[#This Row],[_IsMilestone]],N(GanttView[[#This Row],[%]])&gt;=1),0,IF(GanttView[[#This Row],[_DoneTo]]&gt;0,GanttView[[#This Row],[_DoneTo]]+1,GanttView[[#This Row],[Forecast Start]])))</f>
        <v>0</v>
      </c>
      <c r="R115" s="124" t="n">
        <f aca="false">IF(GanttView[[#This Row],[_RemFrom]]=0,0,GanttView[[#This Row],[Forecast Finish]])</f>
        <v>0</v>
      </c>
      <c r="S115" s="123" t="b">
        <f aca="false">IF(IFERROR(INDEX(tsk_Name,GanttView[[#This Row],[_Row]])="",TRUE()),FALSE(),N(INDEX(tsk_Variance,GanttView[[#This Row],[_Row]]))&gt;0)</f>
        <v>0</v>
      </c>
      <c r="T115" s="124" t="n">
        <f aca="false">IF(IFERROR(INDEX(tsk_Name,GanttView[[#This Row],[_Row]])="",TRUE()),0,N(INDEX(tsk_Deadline,GanttView[[#This Row],[_Row]])))</f>
        <v>0</v>
      </c>
      <c r="U115" s="123" t="b">
        <f aca="false">IF(IFERROR(INDEX(tsk_Name,GanttView[[#This Row],[_Row]])="",TRUE()),FALSE(),INDEX(tsk_Critical,GanttView[[#This Row],[_Row]])="Yes")</f>
        <v>0</v>
      </c>
    </row>
    <row r="116" customFormat="false" ht="15" hidden="false" customHeight="false" outlineLevel="0" collapsed="false">
      <c r="A116" s="117" t="str">
        <f aca="false">IF(IFERROR(INDEX(tsk_Name,GanttView[[#This Row],[_Row]])="",TRUE()),"",INDEX(tsk_ID,GanttView[[#This Row],[_Row]]))</f>
        <v/>
      </c>
      <c r="B116" s="117" t="str">
        <f aca="false">IF(IFERROR(INDEX(tsk_Name,GanttView[[#This Row],[_Row]])="",TRUE()),"",INDEX(tsk_WBS,GanttView[[#This Row],[_Row]]))</f>
        <v/>
      </c>
      <c r="C116" s="118" t="str">
        <f aca="false">IF(IFERROR(INDEX(tsk_Name,GanttView[[#This Row],[_Row]])="",TRUE()),"",REPT("    ",INDEX(tsk_Level,GanttView[[#This Row],[_Row]])-1)&amp;INDEX(tsk_Name,GanttView[[#This Row],[_Row]]))</f>
        <v/>
      </c>
      <c r="D116" s="117" t="str">
        <f aca="false">IF(IFERROR(INDEX(tsk_Name,GanttView[[#This Row],[_Row]])="",TRUE()),"",IF(INDEX(tsk_IsSummary,GanttView[[#This Row],[_Row]]),NETWORKDAYS.INTL(INDEX(tsk_FcStart,GanttView[[#This Row],[_Row]]),INDEX(tsk_FcFinish,GanttView[[#This Row],[_Row]]),WorkWeek,Holidays),N(INDEX(tsk_Duration,GanttView[[#This Row],[_Row]]))))</f>
        <v/>
      </c>
      <c r="E116" s="119" t="str">
        <f aca="false">IF(IFERROR(INDEX(tsk_Name,GanttView[[#This Row],[_Row]])="",TRUE()),"",INDEX(tsk_PlanStart,GanttView[[#This Row],[_Row]]))</f>
        <v/>
      </c>
      <c r="F116" s="119" t="str">
        <f aca="false">IF(IFERROR(INDEX(tsk_Name,GanttView[[#This Row],[_Row]])="",TRUE()),"",INDEX(tsk_PlanFinish,GanttView[[#This Row],[_Row]]))</f>
        <v/>
      </c>
      <c r="G116" s="119" t="str">
        <f aca="false">IF(IFERROR(INDEX(tsk_Name,GanttView[[#This Row],[_Row]])="",TRUE()),"",INDEX(tsk_FcStart,GanttView[[#This Row],[_Row]]))</f>
        <v/>
      </c>
      <c r="H116" s="119" t="str">
        <f aca="false">IF(IFERROR(INDEX(tsk_Name,GanttView[[#This Row],[_Row]])="",TRUE()),"",INDEX(tsk_FcFinish,GanttView[[#This Row],[_Row]]))</f>
        <v/>
      </c>
      <c r="I116" s="120" t="str">
        <f aca="false">IF(IFERROR(INDEX(tsk_Name,GanttView[[#This Row],[_Row]])="",TRUE()),"",INDEX(tsk_Progress,GanttView[[#This Row],[_Row]]))</f>
        <v/>
      </c>
      <c r="J116" s="118" t="str">
        <f aca="false">IF(IFERROR(INDEX(tsk_Name,GanttView[[#This Row],[_Row]])="",TRUE()),"",INDEX(tsk_Resource,GanttView[[#This Row],[_Row]])&amp;"")</f>
        <v/>
      </c>
      <c r="K116" s="121" t="str">
        <f aca="false">IF(IFERROR(INDEX(tsk_Name,GanttView[[#This Row],[_Row]])="",TRUE()),"",INDEX(tsk_Status,GanttView[[#This Row],[_Row]]))</f>
        <v/>
      </c>
      <c r="L116" s="122" t="n">
        <f aca="false">ROW()-ROW(GanttView[[#Headers],[ID]])</f>
        <v>111</v>
      </c>
      <c r="M116" s="123" t="b">
        <f aca="false">IF(IFERROR(INDEX(tsk_Name,GanttView[[#This Row],[_Row]])="",TRUE()),FALSE(),INDEX(tsk_IsSummary,GanttView[[#This Row],[_Row]]))</f>
        <v>0</v>
      </c>
      <c r="N116" s="123" t="b">
        <f aca="false">IF(IFERROR(INDEX(tsk_Name,GanttView[[#This Row],[_Row]])="",TRUE()),FALSE(),AND(INDEX(tsk_IsLeaf,GanttView[[#This Row],[_Row]])=1,N(INDEX(tsk_Duration,GanttView[[#This Row],[_Row]]))=0))</f>
        <v>0</v>
      </c>
      <c r="O116" s="124" t="n">
        <f aca="false">IF(IFERROR(INDEX(tsk_Name,GanttView[[#This Row],[_Row]])="",TRUE()),0,IF(AND(INDEX(tsk_IsLeaf,GanttView[[#This Row],[_Row]])=1,NOT(GanttView[[#This Row],[_IsMilestone]]),N(GanttView[[#This Row],[%]])&gt;0),GanttView[[#This Row],[Forecast Start]],0))</f>
        <v>0</v>
      </c>
      <c r="P116" s="124" t="n">
        <f aca="false">IF(GanttView[[#This Row],[_DoneFrom]]=0,0,IF(GanttView[[#This Row],[%]]&gt;=1,GanttView[[#This Row],[Forecast Finish]],MAX(GanttView[[#This Row],[_DoneFrom]],GanttView[[#This Row],[Forecast Start]]+ROUND((GanttView[[#This Row],[Forecast Finish]]-GanttView[[#This Row],[Forecast Start]]+1)*GanttView[[#This Row],[%]],0)-1)))</f>
        <v>0</v>
      </c>
      <c r="Q116" s="124" t="n">
        <f aca="false">IF(IFERROR(INDEX(tsk_Name,GanttView[[#This Row],[_Row]])="",TRUE()),0,IF(OR(INDEX(tsk_IsLeaf,GanttView[[#This Row],[_Row]])&lt;&gt;1,GanttView[[#This Row],[_IsMilestone]],N(GanttView[[#This Row],[%]])&gt;=1),0,IF(GanttView[[#This Row],[_DoneTo]]&gt;0,GanttView[[#This Row],[_DoneTo]]+1,GanttView[[#This Row],[Forecast Start]])))</f>
        <v>0</v>
      </c>
      <c r="R116" s="124" t="n">
        <f aca="false">IF(GanttView[[#This Row],[_RemFrom]]=0,0,GanttView[[#This Row],[Forecast Finish]])</f>
        <v>0</v>
      </c>
      <c r="S116" s="123" t="b">
        <f aca="false">IF(IFERROR(INDEX(tsk_Name,GanttView[[#This Row],[_Row]])="",TRUE()),FALSE(),N(INDEX(tsk_Variance,GanttView[[#This Row],[_Row]]))&gt;0)</f>
        <v>0</v>
      </c>
      <c r="T116" s="124" t="n">
        <f aca="false">IF(IFERROR(INDEX(tsk_Name,GanttView[[#This Row],[_Row]])="",TRUE()),0,N(INDEX(tsk_Deadline,GanttView[[#This Row],[_Row]])))</f>
        <v>0</v>
      </c>
      <c r="U116" s="123" t="b">
        <f aca="false">IF(IFERROR(INDEX(tsk_Name,GanttView[[#This Row],[_Row]])="",TRUE()),FALSE(),INDEX(tsk_Critical,GanttView[[#This Row],[_Row]])="Yes")</f>
        <v>0</v>
      </c>
    </row>
    <row r="117" customFormat="false" ht="15" hidden="false" customHeight="false" outlineLevel="0" collapsed="false">
      <c r="A117" s="117" t="str">
        <f aca="false">IF(IFERROR(INDEX(tsk_Name,GanttView[[#This Row],[_Row]])="",TRUE()),"",INDEX(tsk_ID,GanttView[[#This Row],[_Row]]))</f>
        <v/>
      </c>
      <c r="B117" s="117" t="str">
        <f aca="false">IF(IFERROR(INDEX(tsk_Name,GanttView[[#This Row],[_Row]])="",TRUE()),"",INDEX(tsk_WBS,GanttView[[#This Row],[_Row]]))</f>
        <v/>
      </c>
      <c r="C117" s="118" t="str">
        <f aca="false">IF(IFERROR(INDEX(tsk_Name,GanttView[[#This Row],[_Row]])="",TRUE()),"",REPT("    ",INDEX(tsk_Level,GanttView[[#This Row],[_Row]])-1)&amp;INDEX(tsk_Name,GanttView[[#This Row],[_Row]]))</f>
        <v/>
      </c>
      <c r="D117" s="117" t="str">
        <f aca="false">IF(IFERROR(INDEX(tsk_Name,GanttView[[#This Row],[_Row]])="",TRUE()),"",IF(INDEX(tsk_IsSummary,GanttView[[#This Row],[_Row]]),NETWORKDAYS.INTL(INDEX(tsk_FcStart,GanttView[[#This Row],[_Row]]),INDEX(tsk_FcFinish,GanttView[[#This Row],[_Row]]),WorkWeek,Holidays),N(INDEX(tsk_Duration,GanttView[[#This Row],[_Row]]))))</f>
        <v/>
      </c>
      <c r="E117" s="119" t="str">
        <f aca="false">IF(IFERROR(INDEX(tsk_Name,GanttView[[#This Row],[_Row]])="",TRUE()),"",INDEX(tsk_PlanStart,GanttView[[#This Row],[_Row]]))</f>
        <v/>
      </c>
      <c r="F117" s="119" t="str">
        <f aca="false">IF(IFERROR(INDEX(tsk_Name,GanttView[[#This Row],[_Row]])="",TRUE()),"",INDEX(tsk_PlanFinish,GanttView[[#This Row],[_Row]]))</f>
        <v/>
      </c>
      <c r="G117" s="119" t="str">
        <f aca="false">IF(IFERROR(INDEX(tsk_Name,GanttView[[#This Row],[_Row]])="",TRUE()),"",INDEX(tsk_FcStart,GanttView[[#This Row],[_Row]]))</f>
        <v/>
      </c>
      <c r="H117" s="119" t="str">
        <f aca="false">IF(IFERROR(INDEX(tsk_Name,GanttView[[#This Row],[_Row]])="",TRUE()),"",INDEX(tsk_FcFinish,GanttView[[#This Row],[_Row]]))</f>
        <v/>
      </c>
      <c r="I117" s="120" t="str">
        <f aca="false">IF(IFERROR(INDEX(tsk_Name,GanttView[[#This Row],[_Row]])="",TRUE()),"",INDEX(tsk_Progress,GanttView[[#This Row],[_Row]]))</f>
        <v/>
      </c>
      <c r="J117" s="118" t="str">
        <f aca="false">IF(IFERROR(INDEX(tsk_Name,GanttView[[#This Row],[_Row]])="",TRUE()),"",INDEX(tsk_Resource,GanttView[[#This Row],[_Row]])&amp;"")</f>
        <v/>
      </c>
      <c r="K117" s="121" t="str">
        <f aca="false">IF(IFERROR(INDEX(tsk_Name,GanttView[[#This Row],[_Row]])="",TRUE()),"",INDEX(tsk_Status,GanttView[[#This Row],[_Row]]))</f>
        <v/>
      </c>
      <c r="L117" s="122" t="n">
        <f aca="false">ROW()-ROW(GanttView[[#Headers],[ID]])</f>
        <v>112</v>
      </c>
      <c r="M117" s="123" t="b">
        <f aca="false">IF(IFERROR(INDEX(tsk_Name,GanttView[[#This Row],[_Row]])="",TRUE()),FALSE(),INDEX(tsk_IsSummary,GanttView[[#This Row],[_Row]]))</f>
        <v>0</v>
      </c>
      <c r="N117" s="123" t="b">
        <f aca="false">IF(IFERROR(INDEX(tsk_Name,GanttView[[#This Row],[_Row]])="",TRUE()),FALSE(),AND(INDEX(tsk_IsLeaf,GanttView[[#This Row],[_Row]])=1,N(INDEX(tsk_Duration,GanttView[[#This Row],[_Row]]))=0))</f>
        <v>0</v>
      </c>
      <c r="O117" s="124" t="n">
        <f aca="false">IF(IFERROR(INDEX(tsk_Name,GanttView[[#This Row],[_Row]])="",TRUE()),0,IF(AND(INDEX(tsk_IsLeaf,GanttView[[#This Row],[_Row]])=1,NOT(GanttView[[#This Row],[_IsMilestone]]),N(GanttView[[#This Row],[%]])&gt;0),GanttView[[#This Row],[Forecast Start]],0))</f>
        <v>0</v>
      </c>
      <c r="P117" s="124" t="n">
        <f aca="false">IF(GanttView[[#This Row],[_DoneFrom]]=0,0,IF(GanttView[[#This Row],[%]]&gt;=1,GanttView[[#This Row],[Forecast Finish]],MAX(GanttView[[#This Row],[_DoneFrom]],GanttView[[#This Row],[Forecast Start]]+ROUND((GanttView[[#This Row],[Forecast Finish]]-GanttView[[#This Row],[Forecast Start]]+1)*GanttView[[#This Row],[%]],0)-1)))</f>
        <v>0</v>
      </c>
      <c r="Q117" s="124" t="n">
        <f aca="false">IF(IFERROR(INDEX(tsk_Name,GanttView[[#This Row],[_Row]])="",TRUE()),0,IF(OR(INDEX(tsk_IsLeaf,GanttView[[#This Row],[_Row]])&lt;&gt;1,GanttView[[#This Row],[_IsMilestone]],N(GanttView[[#This Row],[%]])&gt;=1),0,IF(GanttView[[#This Row],[_DoneTo]]&gt;0,GanttView[[#This Row],[_DoneTo]]+1,GanttView[[#This Row],[Forecast Start]])))</f>
        <v>0</v>
      </c>
      <c r="R117" s="124" t="n">
        <f aca="false">IF(GanttView[[#This Row],[_RemFrom]]=0,0,GanttView[[#This Row],[Forecast Finish]])</f>
        <v>0</v>
      </c>
      <c r="S117" s="123" t="b">
        <f aca="false">IF(IFERROR(INDEX(tsk_Name,GanttView[[#This Row],[_Row]])="",TRUE()),FALSE(),N(INDEX(tsk_Variance,GanttView[[#This Row],[_Row]]))&gt;0)</f>
        <v>0</v>
      </c>
      <c r="T117" s="124" t="n">
        <f aca="false">IF(IFERROR(INDEX(tsk_Name,GanttView[[#This Row],[_Row]])="",TRUE()),0,N(INDEX(tsk_Deadline,GanttView[[#This Row],[_Row]])))</f>
        <v>0</v>
      </c>
      <c r="U117" s="123" t="b">
        <f aca="false">IF(IFERROR(INDEX(tsk_Name,GanttView[[#This Row],[_Row]])="",TRUE()),FALSE(),INDEX(tsk_Critical,GanttView[[#This Row],[_Row]])="Yes")</f>
        <v>0</v>
      </c>
    </row>
    <row r="118" customFormat="false" ht="15" hidden="false" customHeight="false" outlineLevel="0" collapsed="false">
      <c r="A118" s="117" t="str">
        <f aca="false">IF(IFERROR(INDEX(tsk_Name,GanttView[[#This Row],[_Row]])="",TRUE()),"",INDEX(tsk_ID,GanttView[[#This Row],[_Row]]))</f>
        <v/>
      </c>
      <c r="B118" s="117" t="str">
        <f aca="false">IF(IFERROR(INDEX(tsk_Name,GanttView[[#This Row],[_Row]])="",TRUE()),"",INDEX(tsk_WBS,GanttView[[#This Row],[_Row]]))</f>
        <v/>
      </c>
      <c r="C118" s="118" t="str">
        <f aca="false">IF(IFERROR(INDEX(tsk_Name,GanttView[[#This Row],[_Row]])="",TRUE()),"",REPT("    ",INDEX(tsk_Level,GanttView[[#This Row],[_Row]])-1)&amp;INDEX(tsk_Name,GanttView[[#This Row],[_Row]]))</f>
        <v/>
      </c>
      <c r="D118" s="117" t="str">
        <f aca="false">IF(IFERROR(INDEX(tsk_Name,GanttView[[#This Row],[_Row]])="",TRUE()),"",IF(INDEX(tsk_IsSummary,GanttView[[#This Row],[_Row]]),NETWORKDAYS.INTL(INDEX(tsk_FcStart,GanttView[[#This Row],[_Row]]),INDEX(tsk_FcFinish,GanttView[[#This Row],[_Row]]),WorkWeek,Holidays),N(INDEX(tsk_Duration,GanttView[[#This Row],[_Row]]))))</f>
        <v/>
      </c>
      <c r="E118" s="119" t="str">
        <f aca="false">IF(IFERROR(INDEX(tsk_Name,GanttView[[#This Row],[_Row]])="",TRUE()),"",INDEX(tsk_PlanStart,GanttView[[#This Row],[_Row]]))</f>
        <v/>
      </c>
      <c r="F118" s="119" t="str">
        <f aca="false">IF(IFERROR(INDEX(tsk_Name,GanttView[[#This Row],[_Row]])="",TRUE()),"",INDEX(tsk_PlanFinish,GanttView[[#This Row],[_Row]]))</f>
        <v/>
      </c>
      <c r="G118" s="119" t="str">
        <f aca="false">IF(IFERROR(INDEX(tsk_Name,GanttView[[#This Row],[_Row]])="",TRUE()),"",INDEX(tsk_FcStart,GanttView[[#This Row],[_Row]]))</f>
        <v/>
      </c>
      <c r="H118" s="119" t="str">
        <f aca="false">IF(IFERROR(INDEX(tsk_Name,GanttView[[#This Row],[_Row]])="",TRUE()),"",INDEX(tsk_FcFinish,GanttView[[#This Row],[_Row]]))</f>
        <v/>
      </c>
      <c r="I118" s="120" t="str">
        <f aca="false">IF(IFERROR(INDEX(tsk_Name,GanttView[[#This Row],[_Row]])="",TRUE()),"",INDEX(tsk_Progress,GanttView[[#This Row],[_Row]]))</f>
        <v/>
      </c>
      <c r="J118" s="118" t="str">
        <f aca="false">IF(IFERROR(INDEX(tsk_Name,GanttView[[#This Row],[_Row]])="",TRUE()),"",INDEX(tsk_Resource,GanttView[[#This Row],[_Row]])&amp;"")</f>
        <v/>
      </c>
      <c r="K118" s="121" t="str">
        <f aca="false">IF(IFERROR(INDEX(tsk_Name,GanttView[[#This Row],[_Row]])="",TRUE()),"",INDEX(tsk_Status,GanttView[[#This Row],[_Row]]))</f>
        <v/>
      </c>
      <c r="L118" s="122" t="n">
        <f aca="false">ROW()-ROW(GanttView[[#Headers],[ID]])</f>
        <v>113</v>
      </c>
      <c r="M118" s="123" t="b">
        <f aca="false">IF(IFERROR(INDEX(tsk_Name,GanttView[[#This Row],[_Row]])="",TRUE()),FALSE(),INDEX(tsk_IsSummary,GanttView[[#This Row],[_Row]]))</f>
        <v>0</v>
      </c>
      <c r="N118" s="123" t="b">
        <f aca="false">IF(IFERROR(INDEX(tsk_Name,GanttView[[#This Row],[_Row]])="",TRUE()),FALSE(),AND(INDEX(tsk_IsLeaf,GanttView[[#This Row],[_Row]])=1,N(INDEX(tsk_Duration,GanttView[[#This Row],[_Row]]))=0))</f>
        <v>0</v>
      </c>
      <c r="O118" s="124" t="n">
        <f aca="false">IF(IFERROR(INDEX(tsk_Name,GanttView[[#This Row],[_Row]])="",TRUE()),0,IF(AND(INDEX(tsk_IsLeaf,GanttView[[#This Row],[_Row]])=1,NOT(GanttView[[#This Row],[_IsMilestone]]),N(GanttView[[#This Row],[%]])&gt;0),GanttView[[#This Row],[Forecast Start]],0))</f>
        <v>0</v>
      </c>
      <c r="P118" s="124" t="n">
        <f aca="false">IF(GanttView[[#This Row],[_DoneFrom]]=0,0,IF(GanttView[[#This Row],[%]]&gt;=1,GanttView[[#This Row],[Forecast Finish]],MAX(GanttView[[#This Row],[_DoneFrom]],GanttView[[#This Row],[Forecast Start]]+ROUND((GanttView[[#This Row],[Forecast Finish]]-GanttView[[#This Row],[Forecast Start]]+1)*GanttView[[#This Row],[%]],0)-1)))</f>
        <v>0</v>
      </c>
      <c r="Q118" s="124" t="n">
        <f aca="false">IF(IFERROR(INDEX(tsk_Name,GanttView[[#This Row],[_Row]])="",TRUE()),0,IF(OR(INDEX(tsk_IsLeaf,GanttView[[#This Row],[_Row]])&lt;&gt;1,GanttView[[#This Row],[_IsMilestone]],N(GanttView[[#This Row],[%]])&gt;=1),0,IF(GanttView[[#This Row],[_DoneTo]]&gt;0,GanttView[[#This Row],[_DoneTo]]+1,GanttView[[#This Row],[Forecast Start]])))</f>
        <v>0</v>
      </c>
      <c r="R118" s="124" t="n">
        <f aca="false">IF(GanttView[[#This Row],[_RemFrom]]=0,0,GanttView[[#This Row],[Forecast Finish]])</f>
        <v>0</v>
      </c>
      <c r="S118" s="123" t="b">
        <f aca="false">IF(IFERROR(INDEX(tsk_Name,GanttView[[#This Row],[_Row]])="",TRUE()),FALSE(),N(INDEX(tsk_Variance,GanttView[[#This Row],[_Row]]))&gt;0)</f>
        <v>0</v>
      </c>
      <c r="T118" s="124" t="n">
        <f aca="false">IF(IFERROR(INDEX(tsk_Name,GanttView[[#This Row],[_Row]])="",TRUE()),0,N(INDEX(tsk_Deadline,GanttView[[#This Row],[_Row]])))</f>
        <v>0</v>
      </c>
      <c r="U118" s="123" t="b">
        <f aca="false">IF(IFERROR(INDEX(tsk_Name,GanttView[[#This Row],[_Row]])="",TRUE()),FALSE(),INDEX(tsk_Critical,GanttView[[#This Row],[_Row]])="Yes")</f>
        <v>0</v>
      </c>
    </row>
    <row r="119" customFormat="false" ht="15" hidden="false" customHeight="false" outlineLevel="0" collapsed="false">
      <c r="A119" s="117" t="str">
        <f aca="false">IF(IFERROR(INDEX(tsk_Name,GanttView[[#This Row],[_Row]])="",TRUE()),"",INDEX(tsk_ID,GanttView[[#This Row],[_Row]]))</f>
        <v/>
      </c>
      <c r="B119" s="117" t="str">
        <f aca="false">IF(IFERROR(INDEX(tsk_Name,GanttView[[#This Row],[_Row]])="",TRUE()),"",INDEX(tsk_WBS,GanttView[[#This Row],[_Row]]))</f>
        <v/>
      </c>
      <c r="C119" s="118" t="str">
        <f aca="false">IF(IFERROR(INDEX(tsk_Name,GanttView[[#This Row],[_Row]])="",TRUE()),"",REPT("    ",INDEX(tsk_Level,GanttView[[#This Row],[_Row]])-1)&amp;INDEX(tsk_Name,GanttView[[#This Row],[_Row]]))</f>
        <v/>
      </c>
      <c r="D119" s="117" t="str">
        <f aca="false">IF(IFERROR(INDEX(tsk_Name,GanttView[[#This Row],[_Row]])="",TRUE()),"",IF(INDEX(tsk_IsSummary,GanttView[[#This Row],[_Row]]),NETWORKDAYS.INTL(INDEX(tsk_FcStart,GanttView[[#This Row],[_Row]]),INDEX(tsk_FcFinish,GanttView[[#This Row],[_Row]]),WorkWeek,Holidays),N(INDEX(tsk_Duration,GanttView[[#This Row],[_Row]]))))</f>
        <v/>
      </c>
      <c r="E119" s="119" t="str">
        <f aca="false">IF(IFERROR(INDEX(tsk_Name,GanttView[[#This Row],[_Row]])="",TRUE()),"",INDEX(tsk_PlanStart,GanttView[[#This Row],[_Row]]))</f>
        <v/>
      </c>
      <c r="F119" s="119" t="str">
        <f aca="false">IF(IFERROR(INDEX(tsk_Name,GanttView[[#This Row],[_Row]])="",TRUE()),"",INDEX(tsk_PlanFinish,GanttView[[#This Row],[_Row]]))</f>
        <v/>
      </c>
      <c r="G119" s="119" t="str">
        <f aca="false">IF(IFERROR(INDEX(tsk_Name,GanttView[[#This Row],[_Row]])="",TRUE()),"",INDEX(tsk_FcStart,GanttView[[#This Row],[_Row]]))</f>
        <v/>
      </c>
      <c r="H119" s="119" t="str">
        <f aca="false">IF(IFERROR(INDEX(tsk_Name,GanttView[[#This Row],[_Row]])="",TRUE()),"",INDEX(tsk_FcFinish,GanttView[[#This Row],[_Row]]))</f>
        <v/>
      </c>
      <c r="I119" s="120" t="str">
        <f aca="false">IF(IFERROR(INDEX(tsk_Name,GanttView[[#This Row],[_Row]])="",TRUE()),"",INDEX(tsk_Progress,GanttView[[#This Row],[_Row]]))</f>
        <v/>
      </c>
      <c r="J119" s="118" t="str">
        <f aca="false">IF(IFERROR(INDEX(tsk_Name,GanttView[[#This Row],[_Row]])="",TRUE()),"",INDEX(tsk_Resource,GanttView[[#This Row],[_Row]])&amp;"")</f>
        <v/>
      </c>
      <c r="K119" s="121" t="str">
        <f aca="false">IF(IFERROR(INDEX(tsk_Name,GanttView[[#This Row],[_Row]])="",TRUE()),"",INDEX(tsk_Status,GanttView[[#This Row],[_Row]]))</f>
        <v/>
      </c>
      <c r="L119" s="122" t="n">
        <f aca="false">ROW()-ROW(GanttView[[#Headers],[ID]])</f>
        <v>114</v>
      </c>
      <c r="M119" s="123" t="b">
        <f aca="false">IF(IFERROR(INDEX(tsk_Name,GanttView[[#This Row],[_Row]])="",TRUE()),FALSE(),INDEX(tsk_IsSummary,GanttView[[#This Row],[_Row]]))</f>
        <v>0</v>
      </c>
      <c r="N119" s="123" t="b">
        <f aca="false">IF(IFERROR(INDEX(tsk_Name,GanttView[[#This Row],[_Row]])="",TRUE()),FALSE(),AND(INDEX(tsk_IsLeaf,GanttView[[#This Row],[_Row]])=1,N(INDEX(tsk_Duration,GanttView[[#This Row],[_Row]]))=0))</f>
        <v>0</v>
      </c>
      <c r="O119" s="124" t="n">
        <f aca="false">IF(IFERROR(INDEX(tsk_Name,GanttView[[#This Row],[_Row]])="",TRUE()),0,IF(AND(INDEX(tsk_IsLeaf,GanttView[[#This Row],[_Row]])=1,NOT(GanttView[[#This Row],[_IsMilestone]]),N(GanttView[[#This Row],[%]])&gt;0),GanttView[[#This Row],[Forecast Start]],0))</f>
        <v>0</v>
      </c>
      <c r="P119" s="124" t="n">
        <f aca="false">IF(GanttView[[#This Row],[_DoneFrom]]=0,0,IF(GanttView[[#This Row],[%]]&gt;=1,GanttView[[#This Row],[Forecast Finish]],MAX(GanttView[[#This Row],[_DoneFrom]],GanttView[[#This Row],[Forecast Start]]+ROUND((GanttView[[#This Row],[Forecast Finish]]-GanttView[[#This Row],[Forecast Start]]+1)*GanttView[[#This Row],[%]],0)-1)))</f>
        <v>0</v>
      </c>
      <c r="Q119" s="124" t="n">
        <f aca="false">IF(IFERROR(INDEX(tsk_Name,GanttView[[#This Row],[_Row]])="",TRUE()),0,IF(OR(INDEX(tsk_IsLeaf,GanttView[[#This Row],[_Row]])&lt;&gt;1,GanttView[[#This Row],[_IsMilestone]],N(GanttView[[#This Row],[%]])&gt;=1),0,IF(GanttView[[#This Row],[_DoneTo]]&gt;0,GanttView[[#This Row],[_DoneTo]]+1,GanttView[[#This Row],[Forecast Start]])))</f>
        <v>0</v>
      </c>
      <c r="R119" s="124" t="n">
        <f aca="false">IF(GanttView[[#This Row],[_RemFrom]]=0,0,GanttView[[#This Row],[Forecast Finish]])</f>
        <v>0</v>
      </c>
      <c r="S119" s="123" t="b">
        <f aca="false">IF(IFERROR(INDEX(tsk_Name,GanttView[[#This Row],[_Row]])="",TRUE()),FALSE(),N(INDEX(tsk_Variance,GanttView[[#This Row],[_Row]]))&gt;0)</f>
        <v>0</v>
      </c>
      <c r="T119" s="124" t="n">
        <f aca="false">IF(IFERROR(INDEX(tsk_Name,GanttView[[#This Row],[_Row]])="",TRUE()),0,N(INDEX(tsk_Deadline,GanttView[[#This Row],[_Row]])))</f>
        <v>0</v>
      </c>
      <c r="U119" s="123" t="b">
        <f aca="false">IF(IFERROR(INDEX(tsk_Name,GanttView[[#This Row],[_Row]])="",TRUE()),FALSE(),INDEX(tsk_Critical,GanttView[[#This Row],[_Row]])="Yes")</f>
        <v>0</v>
      </c>
    </row>
    <row r="120" customFormat="false" ht="15" hidden="false" customHeight="false" outlineLevel="0" collapsed="false">
      <c r="A120" s="117" t="str">
        <f aca="false">IF(IFERROR(INDEX(tsk_Name,GanttView[[#This Row],[_Row]])="",TRUE()),"",INDEX(tsk_ID,GanttView[[#This Row],[_Row]]))</f>
        <v/>
      </c>
      <c r="B120" s="117" t="str">
        <f aca="false">IF(IFERROR(INDEX(tsk_Name,GanttView[[#This Row],[_Row]])="",TRUE()),"",INDEX(tsk_WBS,GanttView[[#This Row],[_Row]]))</f>
        <v/>
      </c>
      <c r="C120" s="118" t="str">
        <f aca="false">IF(IFERROR(INDEX(tsk_Name,GanttView[[#This Row],[_Row]])="",TRUE()),"",REPT("    ",INDEX(tsk_Level,GanttView[[#This Row],[_Row]])-1)&amp;INDEX(tsk_Name,GanttView[[#This Row],[_Row]]))</f>
        <v/>
      </c>
      <c r="D120" s="117" t="str">
        <f aca="false">IF(IFERROR(INDEX(tsk_Name,GanttView[[#This Row],[_Row]])="",TRUE()),"",IF(INDEX(tsk_IsSummary,GanttView[[#This Row],[_Row]]),NETWORKDAYS.INTL(INDEX(tsk_FcStart,GanttView[[#This Row],[_Row]]),INDEX(tsk_FcFinish,GanttView[[#This Row],[_Row]]),WorkWeek,Holidays),N(INDEX(tsk_Duration,GanttView[[#This Row],[_Row]]))))</f>
        <v/>
      </c>
      <c r="E120" s="119" t="str">
        <f aca="false">IF(IFERROR(INDEX(tsk_Name,GanttView[[#This Row],[_Row]])="",TRUE()),"",INDEX(tsk_PlanStart,GanttView[[#This Row],[_Row]]))</f>
        <v/>
      </c>
      <c r="F120" s="119" t="str">
        <f aca="false">IF(IFERROR(INDEX(tsk_Name,GanttView[[#This Row],[_Row]])="",TRUE()),"",INDEX(tsk_PlanFinish,GanttView[[#This Row],[_Row]]))</f>
        <v/>
      </c>
      <c r="G120" s="119" t="str">
        <f aca="false">IF(IFERROR(INDEX(tsk_Name,GanttView[[#This Row],[_Row]])="",TRUE()),"",INDEX(tsk_FcStart,GanttView[[#This Row],[_Row]]))</f>
        <v/>
      </c>
      <c r="H120" s="119" t="str">
        <f aca="false">IF(IFERROR(INDEX(tsk_Name,GanttView[[#This Row],[_Row]])="",TRUE()),"",INDEX(tsk_FcFinish,GanttView[[#This Row],[_Row]]))</f>
        <v/>
      </c>
      <c r="I120" s="120" t="str">
        <f aca="false">IF(IFERROR(INDEX(tsk_Name,GanttView[[#This Row],[_Row]])="",TRUE()),"",INDEX(tsk_Progress,GanttView[[#This Row],[_Row]]))</f>
        <v/>
      </c>
      <c r="J120" s="118" t="str">
        <f aca="false">IF(IFERROR(INDEX(tsk_Name,GanttView[[#This Row],[_Row]])="",TRUE()),"",INDEX(tsk_Resource,GanttView[[#This Row],[_Row]])&amp;"")</f>
        <v/>
      </c>
      <c r="K120" s="121" t="str">
        <f aca="false">IF(IFERROR(INDEX(tsk_Name,GanttView[[#This Row],[_Row]])="",TRUE()),"",INDEX(tsk_Status,GanttView[[#This Row],[_Row]]))</f>
        <v/>
      </c>
      <c r="L120" s="122" t="n">
        <f aca="false">ROW()-ROW(GanttView[[#Headers],[ID]])</f>
        <v>115</v>
      </c>
      <c r="M120" s="123" t="b">
        <f aca="false">IF(IFERROR(INDEX(tsk_Name,GanttView[[#This Row],[_Row]])="",TRUE()),FALSE(),INDEX(tsk_IsSummary,GanttView[[#This Row],[_Row]]))</f>
        <v>0</v>
      </c>
      <c r="N120" s="123" t="b">
        <f aca="false">IF(IFERROR(INDEX(tsk_Name,GanttView[[#This Row],[_Row]])="",TRUE()),FALSE(),AND(INDEX(tsk_IsLeaf,GanttView[[#This Row],[_Row]])=1,N(INDEX(tsk_Duration,GanttView[[#This Row],[_Row]]))=0))</f>
        <v>0</v>
      </c>
      <c r="O120" s="124" t="n">
        <f aca="false">IF(IFERROR(INDEX(tsk_Name,GanttView[[#This Row],[_Row]])="",TRUE()),0,IF(AND(INDEX(tsk_IsLeaf,GanttView[[#This Row],[_Row]])=1,NOT(GanttView[[#This Row],[_IsMilestone]]),N(GanttView[[#This Row],[%]])&gt;0),GanttView[[#This Row],[Forecast Start]],0))</f>
        <v>0</v>
      </c>
      <c r="P120" s="124" t="n">
        <f aca="false">IF(GanttView[[#This Row],[_DoneFrom]]=0,0,IF(GanttView[[#This Row],[%]]&gt;=1,GanttView[[#This Row],[Forecast Finish]],MAX(GanttView[[#This Row],[_DoneFrom]],GanttView[[#This Row],[Forecast Start]]+ROUND((GanttView[[#This Row],[Forecast Finish]]-GanttView[[#This Row],[Forecast Start]]+1)*GanttView[[#This Row],[%]],0)-1)))</f>
        <v>0</v>
      </c>
      <c r="Q120" s="124" t="n">
        <f aca="false">IF(IFERROR(INDEX(tsk_Name,GanttView[[#This Row],[_Row]])="",TRUE()),0,IF(OR(INDEX(tsk_IsLeaf,GanttView[[#This Row],[_Row]])&lt;&gt;1,GanttView[[#This Row],[_IsMilestone]],N(GanttView[[#This Row],[%]])&gt;=1),0,IF(GanttView[[#This Row],[_DoneTo]]&gt;0,GanttView[[#This Row],[_DoneTo]]+1,GanttView[[#This Row],[Forecast Start]])))</f>
        <v>0</v>
      </c>
      <c r="R120" s="124" t="n">
        <f aca="false">IF(GanttView[[#This Row],[_RemFrom]]=0,0,GanttView[[#This Row],[Forecast Finish]])</f>
        <v>0</v>
      </c>
      <c r="S120" s="123" t="b">
        <f aca="false">IF(IFERROR(INDEX(tsk_Name,GanttView[[#This Row],[_Row]])="",TRUE()),FALSE(),N(INDEX(tsk_Variance,GanttView[[#This Row],[_Row]]))&gt;0)</f>
        <v>0</v>
      </c>
      <c r="T120" s="124" t="n">
        <f aca="false">IF(IFERROR(INDEX(tsk_Name,GanttView[[#This Row],[_Row]])="",TRUE()),0,N(INDEX(tsk_Deadline,GanttView[[#This Row],[_Row]])))</f>
        <v>0</v>
      </c>
      <c r="U120" s="123" t="b">
        <f aca="false">IF(IFERROR(INDEX(tsk_Name,GanttView[[#This Row],[_Row]])="",TRUE()),FALSE(),INDEX(tsk_Critical,GanttView[[#This Row],[_Row]])="Yes")</f>
        <v>0</v>
      </c>
    </row>
    <row r="121" customFormat="false" ht="15" hidden="false" customHeight="false" outlineLevel="0" collapsed="false">
      <c r="A121" s="117" t="str">
        <f aca="false">IF(IFERROR(INDEX(tsk_Name,GanttView[[#This Row],[_Row]])="",TRUE()),"",INDEX(tsk_ID,GanttView[[#This Row],[_Row]]))</f>
        <v/>
      </c>
      <c r="B121" s="117" t="str">
        <f aca="false">IF(IFERROR(INDEX(tsk_Name,GanttView[[#This Row],[_Row]])="",TRUE()),"",INDEX(tsk_WBS,GanttView[[#This Row],[_Row]]))</f>
        <v/>
      </c>
      <c r="C121" s="118" t="str">
        <f aca="false">IF(IFERROR(INDEX(tsk_Name,GanttView[[#This Row],[_Row]])="",TRUE()),"",REPT("    ",INDEX(tsk_Level,GanttView[[#This Row],[_Row]])-1)&amp;INDEX(tsk_Name,GanttView[[#This Row],[_Row]]))</f>
        <v/>
      </c>
      <c r="D121" s="117" t="str">
        <f aca="false">IF(IFERROR(INDEX(tsk_Name,GanttView[[#This Row],[_Row]])="",TRUE()),"",IF(INDEX(tsk_IsSummary,GanttView[[#This Row],[_Row]]),NETWORKDAYS.INTL(INDEX(tsk_FcStart,GanttView[[#This Row],[_Row]]),INDEX(tsk_FcFinish,GanttView[[#This Row],[_Row]]),WorkWeek,Holidays),N(INDEX(tsk_Duration,GanttView[[#This Row],[_Row]]))))</f>
        <v/>
      </c>
      <c r="E121" s="119" t="str">
        <f aca="false">IF(IFERROR(INDEX(tsk_Name,GanttView[[#This Row],[_Row]])="",TRUE()),"",INDEX(tsk_PlanStart,GanttView[[#This Row],[_Row]]))</f>
        <v/>
      </c>
      <c r="F121" s="119" t="str">
        <f aca="false">IF(IFERROR(INDEX(tsk_Name,GanttView[[#This Row],[_Row]])="",TRUE()),"",INDEX(tsk_PlanFinish,GanttView[[#This Row],[_Row]]))</f>
        <v/>
      </c>
      <c r="G121" s="119" t="str">
        <f aca="false">IF(IFERROR(INDEX(tsk_Name,GanttView[[#This Row],[_Row]])="",TRUE()),"",INDEX(tsk_FcStart,GanttView[[#This Row],[_Row]]))</f>
        <v/>
      </c>
      <c r="H121" s="119" t="str">
        <f aca="false">IF(IFERROR(INDEX(tsk_Name,GanttView[[#This Row],[_Row]])="",TRUE()),"",INDEX(tsk_FcFinish,GanttView[[#This Row],[_Row]]))</f>
        <v/>
      </c>
      <c r="I121" s="120" t="str">
        <f aca="false">IF(IFERROR(INDEX(tsk_Name,GanttView[[#This Row],[_Row]])="",TRUE()),"",INDEX(tsk_Progress,GanttView[[#This Row],[_Row]]))</f>
        <v/>
      </c>
      <c r="J121" s="118" t="str">
        <f aca="false">IF(IFERROR(INDEX(tsk_Name,GanttView[[#This Row],[_Row]])="",TRUE()),"",INDEX(tsk_Resource,GanttView[[#This Row],[_Row]])&amp;"")</f>
        <v/>
      </c>
      <c r="K121" s="121" t="str">
        <f aca="false">IF(IFERROR(INDEX(tsk_Name,GanttView[[#This Row],[_Row]])="",TRUE()),"",INDEX(tsk_Status,GanttView[[#This Row],[_Row]]))</f>
        <v/>
      </c>
      <c r="L121" s="122" t="n">
        <f aca="false">ROW()-ROW(GanttView[[#Headers],[ID]])</f>
        <v>116</v>
      </c>
      <c r="M121" s="123" t="b">
        <f aca="false">IF(IFERROR(INDEX(tsk_Name,GanttView[[#This Row],[_Row]])="",TRUE()),FALSE(),INDEX(tsk_IsSummary,GanttView[[#This Row],[_Row]]))</f>
        <v>0</v>
      </c>
      <c r="N121" s="123" t="b">
        <f aca="false">IF(IFERROR(INDEX(tsk_Name,GanttView[[#This Row],[_Row]])="",TRUE()),FALSE(),AND(INDEX(tsk_IsLeaf,GanttView[[#This Row],[_Row]])=1,N(INDEX(tsk_Duration,GanttView[[#This Row],[_Row]]))=0))</f>
        <v>0</v>
      </c>
      <c r="O121" s="124" t="n">
        <f aca="false">IF(IFERROR(INDEX(tsk_Name,GanttView[[#This Row],[_Row]])="",TRUE()),0,IF(AND(INDEX(tsk_IsLeaf,GanttView[[#This Row],[_Row]])=1,NOT(GanttView[[#This Row],[_IsMilestone]]),N(GanttView[[#This Row],[%]])&gt;0),GanttView[[#This Row],[Forecast Start]],0))</f>
        <v>0</v>
      </c>
      <c r="P121" s="124" t="n">
        <f aca="false">IF(GanttView[[#This Row],[_DoneFrom]]=0,0,IF(GanttView[[#This Row],[%]]&gt;=1,GanttView[[#This Row],[Forecast Finish]],MAX(GanttView[[#This Row],[_DoneFrom]],GanttView[[#This Row],[Forecast Start]]+ROUND((GanttView[[#This Row],[Forecast Finish]]-GanttView[[#This Row],[Forecast Start]]+1)*GanttView[[#This Row],[%]],0)-1)))</f>
        <v>0</v>
      </c>
      <c r="Q121" s="124" t="n">
        <f aca="false">IF(IFERROR(INDEX(tsk_Name,GanttView[[#This Row],[_Row]])="",TRUE()),0,IF(OR(INDEX(tsk_IsLeaf,GanttView[[#This Row],[_Row]])&lt;&gt;1,GanttView[[#This Row],[_IsMilestone]],N(GanttView[[#This Row],[%]])&gt;=1),0,IF(GanttView[[#This Row],[_DoneTo]]&gt;0,GanttView[[#This Row],[_DoneTo]]+1,GanttView[[#This Row],[Forecast Start]])))</f>
        <v>0</v>
      </c>
      <c r="R121" s="124" t="n">
        <f aca="false">IF(GanttView[[#This Row],[_RemFrom]]=0,0,GanttView[[#This Row],[Forecast Finish]])</f>
        <v>0</v>
      </c>
      <c r="S121" s="123" t="b">
        <f aca="false">IF(IFERROR(INDEX(tsk_Name,GanttView[[#This Row],[_Row]])="",TRUE()),FALSE(),N(INDEX(tsk_Variance,GanttView[[#This Row],[_Row]]))&gt;0)</f>
        <v>0</v>
      </c>
      <c r="T121" s="124" t="n">
        <f aca="false">IF(IFERROR(INDEX(tsk_Name,GanttView[[#This Row],[_Row]])="",TRUE()),0,N(INDEX(tsk_Deadline,GanttView[[#This Row],[_Row]])))</f>
        <v>0</v>
      </c>
      <c r="U121" s="123" t="b">
        <f aca="false">IF(IFERROR(INDEX(tsk_Name,GanttView[[#This Row],[_Row]])="",TRUE()),FALSE(),INDEX(tsk_Critical,GanttView[[#This Row],[_Row]])="Yes")</f>
        <v>0</v>
      </c>
    </row>
    <row r="122" customFormat="false" ht="15" hidden="false" customHeight="false" outlineLevel="0" collapsed="false">
      <c r="A122" s="117" t="str">
        <f aca="false">IF(IFERROR(INDEX(tsk_Name,GanttView[[#This Row],[_Row]])="",TRUE()),"",INDEX(tsk_ID,GanttView[[#This Row],[_Row]]))</f>
        <v/>
      </c>
      <c r="B122" s="117" t="str">
        <f aca="false">IF(IFERROR(INDEX(tsk_Name,GanttView[[#This Row],[_Row]])="",TRUE()),"",INDEX(tsk_WBS,GanttView[[#This Row],[_Row]]))</f>
        <v/>
      </c>
      <c r="C122" s="118" t="str">
        <f aca="false">IF(IFERROR(INDEX(tsk_Name,GanttView[[#This Row],[_Row]])="",TRUE()),"",REPT("    ",INDEX(tsk_Level,GanttView[[#This Row],[_Row]])-1)&amp;INDEX(tsk_Name,GanttView[[#This Row],[_Row]]))</f>
        <v/>
      </c>
      <c r="D122" s="117" t="str">
        <f aca="false">IF(IFERROR(INDEX(tsk_Name,GanttView[[#This Row],[_Row]])="",TRUE()),"",IF(INDEX(tsk_IsSummary,GanttView[[#This Row],[_Row]]),NETWORKDAYS.INTL(INDEX(tsk_FcStart,GanttView[[#This Row],[_Row]]),INDEX(tsk_FcFinish,GanttView[[#This Row],[_Row]]),WorkWeek,Holidays),N(INDEX(tsk_Duration,GanttView[[#This Row],[_Row]]))))</f>
        <v/>
      </c>
      <c r="E122" s="119" t="str">
        <f aca="false">IF(IFERROR(INDEX(tsk_Name,GanttView[[#This Row],[_Row]])="",TRUE()),"",INDEX(tsk_PlanStart,GanttView[[#This Row],[_Row]]))</f>
        <v/>
      </c>
      <c r="F122" s="119" t="str">
        <f aca="false">IF(IFERROR(INDEX(tsk_Name,GanttView[[#This Row],[_Row]])="",TRUE()),"",INDEX(tsk_PlanFinish,GanttView[[#This Row],[_Row]]))</f>
        <v/>
      </c>
      <c r="G122" s="119" t="str">
        <f aca="false">IF(IFERROR(INDEX(tsk_Name,GanttView[[#This Row],[_Row]])="",TRUE()),"",INDEX(tsk_FcStart,GanttView[[#This Row],[_Row]]))</f>
        <v/>
      </c>
      <c r="H122" s="119" t="str">
        <f aca="false">IF(IFERROR(INDEX(tsk_Name,GanttView[[#This Row],[_Row]])="",TRUE()),"",INDEX(tsk_FcFinish,GanttView[[#This Row],[_Row]]))</f>
        <v/>
      </c>
      <c r="I122" s="120" t="str">
        <f aca="false">IF(IFERROR(INDEX(tsk_Name,GanttView[[#This Row],[_Row]])="",TRUE()),"",INDEX(tsk_Progress,GanttView[[#This Row],[_Row]]))</f>
        <v/>
      </c>
      <c r="J122" s="118" t="str">
        <f aca="false">IF(IFERROR(INDEX(tsk_Name,GanttView[[#This Row],[_Row]])="",TRUE()),"",INDEX(tsk_Resource,GanttView[[#This Row],[_Row]])&amp;"")</f>
        <v/>
      </c>
      <c r="K122" s="121" t="str">
        <f aca="false">IF(IFERROR(INDEX(tsk_Name,GanttView[[#This Row],[_Row]])="",TRUE()),"",INDEX(tsk_Status,GanttView[[#This Row],[_Row]]))</f>
        <v/>
      </c>
      <c r="L122" s="122" t="n">
        <f aca="false">ROW()-ROW(GanttView[[#Headers],[ID]])</f>
        <v>117</v>
      </c>
      <c r="M122" s="123" t="b">
        <f aca="false">IF(IFERROR(INDEX(tsk_Name,GanttView[[#This Row],[_Row]])="",TRUE()),FALSE(),INDEX(tsk_IsSummary,GanttView[[#This Row],[_Row]]))</f>
        <v>0</v>
      </c>
      <c r="N122" s="123" t="b">
        <f aca="false">IF(IFERROR(INDEX(tsk_Name,GanttView[[#This Row],[_Row]])="",TRUE()),FALSE(),AND(INDEX(tsk_IsLeaf,GanttView[[#This Row],[_Row]])=1,N(INDEX(tsk_Duration,GanttView[[#This Row],[_Row]]))=0))</f>
        <v>0</v>
      </c>
      <c r="O122" s="124" t="n">
        <f aca="false">IF(IFERROR(INDEX(tsk_Name,GanttView[[#This Row],[_Row]])="",TRUE()),0,IF(AND(INDEX(tsk_IsLeaf,GanttView[[#This Row],[_Row]])=1,NOT(GanttView[[#This Row],[_IsMilestone]]),N(GanttView[[#This Row],[%]])&gt;0),GanttView[[#This Row],[Forecast Start]],0))</f>
        <v>0</v>
      </c>
      <c r="P122" s="124" t="n">
        <f aca="false">IF(GanttView[[#This Row],[_DoneFrom]]=0,0,IF(GanttView[[#This Row],[%]]&gt;=1,GanttView[[#This Row],[Forecast Finish]],MAX(GanttView[[#This Row],[_DoneFrom]],GanttView[[#This Row],[Forecast Start]]+ROUND((GanttView[[#This Row],[Forecast Finish]]-GanttView[[#This Row],[Forecast Start]]+1)*GanttView[[#This Row],[%]],0)-1)))</f>
        <v>0</v>
      </c>
      <c r="Q122" s="124" t="n">
        <f aca="false">IF(IFERROR(INDEX(tsk_Name,GanttView[[#This Row],[_Row]])="",TRUE()),0,IF(OR(INDEX(tsk_IsLeaf,GanttView[[#This Row],[_Row]])&lt;&gt;1,GanttView[[#This Row],[_IsMilestone]],N(GanttView[[#This Row],[%]])&gt;=1),0,IF(GanttView[[#This Row],[_DoneTo]]&gt;0,GanttView[[#This Row],[_DoneTo]]+1,GanttView[[#This Row],[Forecast Start]])))</f>
        <v>0</v>
      </c>
      <c r="R122" s="124" t="n">
        <f aca="false">IF(GanttView[[#This Row],[_RemFrom]]=0,0,GanttView[[#This Row],[Forecast Finish]])</f>
        <v>0</v>
      </c>
      <c r="S122" s="123" t="b">
        <f aca="false">IF(IFERROR(INDEX(tsk_Name,GanttView[[#This Row],[_Row]])="",TRUE()),FALSE(),N(INDEX(tsk_Variance,GanttView[[#This Row],[_Row]]))&gt;0)</f>
        <v>0</v>
      </c>
      <c r="T122" s="124" t="n">
        <f aca="false">IF(IFERROR(INDEX(tsk_Name,GanttView[[#This Row],[_Row]])="",TRUE()),0,N(INDEX(tsk_Deadline,GanttView[[#This Row],[_Row]])))</f>
        <v>0</v>
      </c>
      <c r="U122" s="123" t="b">
        <f aca="false">IF(IFERROR(INDEX(tsk_Name,GanttView[[#This Row],[_Row]])="",TRUE()),FALSE(),INDEX(tsk_Critical,GanttView[[#This Row],[_Row]])="Yes")</f>
        <v>0</v>
      </c>
    </row>
    <row r="123" customFormat="false" ht="15" hidden="false" customHeight="false" outlineLevel="0" collapsed="false">
      <c r="A123" s="117" t="str">
        <f aca="false">IF(IFERROR(INDEX(tsk_Name,GanttView[[#This Row],[_Row]])="",TRUE()),"",INDEX(tsk_ID,GanttView[[#This Row],[_Row]]))</f>
        <v/>
      </c>
      <c r="B123" s="117" t="str">
        <f aca="false">IF(IFERROR(INDEX(tsk_Name,GanttView[[#This Row],[_Row]])="",TRUE()),"",INDEX(tsk_WBS,GanttView[[#This Row],[_Row]]))</f>
        <v/>
      </c>
      <c r="C123" s="118" t="str">
        <f aca="false">IF(IFERROR(INDEX(tsk_Name,GanttView[[#This Row],[_Row]])="",TRUE()),"",REPT("    ",INDEX(tsk_Level,GanttView[[#This Row],[_Row]])-1)&amp;INDEX(tsk_Name,GanttView[[#This Row],[_Row]]))</f>
        <v/>
      </c>
      <c r="D123" s="117" t="str">
        <f aca="false">IF(IFERROR(INDEX(tsk_Name,GanttView[[#This Row],[_Row]])="",TRUE()),"",IF(INDEX(tsk_IsSummary,GanttView[[#This Row],[_Row]]),NETWORKDAYS.INTL(INDEX(tsk_FcStart,GanttView[[#This Row],[_Row]]),INDEX(tsk_FcFinish,GanttView[[#This Row],[_Row]]),WorkWeek,Holidays),N(INDEX(tsk_Duration,GanttView[[#This Row],[_Row]]))))</f>
        <v/>
      </c>
      <c r="E123" s="119" t="str">
        <f aca="false">IF(IFERROR(INDEX(tsk_Name,GanttView[[#This Row],[_Row]])="",TRUE()),"",INDEX(tsk_PlanStart,GanttView[[#This Row],[_Row]]))</f>
        <v/>
      </c>
      <c r="F123" s="119" t="str">
        <f aca="false">IF(IFERROR(INDEX(tsk_Name,GanttView[[#This Row],[_Row]])="",TRUE()),"",INDEX(tsk_PlanFinish,GanttView[[#This Row],[_Row]]))</f>
        <v/>
      </c>
      <c r="G123" s="119" t="str">
        <f aca="false">IF(IFERROR(INDEX(tsk_Name,GanttView[[#This Row],[_Row]])="",TRUE()),"",INDEX(tsk_FcStart,GanttView[[#This Row],[_Row]]))</f>
        <v/>
      </c>
      <c r="H123" s="119" t="str">
        <f aca="false">IF(IFERROR(INDEX(tsk_Name,GanttView[[#This Row],[_Row]])="",TRUE()),"",INDEX(tsk_FcFinish,GanttView[[#This Row],[_Row]]))</f>
        <v/>
      </c>
      <c r="I123" s="120" t="str">
        <f aca="false">IF(IFERROR(INDEX(tsk_Name,GanttView[[#This Row],[_Row]])="",TRUE()),"",INDEX(tsk_Progress,GanttView[[#This Row],[_Row]]))</f>
        <v/>
      </c>
      <c r="J123" s="118" t="str">
        <f aca="false">IF(IFERROR(INDEX(tsk_Name,GanttView[[#This Row],[_Row]])="",TRUE()),"",INDEX(tsk_Resource,GanttView[[#This Row],[_Row]])&amp;"")</f>
        <v/>
      </c>
      <c r="K123" s="121" t="str">
        <f aca="false">IF(IFERROR(INDEX(tsk_Name,GanttView[[#This Row],[_Row]])="",TRUE()),"",INDEX(tsk_Status,GanttView[[#This Row],[_Row]]))</f>
        <v/>
      </c>
      <c r="L123" s="122" t="n">
        <f aca="false">ROW()-ROW(GanttView[[#Headers],[ID]])</f>
        <v>118</v>
      </c>
      <c r="M123" s="123" t="b">
        <f aca="false">IF(IFERROR(INDEX(tsk_Name,GanttView[[#This Row],[_Row]])="",TRUE()),FALSE(),INDEX(tsk_IsSummary,GanttView[[#This Row],[_Row]]))</f>
        <v>0</v>
      </c>
      <c r="N123" s="123" t="b">
        <f aca="false">IF(IFERROR(INDEX(tsk_Name,GanttView[[#This Row],[_Row]])="",TRUE()),FALSE(),AND(INDEX(tsk_IsLeaf,GanttView[[#This Row],[_Row]])=1,N(INDEX(tsk_Duration,GanttView[[#This Row],[_Row]]))=0))</f>
        <v>0</v>
      </c>
      <c r="O123" s="124" t="n">
        <f aca="false">IF(IFERROR(INDEX(tsk_Name,GanttView[[#This Row],[_Row]])="",TRUE()),0,IF(AND(INDEX(tsk_IsLeaf,GanttView[[#This Row],[_Row]])=1,NOT(GanttView[[#This Row],[_IsMilestone]]),N(GanttView[[#This Row],[%]])&gt;0),GanttView[[#This Row],[Forecast Start]],0))</f>
        <v>0</v>
      </c>
      <c r="P123" s="124" t="n">
        <f aca="false">IF(GanttView[[#This Row],[_DoneFrom]]=0,0,IF(GanttView[[#This Row],[%]]&gt;=1,GanttView[[#This Row],[Forecast Finish]],MAX(GanttView[[#This Row],[_DoneFrom]],GanttView[[#This Row],[Forecast Start]]+ROUND((GanttView[[#This Row],[Forecast Finish]]-GanttView[[#This Row],[Forecast Start]]+1)*GanttView[[#This Row],[%]],0)-1)))</f>
        <v>0</v>
      </c>
      <c r="Q123" s="124" t="n">
        <f aca="false">IF(IFERROR(INDEX(tsk_Name,GanttView[[#This Row],[_Row]])="",TRUE()),0,IF(OR(INDEX(tsk_IsLeaf,GanttView[[#This Row],[_Row]])&lt;&gt;1,GanttView[[#This Row],[_IsMilestone]],N(GanttView[[#This Row],[%]])&gt;=1),0,IF(GanttView[[#This Row],[_DoneTo]]&gt;0,GanttView[[#This Row],[_DoneTo]]+1,GanttView[[#This Row],[Forecast Start]])))</f>
        <v>0</v>
      </c>
      <c r="R123" s="124" t="n">
        <f aca="false">IF(GanttView[[#This Row],[_RemFrom]]=0,0,GanttView[[#This Row],[Forecast Finish]])</f>
        <v>0</v>
      </c>
      <c r="S123" s="123" t="b">
        <f aca="false">IF(IFERROR(INDEX(tsk_Name,GanttView[[#This Row],[_Row]])="",TRUE()),FALSE(),N(INDEX(tsk_Variance,GanttView[[#This Row],[_Row]]))&gt;0)</f>
        <v>0</v>
      </c>
      <c r="T123" s="124" t="n">
        <f aca="false">IF(IFERROR(INDEX(tsk_Name,GanttView[[#This Row],[_Row]])="",TRUE()),0,N(INDEX(tsk_Deadline,GanttView[[#This Row],[_Row]])))</f>
        <v>0</v>
      </c>
      <c r="U123" s="123" t="b">
        <f aca="false">IF(IFERROR(INDEX(tsk_Name,GanttView[[#This Row],[_Row]])="",TRUE()),FALSE(),INDEX(tsk_Critical,GanttView[[#This Row],[_Row]])="Yes")</f>
        <v>0</v>
      </c>
    </row>
    <row r="124" customFormat="false" ht="15" hidden="false" customHeight="false" outlineLevel="0" collapsed="false">
      <c r="A124" s="117" t="str">
        <f aca="false">IF(IFERROR(INDEX(tsk_Name,GanttView[[#This Row],[_Row]])="",TRUE()),"",INDEX(tsk_ID,GanttView[[#This Row],[_Row]]))</f>
        <v/>
      </c>
      <c r="B124" s="117" t="str">
        <f aca="false">IF(IFERROR(INDEX(tsk_Name,GanttView[[#This Row],[_Row]])="",TRUE()),"",INDEX(tsk_WBS,GanttView[[#This Row],[_Row]]))</f>
        <v/>
      </c>
      <c r="C124" s="118" t="str">
        <f aca="false">IF(IFERROR(INDEX(tsk_Name,GanttView[[#This Row],[_Row]])="",TRUE()),"",REPT("    ",INDEX(tsk_Level,GanttView[[#This Row],[_Row]])-1)&amp;INDEX(tsk_Name,GanttView[[#This Row],[_Row]]))</f>
        <v/>
      </c>
      <c r="D124" s="117" t="str">
        <f aca="false">IF(IFERROR(INDEX(tsk_Name,GanttView[[#This Row],[_Row]])="",TRUE()),"",IF(INDEX(tsk_IsSummary,GanttView[[#This Row],[_Row]]),NETWORKDAYS.INTL(INDEX(tsk_FcStart,GanttView[[#This Row],[_Row]]),INDEX(tsk_FcFinish,GanttView[[#This Row],[_Row]]),WorkWeek,Holidays),N(INDEX(tsk_Duration,GanttView[[#This Row],[_Row]]))))</f>
        <v/>
      </c>
      <c r="E124" s="119" t="str">
        <f aca="false">IF(IFERROR(INDEX(tsk_Name,GanttView[[#This Row],[_Row]])="",TRUE()),"",INDEX(tsk_PlanStart,GanttView[[#This Row],[_Row]]))</f>
        <v/>
      </c>
      <c r="F124" s="119" t="str">
        <f aca="false">IF(IFERROR(INDEX(tsk_Name,GanttView[[#This Row],[_Row]])="",TRUE()),"",INDEX(tsk_PlanFinish,GanttView[[#This Row],[_Row]]))</f>
        <v/>
      </c>
      <c r="G124" s="119" t="str">
        <f aca="false">IF(IFERROR(INDEX(tsk_Name,GanttView[[#This Row],[_Row]])="",TRUE()),"",INDEX(tsk_FcStart,GanttView[[#This Row],[_Row]]))</f>
        <v/>
      </c>
      <c r="H124" s="119" t="str">
        <f aca="false">IF(IFERROR(INDEX(tsk_Name,GanttView[[#This Row],[_Row]])="",TRUE()),"",INDEX(tsk_FcFinish,GanttView[[#This Row],[_Row]]))</f>
        <v/>
      </c>
      <c r="I124" s="120" t="str">
        <f aca="false">IF(IFERROR(INDEX(tsk_Name,GanttView[[#This Row],[_Row]])="",TRUE()),"",INDEX(tsk_Progress,GanttView[[#This Row],[_Row]]))</f>
        <v/>
      </c>
      <c r="J124" s="118" t="str">
        <f aca="false">IF(IFERROR(INDEX(tsk_Name,GanttView[[#This Row],[_Row]])="",TRUE()),"",INDEX(tsk_Resource,GanttView[[#This Row],[_Row]])&amp;"")</f>
        <v/>
      </c>
      <c r="K124" s="121" t="str">
        <f aca="false">IF(IFERROR(INDEX(tsk_Name,GanttView[[#This Row],[_Row]])="",TRUE()),"",INDEX(tsk_Status,GanttView[[#This Row],[_Row]]))</f>
        <v/>
      </c>
      <c r="L124" s="122" t="n">
        <f aca="false">ROW()-ROW(GanttView[[#Headers],[ID]])</f>
        <v>119</v>
      </c>
      <c r="M124" s="123" t="b">
        <f aca="false">IF(IFERROR(INDEX(tsk_Name,GanttView[[#This Row],[_Row]])="",TRUE()),FALSE(),INDEX(tsk_IsSummary,GanttView[[#This Row],[_Row]]))</f>
        <v>0</v>
      </c>
      <c r="N124" s="123" t="b">
        <f aca="false">IF(IFERROR(INDEX(tsk_Name,GanttView[[#This Row],[_Row]])="",TRUE()),FALSE(),AND(INDEX(tsk_IsLeaf,GanttView[[#This Row],[_Row]])=1,N(INDEX(tsk_Duration,GanttView[[#This Row],[_Row]]))=0))</f>
        <v>0</v>
      </c>
      <c r="O124" s="124" t="n">
        <f aca="false">IF(IFERROR(INDEX(tsk_Name,GanttView[[#This Row],[_Row]])="",TRUE()),0,IF(AND(INDEX(tsk_IsLeaf,GanttView[[#This Row],[_Row]])=1,NOT(GanttView[[#This Row],[_IsMilestone]]),N(GanttView[[#This Row],[%]])&gt;0),GanttView[[#This Row],[Forecast Start]],0))</f>
        <v>0</v>
      </c>
      <c r="P124" s="124" t="n">
        <f aca="false">IF(GanttView[[#This Row],[_DoneFrom]]=0,0,IF(GanttView[[#This Row],[%]]&gt;=1,GanttView[[#This Row],[Forecast Finish]],MAX(GanttView[[#This Row],[_DoneFrom]],GanttView[[#This Row],[Forecast Start]]+ROUND((GanttView[[#This Row],[Forecast Finish]]-GanttView[[#This Row],[Forecast Start]]+1)*GanttView[[#This Row],[%]],0)-1)))</f>
        <v>0</v>
      </c>
      <c r="Q124" s="124" t="n">
        <f aca="false">IF(IFERROR(INDEX(tsk_Name,GanttView[[#This Row],[_Row]])="",TRUE()),0,IF(OR(INDEX(tsk_IsLeaf,GanttView[[#This Row],[_Row]])&lt;&gt;1,GanttView[[#This Row],[_IsMilestone]],N(GanttView[[#This Row],[%]])&gt;=1),0,IF(GanttView[[#This Row],[_DoneTo]]&gt;0,GanttView[[#This Row],[_DoneTo]]+1,GanttView[[#This Row],[Forecast Start]])))</f>
        <v>0</v>
      </c>
      <c r="R124" s="124" t="n">
        <f aca="false">IF(GanttView[[#This Row],[_RemFrom]]=0,0,GanttView[[#This Row],[Forecast Finish]])</f>
        <v>0</v>
      </c>
      <c r="S124" s="123" t="b">
        <f aca="false">IF(IFERROR(INDEX(tsk_Name,GanttView[[#This Row],[_Row]])="",TRUE()),FALSE(),N(INDEX(tsk_Variance,GanttView[[#This Row],[_Row]]))&gt;0)</f>
        <v>0</v>
      </c>
      <c r="T124" s="124" t="n">
        <f aca="false">IF(IFERROR(INDEX(tsk_Name,GanttView[[#This Row],[_Row]])="",TRUE()),0,N(INDEX(tsk_Deadline,GanttView[[#This Row],[_Row]])))</f>
        <v>0</v>
      </c>
      <c r="U124" s="123" t="b">
        <f aca="false">IF(IFERROR(INDEX(tsk_Name,GanttView[[#This Row],[_Row]])="",TRUE()),FALSE(),INDEX(tsk_Critical,GanttView[[#This Row],[_Row]])="Yes")</f>
        <v>0</v>
      </c>
    </row>
    <row r="125" customFormat="false" ht="15" hidden="false" customHeight="false" outlineLevel="0" collapsed="false">
      <c r="A125" s="117" t="str">
        <f aca="false">IF(IFERROR(INDEX(tsk_Name,GanttView[[#This Row],[_Row]])="",TRUE()),"",INDEX(tsk_ID,GanttView[[#This Row],[_Row]]))</f>
        <v/>
      </c>
      <c r="B125" s="117" t="str">
        <f aca="false">IF(IFERROR(INDEX(tsk_Name,GanttView[[#This Row],[_Row]])="",TRUE()),"",INDEX(tsk_WBS,GanttView[[#This Row],[_Row]]))</f>
        <v/>
      </c>
      <c r="C125" s="118" t="str">
        <f aca="false">IF(IFERROR(INDEX(tsk_Name,GanttView[[#This Row],[_Row]])="",TRUE()),"",REPT("    ",INDEX(tsk_Level,GanttView[[#This Row],[_Row]])-1)&amp;INDEX(tsk_Name,GanttView[[#This Row],[_Row]]))</f>
        <v/>
      </c>
      <c r="D125" s="117" t="str">
        <f aca="false">IF(IFERROR(INDEX(tsk_Name,GanttView[[#This Row],[_Row]])="",TRUE()),"",IF(INDEX(tsk_IsSummary,GanttView[[#This Row],[_Row]]),NETWORKDAYS.INTL(INDEX(tsk_FcStart,GanttView[[#This Row],[_Row]]),INDEX(tsk_FcFinish,GanttView[[#This Row],[_Row]]),WorkWeek,Holidays),N(INDEX(tsk_Duration,GanttView[[#This Row],[_Row]]))))</f>
        <v/>
      </c>
      <c r="E125" s="119" t="str">
        <f aca="false">IF(IFERROR(INDEX(tsk_Name,GanttView[[#This Row],[_Row]])="",TRUE()),"",INDEX(tsk_PlanStart,GanttView[[#This Row],[_Row]]))</f>
        <v/>
      </c>
      <c r="F125" s="119" t="str">
        <f aca="false">IF(IFERROR(INDEX(tsk_Name,GanttView[[#This Row],[_Row]])="",TRUE()),"",INDEX(tsk_PlanFinish,GanttView[[#This Row],[_Row]]))</f>
        <v/>
      </c>
      <c r="G125" s="119" t="str">
        <f aca="false">IF(IFERROR(INDEX(tsk_Name,GanttView[[#This Row],[_Row]])="",TRUE()),"",INDEX(tsk_FcStart,GanttView[[#This Row],[_Row]]))</f>
        <v/>
      </c>
      <c r="H125" s="119" t="str">
        <f aca="false">IF(IFERROR(INDEX(tsk_Name,GanttView[[#This Row],[_Row]])="",TRUE()),"",INDEX(tsk_FcFinish,GanttView[[#This Row],[_Row]]))</f>
        <v/>
      </c>
      <c r="I125" s="120" t="str">
        <f aca="false">IF(IFERROR(INDEX(tsk_Name,GanttView[[#This Row],[_Row]])="",TRUE()),"",INDEX(tsk_Progress,GanttView[[#This Row],[_Row]]))</f>
        <v/>
      </c>
      <c r="J125" s="118" t="str">
        <f aca="false">IF(IFERROR(INDEX(tsk_Name,GanttView[[#This Row],[_Row]])="",TRUE()),"",INDEX(tsk_Resource,GanttView[[#This Row],[_Row]])&amp;"")</f>
        <v/>
      </c>
      <c r="K125" s="121" t="str">
        <f aca="false">IF(IFERROR(INDEX(tsk_Name,GanttView[[#This Row],[_Row]])="",TRUE()),"",INDEX(tsk_Status,GanttView[[#This Row],[_Row]]))</f>
        <v/>
      </c>
      <c r="L125" s="122" t="n">
        <f aca="false">ROW()-ROW(GanttView[[#Headers],[ID]])</f>
        <v>120</v>
      </c>
      <c r="M125" s="123" t="b">
        <f aca="false">IF(IFERROR(INDEX(tsk_Name,GanttView[[#This Row],[_Row]])="",TRUE()),FALSE(),INDEX(tsk_IsSummary,GanttView[[#This Row],[_Row]]))</f>
        <v>0</v>
      </c>
      <c r="N125" s="123" t="b">
        <f aca="false">IF(IFERROR(INDEX(tsk_Name,GanttView[[#This Row],[_Row]])="",TRUE()),FALSE(),AND(INDEX(tsk_IsLeaf,GanttView[[#This Row],[_Row]])=1,N(INDEX(tsk_Duration,GanttView[[#This Row],[_Row]]))=0))</f>
        <v>0</v>
      </c>
      <c r="O125" s="124" t="n">
        <f aca="false">IF(IFERROR(INDEX(tsk_Name,GanttView[[#This Row],[_Row]])="",TRUE()),0,IF(AND(INDEX(tsk_IsLeaf,GanttView[[#This Row],[_Row]])=1,NOT(GanttView[[#This Row],[_IsMilestone]]),N(GanttView[[#This Row],[%]])&gt;0),GanttView[[#This Row],[Forecast Start]],0))</f>
        <v>0</v>
      </c>
      <c r="P125" s="124" t="n">
        <f aca="false">IF(GanttView[[#This Row],[_DoneFrom]]=0,0,IF(GanttView[[#This Row],[%]]&gt;=1,GanttView[[#This Row],[Forecast Finish]],MAX(GanttView[[#This Row],[_DoneFrom]],GanttView[[#This Row],[Forecast Start]]+ROUND((GanttView[[#This Row],[Forecast Finish]]-GanttView[[#This Row],[Forecast Start]]+1)*GanttView[[#This Row],[%]],0)-1)))</f>
        <v>0</v>
      </c>
      <c r="Q125" s="124" t="n">
        <f aca="false">IF(IFERROR(INDEX(tsk_Name,GanttView[[#This Row],[_Row]])="",TRUE()),0,IF(OR(INDEX(tsk_IsLeaf,GanttView[[#This Row],[_Row]])&lt;&gt;1,GanttView[[#This Row],[_IsMilestone]],N(GanttView[[#This Row],[%]])&gt;=1),0,IF(GanttView[[#This Row],[_DoneTo]]&gt;0,GanttView[[#This Row],[_DoneTo]]+1,GanttView[[#This Row],[Forecast Start]])))</f>
        <v>0</v>
      </c>
      <c r="R125" s="124" t="n">
        <f aca="false">IF(GanttView[[#This Row],[_RemFrom]]=0,0,GanttView[[#This Row],[Forecast Finish]])</f>
        <v>0</v>
      </c>
      <c r="S125" s="123" t="b">
        <f aca="false">IF(IFERROR(INDEX(tsk_Name,GanttView[[#This Row],[_Row]])="",TRUE()),FALSE(),N(INDEX(tsk_Variance,GanttView[[#This Row],[_Row]]))&gt;0)</f>
        <v>0</v>
      </c>
      <c r="T125" s="124" t="n">
        <f aca="false">IF(IFERROR(INDEX(tsk_Name,GanttView[[#This Row],[_Row]])="",TRUE()),0,N(INDEX(tsk_Deadline,GanttView[[#This Row],[_Row]])))</f>
        <v>0</v>
      </c>
      <c r="U125" s="123" t="b">
        <f aca="false">IF(IFERROR(INDEX(tsk_Name,GanttView[[#This Row],[_Row]])="",TRUE()),FALSE(),INDEX(tsk_Critical,GanttView[[#This Row],[_Row]])="Yes")</f>
        <v>0</v>
      </c>
    </row>
    <row r="126" customFormat="false" ht="15" hidden="false" customHeight="false" outlineLevel="0" collapsed="false">
      <c r="A126" s="117" t="str">
        <f aca="false">IF(IFERROR(INDEX(tsk_Name,GanttView[[#This Row],[_Row]])="",TRUE()),"",INDEX(tsk_ID,GanttView[[#This Row],[_Row]]))</f>
        <v/>
      </c>
      <c r="B126" s="117" t="str">
        <f aca="false">IF(IFERROR(INDEX(tsk_Name,GanttView[[#This Row],[_Row]])="",TRUE()),"",INDEX(tsk_WBS,GanttView[[#This Row],[_Row]]))</f>
        <v/>
      </c>
      <c r="C126" s="118" t="str">
        <f aca="false">IF(IFERROR(INDEX(tsk_Name,GanttView[[#This Row],[_Row]])="",TRUE()),"",REPT("    ",INDEX(tsk_Level,GanttView[[#This Row],[_Row]])-1)&amp;INDEX(tsk_Name,GanttView[[#This Row],[_Row]]))</f>
        <v/>
      </c>
      <c r="D126" s="117" t="str">
        <f aca="false">IF(IFERROR(INDEX(tsk_Name,GanttView[[#This Row],[_Row]])="",TRUE()),"",IF(INDEX(tsk_IsSummary,GanttView[[#This Row],[_Row]]),NETWORKDAYS.INTL(INDEX(tsk_FcStart,GanttView[[#This Row],[_Row]]),INDEX(tsk_FcFinish,GanttView[[#This Row],[_Row]]),WorkWeek,Holidays),N(INDEX(tsk_Duration,GanttView[[#This Row],[_Row]]))))</f>
        <v/>
      </c>
      <c r="E126" s="119" t="str">
        <f aca="false">IF(IFERROR(INDEX(tsk_Name,GanttView[[#This Row],[_Row]])="",TRUE()),"",INDEX(tsk_PlanStart,GanttView[[#This Row],[_Row]]))</f>
        <v/>
      </c>
      <c r="F126" s="119" t="str">
        <f aca="false">IF(IFERROR(INDEX(tsk_Name,GanttView[[#This Row],[_Row]])="",TRUE()),"",INDEX(tsk_PlanFinish,GanttView[[#This Row],[_Row]]))</f>
        <v/>
      </c>
      <c r="G126" s="119" t="str">
        <f aca="false">IF(IFERROR(INDEX(tsk_Name,GanttView[[#This Row],[_Row]])="",TRUE()),"",INDEX(tsk_FcStart,GanttView[[#This Row],[_Row]]))</f>
        <v/>
      </c>
      <c r="H126" s="119" t="str">
        <f aca="false">IF(IFERROR(INDEX(tsk_Name,GanttView[[#This Row],[_Row]])="",TRUE()),"",INDEX(tsk_FcFinish,GanttView[[#This Row],[_Row]]))</f>
        <v/>
      </c>
      <c r="I126" s="120" t="str">
        <f aca="false">IF(IFERROR(INDEX(tsk_Name,GanttView[[#This Row],[_Row]])="",TRUE()),"",INDEX(tsk_Progress,GanttView[[#This Row],[_Row]]))</f>
        <v/>
      </c>
      <c r="J126" s="118" t="str">
        <f aca="false">IF(IFERROR(INDEX(tsk_Name,GanttView[[#This Row],[_Row]])="",TRUE()),"",INDEX(tsk_Resource,GanttView[[#This Row],[_Row]])&amp;"")</f>
        <v/>
      </c>
      <c r="K126" s="121" t="str">
        <f aca="false">IF(IFERROR(INDEX(tsk_Name,GanttView[[#This Row],[_Row]])="",TRUE()),"",INDEX(tsk_Status,GanttView[[#This Row],[_Row]]))</f>
        <v/>
      </c>
      <c r="L126" s="122" t="n">
        <f aca="false">ROW()-ROW(GanttView[[#Headers],[ID]])</f>
        <v>121</v>
      </c>
      <c r="M126" s="123" t="b">
        <f aca="false">IF(IFERROR(INDEX(tsk_Name,GanttView[[#This Row],[_Row]])="",TRUE()),FALSE(),INDEX(tsk_IsSummary,GanttView[[#This Row],[_Row]]))</f>
        <v>0</v>
      </c>
      <c r="N126" s="123" t="b">
        <f aca="false">IF(IFERROR(INDEX(tsk_Name,GanttView[[#This Row],[_Row]])="",TRUE()),FALSE(),AND(INDEX(tsk_IsLeaf,GanttView[[#This Row],[_Row]])=1,N(INDEX(tsk_Duration,GanttView[[#This Row],[_Row]]))=0))</f>
        <v>0</v>
      </c>
      <c r="O126" s="124" t="n">
        <f aca="false">IF(IFERROR(INDEX(tsk_Name,GanttView[[#This Row],[_Row]])="",TRUE()),0,IF(AND(INDEX(tsk_IsLeaf,GanttView[[#This Row],[_Row]])=1,NOT(GanttView[[#This Row],[_IsMilestone]]),N(GanttView[[#This Row],[%]])&gt;0),GanttView[[#This Row],[Forecast Start]],0))</f>
        <v>0</v>
      </c>
      <c r="P126" s="124" t="n">
        <f aca="false">IF(GanttView[[#This Row],[_DoneFrom]]=0,0,IF(GanttView[[#This Row],[%]]&gt;=1,GanttView[[#This Row],[Forecast Finish]],MAX(GanttView[[#This Row],[_DoneFrom]],GanttView[[#This Row],[Forecast Start]]+ROUND((GanttView[[#This Row],[Forecast Finish]]-GanttView[[#This Row],[Forecast Start]]+1)*GanttView[[#This Row],[%]],0)-1)))</f>
        <v>0</v>
      </c>
      <c r="Q126" s="124" t="n">
        <f aca="false">IF(IFERROR(INDEX(tsk_Name,GanttView[[#This Row],[_Row]])="",TRUE()),0,IF(OR(INDEX(tsk_IsLeaf,GanttView[[#This Row],[_Row]])&lt;&gt;1,GanttView[[#This Row],[_IsMilestone]],N(GanttView[[#This Row],[%]])&gt;=1),0,IF(GanttView[[#This Row],[_DoneTo]]&gt;0,GanttView[[#This Row],[_DoneTo]]+1,GanttView[[#This Row],[Forecast Start]])))</f>
        <v>0</v>
      </c>
      <c r="R126" s="124" t="n">
        <f aca="false">IF(GanttView[[#This Row],[_RemFrom]]=0,0,GanttView[[#This Row],[Forecast Finish]])</f>
        <v>0</v>
      </c>
      <c r="S126" s="123" t="b">
        <f aca="false">IF(IFERROR(INDEX(tsk_Name,GanttView[[#This Row],[_Row]])="",TRUE()),FALSE(),N(INDEX(tsk_Variance,GanttView[[#This Row],[_Row]]))&gt;0)</f>
        <v>0</v>
      </c>
      <c r="T126" s="124" t="n">
        <f aca="false">IF(IFERROR(INDEX(tsk_Name,GanttView[[#This Row],[_Row]])="",TRUE()),0,N(INDEX(tsk_Deadline,GanttView[[#This Row],[_Row]])))</f>
        <v>0</v>
      </c>
      <c r="U126" s="123" t="b">
        <f aca="false">IF(IFERROR(INDEX(tsk_Name,GanttView[[#This Row],[_Row]])="",TRUE()),FALSE(),INDEX(tsk_Critical,GanttView[[#This Row],[_Row]])="Yes")</f>
        <v>0</v>
      </c>
    </row>
    <row r="127" customFormat="false" ht="15" hidden="false" customHeight="false" outlineLevel="0" collapsed="false">
      <c r="A127" s="117" t="str">
        <f aca="false">IF(IFERROR(INDEX(tsk_Name,GanttView[[#This Row],[_Row]])="",TRUE()),"",INDEX(tsk_ID,GanttView[[#This Row],[_Row]]))</f>
        <v/>
      </c>
      <c r="B127" s="117" t="str">
        <f aca="false">IF(IFERROR(INDEX(tsk_Name,GanttView[[#This Row],[_Row]])="",TRUE()),"",INDEX(tsk_WBS,GanttView[[#This Row],[_Row]]))</f>
        <v/>
      </c>
      <c r="C127" s="118" t="str">
        <f aca="false">IF(IFERROR(INDEX(tsk_Name,GanttView[[#This Row],[_Row]])="",TRUE()),"",REPT("    ",INDEX(tsk_Level,GanttView[[#This Row],[_Row]])-1)&amp;INDEX(tsk_Name,GanttView[[#This Row],[_Row]]))</f>
        <v/>
      </c>
      <c r="D127" s="117" t="str">
        <f aca="false">IF(IFERROR(INDEX(tsk_Name,GanttView[[#This Row],[_Row]])="",TRUE()),"",IF(INDEX(tsk_IsSummary,GanttView[[#This Row],[_Row]]),NETWORKDAYS.INTL(INDEX(tsk_FcStart,GanttView[[#This Row],[_Row]]),INDEX(tsk_FcFinish,GanttView[[#This Row],[_Row]]),WorkWeek,Holidays),N(INDEX(tsk_Duration,GanttView[[#This Row],[_Row]]))))</f>
        <v/>
      </c>
      <c r="E127" s="119" t="str">
        <f aca="false">IF(IFERROR(INDEX(tsk_Name,GanttView[[#This Row],[_Row]])="",TRUE()),"",INDEX(tsk_PlanStart,GanttView[[#This Row],[_Row]]))</f>
        <v/>
      </c>
      <c r="F127" s="119" t="str">
        <f aca="false">IF(IFERROR(INDEX(tsk_Name,GanttView[[#This Row],[_Row]])="",TRUE()),"",INDEX(tsk_PlanFinish,GanttView[[#This Row],[_Row]]))</f>
        <v/>
      </c>
      <c r="G127" s="119" t="str">
        <f aca="false">IF(IFERROR(INDEX(tsk_Name,GanttView[[#This Row],[_Row]])="",TRUE()),"",INDEX(tsk_FcStart,GanttView[[#This Row],[_Row]]))</f>
        <v/>
      </c>
      <c r="H127" s="119" t="str">
        <f aca="false">IF(IFERROR(INDEX(tsk_Name,GanttView[[#This Row],[_Row]])="",TRUE()),"",INDEX(tsk_FcFinish,GanttView[[#This Row],[_Row]]))</f>
        <v/>
      </c>
      <c r="I127" s="120" t="str">
        <f aca="false">IF(IFERROR(INDEX(tsk_Name,GanttView[[#This Row],[_Row]])="",TRUE()),"",INDEX(tsk_Progress,GanttView[[#This Row],[_Row]]))</f>
        <v/>
      </c>
      <c r="J127" s="118" t="str">
        <f aca="false">IF(IFERROR(INDEX(tsk_Name,GanttView[[#This Row],[_Row]])="",TRUE()),"",INDEX(tsk_Resource,GanttView[[#This Row],[_Row]])&amp;"")</f>
        <v/>
      </c>
      <c r="K127" s="121" t="str">
        <f aca="false">IF(IFERROR(INDEX(tsk_Name,GanttView[[#This Row],[_Row]])="",TRUE()),"",INDEX(tsk_Status,GanttView[[#This Row],[_Row]]))</f>
        <v/>
      </c>
      <c r="L127" s="122" t="n">
        <f aca="false">ROW()-ROW(GanttView[[#Headers],[ID]])</f>
        <v>122</v>
      </c>
      <c r="M127" s="123" t="b">
        <f aca="false">IF(IFERROR(INDEX(tsk_Name,GanttView[[#This Row],[_Row]])="",TRUE()),FALSE(),INDEX(tsk_IsSummary,GanttView[[#This Row],[_Row]]))</f>
        <v>0</v>
      </c>
      <c r="N127" s="123" t="b">
        <f aca="false">IF(IFERROR(INDEX(tsk_Name,GanttView[[#This Row],[_Row]])="",TRUE()),FALSE(),AND(INDEX(tsk_IsLeaf,GanttView[[#This Row],[_Row]])=1,N(INDEX(tsk_Duration,GanttView[[#This Row],[_Row]]))=0))</f>
        <v>0</v>
      </c>
      <c r="O127" s="124" t="n">
        <f aca="false">IF(IFERROR(INDEX(tsk_Name,GanttView[[#This Row],[_Row]])="",TRUE()),0,IF(AND(INDEX(tsk_IsLeaf,GanttView[[#This Row],[_Row]])=1,NOT(GanttView[[#This Row],[_IsMilestone]]),N(GanttView[[#This Row],[%]])&gt;0),GanttView[[#This Row],[Forecast Start]],0))</f>
        <v>0</v>
      </c>
      <c r="P127" s="124" t="n">
        <f aca="false">IF(GanttView[[#This Row],[_DoneFrom]]=0,0,IF(GanttView[[#This Row],[%]]&gt;=1,GanttView[[#This Row],[Forecast Finish]],MAX(GanttView[[#This Row],[_DoneFrom]],GanttView[[#This Row],[Forecast Start]]+ROUND((GanttView[[#This Row],[Forecast Finish]]-GanttView[[#This Row],[Forecast Start]]+1)*GanttView[[#This Row],[%]],0)-1)))</f>
        <v>0</v>
      </c>
      <c r="Q127" s="124" t="n">
        <f aca="false">IF(IFERROR(INDEX(tsk_Name,GanttView[[#This Row],[_Row]])="",TRUE()),0,IF(OR(INDEX(tsk_IsLeaf,GanttView[[#This Row],[_Row]])&lt;&gt;1,GanttView[[#This Row],[_IsMilestone]],N(GanttView[[#This Row],[%]])&gt;=1),0,IF(GanttView[[#This Row],[_DoneTo]]&gt;0,GanttView[[#This Row],[_DoneTo]]+1,GanttView[[#This Row],[Forecast Start]])))</f>
        <v>0</v>
      </c>
      <c r="R127" s="124" t="n">
        <f aca="false">IF(GanttView[[#This Row],[_RemFrom]]=0,0,GanttView[[#This Row],[Forecast Finish]])</f>
        <v>0</v>
      </c>
      <c r="S127" s="123" t="b">
        <f aca="false">IF(IFERROR(INDEX(tsk_Name,GanttView[[#This Row],[_Row]])="",TRUE()),FALSE(),N(INDEX(tsk_Variance,GanttView[[#This Row],[_Row]]))&gt;0)</f>
        <v>0</v>
      </c>
      <c r="T127" s="124" t="n">
        <f aca="false">IF(IFERROR(INDEX(tsk_Name,GanttView[[#This Row],[_Row]])="",TRUE()),0,N(INDEX(tsk_Deadline,GanttView[[#This Row],[_Row]])))</f>
        <v>0</v>
      </c>
      <c r="U127" s="123" t="b">
        <f aca="false">IF(IFERROR(INDEX(tsk_Name,GanttView[[#This Row],[_Row]])="",TRUE()),FALSE(),INDEX(tsk_Critical,GanttView[[#This Row],[_Row]])="Yes")</f>
        <v>0</v>
      </c>
    </row>
    <row r="128" customFormat="false" ht="15" hidden="false" customHeight="false" outlineLevel="0" collapsed="false">
      <c r="A128" s="117" t="str">
        <f aca="false">IF(IFERROR(INDEX(tsk_Name,GanttView[[#This Row],[_Row]])="",TRUE()),"",INDEX(tsk_ID,GanttView[[#This Row],[_Row]]))</f>
        <v/>
      </c>
      <c r="B128" s="117" t="str">
        <f aca="false">IF(IFERROR(INDEX(tsk_Name,GanttView[[#This Row],[_Row]])="",TRUE()),"",INDEX(tsk_WBS,GanttView[[#This Row],[_Row]]))</f>
        <v/>
      </c>
      <c r="C128" s="118" t="str">
        <f aca="false">IF(IFERROR(INDEX(tsk_Name,GanttView[[#This Row],[_Row]])="",TRUE()),"",REPT("    ",INDEX(tsk_Level,GanttView[[#This Row],[_Row]])-1)&amp;INDEX(tsk_Name,GanttView[[#This Row],[_Row]]))</f>
        <v/>
      </c>
      <c r="D128" s="117" t="str">
        <f aca="false">IF(IFERROR(INDEX(tsk_Name,GanttView[[#This Row],[_Row]])="",TRUE()),"",IF(INDEX(tsk_IsSummary,GanttView[[#This Row],[_Row]]),NETWORKDAYS.INTL(INDEX(tsk_FcStart,GanttView[[#This Row],[_Row]]),INDEX(tsk_FcFinish,GanttView[[#This Row],[_Row]]),WorkWeek,Holidays),N(INDEX(tsk_Duration,GanttView[[#This Row],[_Row]]))))</f>
        <v/>
      </c>
      <c r="E128" s="119" t="str">
        <f aca="false">IF(IFERROR(INDEX(tsk_Name,GanttView[[#This Row],[_Row]])="",TRUE()),"",INDEX(tsk_PlanStart,GanttView[[#This Row],[_Row]]))</f>
        <v/>
      </c>
      <c r="F128" s="119" t="str">
        <f aca="false">IF(IFERROR(INDEX(tsk_Name,GanttView[[#This Row],[_Row]])="",TRUE()),"",INDEX(tsk_PlanFinish,GanttView[[#This Row],[_Row]]))</f>
        <v/>
      </c>
      <c r="G128" s="119" t="str">
        <f aca="false">IF(IFERROR(INDEX(tsk_Name,GanttView[[#This Row],[_Row]])="",TRUE()),"",INDEX(tsk_FcStart,GanttView[[#This Row],[_Row]]))</f>
        <v/>
      </c>
      <c r="H128" s="119" t="str">
        <f aca="false">IF(IFERROR(INDEX(tsk_Name,GanttView[[#This Row],[_Row]])="",TRUE()),"",INDEX(tsk_FcFinish,GanttView[[#This Row],[_Row]]))</f>
        <v/>
      </c>
      <c r="I128" s="120" t="str">
        <f aca="false">IF(IFERROR(INDEX(tsk_Name,GanttView[[#This Row],[_Row]])="",TRUE()),"",INDEX(tsk_Progress,GanttView[[#This Row],[_Row]]))</f>
        <v/>
      </c>
      <c r="J128" s="118" t="str">
        <f aca="false">IF(IFERROR(INDEX(tsk_Name,GanttView[[#This Row],[_Row]])="",TRUE()),"",INDEX(tsk_Resource,GanttView[[#This Row],[_Row]])&amp;"")</f>
        <v/>
      </c>
      <c r="K128" s="121" t="str">
        <f aca="false">IF(IFERROR(INDEX(tsk_Name,GanttView[[#This Row],[_Row]])="",TRUE()),"",INDEX(tsk_Status,GanttView[[#This Row],[_Row]]))</f>
        <v/>
      </c>
      <c r="L128" s="122" t="n">
        <f aca="false">ROW()-ROW(GanttView[[#Headers],[ID]])</f>
        <v>123</v>
      </c>
      <c r="M128" s="123" t="b">
        <f aca="false">IF(IFERROR(INDEX(tsk_Name,GanttView[[#This Row],[_Row]])="",TRUE()),FALSE(),INDEX(tsk_IsSummary,GanttView[[#This Row],[_Row]]))</f>
        <v>0</v>
      </c>
      <c r="N128" s="123" t="b">
        <f aca="false">IF(IFERROR(INDEX(tsk_Name,GanttView[[#This Row],[_Row]])="",TRUE()),FALSE(),AND(INDEX(tsk_IsLeaf,GanttView[[#This Row],[_Row]])=1,N(INDEX(tsk_Duration,GanttView[[#This Row],[_Row]]))=0))</f>
        <v>0</v>
      </c>
      <c r="O128" s="124" t="n">
        <f aca="false">IF(IFERROR(INDEX(tsk_Name,GanttView[[#This Row],[_Row]])="",TRUE()),0,IF(AND(INDEX(tsk_IsLeaf,GanttView[[#This Row],[_Row]])=1,NOT(GanttView[[#This Row],[_IsMilestone]]),N(GanttView[[#This Row],[%]])&gt;0),GanttView[[#This Row],[Forecast Start]],0))</f>
        <v>0</v>
      </c>
      <c r="P128" s="124" t="n">
        <f aca="false">IF(GanttView[[#This Row],[_DoneFrom]]=0,0,IF(GanttView[[#This Row],[%]]&gt;=1,GanttView[[#This Row],[Forecast Finish]],MAX(GanttView[[#This Row],[_DoneFrom]],GanttView[[#This Row],[Forecast Start]]+ROUND((GanttView[[#This Row],[Forecast Finish]]-GanttView[[#This Row],[Forecast Start]]+1)*GanttView[[#This Row],[%]],0)-1)))</f>
        <v>0</v>
      </c>
      <c r="Q128" s="124" t="n">
        <f aca="false">IF(IFERROR(INDEX(tsk_Name,GanttView[[#This Row],[_Row]])="",TRUE()),0,IF(OR(INDEX(tsk_IsLeaf,GanttView[[#This Row],[_Row]])&lt;&gt;1,GanttView[[#This Row],[_IsMilestone]],N(GanttView[[#This Row],[%]])&gt;=1),0,IF(GanttView[[#This Row],[_DoneTo]]&gt;0,GanttView[[#This Row],[_DoneTo]]+1,GanttView[[#This Row],[Forecast Start]])))</f>
        <v>0</v>
      </c>
      <c r="R128" s="124" t="n">
        <f aca="false">IF(GanttView[[#This Row],[_RemFrom]]=0,0,GanttView[[#This Row],[Forecast Finish]])</f>
        <v>0</v>
      </c>
      <c r="S128" s="123" t="b">
        <f aca="false">IF(IFERROR(INDEX(tsk_Name,GanttView[[#This Row],[_Row]])="",TRUE()),FALSE(),N(INDEX(tsk_Variance,GanttView[[#This Row],[_Row]]))&gt;0)</f>
        <v>0</v>
      </c>
      <c r="T128" s="124" t="n">
        <f aca="false">IF(IFERROR(INDEX(tsk_Name,GanttView[[#This Row],[_Row]])="",TRUE()),0,N(INDEX(tsk_Deadline,GanttView[[#This Row],[_Row]])))</f>
        <v>0</v>
      </c>
      <c r="U128" s="123" t="b">
        <f aca="false">IF(IFERROR(INDEX(tsk_Name,GanttView[[#This Row],[_Row]])="",TRUE()),FALSE(),INDEX(tsk_Critical,GanttView[[#This Row],[_Row]])="Yes")</f>
        <v>0</v>
      </c>
    </row>
    <row r="129" customFormat="false" ht="15" hidden="false" customHeight="false" outlineLevel="0" collapsed="false">
      <c r="A129" s="117" t="str">
        <f aca="false">IF(IFERROR(INDEX(tsk_Name,GanttView[[#This Row],[_Row]])="",TRUE()),"",INDEX(tsk_ID,GanttView[[#This Row],[_Row]]))</f>
        <v/>
      </c>
      <c r="B129" s="117" t="str">
        <f aca="false">IF(IFERROR(INDEX(tsk_Name,GanttView[[#This Row],[_Row]])="",TRUE()),"",INDEX(tsk_WBS,GanttView[[#This Row],[_Row]]))</f>
        <v/>
      </c>
      <c r="C129" s="118" t="str">
        <f aca="false">IF(IFERROR(INDEX(tsk_Name,GanttView[[#This Row],[_Row]])="",TRUE()),"",REPT("    ",INDEX(tsk_Level,GanttView[[#This Row],[_Row]])-1)&amp;INDEX(tsk_Name,GanttView[[#This Row],[_Row]]))</f>
        <v/>
      </c>
      <c r="D129" s="117" t="str">
        <f aca="false">IF(IFERROR(INDEX(tsk_Name,GanttView[[#This Row],[_Row]])="",TRUE()),"",IF(INDEX(tsk_IsSummary,GanttView[[#This Row],[_Row]]),NETWORKDAYS.INTL(INDEX(tsk_FcStart,GanttView[[#This Row],[_Row]]),INDEX(tsk_FcFinish,GanttView[[#This Row],[_Row]]),WorkWeek,Holidays),N(INDEX(tsk_Duration,GanttView[[#This Row],[_Row]]))))</f>
        <v/>
      </c>
      <c r="E129" s="119" t="str">
        <f aca="false">IF(IFERROR(INDEX(tsk_Name,GanttView[[#This Row],[_Row]])="",TRUE()),"",INDEX(tsk_PlanStart,GanttView[[#This Row],[_Row]]))</f>
        <v/>
      </c>
      <c r="F129" s="119" t="str">
        <f aca="false">IF(IFERROR(INDEX(tsk_Name,GanttView[[#This Row],[_Row]])="",TRUE()),"",INDEX(tsk_PlanFinish,GanttView[[#This Row],[_Row]]))</f>
        <v/>
      </c>
      <c r="G129" s="119" t="str">
        <f aca="false">IF(IFERROR(INDEX(tsk_Name,GanttView[[#This Row],[_Row]])="",TRUE()),"",INDEX(tsk_FcStart,GanttView[[#This Row],[_Row]]))</f>
        <v/>
      </c>
      <c r="H129" s="119" t="str">
        <f aca="false">IF(IFERROR(INDEX(tsk_Name,GanttView[[#This Row],[_Row]])="",TRUE()),"",INDEX(tsk_FcFinish,GanttView[[#This Row],[_Row]]))</f>
        <v/>
      </c>
      <c r="I129" s="120" t="str">
        <f aca="false">IF(IFERROR(INDEX(tsk_Name,GanttView[[#This Row],[_Row]])="",TRUE()),"",INDEX(tsk_Progress,GanttView[[#This Row],[_Row]]))</f>
        <v/>
      </c>
      <c r="J129" s="118" t="str">
        <f aca="false">IF(IFERROR(INDEX(tsk_Name,GanttView[[#This Row],[_Row]])="",TRUE()),"",INDEX(tsk_Resource,GanttView[[#This Row],[_Row]])&amp;"")</f>
        <v/>
      </c>
      <c r="K129" s="121" t="str">
        <f aca="false">IF(IFERROR(INDEX(tsk_Name,GanttView[[#This Row],[_Row]])="",TRUE()),"",INDEX(tsk_Status,GanttView[[#This Row],[_Row]]))</f>
        <v/>
      </c>
      <c r="L129" s="122" t="n">
        <f aca="false">ROW()-ROW(GanttView[[#Headers],[ID]])</f>
        <v>124</v>
      </c>
      <c r="M129" s="123" t="b">
        <f aca="false">IF(IFERROR(INDEX(tsk_Name,GanttView[[#This Row],[_Row]])="",TRUE()),FALSE(),INDEX(tsk_IsSummary,GanttView[[#This Row],[_Row]]))</f>
        <v>0</v>
      </c>
      <c r="N129" s="123" t="b">
        <f aca="false">IF(IFERROR(INDEX(tsk_Name,GanttView[[#This Row],[_Row]])="",TRUE()),FALSE(),AND(INDEX(tsk_IsLeaf,GanttView[[#This Row],[_Row]])=1,N(INDEX(tsk_Duration,GanttView[[#This Row],[_Row]]))=0))</f>
        <v>0</v>
      </c>
      <c r="O129" s="124" t="n">
        <f aca="false">IF(IFERROR(INDEX(tsk_Name,GanttView[[#This Row],[_Row]])="",TRUE()),0,IF(AND(INDEX(tsk_IsLeaf,GanttView[[#This Row],[_Row]])=1,NOT(GanttView[[#This Row],[_IsMilestone]]),N(GanttView[[#This Row],[%]])&gt;0),GanttView[[#This Row],[Forecast Start]],0))</f>
        <v>0</v>
      </c>
      <c r="P129" s="124" t="n">
        <f aca="false">IF(GanttView[[#This Row],[_DoneFrom]]=0,0,IF(GanttView[[#This Row],[%]]&gt;=1,GanttView[[#This Row],[Forecast Finish]],MAX(GanttView[[#This Row],[_DoneFrom]],GanttView[[#This Row],[Forecast Start]]+ROUND((GanttView[[#This Row],[Forecast Finish]]-GanttView[[#This Row],[Forecast Start]]+1)*GanttView[[#This Row],[%]],0)-1)))</f>
        <v>0</v>
      </c>
      <c r="Q129" s="124" t="n">
        <f aca="false">IF(IFERROR(INDEX(tsk_Name,GanttView[[#This Row],[_Row]])="",TRUE()),0,IF(OR(INDEX(tsk_IsLeaf,GanttView[[#This Row],[_Row]])&lt;&gt;1,GanttView[[#This Row],[_IsMilestone]],N(GanttView[[#This Row],[%]])&gt;=1),0,IF(GanttView[[#This Row],[_DoneTo]]&gt;0,GanttView[[#This Row],[_DoneTo]]+1,GanttView[[#This Row],[Forecast Start]])))</f>
        <v>0</v>
      </c>
      <c r="R129" s="124" t="n">
        <f aca="false">IF(GanttView[[#This Row],[_RemFrom]]=0,0,GanttView[[#This Row],[Forecast Finish]])</f>
        <v>0</v>
      </c>
      <c r="S129" s="123" t="b">
        <f aca="false">IF(IFERROR(INDEX(tsk_Name,GanttView[[#This Row],[_Row]])="",TRUE()),FALSE(),N(INDEX(tsk_Variance,GanttView[[#This Row],[_Row]]))&gt;0)</f>
        <v>0</v>
      </c>
      <c r="T129" s="124" t="n">
        <f aca="false">IF(IFERROR(INDEX(tsk_Name,GanttView[[#This Row],[_Row]])="",TRUE()),0,N(INDEX(tsk_Deadline,GanttView[[#This Row],[_Row]])))</f>
        <v>0</v>
      </c>
      <c r="U129" s="123" t="b">
        <f aca="false">IF(IFERROR(INDEX(tsk_Name,GanttView[[#This Row],[_Row]])="",TRUE()),FALSE(),INDEX(tsk_Critical,GanttView[[#This Row],[_Row]])="Yes")</f>
        <v>0</v>
      </c>
    </row>
    <row r="130" customFormat="false" ht="15" hidden="false" customHeight="false" outlineLevel="0" collapsed="false">
      <c r="A130" s="117" t="str">
        <f aca="false">IF(IFERROR(INDEX(tsk_Name,GanttView[[#This Row],[_Row]])="",TRUE()),"",INDEX(tsk_ID,GanttView[[#This Row],[_Row]]))</f>
        <v/>
      </c>
      <c r="B130" s="117" t="str">
        <f aca="false">IF(IFERROR(INDEX(tsk_Name,GanttView[[#This Row],[_Row]])="",TRUE()),"",INDEX(tsk_WBS,GanttView[[#This Row],[_Row]]))</f>
        <v/>
      </c>
      <c r="C130" s="118" t="str">
        <f aca="false">IF(IFERROR(INDEX(tsk_Name,GanttView[[#This Row],[_Row]])="",TRUE()),"",REPT("    ",INDEX(tsk_Level,GanttView[[#This Row],[_Row]])-1)&amp;INDEX(tsk_Name,GanttView[[#This Row],[_Row]]))</f>
        <v/>
      </c>
      <c r="D130" s="117" t="str">
        <f aca="false">IF(IFERROR(INDEX(tsk_Name,GanttView[[#This Row],[_Row]])="",TRUE()),"",IF(INDEX(tsk_IsSummary,GanttView[[#This Row],[_Row]]),NETWORKDAYS.INTL(INDEX(tsk_FcStart,GanttView[[#This Row],[_Row]]),INDEX(tsk_FcFinish,GanttView[[#This Row],[_Row]]),WorkWeek,Holidays),N(INDEX(tsk_Duration,GanttView[[#This Row],[_Row]]))))</f>
        <v/>
      </c>
      <c r="E130" s="119" t="str">
        <f aca="false">IF(IFERROR(INDEX(tsk_Name,GanttView[[#This Row],[_Row]])="",TRUE()),"",INDEX(tsk_PlanStart,GanttView[[#This Row],[_Row]]))</f>
        <v/>
      </c>
      <c r="F130" s="119" t="str">
        <f aca="false">IF(IFERROR(INDEX(tsk_Name,GanttView[[#This Row],[_Row]])="",TRUE()),"",INDEX(tsk_PlanFinish,GanttView[[#This Row],[_Row]]))</f>
        <v/>
      </c>
      <c r="G130" s="119" t="str">
        <f aca="false">IF(IFERROR(INDEX(tsk_Name,GanttView[[#This Row],[_Row]])="",TRUE()),"",INDEX(tsk_FcStart,GanttView[[#This Row],[_Row]]))</f>
        <v/>
      </c>
      <c r="H130" s="119" t="str">
        <f aca="false">IF(IFERROR(INDEX(tsk_Name,GanttView[[#This Row],[_Row]])="",TRUE()),"",INDEX(tsk_FcFinish,GanttView[[#This Row],[_Row]]))</f>
        <v/>
      </c>
      <c r="I130" s="120" t="str">
        <f aca="false">IF(IFERROR(INDEX(tsk_Name,GanttView[[#This Row],[_Row]])="",TRUE()),"",INDEX(tsk_Progress,GanttView[[#This Row],[_Row]]))</f>
        <v/>
      </c>
      <c r="J130" s="118" t="str">
        <f aca="false">IF(IFERROR(INDEX(tsk_Name,GanttView[[#This Row],[_Row]])="",TRUE()),"",INDEX(tsk_Resource,GanttView[[#This Row],[_Row]])&amp;"")</f>
        <v/>
      </c>
      <c r="K130" s="121" t="str">
        <f aca="false">IF(IFERROR(INDEX(tsk_Name,GanttView[[#This Row],[_Row]])="",TRUE()),"",INDEX(tsk_Status,GanttView[[#This Row],[_Row]]))</f>
        <v/>
      </c>
      <c r="L130" s="122" t="n">
        <f aca="false">ROW()-ROW(GanttView[[#Headers],[ID]])</f>
        <v>125</v>
      </c>
      <c r="M130" s="123" t="b">
        <f aca="false">IF(IFERROR(INDEX(tsk_Name,GanttView[[#This Row],[_Row]])="",TRUE()),FALSE(),INDEX(tsk_IsSummary,GanttView[[#This Row],[_Row]]))</f>
        <v>0</v>
      </c>
      <c r="N130" s="123" t="b">
        <f aca="false">IF(IFERROR(INDEX(tsk_Name,GanttView[[#This Row],[_Row]])="",TRUE()),FALSE(),AND(INDEX(tsk_IsLeaf,GanttView[[#This Row],[_Row]])=1,N(INDEX(tsk_Duration,GanttView[[#This Row],[_Row]]))=0))</f>
        <v>0</v>
      </c>
      <c r="O130" s="124" t="n">
        <f aca="false">IF(IFERROR(INDEX(tsk_Name,GanttView[[#This Row],[_Row]])="",TRUE()),0,IF(AND(INDEX(tsk_IsLeaf,GanttView[[#This Row],[_Row]])=1,NOT(GanttView[[#This Row],[_IsMilestone]]),N(GanttView[[#This Row],[%]])&gt;0),GanttView[[#This Row],[Forecast Start]],0))</f>
        <v>0</v>
      </c>
      <c r="P130" s="124" t="n">
        <f aca="false">IF(GanttView[[#This Row],[_DoneFrom]]=0,0,IF(GanttView[[#This Row],[%]]&gt;=1,GanttView[[#This Row],[Forecast Finish]],MAX(GanttView[[#This Row],[_DoneFrom]],GanttView[[#This Row],[Forecast Start]]+ROUND((GanttView[[#This Row],[Forecast Finish]]-GanttView[[#This Row],[Forecast Start]]+1)*GanttView[[#This Row],[%]],0)-1)))</f>
        <v>0</v>
      </c>
      <c r="Q130" s="124" t="n">
        <f aca="false">IF(IFERROR(INDEX(tsk_Name,GanttView[[#This Row],[_Row]])="",TRUE()),0,IF(OR(INDEX(tsk_IsLeaf,GanttView[[#This Row],[_Row]])&lt;&gt;1,GanttView[[#This Row],[_IsMilestone]],N(GanttView[[#This Row],[%]])&gt;=1),0,IF(GanttView[[#This Row],[_DoneTo]]&gt;0,GanttView[[#This Row],[_DoneTo]]+1,GanttView[[#This Row],[Forecast Start]])))</f>
        <v>0</v>
      </c>
      <c r="R130" s="124" t="n">
        <f aca="false">IF(GanttView[[#This Row],[_RemFrom]]=0,0,GanttView[[#This Row],[Forecast Finish]])</f>
        <v>0</v>
      </c>
      <c r="S130" s="123" t="b">
        <f aca="false">IF(IFERROR(INDEX(tsk_Name,GanttView[[#This Row],[_Row]])="",TRUE()),FALSE(),N(INDEX(tsk_Variance,GanttView[[#This Row],[_Row]]))&gt;0)</f>
        <v>0</v>
      </c>
      <c r="T130" s="124" t="n">
        <f aca="false">IF(IFERROR(INDEX(tsk_Name,GanttView[[#This Row],[_Row]])="",TRUE()),0,N(INDEX(tsk_Deadline,GanttView[[#This Row],[_Row]])))</f>
        <v>0</v>
      </c>
      <c r="U130" s="123" t="b">
        <f aca="false">IF(IFERROR(INDEX(tsk_Name,GanttView[[#This Row],[_Row]])="",TRUE()),FALSE(),INDEX(tsk_Critical,GanttView[[#This Row],[_Row]])="Yes")</f>
        <v>0</v>
      </c>
    </row>
    <row r="131" customFormat="false" ht="15" hidden="false" customHeight="false" outlineLevel="0" collapsed="false">
      <c r="A131" s="117" t="str">
        <f aca="false">IF(IFERROR(INDEX(tsk_Name,GanttView[[#This Row],[_Row]])="",TRUE()),"",INDEX(tsk_ID,GanttView[[#This Row],[_Row]]))</f>
        <v/>
      </c>
      <c r="B131" s="117" t="str">
        <f aca="false">IF(IFERROR(INDEX(tsk_Name,GanttView[[#This Row],[_Row]])="",TRUE()),"",INDEX(tsk_WBS,GanttView[[#This Row],[_Row]]))</f>
        <v/>
      </c>
      <c r="C131" s="118" t="str">
        <f aca="false">IF(IFERROR(INDEX(tsk_Name,GanttView[[#This Row],[_Row]])="",TRUE()),"",REPT("    ",INDEX(tsk_Level,GanttView[[#This Row],[_Row]])-1)&amp;INDEX(tsk_Name,GanttView[[#This Row],[_Row]]))</f>
        <v/>
      </c>
      <c r="D131" s="117" t="str">
        <f aca="false">IF(IFERROR(INDEX(tsk_Name,GanttView[[#This Row],[_Row]])="",TRUE()),"",IF(INDEX(tsk_IsSummary,GanttView[[#This Row],[_Row]]),NETWORKDAYS.INTL(INDEX(tsk_FcStart,GanttView[[#This Row],[_Row]]),INDEX(tsk_FcFinish,GanttView[[#This Row],[_Row]]),WorkWeek,Holidays),N(INDEX(tsk_Duration,GanttView[[#This Row],[_Row]]))))</f>
        <v/>
      </c>
      <c r="E131" s="119" t="str">
        <f aca="false">IF(IFERROR(INDEX(tsk_Name,GanttView[[#This Row],[_Row]])="",TRUE()),"",INDEX(tsk_PlanStart,GanttView[[#This Row],[_Row]]))</f>
        <v/>
      </c>
      <c r="F131" s="119" t="str">
        <f aca="false">IF(IFERROR(INDEX(tsk_Name,GanttView[[#This Row],[_Row]])="",TRUE()),"",INDEX(tsk_PlanFinish,GanttView[[#This Row],[_Row]]))</f>
        <v/>
      </c>
      <c r="G131" s="119" t="str">
        <f aca="false">IF(IFERROR(INDEX(tsk_Name,GanttView[[#This Row],[_Row]])="",TRUE()),"",INDEX(tsk_FcStart,GanttView[[#This Row],[_Row]]))</f>
        <v/>
      </c>
      <c r="H131" s="119" t="str">
        <f aca="false">IF(IFERROR(INDEX(tsk_Name,GanttView[[#This Row],[_Row]])="",TRUE()),"",INDEX(tsk_FcFinish,GanttView[[#This Row],[_Row]]))</f>
        <v/>
      </c>
      <c r="I131" s="120" t="str">
        <f aca="false">IF(IFERROR(INDEX(tsk_Name,GanttView[[#This Row],[_Row]])="",TRUE()),"",INDEX(tsk_Progress,GanttView[[#This Row],[_Row]]))</f>
        <v/>
      </c>
      <c r="J131" s="118" t="str">
        <f aca="false">IF(IFERROR(INDEX(tsk_Name,GanttView[[#This Row],[_Row]])="",TRUE()),"",INDEX(tsk_Resource,GanttView[[#This Row],[_Row]])&amp;"")</f>
        <v/>
      </c>
      <c r="K131" s="121" t="str">
        <f aca="false">IF(IFERROR(INDEX(tsk_Name,GanttView[[#This Row],[_Row]])="",TRUE()),"",INDEX(tsk_Status,GanttView[[#This Row],[_Row]]))</f>
        <v/>
      </c>
      <c r="L131" s="122" t="n">
        <f aca="false">ROW()-ROW(GanttView[[#Headers],[ID]])</f>
        <v>126</v>
      </c>
      <c r="M131" s="123" t="b">
        <f aca="false">IF(IFERROR(INDEX(tsk_Name,GanttView[[#This Row],[_Row]])="",TRUE()),FALSE(),INDEX(tsk_IsSummary,GanttView[[#This Row],[_Row]]))</f>
        <v>0</v>
      </c>
      <c r="N131" s="123" t="b">
        <f aca="false">IF(IFERROR(INDEX(tsk_Name,GanttView[[#This Row],[_Row]])="",TRUE()),FALSE(),AND(INDEX(tsk_IsLeaf,GanttView[[#This Row],[_Row]])=1,N(INDEX(tsk_Duration,GanttView[[#This Row],[_Row]]))=0))</f>
        <v>0</v>
      </c>
      <c r="O131" s="124" t="n">
        <f aca="false">IF(IFERROR(INDEX(tsk_Name,GanttView[[#This Row],[_Row]])="",TRUE()),0,IF(AND(INDEX(tsk_IsLeaf,GanttView[[#This Row],[_Row]])=1,NOT(GanttView[[#This Row],[_IsMilestone]]),N(GanttView[[#This Row],[%]])&gt;0),GanttView[[#This Row],[Forecast Start]],0))</f>
        <v>0</v>
      </c>
      <c r="P131" s="124" t="n">
        <f aca="false">IF(GanttView[[#This Row],[_DoneFrom]]=0,0,IF(GanttView[[#This Row],[%]]&gt;=1,GanttView[[#This Row],[Forecast Finish]],MAX(GanttView[[#This Row],[_DoneFrom]],GanttView[[#This Row],[Forecast Start]]+ROUND((GanttView[[#This Row],[Forecast Finish]]-GanttView[[#This Row],[Forecast Start]]+1)*GanttView[[#This Row],[%]],0)-1)))</f>
        <v>0</v>
      </c>
      <c r="Q131" s="124" t="n">
        <f aca="false">IF(IFERROR(INDEX(tsk_Name,GanttView[[#This Row],[_Row]])="",TRUE()),0,IF(OR(INDEX(tsk_IsLeaf,GanttView[[#This Row],[_Row]])&lt;&gt;1,GanttView[[#This Row],[_IsMilestone]],N(GanttView[[#This Row],[%]])&gt;=1),0,IF(GanttView[[#This Row],[_DoneTo]]&gt;0,GanttView[[#This Row],[_DoneTo]]+1,GanttView[[#This Row],[Forecast Start]])))</f>
        <v>0</v>
      </c>
      <c r="R131" s="124" t="n">
        <f aca="false">IF(GanttView[[#This Row],[_RemFrom]]=0,0,GanttView[[#This Row],[Forecast Finish]])</f>
        <v>0</v>
      </c>
      <c r="S131" s="123" t="b">
        <f aca="false">IF(IFERROR(INDEX(tsk_Name,GanttView[[#This Row],[_Row]])="",TRUE()),FALSE(),N(INDEX(tsk_Variance,GanttView[[#This Row],[_Row]]))&gt;0)</f>
        <v>0</v>
      </c>
      <c r="T131" s="124" t="n">
        <f aca="false">IF(IFERROR(INDEX(tsk_Name,GanttView[[#This Row],[_Row]])="",TRUE()),0,N(INDEX(tsk_Deadline,GanttView[[#This Row],[_Row]])))</f>
        <v>0</v>
      </c>
      <c r="U131" s="123" t="b">
        <f aca="false">IF(IFERROR(INDEX(tsk_Name,GanttView[[#This Row],[_Row]])="",TRUE()),FALSE(),INDEX(tsk_Critical,GanttView[[#This Row],[_Row]])="Yes")</f>
        <v>0</v>
      </c>
    </row>
    <row r="132" customFormat="false" ht="15" hidden="false" customHeight="false" outlineLevel="0" collapsed="false">
      <c r="A132" s="117" t="str">
        <f aca="false">IF(IFERROR(INDEX(tsk_Name,GanttView[[#This Row],[_Row]])="",TRUE()),"",INDEX(tsk_ID,GanttView[[#This Row],[_Row]]))</f>
        <v/>
      </c>
      <c r="B132" s="117" t="str">
        <f aca="false">IF(IFERROR(INDEX(tsk_Name,GanttView[[#This Row],[_Row]])="",TRUE()),"",INDEX(tsk_WBS,GanttView[[#This Row],[_Row]]))</f>
        <v/>
      </c>
      <c r="C132" s="118" t="str">
        <f aca="false">IF(IFERROR(INDEX(tsk_Name,GanttView[[#This Row],[_Row]])="",TRUE()),"",REPT("    ",INDEX(tsk_Level,GanttView[[#This Row],[_Row]])-1)&amp;INDEX(tsk_Name,GanttView[[#This Row],[_Row]]))</f>
        <v/>
      </c>
      <c r="D132" s="117" t="str">
        <f aca="false">IF(IFERROR(INDEX(tsk_Name,GanttView[[#This Row],[_Row]])="",TRUE()),"",IF(INDEX(tsk_IsSummary,GanttView[[#This Row],[_Row]]),NETWORKDAYS.INTL(INDEX(tsk_FcStart,GanttView[[#This Row],[_Row]]),INDEX(tsk_FcFinish,GanttView[[#This Row],[_Row]]),WorkWeek,Holidays),N(INDEX(tsk_Duration,GanttView[[#This Row],[_Row]]))))</f>
        <v/>
      </c>
      <c r="E132" s="119" t="str">
        <f aca="false">IF(IFERROR(INDEX(tsk_Name,GanttView[[#This Row],[_Row]])="",TRUE()),"",INDEX(tsk_PlanStart,GanttView[[#This Row],[_Row]]))</f>
        <v/>
      </c>
      <c r="F132" s="119" t="str">
        <f aca="false">IF(IFERROR(INDEX(tsk_Name,GanttView[[#This Row],[_Row]])="",TRUE()),"",INDEX(tsk_PlanFinish,GanttView[[#This Row],[_Row]]))</f>
        <v/>
      </c>
      <c r="G132" s="119" t="str">
        <f aca="false">IF(IFERROR(INDEX(tsk_Name,GanttView[[#This Row],[_Row]])="",TRUE()),"",INDEX(tsk_FcStart,GanttView[[#This Row],[_Row]]))</f>
        <v/>
      </c>
      <c r="H132" s="119" t="str">
        <f aca="false">IF(IFERROR(INDEX(tsk_Name,GanttView[[#This Row],[_Row]])="",TRUE()),"",INDEX(tsk_FcFinish,GanttView[[#This Row],[_Row]]))</f>
        <v/>
      </c>
      <c r="I132" s="120" t="str">
        <f aca="false">IF(IFERROR(INDEX(tsk_Name,GanttView[[#This Row],[_Row]])="",TRUE()),"",INDEX(tsk_Progress,GanttView[[#This Row],[_Row]]))</f>
        <v/>
      </c>
      <c r="J132" s="118" t="str">
        <f aca="false">IF(IFERROR(INDEX(tsk_Name,GanttView[[#This Row],[_Row]])="",TRUE()),"",INDEX(tsk_Resource,GanttView[[#This Row],[_Row]])&amp;"")</f>
        <v/>
      </c>
      <c r="K132" s="121" t="str">
        <f aca="false">IF(IFERROR(INDEX(tsk_Name,GanttView[[#This Row],[_Row]])="",TRUE()),"",INDEX(tsk_Status,GanttView[[#This Row],[_Row]]))</f>
        <v/>
      </c>
      <c r="L132" s="122" t="n">
        <f aca="false">ROW()-ROW(GanttView[[#Headers],[ID]])</f>
        <v>127</v>
      </c>
      <c r="M132" s="123" t="b">
        <f aca="false">IF(IFERROR(INDEX(tsk_Name,GanttView[[#This Row],[_Row]])="",TRUE()),FALSE(),INDEX(tsk_IsSummary,GanttView[[#This Row],[_Row]]))</f>
        <v>0</v>
      </c>
      <c r="N132" s="123" t="b">
        <f aca="false">IF(IFERROR(INDEX(tsk_Name,GanttView[[#This Row],[_Row]])="",TRUE()),FALSE(),AND(INDEX(tsk_IsLeaf,GanttView[[#This Row],[_Row]])=1,N(INDEX(tsk_Duration,GanttView[[#This Row],[_Row]]))=0))</f>
        <v>0</v>
      </c>
      <c r="O132" s="124" t="n">
        <f aca="false">IF(IFERROR(INDEX(tsk_Name,GanttView[[#This Row],[_Row]])="",TRUE()),0,IF(AND(INDEX(tsk_IsLeaf,GanttView[[#This Row],[_Row]])=1,NOT(GanttView[[#This Row],[_IsMilestone]]),N(GanttView[[#This Row],[%]])&gt;0),GanttView[[#This Row],[Forecast Start]],0))</f>
        <v>0</v>
      </c>
      <c r="P132" s="124" t="n">
        <f aca="false">IF(GanttView[[#This Row],[_DoneFrom]]=0,0,IF(GanttView[[#This Row],[%]]&gt;=1,GanttView[[#This Row],[Forecast Finish]],MAX(GanttView[[#This Row],[_DoneFrom]],GanttView[[#This Row],[Forecast Start]]+ROUND((GanttView[[#This Row],[Forecast Finish]]-GanttView[[#This Row],[Forecast Start]]+1)*GanttView[[#This Row],[%]],0)-1)))</f>
        <v>0</v>
      </c>
      <c r="Q132" s="124" t="n">
        <f aca="false">IF(IFERROR(INDEX(tsk_Name,GanttView[[#This Row],[_Row]])="",TRUE()),0,IF(OR(INDEX(tsk_IsLeaf,GanttView[[#This Row],[_Row]])&lt;&gt;1,GanttView[[#This Row],[_IsMilestone]],N(GanttView[[#This Row],[%]])&gt;=1),0,IF(GanttView[[#This Row],[_DoneTo]]&gt;0,GanttView[[#This Row],[_DoneTo]]+1,GanttView[[#This Row],[Forecast Start]])))</f>
        <v>0</v>
      </c>
      <c r="R132" s="124" t="n">
        <f aca="false">IF(GanttView[[#This Row],[_RemFrom]]=0,0,GanttView[[#This Row],[Forecast Finish]])</f>
        <v>0</v>
      </c>
      <c r="S132" s="123" t="b">
        <f aca="false">IF(IFERROR(INDEX(tsk_Name,GanttView[[#This Row],[_Row]])="",TRUE()),FALSE(),N(INDEX(tsk_Variance,GanttView[[#This Row],[_Row]]))&gt;0)</f>
        <v>0</v>
      </c>
      <c r="T132" s="124" t="n">
        <f aca="false">IF(IFERROR(INDEX(tsk_Name,GanttView[[#This Row],[_Row]])="",TRUE()),0,N(INDEX(tsk_Deadline,GanttView[[#This Row],[_Row]])))</f>
        <v>0</v>
      </c>
      <c r="U132" s="123" t="b">
        <f aca="false">IF(IFERROR(INDEX(tsk_Name,GanttView[[#This Row],[_Row]])="",TRUE()),FALSE(),INDEX(tsk_Critical,GanttView[[#This Row],[_Row]])="Yes")</f>
        <v>0</v>
      </c>
    </row>
    <row r="133" customFormat="false" ht="15" hidden="false" customHeight="false" outlineLevel="0" collapsed="false">
      <c r="A133" s="117" t="str">
        <f aca="false">IF(IFERROR(INDEX(tsk_Name,GanttView[[#This Row],[_Row]])="",TRUE()),"",INDEX(tsk_ID,GanttView[[#This Row],[_Row]]))</f>
        <v/>
      </c>
      <c r="B133" s="117" t="str">
        <f aca="false">IF(IFERROR(INDEX(tsk_Name,GanttView[[#This Row],[_Row]])="",TRUE()),"",INDEX(tsk_WBS,GanttView[[#This Row],[_Row]]))</f>
        <v/>
      </c>
      <c r="C133" s="118" t="str">
        <f aca="false">IF(IFERROR(INDEX(tsk_Name,GanttView[[#This Row],[_Row]])="",TRUE()),"",REPT("    ",INDEX(tsk_Level,GanttView[[#This Row],[_Row]])-1)&amp;INDEX(tsk_Name,GanttView[[#This Row],[_Row]]))</f>
        <v/>
      </c>
      <c r="D133" s="117" t="str">
        <f aca="false">IF(IFERROR(INDEX(tsk_Name,GanttView[[#This Row],[_Row]])="",TRUE()),"",IF(INDEX(tsk_IsSummary,GanttView[[#This Row],[_Row]]),NETWORKDAYS.INTL(INDEX(tsk_FcStart,GanttView[[#This Row],[_Row]]),INDEX(tsk_FcFinish,GanttView[[#This Row],[_Row]]),WorkWeek,Holidays),N(INDEX(tsk_Duration,GanttView[[#This Row],[_Row]]))))</f>
        <v/>
      </c>
      <c r="E133" s="119" t="str">
        <f aca="false">IF(IFERROR(INDEX(tsk_Name,GanttView[[#This Row],[_Row]])="",TRUE()),"",INDEX(tsk_PlanStart,GanttView[[#This Row],[_Row]]))</f>
        <v/>
      </c>
      <c r="F133" s="119" t="str">
        <f aca="false">IF(IFERROR(INDEX(tsk_Name,GanttView[[#This Row],[_Row]])="",TRUE()),"",INDEX(tsk_PlanFinish,GanttView[[#This Row],[_Row]]))</f>
        <v/>
      </c>
      <c r="G133" s="119" t="str">
        <f aca="false">IF(IFERROR(INDEX(tsk_Name,GanttView[[#This Row],[_Row]])="",TRUE()),"",INDEX(tsk_FcStart,GanttView[[#This Row],[_Row]]))</f>
        <v/>
      </c>
      <c r="H133" s="119" t="str">
        <f aca="false">IF(IFERROR(INDEX(tsk_Name,GanttView[[#This Row],[_Row]])="",TRUE()),"",INDEX(tsk_FcFinish,GanttView[[#This Row],[_Row]]))</f>
        <v/>
      </c>
      <c r="I133" s="120" t="str">
        <f aca="false">IF(IFERROR(INDEX(tsk_Name,GanttView[[#This Row],[_Row]])="",TRUE()),"",INDEX(tsk_Progress,GanttView[[#This Row],[_Row]]))</f>
        <v/>
      </c>
      <c r="J133" s="118" t="str">
        <f aca="false">IF(IFERROR(INDEX(tsk_Name,GanttView[[#This Row],[_Row]])="",TRUE()),"",INDEX(tsk_Resource,GanttView[[#This Row],[_Row]])&amp;"")</f>
        <v/>
      </c>
      <c r="K133" s="121" t="str">
        <f aca="false">IF(IFERROR(INDEX(tsk_Name,GanttView[[#This Row],[_Row]])="",TRUE()),"",INDEX(tsk_Status,GanttView[[#This Row],[_Row]]))</f>
        <v/>
      </c>
      <c r="L133" s="122" t="n">
        <f aca="false">ROW()-ROW(GanttView[[#Headers],[ID]])</f>
        <v>128</v>
      </c>
      <c r="M133" s="123" t="b">
        <f aca="false">IF(IFERROR(INDEX(tsk_Name,GanttView[[#This Row],[_Row]])="",TRUE()),FALSE(),INDEX(tsk_IsSummary,GanttView[[#This Row],[_Row]]))</f>
        <v>0</v>
      </c>
      <c r="N133" s="123" t="b">
        <f aca="false">IF(IFERROR(INDEX(tsk_Name,GanttView[[#This Row],[_Row]])="",TRUE()),FALSE(),AND(INDEX(tsk_IsLeaf,GanttView[[#This Row],[_Row]])=1,N(INDEX(tsk_Duration,GanttView[[#This Row],[_Row]]))=0))</f>
        <v>0</v>
      </c>
      <c r="O133" s="124" t="n">
        <f aca="false">IF(IFERROR(INDEX(tsk_Name,GanttView[[#This Row],[_Row]])="",TRUE()),0,IF(AND(INDEX(tsk_IsLeaf,GanttView[[#This Row],[_Row]])=1,NOT(GanttView[[#This Row],[_IsMilestone]]),N(GanttView[[#This Row],[%]])&gt;0),GanttView[[#This Row],[Forecast Start]],0))</f>
        <v>0</v>
      </c>
      <c r="P133" s="124" t="n">
        <f aca="false">IF(GanttView[[#This Row],[_DoneFrom]]=0,0,IF(GanttView[[#This Row],[%]]&gt;=1,GanttView[[#This Row],[Forecast Finish]],MAX(GanttView[[#This Row],[_DoneFrom]],GanttView[[#This Row],[Forecast Start]]+ROUND((GanttView[[#This Row],[Forecast Finish]]-GanttView[[#This Row],[Forecast Start]]+1)*GanttView[[#This Row],[%]],0)-1)))</f>
        <v>0</v>
      </c>
      <c r="Q133" s="124" t="n">
        <f aca="false">IF(IFERROR(INDEX(tsk_Name,GanttView[[#This Row],[_Row]])="",TRUE()),0,IF(OR(INDEX(tsk_IsLeaf,GanttView[[#This Row],[_Row]])&lt;&gt;1,GanttView[[#This Row],[_IsMilestone]],N(GanttView[[#This Row],[%]])&gt;=1),0,IF(GanttView[[#This Row],[_DoneTo]]&gt;0,GanttView[[#This Row],[_DoneTo]]+1,GanttView[[#This Row],[Forecast Start]])))</f>
        <v>0</v>
      </c>
      <c r="R133" s="124" t="n">
        <f aca="false">IF(GanttView[[#This Row],[_RemFrom]]=0,0,GanttView[[#This Row],[Forecast Finish]])</f>
        <v>0</v>
      </c>
      <c r="S133" s="123" t="b">
        <f aca="false">IF(IFERROR(INDEX(tsk_Name,GanttView[[#This Row],[_Row]])="",TRUE()),FALSE(),N(INDEX(tsk_Variance,GanttView[[#This Row],[_Row]]))&gt;0)</f>
        <v>0</v>
      </c>
      <c r="T133" s="124" t="n">
        <f aca="false">IF(IFERROR(INDEX(tsk_Name,GanttView[[#This Row],[_Row]])="",TRUE()),0,N(INDEX(tsk_Deadline,GanttView[[#This Row],[_Row]])))</f>
        <v>0</v>
      </c>
      <c r="U133" s="123" t="b">
        <f aca="false">IF(IFERROR(INDEX(tsk_Name,GanttView[[#This Row],[_Row]])="",TRUE()),FALSE(),INDEX(tsk_Critical,GanttView[[#This Row],[_Row]])="Yes")</f>
        <v>0</v>
      </c>
    </row>
    <row r="134" customFormat="false" ht="15" hidden="false" customHeight="false" outlineLevel="0" collapsed="false">
      <c r="A134" s="117" t="str">
        <f aca="false">IF(IFERROR(INDEX(tsk_Name,GanttView[[#This Row],[_Row]])="",TRUE()),"",INDEX(tsk_ID,GanttView[[#This Row],[_Row]]))</f>
        <v/>
      </c>
      <c r="B134" s="117" t="str">
        <f aca="false">IF(IFERROR(INDEX(tsk_Name,GanttView[[#This Row],[_Row]])="",TRUE()),"",INDEX(tsk_WBS,GanttView[[#This Row],[_Row]]))</f>
        <v/>
      </c>
      <c r="C134" s="118" t="str">
        <f aca="false">IF(IFERROR(INDEX(tsk_Name,GanttView[[#This Row],[_Row]])="",TRUE()),"",REPT("    ",INDEX(tsk_Level,GanttView[[#This Row],[_Row]])-1)&amp;INDEX(tsk_Name,GanttView[[#This Row],[_Row]]))</f>
        <v/>
      </c>
      <c r="D134" s="117" t="str">
        <f aca="false">IF(IFERROR(INDEX(tsk_Name,GanttView[[#This Row],[_Row]])="",TRUE()),"",IF(INDEX(tsk_IsSummary,GanttView[[#This Row],[_Row]]),NETWORKDAYS.INTL(INDEX(tsk_FcStart,GanttView[[#This Row],[_Row]]),INDEX(tsk_FcFinish,GanttView[[#This Row],[_Row]]),WorkWeek,Holidays),N(INDEX(tsk_Duration,GanttView[[#This Row],[_Row]]))))</f>
        <v/>
      </c>
      <c r="E134" s="119" t="str">
        <f aca="false">IF(IFERROR(INDEX(tsk_Name,GanttView[[#This Row],[_Row]])="",TRUE()),"",INDEX(tsk_PlanStart,GanttView[[#This Row],[_Row]]))</f>
        <v/>
      </c>
      <c r="F134" s="119" t="str">
        <f aca="false">IF(IFERROR(INDEX(tsk_Name,GanttView[[#This Row],[_Row]])="",TRUE()),"",INDEX(tsk_PlanFinish,GanttView[[#This Row],[_Row]]))</f>
        <v/>
      </c>
      <c r="G134" s="119" t="str">
        <f aca="false">IF(IFERROR(INDEX(tsk_Name,GanttView[[#This Row],[_Row]])="",TRUE()),"",INDEX(tsk_FcStart,GanttView[[#This Row],[_Row]]))</f>
        <v/>
      </c>
      <c r="H134" s="119" t="str">
        <f aca="false">IF(IFERROR(INDEX(tsk_Name,GanttView[[#This Row],[_Row]])="",TRUE()),"",INDEX(tsk_FcFinish,GanttView[[#This Row],[_Row]]))</f>
        <v/>
      </c>
      <c r="I134" s="120" t="str">
        <f aca="false">IF(IFERROR(INDEX(tsk_Name,GanttView[[#This Row],[_Row]])="",TRUE()),"",INDEX(tsk_Progress,GanttView[[#This Row],[_Row]]))</f>
        <v/>
      </c>
      <c r="J134" s="118" t="str">
        <f aca="false">IF(IFERROR(INDEX(tsk_Name,GanttView[[#This Row],[_Row]])="",TRUE()),"",INDEX(tsk_Resource,GanttView[[#This Row],[_Row]])&amp;"")</f>
        <v/>
      </c>
      <c r="K134" s="121" t="str">
        <f aca="false">IF(IFERROR(INDEX(tsk_Name,GanttView[[#This Row],[_Row]])="",TRUE()),"",INDEX(tsk_Status,GanttView[[#This Row],[_Row]]))</f>
        <v/>
      </c>
      <c r="L134" s="122" t="n">
        <f aca="false">ROW()-ROW(GanttView[[#Headers],[ID]])</f>
        <v>129</v>
      </c>
      <c r="M134" s="123" t="b">
        <f aca="false">IF(IFERROR(INDEX(tsk_Name,GanttView[[#This Row],[_Row]])="",TRUE()),FALSE(),INDEX(tsk_IsSummary,GanttView[[#This Row],[_Row]]))</f>
        <v>0</v>
      </c>
      <c r="N134" s="123" t="b">
        <f aca="false">IF(IFERROR(INDEX(tsk_Name,GanttView[[#This Row],[_Row]])="",TRUE()),FALSE(),AND(INDEX(tsk_IsLeaf,GanttView[[#This Row],[_Row]])=1,N(INDEX(tsk_Duration,GanttView[[#This Row],[_Row]]))=0))</f>
        <v>0</v>
      </c>
      <c r="O134" s="124" t="n">
        <f aca="false">IF(IFERROR(INDEX(tsk_Name,GanttView[[#This Row],[_Row]])="",TRUE()),0,IF(AND(INDEX(tsk_IsLeaf,GanttView[[#This Row],[_Row]])=1,NOT(GanttView[[#This Row],[_IsMilestone]]),N(GanttView[[#This Row],[%]])&gt;0),GanttView[[#This Row],[Forecast Start]],0))</f>
        <v>0</v>
      </c>
      <c r="P134" s="124" t="n">
        <f aca="false">IF(GanttView[[#This Row],[_DoneFrom]]=0,0,IF(GanttView[[#This Row],[%]]&gt;=1,GanttView[[#This Row],[Forecast Finish]],MAX(GanttView[[#This Row],[_DoneFrom]],GanttView[[#This Row],[Forecast Start]]+ROUND((GanttView[[#This Row],[Forecast Finish]]-GanttView[[#This Row],[Forecast Start]]+1)*GanttView[[#This Row],[%]],0)-1)))</f>
        <v>0</v>
      </c>
      <c r="Q134" s="124" t="n">
        <f aca="false">IF(IFERROR(INDEX(tsk_Name,GanttView[[#This Row],[_Row]])="",TRUE()),0,IF(OR(INDEX(tsk_IsLeaf,GanttView[[#This Row],[_Row]])&lt;&gt;1,GanttView[[#This Row],[_IsMilestone]],N(GanttView[[#This Row],[%]])&gt;=1),0,IF(GanttView[[#This Row],[_DoneTo]]&gt;0,GanttView[[#This Row],[_DoneTo]]+1,GanttView[[#This Row],[Forecast Start]])))</f>
        <v>0</v>
      </c>
      <c r="R134" s="124" t="n">
        <f aca="false">IF(GanttView[[#This Row],[_RemFrom]]=0,0,GanttView[[#This Row],[Forecast Finish]])</f>
        <v>0</v>
      </c>
      <c r="S134" s="123" t="b">
        <f aca="false">IF(IFERROR(INDEX(tsk_Name,GanttView[[#This Row],[_Row]])="",TRUE()),FALSE(),N(INDEX(tsk_Variance,GanttView[[#This Row],[_Row]]))&gt;0)</f>
        <v>0</v>
      </c>
      <c r="T134" s="124" t="n">
        <f aca="false">IF(IFERROR(INDEX(tsk_Name,GanttView[[#This Row],[_Row]])="",TRUE()),0,N(INDEX(tsk_Deadline,GanttView[[#This Row],[_Row]])))</f>
        <v>0</v>
      </c>
      <c r="U134" s="123" t="b">
        <f aca="false">IF(IFERROR(INDEX(tsk_Name,GanttView[[#This Row],[_Row]])="",TRUE()),FALSE(),INDEX(tsk_Critical,GanttView[[#This Row],[_Row]])="Yes")</f>
        <v>0</v>
      </c>
    </row>
    <row r="135" customFormat="false" ht="15" hidden="false" customHeight="false" outlineLevel="0" collapsed="false">
      <c r="A135" s="117" t="str">
        <f aca="false">IF(IFERROR(INDEX(tsk_Name,GanttView[[#This Row],[_Row]])="",TRUE()),"",INDEX(tsk_ID,GanttView[[#This Row],[_Row]]))</f>
        <v/>
      </c>
      <c r="B135" s="117" t="str">
        <f aca="false">IF(IFERROR(INDEX(tsk_Name,GanttView[[#This Row],[_Row]])="",TRUE()),"",INDEX(tsk_WBS,GanttView[[#This Row],[_Row]]))</f>
        <v/>
      </c>
      <c r="C135" s="118" t="str">
        <f aca="false">IF(IFERROR(INDEX(tsk_Name,GanttView[[#This Row],[_Row]])="",TRUE()),"",REPT("    ",INDEX(tsk_Level,GanttView[[#This Row],[_Row]])-1)&amp;INDEX(tsk_Name,GanttView[[#This Row],[_Row]]))</f>
        <v/>
      </c>
      <c r="D135" s="117" t="str">
        <f aca="false">IF(IFERROR(INDEX(tsk_Name,GanttView[[#This Row],[_Row]])="",TRUE()),"",IF(INDEX(tsk_IsSummary,GanttView[[#This Row],[_Row]]),NETWORKDAYS.INTL(INDEX(tsk_FcStart,GanttView[[#This Row],[_Row]]),INDEX(tsk_FcFinish,GanttView[[#This Row],[_Row]]),WorkWeek,Holidays),N(INDEX(tsk_Duration,GanttView[[#This Row],[_Row]]))))</f>
        <v/>
      </c>
      <c r="E135" s="119" t="str">
        <f aca="false">IF(IFERROR(INDEX(tsk_Name,GanttView[[#This Row],[_Row]])="",TRUE()),"",INDEX(tsk_PlanStart,GanttView[[#This Row],[_Row]]))</f>
        <v/>
      </c>
      <c r="F135" s="119" t="str">
        <f aca="false">IF(IFERROR(INDEX(tsk_Name,GanttView[[#This Row],[_Row]])="",TRUE()),"",INDEX(tsk_PlanFinish,GanttView[[#This Row],[_Row]]))</f>
        <v/>
      </c>
      <c r="G135" s="119" t="str">
        <f aca="false">IF(IFERROR(INDEX(tsk_Name,GanttView[[#This Row],[_Row]])="",TRUE()),"",INDEX(tsk_FcStart,GanttView[[#This Row],[_Row]]))</f>
        <v/>
      </c>
      <c r="H135" s="119" t="str">
        <f aca="false">IF(IFERROR(INDEX(tsk_Name,GanttView[[#This Row],[_Row]])="",TRUE()),"",INDEX(tsk_FcFinish,GanttView[[#This Row],[_Row]]))</f>
        <v/>
      </c>
      <c r="I135" s="120" t="str">
        <f aca="false">IF(IFERROR(INDEX(tsk_Name,GanttView[[#This Row],[_Row]])="",TRUE()),"",INDEX(tsk_Progress,GanttView[[#This Row],[_Row]]))</f>
        <v/>
      </c>
      <c r="J135" s="118" t="str">
        <f aca="false">IF(IFERROR(INDEX(tsk_Name,GanttView[[#This Row],[_Row]])="",TRUE()),"",INDEX(tsk_Resource,GanttView[[#This Row],[_Row]])&amp;"")</f>
        <v/>
      </c>
      <c r="K135" s="121" t="str">
        <f aca="false">IF(IFERROR(INDEX(tsk_Name,GanttView[[#This Row],[_Row]])="",TRUE()),"",INDEX(tsk_Status,GanttView[[#This Row],[_Row]]))</f>
        <v/>
      </c>
      <c r="L135" s="122" t="n">
        <f aca="false">ROW()-ROW(GanttView[[#Headers],[ID]])</f>
        <v>130</v>
      </c>
      <c r="M135" s="123" t="b">
        <f aca="false">IF(IFERROR(INDEX(tsk_Name,GanttView[[#This Row],[_Row]])="",TRUE()),FALSE(),INDEX(tsk_IsSummary,GanttView[[#This Row],[_Row]]))</f>
        <v>0</v>
      </c>
      <c r="N135" s="123" t="b">
        <f aca="false">IF(IFERROR(INDEX(tsk_Name,GanttView[[#This Row],[_Row]])="",TRUE()),FALSE(),AND(INDEX(tsk_IsLeaf,GanttView[[#This Row],[_Row]])=1,N(INDEX(tsk_Duration,GanttView[[#This Row],[_Row]]))=0))</f>
        <v>0</v>
      </c>
      <c r="O135" s="124" t="n">
        <f aca="false">IF(IFERROR(INDEX(tsk_Name,GanttView[[#This Row],[_Row]])="",TRUE()),0,IF(AND(INDEX(tsk_IsLeaf,GanttView[[#This Row],[_Row]])=1,NOT(GanttView[[#This Row],[_IsMilestone]]),N(GanttView[[#This Row],[%]])&gt;0),GanttView[[#This Row],[Forecast Start]],0))</f>
        <v>0</v>
      </c>
      <c r="P135" s="124" t="n">
        <f aca="false">IF(GanttView[[#This Row],[_DoneFrom]]=0,0,IF(GanttView[[#This Row],[%]]&gt;=1,GanttView[[#This Row],[Forecast Finish]],MAX(GanttView[[#This Row],[_DoneFrom]],GanttView[[#This Row],[Forecast Start]]+ROUND((GanttView[[#This Row],[Forecast Finish]]-GanttView[[#This Row],[Forecast Start]]+1)*GanttView[[#This Row],[%]],0)-1)))</f>
        <v>0</v>
      </c>
      <c r="Q135" s="124" t="n">
        <f aca="false">IF(IFERROR(INDEX(tsk_Name,GanttView[[#This Row],[_Row]])="",TRUE()),0,IF(OR(INDEX(tsk_IsLeaf,GanttView[[#This Row],[_Row]])&lt;&gt;1,GanttView[[#This Row],[_IsMilestone]],N(GanttView[[#This Row],[%]])&gt;=1),0,IF(GanttView[[#This Row],[_DoneTo]]&gt;0,GanttView[[#This Row],[_DoneTo]]+1,GanttView[[#This Row],[Forecast Start]])))</f>
        <v>0</v>
      </c>
      <c r="R135" s="124" t="n">
        <f aca="false">IF(GanttView[[#This Row],[_RemFrom]]=0,0,GanttView[[#This Row],[Forecast Finish]])</f>
        <v>0</v>
      </c>
      <c r="S135" s="123" t="b">
        <f aca="false">IF(IFERROR(INDEX(tsk_Name,GanttView[[#This Row],[_Row]])="",TRUE()),FALSE(),N(INDEX(tsk_Variance,GanttView[[#This Row],[_Row]]))&gt;0)</f>
        <v>0</v>
      </c>
      <c r="T135" s="124" t="n">
        <f aca="false">IF(IFERROR(INDEX(tsk_Name,GanttView[[#This Row],[_Row]])="",TRUE()),0,N(INDEX(tsk_Deadline,GanttView[[#This Row],[_Row]])))</f>
        <v>0</v>
      </c>
      <c r="U135" s="123" t="b">
        <f aca="false">IF(IFERROR(INDEX(tsk_Name,GanttView[[#This Row],[_Row]])="",TRUE()),FALSE(),INDEX(tsk_Critical,GanttView[[#This Row],[_Row]])="Yes")</f>
        <v>0</v>
      </c>
    </row>
    <row r="136" customFormat="false" ht="15" hidden="false" customHeight="false" outlineLevel="0" collapsed="false">
      <c r="A136" s="117" t="str">
        <f aca="false">IF(IFERROR(INDEX(tsk_Name,GanttView[[#This Row],[_Row]])="",TRUE()),"",INDEX(tsk_ID,GanttView[[#This Row],[_Row]]))</f>
        <v/>
      </c>
      <c r="B136" s="117" t="str">
        <f aca="false">IF(IFERROR(INDEX(tsk_Name,GanttView[[#This Row],[_Row]])="",TRUE()),"",INDEX(tsk_WBS,GanttView[[#This Row],[_Row]]))</f>
        <v/>
      </c>
      <c r="C136" s="118" t="str">
        <f aca="false">IF(IFERROR(INDEX(tsk_Name,GanttView[[#This Row],[_Row]])="",TRUE()),"",REPT("    ",INDEX(tsk_Level,GanttView[[#This Row],[_Row]])-1)&amp;INDEX(tsk_Name,GanttView[[#This Row],[_Row]]))</f>
        <v/>
      </c>
      <c r="D136" s="117" t="str">
        <f aca="false">IF(IFERROR(INDEX(tsk_Name,GanttView[[#This Row],[_Row]])="",TRUE()),"",IF(INDEX(tsk_IsSummary,GanttView[[#This Row],[_Row]]),NETWORKDAYS.INTL(INDEX(tsk_FcStart,GanttView[[#This Row],[_Row]]),INDEX(tsk_FcFinish,GanttView[[#This Row],[_Row]]),WorkWeek,Holidays),N(INDEX(tsk_Duration,GanttView[[#This Row],[_Row]]))))</f>
        <v/>
      </c>
      <c r="E136" s="119" t="str">
        <f aca="false">IF(IFERROR(INDEX(tsk_Name,GanttView[[#This Row],[_Row]])="",TRUE()),"",INDEX(tsk_PlanStart,GanttView[[#This Row],[_Row]]))</f>
        <v/>
      </c>
      <c r="F136" s="119" t="str">
        <f aca="false">IF(IFERROR(INDEX(tsk_Name,GanttView[[#This Row],[_Row]])="",TRUE()),"",INDEX(tsk_PlanFinish,GanttView[[#This Row],[_Row]]))</f>
        <v/>
      </c>
      <c r="G136" s="119" t="str">
        <f aca="false">IF(IFERROR(INDEX(tsk_Name,GanttView[[#This Row],[_Row]])="",TRUE()),"",INDEX(tsk_FcStart,GanttView[[#This Row],[_Row]]))</f>
        <v/>
      </c>
      <c r="H136" s="119" t="str">
        <f aca="false">IF(IFERROR(INDEX(tsk_Name,GanttView[[#This Row],[_Row]])="",TRUE()),"",INDEX(tsk_FcFinish,GanttView[[#This Row],[_Row]]))</f>
        <v/>
      </c>
      <c r="I136" s="120" t="str">
        <f aca="false">IF(IFERROR(INDEX(tsk_Name,GanttView[[#This Row],[_Row]])="",TRUE()),"",INDEX(tsk_Progress,GanttView[[#This Row],[_Row]]))</f>
        <v/>
      </c>
      <c r="J136" s="118" t="str">
        <f aca="false">IF(IFERROR(INDEX(tsk_Name,GanttView[[#This Row],[_Row]])="",TRUE()),"",INDEX(tsk_Resource,GanttView[[#This Row],[_Row]])&amp;"")</f>
        <v/>
      </c>
      <c r="K136" s="121" t="str">
        <f aca="false">IF(IFERROR(INDEX(tsk_Name,GanttView[[#This Row],[_Row]])="",TRUE()),"",INDEX(tsk_Status,GanttView[[#This Row],[_Row]]))</f>
        <v/>
      </c>
      <c r="L136" s="122" t="n">
        <f aca="false">ROW()-ROW(GanttView[[#Headers],[ID]])</f>
        <v>131</v>
      </c>
      <c r="M136" s="123" t="b">
        <f aca="false">IF(IFERROR(INDEX(tsk_Name,GanttView[[#This Row],[_Row]])="",TRUE()),FALSE(),INDEX(tsk_IsSummary,GanttView[[#This Row],[_Row]]))</f>
        <v>0</v>
      </c>
      <c r="N136" s="123" t="b">
        <f aca="false">IF(IFERROR(INDEX(tsk_Name,GanttView[[#This Row],[_Row]])="",TRUE()),FALSE(),AND(INDEX(tsk_IsLeaf,GanttView[[#This Row],[_Row]])=1,N(INDEX(tsk_Duration,GanttView[[#This Row],[_Row]]))=0))</f>
        <v>0</v>
      </c>
      <c r="O136" s="124" t="n">
        <f aca="false">IF(IFERROR(INDEX(tsk_Name,GanttView[[#This Row],[_Row]])="",TRUE()),0,IF(AND(INDEX(tsk_IsLeaf,GanttView[[#This Row],[_Row]])=1,NOT(GanttView[[#This Row],[_IsMilestone]]),N(GanttView[[#This Row],[%]])&gt;0),GanttView[[#This Row],[Forecast Start]],0))</f>
        <v>0</v>
      </c>
      <c r="P136" s="124" t="n">
        <f aca="false">IF(GanttView[[#This Row],[_DoneFrom]]=0,0,IF(GanttView[[#This Row],[%]]&gt;=1,GanttView[[#This Row],[Forecast Finish]],MAX(GanttView[[#This Row],[_DoneFrom]],GanttView[[#This Row],[Forecast Start]]+ROUND((GanttView[[#This Row],[Forecast Finish]]-GanttView[[#This Row],[Forecast Start]]+1)*GanttView[[#This Row],[%]],0)-1)))</f>
        <v>0</v>
      </c>
      <c r="Q136" s="124" t="n">
        <f aca="false">IF(IFERROR(INDEX(tsk_Name,GanttView[[#This Row],[_Row]])="",TRUE()),0,IF(OR(INDEX(tsk_IsLeaf,GanttView[[#This Row],[_Row]])&lt;&gt;1,GanttView[[#This Row],[_IsMilestone]],N(GanttView[[#This Row],[%]])&gt;=1),0,IF(GanttView[[#This Row],[_DoneTo]]&gt;0,GanttView[[#This Row],[_DoneTo]]+1,GanttView[[#This Row],[Forecast Start]])))</f>
        <v>0</v>
      </c>
      <c r="R136" s="124" t="n">
        <f aca="false">IF(GanttView[[#This Row],[_RemFrom]]=0,0,GanttView[[#This Row],[Forecast Finish]])</f>
        <v>0</v>
      </c>
      <c r="S136" s="123" t="b">
        <f aca="false">IF(IFERROR(INDEX(tsk_Name,GanttView[[#This Row],[_Row]])="",TRUE()),FALSE(),N(INDEX(tsk_Variance,GanttView[[#This Row],[_Row]]))&gt;0)</f>
        <v>0</v>
      </c>
      <c r="T136" s="124" t="n">
        <f aca="false">IF(IFERROR(INDEX(tsk_Name,GanttView[[#This Row],[_Row]])="",TRUE()),0,N(INDEX(tsk_Deadline,GanttView[[#This Row],[_Row]])))</f>
        <v>0</v>
      </c>
      <c r="U136" s="123" t="b">
        <f aca="false">IF(IFERROR(INDEX(tsk_Name,GanttView[[#This Row],[_Row]])="",TRUE()),FALSE(),INDEX(tsk_Critical,GanttView[[#This Row],[_Row]])="Yes")</f>
        <v>0</v>
      </c>
    </row>
    <row r="137" customFormat="false" ht="15" hidden="false" customHeight="false" outlineLevel="0" collapsed="false">
      <c r="A137" s="117" t="str">
        <f aca="false">IF(IFERROR(INDEX(tsk_Name,GanttView[[#This Row],[_Row]])="",TRUE()),"",INDEX(tsk_ID,GanttView[[#This Row],[_Row]]))</f>
        <v/>
      </c>
      <c r="B137" s="117" t="str">
        <f aca="false">IF(IFERROR(INDEX(tsk_Name,GanttView[[#This Row],[_Row]])="",TRUE()),"",INDEX(tsk_WBS,GanttView[[#This Row],[_Row]]))</f>
        <v/>
      </c>
      <c r="C137" s="118" t="str">
        <f aca="false">IF(IFERROR(INDEX(tsk_Name,GanttView[[#This Row],[_Row]])="",TRUE()),"",REPT("    ",INDEX(tsk_Level,GanttView[[#This Row],[_Row]])-1)&amp;INDEX(tsk_Name,GanttView[[#This Row],[_Row]]))</f>
        <v/>
      </c>
      <c r="D137" s="117" t="str">
        <f aca="false">IF(IFERROR(INDEX(tsk_Name,GanttView[[#This Row],[_Row]])="",TRUE()),"",IF(INDEX(tsk_IsSummary,GanttView[[#This Row],[_Row]]),NETWORKDAYS.INTL(INDEX(tsk_FcStart,GanttView[[#This Row],[_Row]]),INDEX(tsk_FcFinish,GanttView[[#This Row],[_Row]]),WorkWeek,Holidays),N(INDEX(tsk_Duration,GanttView[[#This Row],[_Row]]))))</f>
        <v/>
      </c>
      <c r="E137" s="119" t="str">
        <f aca="false">IF(IFERROR(INDEX(tsk_Name,GanttView[[#This Row],[_Row]])="",TRUE()),"",INDEX(tsk_PlanStart,GanttView[[#This Row],[_Row]]))</f>
        <v/>
      </c>
      <c r="F137" s="119" t="str">
        <f aca="false">IF(IFERROR(INDEX(tsk_Name,GanttView[[#This Row],[_Row]])="",TRUE()),"",INDEX(tsk_PlanFinish,GanttView[[#This Row],[_Row]]))</f>
        <v/>
      </c>
      <c r="G137" s="119" t="str">
        <f aca="false">IF(IFERROR(INDEX(tsk_Name,GanttView[[#This Row],[_Row]])="",TRUE()),"",INDEX(tsk_FcStart,GanttView[[#This Row],[_Row]]))</f>
        <v/>
      </c>
      <c r="H137" s="119" t="str">
        <f aca="false">IF(IFERROR(INDEX(tsk_Name,GanttView[[#This Row],[_Row]])="",TRUE()),"",INDEX(tsk_FcFinish,GanttView[[#This Row],[_Row]]))</f>
        <v/>
      </c>
      <c r="I137" s="120" t="str">
        <f aca="false">IF(IFERROR(INDEX(tsk_Name,GanttView[[#This Row],[_Row]])="",TRUE()),"",INDEX(tsk_Progress,GanttView[[#This Row],[_Row]]))</f>
        <v/>
      </c>
      <c r="J137" s="118" t="str">
        <f aca="false">IF(IFERROR(INDEX(tsk_Name,GanttView[[#This Row],[_Row]])="",TRUE()),"",INDEX(tsk_Resource,GanttView[[#This Row],[_Row]])&amp;"")</f>
        <v/>
      </c>
      <c r="K137" s="121" t="str">
        <f aca="false">IF(IFERROR(INDEX(tsk_Name,GanttView[[#This Row],[_Row]])="",TRUE()),"",INDEX(tsk_Status,GanttView[[#This Row],[_Row]]))</f>
        <v/>
      </c>
      <c r="L137" s="122" t="n">
        <f aca="false">ROW()-ROW(GanttView[[#Headers],[ID]])</f>
        <v>132</v>
      </c>
      <c r="M137" s="123" t="b">
        <f aca="false">IF(IFERROR(INDEX(tsk_Name,GanttView[[#This Row],[_Row]])="",TRUE()),FALSE(),INDEX(tsk_IsSummary,GanttView[[#This Row],[_Row]]))</f>
        <v>0</v>
      </c>
      <c r="N137" s="123" t="b">
        <f aca="false">IF(IFERROR(INDEX(tsk_Name,GanttView[[#This Row],[_Row]])="",TRUE()),FALSE(),AND(INDEX(tsk_IsLeaf,GanttView[[#This Row],[_Row]])=1,N(INDEX(tsk_Duration,GanttView[[#This Row],[_Row]]))=0))</f>
        <v>0</v>
      </c>
      <c r="O137" s="124" t="n">
        <f aca="false">IF(IFERROR(INDEX(tsk_Name,GanttView[[#This Row],[_Row]])="",TRUE()),0,IF(AND(INDEX(tsk_IsLeaf,GanttView[[#This Row],[_Row]])=1,NOT(GanttView[[#This Row],[_IsMilestone]]),N(GanttView[[#This Row],[%]])&gt;0),GanttView[[#This Row],[Forecast Start]],0))</f>
        <v>0</v>
      </c>
      <c r="P137" s="124" t="n">
        <f aca="false">IF(GanttView[[#This Row],[_DoneFrom]]=0,0,IF(GanttView[[#This Row],[%]]&gt;=1,GanttView[[#This Row],[Forecast Finish]],MAX(GanttView[[#This Row],[_DoneFrom]],GanttView[[#This Row],[Forecast Start]]+ROUND((GanttView[[#This Row],[Forecast Finish]]-GanttView[[#This Row],[Forecast Start]]+1)*GanttView[[#This Row],[%]],0)-1)))</f>
        <v>0</v>
      </c>
      <c r="Q137" s="124" t="n">
        <f aca="false">IF(IFERROR(INDEX(tsk_Name,GanttView[[#This Row],[_Row]])="",TRUE()),0,IF(OR(INDEX(tsk_IsLeaf,GanttView[[#This Row],[_Row]])&lt;&gt;1,GanttView[[#This Row],[_IsMilestone]],N(GanttView[[#This Row],[%]])&gt;=1),0,IF(GanttView[[#This Row],[_DoneTo]]&gt;0,GanttView[[#This Row],[_DoneTo]]+1,GanttView[[#This Row],[Forecast Start]])))</f>
        <v>0</v>
      </c>
      <c r="R137" s="124" t="n">
        <f aca="false">IF(GanttView[[#This Row],[_RemFrom]]=0,0,GanttView[[#This Row],[Forecast Finish]])</f>
        <v>0</v>
      </c>
      <c r="S137" s="123" t="b">
        <f aca="false">IF(IFERROR(INDEX(tsk_Name,GanttView[[#This Row],[_Row]])="",TRUE()),FALSE(),N(INDEX(tsk_Variance,GanttView[[#This Row],[_Row]]))&gt;0)</f>
        <v>0</v>
      </c>
      <c r="T137" s="124" t="n">
        <f aca="false">IF(IFERROR(INDEX(tsk_Name,GanttView[[#This Row],[_Row]])="",TRUE()),0,N(INDEX(tsk_Deadline,GanttView[[#This Row],[_Row]])))</f>
        <v>0</v>
      </c>
      <c r="U137" s="123" t="b">
        <f aca="false">IF(IFERROR(INDEX(tsk_Name,GanttView[[#This Row],[_Row]])="",TRUE()),FALSE(),INDEX(tsk_Critical,GanttView[[#This Row],[_Row]])="Yes")</f>
        <v>0</v>
      </c>
    </row>
    <row r="138" customFormat="false" ht="15" hidden="false" customHeight="false" outlineLevel="0" collapsed="false">
      <c r="A138" s="117" t="str">
        <f aca="false">IF(IFERROR(INDEX(tsk_Name,GanttView[[#This Row],[_Row]])="",TRUE()),"",INDEX(tsk_ID,GanttView[[#This Row],[_Row]]))</f>
        <v/>
      </c>
      <c r="B138" s="117" t="str">
        <f aca="false">IF(IFERROR(INDEX(tsk_Name,GanttView[[#This Row],[_Row]])="",TRUE()),"",INDEX(tsk_WBS,GanttView[[#This Row],[_Row]]))</f>
        <v/>
      </c>
      <c r="C138" s="118" t="str">
        <f aca="false">IF(IFERROR(INDEX(tsk_Name,GanttView[[#This Row],[_Row]])="",TRUE()),"",REPT("    ",INDEX(tsk_Level,GanttView[[#This Row],[_Row]])-1)&amp;INDEX(tsk_Name,GanttView[[#This Row],[_Row]]))</f>
        <v/>
      </c>
      <c r="D138" s="117" t="str">
        <f aca="false">IF(IFERROR(INDEX(tsk_Name,GanttView[[#This Row],[_Row]])="",TRUE()),"",IF(INDEX(tsk_IsSummary,GanttView[[#This Row],[_Row]]),NETWORKDAYS.INTL(INDEX(tsk_FcStart,GanttView[[#This Row],[_Row]]),INDEX(tsk_FcFinish,GanttView[[#This Row],[_Row]]),WorkWeek,Holidays),N(INDEX(tsk_Duration,GanttView[[#This Row],[_Row]]))))</f>
        <v/>
      </c>
      <c r="E138" s="119" t="str">
        <f aca="false">IF(IFERROR(INDEX(tsk_Name,GanttView[[#This Row],[_Row]])="",TRUE()),"",INDEX(tsk_PlanStart,GanttView[[#This Row],[_Row]]))</f>
        <v/>
      </c>
      <c r="F138" s="119" t="str">
        <f aca="false">IF(IFERROR(INDEX(tsk_Name,GanttView[[#This Row],[_Row]])="",TRUE()),"",INDEX(tsk_PlanFinish,GanttView[[#This Row],[_Row]]))</f>
        <v/>
      </c>
      <c r="G138" s="119" t="str">
        <f aca="false">IF(IFERROR(INDEX(tsk_Name,GanttView[[#This Row],[_Row]])="",TRUE()),"",INDEX(tsk_FcStart,GanttView[[#This Row],[_Row]]))</f>
        <v/>
      </c>
      <c r="H138" s="119" t="str">
        <f aca="false">IF(IFERROR(INDEX(tsk_Name,GanttView[[#This Row],[_Row]])="",TRUE()),"",INDEX(tsk_FcFinish,GanttView[[#This Row],[_Row]]))</f>
        <v/>
      </c>
      <c r="I138" s="120" t="str">
        <f aca="false">IF(IFERROR(INDEX(tsk_Name,GanttView[[#This Row],[_Row]])="",TRUE()),"",INDEX(tsk_Progress,GanttView[[#This Row],[_Row]]))</f>
        <v/>
      </c>
      <c r="J138" s="118" t="str">
        <f aca="false">IF(IFERROR(INDEX(tsk_Name,GanttView[[#This Row],[_Row]])="",TRUE()),"",INDEX(tsk_Resource,GanttView[[#This Row],[_Row]])&amp;"")</f>
        <v/>
      </c>
      <c r="K138" s="121" t="str">
        <f aca="false">IF(IFERROR(INDEX(tsk_Name,GanttView[[#This Row],[_Row]])="",TRUE()),"",INDEX(tsk_Status,GanttView[[#This Row],[_Row]]))</f>
        <v/>
      </c>
      <c r="L138" s="122" t="n">
        <f aca="false">ROW()-ROW(GanttView[[#Headers],[ID]])</f>
        <v>133</v>
      </c>
      <c r="M138" s="123" t="b">
        <f aca="false">IF(IFERROR(INDEX(tsk_Name,GanttView[[#This Row],[_Row]])="",TRUE()),FALSE(),INDEX(tsk_IsSummary,GanttView[[#This Row],[_Row]]))</f>
        <v>0</v>
      </c>
      <c r="N138" s="123" t="b">
        <f aca="false">IF(IFERROR(INDEX(tsk_Name,GanttView[[#This Row],[_Row]])="",TRUE()),FALSE(),AND(INDEX(tsk_IsLeaf,GanttView[[#This Row],[_Row]])=1,N(INDEX(tsk_Duration,GanttView[[#This Row],[_Row]]))=0))</f>
        <v>0</v>
      </c>
      <c r="O138" s="124" t="n">
        <f aca="false">IF(IFERROR(INDEX(tsk_Name,GanttView[[#This Row],[_Row]])="",TRUE()),0,IF(AND(INDEX(tsk_IsLeaf,GanttView[[#This Row],[_Row]])=1,NOT(GanttView[[#This Row],[_IsMilestone]]),N(GanttView[[#This Row],[%]])&gt;0),GanttView[[#This Row],[Forecast Start]],0))</f>
        <v>0</v>
      </c>
      <c r="P138" s="124" t="n">
        <f aca="false">IF(GanttView[[#This Row],[_DoneFrom]]=0,0,IF(GanttView[[#This Row],[%]]&gt;=1,GanttView[[#This Row],[Forecast Finish]],MAX(GanttView[[#This Row],[_DoneFrom]],GanttView[[#This Row],[Forecast Start]]+ROUND((GanttView[[#This Row],[Forecast Finish]]-GanttView[[#This Row],[Forecast Start]]+1)*GanttView[[#This Row],[%]],0)-1)))</f>
        <v>0</v>
      </c>
      <c r="Q138" s="124" t="n">
        <f aca="false">IF(IFERROR(INDEX(tsk_Name,GanttView[[#This Row],[_Row]])="",TRUE()),0,IF(OR(INDEX(tsk_IsLeaf,GanttView[[#This Row],[_Row]])&lt;&gt;1,GanttView[[#This Row],[_IsMilestone]],N(GanttView[[#This Row],[%]])&gt;=1),0,IF(GanttView[[#This Row],[_DoneTo]]&gt;0,GanttView[[#This Row],[_DoneTo]]+1,GanttView[[#This Row],[Forecast Start]])))</f>
        <v>0</v>
      </c>
      <c r="R138" s="124" t="n">
        <f aca="false">IF(GanttView[[#This Row],[_RemFrom]]=0,0,GanttView[[#This Row],[Forecast Finish]])</f>
        <v>0</v>
      </c>
      <c r="S138" s="123" t="b">
        <f aca="false">IF(IFERROR(INDEX(tsk_Name,GanttView[[#This Row],[_Row]])="",TRUE()),FALSE(),N(INDEX(tsk_Variance,GanttView[[#This Row],[_Row]]))&gt;0)</f>
        <v>0</v>
      </c>
      <c r="T138" s="124" t="n">
        <f aca="false">IF(IFERROR(INDEX(tsk_Name,GanttView[[#This Row],[_Row]])="",TRUE()),0,N(INDEX(tsk_Deadline,GanttView[[#This Row],[_Row]])))</f>
        <v>0</v>
      </c>
      <c r="U138" s="123" t="b">
        <f aca="false">IF(IFERROR(INDEX(tsk_Name,GanttView[[#This Row],[_Row]])="",TRUE()),FALSE(),INDEX(tsk_Critical,GanttView[[#This Row],[_Row]])="Yes")</f>
        <v>0</v>
      </c>
    </row>
    <row r="139" customFormat="false" ht="15" hidden="false" customHeight="false" outlineLevel="0" collapsed="false">
      <c r="A139" s="117" t="str">
        <f aca="false">IF(IFERROR(INDEX(tsk_Name,GanttView[[#This Row],[_Row]])="",TRUE()),"",INDEX(tsk_ID,GanttView[[#This Row],[_Row]]))</f>
        <v/>
      </c>
      <c r="B139" s="117" t="str">
        <f aca="false">IF(IFERROR(INDEX(tsk_Name,GanttView[[#This Row],[_Row]])="",TRUE()),"",INDEX(tsk_WBS,GanttView[[#This Row],[_Row]]))</f>
        <v/>
      </c>
      <c r="C139" s="118" t="str">
        <f aca="false">IF(IFERROR(INDEX(tsk_Name,GanttView[[#This Row],[_Row]])="",TRUE()),"",REPT("    ",INDEX(tsk_Level,GanttView[[#This Row],[_Row]])-1)&amp;INDEX(tsk_Name,GanttView[[#This Row],[_Row]]))</f>
        <v/>
      </c>
      <c r="D139" s="117" t="str">
        <f aca="false">IF(IFERROR(INDEX(tsk_Name,GanttView[[#This Row],[_Row]])="",TRUE()),"",IF(INDEX(tsk_IsSummary,GanttView[[#This Row],[_Row]]),NETWORKDAYS.INTL(INDEX(tsk_FcStart,GanttView[[#This Row],[_Row]]),INDEX(tsk_FcFinish,GanttView[[#This Row],[_Row]]),WorkWeek,Holidays),N(INDEX(tsk_Duration,GanttView[[#This Row],[_Row]]))))</f>
        <v/>
      </c>
      <c r="E139" s="119" t="str">
        <f aca="false">IF(IFERROR(INDEX(tsk_Name,GanttView[[#This Row],[_Row]])="",TRUE()),"",INDEX(tsk_PlanStart,GanttView[[#This Row],[_Row]]))</f>
        <v/>
      </c>
      <c r="F139" s="119" t="str">
        <f aca="false">IF(IFERROR(INDEX(tsk_Name,GanttView[[#This Row],[_Row]])="",TRUE()),"",INDEX(tsk_PlanFinish,GanttView[[#This Row],[_Row]]))</f>
        <v/>
      </c>
      <c r="G139" s="119" t="str">
        <f aca="false">IF(IFERROR(INDEX(tsk_Name,GanttView[[#This Row],[_Row]])="",TRUE()),"",INDEX(tsk_FcStart,GanttView[[#This Row],[_Row]]))</f>
        <v/>
      </c>
      <c r="H139" s="119" t="str">
        <f aca="false">IF(IFERROR(INDEX(tsk_Name,GanttView[[#This Row],[_Row]])="",TRUE()),"",INDEX(tsk_FcFinish,GanttView[[#This Row],[_Row]]))</f>
        <v/>
      </c>
      <c r="I139" s="120" t="str">
        <f aca="false">IF(IFERROR(INDEX(tsk_Name,GanttView[[#This Row],[_Row]])="",TRUE()),"",INDEX(tsk_Progress,GanttView[[#This Row],[_Row]]))</f>
        <v/>
      </c>
      <c r="J139" s="118" t="str">
        <f aca="false">IF(IFERROR(INDEX(tsk_Name,GanttView[[#This Row],[_Row]])="",TRUE()),"",INDEX(tsk_Resource,GanttView[[#This Row],[_Row]])&amp;"")</f>
        <v/>
      </c>
      <c r="K139" s="121" t="str">
        <f aca="false">IF(IFERROR(INDEX(tsk_Name,GanttView[[#This Row],[_Row]])="",TRUE()),"",INDEX(tsk_Status,GanttView[[#This Row],[_Row]]))</f>
        <v/>
      </c>
      <c r="L139" s="122" t="n">
        <f aca="false">ROW()-ROW(GanttView[[#Headers],[ID]])</f>
        <v>134</v>
      </c>
      <c r="M139" s="123" t="b">
        <f aca="false">IF(IFERROR(INDEX(tsk_Name,GanttView[[#This Row],[_Row]])="",TRUE()),FALSE(),INDEX(tsk_IsSummary,GanttView[[#This Row],[_Row]]))</f>
        <v>0</v>
      </c>
      <c r="N139" s="123" t="b">
        <f aca="false">IF(IFERROR(INDEX(tsk_Name,GanttView[[#This Row],[_Row]])="",TRUE()),FALSE(),AND(INDEX(tsk_IsLeaf,GanttView[[#This Row],[_Row]])=1,N(INDEX(tsk_Duration,GanttView[[#This Row],[_Row]]))=0))</f>
        <v>0</v>
      </c>
      <c r="O139" s="124" t="n">
        <f aca="false">IF(IFERROR(INDEX(tsk_Name,GanttView[[#This Row],[_Row]])="",TRUE()),0,IF(AND(INDEX(tsk_IsLeaf,GanttView[[#This Row],[_Row]])=1,NOT(GanttView[[#This Row],[_IsMilestone]]),N(GanttView[[#This Row],[%]])&gt;0),GanttView[[#This Row],[Forecast Start]],0))</f>
        <v>0</v>
      </c>
      <c r="P139" s="124" t="n">
        <f aca="false">IF(GanttView[[#This Row],[_DoneFrom]]=0,0,IF(GanttView[[#This Row],[%]]&gt;=1,GanttView[[#This Row],[Forecast Finish]],MAX(GanttView[[#This Row],[_DoneFrom]],GanttView[[#This Row],[Forecast Start]]+ROUND((GanttView[[#This Row],[Forecast Finish]]-GanttView[[#This Row],[Forecast Start]]+1)*GanttView[[#This Row],[%]],0)-1)))</f>
        <v>0</v>
      </c>
      <c r="Q139" s="124" t="n">
        <f aca="false">IF(IFERROR(INDEX(tsk_Name,GanttView[[#This Row],[_Row]])="",TRUE()),0,IF(OR(INDEX(tsk_IsLeaf,GanttView[[#This Row],[_Row]])&lt;&gt;1,GanttView[[#This Row],[_IsMilestone]],N(GanttView[[#This Row],[%]])&gt;=1),0,IF(GanttView[[#This Row],[_DoneTo]]&gt;0,GanttView[[#This Row],[_DoneTo]]+1,GanttView[[#This Row],[Forecast Start]])))</f>
        <v>0</v>
      </c>
      <c r="R139" s="124" t="n">
        <f aca="false">IF(GanttView[[#This Row],[_RemFrom]]=0,0,GanttView[[#This Row],[Forecast Finish]])</f>
        <v>0</v>
      </c>
      <c r="S139" s="123" t="b">
        <f aca="false">IF(IFERROR(INDEX(tsk_Name,GanttView[[#This Row],[_Row]])="",TRUE()),FALSE(),N(INDEX(tsk_Variance,GanttView[[#This Row],[_Row]]))&gt;0)</f>
        <v>0</v>
      </c>
      <c r="T139" s="124" t="n">
        <f aca="false">IF(IFERROR(INDEX(tsk_Name,GanttView[[#This Row],[_Row]])="",TRUE()),0,N(INDEX(tsk_Deadline,GanttView[[#This Row],[_Row]])))</f>
        <v>0</v>
      </c>
      <c r="U139" s="123" t="b">
        <f aca="false">IF(IFERROR(INDEX(tsk_Name,GanttView[[#This Row],[_Row]])="",TRUE()),FALSE(),INDEX(tsk_Critical,GanttView[[#This Row],[_Row]])="Yes")</f>
        <v>0</v>
      </c>
    </row>
    <row r="140" customFormat="false" ht="15" hidden="false" customHeight="false" outlineLevel="0" collapsed="false">
      <c r="A140" s="117" t="str">
        <f aca="false">IF(IFERROR(INDEX(tsk_Name,GanttView[[#This Row],[_Row]])="",TRUE()),"",INDEX(tsk_ID,GanttView[[#This Row],[_Row]]))</f>
        <v/>
      </c>
      <c r="B140" s="117" t="str">
        <f aca="false">IF(IFERROR(INDEX(tsk_Name,GanttView[[#This Row],[_Row]])="",TRUE()),"",INDEX(tsk_WBS,GanttView[[#This Row],[_Row]]))</f>
        <v/>
      </c>
      <c r="C140" s="118" t="str">
        <f aca="false">IF(IFERROR(INDEX(tsk_Name,GanttView[[#This Row],[_Row]])="",TRUE()),"",REPT("    ",INDEX(tsk_Level,GanttView[[#This Row],[_Row]])-1)&amp;INDEX(tsk_Name,GanttView[[#This Row],[_Row]]))</f>
        <v/>
      </c>
      <c r="D140" s="117" t="str">
        <f aca="false">IF(IFERROR(INDEX(tsk_Name,GanttView[[#This Row],[_Row]])="",TRUE()),"",IF(INDEX(tsk_IsSummary,GanttView[[#This Row],[_Row]]),NETWORKDAYS.INTL(INDEX(tsk_FcStart,GanttView[[#This Row],[_Row]]),INDEX(tsk_FcFinish,GanttView[[#This Row],[_Row]]),WorkWeek,Holidays),N(INDEX(tsk_Duration,GanttView[[#This Row],[_Row]]))))</f>
        <v/>
      </c>
      <c r="E140" s="119" t="str">
        <f aca="false">IF(IFERROR(INDEX(tsk_Name,GanttView[[#This Row],[_Row]])="",TRUE()),"",INDEX(tsk_PlanStart,GanttView[[#This Row],[_Row]]))</f>
        <v/>
      </c>
      <c r="F140" s="119" t="str">
        <f aca="false">IF(IFERROR(INDEX(tsk_Name,GanttView[[#This Row],[_Row]])="",TRUE()),"",INDEX(tsk_PlanFinish,GanttView[[#This Row],[_Row]]))</f>
        <v/>
      </c>
      <c r="G140" s="119" t="str">
        <f aca="false">IF(IFERROR(INDEX(tsk_Name,GanttView[[#This Row],[_Row]])="",TRUE()),"",INDEX(tsk_FcStart,GanttView[[#This Row],[_Row]]))</f>
        <v/>
      </c>
      <c r="H140" s="119" t="str">
        <f aca="false">IF(IFERROR(INDEX(tsk_Name,GanttView[[#This Row],[_Row]])="",TRUE()),"",INDEX(tsk_FcFinish,GanttView[[#This Row],[_Row]]))</f>
        <v/>
      </c>
      <c r="I140" s="120" t="str">
        <f aca="false">IF(IFERROR(INDEX(tsk_Name,GanttView[[#This Row],[_Row]])="",TRUE()),"",INDEX(tsk_Progress,GanttView[[#This Row],[_Row]]))</f>
        <v/>
      </c>
      <c r="J140" s="118" t="str">
        <f aca="false">IF(IFERROR(INDEX(tsk_Name,GanttView[[#This Row],[_Row]])="",TRUE()),"",INDEX(tsk_Resource,GanttView[[#This Row],[_Row]])&amp;"")</f>
        <v/>
      </c>
      <c r="K140" s="121" t="str">
        <f aca="false">IF(IFERROR(INDEX(tsk_Name,GanttView[[#This Row],[_Row]])="",TRUE()),"",INDEX(tsk_Status,GanttView[[#This Row],[_Row]]))</f>
        <v/>
      </c>
      <c r="L140" s="122" t="n">
        <f aca="false">ROW()-ROW(GanttView[[#Headers],[ID]])</f>
        <v>135</v>
      </c>
      <c r="M140" s="123" t="b">
        <f aca="false">IF(IFERROR(INDEX(tsk_Name,GanttView[[#This Row],[_Row]])="",TRUE()),FALSE(),INDEX(tsk_IsSummary,GanttView[[#This Row],[_Row]]))</f>
        <v>0</v>
      </c>
      <c r="N140" s="123" t="b">
        <f aca="false">IF(IFERROR(INDEX(tsk_Name,GanttView[[#This Row],[_Row]])="",TRUE()),FALSE(),AND(INDEX(tsk_IsLeaf,GanttView[[#This Row],[_Row]])=1,N(INDEX(tsk_Duration,GanttView[[#This Row],[_Row]]))=0))</f>
        <v>0</v>
      </c>
      <c r="O140" s="124" t="n">
        <f aca="false">IF(IFERROR(INDEX(tsk_Name,GanttView[[#This Row],[_Row]])="",TRUE()),0,IF(AND(INDEX(tsk_IsLeaf,GanttView[[#This Row],[_Row]])=1,NOT(GanttView[[#This Row],[_IsMilestone]]),N(GanttView[[#This Row],[%]])&gt;0),GanttView[[#This Row],[Forecast Start]],0))</f>
        <v>0</v>
      </c>
      <c r="P140" s="124" t="n">
        <f aca="false">IF(GanttView[[#This Row],[_DoneFrom]]=0,0,IF(GanttView[[#This Row],[%]]&gt;=1,GanttView[[#This Row],[Forecast Finish]],MAX(GanttView[[#This Row],[_DoneFrom]],GanttView[[#This Row],[Forecast Start]]+ROUND((GanttView[[#This Row],[Forecast Finish]]-GanttView[[#This Row],[Forecast Start]]+1)*GanttView[[#This Row],[%]],0)-1)))</f>
        <v>0</v>
      </c>
      <c r="Q140" s="124" t="n">
        <f aca="false">IF(IFERROR(INDEX(tsk_Name,GanttView[[#This Row],[_Row]])="",TRUE()),0,IF(OR(INDEX(tsk_IsLeaf,GanttView[[#This Row],[_Row]])&lt;&gt;1,GanttView[[#This Row],[_IsMilestone]],N(GanttView[[#This Row],[%]])&gt;=1),0,IF(GanttView[[#This Row],[_DoneTo]]&gt;0,GanttView[[#This Row],[_DoneTo]]+1,GanttView[[#This Row],[Forecast Start]])))</f>
        <v>0</v>
      </c>
      <c r="R140" s="124" t="n">
        <f aca="false">IF(GanttView[[#This Row],[_RemFrom]]=0,0,GanttView[[#This Row],[Forecast Finish]])</f>
        <v>0</v>
      </c>
      <c r="S140" s="123" t="b">
        <f aca="false">IF(IFERROR(INDEX(tsk_Name,GanttView[[#This Row],[_Row]])="",TRUE()),FALSE(),N(INDEX(tsk_Variance,GanttView[[#This Row],[_Row]]))&gt;0)</f>
        <v>0</v>
      </c>
      <c r="T140" s="124" t="n">
        <f aca="false">IF(IFERROR(INDEX(tsk_Name,GanttView[[#This Row],[_Row]])="",TRUE()),0,N(INDEX(tsk_Deadline,GanttView[[#This Row],[_Row]])))</f>
        <v>0</v>
      </c>
      <c r="U140" s="123" t="b">
        <f aca="false">IF(IFERROR(INDEX(tsk_Name,GanttView[[#This Row],[_Row]])="",TRUE()),FALSE(),INDEX(tsk_Critical,GanttView[[#This Row],[_Row]])="Yes")</f>
        <v>0</v>
      </c>
    </row>
    <row r="141" customFormat="false" ht="15" hidden="false" customHeight="false" outlineLevel="0" collapsed="false">
      <c r="A141" s="117" t="str">
        <f aca="false">IF(IFERROR(INDEX(tsk_Name,GanttView[[#This Row],[_Row]])="",TRUE()),"",INDEX(tsk_ID,GanttView[[#This Row],[_Row]]))</f>
        <v/>
      </c>
      <c r="B141" s="117" t="str">
        <f aca="false">IF(IFERROR(INDEX(tsk_Name,GanttView[[#This Row],[_Row]])="",TRUE()),"",INDEX(tsk_WBS,GanttView[[#This Row],[_Row]]))</f>
        <v/>
      </c>
      <c r="C141" s="118" t="str">
        <f aca="false">IF(IFERROR(INDEX(tsk_Name,GanttView[[#This Row],[_Row]])="",TRUE()),"",REPT("    ",INDEX(tsk_Level,GanttView[[#This Row],[_Row]])-1)&amp;INDEX(tsk_Name,GanttView[[#This Row],[_Row]]))</f>
        <v/>
      </c>
      <c r="D141" s="117" t="str">
        <f aca="false">IF(IFERROR(INDEX(tsk_Name,GanttView[[#This Row],[_Row]])="",TRUE()),"",IF(INDEX(tsk_IsSummary,GanttView[[#This Row],[_Row]]),NETWORKDAYS.INTL(INDEX(tsk_FcStart,GanttView[[#This Row],[_Row]]),INDEX(tsk_FcFinish,GanttView[[#This Row],[_Row]]),WorkWeek,Holidays),N(INDEX(tsk_Duration,GanttView[[#This Row],[_Row]]))))</f>
        <v/>
      </c>
      <c r="E141" s="119" t="str">
        <f aca="false">IF(IFERROR(INDEX(tsk_Name,GanttView[[#This Row],[_Row]])="",TRUE()),"",INDEX(tsk_PlanStart,GanttView[[#This Row],[_Row]]))</f>
        <v/>
      </c>
      <c r="F141" s="119" t="str">
        <f aca="false">IF(IFERROR(INDEX(tsk_Name,GanttView[[#This Row],[_Row]])="",TRUE()),"",INDEX(tsk_PlanFinish,GanttView[[#This Row],[_Row]]))</f>
        <v/>
      </c>
      <c r="G141" s="119" t="str">
        <f aca="false">IF(IFERROR(INDEX(tsk_Name,GanttView[[#This Row],[_Row]])="",TRUE()),"",INDEX(tsk_FcStart,GanttView[[#This Row],[_Row]]))</f>
        <v/>
      </c>
      <c r="H141" s="119" t="str">
        <f aca="false">IF(IFERROR(INDEX(tsk_Name,GanttView[[#This Row],[_Row]])="",TRUE()),"",INDEX(tsk_FcFinish,GanttView[[#This Row],[_Row]]))</f>
        <v/>
      </c>
      <c r="I141" s="120" t="str">
        <f aca="false">IF(IFERROR(INDEX(tsk_Name,GanttView[[#This Row],[_Row]])="",TRUE()),"",INDEX(tsk_Progress,GanttView[[#This Row],[_Row]]))</f>
        <v/>
      </c>
      <c r="J141" s="118" t="str">
        <f aca="false">IF(IFERROR(INDEX(tsk_Name,GanttView[[#This Row],[_Row]])="",TRUE()),"",INDEX(tsk_Resource,GanttView[[#This Row],[_Row]])&amp;"")</f>
        <v/>
      </c>
      <c r="K141" s="121" t="str">
        <f aca="false">IF(IFERROR(INDEX(tsk_Name,GanttView[[#This Row],[_Row]])="",TRUE()),"",INDEX(tsk_Status,GanttView[[#This Row],[_Row]]))</f>
        <v/>
      </c>
      <c r="L141" s="122" t="n">
        <f aca="false">ROW()-ROW(GanttView[[#Headers],[ID]])</f>
        <v>136</v>
      </c>
      <c r="M141" s="123" t="b">
        <f aca="false">IF(IFERROR(INDEX(tsk_Name,GanttView[[#This Row],[_Row]])="",TRUE()),FALSE(),INDEX(tsk_IsSummary,GanttView[[#This Row],[_Row]]))</f>
        <v>0</v>
      </c>
      <c r="N141" s="123" t="b">
        <f aca="false">IF(IFERROR(INDEX(tsk_Name,GanttView[[#This Row],[_Row]])="",TRUE()),FALSE(),AND(INDEX(tsk_IsLeaf,GanttView[[#This Row],[_Row]])=1,N(INDEX(tsk_Duration,GanttView[[#This Row],[_Row]]))=0))</f>
        <v>0</v>
      </c>
      <c r="O141" s="124" t="n">
        <f aca="false">IF(IFERROR(INDEX(tsk_Name,GanttView[[#This Row],[_Row]])="",TRUE()),0,IF(AND(INDEX(tsk_IsLeaf,GanttView[[#This Row],[_Row]])=1,NOT(GanttView[[#This Row],[_IsMilestone]]),N(GanttView[[#This Row],[%]])&gt;0),GanttView[[#This Row],[Forecast Start]],0))</f>
        <v>0</v>
      </c>
      <c r="P141" s="124" t="n">
        <f aca="false">IF(GanttView[[#This Row],[_DoneFrom]]=0,0,IF(GanttView[[#This Row],[%]]&gt;=1,GanttView[[#This Row],[Forecast Finish]],MAX(GanttView[[#This Row],[_DoneFrom]],GanttView[[#This Row],[Forecast Start]]+ROUND((GanttView[[#This Row],[Forecast Finish]]-GanttView[[#This Row],[Forecast Start]]+1)*GanttView[[#This Row],[%]],0)-1)))</f>
        <v>0</v>
      </c>
      <c r="Q141" s="124" t="n">
        <f aca="false">IF(IFERROR(INDEX(tsk_Name,GanttView[[#This Row],[_Row]])="",TRUE()),0,IF(OR(INDEX(tsk_IsLeaf,GanttView[[#This Row],[_Row]])&lt;&gt;1,GanttView[[#This Row],[_IsMilestone]],N(GanttView[[#This Row],[%]])&gt;=1),0,IF(GanttView[[#This Row],[_DoneTo]]&gt;0,GanttView[[#This Row],[_DoneTo]]+1,GanttView[[#This Row],[Forecast Start]])))</f>
        <v>0</v>
      </c>
      <c r="R141" s="124" t="n">
        <f aca="false">IF(GanttView[[#This Row],[_RemFrom]]=0,0,GanttView[[#This Row],[Forecast Finish]])</f>
        <v>0</v>
      </c>
      <c r="S141" s="123" t="b">
        <f aca="false">IF(IFERROR(INDEX(tsk_Name,GanttView[[#This Row],[_Row]])="",TRUE()),FALSE(),N(INDEX(tsk_Variance,GanttView[[#This Row],[_Row]]))&gt;0)</f>
        <v>0</v>
      </c>
      <c r="T141" s="124" t="n">
        <f aca="false">IF(IFERROR(INDEX(tsk_Name,GanttView[[#This Row],[_Row]])="",TRUE()),0,N(INDEX(tsk_Deadline,GanttView[[#This Row],[_Row]])))</f>
        <v>0</v>
      </c>
      <c r="U141" s="123" t="b">
        <f aca="false">IF(IFERROR(INDEX(tsk_Name,GanttView[[#This Row],[_Row]])="",TRUE()),FALSE(),INDEX(tsk_Critical,GanttView[[#This Row],[_Row]])="Yes")</f>
        <v>0</v>
      </c>
    </row>
    <row r="142" customFormat="false" ht="15" hidden="false" customHeight="false" outlineLevel="0" collapsed="false">
      <c r="A142" s="117" t="str">
        <f aca="false">IF(IFERROR(INDEX(tsk_Name,GanttView[[#This Row],[_Row]])="",TRUE()),"",INDEX(tsk_ID,GanttView[[#This Row],[_Row]]))</f>
        <v/>
      </c>
      <c r="B142" s="117" t="str">
        <f aca="false">IF(IFERROR(INDEX(tsk_Name,GanttView[[#This Row],[_Row]])="",TRUE()),"",INDEX(tsk_WBS,GanttView[[#This Row],[_Row]]))</f>
        <v/>
      </c>
      <c r="C142" s="118" t="str">
        <f aca="false">IF(IFERROR(INDEX(tsk_Name,GanttView[[#This Row],[_Row]])="",TRUE()),"",REPT("    ",INDEX(tsk_Level,GanttView[[#This Row],[_Row]])-1)&amp;INDEX(tsk_Name,GanttView[[#This Row],[_Row]]))</f>
        <v/>
      </c>
      <c r="D142" s="117" t="str">
        <f aca="false">IF(IFERROR(INDEX(tsk_Name,GanttView[[#This Row],[_Row]])="",TRUE()),"",IF(INDEX(tsk_IsSummary,GanttView[[#This Row],[_Row]]),NETWORKDAYS.INTL(INDEX(tsk_FcStart,GanttView[[#This Row],[_Row]]),INDEX(tsk_FcFinish,GanttView[[#This Row],[_Row]]),WorkWeek,Holidays),N(INDEX(tsk_Duration,GanttView[[#This Row],[_Row]]))))</f>
        <v/>
      </c>
      <c r="E142" s="119" t="str">
        <f aca="false">IF(IFERROR(INDEX(tsk_Name,GanttView[[#This Row],[_Row]])="",TRUE()),"",INDEX(tsk_PlanStart,GanttView[[#This Row],[_Row]]))</f>
        <v/>
      </c>
      <c r="F142" s="119" t="str">
        <f aca="false">IF(IFERROR(INDEX(tsk_Name,GanttView[[#This Row],[_Row]])="",TRUE()),"",INDEX(tsk_PlanFinish,GanttView[[#This Row],[_Row]]))</f>
        <v/>
      </c>
      <c r="G142" s="119" t="str">
        <f aca="false">IF(IFERROR(INDEX(tsk_Name,GanttView[[#This Row],[_Row]])="",TRUE()),"",INDEX(tsk_FcStart,GanttView[[#This Row],[_Row]]))</f>
        <v/>
      </c>
      <c r="H142" s="119" t="str">
        <f aca="false">IF(IFERROR(INDEX(tsk_Name,GanttView[[#This Row],[_Row]])="",TRUE()),"",INDEX(tsk_FcFinish,GanttView[[#This Row],[_Row]]))</f>
        <v/>
      </c>
      <c r="I142" s="120" t="str">
        <f aca="false">IF(IFERROR(INDEX(tsk_Name,GanttView[[#This Row],[_Row]])="",TRUE()),"",INDEX(tsk_Progress,GanttView[[#This Row],[_Row]]))</f>
        <v/>
      </c>
      <c r="J142" s="118" t="str">
        <f aca="false">IF(IFERROR(INDEX(tsk_Name,GanttView[[#This Row],[_Row]])="",TRUE()),"",INDEX(tsk_Resource,GanttView[[#This Row],[_Row]])&amp;"")</f>
        <v/>
      </c>
      <c r="K142" s="121" t="str">
        <f aca="false">IF(IFERROR(INDEX(tsk_Name,GanttView[[#This Row],[_Row]])="",TRUE()),"",INDEX(tsk_Status,GanttView[[#This Row],[_Row]]))</f>
        <v/>
      </c>
      <c r="L142" s="122" t="n">
        <f aca="false">ROW()-ROW(GanttView[[#Headers],[ID]])</f>
        <v>137</v>
      </c>
      <c r="M142" s="123" t="b">
        <f aca="false">IF(IFERROR(INDEX(tsk_Name,GanttView[[#This Row],[_Row]])="",TRUE()),FALSE(),INDEX(tsk_IsSummary,GanttView[[#This Row],[_Row]]))</f>
        <v>0</v>
      </c>
      <c r="N142" s="123" t="b">
        <f aca="false">IF(IFERROR(INDEX(tsk_Name,GanttView[[#This Row],[_Row]])="",TRUE()),FALSE(),AND(INDEX(tsk_IsLeaf,GanttView[[#This Row],[_Row]])=1,N(INDEX(tsk_Duration,GanttView[[#This Row],[_Row]]))=0))</f>
        <v>0</v>
      </c>
      <c r="O142" s="124" t="n">
        <f aca="false">IF(IFERROR(INDEX(tsk_Name,GanttView[[#This Row],[_Row]])="",TRUE()),0,IF(AND(INDEX(tsk_IsLeaf,GanttView[[#This Row],[_Row]])=1,NOT(GanttView[[#This Row],[_IsMilestone]]),N(GanttView[[#This Row],[%]])&gt;0),GanttView[[#This Row],[Forecast Start]],0))</f>
        <v>0</v>
      </c>
      <c r="P142" s="124" t="n">
        <f aca="false">IF(GanttView[[#This Row],[_DoneFrom]]=0,0,IF(GanttView[[#This Row],[%]]&gt;=1,GanttView[[#This Row],[Forecast Finish]],MAX(GanttView[[#This Row],[_DoneFrom]],GanttView[[#This Row],[Forecast Start]]+ROUND((GanttView[[#This Row],[Forecast Finish]]-GanttView[[#This Row],[Forecast Start]]+1)*GanttView[[#This Row],[%]],0)-1)))</f>
        <v>0</v>
      </c>
      <c r="Q142" s="124" t="n">
        <f aca="false">IF(IFERROR(INDEX(tsk_Name,GanttView[[#This Row],[_Row]])="",TRUE()),0,IF(OR(INDEX(tsk_IsLeaf,GanttView[[#This Row],[_Row]])&lt;&gt;1,GanttView[[#This Row],[_IsMilestone]],N(GanttView[[#This Row],[%]])&gt;=1),0,IF(GanttView[[#This Row],[_DoneTo]]&gt;0,GanttView[[#This Row],[_DoneTo]]+1,GanttView[[#This Row],[Forecast Start]])))</f>
        <v>0</v>
      </c>
      <c r="R142" s="124" t="n">
        <f aca="false">IF(GanttView[[#This Row],[_RemFrom]]=0,0,GanttView[[#This Row],[Forecast Finish]])</f>
        <v>0</v>
      </c>
      <c r="S142" s="123" t="b">
        <f aca="false">IF(IFERROR(INDEX(tsk_Name,GanttView[[#This Row],[_Row]])="",TRUE()),FALSE(),N(INDEX(tsk_Variance,GanttView[[#This Row],[_Row]]))&gt;0)</f>
        <v>0</v>
      </c>
      <c r="T142" s="124" t="n">
        <f aca="false">IF(IFERROR(INDEX(tsk_Name,GanttView[[#This Row],[_Row]])="",TRUE()),0,N(INDEX(tsk_Deadline,GanttView[[#This Row],[_Row]])))</f>
        <v>0</v>
      </c>
      <c r="U142" s="123" t="b">
        <f aca="false">IF(IFERROR(INDEX(tsk_Name,GanttView[[#This Row],[_Row]])="",TRUE()),FALSE(),INDEX(tsk_Critical,GanttView[[#This Row],[_Row]])="Yes")</f>
        <v>0</v>
      </c>
    </row>
    <row r="143" customFormat="false" ht="15" hidden="false" customHeight="false" outlineLevel="0" collapsed="false">
      <c r="A143" s="117" t="str">
        <f aca="false">IF(IFERROR(INDEX(tsk_Name,GanttView[[#This Row],[_Row]])="",TRUE()),"",INDEX(tsk_ID,GanttView[[#This Row],[_Row]]))</f>
        <v/>
      </c>
      <c r="B143" s="117" t="str">
        <f aca="false">IF(IFERROR(INDEX(tsk_Name,GanttView[[#This Row],[_Row]])="",TRUE()),"",INDEX(tsk_WBS,GanttView[[#This Row],[_Row]]))</f>
        <v/>
      </c>
      <c r="C143" s="118" t="str">
        <f aca="false">IF(IFERROR(INDEX(tsk_Name,GanttView[[#This Row],[_Row]])="",TRUE()),"",REPT("    ",INDEX(tsk_Level,GanttView[[#This Row],[_Row]])-1)&amp;INDEX(tsk_Name,GanttView[[#This Row],[_Row]]))</f>
        <v/>
      </c>
      <c r="D143" s="117" t="str">
        <f aca="false">IF(IFERROR(INDEX(tsk_Name,GanttView[[#This Row],[_Row]])="",TRUE()),"",IF(INDEX(tsk_IsSummary,GanttView[[#This Row],[_Row]]),NETWORKDAYS.INTL(INDEX(tsk_FcStart,GanttView[[#This Row],[_Row]]),INDEX(tsk_FcFinish,GanttView[[#This Row],[_Row]]),WorkWeek,Holidays),N(INDEX(tsk_Duration,GanttView[[#This Row],[_Row]]))))</f>
        <v/>
      </c>
      <c r="E143" s="119" t="str">
        <f aca="false">IF(IFERROR(INDEX(tsk_Name,GanttView[[#This Row],[_Row]])="",TRUE()),"",INDEX(tsk_PlanStart,GanttView[[#This Row],[_Row]]))</f>
        <v/>
      </c>
      <c r="F143" s="119" t="str">
        <f aca="false">IF(IFERROR(INDEX(tsk_Name,GanttView[[#This Row],[_Row]])="",TRUE()),"",INDEX(tsk_PlanFinish,GanttView[[#This Row],[_Row]]))</f>
        <v/>
      </c>
      <c r="G143" s="119" t="str">
        <f aca="false">IF(IFERROR(INDEX(tsk_Name,GanttView[[#This Row],[_Row]])="",TRUE()),"",INDEX(tsk_FcStart,GanttView[[#This Row],[_Row]]))</f>
        <v/>
      </c>
      <c r="H143" s="119" t="str">
        <f aca="false">IF(IFERROR(INDEX(tsk_Name,GanttView[[#This Row],[_Row]])="",TRUE()),"",INDEX(tsk_FcFinish,GanttView[[#This Row],[_Row]]))</f>
        <v/>
      </c>
      <c r="I143" s="120" t="str">
        <f aca="false">IF(IFERROR(INDEX(tsk_Name,GanttView[[#This Row],[_Row]])="",TRUE()),"",INDEX(tsk_Progress,GanttView[[#This Row],[_Row]]))</f>
        <v/>
      </c>
      <c r="J143" s="118" t="str">
        <f aca="false">IF(IFERROR(INDEX(tsk_Name,GanttView[[#This Row],[_Row]])="",TRUE()),"",INDEX(tsk_Resource,GanttView[[#This Row],[_Row]])&amp;"")</f>
        <v/>
      </c>
      <c r="K143" s="121" t="str">
        <f aca="false">IF(IFERROR(INDEX(tsk_Name,GanttView[[#This Row],[_Row]])="",TRUE()),"",INDEX(tsk_Status,GanttView[[#This Row],[_Row]]))</f>
        <v/>
      </c>
      <c r="L143" s="122" t="n">
        <f aca="false">ROW()-ROW(GanttView[[#Headers],[ID]])</f>
        <v>138</v>
      </c>
      <c r="M143" s="123" t="b">
        <f aca="false">IF(IFERROR(INDEX(tsk_Name,GanttView[[#This Row],[_Row]])="",TRUE()),FALSE(),INDEX(tsk_IsSummary,GanttView[[#This Row],[_Row]]))</f>
        <v>0</v>
      </c>
      <c r="N143" s="123" t="b">
        <f aca="false">IF(IFERROR(INDEX(tsk_Name,GanttView[[#This Row],[_Row]])="",TRUE()),FALSE(),AND(INDEX(tsk_IsLeaf,GanttView[[#This Row],[_Row]])=1,N(INDEX(tsk_Duration,GanttView[[#This Row],[_Row]]))=0))</f>
        <v>0</v>
      </c>
      <c r="O143" s="124" t="n">
        <f aca="false">IF(IFERROR(INDEX(tsk_Name,GanttView[[#This Row],[_Row]])="",TRUE()),0,IF(AND(INDEX(tsk_IsLeaf,GanttView[[#This Row],[_Row]])=1,NOT(GanttView[[#This Row],[_IsMilestone]]),N(GanttView[[#This Row],[%]])&gt;0),GanttView[[#This Row],[Forecast Start]],0))</f>
        <v>0</v>
      </c>
      <c r="P143" s="124" t="n">
        <f aca="false">IF(GanttView[[#This Row],[_DoneFrom]]=0,0,IF(GanttView[[#This Row],[%]]&gt;=1,GanttView[[#This Row],[Forecast Finish]],MAX(GanttView[[#This Row],[_DoneFrom]],GanttView[[#This Row],[Forecast Start]]+ROUND((GanttView[[#This Row],[Forecast Finish]]-GanttView[[#This Row],[Forecast Start]]+1)*GanttView[[#This Row],[%]],0)-1)))</f>
        <v>0</v>
      </c>
      <c r="Q143" s="124" t="n">
        <f aca="false">IF(IFERROR(INDEX(tsk_Name,GanttView[[#This Row],[_Row]])="",TRUE()),0,IF(OR(INDEX(tsk_IsLeaf,GanttView[[#This Row],[_Row]])&lt;&gt;1,GanttView[[#This Row],[_IsMilestone]],N(GanttView[[#This Row],[%]])&gt;=1),0,IF(GanttView[[#This Row],[_DoneTo]]&gt;0,GanttView[[#This Row],[_DoneTo]]+1,GanttView[[#This Row],[Forecast Start]])))</f>
        <v>0</v>
      </c>
      <c r="R143" s="124" t="n">
        <f aca="false">IF(GanttView[[#This Row],[_RemFrom]]=0,0,GanttView[[#This Row],[Forecast Finish]])</f>
        <v>0</v>
      </c>
      <c r="S143" s="123" t="b">
        <f aca="false">IF(IFERROR(INDEX(tsk_Name,GanttView[[#This Row],[_Row]])="",TRUE()),FALSE(),N(INDEX(tsk_Variance,GanttView[[#This Row],[_Row]]))&gt;0)</f>
        <v>0</v>
      </c>
      <c r="T143" s="124" t="n">
        <f aca="false">IF(IFERROR(INDEX(tsk_Name,GanttView[[#This Row],[_Row]])="",TRUE()),0,N(INDEX(tsk_Deadline,GanttView[[#This Row],[_Row]])))</f>
        <v>0</v>
      </c>
      <c r="U143" s="123" t="b">
        <f aca="false">IF(IFERROR(INDEX(tsk_Name,GanttView[[#This Row],[_Row]])="",TRUE()),FALSE(),INDEX(tsk_Critical,GanttView[[#This Row],[_Row]])="Yes")</f>
        <v>0</v>
      </c>
    </row>
    <row r="144" customFormat="false" ht="15" hidden="false" customHeight="false" outlineLevel="0" collapsed="false">
      <c r="A144" s="117" t="str">
        <f aca="false">IF(IFERROR(INDEX(tsk_Name,GanttView[[#This Row],[_Row]])="",TRUE()),"",INDEX(tsk_ID,GanttView[[#This Row],[_Row]]))</f>
        <v/>
      </c>
      <c r="B144" s="117" t="str">
        <f aca="false">IF(IFERROR(INDEX(tsk_Name,GanttView[[#This Row],[_Row]])="",TRUE()),"",INDEX(tsk_WBS,GanttView[[#This Row],[_Row]]))</f>
        <v/>
      </c>
      <c r="C144" s="118" t="str">
        <f aca="false">IF(IFERROR(INDEX(tsk_Name,GanttView[[#This Row],[_Row]])="",TRUE()),"",REPT("    ",INDEX(tsk_Level,GanttView[[#This Row],[_Row]])-1)&amp;INDEX(tsk_Name,GanttView[[#This Row],[_Row]]))</f>
        <v/>
      </c>
      <c r="D144" s="117" t="str">
        <f aca="false">IF(IFERROR(INDEX(tsk_Name,GanttView[[#This Row],[_Row]])="",TRUE()),"",IF(INDEX(tsk_IsSummary,GanttView[[#This Row],[_Row]]),NETWORKDAYS.INTL(INDEX(tsk_FcStart,GanttView[[#This Row],[_Row]]),INDEX(tsk_FcFinish,GanttView[[#This Row],[_Row]]),WorkWeek,Holidays),N(INDEX(tsk_Duration,GanttView[[#This Row],[_Row]]))))</f>
        <v/>
      </c>
      <c r="E144" s="119" t="str">
        <f aca="false">IF(IFERROR(INDEX(tsk_Name,GanttView[[#This Row],[_Row]])="",TRUE()),"",INDEX(tsk_PlanStart,GanttView[[#This Row],[_Row]]))</f>
        <v/>
      </c>
      <c r="F144" s="119" t="str">
        <f aca="false">IF(IFERROR(INDEX(tsk_Name,GanttView[[#This Row],[_Row]])="",TRUE()),"",INDEX(tsk_PlanFinish,GanttView[[#This Row],[_Row]]))</f>
        <v/>
      </c>
      <c r="G144" s="119" t="str">
        <f aca="false">IF(IFERROR(INDEX(tsk_Name,GanttView[[#This Row],[_Row]])="",TRUE()),"",INDEX(tsk_FcStart,GanttView[[#This Row],[_Row]]))</f>
        <v/>
      </c>
      <c r="H144" s="119" t="str">
        <f aca="false">IF(IFERROR(INDEX(tsk_Name,GanttView[[#This Row],[_Row]])="",TRUE()),"",INDEX(tsk_FcFinish,GanttView[[#This Row],[_Row]]))</f>
        <v/>
      </c>
      <c r="I144" s="120" t="str">
        <f aca="false">IF(IFERROR(INDEX(tsk_Name,GanttView[[#This Row],[_Row]])="",TRUE()),"",INDEX(tsk_Progress,GanttView[[#This Row],[_Row]]))</f>
        <v/>
      </c>
      <c r="J144" s="118" t="str">
        <f aca="false">IF(IFERROR(INDEX(tsk_Name,GanttView[[#This Row],[_Row]])="",TRUE()),"",INDEX(tsk_Resource,GanttView[[#This Row],[_Row]])&amp;"")</f>
        <v/>
      </c>
      <c r="K144" s="121" t="str">
        <f aca="false">IF(IFERROR(INDEX(tsk_Name,GanttView[[#This Row],[_Row]])="",TRUE()),"",INDEX(tsk_Status,GanttView[[#This Row],[_Row]]))</f>
        <v/>
      </c>
      <c r="L144" s="122" t="n">
        <f aca="false">ROW()-ROW(GanttView[[#Headers],[ID]])</f>
        <v>139</v>
      </c>
      <c r="M144" s="123" t="b">
        <f aca="false">IF(IFERROR(INDEX(tsk_Name,GanttView[[#This Row],[_Row]])="",TRUE()),FALSE(),INDEX(tsk_IsSummary,GanttView[[#This Row],[_Row]]))</f>
        <v>0</v>
      </c>
      <c r="N144" s="123" t="b">
        <f aca="false">IF(IFERROR(INDEX(tsk_Name,GanttView[[#This Row],[_Row]])="",TRUE()),FALSE(),AND(INDEX(tsk_IsLeaf,GanttView[[#This Row],[_Row]])=1,N(INDEX(tsk_Duration,GanttView[[#This Row],[_Row]]))=0))</f>
        <v>0</v>
      </c>
      <c r="O144" s="124" t="n">
        <f aca="false">IF(IFERROR(INDEX(tsk_Name,GanttView[[#This Row],[_Row]])="",TRUE()),0,IF(AND(INDEX(tsk_IsLeaf,GanttView[[#This Row],[_Row]])=1,NOT(GanttView[[#This Row],[_IsMilestone]]),N(GanttView[[#This Row],[%]])&gt;0),GanttView[[#This Row],[Forecast Start]],0))</f>
        <v>0</v>
      </c>
      <c r="P144" s="124" t="n">
        <f aca="false">IF(GanttView[[#This Row],[_DoneFrom]]=0,0,IF(GanttView[[#This Row],[%]]&gt;=1,GanttView[[#This Row],[Forecast Finish]],MAX(GanttView[[#This Row],[_DoneFrom]],GanttView[[#This Row],[Forecast Start]]+ROUND((GanttView[[#This Row],[Forecast Finish]]-GanttView[[#This Row],[Forecast Start]]+1)*GanttView[[#This Row],[%]],0)-1)))</f>
        <v>0</v>
      </c>
      <c r="Q144" s="124" t="n">
        <f aca="false">IF(IFERROR(INDEX(tsk_Name,GanttView[[#This Row],[_Row]])="",TRUE()),0,IF(OR(INDEX(tsk_IsLeaf,GanttView[[#This Row],[_Row]])&lt;&gt;1,GanttView[[#This Row],[_IsMilestone]],N(GanttView[[#This Row],[%]])&gt;=1),0,IF(GanttView[[#This Row],[_DoneTo]]&gt;0,GanttView[[#This Row],[_DoneTo]]+1,GanttView[[#This Row],[Forecast Start]])))</f>
        <v>0</v>
      </c>
      <c r="R144" s="124" t="n">
        <f aca="false">IF(GanttView[[#This Row],[_RemFrom]]=0,0,GanttView[[#This Row],[Forecast Finish]])</f>
        <v>0</v>
      </c>
      <c r="S144" s="123" t="b">
        <f aca="false">IF(IFERROR(INDEX(tsk_Name,GanttView[[#This Row],[_Row]])="",TRUE()),FALSE(),N(INDEX(tsk_Variance,GanttView[[#This Row],[_Row]]))&gt;0)</f>
        <v>0</v>
      </c>
      <c r="T144" s="124" t="n">
        <f aca="false">IF(IFERROR(INDEX(tsk_Name,GanttView[[#This Row],[_Row]])="",TRUE()),0,N(INDEX(tsk_Deadline,GanttView[[#This Row],[_Row]])))</f>
        <v>0</v>
      </c>
      <c r="U144" s="123" t="b">
        <f aca="false">IF(IFERROR(INDEX(tsk_Name,GanttView[[#This Row],[_Row]])="",TRUE()),FALSE(),INDEX(tsk_Critical,GanttView[[#This Row],[_Row]])="Yes")</f>
        <v>0</v>
      </c>
    </row>
    <row r="145" customFormat="false" ht="15" hidden="false" customHeight="false" outlineLevel="0" collapsed="false">
      <c r="A145" s="117" t="str">
        <f aca="false">IF(IFERROR(INDEX(tsk_Name,GanttView[[#This Row],[_Row]])="",TRUE()),"",INDEX(tsk_ID,GanttView[[#This Row],[_Row]]))</f>
        <v/>
      </c>
      <c r="B145" s="117" t="str">
        <f aca="false">IF(IFERROR(INDEX(tsk_Name,GanttView[[#This Row],[_Row]])="",TRUE()),"",INDEX(tsk_WBS,GanttView[[#This Row],[_Row]]))</f>
        <v/>
      </c>
      <c r="C145" s="118" t="str">
        <f aca="false">IF(IFERROR(INDEX(tsk_Name,GanttView[[#This Row],[_Row]])="",TRUE()),"",REPT("    ",INDEX(tsk_Level,GanttView[[#This Row],[_Row]])-1)&amp;INDEX(tsk_Name,GanttView[[#This Row],[_Row]]))</f>
        <v/>
      </c>
      <c r="D145" s="117" t="str">
        <f aca="false">IF(IFERROR(INDEX(tsk_Name,GanttView[[#This Row],[_Row]])="",TRUE()),"",IF(INDEX(tsk_IsSummary,GanttView[[#This Row],[_Row]]),NETWORKDAYS.INTL(INDEX(tsk_FcStart,GanttView[[#This Row],[_Row]]),INDEX(tsk_FcFinish,GanttView[[#This Row],[_Row]]),WorkWeek,Holidays),N(INDEX(tsk_Duration,GanttView[[#This Row],[_Row]]))))</f>
        <v/>
      </c>
      <c r="E145" s="119" t="str">
        <f aca="false">IF(IFERROR(INDEX(tsk_Name,GanttView[[#This Row],[_Row]])="",TRUE()),"",INDEX(tsk_PlanStart,GanttView[[#This Row],[_Row]]))</f>
        <v/>
      </c>
      <c r="F145" s="119" t="str">
        <f aca="false">IF(IFERROR(INDEX(tsk_Name,GanttView[[#This Row],[_Row]])="",TRUE()),"",INDEX(tsk_PlanFinish,GanttView[[#This Row],[_Row]]))</f>
        <v/>
      </c>
      <c r="G145" s="119" t="str">
        <f aca="false">IF(IFERROR(INDEX(tsk_Name,GanttView[[#This Row],[_Row]])="",TRUE()),"",INDEX(tsk_FcStart,GanttView[[#This Row],[_Row]]))</f>
        <v/>
      </c>
      <c r="H145" s="119" t="str">
        <f aca="false">IF(IFERROR(INDEX(tsk_Name,GanttView[[#This Row],[_Row]])="",TRUE()),"",INDEX(tsk_FcFinish,GanttView[[#This Row],[_Row]]))</f>
        <v/>
      </c>
      <c r="I145" s="120" t="str">
        <f aca="false">IF(IFERROR(INDEX(tsk_Name,GanttView[[#This Row],[_Row]])="",TRUE()),"",INDEX(tsk_Progress,GanttView[[#This Row],[_Row]]))</f>
        <v/>
      </c>
      <c r="J145" s="118" t="str">
        <f aca="false">IF(IFERROR(INDEX(tsk_Name,GanttView[[#This Row],[_Row]])="",TRUE()),"",INDEX(tsk_Resource,GanttView[[#This Row],[_Row]])&amp;"")</f>
        <v/>
      </c>
      <c r="K145" s="121" t="str">
        <f aca="false">IF(IFERROR(INDEX(tsk_Name,GanttView[[#This Row],[_Row]])="",TRUE()),"",INDEX(tsk_Status,GanttView[[#This Row],[_Row]]))</f>
        <v/>
      </c>
      <c r="L145" s="122" t="n">
        <f aca="false">ROW()-ROW(GanttView[[#Headers],[ID]])</f>
        <v>140</v>
      </c>
      <c r="M145" s="123" t="b">
        <f aca="false">IF(IFERROR(INDEX(tsk_Name,GanttView[[#This Row],[_Row]])="",TRUE()),FALSE(),INDEX(tsk_IsSummary,GanttView[[#This Row],[_Row]]))</f>
        <v>0</v>
      </c>
      <c r="N145" s="123" t="b">
        <f aca="false">IF(IFERROR(INDEX(tsk_Name,GanttView[[#This Row],[_Row]])="",TRUE()),FALSE(),AND(INDEX(tsk_IsLeaf,GanttView[[#This Row],[_Row]])=1,N(INDEX(tsk_Duration,GanttView[[#This Row],[_Row]]))=0))</f>
        <v>0</v>
      </c>
      <c r="O145" s="124" t="n">
        <f aca="false">IF(IFERROR(INDEX(tsk_Name,GanttView[[#This Row],[_Row]])="",TRUE()),0,IF(AND(INDEX(tsk_IsLeaf,GanttView[[#This Row],[_Row]])=1,NOT(GanttView[[#This Row],[_IsMilestone]]),N(GanttView[[#This Row],[%]])&gt;0),GanttView[[#This Row],[Forecast Start]],0))</f>
        <v>0</v>
      </c>
      <c r="P145" s="124" t="n">
        <f aca="false">IF(GanttView[[#This Row],[_DoneFrom]]=0,0,IF(GanttView[[#This Row],[%]]&gt;=1,GanttView[[#This Row],[Forecast Finish]],MAX(GanttView[[#This Row],[_DoneFrom]],GanttView[[#This Row],[Forecast Start]]+ROUND((GanttView[[#This Row],[Forecast Finish]]-GanttView[[#This Row],[Forecast Start]]+1)*GanttView[[#This Row],[%]],0)-1)))</f>
        <v>0</v>
      </c>
      <c r="Q145" s="124" t="n">
        <f aca="false">IF(IFERROR(INDEX(tsk_Name,GanttView[[#This Row],[_Row]])="",TRUE()),0,IF(OR(INDEX(tsk_IsLeaf,GanttView[[#This Row],[_Row]])&lt;&gt;1,GanttView[[#This Row],[_IsMilestone]],N(GanttView[[#This Row],[%]])&gt;=1),0,IF(GanttView[[#This Row],[_DoneTo]]&gt;0,GanttView[[#This Row],[_DoneTo]]+1,GanttView[[#This Row],[Forecast Start]])))</f>
        <v>0</v>
      </c>
      <c r="R145" s="124" t="n">
        <f aca="false">IF(GanttView[[#This Row],[_RemFrom]]=0,0,GanttView[[#This Row],[Forecast Finish]])</f>
        <v>0</v>
      </c>
      <c r="S145" s="123" t="b">
        <f aca="false">IF(IFERROR(INDEX(tsk_Name,GanttView[[#This Row],[_Row]])="",TRUE()),FALSE(),N(INDEX(tsk_Variance,GanttView[[#This Row],[_Row]]))&gt;0)</f>
        <v>0</v>
      </c>
      <c r="T145" s="124" t="n">
        <f aca="false">IF(IFERROR(INDEX(tsk_Name,GanttView[[#This Row],[_Row]])="",TRUE()),0,N(INDEX(tsk_Deadline,GanttView[[#This Row],[_Row]])))</f>
        <v>0</v>
      </c>
      <c r="U145" s="123" t="b">
        <f aca="false">IF(IFERROR(INDEX(tsk_Name,GanttView[[#This Row],[_Row]])="",TRUE()),FALSE(),INDEX(tsk_Critical,GanttView[[#This Row],[_Row]])="Yes")</f>
        <v>0</v>
      </c>
    </row>
    <row r="146" customFormat="false" ht="15" hidden="false" customHeight="false" outlineLevel="0" collapsed="false">
      <c r="A146" s="117" t="str">
        <f aca="false">IF(IFERROR(INDEX(tsk_Name,GanttView[[#This Row],[_Row]])="",TRUE()),"",INDEX(tsk_ID,GanttView[[#This Row],[_Row]]))</f>
        <v/>
      </c>
      <c r="B146" s="117" t="str">
        <f aca="false">IF(IFERROR(INDEX(tsk_Name,GanttView[[#This Row],[_Row]])="",TRUE()),"",INDEX(tsk_WBS,GanttView[[#This Row],[_Row]]))</f>
        <v/>
      </c>
      <c r="C146" s="118" t="str">
        <f aca="false">IF(IFERROR(INDEX(tsk_Name,GanttView[[#This Row],[_Row]])="",TRUE()),"",REPT("    ",INDEX(tsk_Level,GanttView[[#This Row],[_Row]])-1)&amp;INDEX(tsk_Name,GanttView[[#This Row],[_Row]]))</f>
        <v/>
      </c>
      <c r="D146" s="117" t="str">
        <f aca="false">IF(IFERROR(INDEX(tsk_Name,GanttView[[#This Row],[_Row]])="",TRUE()),"",IF(INDEX(tsk_IsSummary,GanttView[[#This Row],[_Row]]),NETWORKDAYS.INTL(INDEX(tsk_FcStart,GanttView[[#This Row],[_Row]]),INDEX(tsk_FcFinish,GanttView[[#This Row],[_Row]]),WorkWeek,Holidays),N(INDEX(tsk_Duration,GanttView[[#This Row],[_Row]]))))</f>
        <v/>
      </c>
      <c r="E146" s="119" t="str">
        <f aca="false">IF(IFERROR(INDEX(tsk_Name,GanttView[[#This Row],[_Row]])="",TRUE()),"",INDEX(tsk_PlanStart,GanttView[[#This Row],[_Row]]))</f>
        <v/>
      </c>
      <c r="F146" s="119" t="str">
        <f aca="false">IF(IFERROR(INDEX(tsk_Name,GanttView[[#This Row],[_Row]])="",TRUE()),"",INDEX(tsk_PlanFinish,GanttView[[#This Row],[_Row]]))</f>
        <v/>
      </c>
      <c r="G146" s="119" t="str">
        <f aca="false">IF(IFERROR(INDEX(tsk_Name,GanttView[[#This Row],[_Row]])="",TRUE()),"",INDEX(tsk_FcStart,GanttView[[#This Row],[_Row]]))</f>
        <v/>
      </c>
      <c r="H146" s="119" t="str">
        <f aca="false">IF(IFERROR(INDEX(tsk_Name,GanttView[[#This Row],[_Row]])="",TRUE()),"",INDEX(tsk_FcFinish,GanttView[[#This Row],[_Row]]))</f>
        <v/>
      </c>
      <c r="I146" s="120" t="str">
        <f aca="false">IF(IFERROR(INDEX(tsk_Name,GanttView[[#This Row],[_Row]])="",TRUE()),"",INDEX(tsk_Progress,GanttView[[#This Row],[_Row]]))</f>
        <v/>
      </c>
      <c r="J146" s="118" t="str">
        <f aca="false">IF(IFERROR(INDEX(tsk_Name,GanttView[[#This Row],[_Row]])="",TRUE()),"",INDEX(tsk_Resource,GanttView[[#This Row],[_Row]])&amp;"")</f>
        <v/>
      </c>
      <c r="K146" s="121" t="str">
        <f aca="false">IF(IFERROR(INDEX(tsk_Name,GanttView[[#This Row],[_Row]])="",TRUE()),"",INDEX(tsk_Status,GanttView[[#This Row],[_Row]]))</f>
        <v/>
      </c>
      <c r="L146" s="122" t="n">
        <f aca="false">ROW()-ROW(GanttView[[#Headers],[ID]])</f>
        <v>141</v>
      </c>
      <c r="M146" s="123" t="b">
        <f aca="false">IF(IFERROR(INDEX(tsk_Name,GanttView[[#This Row],[_Row]])="",TRUE()),FALSE(),INDEX(tsk_IsSummary,GanttView[[#This Row],[_Row]]))</f>
        <v>0</v>
      </c>
      <c r="N146" s="123" t="b">
        <f aca="false">IF(IFERROR(INDEX(tsk_Name,GanttView[[#This Row],[_Row]])="",TRUE()),FALSE(),AND(INDEX(tsk_IsLeaf,GanttView[[#This Row],[_Row]])=1,N(INDEX(tsk_Duration,GanttView[[#This Row],[_Row]]))=0))</f>
        <v>0</v>
      </c>
      <c r="O146" s="124" t="n">
        <f aca="false">IF(IFERROR(INDEX(tsk_Name,GanttView[[#This Row],[_Row]])="",TRUE()),0,IF(AND(INDEX(tsk_IsLeaf,GanttView[[#This Row],[_Row]])=1,NOT(GanttView[[#This Row],[_IsMilestone]]),N(GanttView[[#This Row],[%]])&gt;0),GanttView[[#This Row],[Forecast Start]],0))</f>
        <v>0</v>
      </c>
      <c r="P146" s="124" t="n">
        <f aca="false">IF(GanttView[[#This Row],[_DoneFrom]]=0,0,IF(GanttView[[#This Row],[%]]&gt;=1,GanttView[[#This Row],[Forecast Finish]],MAX(GanttView[[#This Row],[_DoneFrom]],GanttView[[#This Row],[Forecast Start]]+ROUND((GanttView[[#This Row],[Forecast Finish]]-GanttView[[#This Row],[Forecast Start]]+1)*GanttView[[#This Row],[%]],0)-1)))</f>
        <v>0</v>
      </c>
      <c r="Q146" s="124" t="n">
        <f aca="false">IF(IFERROR(INDEX(tsk_Name,GanttView[[#This Row],[_Row]])="",TRUE()),0,IF(OR(INDEX(tsk_IsLeaf,GanttView[[#This Row],[_Row]])&lt;&gt;1,GanttView[[#This Row],[_IsMilestone]],N(GanttView[[#This Row],[%]])&gt;=1),0,IF(GanttView[[#This Row],[_DoneTo]]&gt;0,GanttView[[#This Row],[_DoneTo]]+1,GanttView[[#This Row],[Forecast Start]])))</f>
        <v>0</v>
      </c>
      <c r="R146" s="124" t="n">
        <f aca="false">IF(GanttView[[#This Row],[_RemFrom]]=0,0,GanttView[[#This Row],[Forecast Finish]])</f>
        <v>0</v>
      </c>
      <c r="S146" s="123" t="b">
        <f aca="false">IF(IFERROR(INDEX(tsk_Name,GanttView[[#This Row],[_Row]])="",TRUE()),FALSE(),N(INDEX(tsk_Variance,GanttView[[#This Row],[_Row]]))&gt;0)</f>
        <v>0</v>
      </c>
      <c r="T146" s="124" t="n">
        <f aca="false">IF(IFERROR(INDEX(tsk_Name,GanttView[[#This Row],[_Row]])="",TRUE()),0,N(INDEX(tsk_Deadline,GanttView[[#This Row],[_Row]])))</f>
        <v>0</v>
      </c>
      <c r="U146" s="123" t="b">
        <f aca="false">IF(IFERROR(INDEX(tsk_Name,GanttView[[#This Row],[_Row]])="",TRUE()),FALSE(),INDEX(tsk_Critical,GanttView[[#This Row],[_Row]])="Yes")</f>
        <v>0</v>
      </c>
    </row>
    <row r="147" customFormat="false" ht="15" hidden="false" customHeight="false" outlineLevel="0" collapsed="false">
      <c r="A147" s="117" t="str">
        <f aca="false">IF(IFERROR(INDEX(tsk_Name,GanttView[[#This Row],[_Row]])="",TRUE()),"",INDEX(tsk_ID,GanttView[[#This Row],[_Row]]))</f>
        <v/>
      </c>
      <c r="B147" s="117" t="str">
        <f aca="false">IF(IFERROR(INDEX(tsk_Name,GanttView[[#This Row],[_Row]])="",TRUE()),"",INDEX(tsk_WBS,GanttView[[#This Row],[_Row]]))</f>
        <v/>
      </c>
      <c r="C147" s="118" t="str">
        <f aca="false">IF(IFERROR(INDEX(tsk_Name,GanttView[[#This Row],[_Row]])="",TRUE()),"",REPT("    ",INDEX(tsk_Level,GanttView[[#This Row],[_Row]])-1)&amp;INDEX(tsk_Name,GanttView[[#This Row],[_Row]]))</f>
        <v/>
      </c>
      <c r="D147" s="117" t="str">
        <f aca="false">IF(IFERROR(INDEX(tsk_Name,GanttView[[#This Row],[_Row]])="",TRUE()),"",IF(INDEX(tsk_IsSummary,GanttView[[#This Row],[_Row]]),NETWORKDAYS.INTL(INDEX(tsk_FcStart,GanttView[[#This Row],[_Row]]),INDEX(tsk_FcFinish,GanttView[[#This Row],[_Row]]),WorkWeek,Holidays),N(INDEX(tsk_Duration,GanttView[[#This Row],[_Row]]))))</f>
        <v/>
      </c>
      <c r="E147" s="119" t="str">
        <f aca="false">IF(IFERROR(INDEX(tsk_Name,GanttView[[#This Row],[_Row]])="",TRUE()),"",INDEX(tsk_PlanStart,GanttView[[#This Row],[_Row]]))</f>
        <v/>
      </c>
      <c r="F147" s="119" t="str">
        <f aca="false">IF(IFERROR(INDEX(tsk_Name,GanttView[[#This Row],[_Row]])="",TRUE()),"",INDEX(tsk_PlanFinish,GanttView[[#This Row],[_Row]]))</f>
        <v/>
      </c>
      <c r="G147" s="119" t="str">
        <f aca="false">IF(IFERROR(INDEX(tsk_Name,GanttView[[#This Row],[_Row]])="",TRUE()),"",INDEX(tsk_FcStart,GanttView[[#This Row],[_Row]]))</f>
        <v/>
      </c>
      <c r="H147" s="119" t="str">
        <f aca="false">IF(IFERROR(INDEX(tsk_Name,GanttView[[#This Row],[_Row]])="",TRUE()),"",INDEX(tsk_FcFinish,GanttView[[#This Row],[_Row]]))</f>
        <v/>
      </c>
      <c r="I147" s="120" t="str">
        <f aca="false">IF(IFERROR(INDEX(tsk_Name,GanttView[[#This Row],[_Row]])="",TRUE()),"",INDEX(tsk_Progress,GanttView[[#This Row],[_Row]]))</f>
        <v/>
      </c>
      <c r="J147" s="118" t="str">
        <f aca="false">IF(IFERROR(INDEX(tsk_Name,GanttView[[#This Row],[_Row]])="",TRUE()),"",INDEX(tsk_Resource,GanttView[[#This Row],[_Row]])&amp;"")</f>
        <v/>
      </c>
      <c r="K147" s="121" t="str">
        <f aca="false">IF(IFERROR(INDEX(tsk_Name,GanttView[[#This Row],[_Row]])="",TRUE()),"",INDEX(tsk_Status,GanttView[[#This Row],[_Row]]))</f>
        <v/>
      </c>
      <c r="L147" s="122" t="n">
        <f aca="false">ROW()-ROW(GanttView[[#Headers],[ID]])</f>
        <v>142</v>
      </c>
      <c r="M147" s="123" t="b">
        <f aca="false">IF(IFERROR(INDEX(tsk_Name,GanttView[[#This Row],[_Row]])="",TRUE()),FALSE(),INDEX(tsk_IsSummary,GanttView[[#This Row],[_Row]]))</f>
        <v>0</v>
      </c>
      <c r="N147" s="123" t="b">
        <f aca="false">IF(IFERROR(INDEX(tsk_Name,GanttView[[#This Row],[_Row]])="",TRUE()),FALSE(),AND(INDEX(tsk_IsLeaf,GanttView[[#This Row],[_Row]])=1,N(INDEX(tsk_Duration,GanttView[[#This Row],[_Row]]))=0))</f>
        <v>0</v>
      </c>
      <c r="O147" s="124" t="n">
        <f aca="false">IF(IFERROR(INDEX(tsk_Name,GanttView[[#This Row],[_Row]])="",TRUE()),0,IF(AND(INDEX(tsk_IsLeaf,GanttView[[#This Row],[_Row]])=1,NOT(GanttView[[#This Row],[_IsMilestone]]),N(GanttView[[#This Row],[%]])&gt;0),GanttView[[#This Row],[Forecast Start]],0))</f>
        <v>0</v>
      </c>
      <c r="P147" s="124" t="n">
        <f aca="false">IF(GanttView[[#This Row],[_DoneFrom]]=0,0,IF(GanttView[[#This Row],[%]]&gt;=1,GanttView[[#This Row],[Forecast Finish]],MAX(GanttView[[#This Row],[_DoneFrom]],GanttView[[#This Row],[Forecast Start]]+ROUND((GanttView[[#This Row],[Forecast Finish]]-GanttView[[#This Row],[Forecast Start]]+1)*GanttView[[#This Row],[%]],0)-1)))</f>
        <v>0</v>
      </c>
      <c r="Q147" s="124" t="n">
        <f aca="false">IF(IFERROR(INDEX(tsk_Name,GanttView[[#This Row],[_Row]])="",TRUE()),0,IF(OR(INDEX(tsk_IsLeaf,GanttView[[#This Row],[_Row]])&lt;&gt;1,GanttView[[#This Row],[_IsMilestone]],N(GanttView[[#This Row],[%]])&gt;=1),0,IF(GanttView[[#This Row],[_DoneTo]]&gt;0,GanttView[[#This Row],[_DoneTo]]+1,GanttView[[#This Row],[Forecast Start]])))</f>
        <v>0</v>
      </c>
      <c r="R147" s="124" t="n">
        <f aca="false">IF(GanttView[[#This Row],[_RemFrom]]=0,0,GanttView[[#This Row],[Forecast Finish]])</f>
        <v>0</v>
      </c>
      <c r="S147" s="123" t="b">
        <f aca="false">IF(IFERROR(INDEX(tsk_Name,GanttView[[#This Row],[_Row]])="",TRUE()),FALSE(),N(INDEX(tsk_Variance,GanttView[[#This Row],[_Row]]))&gt;0)</f>
        <v>0</v>
      </c>
      <c r="T147" s="124" t="n">
        <f aca="false">IF(IFERROR(INDEX(tsk_Name,GanttView[[#This Row],[_Row]])="",TRUE()),0,N(INDEX(tsk_Deadline,GanttView[[#This Row],[_Row]])))</f>
        <v>0</v>
      </c>
      <c r="U147" s="123" t="b">
        <f aca="false">IF(IFERROR(INDEX(tsk_Name,GanttView[[#This Row],[_Row]])="",TRUE()),FALSE(),INDEX(tsk_Critical,GanttView[[#This Row],[_Row]])="Yes")</f>
        <v>0</v>
      </c>
    </row>
    <row r="148" customFormat="false" ht="15" hidden="false" customHeight="false" outlineLevel="0" collapsed="false">
      <c r="A148" s="117" t="str">
        <f aca="false">IF(IFERROR(INDEX(tsk_Name,GanttView[[#This Row],[_Row]])="",TRUE()),"",INDEX(tsk_ID,GanttView[[#This Row],[_Row]]))</f>
        <v/>
      </c>
      <c r="B148" s="117" t="str">
        <f aca="false">IF(IFERROR(INDEX(tsk_Name,GanttView[[#This Row],[_Row]])="",TRUE()),"",INDEX(tsk_WBS,GanttView[[#This Row],[_Row]]))</f>
        <v/>
      </c>
      <c r="C148" s="118" t="str">
        <f aca="false">IF(IFERROR(INDEX(tsk_Name,GanttView[[#This Row],[_Row]])="",TRUE()),"",REPT("    ",INDEX(tsk_Level,GanttView[[#This Row],[_Row]])-1)&amp;INDEX(tsk_Name,GanttView[[#This Row],[_Row]]))</f>
        <v/>
      </c>
      <c r="D148" s="117" t="str">
        <f aca="false">IF(IFERROR(INDEX(tsk_Name,GanttView[[#This Row],[_Row]])="",TRUE()),"",IF(INDEX(tsk_IsSummary,GanttView[[#This Row],[_Row]]),NETWORKDAYS.INTL(INDEX(tsk_FcStart,GanttView[[#This Row],[_Row]]),INDEX(tsk_FcFinish,GanttView[[#This Row],[_Row]]),WorkWeek,Holidays),N(INDEX(tsk_Duration,GanttView[[#This Row],[_Row]]))))</f>
        <v/>
      </c>
      <c r="E148" s="119" t="str">
        <f aca="false">IF(IFERROR(INDEX(tsk_Name,GanttView[[#This Row],[_Row]])="",TRUE()),"",INDEX(tsk_PlanStart,GanttView[[#This Row],[_Row]]))</f>
        <v/>
      </c>
      <c r="F148" s="119" t="str">
        <f aca="false">IF(IFERROR(INDEX(tsk_Name,GanttView[[#This Row],[_Row]])="",TRUE()),"",INDEX(tsk_PlanFinish,GanttView[[#This Row],[_Row]]))</f>
        <v/>
      </c>
      <c r="G148" s="119" t="str">
        <f aca="false">IF(IFERROR(INDEX(tsk_Name,GanttView[[#This Row],[_Row]])="",TRUE()),"",INDEX(tsk_FcStart,GanttView[[#This Row],[_Row]]))</f>
        <v/>
      </c>
      <c r="H148" s="119" t="str">
        <f aca="false">IF(IFERROR(INDEX(tsk_Name,GanttView[[#This Row],[_Row]])="",TRUE()),"",INDEX(tsk_FcFinish,GanttView[[#This Row],[_Row]]))</f>
        <v/>
      </c>
      <c r="I148" s="120" t="str">
        <f aca="false">IF(IFERROR(INDEX(tsk_Name,GanttView[[#This Row],[_Row]])="",TRUE()),"",INDEX(tsk_Progress,GanttView[[#This Row],[_Row]]))</f>
        <v/>
      </c>
      <c r="J148" s="118" t="str">
        <f aca="false">IF(IFERROR(INDEX(tsk_Name,GanttView[[#This Row],[_Row]])="",TRUE()),"",INDEX(tsk_Resource,GanttView[[#This Row],[_Row]])&amp;"")</f>
        <v/>
      </c>
      <c r="K148" s="121" t="str">
        <f aca="false">IF(IFERROR(INDEX(tsk_Name,GanttView[[#This Row],[_Row]])="",TRUE()),"",INDEX(tsk_Status,GanttView[[#This Row],[_Row]]))</f>
        <v/>
      </c>
      <c r="L148" s="122" t="n">
        <f aca="false">ROW()-ROW(GanttView[[#Headers],[ID]])</f>
        <v>143</v>
      </c>
      <c r="M148" s="123" t="b">
        <f aca="false">IF(IFERROR(INDEX(tsk_Name,GanttView[[#This Row],[_Row]])="",TRUE()),FALSE(),INDEX(tsk_IsSummary,GanttView[[#This Row],[_Row]]))</f>
        <v>0</v>
      </c>
      <c r="N148" s="123" t="b">
        <f aca="false">IF(IFERROR(INDEX(tsk_Name,GanttView[[#This Row],[_Row]])="",TRUE()),FALSE(),AND(INDEX(tsk_IsLeaf,GanttView[[#This Row],[_Row]])=1,N(INDEX(tsk_Duration,GanttView[[#This Row],[_Row]]))=0))</f>
        <v>0</v>
      </c>
      <c r="O148" s="124" t="n">
        <f aca="false">IF(IFERROR(INDEX(tsk_Name,GanttView[[#This Row],[_Row]])="",TRUE()),0,IF(AND(INDEX(tsk_IsLeaf,GanttView[[#This Row],[_Row]])=1,NOT(GanttView[[#This Row],[_IsMilestone]]),N(GanttView[[#This Row],[%]])&gt;0),GanttView[[#This Row],[Forecast Start]],0))</f>
        <v>0</v>
      </c>
      <c r="P148" s="124" t="n">
        <f aca="false">IF(GanttView[[#This Row],[_DoneFrom]]=0,0,IF(GanttView[[#This Row],[%]]&gt;=1,GanttView[[#This Row],[Forecast Finish]],MAX(GanttView[[#This Row],[_DoneFrom]],GanttView[[#This Row],[Forecast Start]]+ROUND((GanttView[[#This Row],[Forecast Finish]]-GanttView[[#This Row],[Forecast Start]]+1)*GanttView[[#This Row],[%]],0)-1)))</f>
        <v>0</v>
      </c>
      <c r="Q148" s="124" t="n">
        <f aca="false">IF(IFERROR(INDEX(tsk_Name,GanttView[[#This Row],[_Row]])="",TRUE()),0,IF(OR(INDEX(tsk_IsLeaf,GanttView[[#This Row],[_Row]])&lt;&gt;1,GanttView[[#This Row],[_IsMilestone]],N(GanttView[[#This Row],[%]])&gt;=1),0,IF(GanttView[[#This Row],[_DoneTo]]&gt;0,GanttView[[#This Row],[_DoneTo]]+1,GanttView[[#This Row],[Forecast Start]])))</f>
        <v>0</v>
      </c>
      <c r="R148" s="124" t="n">
        <f aca="false">IF(GanttView[[#This Row],[_RemFrom]]=0,0,GanttView[[#This Row],[Forecast Finish]])</f>
        <v>0</v>
      </c>
      <c r="S148" s="123" t="b">
        <f aca="false">IF(IFERROR(INDEX(tsk_Name,GanttView[[#This Row],[_Row]])="",TRUE()),FALSE(),N(INDEX(tsk_Variance,GanttView[[#This Row],[_Row]]))&gt;0)</f>
        <v>0</v>
      </c>
      <c r="T148" s="124" t="n">
        <f aca="false">IF(IFERROR(INDEX(tsk_Name,GanttView[[#This Row],[_Row]])="",TRUE()),0,N(INDEX(tsk_Deadline,GanttView[[#This Row],[_Row]])))</f>
        <v>0</v>
      </c>
      <c r="U148" s="123" t="b">
        <f aca="false">IF(IFERROR(INDEX(tsk_Name,GanttView[[#This Row],[_Row]])="",TRUE()),FALSE(),INDEX(tsk_Critical,GanttView[[#This Row],[_Row]])="Yes")</f>
        <v>0</v>
      </c>
    </row>
    <row r="149" customFormat="false" ht="15" hidden="false" customHeight="false" outlineLevel="0" collapsed="false">
      <c r="A149" s="117" t="str">
        <f aca="false">IF(IFERROR(INDEX(tsk_Name,GanttView[[#This Row],[_Row]])="",TRUE()),"",INDEX(tsk_ID,GanttView[[#This Row],[_Row]]))</f>
        <v/>
      </c>
      <c r="B149" s="117" t="str">
        <f aca="false">IF(IFERROR(INDEX(tsk_Name,GanttView[[#This Row],[_Row]])="",TRUE()),"",INDEX(tsk_WBS,GanttView[[#This Row],[_Row]]))</f>
        <v/>
      </c>
      <c r="C149" s="118" t="str">
        <f aca="false">IF(IFERROR(INDEX(tsk_Name,GanttView[[#This Row],[_Row]])="",TRUE()),"",REPT("    ",INDEX(tsk_Level,GanttView[[#This Row],[_Row]])-1)&amp;INDEX(tsk_Name,GanttView[[#This Row],[_Row]]))</f>
        <v/>
      </c>
      <c r="D149" s="117" t="str">
        <f aca="false">IF(IFERROR(INDEX(tsk_Name,GanttView[[#This Row],[_Row]])="",TRUE()),"",IF(INDEX(tsk_IsSummary,GanttView[[#This Row],[_Row]]),NETWORKDAYS.INTL(INDEX(tsk_FcStart,GanttView[[#This Row],[_Row]]),INDEX(tsk_FcFinish,GanttView[[#This Row],[_Row]]),WorkWeek,Holidays),N(INDEX(tsk_Duration,GanttView[[#This Row],[_Row]]))))</f>
        <v/>
      </c>
      <c r="E149" s="119" t="str">
        <f aca="false">IF(IFERROR(INDEX(tsk_Name,GanttView[[#This Row],[_Row]])="",TRUE()),"",INDEX(tsk_PlanStart,GanttView[[#This Row],[_Row]]))</f>
        <v/>
      </c>
      <c r="F149" s="119" t="str">
        <f aca="false">IF(IFERROR(INDEX(tsk_Name,GanttView[[#This Row],[_Row]])="",TRUE()),"",INDEX(tsk_PlanFinish,GanttView[[#This Row],[_Row]]))</f>
        <v/>
      </c>
      <c r="G149" s="119" t="str">
        <f aca="false">IF(IFERROR(INDEX(tsk_Name,GanttView[[#This Row],[_Row]])="",TRUE()),"",INDEX(tsk_FcStart,GanttView[[#This Row],[_Row]]))</f>
        <v/>
      </c>
      <c r="H149" s="119" t="str">
        <f aca="false">IF(IFERROR(INDEX(tsk_Name,GanttView[[#This Row],[_Row]])="",TRUE()),"",INDEX(tsk_FcFinish,GanttView[[#This Row],[_Row]]))</f>
        <v/>
      </c>
      <c r="I149" s="120" t="str">
        <f aca="false">IF(IFERROR(INDEX(tsk_Name,GanttView[[#This Row],[_Row]])="",TRUE()),"",INDEX(tsk_Progress,GanttView[[#This Row],[_Row]]))</f>
        <v/>
      </c>
      <c r="J149" s="118" t="str">
        <f aca="false">IF(IFERROR(INDEX(tsk_Name,GanttView[[#This Row],[_Row]])="",TRUE()),"",INDEX(tsk_Resource,GanttView[[#This Row],[_Row]])&amp;"")</f>
        <v/>
      </c>
      <c r="K149" s="121" t="str">
        <f aca="false">IF(IFERROR(INDEX(tsk_Name,GanttView[[#This Row],[_Row]])="",TRUE()),"",INDEX(tsk_Status,GanttView[[#This Row],[_Row]]))</f>
        <v/>
      </c>
      <c r="L149" s="122" t="n">
        <f aca="false">ROW()-ROW(GanttView[[#Headers],[ID]])</f>
        <v>144</v>
      </c>
      <c r="M149" s="123" t="b">
        <f aca="false">IF(IFERROR(INDEX(tsk_Name,GanttView[[#This Row],[_Row]])="",TRUE()),FALSE(),INDEX(tsk_IsSummary,GanttView[[#This Row],[_Row]]))</f>
        <v>0</v>
      </c>
      <c r="N149" s="123" t="b">
        <f aca="false">IF(IFERROR(INDEX(tsk_Name,GanttView[[#This Row],[_Row]])="",TRUE()),FALSE(),AND(INDEX(tsk_IsLeaf,GanttView[[#This Row],[_Row]])=1,N(INDEX(tsk_Duration,GanttView[[#This Row],[_Row]]))=0))</f>
        <v>0</v>
      </c>
      <c r="O149" s="124" t="n">
        <f aca="false">IF(IFERROR(INDEX(tsk_Name,GanttView[[#This Row],[_Row]])="",TRUE()),0,IF(AND(INDEX(tsk_IsLeaf,GanttView[[#This Row],[_Row]])=1,NOT(GanttView[[#This Row],[_IsMilestone]]),N(GanttView[[#This Row],[%]])&gt;0),GanttView[[#This Row],[Forecast Start]],0))</f>
        <v>0</v>
      </c>
      <c r="P149" s="124" t="n">
        <f aca="false">IF(GanttView[[#This Row],[_DoneFrom]]=0,0,IF(GanttView[[#This Row],[%]]&gt;=1,GanttView[[#This Row],[Forecast Finish]],MAX(GanttView[[#This Row],[_DoneFrom]],GanttView[[#This Row],[Forecast Start]]+ROUND((GanttView[[#This Row],[Forecast Finish]]-GanttView[[#This Row],[Forecast Start]]+1)*GanttView[[#This Row],[%]],0)-1)))</f>
        <v>0</v>
      </c>
      <c r="Q149" s="124" t="n">
        <f aca="false">IF(IFERROR(INDEX(tsk_Name,GanttView[[#This Row],[_Row]])="",TRUE()),0,IF(OR(INDEX(tsk_IsLeaf,GanttView[[#This Row],[_Row]])&lt;&gt;1,GanttView[[#This Row],[_IsMilestone]],N(GanttView[[#This Row],[%]])&gt;=1),0,IF(GanttView[[#This Row],[_DoneTo]]&gt;0,GanttView[[#This Row],[_DoneTo]]+1,GanttView[[#This Row],[Forecast Start]])))</f>
        <v>0</v>
      </c>
      <c r="R149" s="124" t="n">
        <f aca="false">IF(GanttView[[#This Row],[_RemFrom]]=0,0,GanttView[[#This Row],[Forecast Finish]])</f>
        <v>0</v>
      </c>
      <c r="S149" s="123" t="b">
        <f aca="false">IF(IFERROR(INDEX(tsk_Name,GanttView[[#This Row],[_Row]])="",TRUE()),FALSE(),N(INDEX(tsk_Variance,GanttView[[#This Row],[_Row]]))&gt;0)</f>
        <v>0</v>
      </c>
      <c r="T149" s="124" t="n">
        <f aca="false">IF(IFERROR(INDEX(tsk_Name,GanttView[[#This Row],[_Row]])="",TRUE()),0,N(INDEX(tsk_Deadline,GanttView[[#This Row],[_Row]])))</f>
        <v>0</v>
      </c>
      <c r="U149" s="123" t="b">
        <f aca="false">IF(IFERROR(INDEX(tsk_Name,GanttView[[#This Row],[_Row]])="",TRUE()),FALSE(),INDEX(tsk_Critical,GanttView[[#This Row],[_Row]])="Yes")</f>
        <v>0</v>
      </c>
    </row>
    <row r="150" customFormat="false" ht="15" hidden="false" customHeight="false" outlineLevel="0" collapsed="false">
      <c r="A150" s="117" t="str">
        <f aca="false">IF(IFERROR(INDEX(tsk_Name,GanttView[[#This Row],[_Row]])="",TRUE()),"",INDEX(tsk_ID,GanttView[[#This Row],[_Row]]))</f>
        <v/>
      </c>
      <c r="B150" s="117" t="str">
        <f aca="false">IF(IFERROR(INDEX(tsk_Name,GanttView[[#This Row],[_Row]])="",TRUE()),"",INDEX(tsk_WBS,GanttView[[#This Row],[_Row]]))</f>
        <v/>
      </c>
      <c r="C150" s="118" t="str">
        <f aca="false">IF(IFERROR(INDEX(tsk_Name,GanttView[[#This Row],[_Row]])="",TRUE()),"",REPT("    ",INDEX(tsk_Level,GanttView[[#This Row],[_Row]])-1)&amp;INDEX(tsk_Name,GanttView[[#This Row],[_Row]]))</f>
        <v/>
      </c>
      <c r="D150" s="117" t="str">
        <f aca="false">IF(IFERROR(INDEX(tsk_Name,GanttView[[#This Row],[_Row]])="",TRUE()),"",IF(INDEX(tsk_IsSummary,GanttView[[#This Row],[_Row]]),NETWORKDAYS.INTL(INDEX(tsk_FcStart,GanttView[[#This Row],[_Row]]),INDEX(tsk_FcFinish,GanttView[[#This Row],[_Row]]),WorkWeek,Holidays),N(INDEX(tsk_Duration,GanttView[[#This Row],[_Row]]))))</f>
        <v/>
      </c>
      <c r="E150" s="119" t="str">
        <f aca="false">IF(IFERROR(INDEX(tsk_Name,GanttView[[#This Row],[_Row]])="",TRUE()),"",INDEX(tsk_PlanStart,GanttView[[#This Row],[_Row]]))</f>
        <v/>
      </c>
      <c r="F150" s="119" t="str">
        <f aca="false">IF(IFERROR(INDEX(tsk_Name,GanttView[[#This Row],[_Row]])="",TRUE()),"",INDEX(tsk_PlanFinish,GanttView[[#This Row],[_Row]]))</f>
        <v/>
      </c>
      <c r="G150" s="119" t="str">
        <f aca="false">IF(IFERROR(INDEX(tsk_Name,GanttView[[#This Row],[_Row]])="",TRUE()),"",INDEX(tsk_FcStart,GanttView[[#This Row],[_Row]]))</f>
        <v/>
      </c>
      <c r="H150" s="119" t="str">
        <f aca="false">IF(IFERROR(INDEX(tsk_Name,GanttView[[#This Row],[_Row]])="",TRUE()),"",INDEX(tsk_FcFinish,GanttView[[#This Row],[_Row]]))</f>
        <v/>
      </c>
      <c r="I150" s="120" t="str">
        <f aca="false">IF(IFERROR(INDEX(tsk_Name,GanttView[[#This Row],[_Row]])="",TRUE()),"",INDEX(tsk_Progress,GanttView[[#This Row],[_Row]]))</f>
        <v/>
      </c>
      <c r="J150" s="118" t="str">
        <f aca="false">IF(IFERROR(INDEX(tsk_Name,GanttView[[#This Row],[_Row]])="",TRUE()),"",INDEX(tsk_Resource,GanttView[[#This Row],[_Row]])&amp;"")</f>
        <v/>
      </c>
      <c r="K150" s="121" t="str">
        <f aca="false">IF(IFERROR(INDEX(tsk_Name,GanttView[[#This Row],[_Row]])="",TRUE()),"",INDEX(tsk_Status,GanttView[[#This Row],[_Row]]))</f>
        <v/>
      </c>
      <c r="L150" s="122" t="n">
        <f aca="false">ROW()-ROW(GanttView[[#Headers],[ID]])</f>
        <v>145</v>
      </c>
      <c r="M150" s="123" t="b">
        <f aca="false">IF(IFERROR(INDEX(tsk_Name,GanttView[[#This Row],[_Row]])="",TRUE()),FALSE(),INDEX(tsk_IsSummary,GanttView[[#This Row],[_Row]]))</f>
        <v>0</v>
      </c>
      <c r="N150" s="123" t="b">
        <f aca="false">IF(IFERROR(INDEX(tsk_Name,GanttView[[#This Row],[_Row]])="",TRUE()),FALSE(),AND(INDEX(tsk_IsLeaf,GanttView[[#This Row],[_Row]])=1,N(INDEX(tsk_Duration,GanttView[[#This Row],[_Row]]))=0))</f>
        <v>0</v>
      </c>
      <c r="O150" s="124" t="n">
        <f aca="false">IF(IFERROR(INDEX(tsk_Name,GanttView[[#This Row],[_Row]])="",TRUE()),0,IF(AND(INDEX(tsk_IsLeaf,GanttView[[#This Row],[_Row]])=1,NOT(GanttView[[#This Row],[_IsMilestone]]),N(GanttView[[#This Row],[%]])&gt;0),GanttView[[#This Row],[Forecast Start]],0))</f>
        <v>0</v>
      </c>
      <c r="P150" s="124" t="n">
        <f aca="false">IF(GanttView[[#This Row],[_DoneFrom]]=0,0,IF(GanttView[[#This Row],[%]]&gt;=1,GanttView[[#This Row],[Forecast Finish]],MAX(GanttView[[#This Row],[_DoneFrom]],GanttView[[#This Row],[Forecast Start]]+ROUND((GanttView[[#This Row],[Forecast Finish]]-GanttView[[#This Row],[Forecast Start]]+1)*GanttView[[#This Row],[%]],0)-1)))</f>
        <v>0</v>
      </c>
      <c r="Q150" s="124" t="n">
        <f aca="false">IF(IFERROR(INDEX(tsk_Name,GanttView[[#This Row],[_Row]])="",TRUE()),0,IF(OR(INDEX(tsk_IsLeaf,GanttView[[#This Row],[_Row]])&lt;&gt;1,GanttView[[#This Row],[_IsMilestone]],N(GanttView[[#This Row],[%]])&gt;=1),0,IF(GanttView[[#This Row],[_DoneTo]]&gt;0,GanttView[[#This Row],[_DoneTo]]+1,GanttView[[#This Row],[Forecast Start]])))</f>
        <v>0</v>
      </c>
      <c r="R150" s="124" t="n">
        <f aca="false">IF(GanttView[[#This Row],[_RemFrom]]=0,0,GanttView[[#This Row],[Forecast Finish]])</f>
        <v>0</v>
      </c>
      <c r="S150" s="123" t="b">
        <f aca="false">IF(IFERROR(INDEX(tsk_Name,GanttView[[#This Row],[_Row]])="",TRUE()),FALSE(),N(INDEX(tsk_Variance,GanttView[[#This Row],[_Row]]))&gt;0)</f>
        <v>0</v>
      </c>
      <c r="T150" s="124" t="n">
        <f aca="false">IF(IFERROR(INDEX(tsk_Name,GanttView[[#This Row],[_Row]])="",TRUE()),0,N(INDEX(tsk_Deadline,GanttView[[#This Row],[_Row]])))</f>
        <v>0</v>
      </c>
      <c r="U150" s="123" t="b">
        <f aca="false">IF(IFERROR(INDEX(tsk_Name,GanttView[[#This Row],[_Row]])="",TRUE()),FALSE(),INDEX(tsk_Critical,GanttView[[#This Row],[_Row]])="Yes")</f>
        <v>0</v>
      </c>
    </row>
    <row r="151" customFormat="false" ht="15" hidden="false" customHeight="false" outlineLevel="0" collapsed="false">
      <c r="A151" s="117" t="str">
        <f aca="false">IF(IFERROR(INDEX(tsk_Name,GanttView[[#This Row],[_Row]])="",TRUE()),"",INDEX(tsk_ID,GanttView[[#This Row],[_Row]]))</f>
        <v/>
      </c>
      <c r="B151" s="117" t="str">
        <f aca="false">IF(IFERROR(INDEX(tsk_Name,GanttView[[#This Row],[_Row]])="",TRUE()),"",INDEX(tsk_WBS,GanttView[[#This Row],[_Row]]))</f>
        <v/>
      </c>
      <c r="C151" s="118" t="str">
        <f aca="false">IF(IFERROR(INDEX(tsk_Name,GanttView[[#This Row],[_Row]])="",TRUE()),"",REPT("    ",INDEX(tsk_Level,GanttView[[#This Row],[_Row]])-1)&amp;INDEX(tsk_Name,GanttView[[#This Row],[_Row]]))</f>
        <v/>
      </c>
      <c r="D151" s="117" t="str">
        <f aca="false">IF(IFERROR(INDEX(tsk_Name,GanttView[[#This Row],[_Row]])="",TRUE()),"",IF(INDEX(tsk_IsSummary,GanttView[[#This Row],[_Row]]),NETWORKDAYS.INTL(INDEX(tsk_FcStart,GanttView[[#This Row],[_Row]]),INDEX(tsk_FcFinish,GanttView[[#This Row],[_Row]]),WorkWeek,Holidays),N(INDEX(tsk_Duration,GanttView[[#This Row],[_Row]]))))</f>
        <v/>
      </c>
      <c r="E151" s="119" t="str">
        <f aca="false">IF(IFERROR(INDEX(tsk_Name,GanttView[[#This Row],[_Row]])="",TRUE()),"",INDEX(tsk_PlanStart,GanttView[[#This Row],[_Row]]))</f>
        <v/>
      </c>
      <c r="F151" s="119" t="str">
        <f aca="false">IF(IFERROR(INDEX(tsk_Name,GanttView[[#This Row],[_Row]])="",TRUE()),"",INDEX(tsk_PlanFinish,GanttView[[#This Row],[_Row]]))</f>
        <v/>
      </c>
      <c r="G151" s="119" t="str">
        <f aca="false">IF(IFERROR(INDEX(tsk_Name,GanttView[[#This Row],[_Row]])="",TRUE()),"",INDEX(tsk_FcStart,GanttView[[#This Row],[_Row]]))</f>
        <v/>
      </c>
      <c r="H151" s="119" t="str">
        <f aca="false">IF(IFERROR(INDEX(tsk_Name,GanttView[[#This Row],[_Row]])="",TRUE()),"",INDEX(tsk_FcFinish,GanttView[[#This Row],[_Row]]))</f>
        <v/>
      </c>
      <c r="I151" s="120" t="str">
        <f aca="false">IF(IFERROR(INDEX(tsk_Name,GanttView[[#This Row],[_Row]])="",TRUE()),"",INDEX(tsk_Progress,GanttView[[#This Row],[_Row]]))</f>
        <v/>
      </c>
      <c r="J151" s="118" t="str">
        <f aca="false">IF(IFERROR(INDEX(tsk_Name,GanttView[[#This Row],[_Row]])="",TRUE()),"",INDEX(tsk_Resource,GanttView[[#This Row],[_Row]])&amp;"")</f>
        <v/>
      </c>
      <c r="K151" s="121" t="str">
        <f aca="false">IF(IFERROR(INDEX(tsk_Name,GanttView[[#This Row],[_Row]])="",TRUE()),"",INDEX(tsk_Status,GanttView[[#This Row],[_Row]]))</f>
        <v/>
      </c>
      <c r="L151" s="122" t="n">
        <f aca="false">ROW()-ROW(GanttView[[#Headers],[ID]])</f>
        <v>146</v>
      </c>
      <c r="M151" s="123" t="b">
        <f aca="false">IF(IFERROR(INDEX(tsk_Name,GanttView[[#This Row],[_Row]])="",TRUE()),FALSE(),INDEX(tsk_IsSummary,GanttView[[#This Row],[_Row]]))</f>
        <v>0</v>
      </c>
      <c r="N151" s="123" t="b">
        <f aca="false">IF(IFERROR(INDEX(tsk_Name,GanttView[[#This Row],[_Row]])="",TRUE()),FALSE(),AND(INDEX(tsk_IsLeaf,GanttView[[#This Row],[_Row]])=1,N(INDEX(tsk_Duration,GanttView[[#This Row],[_Row]]))=0))</f>
        <v>0</v>
      </c>
      <c r="O151" s="124" t="n">
        <f aca="false">IF(IFERROR(INDEX(tsk_Name,GanttView[[#This Row],[_Row]])="",TRUE()),0,IF(AND(INDEX(tsk_IsLeaf,GanttView[[#This Row],[_Row]])=1,NOT(GanttView[[#This Row],[_IsMilestone]]),N(GanttView[[#This Row],[%]])&gt;0),GanttView[[#This Row],[Forecast Start]],0))</f>
        <v>0</v>
      </c>
      <c r="P151" s="124" t="n">
        <f aca="false">IF(GanttView[[#This Row],[_DoneFrom]]=0,0,IF(GanttView[[#This Row],[%]]&gt;=1,GanttView[[#This Row],[Forecast Finish]],MAX(GanttView[[#This Row],[_DoneFrom]],GanttView[[#This Row],[Forecast Start]]+ROUND((GanttView[[#This Row],[Forecast Finish]]-GanttView[[#This Row],[Forecast Start]]+1)*GanttView[[#This Row],[%]],0)-1)))</f>
        <v>0</v>
      </c>
      <c r="Q151" s="124" t="n">
        <f aca="false">IF(IFERROR(INDEX(tsk_Name,GanttView[[#This Row],[_Row]])="",TRUE()),0,IF(OR(INDEX(tsk_IsLeaf,GanttView[[#This Row],[_Row]])&lt;&gt;1,GanttView[[#This Row],[_IsMilestone]],N(GanttView[[#This Row],[%]])&gt;=1),0,IF(GanttView[[#This Row],[_DoneTo]]&gt;0,GanttView[[#This Row],[_DoneTo]]+1,GanttView[[#This Row],[Forecast Start]])))</f>
        <v>0</v>
      </c>
      <c r="R151" s="124" t="n">
        <f aca="false">IF(GanttView[[#This Row],[_RemFrom]]=0,0,GanttView[[#This Row],[Forecast Finish]])</f>
        <v>0</v>
      </c>
      <c r="S151" s="123" t="b">
        <f aca="false">IF(IFERROR(INDEX(tsk_Name,GanttView[[#This Row],[_Row]])="",TRUE()),FALSE(),N(INDEX(tsk_Variance,GanttView[[#This Row],[_Row]]))&gt;0)</f>
        <v>0</v>
      </c>
      <c r="T151" s="124" t="n">
        <f aca="false">IF(IFERROR(INDEX(tsk_Name,GanttView[[#This Row],[_Row]])="",TRUE()),0,N(INDEX(tsk_Deadline,GanttView[[#This Row],[_Row]])))</f>
        <v>0</v>
      </c>
      <c r="U151" s="123" t="b">
        <f aca="false">IF(IFERROR(INDEX(tsk_Name,GanttView[[#This Row],[_Row]])="",TRUE()),FALSE(),INDEX(tsk_Critical,GanttView[[#This Row],[_Row]])="Yes")</f>
        <v>0</v>
      </c>
    </row>
    <row r="152" customFormat="false" ht="15" hidden="false" customHeight="false" outlineLevel="0" collapsed="false">
      <c r="A152" s="117" t="str">
        <f aca="false">IF(IFERROR(INDEX(tsk_Name,GanttView[[#This Row],[_Row]])="",TRUE()),"",INDEX(tsk_ID,GanttView[[#This Row],[_Row]]))</f>
        <v/>
      </c>
      <c r="B152" s="117" t="str">
        <f aca="false">IF(IFERROR(INDEX(tsk_Name,GanttView[[#This Row],[_Row]])="",TRUE()),"",INDEX(tsk_WBS,GanttView[[#This Row],[_Row]]))</f>
        <v/>
      </c>
      <c r="C152" s="118" t="str">
        <f aca="false">IF(IFERROR(INDEX(tsk_Name,GanttView[[#This Row],[_Row]])="",TRUE()),"",REPT("    ",INDEX(tsk_Level,GanttView[[#This Row],[_Row]])-1)&amp;INDEX(tsk_Name,GanttView[[#This Row],[_Row]]))</f>
        <v/>
      </c>
      <c r="D152" s="117" t="str">
        <f aca="false">IF(IFERROR(INDEX(tsk_Name,GanttView[[#This Row],[_Row]])="",TRUE()),"",IF(INDEX(tsk_IsSummary,GanttView[[#This Row],[_Row]]),NETWORKDAYS.INTL(INDEX(tsk_FcStart,GanttView[[#This Row],[_Row]]),INDEX(tsk_FcFinish,GanttView[[#This Row],[_Row]]),WorkWeek,Holidays),N(INDEX(tsk_Duration,GanttView[[#This Row],[_Row]]))))</f>
        <v/>
      </c>
      <c r="E152" s="119" t="str">
        <f aca="false">IF(IFERROR(INDEX(tsk_Name,GanttView[[#This Row],[_Row]])="",TRUE()),"",INDEX(tsk_PlanStart,GanttView[[#This Row],[_Row]]))</f>
        <v/>
      </c>
      <c r="F152" s="119" t="str">
        <f aca="false">IF(IFERROR(INDEX(tsk_Name,GanttView[[#This Row],[_Row]])="",TRUE()),"",INDEX(tsk_PlanFinish,GanttView[[#This Row],[_Row]]))</f>
        <v/>
      </c>
      <c r="G152" s="119" t="str">
        <f aca="false">IF(IFERROR(INDEX(tsk_Name,GanttView[[#This Row],[_Row]])="",TRUE()),"",INDEX(tsk_FcStart,GanttView[[#This Row],[_Row]]))</f>
        <v/>
      </c>
      <c r="H152" s="119" t="str">
        <f aca="false">IF(IFERROR(INDEX(tsk_Name,GanttView[[#This Row],[_Row]])="",TRUE()),"",INDEX(tsk_FcFinish,GanttView[[#This Row],[_Row]]))</f>
        <v/>
      </c>
      <c r="I152" s="120" t="str">
        <f aca="false">IF(IFERROR(INDEX(tsk_Name,GanttView[[#This Row],[_Row]])="",TRUE()),"",INDEX(tsk_Progress,GanttView[[#This Row],[_Row]]))</f>
        <v/>
      </c>
      <c r="J152" s="118" t="str">
        <f aca="false">IF(IFERROR(INDEX(tsk_Name,GanttView[[#This Row],[_Row]])="",TRUE()),"",INDEX(tsk_Resource,GanttView[[#This Row],[_Row]])&amp;"")</f>
        <v/>
      </c>
      <c r="K152" s="121" t="str">
        <f aca="false">IF(IFERROR(INDEX(tsk_Name,GanttView[[#This Row],[_Row]])="",TRUE()),"",INDEX(tsk_Status,GanttView[[#This Row],[_Row]]))</f>
        <v/>
      </c>
      <c r="L152" s="122" t="n">
        <f aca="false">ROW()-ROW(GanttView[[#Headers],[ID]])</f>
        <v>147</v>
      </c>
      <c r="M152" s="123" t="b">
        <f aca="false">IF(IFERROR(INDEX(tsk_Name,GanttView[[#This Row],[_Row]])="",TRUE()),FALSE(),INDEX(tsk_IsSummary,GanttView[[#This Row],[_Row]]))</f>
        <v>0</v>
      </c>
      <c r="N152" s="123" t="b">
        <f aca="false">IF(IFERROR(INDEX(tsk_Name,GanttView[[#This Row],[_Row]])="",TRUE()),FALSE(),AND(INDEX(tsk_IsLeaf,GanttView[[#This Row],[_Row]])=1,N(INDEX(tsk_Duration,GanttView[[#This Row],[_Row]]))=0))</f>
        <v>0</v>
      </c>
      <c r="O152" s="124" t="n">
        <f aca="false">IF(IFERROR(INDEX(tsk_Name,GanttView[[#This Row],[_Row]])="",TRUE()),0,IF(AND(INDEX(tsk_IsLeaf,GanttView[[#This Row],[_Row]])=1,NOT(GanttView[[#This Row],[_IsMilestone]]),N(GanttView[[#This Row],[%]])&gt;0),GanttView[[#This Row],[Forecast Start]],0))</f>
        <v>0</v>
      </c>
      <c r="P152" s="124" t="n">
        <f aca="false">IF(GanttView[[#This Row],[_DoneFrom]]=0,0,IF(GanttView[[#This Row],[%]]&gt;=1,GanttView[[#This Row],[Forecast Finish]],MAX(GanttView[[#This Row],[_DoneFrom]],GanttView[[#This Row],[Forecast Start]]+ROUND((GanttView[[#This Row],[Forecast Finish]]-GanttView[[#This Row],[Forecast Start]]+1)*GanttView[[#This Row],[%]],0)-1)))</f>
        <v>0</v>
      </c>
      <c r="Q152" s="124" t="n">
        <f aca="false">IF(IFERROR(INDEX(tsk_Name,GanttView[[#This Row],[_Row]])="",TRUE()),0,IF(OR(INDEX(tsk_IsLeaf,GanttView[[#This Row],[_Row]])&lt;&gt;1,GanttView[[#This Row],[_IsMilestone]],N(GanttView[[#This Row],[%]])&gt;=1),0,IF(GanttView[[#This Row],[_DoneTo]]&gt;0,GanttView[[#This Row],[_DoneTo]]+1,GanttView[[#This Row],[Forecast Start]])))</f>
        <v>0</v>
      </c>
      <c r="R152" s="124" t="n">
        <f aca="false">IF(GanttView[[#This Row],[_RemFrom]]=0,0,GanttView[[#This Row],[Forecast Finish]])</f>
        <v>0</v>
      </c>
      <c r="S152" s="123" t="b">
        <f aca="false">IF(IFERROR(INDEX(tsk_Name,GanttView[[#This Row],[_Row]])="",TRUE()),FALSE(),N(INDEX(tsk_Variance,GanttView[[#This Row],[_Row]]))&gt;0)</f>
        <v>0</v>
      </c>
      <c r="T152" s="124" t="n">
        <f aca="false">IF(IFERROR(INDEX(tsk_Name,GanttView[[#This Row],[_Row]])="",TRUE()),0,N(INDEX(tsk_Deadline,GanttView[[#This Row],[_Row]])))</f>
        <v>0</v>
      </c>
      <c r="U152" s="123" t="b">
        <f aca="false">IF(IFERROR(INDEX(tsk_Name,GanttView[[#This Row],[_Row]])="",TRUE()),FALSE(),INDEX(tsk_Critical,GanttView[[#This Row],[_Row]])="Yes")</f>
        <v>0</v>
      </c>
    </row>
    <row r="153" customFormat="false" ht="15" hidden="false" customHeight="false" outlineLevel="0" collapsed="false">
      <c r="A153" s="117" t="str">
        <f aca="false">IF(IFERROR(INDEX(tsk_Name,GanttView[[#This Row],[_Row]])="",TRUE()),"",INDEX(tsk_ID,GanttView[[#This Row],[_Row]]))</f>
        <v/>
      </c>
      <c r="B153" s="117" t="str">
        <f aca="false">IF(IFERROR(INDEX(tsk_Name,GanttView[[#This Row],[_Row]])="",TRUE()),"",INDEX(tsk_WBS,GanttView[[#This Row],[_Row]]))</f>
        <v/>
      </c>
      <c r="C153" s="118" t="str">
        <f aca="false">IF(IFERROR(INDEX(tsk_Name,GanttView[[#This Row],[_Row]])="",TRUE()),"",REPT("    ",INDEX(tsk_Level,GanttView[[#This Row],[_Row]])-1)&amp;INDEX(tsk_Name,GanttView[[#This Row],[_Row]]))</f>
        <v/>
      </c>
      <c r="D153" s="117" t="str">
        <f aca="false">IF(IFERROR(INDEX(tsk_Name,GanttView[[#This Row],[_Row]])="",TRUE()),"",IF(INDEX(tsk_IsSummary,GanttView[[#This Row],[_Row]]),NETWORKDAYS.INTL(INDEX(tsk_FcStart,GanttView[[#This Row],[_Row]]),INDEX(tsk_FcFinish,GanttView[[#This Row],[_Row]]),WorkWeek,Holidays),N(INDEX(tsk_Duration,GanttView[[#This Row],[_Row]]))))</f>
        <v/>
      </c>
      <c r="E153" s="119" t="str">
        <f aca="false">IF(IFERROR(INDEX(tsk_Name,GanttView[[#This Row],[_Row]])="",TRUE()),"",INDEX(tsk_PlanStart,GanttView[[#This Row],[_Row]]))</f>
        <v/>
      </c>
      <c r="F153" s="119" t="str">
        <f aca="false">IF(IFERROR(INDEX(tsk_Name,GanttView[[#This Row],[_Row]])="",TRUE()),"",INDEX(tsk_PlanFinish,GanttView[[#This Row],[_Row]]))</f>
        <v/>
      </c>
      <c r="G153" s="119" t="str">
        <f aca="false">IF(IFERROR(INDEX(tsk_Name,GanttView[[#This Row],[_Row]])="",TRUE()),"",INDEX(tsk_FcStart,GanttView[[#This Row],[_Row]]))</f>
        <v/>
      </c>
      <c r="H153" s="119" t="str">
        <f aca="false">IF(IFERROR(INDEX(tsk_Name,GanttView[[#This Row],[_Row]])="",TRUE()),"",INDEX(tsk_FcFinish,GanttView[[#This Row],[_Row]]))</f>
        <v/>
      </c>
      <c r="I153" s="120" t="str">
        <f aca="false">IF(IFERROR(INDEX(tsk_Name,GanttView[[#This Row],[_Row]])="",TRUE()),"",INDEX(tsk_Progress,GanttView[[#This Row],[_Row]]))</f>
        <v/>
      </c>
      <c r="J153" s="118" t="str">
        <f aca="false">IF(IFERROR(INDEX(tsk_Name,GanttView[[#This Row],[_Row]])="",TRUE()),"",INDEX(tsk_Resource,GanttView[[#This Row],[_Row]])&amp;"")</f>
        <v/>
      </c>
      <c r="K153" s="121" t="str">
        <f aca="false">IF(IFERROR(INDEX(tsk_Name,GanttView[[#This Row],[_Row]])="",TRUE()),"",INDEX(tsk_Status,GanttView[[#This Row],[_Row]]))</f>
        <v/>
      </c>
      <c r="L153" s="122" t="n">
        <f aca="false">ROW()-ROW(GanttView[[#Headers],[ID]])</f>
        <v>148</v>
      </c>
      <c r="M153" s="123" t="b">
        <f aca="false">IF(IFERROR(INDEX(tsk_Name,GanttView[[#This Row],[_Row]])="",TRUE()),FALSE(),INDEX(tsk_IsSummary,GanttView[[#This Row],[_Row]]))</f>
        <v>0</v>
      </c>
      <c r="N153" s="123" t="b">
        <f aca="false">IF(IFERROR(INDEX(tsk_Name,GanttView[[#This Row],[_Row]])="",TRUE()),FALSE(),AND(INDEX(tsk_IsLeaf,GanttView[[#This Row],[_Row]])=1,N(INDEX(tsk_Duration,GanttView[[#This Row],[_Row]]))=0))</f>
        <v>0</v>
      </c>
      <c r="O153" s="124" t="n">
        <f aca="false">IF(IFERROR(INDEX(tsk_Name,GanttView[[#This Row],[_Row]])="",TRUE()),0,IF(AND(INDEX(tsk_IsLeaf,GanttView[[#This Row],[_Row]])=1,NOT(GanttView[[#This Row],[_IsMilestone]]),N(GanttView[[#This Row],[%]])&gt;0),GanttView[[#This Row],[Forecast Start]],0))</f>
        <v>0</v>
      </c>
      <c r="P153" s="124" t="n">
        <f aca="false">IF(GanttView[[#This Row],[_DoneFrom]]=0,0,IF(GanttView[[#This Row],[%]]&gt;=1,GanttView[[#This Row],[Forecast Finish]],MAX(GanttView[[#This Row],[_DoneFrom]],GanttView[[#This Row],[Forecast Start]]+ROUND((GanttView[[#This Row],[Forecast Finish]]-GanttView[[#This Row],[Forecast Start]]+1)*GanttView[[#This Row],[%]],0)-1)))</f>
        <v>0</v>
      </c>
      <c r="Q153" s="124" t="n">
        <f aca="false">IF(IFERROR(INDEX(tsk_Name,GanttView[[#This Row],[_Row]])="",TRUE()),0,IF(OR(INDEX(tsk_IsLeaf,GanttView[[#This Row],[_Row]])&lt;&gt;1,GanttView[[#This Row],[_IsMilestone]],N(GanttView[[#This Row],[%]])&gt;=1),0,IF(GanttView[[#This Row],[_DoneTo]]&gt;0,GanttView[[#This Row],[_DoneTo]]+1,GanttView[[#This Row],[Forecast Start]])))</f>
        <v>0</v>
      </c>
      <c r="R153" s="124" t="n">
        <f aca="false">IF(GanttView[[#This Row],[_RemFrom]]=0,0,GanttView[[#This Row],[Forecast Finish]])</f>
        <v>0</v>
      </c>
      <c r="S153" s="123" t="b">
        <f aca="false">IF(IFERROR(INDEX(tsk_Name,GanttView[[#This Row],[_Row]])="",TRUE()),FALSE(),N(INDEX(tsk_Variance,GanttView[[#This Row],[_Row]]))&gt;0)</f>
        <v>0</v>
      </c>
      <c r="T153" s="124" t="n">
        <f aca="false">IF(IFERROR(INDEX(tsk_Name,GanttView[[#This Row],[_Row]])="",TRUE()),0,N(INDEX(tsk_Deadline,GanttView[[#This Row],[_Row]])))</f>
        <v>0</v>
      </c>
      <c r="U153" s="123" t="b">
        <f aca="false">IF(IFERROR(INDEX(tsk_Name,GanttView[[#This Row],[_Row]])="",TRUE()),FALSE(),INDEX(tsk_Critical,GanttView[[#This Row],[_Row]])="Yes")</f>
        <v>0</v>
      </c>
    </row>
    <row r="154" customFormat="false" ht="15" hidden="false" customHeight="false" outlineLevel="0" collapsed="false">
      <c r="A154" s="117" t="str">
        <f aca="false">IF(IFERROR(INDEX(tsk_Name,GanttView[[#This Row],[_Row]])="",TRUE()),"",INDEX(tsk_ID,GanttView[[#This Row],[_Row]]))</f>
        <v/>
      </c>
      <c r="B154" s="117" t="str">
        <f aca="false">IF(IFERROR(INDEX(tsk_Name,GanttView[[#This Row],[_Row]])="",TRUE()),"",INDEX(tsk_WBS,GanttView[[#This Row],[_Row]]))</f>
        <v/>
      </c>
      <c r="C154" s="118" t="str">
        <f aca="false">IF(IFERROR(INDEX(tsk_Name,GanttView[[#This Row],[_Row]])="",TRUE()),"",REPT("    ",INDEX(tsk_Level,GanttView[[#This Row],[_Row]])-1)&amp;INDEX(tsk_Name,GanttView[[#This Row],[_Row]]))</f>
        <v/>
      </c>
      <c r="D154" s="117" t="str">
        <f aca="false">IF(IFERROR(INDEX(tsk_Name,GanttView[[#This Row],[_Row]])="",TRUE()),"",IF(INDEX(tsk_IsSummary,GanttView[[#This Row],[_Row]]),NETWORKDAYS.INTL(INDEX(tsk_FcStart,GanttView[[#This Row],[_Row]]),INDEX(tsk_FcFinish,GanttView[[#This Row],[_Row]]),WorkWeek,Holidays),N(INDEX(tsk_Duration,GanttView[[#This Row],[_Row]]))))</f>
        <v/>
      </c>
      <c r="E154" s="119" t="str">
        <f aca="false">IF(IFERROR(INDEX(tsk_Name,GanttView[[#This Row],[_Row]])="",TRUE()),"",INDEX(tsk_PlanStart,GanttView[[#This Row],[_Row]]))</f>
        <v/>
      </c>
      <c r="F154" s="119" t="str">
        <f aca="false">IF(IFERROR(INDEX(tsk_Name,GanttView[[#This Row],[_Row]])="",TRUE()),"",INDEX(tsk_PlanFinish,GanttView[[#This Row],[_Row]]))</f>
        <v/>
      </c>
      <c r="G154" s="119" t="str">
        <f aca="false">IF(IFERROR(INDEX(tsk_Name,GanttView[[#This Row],[_Row]])="",TRUE()),"",INDEX(tsk_FcStart,GanttView[[#This Row],[_Row]]))</f>
        <v/>
      </c>
      <c r="H154" s="119" t="str">
        <f aca="false">IF(IFERROR(INDEX(tsk_Name,GanttView[[#This Row],[_Row]])="",TRUE()),"",INDEX(tsk_FcFinish,GanttView[[#This Row],[_Row]]))</f>
        <v/>
      </c>
      <c r="I154" s="120" t="str">
        <f aca="false">IF(IFERROR(INDEX(tsk_Name,GanttView[[#This Row],[_Row]])="",TRUE()),"",INDEX(tsk_Progress,GanttView[[#This Row],[_Row]]))</f>
        <v/>
      </c>
      <c r="J154" s="118" t="str">
        <f aca="false">IF(IFERROR(INDEX(tsk_Name,GanttView[[#This Row],[_Row]])="",TRUE()),"",INDEX(tsk_Resource,GanttView[[#This Row],[_Row]])&amp;"")</f>
        <v/>
      </c>
      <c r="K154" s="121" t="str">
        <f aca="false">IF(IFERROR(INDEX(tsk_Name,GanttView[[#This Row],[_Row]])="",TRUE()),"",INDEX(tsk_Status,GanttView[[#This Row],[_Row]]))</f>
        <v/>
      </c>
      <c r="L154" s="122" t="n">
        <f aca="false">ROW()-ROW(GanttView[[#Headers],[ID]])</f>
        <v>149</v>
      </c>
      <c r="M154" s="123" t="b">
        <f aca="false">IF(IFERROR(INDEX(tsk_Name,GanttView[[#This Row],[_Row]])="",TRUE()),FALSE(),INDEX(tsk_IsSummary,GanttView[[#This Row],[_Row]]))</f>
        <v>0</v>
      </c>
      <c r="N154" s="123" t="b">
        <f aca="false">IF(IFERROR(INDEX(tsk_Name,GanttView[[#This Row],[_Row]])="",TRUE()),FALSE(),AND(INDEX(tsk_IsLeaf,GanttView[[#This Row],[_Row]])=1,N(INDEX(tsk_Duration,GanttView[[#This Row],[_Row]]))=0))</f>
        <v>0</v>
      </c>
      <c r="O154" s="124" t="n">
        <f aca="false">IF(IFERROR(INDEX(tsk_Name,GanttView[[#This Row],[_Row]])="",TRUE()),0,IF(AND(INDEX(tsk_IsLeaf,GanttView[[#This Row],[_Row]])=1,NOT(GanttView[[#This Row],[_IsMilestone]]),N(GanttView[[#This Row],[%]])&gt;0),GanttView[[#This Row],[Forecast Start]],0))</f>
        <v>0</v>
      </c>
      <c r="P154" s="124" t="n">
        <f aca="false">IF(GanttView[[#This Row],[_DoneFrom]]=0,0,IF(GanttView[[#This Row],[%]]&gt;=1,GanttView[[#This Row],[Forecast Finish]],MAX(GanttView[[#This Row],[_DoneFrom]],GanttView[[#This Row],[Forecast Start]]+ROUND((GanttView[[#This Row],[Forecast Finish]]-GanttView[[#This Row],[Forecast Start]]+1)*GanttView[[#This Row],[%]],0)-1)))</f>
        <v>0</v>
      </c>
      <c r="Q154" s="124" t="n">
        <f aca="false">IF(IFERROR(INDEX(tsk_Name,GanttView[[#This Row],[_Row]])="",TRUE()),0,IF(OR(INDEX(tsk_IsLeaf,GanttView[[#This Row],[_Row]])&lt;&gt;1,GanttView[[#This Row],[_IsMilestone]],N(GanttView[[#This Row],[%]])&gt;=1),0,IF(GanttView[[#This Row],[_DoneTo]]&gt;0,GanttView[[#This Row],[_DoneTo]]+1,GanttView[[#This Row],[Forecast Start]])))</f>
        <v>0</v>
      </c>
      <c r="R154" s="124" t="n">
        <f aca="false">IF(GanttView[[#This Row],[_RemFrom]]=0,0,GanttView[[#This Row],[Forecast Finish]])</f>
        <v>0</v>
      </c>
      <c r="S154" s="123" t="b">
        <f aca="false">IF(IFERROR(INDEX(tsk_Name,GanttView[[#This Row],[_Row]])="",TRUE()),FALSE(),N(INDEX(tsk_Variance,GanttView[[#This Row],[_Row]]))&gt;0)</f>
        <v>0</v>
      </c>
      <c r="T154" s="124" t="n">
        <f aca="false">IF(IFERROR(INDEX(tsk_Name,GanttView[[#This Row],[_Row]])="",TRUE()),0,N(INDEX(tsk_Deadline,GanttView[[#This Row],[_Row]])))</f>
        <v>0</v>
      </c>
      <c r="U154" s="123" t="b">
        <f aca="false">IF(IFERROR(INDEX(tsk_Name,GanttView[[#This Row],[_Row]])="",TRUE()),FALSE(),INDEX(tsk_Critical,GanttView[[#This Row],[_Row]])="Yes")</f>
        <v>0</v>
      </c>
    </row>
    <row r="155" customFormat="false" ht="15" hidden="false" customHeight="false" outlineLevel="0" collapsed="false">
      <c r="A155" s="117" t="str">
        <f aca="false">IF(IFERROR(INDEX(tsk_Name,GanttView[[#This Row],[_Row]])="",TRUE()),"",INDEX(tsk_ID,GanttView[[#This Row],[_Row]]))</f>
        <v/>
      </c>
      <c r="B155" s="117" t="str">
        <f aca="false">IF(IFERROR(INDEX(tsk_Name,GanttView[[#This Row],[_Row]])="",TRUE()),"",INDEX(tsk_WBS,GanttView[[#This Row],[_Row]]))</f>
        <v/>
      </c>
      <c r="C155" s="118" t="str">
        <f aca="false">IF(IFERROR(INDEX(tsk_Name,GanttView[[#This Row],[_Row]])="",TRUE()),"",REPT("    ",INDEX(tsk_Level,GanttView[[#This Row],[_Row]])-1)&amp;INDEX(tsk_Name,GanttView[[#This Row],[_Row]]))</f>
        <v/>
      </c>
      <c r="D155" s="117" t="str">
        <f aca="false">IF(IFERROR(INDEX(tsk_Name,GanttView[[#This Row],[_Row]])="",TRUE()),"",IF(INDEX(tsk_IsSummary,GanttView[[#This Row],[_Row]]),NETWORKDAYS.INTL(INDEX(tsk_FcStart,GanttView[[#This Row],[_Row]]),INDEX(tsk_FcFinish,GanttView[[#This Row],[_Row]]),WorkWeek,Holidays),N(INDEX(tsk_Duration,GanttView[[#This Row],[_Row]]))))</f>
        <v/>
      </c>
      <c r="E155" s="119" t="str">
        <f aca="false">IF(IFERROR(INDEX(tsk_Name,GanttView[[#This Row],[_Row]])="",TRUE()),"",INDEX(tsk_PlanStart,GanttView[[#This Row],[_Row]]))</f>
        <v/>
      </c>
      <c r="F155" s="119" t="str">
        <f aca="false">IF(IFERROR(INDEX(tsk_Name,GanttView[[#This Row],[_Row]])="",TRUE()),"",INDEX(tsk_PlanFinish,GanttView[[#This Row],[_Row]]))</f>
        <v/>
      </c>
      <c r="G155" s="119" t="str">
        <f aca="false">IF(IFERROR(INDEX(tsk_Name,GanttView[[#This Row],[_Row]])="",TRUE()),"",INDEX(tsk_FcStart,GanttView[[#This Row],[_Row]]))</f>
        <v/>
      </c>
      <c r="H155" s="119" t="str">
        <f aca="false">IF(IFERROR(INDEX(tsk_Name,GanttView[[#This Row],[_Row]])="",TRUE()),"",INDEX(tsk_FcFinish,GanttView[[#This Row],[_Row]]))</f>
        <v/>
      </c>
      <c r="I155" s="120" t="str">
        <f aca="false">IF(IFERROR(INDEX(tsk_Name,GanttView[[#This Row],[_Row]])="",TRUE()),"",INDEX(tsk_Progress,GanttView[[#This Row],[_Row]]))</f>
        <v/>
      </c>
      <c r="J155" s="118" t="str">
        <f aca="false">IF(IFERROR(INDEX(tsk_Name,GanttView[[#This Row],[_Row]])="",TRUE()),"",INDEX(tsk_Resource,GanttView[[#This Row],[_Row]])&amp;"")</f>
        <v/>
      </c>
      <c r="K155" s="121" t="str">
        <f aca="false">IF(IFERROR(INDEX(tsk_Name,GanttView[[#This Row],[_Row]])="",TRUE()),"",INDEX(tsk_Status,GanttView[[#This Row],[_Row]]))</f>
        <v/>
      </c>
      <c r="L155" s="122" t="n">
        <f aca="false">ROW()-ROW(GanttView[[#Headers],[ID]])</f>
        <v>150</v>
      </c>
      <c r="M155" s="123" t="b">
        <f aca="false">IF(IFERROR(INDEX(tsk_Name,GanttView[[#This Row],[_Row]])="",TRUE()),FALSE(),INDEX(tsk_IsSummary,GanttView[[#This Row],[_Row]]))</f>
        <v>0</v>
      </c>
      <c r="N155" s="123" t="b">
        <f aca="false">IF(IFERROR(INDEX(tsk_Name,GanttView[[#This Row],[_Row]])="",TRUE()),FALSE(),AND(INDEX(tsk_IsLeaf,GanttView[[#This Row],[_Row]])=1,N(INDEX(tsk_Duration,GanttView[[#This Row],[_Row]]))=0))</f>
        <v>0</v>
      </c>
      <c r="O155" s="124" t="n">
        <f aca="false">IF(IFERROR(INDEX(tsk_Name,GanttView[[#This Row],[_Row]])="",TRUE()),0,IF(AND(INDEX(tsk_IsLeaf,GanttView[[#This Row],[_Row]])=1,NOT(GanttView[[#This Row],[_IsMilestone]]),N(GanttView[[#This Row],[%]])&gt;0),GanttView[[#This Row],[Forecast Start]],0))</f>
        <v>0</v>
      </c>
      <c r="P155" s="124" t="n">
        <f aca="false">IF(GanttView[[#This Row],[_DoneFrom]]=0,0,IF(GanttView[[#This Row],[%]]&gt;=1,GanttView[[#This Row],[Forecast Finish]],MAX(GanttView[[#This Row],[_DoneFrom]],GanttView[[#This Row],[Forecast Start]]+ROUND((GanttView[[#This Row],[Forecast Finish]]-GanttView[[#This Row],[Forecast Start]]+1)*GanttView[[#This Row],[%]],0)-1)))</f>
        <v>0</v>
      </c>
      <c r="Q155" s="124" t="n">
        <f aca="false">IF(IFERROR(INDEX(tsk_Name,GanttView[[#This Row],[_Row]])="",TRUE()),0,IF(OR(INDEX(tsk_IsLeaf,GanttView[[#This Row],[_Row]])&lt;&gt;1,GanttView[[#This Row],[_IsMilestone]],N(GanttView[[#This Row],[%]])&gt;=1),0,IF(GanttView[[#This Row],[_DoneTo]]&gt;0,GanttView[[#This Row],[_DoneTo]]+1,GanttView[[#This Row],[Forecast Start]])))</f>
        <v>0</v>
      </c>
      <c r="R155" s="124" t="n">
        <f aca="false">IF(GanttView[[#This Row],[_RemFrom]]=0,0,GanttView[[#This Row],[Forecast Finish]])</f>
        <v>0</v>
      </c>
      <c r="S155" s="123" t="b">
        <f aca="false">IF(IFERROR(INDEX(tsk_Name,GanttView[[#This Row],[_Row]])="",TRUE()),FALSE(),N(INDEX(tsk_Variance,GanttView[[#This Row],[_Row]]))&gt;0)</f>
        <v>0</v>
      </c>
      <c r="T155" s="124" t="n">
        <f aca="false">IF(IFERROR(INDEX(tsk_Name,GanttView[[#This Row],[_Row]])="",TRUE()),0,N(INDEX(tsk_Deadline,GanttView[[#This Row],[_Row]])))</f>
        <v>0</v>
      </c>
      <c r="U155" s="123" t="b">
        <f aca="false">IF(IFERROR(INDEX(tsk_Name,GanttView[[#This Row],[_Row]])="",TRUE()),FALSE(),INDEX(tsk_Critical,GanttView[[#This Row],[_Row]])="Yes")</f>
        <v>0</v>
      </c>
    </row>
    <row r="156" customFormat="false" ht="15" hidden="false" customHeight="false" outlineLevel="0" collapsed="false">
      <c r="A156" s="117" t="str">
        <f aca="false">IF(IFERROR(INDEX(tsk_Name,GanttView[[#This Row],[_Row]])="",TRUE()),"",INDEX(tsk_ID,GanttView[[#This Row],[_Row]]))</f>
        <v/>
      </c>
      <c r="B156" s="117" t="str">
        <f aca="false">IF(IFERROR(INDEX(tsk_Name,GanttView[[#This Row],[_Row]])="",TRUE()),"",INDEX(tsk_WBS,GanttView[[#This Row],[_Row]]))</f>
        <v/>
      </c>
      <c r="C156" s="118" t="str">
        <f aca="false">IF(IFERROR(INDEX(tsk_Name,GanttView[[#This Row],[_Row]])="",TRUE()),"",REPT("    ",INDEX(tsk_Level,GanttView[[#This Row],[_Row]])-1)&amp;INDEX(tsk_Name,GanttView[[#This Row],[_Row]]))</f>
        <v/>
      </c>
      <c r="D156" s="117" t="str">
        <f aca="false">IF(IFERROR(INDEX(tsk_Name,GanttView[[#This Row],[_Row]])="",TRUE()),"",IF(INDEX(tsk_IsSummary,GanttView[[#This Row],[_Row]]),NETWORKDAYS.INTL(INDEX(tsk_FcStart,GanttView[[#This Row],[_Row]]),INDEX(tsk_FcFinish,GanttView[[#This Row],[_Row]]),WorkWeek,Holidays),N(INDEX(tsk_Duration,GanttView[[#This Row],[_Row]]))))</f>
        <v/>
      </c>
      <c r="E156" s="119" t="str">
        <f aca="false">IF(IFERROR(INDEX(tsk_Name,GanttView[[#This Row],[_Row]])="",TRUE()),"",INDEX(tsk_PlanStart,GanttView[[#This Row],[_Row]]))</f>
        <v/>
      </c>
      <c r="F156" s="119" t="str">
        <f aca="false">IF(IFERROR(INDEX(tsk_Name,GanttView[[#This Row],[_Row]])="",TRUE()),"",INDEX(tsk_PlanFinish,GanttView[[#This Row],[_Row]]))</f>
        <v/>
      </c>
      <c r="G156" s="119" t="str">
        <f aca="false">IF(IFERROR(INDEX(tsk_Name,GanttView[[#This Row],[_Row]])="",TRUE()),"",INDEX(tsk_FcStart,GanttView[[#This Row],[_Row]]))</f>
        <v/>
      </c>
      <c r="H156" s="119" t="str">
        <f aca="false">IF(IFERROR(INDEX(tsk_Name,GanttView[[#This Row],[_Row]])="",TRUE()),"",INDEX(tsk_FcFinish,GanttView[[#This Row],[_Row]]))</f>
        <v/>
      </c>
      <c r="I156" s="120" t="str">
        <f aca="false">IF(IFERROR(INDEX(tsk_Name,GanttView[[#This Row],[_Row]])="",TRUE()),"",INDEX(tsk_Progress,GanttView[[#This Row],[_Row]]))</f>
        <v/>
      </c>
      <c r="J156" s="118" t="str">
        <f aca="false">IF(IFERROR(INDEX(tsk_Name,GanttView[[#This Row],[_Row]])="",TRUE()),"",INDEX(tsk_Resource,GanttView[[#This Row],[_Row]])&amp;"")</f>
        <v/>
      </c>
      <c r="K156" s="121" t="str">
        <f aca="false">IF(IFERROR(INDEX(tsk_Name,GanttView[[#This Row],[_Row]])="",TRUE()),"",INDEX(tsk_Status,GanttView[[#This Row],[_Row]]))</f>
        <v/>
      </c>
      <c r="L156" s="122" t="n">
        <f aca="false">ROW()-ROW(GanttView[[#Headers],[ID]])</f>
        <v>151</v>
      </c>
      <c r="M156" s="123" t="b">
        <f aca="false">IF(IFERROR(INDEX(tsk_Name,GanttView[[#This Row],[_Row]])="",TRUE()),FALSE(),INDEX(tsk_IsSummary,GanttView[[#This Row],[_Row]]))</f>
        <v>0</v>
      </c>
      <c r="N156" s="123" t="b">
        <f aca="false">IF(IFERROR(INDEX(tsk_Name,GanttView[[#This Row],[_Row]])="",TRUE()),FALSE(),AND(INDEX(tsk_IsLeaf,GanttView[[#This Row],[_Row]])=1,N(INDEX(tsk_Duration,GanttView[[#This Row],[_Row]]))=0))</f>
        <v>0</v>
      </c>
      <c r="O156" s="124" t="n">
        <f aca="false">IF(IFERROR(INDEX(tsk_Name,GanttView[[#This Row],[_Row]])="",TRUE()),0,IF(AND(INDEX(tsk_IsLeaf,GanttView[[#This Row],[_Row]])=1,NOT(GanttView[[#This Row],[_IsMilestone]]),N(GanttView[[#This Row],[%]])&gt;0),GanttView[[#This Row],[Forecast Start]],0))</f>
        <v>0</v>
      </c>
      <c r="P156" s="124" t="n">
        <f aca="false">IF(GanttView[[#This Row],[_DoneFrom]]=0,0,IF(GanttView[[#This Row],[%]]&gt;=1,GanttView[[#This Row],[Forecast Finish]],MAX(GanttView[[#This Row],[_DoneFrom]],GanttView[[#This Row],[Forecast Start]]+ROUND((GanttView[[#This Row],[Forecast Finish]]-GanttView[[#This Row],[Forecast Start]]+1)*GanttView[[#This Row],[%]],0)-1)))</f>
        <v>0</v>
      </c>
      <c r="Q156" s="124" t="n">
        <f aca="false">IF(IFERROR(INDEX(tsk_Name,GanttView[[#This Row],[_Row]])="",TRUE()),0,IF(OR(INDEX(tsk_IsLeaf,GanttView[[#This Row],[_Row]])&lt;&gt;1,GanttView[[#This Row],[_IsMilestone]],N(GanttView[[#This Row],[%]])&gt;=1),0,IF(GanttView[[#This Row],[_DoneTo]]&gt;0,GanttView[[#This Row],[_DoneTo]]+1,GanttView[[#This Row],[Forecast Start]])))</f>
        <v>0</v>
      </c>
      <c r="R156" s="124" t="n">
        <f aca="false">IF(GanttView[[#This Row],[_RemFrom]]=0,0,GanttView[[#This Row],[Forecast Finish]])</f>
        <v>0</v>
      </c>
      <c r="S156" s="123" t="b">
        <f aca="false">IF(IFERROR(INDEX(tsk_Name,GanttView[[#This Row],[_Row]])="",TRUE()),FALSE(),N(INDEX(tsk_Variance,GanttView[[#This Row],[_Row]]))&gt;0)</f>
        <v>0</v>
      </c>
      <c r="T156" s="124" t="n">
        <f aca="false">IF(IFERROR(INDEX(tsk_Name,GanttView[[#This Row],[_Row]])="",TRUE()),0,N(INDEX(tsk_Deadline,GanttView[[#This Row],[_Row]])))</f>
        <v>0</v>
      </c>
      <c r="U156" s="123" t="b">
        <f aca="false">IF(IFERROR(INDEX(tsk_Name,GanttView[[#This Row],[_Row]])="",TRUE()),FALSE(),INDEX(tsk_Critical,GanttView[[#This Row],[_Row]])="Yes")</f>
        <v>0</v>
      </c>
    </row>
    <row r="157" customFormat="false" ht="15" hidden="false" customHeight="false" outlineLevel="0" collapsed="false">
      <c r="A157" s="117" t="str">
        <f aca="false">IF(IFERROR(INDEX(tsk_Name,GanttView[[#This Row],[_Row]])="",TRUE()),"",INDEX(tsk_ID,GanttView[[#This Row],[_Row]]))</f>
        <v/>
      </c>
      <c r="B157" s="117" t="str">
        <f aca="false">IF(IFERROR(INDEX(tsk_Name,GanttView[[#This Row],[_Row]])="",TRUE()),"",INDEX(tsk_WBS,GanttView[[#This Row],[_Row]]))</f>
        <v/>
      </c>
      <c r="C157" s="118" t="str">
        <f aca="false">IF(IFERROR(INDEX(tsk_Name,GanttView[[#This Row],[_Row]])="",TRUE()),"",REPT("    ",INDEX(tsk_Level,GanttView[[#This Row],[_Row]])-1)&amp;INDEX(tsk_Name,GanttView[[#This Row],[_Row]]))</f>
        <v/>
      </c>
      <c r="D157" s="117" t="str">
        <f aca="false">IF(IFERROR(INDEX(tsk_Name,GanttView[[#This Row],[_Row]])="",TRUE()),"",IF(INDEX(tsk_IsSummary,GanttView[[#This Row],[_Row]]),NETWORKDAYS.INTL(INDEX(tsk_FcStart,GanttView[[#This Row],[_Row]]),INDEX(tsk_FcFinish,GanttView[[#This Row],[_Row]]),WorkWeek,Holidays),N(INDEX(tsk_Duration,GanttView[[#This Row],[_Row]]))))</f>
        <v/>
      </c>
      <c r="E157" s="119" t="str">
        <f aca="false">IF(IFERROR(INDEX(tsk_Name,GanttView[[#This Row],[_Row]])="",TRUE()),"",INDEX(tsk_PlanStart,GanttView[[#This Row],[_Row]]))</f>
        <v/>
      </c>
      <c r="F157" s="119" t="str">
        <f aca="false">IF(IFERROR(INDEX(tsk_Name,GanttView[[#This Row],[_Row]])="",TRUE()),"",INDEX(tsk_PlanFinish,GanttView[[#This Row],[_Row]]))</f>
        <v/>
      </c>
      <c r="G157" s="119" t="str">
        <f aca="false">IF(IFERROR(INDEX(tsk_Name,GanttView[[#This Row],[_Row]])="",TRUE()),"",INDEX(tsk_FcStart,GanttView[[#This Row],[_Row]]))</f>
        <v/>
      </c>
      <c r="H157" s="119" t="str">
        <f aca="false">IF(IFERROR(INDEX(tsk_Name,GanttView[[#This Row],[_Row]])="",TRUE()),"",INDEX(tsk_FcFinish,GanttView[[#This Row],[_Row]]))</f>
        <v/>
      </c>
      <c r="I157" s="120" t="str">
        <f aca="false">IF(IFERROR(INDEX(tsk_Name,GanttView[[#This Row],[_Row]])="",TRUE()),"",INDEX(tsk_Progress,GanttView[[#This Row],[_Row]]))</f>
        <v/>
      </c>
      <c r="J157" s="118" t="str">
        <f aca="false">IF(IFERROR(INDEX(tsk_Name,GanttView[[#This Row],[_Row]])="",TRUE()),"",INDEX(tsk_Resource,GanttView[[#This Row],[_Row]])&amp;"")</f>
        <v/>
      </c>
      <c r="K157" s="121" t="str">
        <f aca="false">IF(IFERROR(INDEX(tsk_Name,GanttView[[#This Row],[_Row]])="",TRUE()),"",INDEX(tsk_Status,GanttView[[#This Row],[_Row]]))</f>
        <v/>
      </c>
      <c r="L157" s="122" t="n">
        <f aca="false">ROW()-ROW(GanttView[[#Headers],[ID]])</f>
        <v>152</v>
      </c>
      <c r="M157" s="123" t="b">
        <f aca="false">IF(IFERROR(INDEX(tsk_Name,GanttView[[#This Row],[_Row]])="",TRUE()),FALSE(),INDEX(tsk_IsSummary,GanttView[[#This Row],[_Row]]))</f>
        <v>0</v>
      </c>
      <c r="N157" s="123" t="b">
        <f aca="false">IF(IFERROR(INDEX(tsk_Name,GanttView[[#This Row],[_Row]])="",TRUE()),FALSE(),AND(INDEX(tsk_IsLeaf,GanttView[[#This Row],[_Row]])=1,N(INDEX(tsk_Duration,GanttView[[#This Row],[_Row]]))=0))</f>
        <v>0</v>
      </c>
      <c r="O157" s="124" t="n">
        <f aca="false">IF(IFERROR(INDEX(tsk_Name,GanttView[[#This Row],[_Row]])="",TRUE()),0,IF(AND(INDEX(tsk_IsLeaf,GanttView[[#This Row],[_Row]])=1,NOT(GanttView[[#This Row],[_IsMilestone]]),N(GanttView[[#This Row],[%]])&gt;0),GanttView[[#This Row],[Forecast Start]],0))</f>
        <v>0</v>
      </c>
      <c r="P157" s="124" t="n">
        <f aca="false">IF(GanttView[[#This Row],[_DoneFrom]]=0,0,IF(GanttView[[#This Row],[%]]&gt;=1,GanttView[[#This Row],[Forecast Finish]],MAX(GanttView[[#This Row],[_DoneFrom]],GanttView[[#This Row],[Forecast Start]]+ROUND((GanttView[[#This Row],[Forecast Finish]]-GanttView[[#This Row],[Forecast Start]]+1)*GanttView[[#This Row],[%]],0)-1)))</f>
        <v>0</v>
      </c>
      <c r="Q157" s="124" t="n">
        <f aca="false">IF(IFERROR(INDEX(tsk_Name,GanttView[[#This Row],[_Row]])="",TRUE()),0,IF(OR(INDEX(tsk_IsLeaf,GanttView[[#This Row],[_Row]])&lt;&gt;1,GanttView[[#This Row],[_IsMilestone]],N(GanttView[[#This Row],[%]])&gt;=1),0,IF(GanttView[[#This Row],[_DoneTo]]&gt;0,GanttView[[#This Row],[_DoneTo]]+1,GanttView[[#This Row],[Forecast Start]])))</f>
        <v>0</v>
      </c>
      <c r="R157" s="124" t="n">
        <f aca="false">IF(GanttView[[#This Row],[_RemFrom]]=0,0,GanttView[[#This Row],[Forecast Finish]])</f>
        <v>0</v>
      </c>
      <c r="S157" s="123" t="b">
        <f aca="false">IF(IFERROR(INDEX(tsk_Name,GanttView[[#This Row],[_Row]])="",TRUE()),FALSE(),N(INDEX(tsk_Variance,GanttView[[#This Row],[_Row]]))&gt;0)</f>
        <v>0</v>
      </c>
      <c r="T157" s="124" t="n">
        <f aca="false">IF(IFERROR(INDEX(tsk_Name,GanttView[[#This Row],[_Row]])="",TRUE()),0,N(INDEX(tsk_Deadline,GanttView[[#This Row],[_Row]])))</f>
        <v>0</v>
      </c>
      <c r="U157" s="123" t="b">
        <f aca="false">IF(IFERROR(INDEX(tsk_Name,GanttView[[#This Row],[_Row]])="",TRUE()),FALSE(),INDEX(tsk_Critical,GanttView[[#This Row],[_Row]])="Yes")</f>
        <v>0</v>
      </c>
    </row>
    <row r="158" customFormat="false" ht="15" hidden="false" customHeight="false" outlineLevel="0" collapsed="false">
      <c r="A158" s="117" t="str">
        <f aca="false">IF(IFERROR(INDEX(tsk_Name,GanttView[[#This Row],[_Row]])="",TRUE()),"",INDEX(tsk_ID,GanttView[[#This Row],[_Row]]))</f>
        <v/>
      </c>
      <c r="B158" s="117" t="str">
        <f aca="false">IF(IFERROR(INDEX(tsk_Name,GanttView[[#This Row],[_Row]])="",TRUE()),"",INDEX(tsk_WBS,GanttView[[#This Row],[_Row]]))</f>
        <v/>
      </c>
      <c r="C158" s="118" t="str">
        <f aca="false">IF(IFERROR(INDEX(tsk_Name,GanttView[[#This Row],[_Row]])="",TRUE()),"",REPT("    ",INDEX(tsk_Level,GanttView[[#This Row],[_Row]])-1)&amp;INDEX(tsk_Name,GanttView[[#This Row],[_Row]]))</f>
        <v/>
      </c>
      <c r="D158" s="117" t="str">
        <f aca="false">IF(IFERROR(INDEX(tsk_Name,GanttView[[#This Row],[_Row]])="",TRUE()),"",IF(INDEX(tsk_IsSummary,GanttView[[#This Row],[_Row]]),NETWORKDAYS.INTL(INDEX(tsk_FcStart,GanttView[[#This Row],[_Row]]),INDEX(tsk_FcFinish,GanttView[[#This Row],[_Row]]),WorkWeek,Holidays),N(INDEX(tsk_Duration,GanttView[[#This Row],[_Row]]))))</f>
        <v/>
      </c>
      <c r="E158" s="119" t="str">
        <f aca="false">IF(IFERROR(INDEX(tsk_Name,GanttView[[#This Row],[_Row]])="",TRUE()),"",INDEX(tsk_PlanStart,GanttView[[#This Row],[_Row]]))</f>
        <v/>
      </c>
      <c r="F158" s="119" t="str">
        <f aca="false">IF(IFERROR(INDEX(tsk_Name,GanttView[[#This Row],[_Row]])="",TRUE()),"",INDEX(tsk_PlanFinish,GanttView[[#This Row],[_Row]]))</f>
        <v/>
      </c>
      <c r="G158" s="119" t="str">
        <f aca="false">IF(IFERROR(INDEX(tsk_Name,GanttView[[#This Row],[_Row]])="",TRUE()),"",INDEX(tsk_FcStart,GanttView[[#This Row],[_Row]]))</f>
        <v/>
      </c>
      <c r="H158" s="119" t="str">
        <f aca="false">IF(IFERROR(INDEX(tsk_Name,GanttView[[#This Row],[_Row]])="",TRUE()),"",INDEX(tsk_FcFinish,GanttView[[#This Row],[_Row]]))</f>
        <v/>
      </c>
      <c r="I158" s="120" t="str">
        <f aca="false">IF(IFERROR(INDEX(tsk_Name,GanttView[[#This Row],[_Row]])="",TRUE()),"",INDEX(tsk_Progress,GanttView[[#This Row],[_Row]]))</f>
        <v/>
      </c>
      <c r="J158" s="118" t="str">
        <f aca="false">IF(IFERROR(INDEX(tsk_Name,GanttView[[#This Row],[_Row]])="",TRUE()),"",INDEX(tsk_Resource,GanttView[[#This Row],[_Row]])&amp;"")</f>
        <v/>
      </c>
      <c r="K158" s="121" t="str">
        <f aca="false">IF(IFERROR(INDEX(tsk_Name,GanttView[[#This Row],[_Row]])="",TRUE()),"",INDEX(tsk_Status,GanttView[[#This Row],[_Row]]))</f>
        <v/>
      </c>
      <c r="L158" s="122" t="n">
        <f aca="false">ROW()-ROW(GanttView[[#Headers],[ID]])</f>
        <v>153</v>
      </c>
      <c r="M158" s="123" t="b">
        <f aca="false">IF(IFERROR(INDEX(tsk_Name,GanttView[[#This Row],[_Row]])="",TRUE()),FALSE(),INDEX(tsk_IsSummary,GanttView[[#This Row],[_Row]]))</f>
        <v>0</v>
      </c>
      <c r="N158" s="123" t="b">
        <f aca="false">IF(IFERROR(INDEX(tsk_Name,GanttView[[#This Row],[_Row]])="",TRUE()),FALSE(),AND(INDEX(tsk_IsLeaf,GanttView[[#This Row],[_Row]])=1,N(INDEX(tsk_Duration,GanttView[[#This Row],[_Row]]))=0))</f>
        <v>0</v>
      </c>
      <c r="O158" s="124" t="n">
        <f aca="false">IF(IFERROR(INDEX(tsk_Name,GanttView[[#This Row],[_Row]])="",TRUE()),0,IF(AND(INDEX(tsk_IsLeaf,GanttView[[#This Row],[_Row]])=1,NOT(GanttView[[#This Row],[_IsMilestone]]),N(GanttView[[#This Row],[%]])&gt;0),GanttView[[#This Row],[Forecast Start]],0))</f>
        <v>0</v>
      </c>
      <c r="P158" s="124" t="n">
        <f aca="false">IF(GanttView[[#This Row],[_DoneFrom]]=0,0,IF(GanttView[[#This Row],[%]]&gt;=1,GanttView[[#This Row],[Forecast Finish]],MAX(GanttView[[#This Row],[_DoneFrom]],GanttView[[#This Row],[Forecast Start]]+ROUND((GanttView[[#This Row],[Forecast Finish]]-GanttView[[#This Row],[Forecast Start]]+1)*GanttView[[#This Row],[%]],0)-1)))</f>
        <v>0</v>
      </c>
      <c r="Q158" s="124" t="n">
        <f aca="false">IF(IFERROR(INDEX(tsk_Name,GanttView[[#This Row],[_Row]])="",TRUE()),0,IF(OR(INDEX(tsk_IsLeaf,GanttView[[#This Row],[_Row]])&lt;&gt;1,GanttView[[#This Row],[_IsMilestone]],N(GanttView[[#This Row],[%]])&gt;=1),0,IF(GanttView[[#This Row],[_DoneTo]]&gt;0,GanttView[[#This Row],[_DoneTo]]+1,GanttView[[#This Row],[Forecast Start]])))</f>
        <v>0</v>
      </c>
      <c r="R158" s="124" t="n">
        <f aca="false">IF(GanttView[[#This Row],[_RemFrom]]=0,0,GanttView[[#This Row],[Forecast Finish]])</f>
        <v>0</v>
      </c>
      <c r="S158" s="123" t="b">
        <f aca="false">IF(IFERROR(INDEX(tsk_Name,GanttView[[#This Row],[_Row]])="",TRUE()),FALSE(),N(INDEX(tsk_Variance,GanttView[[#This Row],[_Row]]))&gt;0)</f>
        <v>0</v>
      </c>
      <c r="T158" s="124" t="n">
        <f aca="false">IF(IFERROR(INDEX(tsk_Name,GanttView[[#This Row],[_Row]])="",TRUE()),0,N(INDEX(tsk_Deadline,GanttView[[#This Row],[_Row]])))</f>
        <v>0</v>
      </c>
      <c r="U158" s="123" t="b">
        <f aca="false">IF(IFERROR(INDEX(tsk_Name,GanttView[[#This Row],[_Row]])="",TRUE()),FALSE(),INDEX(tsk_Critical,GanttView[[#This Row],[_Row]])="Yes")</f>
        <v>0</v>
      </c>
    </row>
    <row r="159" customFormat="false" ht="15" hidden="false" customHeight="false" outlineLevel="0" collapsed="false">
      <c r="A159" s="117" t="str">
        <f aca="false">IF(IFERROR(INDEX(tsk_Name,GanttView[[#This Row],[_Row]])="",TRUE()),"",INDEX(tsk_ID,GanttView[[#This Row],[_Row]]))</f>
        <v/>
      </c>
      <c r="B159" s="117" t="str">
        <f aca="false">IF(IFERROR(INDEX(tsk_Name,GanttView[[#This Row],[_Row]])="",TRUE()),"",INDEX(tsk_WBS,GanttView[[#This Row],[_Row]]))</f>
        <v/>
      </c>
      <c r="C159" s="118" t="str">
        <f aca="false">IF(IFERROR(INDEX(tsk_Name,GanttView[[#This Row],[_Row]])="",TRUE()),"",REPT("    ",INDEX(tsk_Level,GanttView[[#This Row],[_Row]])-1)&amp;INDEX(tsk_Name,GanttView[[#This Row],[_Row]]))</f>
        <v/>
      </c>
      <c r="D159" s="117" t="str">
        <f aca="false">IF(IFERROR(INDEX(tsk_Name,GanttView[[#This Row],[_Row]])="",TRUE()),"",IF(INDEX(tsk_IsSummary,GanttView[[#This Row],[_Row]]),NETWORKDAYS.INTL(INDEX(tsk_FcStart,GanttView[[#This Row],[_Row]]),INDEX(tsk_FcFinish,GanttView[[#This Row],[_Row]]),WorkWeek,Holidays),N(INDEX(tsk_Duration,GanttView[[#This Row],[_Row]]))))</f>
        <v/>
      </c>
      <c r="E159" s="119" t="str">
        <f aca="false">IF(IFERROR(INDEX(tsk_Name,GanttView[[#This Row],[_Row]])="",TRUE()),"",INDEX(tsk_PlanStart,GanttView[[#This Row],[_Row]]))</f>
        <v/>
      </c>
      <c r="F159" s="119" t="str">
        <f aca="false">IF(IFERROR(INDEX(tsk_Name,GanttView[[#This Row],[_Row]])="",TRUE()),"",INDEX(tsk_PlanFinish,GanttView[[#This Row],[_Row]]))</f>
        <v/>
      </c>
      <c r="G159" s="119" t="str">
        <f aca="false">IF(IFERROR(INDEX(tsk_Name,GanttView[[#This Row],[_Row]])="",TRUE()),"",INDEX(tsk_FcStart,GanttView[[#This Row],[_Row]]))</f>
        <v/>
      </c>
      <c r="H159" s="119" t="str">
        <f aca="false">IF(IFERROR(INDEX(tsk_Name,GanttView[[#This Row],[_Row]])="",TRUE()),"",INDEX(tsk_FcFinish,GanttView[[#This Row],[_Row]]))</f>
        <v/>
      </c>
      <c r="I159" s="120" t="str">
        <f aca="false">IF(IFERROR(INDEX(tsk_Name,GanttView[[#This Row],[_Row]])="",TRUE()),"",INDEX(tsk_Progress,GanttView[[#This Row],[_Row]]))</f>
        <v/>
      </c>
      <c r="J159" s="118" t="str">
        <f aca="false">IF(IFERROR(INDEX(tsk_Name,GanttView[[#This Row],[_Row]])="",TRUE()),"",INDEX(tsk_Resource,GanttView[[#This Row],[_Row]])&amp;"")</f>
        <v/>
      </c>
      <c r="K159" s="121" t="str">
        <f aca="false">IF(IFERROR(INDEX(tsk_Name,GanttView[[#This Row],[_Row]])="",TRUE()),"",INDEX(tsk_Status,GanttView[[#This Row],[_Row]]))</f>
        <v/>
      </c>
      <c r="L159" s="122" t="n">
        <f aca="false">ROW()-ROW(GanttView[[#Headers],[ID]])</f>
        <v>154</v>
      </c>
      <c r="M159" s="123" t="b">
        <f aca="false">IF(IFERROR(INDEX(tsk_Name,GanttView[[#This Row],[_Row]])="",TRUE()),FALSE(),INDEX(tsk_IsSummary,GanttView[[#This Row],[_Row]]))</f>
        <v>0</v>
      </c>
      <c r="N159" s="123" t="b">
        <f aca="false">IF(IFERROR(INDEX(tsk_Name,GanttView[[#This Row],[_Row]])="",TRUE()),FALSE(),AND(INDEX(tsk_IsLeaf,GanttView[[#This Row],[_Row]])=1,N(INDEX(tsk_Duration,GanttView[[#This Row],[_Row]]))=0))</f>
        <v>0</v>
      </c>
      <c r="O159" s="124" t="n">
        <f aca="false">IF(IFERROR(INDEX(tsk_Name,GanttView[[#This Row],[_Row]])="",TRUE()),0,IF(AND(INDEX(tsk_IsLeaf,GanttView[[#This Row],[_Row]])=1,NOT(GanttView[[#This Row],[_IsMilestone]]),N(GanttView[[#This Row],[%]])&gt;0),GanttView[[#This Row],[Forecast Start]],0))</f>
        <v>0</v>
      </c>
      <c r="P159" s="124" t="n">
        <f aca="false">IF(GanttView[[#This Row],[_DoneFrom]]=0,0,IF(GanttView[[#This Row],[%]]&gt;=1,GanttView[[#This Row],[Forecast Finish]],MAX(GanttView[[#This Row],[_DoneFrom]],GanttView[[#This Row],[Forecast Start]]+ROUND((GanttView[[#This Row],[Forecast Finish]]-GanttView[[#This Row],[Forecast Start]]+1)*GanttView[[#This Row],[%]],0)-1)))</f>
        <v>0</v>
      </c>
      <c r="Q159" s="124" t="n">
        <f aca="false">IF(IFERROR(INDEX(tsk_Name,GanttView[[#This Row],[_Row]])="",TRUE()),0,IF(OR(INDEX(tsk_IsLeaf,GanttView[[#This Row],[_Row]])&lt;&gt;1,GanttView[[#This Row],[_IsMilestone]],N(GanttView[[#This Row],[%]])&gt;=1),0,IF(GanttView[[#This Row],[_DoneTo]]&gt;0,GanttView[[#This Row],[_DoneTo]]+1,GanttView[[#This Row],[Forecast Start]])))</f>
        <v>0</v>
      </c>
      <c r="R159" s="124" t="n">
        <f aca="false">IF(GanttView[[#This Row],[_RemFrom]]=0,0,GanttView[[#This Row],[Forecast Finish]])</f>
        <v>0</v>
      </c>
      <c r="S159" s="123" t="b">
        <f aca="false">IF(IFERROR(INDEX(tsk_Name,GanttView[[#This Row],[_Row]])="",TRUE()),FALSE(),N(INDEX(tsk_Variance,GanttView[[#This Row],[_Row]]))&gt;0)</f>
        <v>0</v>
      </c>
      <c r="T159" s="124" t="n">
        <f aca="false">IF(IFERROR(INDEX(tsk_Name,GanttView[[#This Row],[_Row]])="",TRUE()),0,N(INDEX(tsk_Deadline,GanttView[[#This Row],[_Row]])))</f>
        <v>0</v>
      </c>
      <c r="U159" s="123" t="b">
        <f aca="false">IF(IFERROR(INDEX(tsk_Name,GanttView[[#This Row],[_Row]])="",TRUE()),FALSE(),INDEX(tsk_Critical,GanttView[[#This Row],[_Row]])="Yes")</f>
        <v>0</v>
      </c>
    </row>
    <row r="160" customFormat="false" ht="15" hidden="false" customHeight="false" outlineLevel="0" collapsed="false">
      <c r="A160" s="117" t="str">
        <f aca="false">IF(IFERROR(INDEX(tsk_Name,GanttView[[#This Row],[_Row]])="",TRUE()),"",INDEX(tsk_ID,GanttView[[#This Row],[_Row]]))</f>
        <v/>
      </c>
      <c r="B160" s="117" t="str">
        <f aca="false">IF(IFERROR(INDEX(tsk_Name,GanttView[[#This Row],[_Row]])="",TRUE()),"",INDEX(tsk_WBS,GanttView[[#This Row],[_Row]]))</f>
        <v/>
      </c>
      <c r="C160" s="118" t="str">
        <f aca="false">IF(IFERROR(INDEX(tsk_Name,GanttView[[#This Row],[_Row]])="",TRUE()),"",REPT("    ",INDEX(tsk_Level,GanttView[[#This Row],[_Row]])-1)&amp;INDEX(tsk_Name,GanttView[[#This Row],[_Row]]))</f>
        <v/>
      </c>
      <c r="D160" s="117" t="str">
        <f aca="false">IF(IFERROR(INDEX(tsk_Name,GanttView[[#This Row],[_Row]])="",TRUE()),"",IF(INDEX(tsk_IsSummary,GanttView[[#This Row],[_Row]]),NETWORKDAYS.INTL(INDEX(tsk_FcStart,GanttView[[#This Row],[_Row]]),INDEX(tsk_FcFinish,GanttView[[#This Row],[_Row]]),WorkWeek,Holidays),N(INDEX(tsk_Duration,GanttView[[#This Row],[_Row]]))))</f>
        <v/>
      </c>
      <c r="E160" s="119" t="str">
        <f aca="false">IF(IFERROR(INDEX(tsk_Name,GanttView[[#This Row],[_Row]])="",TRUE()),"",INDEX(tsk_PlanStart,GanttView[[#This Row],[_Row]]))</f>
        <v/>
      </c>
      <c r="F160" s="119" t="str">
        <f aca="false">IF(IFERROR(INDEX(tsk_Name,GanttView[[#This Row],[_Row]])="",TRUE()),"",INDEX(tsk_PlanFinish,GanttView[[#This Row],[_Row]]))</f>
        <v/>
      </c>
      <c r="G160" s="119" t="str">
        <f aca="false">IF(IFERROR(INDEX(tsk_Name,GanttView[[#This Row],[_Row]])="",TRUE()),"",INDEX(tsk_FcStart,GanttView[[#This Row],[_Row]]))</f>
        <v/>
      </c>
      <c r="H160" s="119" t="str">
        <f aca="false">IF(IFERROR(INDEX(tsk_Name,GanttView[[#This Row],[_Row]])="",TRUE()),"",INDEX(tsk_FcFinish,GanttView[[#This Row],[_Row]]))</f>
        <v/>
      </c>
      <c r="I160" s="120" t="str">
        <f aca="false">IF(IFERROR(INDEX(tsk_Name,GanttView[[#This Row],[_Row]])="",TRUE()),"",INDEX(tsk_Progress,GanttView[[#This Row],[_Row]]))</f>
        <v/>
      </c>
      <c r="J160" s="118" t="str">
        <f aca="false">IF(IFERROR(INDEX(tsk_Name,GanttView[[#This Row],[_Row]])="",TRUE()),"",INDEX(tsk_Resource,GanttView[[#This Row],[_Row]])&amp;"")</f>
        <v/>
      </c>
      <c r="K160" s="121" t="str">
        <f aca="false">IF(IFERROR(INDEX(tsk_Name,GanttView[[#This Row],[_Row]])="",TRUE()),"",INDEX(tsk_Status,GanttView[[#This Row],[_Row]]))</f>
        <v/>
      </c>
      <c r="L160" s="122" t="n">
        <f aca="false">ROW()-ROW(GanttView[[#Headers],[ID]])</f>
        <v>155</v>
      </c>
      <c r="M160" s="123" t="b">
        <f aca="false">IF(IFERROR(INDEX(tsk_Name,GanttView[[#This Row],[_Row]])="",TRUE()),FALSE(),INDEX(tsk_IsSummary,GanttView[[#This Row],[_Row]]))</f>
        <v>0</v>
      </c>
      <c r="N160" s="123" t="b">
        <f aca="false">IF(IFERROR(INDEX(tsk_Name,GanttView[[#This Row],[_Row]])="",TRUE()),FALSE(),AND(INDEX(tsk_IsLeaf,GanttView[[#This Row],[_Row]])=1,N(INDEX(tsk_Duration,GanttView[[#This Row],[_Row]]))=0))</f>
        <v>0</v>
      </c>
      <c r="O160" s="124" t="n">
        <f aca="false">IF(IFERROR(INDEX(tsk_Name,GanttView[[#This Row],[_Row]])="",TRUE()),0,IF(AND(INDEX(tsk_IsLeaf,GanttView[[#This Row],[_Row]])=1,NOT(GanttView[[#This Row],[_IsMilestone]]),N(GanttView[[#This Row],[%]])&gt;0),GanttView[[#This Row],[Forecast Start]],0))</f>
        <v>0</v>
      </c>
      <c r="P160" s="124" t="n">
        <f aca="false">IF(GanttView[[#This Row],[_DoneFrom]]=0,0,IF(GanttView[[#This Row],[%]]&gt;=1,GanttView[[#This Row],[Forecast Finish]],MAX(GanttView[[#This Row],[_DoneFrom]],GanttView[[#This Row],[Forecast Start]]+ROUND((GanttView[[#This Row],[Forecast Finish]]-GanttView[[#This Row],[Forecast Start]]+1)*GanttView[[#This Row],[%]],0)-1)))</f>
        <v>0</v>
      </c>
      <c r="Q160" s="124" t="n">
        <f aca="false">IF(IFERROR(INDEX(tsk_Name,GanttView[[#This Row],[_Row]])="",TRUE()),0,IF(OR(INDEX(tsk_IsLeaf,GanttView[[#This Row],[_Row]])&lt;&gt;1,GanttView[[#This Row],[_IsMilestone]],N(GanttView[[#This Row],[%]])&gt;=1),0,IF(GanttView[[#This Row],[_DoneTo]]&gt;0,GanttView[[#This Row],[_DoneTo]]+1,GanttView[[#This Row],[Forecast Start]])))</f>
        <v>0</v>
      </c>
      <c r="R160" s="124" t="n">
        <f aca="false">IF(GanttView[[#This Row],[_RemFrom]]=0,0,GanttView[[#This Row],[Forecast Finish]])</f>
        <v>0</v>
      </c>
      <c r="S160" s="123" t="b">
        <f aca="false">IF(IFERROR(INDEX(tsk_Name,GanttView[[#This Row],[_Row]])="",TRUE()),FALSE(),N(INDEX(tsk_Variance,GanttView[[#This Row],[_Row]]))&gt;0)</f>
        <v>0</v>
      </c>
      <c r="T160" s="124" t="n">
        <f aca="false">IF(IFERROR(INDEX(tsk_Name,GanttView[[#This Row],[_Row]])="",TRUE()),0,N(INDEX(tsk_Deadline,GanttView[[#This Row],[_Row]])))</f>
        <v>0</v>
      </c>
      <c r="U160" s="123" t="b">
        <f aca="false">IF(IFERROR(INDEX(tsk_Name,GanttView[[#This Row],[_Row]])="",TRUE()),FALSE(),INDEX(tsk_Critical,GanttView[[#This Row],[_Row]])="Yes")</f>
        <v>0</v>
      </c>
    </row>
    <row r="161" customFormat="false" ht="15" hidden="false" customHeight="false" outlineLevel="0" collapsed="false">
      <c r="A161" s="117" t="str">
        <f aca="false">IF(IFERROR(INDEX(tsk_Name,GanttView[[#This Row],[_Row]])="",TRUE()),"",INDEX(tsk_ID,GanttView[[#This Row],[_Row]]))</f>
        <v/>
      </c>
      <c r="B161" s="117" t="str">
        <f aca="false">IF(IFERROR(INDEX(tsk_Name,GanttView[[#This Row],[_Row]])="",TRUE()),"",INDEX(tsk_WBS,GanttView[[#This Row],[_Row]]))</f>
        <v/>
      </c>
      <c r="C161" s="118" t="str">
        <f aca="false">IF(IFERROR(INDEX(tsk_Name,GanttView[[#This Row],[_Row]])="",TRUE()),"",REPT("    ",INDEX(tsk_Level,GanttView[[#This Row],[_Row]])-1)&amp;INDEX(tsk_Name,GanttView[[#This Row],[_Row]]))</f>
        <v/>
      </c>
      <c r="D161" s="117" t="str">
        <f aca="false">IF(IFERROR(INDEX(tsk_Name,GanttView[[#This Row],[_Row]])="",TRUE()),"",IF(INDEX(tsk_IsSummary,GanttView[[#This Row],[_Row]]),NETWORKDAYS.INTL(INDEX(tsk_FcStart,GanttView[[#This Row],[_Row]]),INDEX(tsk_FcFinish,GanttView[[#This Row],[_Row]]),WorkWeek,Holidays),N(INDEX(tsk_Duration,GanttView[[#This Row],[_Row]]))))</f>
        <v/>
      </c>
      <c r="E161" s="119" t="str">
        <f aca="false">IF(IFERROR(INDEX(tsk_Name,GanttView[[#This Row],[_Row]])="",TRUE()),"",INDEX(tsk_PlanStart,GanttView[[#This Row],[_Row]]))</f>
        <v/>
      </c>
      <c r="F161" s="119" t="str">
        <f aca="false">IF(IFERROR(INDEX(tsk_Name,GanttView[[#This Row],[_Row]])="",TRUE()),"",INDEX(tsk_PlanFinish,GanttView[[#This Row],[_Row]]))</f>
        <v/>
      </c>
      <c r="G161" s="119" t="str">
        <f aca="false">IF(IFERROR(INDEX(tsk_Name,GanttView[[#This Row],[_Row]])="",TRUE()),"",INDEX(tsk_FcStart,GanttView[[#This Row],[_Row]]))</f>
        <v/>
      </c>
      <c r="H161" s="119" t="str">
        <f aca="false">IF(IFERROR(INDEX(tsk_Name,GanttView[[#This Row],[_Row]])="",TRUE()),"",INDEX(tsk_FcFinish,GanttView[[#This Row],[_Row]]))</f>
        <v/>
      </c>
      <c r="I161" s="120" t="str">
        <f aca="false">IF(IFERROR(INDEX(tsk_Name,GanttView[[#This Row],[_Row]])="",TRUE()),"",INDEX(tsk_Progress,GanttView[[#This Row],[_Row]]))</f>
        <v/>
      </c>
      <c r="J161" s="118" t="str">
        <f aca="false">IF(IFERROR(INDEX(tsk_Name,GanttView[[#This Row],[_Row]])="",TRUE()),"",INDEX(tsk_Resource,GanttView[[#This Row],[_Row]])&amp;"")</f>
        <v/>
      </c>
      <c r="K161" s="121" t="str">
        <f aca="false">IF(IFERROR(INDEX(tsk_Name,GanttView[[#This Row],[_Row]])="",TRUE()),"",INDEX(tsk_Status,GanttView[[#This Row],[_Row]]))</f>
        <v/>
      </c>
      <c r="L161" s="122" t="n">
        <f aca="false">ROW()-ROW(GanttView[[#Headers],[ID]])</f>
        <v>156</v>
      </c>
      <c r="M161" s="123" t="b">
        <f aca="false">IF(IFERROR(INDEX(tsk_Name,GanttView[[#This Row],[_Row]])="",TRUE()),FALSE(),INDEX(tsk_IsSummary,GanttView[[#This Row],[_Row]]))</f>
        <v>0</v>
      </c>
      <c r="N161" s="123" t="b">
        <f aca="false">IF(IFERROR(INDEX(tsk_Name,GanttView[[#This Row],[_Row]])="",TRUE()),FALSE(),AND(INDEX(tsk_IsLeaf,GanttView[[#This Row],[_Row]])=1,N(INDEX(tsk_Duration,GanttView[[#This Row],[_Row]]))=0))</f>
        <v>0</v>
      </c>
      <c r="O161" s="124" t="n">
        <f aca="false">IF(IFERROR(INDEX(tsk_Name,GanttView[[#This Row],[_Row]])="",TRUE()),0,IF(AND(INDEX(tsk_IsLeaf,GanttView[[#This Row],[_Row]])=1,NOT(GanttView[[#This Row],[_IsMilestone]]),N(GanttView[[#This Row],[%]])&gt;0),GanttView[[#This Row],[Forecast Start]],0))</f>
        <v>0</v>
      </c>
      <c r="P161" s="124" t="n">
        <f aca="false">IF(GanttView[[#This Row],[_DoneFrom]]=0,0,IF(GanttView[[#This Row],[%]]&gt;=1,GanttView[[#This Row],[Forecast Finish]],MAX(GanttView[[#This Row],[_DoneFrom]],GanttView[[#This Row],[Forecast Start]]+ROUND((GanttView[[#This Row],[Forecast Finish]]-GanttView[[#This Row],[Forecast Start]]+1)*GanttView[[#This Row],[%]],0)-1)))</f>
        <v>0</v>
      </c>
      <c r="Q161" s="124" t="n">
        <f aca="false">IF(IFERROR(INDEX(tsk_Name,GanttView[[#This Row],[_Row]])="",TRUE()),0,IF(OR(INDEX(tsk_IsLeaf,GanttView[[#This Row],[_Row]])&lt;&gt;1,GanttView[[#This Row],[_IsMilestone]],N(GanttView[[#This Row],[%]])&gt;=1),0,IF(GanttView[[#This Row],[_DoneTo]]&gt;0,GanttView[[#This Row],[_DoneTo]]+1,GanttView[[#This Row],[Forecast Start]])))</f>
        <v>0</v>
      </c>
      <c r="R161" s="124" t="n">
        <f aca="false">IF(GanttView[[#This Row],[_RemFrom]]=0,0,GanttView[[#This Row],[Forecast Finish]])</f>
        <v>0</v>
      </c>
      <c r="S161" s="123" t="b">
        <f aca="false">IF(IFERROR(INDEX(tsk_Name,GanttView[[#This Row],[_Row]])="",TRUE()),FALSE(),N(INDEX(tsk_Variance,GanttView[[#This Row],[_Row]]))&gt;0)</f>
        <v>0</v>
      </c>
      <c r="T161" s="124" t="n">
        <f aca="false">IF(IFERROR(INDEX(tsk_Name,GanttView[[#This Row],[_Row]])="",TRUE()),0,N(INDEX(tsk_Deadline,GanttView[[#This Row],[_Row]])))</f>
        <v>0</v>
      </c>
      <c r="U161" s="123" t="b">
        <f aca="false">IF(IFERROR(INDEX(tsk_Name,GanttView[[#This Row],[_Row]])="",TRUE()),FALSE(),INDEX(tsk_Critical,GanttView[[#This Row],[_Row]])="Yes")</f>
        <v>0</v>
      </c>
    </row>
    <row r="162" customFormat="false" ht="15" hidden="false" customHeight="false" outlineLevel="0" collapsed="false">
      <c r="A162" s="117" t="str">
        <f aca="false">IF(IFERROR(INDEX(tsk_Name,GanttView[[#This Row],[_Row]])="",TRUE()),"",INDEX(tsk_ID,GanttView[[#This Row],[_Row]]))</f>
        <v/>
      </c>
      <c r="B162" s="117" t="str">
        <f aca="false">IF(IFERROR(INDEX(tsk_Name,GanttView[[#This Row],[_Row]])="",TRUE()),"",INDEX(tsk_WBS,GanttView[[#This Row],[_Row]]))</f>
        <v/>
      </c>
      <c r="C162" s="118" t="str">
        <f aca="false">IF(IFERROR(INDEX(tsk_Name,GanttView[[#This Row],[_Row]])="",TRUE()),"",REPT("    ",INDEX(tsk_Level,GanttView[[#This Row],[_Row]])-1)&amp;INDEX(tsk_Name,GanttView[[#This Row],[_Row]]))</f>
        <v/>
      </c>
      <c r="D162" s="117" t="str">
        <f aca="false">IF(IFERROR(INDEX(tsk_Name,GanttView[[#This Row],[_Row]])="",TRUE()),"",IF(INDEX(tsk_IsSummary,GanttView[[#This Row],[_Row]]),NETWORKDAYS.INTL(INDEX(tsk_FcStart,GanttView[[#This Row],[_Row]]),INDEX(tsk_FcFinish,GanttView[[#This Row],[_Row]]),WorkWeek,Holidays),N(INDEX(tsk_Duration,GanttView[[#This Row],[_Row]]))))</f>
        <v/>
      </c>
      <c r="E162" s="119" t="str">
        <f aca="false">IF(IFERROR(INDEX(tsk_Name,GanttView[[#This Row],[_Row]])="",TRUE()),"",INDEX(tsk_PlanStart,GanttView[[#This Row],[_Row]]))</f>
        <v/>
      </c>
      <c r="F162" s="119" t="str">
        <f aca="false">IF(IFERROR(INDEX(tsk_Name,GanttView[[#This Row],[_Row]])="",TRUE()),"",INDEX(tsk_PlanFinish,GanttView[[#This Row],[_Row]]))</f>
        <v/>
      </c>
      <c r="G162" s="119" t="str">
        <f aca="false">IF(IFERROR(INDEX(tsk_Name,GanttView[[#This Row],[_Row]])="",TRUE()),"",INDEX(tsk_FcStart,GanttView[[#This Row],[_Row]]))</f>
        <v/>
      </c>
      <c r="H162" s="119" t="str">
        <f aca="false">IF(IFERROR(INDEX(tsk_Name,GanttView[[#This Row],[_Row]])="",TRUE()),"",INDEX(tsk_FcFinish,GanttView[[#This Row],[_Row]]))</f>
        <v/>
      </c>
      <c r="I162" s="120" t="str">
        <f aca="false">IF(IFERROR(INDEX(tsk_Name,GanttView[[#This Row],[_Row]])="",TRUE()),"",INDEX(tsk_Progress,GanttView[[#This Row],[_Row]]))</f>
        <v/>
      </c>
      <c r="J162" s="118" t="str">
        <f aca="false">IF(IFERROR(INDEX(tsk_Name,GanttView[[#This Row],[_Row]])="",TRUE()),"",INDEX(tsk_Resource,GanttView[[#This Row],[_Row]])&amp;"")</f>
        <v/>
      </c>
      <c r="K162" s="121" t="str">
        <f aca="false">IF(IFERROR(INDEX(tsk_Name,GanttView[[#This Row],[_Row]])="",TRUE()),"",INDEX(tsk_Status,GanttView[[#This Row],[_Row]]))</f>
        <v/>
      </c>
      <c r="L162" s="122" t="n">
        <f aca="false">ROW()-ROW(GanttView[[#Headers],[ID]])</f>
        <v>157</v>
      </c>
      <c r="M162" s="123" t="b">
        <f aca="false">IF(IFERROR(INDEX(tsk_Name,GanttView[[#This Row],[_Row]])="",TRUE()),FALSE(),INDEX(tsk_IsSummary,GanttView[[#This Row],[_Row]]))</f>
        <v>0</v>
      </c>
      <c r="N162" s="123" t="b">
        <f aca="false">IF(IFERROR(INDEX(tsk_Name,GanttView[[#This Row],[_Row]])="",TRUE()),FALSE(),AND(INDEX(tsk_IsLeaf,GanttView[[#This Row],[_Row]])=1,N(INDEX(tsk_Duration,GanttView[[#This Row],[_Row]]))=0))</f>
        <v>0</v>
      </c>
      <c r="O162" s="124" t="n">
        <f aca="false">IF(IFERROR(INDEX(tsk_Name,GanttView[[#This Row],[_Row]])="",TRUE()),0,IF(AND(INDEX(tsk_IsLeaf,GanttView[[#This Row],[_Row]])=1,NOT(GanttView[[#This Row],[_IsMilestone]]),N(GanttView[[#This Row],[%]])&gt;0),GanttView[[#This Row],[Forecast Start]],0))</f>
        <v>0</v>
      </c>
      <c r="P162" s="124" t="n">
        <f aca="false">IF(GanttView[[#This Row],[_DoneFrom]]=0,0,IF(GanttView[[#This Row],[%]]&gt;=1,GanttView[[#This Row],[Forecast Finish]],MAX(GanttView[[#This Row],[_DoneFrom]],GanttView[[#This Row],[Forecast Start]]+ROUND((GanttView[[#This Row],[Forecast Finish]]-GanttView[[#This Row],[Forecast Start]]+1)*GanttView[[#This Row],[%]],0)-1)))</f>
        <v>0</v>
      </c>
      <c r="Q162" s="124" t="n">
        <f aca="false">IF(IFERROR(INDEX(tsk_Name,GanttView[[#This Row],[_Row]])="",TRUE()),0,IF(OR(INDEX(tsk_IsLeaf,GanttView[[#This Row],[_Row]])&lt;&gt;1,GanttView[[#This Row],[_IsMilestone]],N(GanttView[[#This Row],[%]])&gt;=1),0,IF(GanttView[[#This Row],[_DoneTo]]&gt;0,GanttView[[#This Row],[_DoneTo]]+1,GanttView[[#This Row],[Forecast Start]])))</f>
        <v>0</v>
      </c>
      <c r="R162" s="124" t="n">
        <f aca="false">IF(GanttView[[#This Row],[_RemFrom]]=0,0,GanttView[[#This Row],[Forecast Finish]])</f>
        <v>0</v>
      </c>
      <c r="S162" s="123" t="b">
        <f aca="false">IF(IFERROR(INDEX(tsk_Name,GanttView[[#This Row],[_Row]])="",TRUE()),FALSE(),N(INDEX(tsk_Variance,GanttView[[#This Row],[_Row]]))&gt;0)</f>
        <v>0</v>
      </c>
      <c r="T162" s="124" t="n">
        <f aca="false">IF(IFERROR(INDEX(tsk_Name,GanttView[[#This Row],[_Row]])="",TRUE()),0,N(INDEX(tsk_Deadline,GanttView[[#This Row],[_Row]])))</f>
        <v>0</v>
      </c>
      <c r="U162" s="123" t="b">
        <f aca="false">IF(IFERROR(INDEX(tsk_Name,GanttView[[#This Row],[_Row]])="",TRUE()),FALSE(),INDEX(tsk_Critical,GanttView[[#This Row],[_Row]])="Yes")</f>
        <v>0</v>
      </c>
    </row>
    <row r="163" customFormat="false" ht="15" hidden="false" customHeight="false" outlineLevel="0" collapsed="false">
      <c r="A163" s="117" t="str">
        <f aca="false">IF(IFERROR(INDEX(tsk_Name,GanttView[[#This Row],[_Row]])="",TRUE()),"",INDEX(tsk_ID,GanttView[[#This Row],[_Row]]))</f>
        <v/>
      </c>
      <c r="B163" s="117" t="str">
        <f aca="false">IF(IFERROR(INDEX(tsk_Name,GanttView[[#This Row],[_Row]])="",TRUE()),"",INDEX(tsk_WBS,GanttView[[#This Row],[_Row]]))</f>
        <v/>
      </c>
      <c r="C163" s="118" t="str">
        <f aca="false">IF(IFERROR(INDEX(tsk_Name,GanttView[[#This Row],[_Row]])="",TRUE()),"",REPT("    ",INDEX(tsk_Level,GanttView[[#This Row],[_Row]])-1)&amp;INDEX(tsk_Name,GanttView[[#This Row],[_Row]]))</f>
        <v/>
      </c>
      <c r="D163" s="117" t="str">
        <f aca="false">IF(IFERROR(INDEX(tsk_Name,GanttView[[#This Row],[_Row]])="",TRUE()),"",IF(INDEX(tsk_IsSummary,GanttView[[#This Row],[_Row]]),NETWORKDAYS.INTL(INDEX(tsk_FcStart,GanttView[[#This Row],[_Row]]),INDEX(tsk_FcFinish,GanttView[[#This Row],[_Row]]),WorkWeek,Holidays),N(INDEX(tsk_Duration,GanttView[[#This Row],[_Row]]))))</f>
        <v/>
      </c>
      <c r="E163" s="119" t="str">
        <f aca="false">IF(IFERROR(INDEX(tsk_Name,GanttView[[#This Row],[_Row]])="",TRUE()),"",INDEX(tsk_PlanStart,GanttView[[#This Row],[_Row]]))</f>
        <v/>
      </c>
      <c r="F163" s="119" t="str">
        <f aca="false">IF(IFERROR(INDEX(tsk_Name,GanttView[[#This Row],[_Row]])="",TRUE()),"",INDEX(tsk_PlanFinish,GanttView[[#This Row],[_Row]]))</f>
        <v/>
      </c>
      <c r="G163" s="119" t="str">
        <f aca="false">IF(IFERROR(INDEX(tsk_Name,GanttView[[#This Row],[_Row]])="",TRUE()),"",INDEX(tsk_FcStart,GanttView[[#This Row],[_Row]]))</f>
        <v/>
      </c>
      <c r="H163" s="119" t="str">
        <f aca="false">IF(IFERROR(INDEX(tsk_Name,GanttView[[#This Row],[_Row]])="",TRUE()),"",INDEX(tsk_FcFinish,GanttView[[#This Row],[_Row]]))</f>
        <v/>
      </c>
      <c r="I163" s="120" t="str">
        <f aca="false">IF(IFERROR(INDEX(tsk_Name,GanttView[[#This Row],[_Row]])="",TRUE()),"",INDEX(tsk_Progress,GanttView[[#This Row],[_Row]]))</f>
        <v/>
      </c>
      <c r="J163" s="118" t="str">
        <f aca="false">IF(IFERROR(INDEX(tsk_Name,GanttView[[#This Row],[_Row]])="",TRUE()),"",INDEX(tsk_Resource,GanttView[[#This Row],[_Row]])&amp;"")</f>
        <v/>
      </c>
      <c r="K163" s="121" t="str">
        <f aca="false">IF(IFERROR(INDEX(tsk_Name,GanttView[[#This Row],[_Row]])="",TRUE()),"",INDEX(tsk_Status,GanttView[[#This Row],[_Row]]))</f>
        <v/>
      </c>
      <c r="L163" s="122" t="n">
        <f aca="false">ROW()-ROW(GanttView[[#Headers],[ID]])</f>
        <v>158</v>
      </c>
      <c r="M163" s="123" t="b">
        <f aca="false">IF(IFERROR(INDEX(tsk_Name,GanttView[[#This Row],[_Row]])="",TRUE()),FALSE(),INDEX(tsk_IsSummary,GanttView[[#This Row],[_Row]]))</f>
        <v>0</v>
      </c>
      <c r="N163" s="123" t="b">
        <f aca="false">IF(IFERROR(INDEX(tsk_Name,GanttView[[#This Row],[_Row]])="",TRUE()),FALSE(),AND(INDEX(tsk_IsLeaf,GanttView[[#This Row],[_Row]])=1,N(INDEX(tsk_Duration,GanttView[[#This Row],[_Row]]))=0))</f>
        <v>0</v>
      </c>
      <c r="O163" s="124" t="n">
        <f aca="false">IF(IFERROR(INDEX(tsk_Name,GanttView[[#This Row],[_Row]])="",TRUE()),0,IF(AND(INDEX(tsk_IsLeaf,GanttView[[#This Row],[_Row]])=1,NOT(GanttView[[#This Row],[_IsMilestone]]),N(GanttView[[#This Row],[%]])&gt;0),GanttView[[#This Row],[Forecast Start]],0))</f>
        <v>0</v>
      </c>
      <c r="P163" s="124" t="n">
        <f aca="false">IF(GanttView[[#This Row],[_DoneFrom]]=0,0,IF(GanttView[[#This Row],[%]]&gt;=1,GanttView[[#This Row],[Forecast Finish]],MAX(GanttView[[#This Row],[_DoneFrom]],GanttView[[#This Row],[Forecast Start]]+ROUND((GanttView[[#This Row],[Forecast Finish]]-GanttView[[#This Row],[Forecast Start]]+1)*GanttView[[#This Row],[%]],0)-1)))</f>
        <v>0</v>
      </c>
      <c r="Q163" s="124" t="n">
        <f aca="false">IF(IFERROR(INDEX(tsk_Name,GanttView[[#This Row],[_Row]])="",TRUE()),0,IF(OR(INDEX(tsk_IsLeaf,GanttView[[#This Row],[_Row]])&lt;&gt;1,GanttView[[#This Row],[_IsMilestone]],N(GanttView[[#This Row],[%]])&gt;=1),0,IF(GanttView[[#This Row],[_DoneTo]]&gt;0,GanttView[[#This Row],[_DoneTo]]+1,GanttView[[#This Row],[Forecast Start]])))</f>
        <v>0</v>
      </c>
      <c r="R163" s="124" t="n">
        <f aca="false">IF(GanttView[[#This Row],[_RemFrom]]=0,0,GanttView[[#This Row],[Forecast Finish]])</f>
        <v>0</v>
      </c>
      <c r="S163" s="123" t="b">
        <f aca="false">IF(IFERROR(INDEX(tsk_Name,GanttView[[#This Row],[_Row]])="",TRUE()),FALSE(),N(INDEX(tsk_Variance,GanttView[[#This Row],[_Row]]))&gt;0)</f>
        <v>0</v>
      </c>
      <c r="T163" s="124" t="n">
        <f aca="false">IF(IFERROR(INDEX(tsk_Name,GanttView[[#This Row],[_Row]])="",TRUE()),0,N(INDEX(tsk_Deadline,GanttView[[#This Row],[_Row]])))</f>
        <v>0</v>
      </c>
      <c r="U163" s="123" t="b">
        <f aca="false">IF(IFERROR(INDEX(tsk_Name,GanttView[[#This Row],[_Row]])="",TRUE()),FALSE(),INDEX(tsk_Critical,GanttView[[#This Row],[_Row]])="Yes")</f>
        <v>0</v>
      </c>
    </row>
    <row r="164" customFormat="false" ht="15" hidden="false" customHeight="false" outlineLevel="0" collapsed="false">
      <c r="A164" s="117" t="str">
        <f aca="false">IF(IFERROR(INDEX(tsk_Name,GanttView[[#This Row],[_Row]])="",TRUE()),"",INDEX(tsk_ID,GanttView[[#This Row],[_Row]]))</f>
        <v/>
      </c>
      <c r="B164" s="117" t="str">
        <f aca="false">IF(IFERROR(INDEX(tsk_Name,GanttView[[#This Row],[_Row]])="",TRUE()),"",INDEX(tsk_WBS,GanttView[[#This Row],[_Row]]))</f>
        <v/>
      </c>
      <c r="C164" s="118" t="str">
        <f aca="false">IF(IFERROR(INDEX(tsk_Name,GanttView[[#This Row],[_Row]])="",TRUE()),"",REPT("    ",INDEX(tsk_Level,GanttView[[#This Row],[_Row]])-1)&amp;INDEX(tsk_Name,GanttView[[#This Row],[_Row]]))</f>
        <v/>
      </c>
      <c r="D164" s="117" t="str">
        <f aca="false">IF(IFERROR(INDEX(tsk_Name,GanttView[[#This Row],[_Row]])="",TRUE()),"",IF(INDEX(tsk_IsSummary,GanttView[[#This Row],[_Row]]),NETWORKDAYS.INTL(INDEX(tsk_FcStart,GanttView[[#This Row],[_Row]]),INDEX(tsk_FcFinish,GanttView[[#This Row],[_Row]]),WorkWeek,Holidays),N(INDEX(tsk_Duration,GanttView[[#This Row],[_Row]]))))</f>
        <v/>
      </c>
      <c r="E164" s="119" t="str">
        <f aca="false">IF(IFERROR(INDEX(tsk_Name,GanttView[[#This Row],[_Row]])="",TRUE()),"",INDEX(tsk_PlanStart,GanttView[[#This Row],[_Row]]))</f>
        <v/>
      </c>
      <c r="F164" s="119" t="str">
        <f aca="false">IF(IFERROR(INDEX(tsk_Name,GanttView[[#This Row],[_Row]])="",TRUE()),"",INDEX(tsk_PlanFinish,GanttView[[#This Row],[_Row]]))</f>
        <v/>
      </c>
      <c r="G164" s="119" t="str">
        <f aca="false">IF(IFERROR(INDEX(tsk_Name,GanttView[[#This Row],[_Row]])="",TRUE()),"",INDEX(tsk_FcStart,GanttView[[#This Row],[_Row]]))</f>
        <v/>
      </c>
      <c r="H164" s="119" t="str">
        <f aca="false">IF(IFERROR(INDEX(tsk_Name,GanttView[[#This Row],[_Row]])="",TRUE()),"",INDEX(tsk_FcFinish,GanttView[[#This Row],[_Row]]))</f>
        <v/>
      </c>
      <c r="I164" s="120" t="str">
        <f aca="false">IF(IFERROR(INDEX(tsk_Name,GanttView[[#This Row],[_Row]])="",TRUE()),"",INDEX(tsk_Progress,GanttView[[#This Row],[_Row]]))</f>
        <v/>
      </c>
      <c r="J164" s="118" t="str">
        <f aca="false">IF(IFERROR(INDEX(tsk_Name,GanttView[[#This Row],[_Row]])="",TRUE()),"",INDEX(tsk_Resource,GanttView[[#This Row],[_Row]])&amp;"")</f>
        <v/>
      </c>
      <c r="K164" s="121" t="str">
        <f aca="false">IF(IFERROR(INDEX(tsk_Name,GanttView[[#This Row],[_Row]])="",TRUE()),"",INDEX(tsk_Status,GanttView[[#This Row],[_Row]]))</f>
        <v/>
      </c>
      <c r="L164" s="122" t="n">
        <f aca="false">ROW()-ROW(GanttView[[#Headers],[ID]])</f>
        <v>159</v>
      </c>
      <c r="M164" s="123" t="b">
        <f aca="false">IF(IFERROR(INDEX(tsk_Name,GanttView[[#This Row],[_Row]])="",TRUE()),FALSE(),INDEX(tsk_IsSummary,GanttView[[#This Row],[_Row]]))</f>
        <v>0</v>
      </c>
      <c r="N164" s="123" t="b">
        <f aca="false">IF(IFERROR(INDEX(tsk_Name,GanttView[[#This Row],[_Row]])="",TRUE()),FALSE(),AND(INDEX(tsk_IsLeaf,GanttView[[#This Row],[_Row]])=1,N(INDEX(tsk_Duration,GanttView[[#This Row],[_Row]]))=0))</f>
        <v>0</v>
      </c>
      <c r="O164" s="124" t="n">
        <f aca="false">IF(IFERROR(INDEX(tsk_Name,GanttView[[#This Row],[_Row]])="",TRUE()),0,IF(AND(INDEX(tsk_IsLeaf,GanttView[[#This Row],[_Row]])=1,NOT(GanttView[[#This Row],[_IsMilestone]]),N(GanttView[[#This Row],[%]])&gt;0),GanttView[[#This Row],[Forecast Start]],0))</f>
        <v>0</v>
      </c>
      <c r="P164" s="124" t="n">
        <f aca="false">IF(GanttView[[#This Row],[_DoneFrom]]=0,0,IF(GanttView[[#This Row],[%]]&gt;=1,GanttView[[#This Row],[Forecast Finish]],MAX(GanttView[[#This Row],[_DoneFrom]],GanttView[[#This Row],[Forecast Start]]+ROUND((GanttView[[#This Row],[Forecast Finish]]-GanttView[[#This Row],[Forecast Start]]+1)*GanttView[[#This Row],[%]],0)-1)))</f>
        <v>0</v>
      </c>
      <c r="Q164" s="124" t="n">
        <f aca="false">IF(IFERROR(INDEX(tsk_Name,GanttView[[#This Row],[_Row]])="",TRUE()),0,IF(OR(INDEX(tsk_IsLeaf,GanttView[[#This Row],[_Row]])&lt;&gt;1,GanttView[[#This Row],[_IsMilestone]],N(GanttView[[#This Row],[%]])&gt;=1),0,IF(GanttView[[#This Row],[_DoneTo]]&gt;0,GanttView[[#This Row],[_DoneTo]]+1,GanttView[[#This Row],[Forecast Start]])))</f>
        <v>0</v>
      </c>
      <c r="R164" s="124" t="n">
        <f aca="false">IF(GanttView[[#This Row],[_RemFrom]]=0,0,GanttView[[#This Row],[Forecast Finish]])</f>
        <v>0</v>
      </c>
      <c r="S164" s="123" t="b">
        <f aca="false">IF(IFERROR(INDEX(tsk_Name,GanttView[[#This Row],[_Row]])="",TRUE()),FALSE(),N(INDEX(tsk_Variance,GanttView[[#This Row],[_Row]]))&gt;0)</f>
        <v>0</v>
      </c>
      <c r="T164" s="124" t="n">
        <f aca="false">IF(IFERROR(INDEX(tsk_Name,GanttView[[#This Row],[_Row]])="",TRUE()),0,N(INDEX(tsk_Deadline,GanttView[[#This Row],[_Row]])))</f>
        <v>0</v>
      </c>
      <c r="U164" s="123" t="b">
        <f aca="false">IF(IFERROR(INDEX(tsk_Name,GanttView[[#This Row],[_Row]])="",TRUE()),FALSE(),INDEX(tsk_Critical,GanttView[[#This Row],[_Row]])="Yes")</f>
        <v>0</v>
      </c>
    </row>
    <row r="165" customFormat="false" ht="15" hidden="false" customHeight="false" outlineLevel="0" collapsed="false">
      <c r="A165" s="117" t="str">
        <f aca="false">IF(IFERROR(INDEX(tsk_Name,GanttView[[#This Row],[_Row]])="",TRUE()),"",INDEX(tsk_ID,GanttView[[#This Row],[_Row]]))</f>
        <v/>
      </c>
      <c r="B165" s="117" t="str">
        <f aca="false">IF(IFERROR(INDEX(tsk_Name,GanttView[[#This Row],[_Row]])="",TRUE()),"",INDEX(tsk_WBS,GanttView[[#This Row],[_Row]]))</f>
        <v/>
      </c>
      <c r="C165" s="118" t="str">
        <f aca="false">IF(IFERROR(INDEX(tsk_Name,GanttView[[#This Row],[_Row]])="",TRUE()),"",REPT("    ",INDEX(tsk_Level,GanttView[[#This Row],[_Row]])-1)&amp;INDEX(tsk_Name,GanttView[[#This Row],[_Row]]))</f>
        <v/>
      </c>
      <c r="D165" s="117" t="str">
        <f aca="false">IF(IFERROR(INDEX(tsk_Name,GanttView[[#This Row],[_Row]])="",TRUE()),"",IF(INDEX(tsk_IsSummary,GanttView[[#This Row],[_Row]]),NETWORKDAYS.INTL(INDEX(tsk_FcStart,GanttView[[#This Row],[_Row]]),INDEX(tsk_FcFinish,GanttView[[#This Row],[_Row]]),WorkWeek,Holidays),N(INDEX(tsk_Duration,GanttView[[#This Row],[_Row]]))))</f>
        <v/>
      </c>
      <c r="E165" s="119" t="str">
        <f aca="false">IF(IFERROR(INDEX(tsk_Name,GanttView[[#This Row],[_Row]])="",TRUE()),"",INDEX(tsk_PlanStart,GanttView[[#This Row],[_Row]]))</f>
        <v/>
      </c>
      <c r="F165" s="119" t="str">
        <f aca="false">IF(IFERROR(INDEX(tsk_Name,GanttView[[#This Row],[_Row]])="",TRUE()),"",INDEX(tsk_PlanFinish,GanttView[[#This Row],[_Row]]))</f>
        <v/>
      </c>
      <c r="G165" s="119" t="str">
        <f aca="false">IF(IFERROR(INDEX(tsk_Name,GanttView[[#This Row],[_Row]])="",TRUE()),"",INDEX(tsk_FcStart,GanttView[[#This Row],[_Row]]))</f>
        <v/>
      </c>
      <c r="H165" s="119" t="str">
        <f aca="false">IF(IFERROR(INDEX(tsk_Name,GanttView[[#This Row],[_Row]])="",TRUE()),"",INDEX(tsk_FcFinish,GanttView[[#This Row],[_Row]]))</f>
        <v/>
      </c>
      <c r="I165" s="120" t="str">
        <f aca="false">IF(IFERROR(INDEX(tsk_Name,GanttView[[#This Row],[_Row]])="",TRUE()),"",INDEX(tsk_Progress,GanttView[[#This Row],[_Row]]))</f>
        <v/>
      </c>
      <c r="J165" s="118" t="str">
        <f aca="false">IF(IFERROR(INDEX(tsk_Name,GanttView[[#This Row],[_Row]])="",TRUE()),"",INDEX(tsk_Resource,GanttView[[#This Row],[_Row]])&amp;"")</f>
        <v/>
      </c>
      <c r="K165" s="121" t="str">
        <f aca="false">IF(IFERROR(INDEX(tsk_Name,GanttView[[#This Row],[_Row]])="",TRUE()),"",INDEX(tsk_Status,GanttView[[#This Row],[_Row]]))</f>
        <v/>
      </c>
      <c r="L165" s="122" t="n">
        <f aca="false">ROW()-ROW(GanttView[[#Headers],[ID]])</f>
        <v>160</v>
      </c>
      <c r="M165" s="123" t="b">
        <f aca="false">IF(IFERROR(INDEX(tsk_Name,GanttView[[#This Row],[_Row]])="",TRUE()),FALSE(),INDEX(tsk_IsSummary,GanttView[[#This Row],[_Row]]))</f>
        <v>0</v>
      </c>
      <c r="N165" s="123" t="b">
        <f aca="false">IF(IFERROR(INDEX(tsk_Name,GanttView[[#This Row],[_Row]])="",TRUE()),FALSE(),AND(INDEX(tsk_IsLeaf,GanttView[[#This Row],[_Row]])=1,N(INDEX(tsk_Duration,GanttView[[#This Row],[_Row]]))=0))</f>
        <v>0</v>
      </c>
      <c r="O165" s="124" t="n">
        <f aca="false">IF(IFERROR(INDEX(tsk_Name,GanttView[[#This Row],[_Row]])="",TRUE()),0,IF(AND(INDEX(tsk_IsLeaf,GanttView[[#This Row],[_Row]])=1,NOT(GanttView[[#This Row],[_IsMilestone]]),N(GanttView[[#This Row],[%]])&gt;0),GanttView[[#This Row],[Forecast Start]],0))</f>
        <v>0</v>
      </c>
      <c r="P165" s="124" t="n">
        <f aca="false">IF(GanttView[[#This Row],[_DoneFrom]]=0,0,IF(GanttView[[#This Row],[%]]&gt;=1,GanttView[[#This Row],[Forecast Finish]],MAX(GanttView[[#This Row],[_DoneFrom]],GanttView[[#This Row],[Forecast Start]]+ROUND((GanttView[[#This Row],[Forecast Finish]]-GanttView[[#This Row],[Forecast Start]]+1)*GanttView[[#This Row],[%]],0)-1)))</f>
        <v>0</v>
      </c>
      <c r="Q165" s="124" t="n">
        <f aca="false">IF(IFERROR(INDEX(tsk_Name,GanttView[[#This Row],[_Row]])="",TRUE()),0,IF(OR(INDEX(tsk_IsLeaf,GanttView[[#This Row],[_Row]])&lt;&gt;1,GanttView[[#This Row],[_IsMilestone]],N(GanttView[[#This Row],[%]])&gt;=1),0,IF(GanttView[[#This Row],[_DoneTo]]&gt;0,GanttView[[#This Row],[_DoneTo]]+1,GanttView[[#This Row],[Forecast Start]])))</f>
        <v>0</v>
      </c>
      <c r="R165" s="124" t="n">
        <f aca="false">IF(GanttView[[#This Row],[_RemFrom]]=0,0,GanttView[[#This Row],[Forecast Finish]])</f>
        <v>0</v>
      </c>
      <c r="S165" s="123" t="b">
        <f aca="false">IF(IFERROR(INDEX(tsk_Name,GanttView[[#This Row],[_Row]])="",TRUE()),FALSE(),N(INDEX(tsk_Variance,GanttView[[#This Row],[_Row]]))&gt;0)</f>
        <v>0</v>
      </c>
      <c r="T165" s="124" t="n">
        <f aca="false">IF(IFERROR(INDEX(tsk_Name,GanttView[[#This Row],[_Row]])="",TRUE()),0,N(INDEX(tsk_Deadline,GanttView[[#This Row],[_Row]])))</f>
        <v>0</v>
      </c>
      <c r="U165" s="123" t="b">
        <f aca="false">IF(IFERROR(INDEX(tsk_Name,GanttView[[#This Row],[_Row]])="",TRUE()),FALSE(),INDEX(tsk_Critical,GanttView[[#This Row],[_Row]])="Yes")</f>
        <v>0</v>
      </c>
    </row>
    <row r="166" customFormat="false" ht="15" hidden="false" customHeight="false" outlineLevel="0" collapsed="false">
      <c r="A166" s="117" t="str">
        <f aca="false">IF(IFERROR(INDEX(tsk_Name,GanttView[[#This Row],[_Row]])="",TRUE()),"",INDEX(tsk_ID,GanttView[[#This Row],[_Row]]))</f>
        <v/>
      </c>
      <c r="B166" s="117" t="str">
        <f aca="false">IF(IFERROR(INDEX(tsk_Name,GanttView[[#This Row],[_Row]])="",TRUE()),"",INDEX(tsk_WBS,GanttView[[#This Row],[_Row]]))</f>
        <v/>
      </c>
      <c r="C166" s="118" t="str">
        <f aca="false">IF(IFERROR(INDEX(tsk_Name,GanttView[[#This Row],[_Row]])="",TRUE()),"",REPT("    ",INDEX(tsk_Level,GanttView[[#This Row],[_Row]])-1)&amp;INDEX(tsk_Name,GanttView[[#This Row],[_Row]]))</f>
        <v/>
      </c>
      <c r="D166" s="117" t="str">
        <f aca="false">IF(IFERROR(INDEX(tsk_Name,GanttView[[#This Row],[_Row]])="",TRUE()),"",IF(INDEX(tsk_IsSummary,GanttView[[#This Row],[_Row]]),NETWORKDAYS.INTL(INDEX(tsk_FcStart,GanttView[[#This Row],[_Row]]),INDEX(tsk_FcFinish,GanttView[[#This Row],[_Row]]),WorkWeek,Holidays),N(INDEX(tsk_Duration,GanttView[[#This Row],[_Row]]))))</f>
        <v/>
      </c>
      <c r="E166" s="119" t="str">
        <f aca="false">IF(IFERROR(INDEX(tsk_Name,GanttView[[#This Row],[_Row]])="",TRUE()),"",INDEX(tsk_PlanStart,GanttView[[#This Row],[_Row]]))</f>
        <v/>
      </c>
      <c r="F166" s="119" t="str">
        <f aca="false">IF(IFERROR(INDEX(tsk_Name,GanttView[[#This Row],[_Row]])="",TRUE()),"",INDEX(tsk_PlanFinish,GanttView[[#This Row],[_Row]]))</f>
        <v/>
      </c>
      <c r="G166" s="119" t="str">
        <f aca="false">IF(IFERROR(INDEX(tsk_Name,GanttView[[#This Row],[_Row]])="",TRUE()),"",INDEX(tsk_FcStart,GanttView[[#This Row],[_Row]]))</f>
        <v/>
      </c>
      <c r="H166" s="119" t="str">
        <f aca="false">IF(IFERROR(INDEX(tsk_Name,GanttView[[#This Row],[_Row]])="",TRUE()),"",INDEX(tsk_FcFinish,GanttView[[#This Row],[_Row]]))</f>
        <v/>
      </c>
      <c r="I166" s="120" t="str">
        <f aca="false">IF(IFERROR(INDEX(tsk_Name,GanttView[[#This Row],[_Row]])="",TRUE()),"",INDEX(tsk_Progress,GanttView[[#This Row],[_Row]]))</f>
        <v/>
      </c>
      <c r="J166" s="118" t="str">
        <f aca="false">IF(IFERROR(INDEX(tsk_Name,GanttView[[#This Row],[_Row]])="",TRUE()),"",INDEX(tsk_Resource,GanttView[[#This Row],[_Row]])&amp;"")</f>
        <v/>
      </c>
      <c r="K166" s="121" t="str">
        <f aca="false">IF(IFERROR(INDEX(tsk_Name,GanttView[[#This Row],[_Row]])="",TRUE()),"",INDEX(tsk_Status,GanttView[[#This Row],[_Row]]))</f>
        <v/>
      </c>
      <c r="L166" s="122" t="n">
        <f aca="false">ROW()-ROW(GanttView[[#Headers],[ID]])</f>
        <v>161</v>
      </c>
      <c r="M166" s="123" t="b">
        <f aca="false">IF(IFERROR(INDEX(tsk_Name,GanttView[[#This Row],[_Row]])="",TRUE()),FALSE(),INDEX(tsk_IsSummary,GanttView[[#This Row],[_Row]]))</f>
        <v>0</v>
      </c>
      <c r="N166" s="123" t="b">
        <f aca="false">IF(IFERROR(INDEX(tsk_Name,GanttView[[#This Row],[_Row]])="",TRUE()),FALSE(),AND(INDEX(tsk_IsLeaf,GanttView[[#This Row],[_Row]])=1,N(INDEX(tsk_Duration,GanttView[[#This Row],[_Row]]))=0))</f>
        <v>0</v>
      </c>
      <c r="O166" s="124" t="n">
        <f aca="false">IF(IFERROR(INDEX(tsk_Name,GanttView[[#This Row],[_Row]])="",TRUE()),0,IF(AND(INDEX(tsk_IsLeaf,GanttView[[#This Row],[_Row]])=1,NOT(GanttView[[#This Row],[_IsMilestone]]),N(GanttView[[#This Row],[%]])&gt;0),GanttView[[#This Row],[Forecast Start]],0))</f>
        <v>0</v>
      </c>
      <c r="P166" s="124" t="n">
        <f aca="false">IF(GanttView[[#This Row],[_DoneFrom]]=0,0,IF(GanttView[[#This Row],[%]]&gt;=1,GanttView[[#This Row],[Forecast Finish]],MAX(GanttView[[#This Row],[_DoneFrom]],GanttView[[#This Row],[Forecast Start]]+ROUND((GanttView[[#This Row],[Forecast Finish]]-GanttView[[#This Row],[Forecast Start]]+1)*GanttView[[#This Row],[%]],0)-1)))</f>
        <v>0</v>
      </c>
      <c r="Q166" s="124" t="n">
        <f aca="false">IF(IFERROR(INDEX(tsk_Name,GanttView[[#This Row],[_Row]])="",TRUE()),0,IF(OR(INDEX(tsk_IsLeaf,GanttView[[#This Row],[_Row]])&lt;&gt;1,GanttView[[#This Row],[_IsMilestone]],N(GanttView[[#This Row],[%]])&gt;=1),0,IF(GanttView[[#This Row],[_DoneTo]]&gt;0,GanttView[[#This Row],[_DoneTo]]+1,GanttView[[#This Row],[Forecast Start]])))</f>
        <v>0</v>
      </c>
      <c r="R166" s="124" t="n">
        <f aca="false">IF(GanttView[[#This Row],[_RemFrom]]=0,0,GanttView[[#This Row],[Forecast Finish]])</f>
        <v>0</v>
      </c>
      <c r="S166" s="123" t="b">
        <f aca="false">IF(IFERROR(INDEX(tsk_Name,GanttView[[#This Row],[_Row]])="",TRUE()),FALSE(),N(INDEX(tsk_Variance,GanttView[[#This Row],[_Row]]))&gt;0)</f>
        <v>0</v>
      </c>
      <c r="T166" s="124" t="n">
        <f aca="false">IF(IFERROR(INDEX(tsk_Name,GanttView[[#This Row],[_Row]])="",TRUE()),0,N(INDEX(tsk_Deadline,GanttView[[#This Row],[_Row]])))</f>
        <v>0</v>
      </c>
      <c r="U166" s="123" t="b">
        <f aca="false">IF(IFERROR(INDEX(tsk_Name,GanttView[[#This Row],[_Row]])="",TRUE()),FALSE(),INDEX(tsk_Critical,GanttView[[#This Row],[_Row]])="Yes")</f>
        <v>0</v>
      </c>
    </row>
    <row r="167" customFormat="false" ht="15" hidden="false" customHeight="false" outlineLevel="0" collapsed="false">
      <c r="A167" s="117" t="str">
        <f aca="false">IF(IFERROR(INDEX(tsk_Name,GanttView[[#This Row],[_Row]])="",TRUE()),"",INDEX(tsk_ID,GanttView[[#This Row],[_Row]]))</f>
        <v/>
      </c>
      <c r="B167" s="117" t="str">
        <f aca="false">IF(IFERROR(INDEX(tsk_Name,GanttView[[#This Row],[_Row]])="",TRUE()),"",INDEX(tsk_WBS,GanttView[[#This Row],[_Row]]))</f>
        <v/>
      </c>
      <c r="C167" s="118" t="str">
        <f aca="false">IF(IFERROR(INDEX(tsk_Name,GanttView[[#This Row],[_Row]])="",TRUE()),"",REPT("    ",INDEX(tsk_Level,GanttView[[#This Row],[_Row]])-1)&amp;INDEX(tsk_Name,GanttView[[#This Row],[_Row]]))</f>
        <v/>
      </c>
      <c r="D167" s="117" t="str">
        <f aca="false">IF(IFERROR(INDEX(tsk_Name,GanttView[[#This Row],[_Row]])="",TRUE()),"",IF(INDEX(tsk_IsSummary,GanttView[[#This Row],[_Row]]),NETWORKDAYS.INTL(INDEX(tsk_FcStart,GanttView[[#This Row],[_Row]]),INDEX(tsk_FcFinish,GanttView[[#This Row],[_Row]]),WorkWeek,Holidays),N(INDEX(tsk_Duration,GanttView[[#This Row],[_Row]]))))</f>
        <v/>
      </c>
      <c r="E167" s="119" t="str">
        <f aca="false">IF(IFERROR(INDEX(tsk_Name,GanttView[[#This Row],[_Row]])="",TRUE()),"",INDEX(tsk_PlanStart,GanttView[[#This Row],[_Row]]))</f>
        <v/>
      </c>
      <c r="F167" s="119" t="str">
        <f aca="false">IF(IFERROR(INDEX(tsk_Name,GanttView[[#This Row],[_Row]])="",TRUE()),"",INDEX(tsk_PlanFinish,GanttView[[#This Row],[_Row]]))</f>
        <v/>
      </c>
      <c r="G167" s="119" t="str">
        <f aca="false">IF(IFERROR(INDEX(tsk_Name,GanttView[[#This Row],[_Row]])="",TRUE()),"",INDEX(tsk_FcStart,GanttView[[#This Row],[_Row]]))</f>
        <v/>
      </c>
      <c r="H167" s="119" t="str">
        <f aca="false">IF(IFERROR(INDEX(tsk_Name,GanttView[[#This Row],[_Row]])="",TRUE()),"",INDEX(tsk_FcFinish,GanttView[[#This Row],[_Row]]))</f>
        <v/>
      </c>
      <c r="I167" s="120" t="str">
        <f aca="false">IF(IFERROR(INDEX(tsk_Name,GanttView[[#This Row],[_Row]])="",TRUE()),"",INDEX(tsk_Progress,GanttView[[#This Row],[_Row]]))</f>
        <v/>
      </c>
      <c r="J167" s="118" t="str">
        <f aca="false">IF(IFERROR(INDEX(tsk_Name,GanttView[[#This Row],[_Row]])="",TRUE()),"",INDEX(tsk_Resource,GanttView[[#This Row],[_Row]])&amp;"")</f>
        <v/>
      </c>
      <c r="K167" s="121" t="str">
        <f aca="false">IF(IFERROR(INDEX(tsk_Name,GanttView[[#This Row],[_Row]])="",TRUE()),"",INDEX(tsk_Status,GanttView[[#This Row],[_Row]]))</f>
        <v/>
      </c>
      <c r="L167" s="122" t="n">
        <f aca="false">ROW()-ROW(GanttView[[#Headers],[ID]])</f>
        <v>162</v>
      </c>
      <c r="M167" s="123" t="b">
        <f aca="false">IF(IFERROR(INDEX(tsk_Name,GanttView[[#This Row],[_Row]])="",TRUE()),FALSE(),INDEX(tsk_IsSummary,GanttView[[#This Row],[_Row]]))</f>
        <v>0</v>
      </c>
      <c r="N167" s="123" t="b">
        <f aca="false">IF(IFERROR(INDEX(tsk_Name,GanttView[[#This Row],[_Row]])="",TRUE()),FALSE(),AND(INDEX(tsk_IsLeaf,GanttView[[#This Row],[_Row]])=1,N(INDEX(tsk_Duration,GanttView[[#This Row],[_Row]]))=0))</f>
        <v>0</v>
      </c>
      <c r="O167" s="124" t="n">
        <f aca="false">IF(IFERROR(INDEX(tsk_Name,GanttView[[#This Row],[_Row]])="",TRUE()),0,IF(AND(INDEX(tsk_IsLeaf,GanttView[[#This Row],[_Row]])=1,NOT(GanttView[[#This Row],[_IsMilestone]]),N(GanttView[[#This Row],[%]])&gt;0),GanttView[[#This Row],[Forecast Start]],0))</f>
        <v>0</v>
      </c>
      <c r="P167" s="124" t="n">
        <f aca="false">IF(GanttView[[#This Row],[_DoneFrom]]=0,0,IF(GanttView[[#This Row],[%]]&gt;=1,GanttView[[#This Row],[Forecast Finish]],MAX(GanttView[[#This Row],[_DoneFrom]],GanttView[[#This Row],[Forecast Start]]+ROUND((GanttView[[#This Row],[Forecast Finish]]-GanttView[[#This Row],[Forecast Start]]+1)*GanttView[[#This Row],[%]],0)-1)))</f>
        <v>0</v>
      </c>
      <c r="Q167" s="124" t="n">
        <f aca="false">IF(IFERROR(INDEX(tsk_Name,GanttView[[#This Row],[_Row]])="",TRUE()),0,IF(OR(INDEX(tsk_IsLeaf,GanttView[[#This Row],[_Row]])&lt;&gt;1,GanttView[[#This Row],[_IsMilestone]],N(GanttView[[#This Row],[%]])&gt;=1),0,IF(GanttView[[#This Row],[_DoneTo]]&gt;0,GanttView[[#This Row],[_DoneTo]]+1,GanttView[[#This Row],[Forecast Start]])))</f>
        <v>0</v>
      </c>
      <c r="R167" s="124" t="n">
        <f aca="false">IF(GanttView[[#This Row],[_RemFrom]]=0,0,GanttView[[#This Row],[Forecast Finish]])</f>
        <v>0</v>
      </c>
      <c r="S167" s="123" t="b">
        <f aca="false">IF(IFERROR(INDEX(tsk_Name,GanttView[[#This Row],[_Row]])="",TRUE()),FALSE(),N(INDEX(tsk_Variance,GanttView[[#This Row],[_Row]]))&gt;0)</f>
        <v>0</v>
      </c>
      <c r="T167" s="124" t="n">
        <f aca="false">IF(IFERROR(INDEX(tsk_Name,GanttView[[#This Row],[_Row]])="",TRUE()),0,N(INDEX(tsk_Deadline,GanttView[[#This Row],[_Row]])))</f>
        <v>0</v>
      </c>
      <c r="U167" s="123" t="b">
        <f aca="false">IF(IFERROR(INDEX(tsk_Name,GanttView[[#This Row],[_Row]])="",TRUE()),FALSE(),INDEX(tsk_Critical,GanttView[[#This Row],[_Row]])="Yes")</f>
        <v>0</v>
      </c>
    </row>
    <row r="168" customFormat="false" ht="15" hidden="false" customHeight="false" outlineLevel="0" collapsed="false">
      <c r="A168" s="117" t="str">
        <f aca="false">IF(IFERROR(INDEX(tsk_Name,GanttView[[#This Row],[_Row]])="",TRUE()),"",INDEX(tsk_ID,GanttView[[#This Row],[_Row]]))</f>
        <v/>
      </c>
      <c r="B168" s="117" t="str">
        <f aca="false">IF(IFERROR(INDEX(tsk_Name,GanttView[[#This Row],[_Row]])="",TRUE()),"",INDEX(tsk_WBS,GanttView[[#This Row],[_Row]]))</f>
        <v/>
      </c>
      <c r="C168" s="118" t="str">
        <f aca="false">IF(IFERROR(INDEX(tsk_Name,GanttView[[#This Row],[_Row]])="",TRUE()),"",REPT("    ",INDEX(tsk_Level,GanttView[[#This Row],[_Row]])-1)&amp;INDEX(tsk_Name,GanttView[[#This Row],[_Row]]))</f>
        <v/>
      </c>
      <c r="D168" s="117" t="str">
        <f aca="false">IF(IFERROR(INDEX(tsk_Name,GanttView[[#This Row],[_Row]])="",TRUE()),"",IF(INDEX(tsk_IsSummary,GanttView[[#This Row],[_Row]]),NETWORKDAYS.INTL(INDEX(tsk_FcStart,GanttView[[#This Row],[_Row]]),INDEX(tsk_FcFinish,GanttView[[#This Row],[_Row]]),WorkWeek,Holidays),N(INDEX(tsk_Duration,GanttView[[#This Row],[_Row]]))))</f>
        <v/>
      </c>
      <c r="E168" s="119" t="str">
        <f aca="false">IF(IFERROR(INDEX(tsk_Name,GanttView[[#This Row],[_Row]])="",TRUE()),"",INDEX(tsk_PlanStart,GanttView[[#This Row],[_Row]]))</f>
        <v/>
      </c>
      <c r="F168" s="119" t="str">
        <f aca="false">IF(IFERROR(INDEX(tsk_Name,GanttView[[#This Row],[_Row]])="",TRUE()),"",INDEX(tsk_PlanFinish,GanttView[[#This Row],[_Row]]))</f>
        <v/>
      </c>
      <c r="G168" s="119" t="str">
        <f aca="false">IF(IFERROR(INDEX(tsk_Name,GanttView[[#This Row],[_Row]])="",TRUE()),"",INDEX(tsk_FcStart,GanttView[[#This Row],[_Row]]))</f>
        <v/>
      </c>
      <c r="H168" s="119" t="str">
        <f aca="false">IF(IFERROR(INDEX(tsk_Name,GanttView[[#This Row],[_Row]])="",TRUE()),"",INDEX(tsk_FcFinish,GanttView[[#This Row],[_Row]]))</f>
        <v/>
      </c>
      <c r="I168" s="120" t="str">
        <f aca="false">IF(IFERROR(INDEX(tsk_Name,GanttView[[#This Row],[_Row]])="",TRUE()),"",INDEX(tsk_Progress,GanttView[[#This Row],[_Row]]))</f>
        <v/>
      </c>
      <c r="J168" s="118" t="str">
        <f aca="false">IF(IFERROR(INDEX(tsk_Name,GanttView[[#This Row],[_Row]])="",TRUE()),"",INDEX(tsk_Resource,GanttView[[#This Row],[_Row]])&amp;"")</f>
        <v/>
      </c>
      <c r="K168" s="121" t="str">
        <f aca="false">IF(IFERROR(INDEX(tsk_Name,GanttView[[#This Row],[_Row]])="",TRUE()),"",INDEX(tsk_Status,GanttView[[#This Row],[_Row]]))</f>
        <v/>
      </c>
      <c r="L168" s="122" t="n">
        <f aca="false">ROW()-ROW(GanttView[[#Headers],[ID]])</f>
        <v>163</v>
      </c>
      <c r="M168" s="123" t="b">
        <f aca="false">IF(IFERROR(INDEX(tsk_Name,GanttView[[#This Row],[_Row]])="",TRUE()),FALSE(),INDEX(tsk_IsSummary,GanttView[[#This Row],[_Row]]))</f>
        <v>0</v>
      </c>
      <c r="N168" s="123" t="b">
        <f aca="false">IF(IFERROR(INDEX(tsk_Name,GanttView[[#This Row],[_Row]])="",TRUE()),FALSE(),AND(INDEX(tsk_IsLeaf,GanttView[[#This Row],[_Row]])=1,N(INDEX(tsk_Duration,GanttView[[#This Row],[_Row]]))=0))</f>
        <v>0</v>
      </c>
      <c r="O168" s="124" t="n">
        <f aca="false">IF(IFERROR(INDEX(tsk_Name,GanttView[[#This Row],[_Row]])="",TRUE()),0,IF(AND(INDEX(tsk_IsLeaf,GanttView[[#This Row],[_Row]])=1,NOT(GanttView[[#This Row],[_IsMilestone]]),N(GanttView[[#This Row],[%]])&gt;0),GanttView[[#This Row],[Forecast Start]],0))</f>
        <v>0</v>
      </c>
      <c r="P168" s="124" t="n">
        <f aca="false">IF(GanttView[[#This Row],[_DoneFrom]]=0,0,IF(GanttView[[#This Row],[%]]&gt;=1,GanttView[[#This Row],[Forecast Finish]],MAX(GanttView[[#This Row],[_DoneFrom]],GanttView[[#This Row],[Forecast Start]]+ROUND((GanttView[[#This Row],[Forecast Finish]]-GanttView[[#This Row],[Forecast Start]]+1)*GanttView[[#This Row],[%]],0)-1)))</f>
        <v>0</v>
      </c>
      <c r="Q168" s="124" t="n">
        <f aca="false">IF(IFERROR(INDEX(tsk_Name,GanttView[[#This Row],[_Row]])="",TRUE()),0,IF(OR(INDEX(tsk_IsLeaf,GanttView[[#This Row],[_Row]])&lt;&gt;1,GanttView[[#This Row],[_IsMilestone]],N(GanttView[[#This Row],[%]])&gt;=1),0,IF(GanttView[[#This Row],[_DoneTo]]&gt;0,GanttView[[#This Row],[_DoneTo]]+1,GanttView[[#This Row],[Forecast Start]])))</f>
        <v>0</v>
      </c>
      <c r="R168" s="124" t="n">
        <f aca="false">IF(GanttView[[#This Row],[_RemFrom]]=0,0,GanttView[[#This Row],[Forecast Finish]])</f>
        <v>0</v>
      </c>
      <c r="S168" s="123" t="b">
        <f aca="false">IF(IFERROR(INDEX(tsk_Name,GanttView[[#This Row],[_Row]])="",TRUE()),FALSE(),N(INDEX(tsk_Variance,GanttView[[#This Row],[_Row]]))&gt;0)</f>
        <v>0</v>
      </c>
      <c r="T168" s="124" t="n">
        <f aca="false">IF(IFERROR(INDEX(tsk_Name,GanttView[[#This Row],[_Row]])="",TRUE()),0,N(INDEX(tsk_Deadline,GanttView[[#This Row],[_Row]])))</f>
        <v>0</v>
      </c>
      <c r="U168" s="123" t="b">
        <f aca="false">IF(IFERROR(INDEX(tsk_Name,GanttView[[#This Row],[_Row]])="",TRUE()),FALSE(),INDEX(tsk_Critical,GanttView[[#This Row],[_Row]])="Yes")</f>
        <v>0</v>
      </c>
    </row>
    <row r="169" customFormat="false" ht="15" hidden="false" customHeight="false" outlineLevel="0" collapsed="false">
      <c r="A169" s="117" t="str">
        <f aca="false">IF(IFERROR(INDEX(tsk_Name,GanttView[[#This Row],[_Row]])="",TRUE()),"",INDEX(tsk_ID,GanttView[[#This Row],[_Row]]))</f>
        <v/>
      </c>
      <c r="B169" s="117" t="str">
        <f aca="false">IF(IFERROR(INDEX(tsk_Name,GanttView[[#This Row],[_Row]])="",TRUE()),"",INDEX(tsk_WBS,GanttView[[#This Row],[_Row]]))</f>
        <v/>
      </c>
      <c r="C169" s="118" t="str">
        <f aca="false">IF(IFERROR(INDEX(tsk_Name,GanttView[[#This Row],[_Row]])="",TRUE()),"",REPT("    ",INDEX(tsk_Level,GanttView[[#This Row],[_Row]])-1)&amp;INDEX(tsk_Name,GanttView[[#This Row],[_Row]]))</f>
        <v/>
      </c>
      <c r="D169" s="117" t="str">
        <f aca="false">IF(IFERROR(INDEX(tsk_Name,GanttView[[#This Row],[_Row]])="",TRUE()),"",IF(INDEX(tsk_IsSummary,GanttView[[#This Row],[_Row]]),NETWORKDAYS.INTL(INDEX(tsk_FcStart,GanttView[[#This Row],[_Row]]),INDEX(tsk_FcFinish,GanttView[[#This Row],[_Row]]),WorkWeek,Holidays),N(INDEX(tsk_Duration,GanttView[[#This Row],[_Row]]))))</f>
        <v/>
      </c>
      <c r="E169" s="119" t="str">
        <f aca="false">IF(IFERROR(INDEX(tsk_Name,GanttView[[#This Row],[_Row]])="",TRUE()),"",INDEX(tsk_PlanStart,GanttView[[#This Row],[_Row]]))</f>
        <v/>
      </c>
      <c r="F169" s="119" t="str">
        <f aca="false">IF(IFERROR(INDEX(tsk_Name,GanttView[[#This Row],[_Row]])="",TRUE()),"",INDEX(tsk_PlanFinish,GanttView[[#This Row],[_Row]]))</f>
        <v/>
      </c>
      <c r="G169" s="119" t="str">
        <f aca="false">IF(IFERROR(INDEX(tsk_Name,GanttView[[#This Row],[_Row]])="",TRUE()),"",INDEX(tsk_FcStart,GanttView[[#This Row],[_Row]]))</f>
        <v/>
      </c>
      <c r="H169" s="119" t="str">
        <f aca="false">IF(IFERROR(INDEX(tsk_Name,GanttView[[#This Row],[_Row]])="",TRUE()),"",INDEX(tsk_FcFinish,GanttView[[#This Row],[_Row]]))</f>
        <v/>
      </c>
      <c r="I169" s="120" t="str">
        <f aca="false">IF(IFERROR(INDEX(tsk_Name,GanttView[[#This Row],[_Row]])="",TRUE()),"",INDEX(tsk_Progress,GanttView[[#This Row],[_Row]]))</f>
        <v/>
      </c>
      <c r="J169" s="118" t="str">
        <f aca="false">IF(IFERROR(INDEX(tsk_Name,GanttView[[#This Row],[_Row]])="",TRUE()),"",INDEX(tsk_Resource,GanttView[[#This Row],[_Row]])&amp;"")</f>
        <v/>
      </c>
      <c r="K169" s="121" t="str">
        <f aca="false">IF(IFERROR(INDEX(tsk_Name,GanttView[[#This Row],[_Row]])="",TRUE()),"",INDEX(tsk_Status,GanttView[[#This Row],[_Row]]))</f>
        <v/>
      </c>
      <c r="L169" s="122" t="n">
        <f aca="false">ROW()-ROW(GanttView[[#Headers],[ID]])</f>
        <v>164</v>
      </c>
      <c r="M169" s="123" t="b">
        <f aca="false">IF(IFERROR(INDEX(tsk_Name,GanttView[[#This Row],[_Row]])="",TRUE()),FALSE(),INDEX(tsk_IsSummary,GanttView[[#This Row],[_Row]]))</f>
        <v>0</v>
      </c>
      <c r="N169" s="123" t="b">
        <f aca="false">IF(IFERROR(INDEX(tsk_Name,GanttView[[#This Row],[_Row]])="",TRUE()),FALSE(),AND(INDEX(tsk_IsLeaf,GanttView[[#This Row],[_Row]])=1,N(INDEX(tsk_Duration,GanttView[[#This Row],[_Row]]))=0))</f>
        <v>0</v>
      </c>
      <c r="O169" s="124" t="n">
        <f aca="false">IF(IFERROR(INDEX(tsk_Name,GanttView[[#This Row],[_Row]])="",TRUE()),0,IF(AND(INDEX(tsk_IsLeaf,GanttView[[#This Row],[_Row]])=1,NOT(GanttView[[#This Row],[_IsMilestone]]),N(GanttView[[#This Row],[%]])&gt;0),GanttView[[#This Row],[Forecast Start]],0))</f>
        <v>0</v>
      </c>
      <c r="P169" s="124" t="n">
        <f aca="false">IF(GanttView[[#This Row],[_DoneFrom]]=0,0,IF(GanttView[[#This Row],[%]]&gt;=1,GanttView[[#This Row],[Forecast Finish]],MAX(GanttView[[#This Row],[_DoneFrom]],GanttView[[#This Row],[Forecast Start]]+ROUND((GanttView[[#This Row],[Forecast Finish]]-GanttView[[#This Row],[Forecast Start]]+1)*GanttView[[#This Row],[%]],0)-1)))</f>
        <v>0</v>
      </c>
      <c r="Q169" s="124" t="n">
        <f aca="false">IF(IFERROR(INDEX(tsk_Name,GanttView[[#This Row],[_Row]])="",TRUE()),0,IF(OR(INDEX(tsk_IsLeaf,GanttView[[#This Row],[_Row]])&lt;&gt;1,GanttView[[#This Row],[_IsMilestone]],N(GanttView[[#This Row],[%]])&gt;=1),0,IF(GanttView[[#This Row],[_DoneTo]]&gt;0,GanttView[[#This Row],[_DoneTo]]+1,GanttView[[#This Row],[Forecast Start]])))</f>
        <v>0</v>
      </c>
      <c r="R169" s="124" t="n">
        <f aca="false">IF(GanttView[[#This Row],[_RemFrom]]=0,0,GanttView[[#This Row],[Forecast Finish]])</f>
        <v>0</v>
      </c>
      <c r="S169" s="123" t="b">
        <f aca="false">IF(IFERROR(INDEX(tsk_Name,GanttView[[#This Row],[_Row]])="",TRUE()),FALSE(),N(INDEX(tsk_Variance,GanttView[[#This Row],[_Row]]))&gt;0)</f>
        <v>0</v>
      </c>
      <c r="T169" s="124" t="n">
        <f aca="false">IF(IFERROR(INDEX(tsk_Name,GanttView[[#This Row],[_Row]])="",TRUE()),0,N(INDEX(tsk_Deadline,GanttView[[#This Row],[_Row]])))</f>
        <v>0</v>
      </c>
      <c r="U169" s="123" t="b">
        <f aca="false">IF(IFERROR(INDEX(tsk_Name,GanttView[[#This Row],[_Row]])="",TRUE()),FALSE(),INDEX(tsk_Critical,GanttView[[#This Row],[_Row]])="Yes")</f>
        <v>0</v>
      </c>
    </row>
    <row r="170" customFormat="false" ht="15" hidden="false" customHeight="false" outlineLevel="0" collapsed="false">
      <c r="A170" s="117" t="str">
        <f aca="false">IF(IFERROR(INDEX(tsk_Name,GanttView[[#This Row],[_Row]])="",TRUE()),"",INDEX(tsk_ID,GanttView[[#This Row],[_Row]]))</f>
        <v/>
      </c>
      <c r="B170" s="117" t="str">
        <f aca="false">IF(IFERROR(INDEX(tsk_Name,GanttView[[#This Row],[_Row]])="",TRUE()),"",INDEX(tsk_WBS,GanttView[[#This Row],[_Row]]))</f>
        <v/>
      </c>
      <c r="C170" s="118" t="str">
        <f aca="false">IF(IFERROR(INDEX(tsk_Name,GanttView[[#This Row],[_Row]])="",TRUE()),"",REPT("    ",INDEX(tsk_Level,GanttView[[#This Row],[_Row]])-1)&amp;INDEX(tsk_Name,GanttView[[#This Row],[_Row]]))</f>
        <v/>
      </c>
      <c r="D170" s="117" t="str">
        <f aca="false">IF(IFERROR(INDEX(tsk_Name,GanttView[[#This Row],[_Row]])="",TRUE()),"",IF(INDEX(tsk_IsSummary,GanttView[[#This Row],[_Row]]),NETWORKDAYS.INTL(INDEX(tsk_FcStart,GanttView[[#This Row],[_Row]]),INDEX(tsk_FcFinish,GanttView[[#This Row],[_Row]]),WorkWeek,Holidays),N(INDEX(tsk_Duration,GanttView[[#This Row],[_Row]]))))</f>
        <v/>
      </c>
      <c r="E170" s="119" t="str">
        <f aca="false">IF(IFERROR(INDEX(tsk_Name,GanttView[[#This Row],[_Row]])="",TRUE()),"",INDEX(tsk_PlanStart,GanttView[[#This Row],[_Row]]))</f>
        <v/>
      </c>
      <c r="F170" s="119" t="str">
        <f aca="false">IF(IFERROR(INDEX(tsk_Name,GanttView[[#This Row],[_Row]])="",TRUE()),"",INDEX(tsk_PlanFinish,GanttView[[#This Row],[_Row]]))</f>
        <v/>
      </c>
      <c r="G170" s="119" t="str">
        <f aca="false">IF(IFERROR(INDEX(tsk_Name,GanttView[[#This Row],[_Row]])="",TRUE()),"",INDEX(tsk_FcStart,GanttView[[#This Row],[_Row]]))</f>
        <v/>
      </c>
      <c r="H170" s="119" t="str">
        <f aca="false">IF(IFERROR(INDEX(tsk_Name,GanttView[[#This Row],[_Row]])="",TRUE()),"",INDEX(tsk_FcFinish,GanttView[[#This Row],[_Row]]))</f>
        <v/>
      </c>
      <c r="I170" s="120" t="str">
        <f aca="false">IF(IFERROR(INDEX(tsk_Name,GanttView[[#This Row],[_Row]])="",TRUE()),"",INDEX(tsk_Progress,GanttView[[#This Row],[_Row]]))</f>
        <v/>
      </c>
      <c r="J170" s="118" t="str">
        <f aca="false">IF(IFERROR(INDEX(tsk_Name,GanttView[[#This Row],[_Row]])="",TRUE()),"",INDEX(tsk_Resource,GanttView[[#This Row],[_Row]])&amp;"")</f>
        <v/>
      </c>
      <c r="K170" s="121" t="str">
        <f aca="false">IF(IFERROR(INDEX(tsk_Name,GanttView[[#This Row],[_Row]])="",TRUE()),"",INDEX(tsk_Status,GanttView[[#This Row],[_Row]]))</f>
        <v/>
      </c>
      <c r="L170" s="122" t="n">
        <f aca="false">ROW()-ROW(GanttView[[#Headers],[ID]])</f>
        <v>165</v>
      </c>
      <c r="M170" s="123" t="b">
        <f aca="false">IF(IFERROR(INDEX(tsk_Name,GanttView[[#This Row],[_Row]])="",TRUE()),FALSE(),INDEX(tsk_IsSummary,GanttView[[#This Row],[_Row]]))</f>
        <v>0</v>
      </c>
      <c r="N170" s="123" t="b">
        <f aca="false">IF(IFERROR(INDEX(tsk_Name,GanttView[[#This Row],[_Row]])="",TRUE()),FALSE(),AND(INDEX(tsk_IsLeaf,GanttView[[#This Row],[_Row]])=1,N(INDEX(tsk_Duration,GanttView[[#This Row],[_Row]]))=0))</f>
        <v>0</v>
      </c>
      <c r="O170" s="124" t="n">
        <f aca="false">IF(IFERROR(INDEX(tsk_Name,GanttView[[#This Row],[_Row]])="",TRUE()),0,IF(AND(INDEX(tsk_IsLeaf,GanttView[[#This Row],[_Row]])=1,NOT(GanttView[[#This Row],[_IsMilestone]]),N(GanttView[[#This Row],[%]])&gt;0),GanttView[[#This Row],[Forecast Start]],0))</f>
        <v>0</v>
      </c>
      <c r="P170" s="124" t="n">
        <f aca="false">IF(GanttView[[#This Row],[_DoneFrom]]=0,0,IF(GanttView[[#This Row],[%]]&gt;=1,GanttView[[#This Row],[Forecast Finish]],MAX(GanttView[[#This Row],[_DoneFrom]],GanttView[[#This Row],[Forecast Start]]+ROUND((GanttView[[#This Row],[Forecast Finish]]-GanttView[[#This Row],[Forecast Start]]+1)*GanttView[[#This Row],[%]],0)-1)))</f>
        <v>0</v>
      </c>
      <c r="Q170" s="124" t="n">
        <f aca="false">IF(IFERROR(INDEX(tsk_Name,GanttView[[#This Row],[_Row]])="",TRUE()),0,IF(OR(INDEX(tsk_IsLeaf,GanttView[[#This Row],[_Row]])&lt;&gt;1,GanttView[[#This Row],[_IsMilestone]],N(GanttView[[#This Row],[%]])&gt;=1),0,IF(GanttView[[#This Row],[_DoneTo]]&gt;0,GanttView[[#This Row],[_DoneTo]]+1,GanttView[[#This Row],[Forecast Start]])))</f>
        <v>0</v>
      </c>
      <c r="R170" s="124" t="n">
        <f aca="false">IF(GanttView[[#This Row],[_RemFrom]]=0,0,GanttView[[#This Row],[Forecast Finish]])</f>
        <v>0</v>
      </c>
      <c r="S170" s="123" t="b">
        <f aca="false">IF(IFERROR(INDEX(tsk_Name,GanttView[[#This Row],[_Row]])="",TRUE()),FALSE(),N(INDEX(tsk_Variance,GanttView[[#This Row],[_Row]]))&gt;0)</f>
        <v>0</v>
      </c>
      <c r="T170" s="124" t="n">
        <f aca="false">IF(IFERROR(INDEX(tsk_Name,GanttView[[#This Row],[_Row]])="",TRUE()),0,N(INDEX(tsk_Deadline,GanttView[[#This Row],[_Row]])))</f>
        <v>0</v>
      </c>
      <c r="U170" s="123" t="b">
        <f aca="false">IF(IFERROR(INDEX(tsk_Name,GanttView[[#This Row],[_Row]])="",TRUE()),FALSE(),INDEX(tsk_Critical,GanttView[[#This Row],[_Row]])="Yes")</f>
        <v>0</v>
      </c>
    </row>
    <row r="171" customFormat="false" ht="15" hidden="false" customHeight="false" outlineLevel="0" collapsed="false">
      <c r="A171" s="117" t="str">
        <f aca="false">IF(IFERROR(INDEX(tsk_Name,GanttView[[#This Row],[_Row]])="",TRUE()),"",INDEX(tsk_ID,GanttView[[#This Row],[_Row]]))</f>
        <v/>
      </c>
      <c r="B171" s="117" t="str">
        <f aca="false">IF(IFERROR(INDEX(tsk_Name,GanttView[[#This Row],[_Row]])="",TRUE()),"",INDEX(tsk_WBS,GanttView[[#This Row],[_Row]]))</f>
        <v/>
      </c>
      <c r="C171" s="118" t="str">
        <f aca="false">IF(IFERROR(INDEX(tsk_Name,GanttView[[#This Row],[_Row]])="",TRUE()),"",REPT("    ",INDEX(tsk_Level,GanttView[[#This Row],[_Row]])-1)&amp;INDEX(tsk_Name,GanttView[[#This Row],[_Row]]))</f>
        <v/>
      </c>
      <c r="D171" s="117" t="str">
        <f aca="false">IF(IFERROR(INDEX(tsk_Name,GanttView[[#This Row],[_Row]])="",TRUE()),"",IF(INDEX(tsk_IsSummary,GanttView[[#This Row],[_Row]]),NETWORKDAYS.INTL(INDEX(tsk_FcStart,GanttView[[#This Row],[_Row]]),INDEX(tsk_FcFinish,GanttView[[#This Row],[_Row]]),WorkWeek,Holidays),N(INDEX(tsk_Duration,GanttView[[#This Row],[_Row]]))))</f>
        <v/>
      </c>
      <c r="E171" s="119" t="str">
        <f aca="false">IF(IFERROR(INDEX(tsk_Name,GanttView[[#This Row],[_Row]])="",TRUE()),"",INDEX(tsk_PlanStart,GanttView[[#This Row],[_Row]]))</f>
        <v/>
      </c>
      <c r="F171" s="119" t="str">
        <f aca="false">IF(IFERROR(INDEX(tsk_Name,GanttView[[#This Row],[_Row]])="",TRUE()),"",INDEX(tsk_PlanFinish,GanttView[[#This Row],[_Row]]))</f>
        <v/>
      </c>
      <c r="G171" s="119" t="str">
        <f aca="false">IF(IFERROR(INDEX(tsk_Name,GanttView[[#This Row],[_Row]])="",TRUE()),"",INDEX(tsk_FcStart,GanttView[[#This Row],[_Row]]))</f>
        <v/>
      </c>
      <c r="H171" s="119" t="str">
        <f aca="false">IF(IFERROR(INDEX(tsk_Name,GanttView[[#This Row],[_Row]])="",TRUE()),"",INDEX(tsk_FcFinish,GanttView[[#This Row],[_Row]]))</f>
        <v/>
      </c>
      <c r="I171" s="120" t="str">
        <f aca="false">IF(IFERROR(INDEX(tsk_Name,GanttView[[#This Row],[_Row]])="",TRUE()),"",INDEX(tsk_Progress,GanttView[[#This Row],[_Row]]))</f>
        <v/>
      </c>
      <c r="J171" s="118" t="str">
        <f aca="false">IF(IFERROR(INDEX(tsk_Name,GanttView[[#This Row],[_Row]])="",TRUE()),"",INDEX(tsk_Resource,GanttView[[#This Row],[_Row]])&amp;"")</f>
        <v/>
      </c>
      <c r="K171" s="121" t="str">
        <f aca="false">IF(IFERROR(INDEX(tsk_Name,GanttView[[#This Row],[_Row]])="",TRUE()),"",INDEX(tsk_Status,GanttView[[#This Row],[_Row]]))</f>
        <v/>
      </c>
      <c r="L171" s="122" t="n">
        <f aca="false">ROW()-ROW(GanttView[[#Headers],[ID]])</f>
        <v>166</v>
      </c>
      <c r="M171" s="123" t="b">
        <f aca="false">IF(IFERROR(INDEX(tsk_Name,GanttView[[#This Row],[_Row]])="",TRUE()),FALSE(),INDEX(tsk_IsSummary,GanttView[[#This Row],[_Row]]))</f>
        <v>0</v>
      </c>
      <c r="N171" s="123" t="b">
        <f aca="false">IF(IFERROR(INDEX(tsk_Name,GanttView[[#This Row],[_Row]])="",TRUE()),FALSE(),AND(INDEX(tsk_IsLeaf,GanttView[[#This Row],[_Row]])=1,N(INDEX(tsk_Duration,GanttView[[#This Row],[_Row]]))=0))</f>
        <v>0</v>
      </c>
      <c r="O171" s="124" t="n">
        <f aca="false">IF(IFERROR(INDEX(tsk_Name,GanttView[[#This Row],[_Row]])="",TRUE()),0,IF(AND(INDEX(tsk_IsLeaf,GanttView[[#This Row],[_Row]])=1,NOT(GanttView[[#This Row],[_IsMilestone]]),N(GanttView[[#This Row],[%]])&gt;0),GanttView[[#This Row],[Forecast Start]],0))</f>
        <v>0</v>
      </c>
      <c r="P171" s="124" t="n">
        <f aca="false">IF(GanttView[[#This Row],[_DoneFrom]]=0,0,IF(GanttView[[#This Row],[%]]&gt;=1,GanttView[[#This Row],[Forecast Finish]],MAX(GanttView[[#This Row],[_DoneFrom]],GanttView[[#This Row],[Forecast Start]]+ROUND((GanttView[[#This Row],[Forecast Finish]]-GanttView[[#This Row],[Forecast Start]]+1)*GanttView[[#This Row],[%]],0)-1)))</f>
        <v>0</v>
      </c>
      <c r="Q171" s="124" t="n">
        <f aca="false">IF(IFERROR(INDEX(tsk_Name,GanttView[[#This Row],[_Row]])="",TRUE()),0,IF(OR(INDEX(tsk_IsLeaf,GanttView[[#This Row],[_Row]])&lt;&gt;1,GanttView[[#This Row],[_IsMilestone]],N(GanttView[[#This Row],[%]])&gt;=1),0,IF(GanttView[[#This Row],[_DoneTo]]&gt;0,GanttView[[#This Row],[_DoneTo]]+1,GanttView[[#This Row],[Forecast Start]])))</f>
        <v>0</v>
      </c>
      <c r="R171" s="124" t="n">
        <f aca="false">IF(GanttView[[#This Row],[_RemFrom]]=0,0,GanttView[[#This Row],[Forecast Finish]])</f>
        <v>0</v>
      </c>
      <c r="S171" s="123" t="b">
        <f aca="false">IF(IFERROR(INDEX(tsk_Name,GanttView[[#This Row],[_Row]])="",TRUE()),FALSE(),N(INDEX(tsk_Variance,GanttView[[#This Row],[_Row]]))&gt;0)</f>
        <v>0</v>
      </c>
      <c r="T171" s="124" t="n">
        <f aca="false">IF(IFERROR(INDEX(tsk_Name,GanttView[[#This Row],[_Row]])="",TRUE()),0,N(INDEX(tsk_Deadline,GanttView[[#This Row],[_Row]])))</f>
        <v>0</v>
      </c>
      <c r="U171" s="123" t="b">
        <f aca="false">IF(IFERROR(INDEX(tsk_Name,GanttView[[#This Row],[_Row]])="",TRUE()),FALSE(),INDEX(tsk_Critical,GanttView[[#This Row],[_Row]])="Yes")</f>
        <v>0</v>
      </c>
    </row>
    <row r="172" customFormat="false" ht="15" hidden="false" customHeight="false" outlineLevel="0" collapsed="false">
      <c r="A172" s="117" t="str">
        <f aca="false">IF(IFERROR(INDEX(tsk_Name,GanttView[[#This Row],[_Row]])="",TRUE()),"",INDEX(tsk_ID,GanttView[[#This Row],[_Row]]))</f>
        <v/>
      </c>
      <c r="B172" s="117" t="str">
        <f aca="false">IF(IFERROR(INDEX(tsk_Name,GanttView[[#This Row],[_Row]])="",TRUE()),"",INDEX(tsk_WBS,GanttView[[#This Row],[_Row]]))</f>
        <v/>
      </c>
      <c r="C172" s="118" t="str">
        <f aca="false">IF(IFERROR(INDEX(tsk_Name,GanttView[[#This Row],[_Row]])="",TRUE()),"",REPT("    ",INDEX(tsk_Level,GanttView[[#This Row],[_Row]])-1)&amp;INDEX(tsk_Name,GanttView[[#This Row],[_Row]]))</f>
        <v/>
      </c>
      <c r="D172" s="117" t="str">
        <f aca="false">IF(IFERROR(INDEX(tsk_Name,GanttView[[#This Row],[_Row]])="",TRUE()),"",IF(INDEX(tsk_IsSummary,GanttView[[#This Row],[_Row]]),NETWORKDAYS.INTL(INDEX(tsk_FcStart,GanttView[[#This Row],[_Row]]),INDEX(tsk_FcFinish,GanttView[[#This Row],[_Row]]),WorkWeek,Holidays),N(INDEX(tsk_Duration,GanttView[[#This Row],[_Row]]))))</f>
        <v/>
      </c>
      <c r="E172" s="119" t="str">
        <f aca="false">IF(IFERROR(INDEX(tsk_Name,GanttView[[#This Row],[_Row]])="",TRUE()),"",INDEX(tsk_PlanStart,GanttView[[#This Row],[_Row]]))</f>
        <v/>
      </c>
      <c r="F172" s="119" t="str">
        <f aca="false">IF(IFERROR(INDEX(tsk_Name,GanttView[[#This Row],[_Row]])="",TRUE()),"",INDEX(tsk_PlanFinish,GanttView[[#This Row],[_Row]]))</f>
        <v/>
      </c>
      <c r="G172" s="119" t="str">
        <f aca="false">IF(IFERROR(INDEX(tsk_Name,GanttView[[#This Row],[_Row]])="",TRUE()),"",INDEX(tsk_FcStart,GanttView[[#This Row],[_Row]]))</f>
        <v/>
      </c>
      <c r="H172" s="119" t="str">
        <f aca="false">IF(IFERROR(INDEX(tsk_Name,GanttView[[#This Row],[_Row]])="",TRUE()),"",INDEX(tsk_FcFinish,GanttView[[#This Row],[_Row]]))</f>
        <v/>
      </c>
      <c r="I172" s="120" t="str">
        <f aca="false">IF(IFERROR(INDEX(tsk_Name,GanttView[[#This Row],[_Row]])="",TRUE()),"",INDEX(tsk_Progress,GanttView[[#This Row],[_Row]]))</f>
        <v/>
      </c>
      <c r="J172" s="118" t="str">
        <f aca="false">IF(IFERROR(INDEX(tsk_Name,GanttView[[#This Row],[_Row]])="",TRUE()),"",INDEX(tsk_Resource,GanttView[[#This Row],[_Row]])&amp;"")</f>
        <v/>
      </c>
      <c r="K172" s="121" t="str">
        <f aca="false">IF(IFERROR(INDEX(tsk_Name,GanttView[[#This Row],[_Row]])="",TRUE()),"",INDEX(tsk_Status,GanttView[[#This Row],[_Row]]))</f>
        <v/>
      </c>
      <c r="L172" s="122" t="n">
        <f aca="false">ROW()-ROW(GanttView[[#Headers],[ID]])</f>
        <v>167</v>
      </c>
      <c r="M172" s="123" t="b">
        <f aca="false">IF(IFERROR(INDEX(tsk_Name,GanttView[[#This Row],[_Row]])="",TRUE()),FALSE(),INDEX(tsk_IsSummary,GanttView[[#This Row],[_Row]]))</f>
        <v>0</v>
      </c>
      <c r="N172" s="123" t="b">
        <f aca="false">IF(IFERROR(INDEX(tsk_Name,GanttView[[#This Row],[_Row]])="",TRUE()),FALSE(),AND(INDEX(tsk_IsLeaf,GanttView[[#This Row],[_Row]])=1,N(INDEX(tsk_Duration,GanttView[[#This Row],[_Row]]))=0))</f>
        <v>0</v>
      </c>
      <c r="O172" s="124" t="n">
        <f aca="false">IF(IFERROR(INDEX(tsk_Name,GanttView[[#This Row],[_Row]])="",TRUE()),0,IF(AND(INDEX(tsk_IsLeaf,GanttView[[#This Row],[_Row]])=1,NOT(GanttView[[#This Row],[_IsMilestone]]),N(GanttView[[#This Row],[%]])&gt;0),GanttView[[#This Row],[Forecast Start]],0))</f>
        <v>0</v>
      </c>
      <c r="P172" s="124" t="n">
        <f aca="false">IF(GanttView[[#This Row],[_DoneFrom]]=0,0,IF(GanttView[[#This Row],[%]]&gt;=1,GanttView[[#This Row],[Forecast Finish]],MAX(GanttView[[#This Row],[_DoneFrom]],GanttView[[#This Row],[Forecast Start]]+ROUND((GanttView[[#This Row],[Forecast Finish]]-GanttView[[#This Row],[Forecast Start]]+1)*GanttView[[#This Row],[%]],0)-1)))</f>
        <v>0</v>
      </c>
      <c r="Q172" s="124" t="n">
        <f aca="false">IF(IFERROR(INDEX(tsk_Name,GanttView[[#This Row],[_Row]])="",TRUE()),0,IF(OR(INDEX(tsk_IsLeaf,GanttView[[#This Row],[_Row]])&lt;&gt;1,GanttView[[#This Row],[_IsMilestone]],N(GanttView[[#This Row],[%]])&gt;=1),0,IF(GanttView[[#This Row],[_DoneTo]]&gt;0,GanttView[[#This Row],[_DoneTo]]+1,GanttView[[#This Row],[Forecast Start]])))</f>
        <v>0</v>
      </c>
      <c r="R172" s="124" t="n">
        <f aca="false">IF(GanttView[[#This Row],[_RemFrom]]=0,0,GanttView[[#This Row],[Forecast Finish]])</f>
        <v>0</v>
      </c>
      <c r="S172" s="123" t="b">
        <f aca="false">IF(IFERROR(INDEX(tsk_Name,GanttView[[#This Row],[_Row]])="",TRUE()),FALSE(),N(INDEX(tsk_Variance,GanttView[[#This Row],[_Row]]))&gt;0)</f>
        <v>0</v>
      </c>
      <c r="T172" s="124" t="n">
        <f aca="false">IF(IFERROR(INDEX(tsk_Name,GanttView[[#This Row],[_Row]])="",TRUE()),0,N(INDEX(tsk_Deadline,GanttView[[#This Row],[_Row]])))</f>
        <v>0</v>
      </c>
      <c r="U172" s="123" t="b">
        <f aca="false">IF(IFERROR(INDEX(tsk_Name,GanttView[[#This Row],[_Row]])="",TRUE()),FALSE(),INDEX(tsk_Critical,GanttView[[#This Row],[_Row]])="Yes")</f>
        <v>0</v>
      </c>
    </row>
    <row r="173" customFormat="false" ht="15" hidden="false" customHeight="false" outlineLevel="0" collapsed="false">
      <c r="A173" s="117" t="str">
        <f aca="false">IF(IFERROR(INDEX(tsk_Name,GanttView[[#This Row],[_Row]])="",TRUE()),"",INDEX(tsk_ID,GanttView[[#This Row],[_Row]]))</f>
        <v/>
      </c>
      <c r="B173" s="117" t="str">
        <f aca="false">IF(IFERROR(INDEX(tsk_Name,GanttView[[#This Row],[_Row]])="",TRUE()),"",INDEX(tsk_WBS,GanttView[[#This Row],[_Row]]))</f>
        <v/>
      </c>
      <c r="C173" s="118" t="str">
        <f aca="false">IF(IFERROR(INDEX(tsk_Name,GanttView[[#This Row],[_Row]])="",TRUE()),"",REPT("    ",INDEX(tsk_Level,GanttView[[#This Row],[_Row]])-1)&amp;INDEX(tsk_Name,GanttView[[#This Row],[_Row]]))</f>
        <v/>
      </c>
      <c r="D173" s="117" t="str">
        <f aca="false">IF(IFERROR(INDEX(tsk_Name,GanttView[[#This Row],[_Row]])="",TRUE()),"",IF(INDEX(tsk_IsSummary,GanttView[[#This Row],[_Row]]),NETWORKDAYS.INTL(INDEX(tsk_FcStart,GanttView[[#This Row],[_Row]]),INDEX(tsk_FcFinish,GanttView[[#This Row],[_Row]]),WorkWeek,Holidays),N(INDEX(tsk_Duration,GanttView[[#This Row],[_Row]]))))</f>
        <v/>
      </c>
      <c r="E173" s="119" t="str">
        <f aca="false">IF(IFERROR(INDEX(tsk_Name,GanttView[[#This Row],[_Row]])="",TRUE()),"",INDEX(tsk_PlanStart,GanttView[[#This Row],[_Row]]))</f>
        <v/>
      </c>
      <c r="F173" s="119" t="str">
        <f aca="false">IF(IFERROR(INDEX(tsk_Name,GanttView[[#This Row],[_Row]])="",TRUE()),"",INDEX(tsk_PlanFinish,GanttView[[#This Row],[_Row]]))</f>
        <v/>
      </c>
      <c r="G173" s="119" t="str">
        <f aca="false">IF(IFERROR(INDEX(tsk_Name,GanttView[[#This Row],[_Row]])="",TRUE()),"",INDEX(tsk_FcStart,GanttView[[#This Row],[_Row]]))</f>
        <v/>
      </c>
      <c r="H173" s="119" t="str">
        <f aca="false">IF(IFERROR(INDEX(tsk_Name,GanttView[[#This Row],[_Row]])="",TRUE()),"",INDEX(tsk_FcFinish,GanttView[[#This Row],[_Row]]))</f>
        <v/>
      </c>
      <c r="I173" s="120" t="str">
        <f aca="false">IF(IFERROR(INDEX(tsk_Name,GanttView[[#This Row],[_Row]])="",TRUE()),"",INDEX(tsk_Progress,GanttView[[#This Row],[_Row]]))</f>
        <v/>
      </c>
      <c r="J173" s="118" t="str">
        <f aca="false">IF(IFERROR(INDEX(tsk_Name,GanttView[[#This Row],[_Row]])="",TRUE()),"",INDEX(tsk_Resource,GanttView[[#This Row],[_Row]])&amp;"")</f>
        <v/>
      </c>
      <c r="K173" s="121" t="str">
        <f aca="false">IF(IFERROR(INDEX(tsk_Name,GanttView[[#This Row],[_Row]])="",TRUE()),"",INDEX(tsk_Status,GanttView[[#This Row],[_Row]]))</f>
        <v/>
      </c>
      <c r="L173" s="122" t="n">
        <f aca="false">ROW()-ROW(GanttView[[#Headers],[ID]])</f>
        <v>168</v>
      </c>
      <c r="M173" s="123" t="b">
        <f aca="false">IF(IFERROR(INDEX(tsk_Name,GanttView[[#This Row],[_Row]])="",TRUE()),FALSE(),INDEX(tsk_IsSummary,GanttView[[#This Row],[_Row]]))</f>
        <v>0</v>
      </c>
      <c r="N173" s="123" t="b">
        <f aca="false">IF(IFERROR(INDEX(tsk_Name,GanttView[[#This Row],[_Row]])="",TRUE()),FALSE(),AND(INDEX(tsk_IsLeaf,GanttView[[#This Row],[_Row]])=1,N(INDEX(tsk_Duration,GanttView[[#This Row],[_Row]]))=0))</f>
        <v>0</v>
      </c>
      <c r="O173" s="124" t="n">
        <f aca="false">IF(IFERROR(INDEX(tsk_Name,GanttView[[#This Row],[_Row]])="",TRUE()),0,IF(AND(INDEX(tsk_IsLeaf,GanttView[[#This Row],[_Row]])=1,NOT(GanttView[[#This Row],[_IsMilestone]]),N(GanttView[[#This Row],[%]])&gt;0),GanttView[[#This Row],[Forecast Start]],0))</f>
        <v>0</v>
      </c>
      <c r="P173" s="124" t="n">
        <f aca="false">IF(GanttView[[#This Row],[_DoneFrom]]=0,0,IF(GanttView[[#This Row],[%]]&gt;=1,GanttView[[#This Row],[Forecast Finish]],MAX(GanttView[[#This Row],[_DoneFrom]],GanttView[[#This Row],[Forecast Start]]+ROUND((GanttView[[#This Row],[Forecast Finish]]-GanttView[[#This Row],[Forecast Start]]+1)*GanttView[[#This Row],[%]],0)-1)))</f>
        <v>0</v>
      </c>
      <c r="Q173" s="124" t="n">
        <f aca="false">IF(IFERROR(INDEX(tsk_Name,GanttView[[#This Row],[_Row]])="",TRUE()),0,IF(OR(INDEX(tsk_IsLeaf,GanttView[[#This Row],[_Row]])&lt;&gt;1,GanttView[[#This Row],[_IsMilestone]],N(GanttView[[#This Row],[%]])&gt;=1),0,IF(GanttView[[#This Row],[_DoneTo]]&gt;0,GanttView[[#This Row],[_DoneTo]]+1,GanttView[[#This Row],[Forecast Start]])))</f>
        <v>0</v>
      </c>
      <c r="R173" s="124" t="n">
        <f aca="false">IF(GanttView[[#This Row],[_RemFrom]]=0,0,GanttView[[#This Row],[Forecast Finish]])</f>
        <v>0</v>
      </c>
      <c r="S173" s="123" t="b">
        <f aca="false">IF(IFERROR(INDEX(tsk_Name,GanttView[[#This Row],[_Row]])="",TRUE()),FALSE(),N(INDEX(tsk_Variance,GanttView[[#This Row],[_Row]]))&gt;0)</f>
        <v>0</v>
      </c>
      <c r="T173" s="124" t="n">
        <f aca="false">IF(IFERROR(INDEX(tsk_Name,GanttView[[#This Row],[_Row]])="",TRUE()),0,N(INDEX(tsk_Deadline,GanttView[[#This Row],[_Row]])))</f>
        <v>0</v>
      </c>
      <c r="U173" s="123" t="b">
        <f aca="false">IF(IFERROR(INDEX(tsk_Name,GanttView[[#This Row],[_Row]])="",TRUE()),FALSE(),INDEX(tsk_Critical,GanttView[[#This Row],[_Row]])="Yes")</f>
        <v>0</v>
      </c>
    </row>
    <row r="174" customFormat="false" ht="15" hidden="false" customHeight="false" outlineLevel="0" collapsed="false">
      <c r="A174" s="117" t="str">
        <f aca="false">IF(IFERROR(INDEX(tsk_Name,GanttView[[#This Row],[_Row]])="",TRUE()),"",INDEX(tsk_ID,GanttView[[#This Row],[_Row]]))</f>
        <v/>
      </c>
      <c r="B174" s="117" t="str">
        <f aca="false">IF(IFERROR(INDEX(tsk_Name,GanttView[[#This Row],[_Row]])="",TRUE()),"",INDEX(tsk_WBS,GanttView[[#This Row],[_Row]]))</f>
        <v/>
      </c>
      <c r="C174" s="118" t="str">
        <f aca="false">IF(IFERROR(INDEX(tsk_Name,GanttView[[#This Row],[_Row]])="",TRUE()),"",REPT("    ",INDEX(tsk_Level,GanttView[[#This Row],[_Row]])-1)&amp;INDEX(tsk_Name,GanttView[[#This Row],[_Row]]))</f>
        <v/>
      </c>
      <c r="D174" s="117" t="str">
        <f aca="false">IF(IFERROR(INDEX(tsk_Name,GanttView[[#This Row],[_Row]])="",TRUE()),"",IF(INDEX(tsk_IsSummary,GanttView[[#This Row],[_Row]]),NETWORKDAYS.INTL(INDEX(tsk_FcStart,GanttView[[#This Row],[_Row]]),INDEX(tsk_FcFinish,GanttView[[#This Row],[_Row]]),WorkWeek,Holidays),N(INDEX(tsk_Duration,GanttView[[#This Row],[_Row]]))))</f>
        <v/>
      </c>
      <c r="E174" s="119" t="str">
        <f aca="false">IF(IFERROR(INDEX(tsk_Name,GanttView[[#This Row],[_Row]])="",TRUE()),"",INDEX(tsk_PlanStart,GanttView[[#This Row],[_Row]]))</f>
        <v/>
      </c>
      <c r="F174" s="119" t="str">
        <f aca="false">IF(IFERROR(INDEX(tsk_Name,GanttView[[#This Row],[_Row]])="",TRUE()),"",INDEX(tsk_PlanFinish,GanttView[[#This Row],[_Row]]))</f>
        <v/>
      </c>
      <c r="G174" s="119" t="str">
        <f aca="false">IF(IFERROR(INDEX(tsk_Name,GanttView[[#This Row],[_Row]])="",TRUE()),"",INDEX(tsk_FcStart,GanttView[[#This Row],[_Row]]))</f>
        <v/>
      </c>
      <c r="H174" s="119" t="str">
        <f aca="false">IF(IFERROR(INDEX(tsk_Name,GanttView[[#This Row],[_Row]])="",TRUE()),"",INDEX(tsk_FcFinish,GanttView[[#This Row],[_Row]]))</f>
        <v/>
      </c>
      <c r="I174" s="120" t="str">
        <f aca="false">IF(IFERROR(INDEX(tsk_Name,GanttView[[#This Row],[_Row]])="",TRUE()),"",INDEX(tsk_Progress,GanttView[[#This Row],[_Row]]))</f>
        <v/>
      </c>
      <c r="J174" s="118" t="str">
        <f aca="false">IF(IFERROR(INDEX(tsk_Name,GanttView[[#This Row],[_Row]])="",TRUE()),"",INDEX(tsk_Resource,GanttView[[#This Row],[_Row]])&amp;"")</f>
        <v/>
      </c>
      <c r="K174" s="121" t="str">
        <f aca="false">IF(IFERROR(INDEX(tsk_Name,GanttView[[#This Row],[_Row]])="",TRUE()),"",INDEX(tsk_Status,GanttView[[#This Row],[_Row]]))</f>
        <v/>
      </c>
      <c r="L174" s="122" t="n">
        <f aca="false">ROW()-ROW(GanttView[[#Headers],[ID]])</f>
        <v>169</v>
      </c>
      <c r="M174" s="123" t="b">
        <f aca="false">IF(IFERROR(INDEX(tsk_Name,GanttView[[#This Row],[_Row]])="",TRUE()),FALSE(),INDEX(tsk_IsSummary,GanttView[[#This Row],[_Row]]))</f>
        <v>0</v>
      </c>
      <c r="N174" s="123" t="b">
        <f aca="false">IF(IFERROR(INDEX(tsk_Name,GanttView[[#This Row],[_Row]])="",TRUE()),FALSE(),AND(INDEX(tsk_IsLeaf,GanttView[[#This Row],[_Row]])=1,N(INDEX(tsk_Duration,GanttView[[#This Row],[_Row]]))=0))</f>
        <v>0</v>
      </c>
      <c r="O174" s="124" t="n">
        <f aca="false">IF(IFERROR(INDEX(tsk_Name,GanttView[[#This Row],[_Row]])="",TRUE()),0,IF(AND(INDEX(tsk_IsLeaf,GanttView[[#This Row],[_Row]])=1,NOT(GanttView[[#This Row],[_IsMilestone]]),N(GanttView[[#This Row],[%]])&gt;0),GanttView[[#This Row],[Forecast Start]],0))</f>
        <v>0</v>
      </c>
      <c r="P174" s="124" t="n">
        <f aca="false">IF(GanttView[[#This Row],[_DoneFrom]]=0,0,IF(GanttView[[#This Row],[%]]&gt;=1,GanttView[[#This Row],[Forecast Finish]],MAX(GanttView[[#This Row],[_DoneFrom]],GanttView[[#This Row],[Forecast Start]]+ROUND((GanttView[[#This Row],[Forecast Finish]]-GanttView[[#This Row],[Forecast Start]]+1)*GanttView[[#This Row],[%]],0)-1)))</f>
        <v>0</v>
      </c>
      <c r="Q174" s="124" t="n">
        <f aca="false">IF(IFERROR(INDEX(tsk_Name,GanttView[[#This Row],[_Row]])="",TRUE()),0,IF(OR(INDEX(tsk_IsLeaf,GanttView[[#This Row],[_Row]])&lt;&gt;1,GanttView[[#This Row],[_IsMilestone]],N(GanttView[[#This Row],[%]])&gt;=1),0,IF(GanttView[[#This Row],[_DoneTo]]&gt;0,GanttView[[#This Row],[_DoneTo]]+1,GanttView[[#This Row],[Forecast Start]])))</f>
        <v>0</v>
      </c>
      <c r="R174" s="124" t="n">
        <f aca="false">IF(GanttView[[#This Row],[_RemFrom]]=0,0,GanttView[[#This Row],[Forecast Finish]])</f>
        <v>0</v>
      </c>
      <c r="S174" s="123" t="b">
        <f aca="false">IF(IFERROR(INDEX(tsk_Name,GanttView[[#This Row],[_Row]])="",TRUE()),FALSE(),N(INDEX(tsk_Variance,GanttView[[#This Row],[_Row]]))&gt;0)</f>
        <v>0</v>
      </c>
      <c r="T174" s="124" t="n">
        <f aca="false">IF(IFERROR(INDEX(tsk_Name,GanttView[[#This Row],[_Row]])="",TRUE()),0,N(INDEX(tsk_Deadline,GanttView[[#This Row],[_Row]])))</f>
        <v>0</v>
      </c>
      <c r="U174" s="123" t="b">
        <f aca="false">IF(IFERROR(INDEX(tsk_Name,GanttView[[#This Row],[_Row]])="",TRUE()),FALSE(),INDEX(tsk_Critical,GanttView[[#This Row],[_Row]])="Yes")</f>
        <v>0</v>
      </c>
    </row>
    <row r="175" customFormat="false" ht="15" hidden="false" customHeight="false" outlineLevel="0" collapsed="false">
      <c r="A175" s="117" t="str">
        <f aca="false">IF(IFERROR(INDEX(tsk_Name,GanttView[[#This Row],[_Row]])="",TRUE()),"",INDEX(tsk_ID,GanttView[[#This Row],[_Row]]))</f>
        <v/>
      </c>
      <c r="B175" s="117" t="str">
        <f aca="false">IF(IFERROR(INDEX(tsk_Name,GanttView[[#This Row],[_Row]])="",TRUE()),"",INDEX(tsk_WBS,GanttView[[#This Row],[_Row]]))</f>
        <v/>
      </c>
      <c r="C175" s="118" t="str">
        <f aca="false">IF(IFERROR(INDEX(tsk_Name,GanttView[[#This Row],[_Row]])="",TRUE()),"",REPT("    ",INDEX(tsk_Level,GanttView[[#This Row],[_Row]])-1)&amp;INDEX(tsk_Name,GanttView[[#This Row],[_Row]]))</f>
        <v/>
      </c>
      <c r="D175" s="117" t="str">
        <f aca="false">IF(IFERROR(INDEX(tsk_Name,GanttView[[#This Row],[_Row]])="",TRUE()),"",IF(INDEX(tsk_IsSummary,GanttView[[#This Row],[_Row]]),NETWORKDAYS.INTL(INDEX(tsk_FcStart,GanttView[[#This Row],[_Row]]),INDEX(tsk_FcFinish,GanttView[[#This Row],[_Row]]),WorkWeek,Holidays),N(INDEX(tsk_Duration,GanttView[[#This Row],[_Row]]))))</f>
        <v/>
      </c>
      <c r="E175" s="119" t="str">
        <f aca="false">IF(IFERROR(INDEX(tsk_Name,GanttView[[#This Row],[_Row]])="",TRUE()),"",INDEX(tsk_PlanStart,GanttView[[#This Row],[_Row]]))</f>
        <v/>
      </c>
      <c r="F175" s="119" t="str">
        <f aca="false">IF(IFERROR(INDEX(tsk_Name,GanttView[[#This Row],[_Row]])="",TRUE()),"",INDEX(tsk_PlanFinish,GanttView[[#This Row],[_Row]]))</f>
        <v/>
      </c>
      <c r="G175" s="119" t="str">
        <f aca="false">IF(IFERROR(INDEX(tsk_Name,GanttView[[#This Row],[_Row]])="",TRUE()),"",INDEX(tsk_FcStart,GanttView[[#This Row],[_Row]]))</f>
        <v/>
      </c>
      <c r="H175" s="119" t="str">
        <f aca="false">IF(IFERROR(INDEX(tsk_Name,GanttView[[#This Row],[_Row]])="",TRUE()),"",INDEX(tsk_FcFinish,GanttView[[#This Row],[_Row]]))</f>
        <v/>
      </c>
      <c r="I175" s="120" t="str">
        <f aca="false">IF(IFERROR(INDEX(tsk_Name,GanttView[[#This Row],[_Row]])="",TRUE()),"",INDEX(tsk_Progress,GanttView[[#This Row],[_Row]]))</f>
        <v/>
      </c>
      <c r="J175" s="118" t="str">
        <f aca="false">IF(IFERROR(INDEX(tsk_Name,GanttView[[#This Row],[_Row]])="",TRUE()),"",INDEX(tsk_Resource,GanttView[[#This Row],[_Row]])&amp;"")</f>
        <v/>
      </c>
      <c r="K175" s="121" t="str">
        <f aca="false">IF(IFERROR(INDEX(tsk_Name,GanttView[[#This Row],[_Row]])="",TRUE()),"",INDEX(tsk_Status,GanttView[[#This Row],[_Row]]))</f>
        <v/>
      </c>
      <c r="L175" s="122" t="n">
        <f aca="false">ROW()-ROW(GanttView[[#Headers],[ID]])</f>
        <v>170</v>
      </c>
      <c r="M175" s="123" t="b">
        <f aca="false">IF(IFERROR(INDEX(tsk_Name,GanttView[[#This Row],[_Row]])="",TRUE()),FALSE(),INDEX(tsk_IsSummary,GanttView[[#This Row],[_Row]]))</f>
        <v>0</v>
      </c>
      <c r="N175" s="123" t="b">
        <f aca="false">IF(IFERROR(INDEX(tsk_Name,GanttView[[#This Row],[_Row]])="",TRUE()),FALSE(),AND(INDEX(tsk_IsLeaf,GanttView[[#This Row],[_Row]])=1,N(INDEX(tsk_Duration,GanttView[[#This Row],[_Row]]))=0))</f>
        <v>0</v>
      </c>
      <c r="O175" s="124" t="n">
        <f aca="false">IF(IFERROR(INDEX(tsk_Name,GanttView[[#This Row],[_Row]])="",TRUE()),0,IF(AND(INDEX(tsk_IsLeaf,GanttView[[#This Row],[_Row]])=1,NOT(GanttView[[#This Row],[_IsMilestone]]),N(GanttView[[#This Row],[%]])&gt;0),GanttView[[#This Row],[Forecast Start]],0))</f>
        <v>0</v>
      </c>
      <c r="P175" s="124" t="n">
        <f aca="false">IF(GanttView[[#This Row],[_DoneFrom]]=0,0,IF(GanttView[[#This Row],[%]]&gt;=1,GanttView[[#This Row],[Forecast Finish]],MAX(GanttView[[#This Row],[_DoneFrom]],GanttView[[#This Row],[Forecast Start]]+ROUND((GanttView[[#This Row],[Forecast Finish]]-GanttView[[#This Row],[Forecast Start]]+1)*GanttView[[#This Row],[%]],0)-1)))</f>
        <v>0</v>
      </c>
      <c r="Q175" s="124" t="n">
        <f aca="false">IF(IFERROR(INDEX(tsk_Name,GanttView[[#This Row],[_Row]])="",TRUE()),0,IF(OR(INDEX(tsk_IsLeaf,GanttView[[#This Row],[_Row]])&lt;&gt;1,GanttView[[#This Row],[_IsMilestone]],N(GanttView[[#This Row],[%]])&gt;=1),0,IF(GanttView[[#This Row],[_DoneTo]]&gt;0,GanttView[[#This Row],[_DoneTo]]+1,GanttView[[#This Row],[Forecast Start]])))</f>
        <v>0</v>
      </c>
      <c r="R175" s="124" t="n">
        <f aca="false">IF(GanttView[[#This Row],[_RemFrom]]=0,0,GanttView[[#This Row],[Forecast Finish]])</f>
        <v>0</v>
      </c>
      <c r="S175" s="123" t="b">
        <f aca="false">IF(IFERROR(INDEX(tsk_Name,GanttView[[#This Row],[_Row]])="",TRUE()),FALSE(),N(INDEX(tsk_Variance,GanttView[[#This Row],[_Row]]))&gt;0)</f>
        <v>0</v>
      </c>
      <c r="T175" s="124" t="n">
        <f aca="false">IF(IFERROR(INDEX(tsk_Name,GanttView[[#This Row],[_Row]])="",TRUE()),0,N(INDEX(tsk_Deadline,GanttView[[#This Row],[_Row]])))</f>
        <v>0</v>
      </c>
      <c r="U175" s="123" t="b">
        <f aca="false">IF(IFERROR(INDEX(tsk_Name,GanttView[[#This Row],[_Row]])="",TRUE()),FALSE(),INDEX(tsk_Critical,GanttView[[#This Row],[_Row]])="Yes")</f>
        <v>0</v>
      </c>
    </row>
    <row r="176" customFormat="false" ht="15" hidden="false" customHeight="false" outlineLevel="0" collapsed="false">
      <c r="A176" s="117" t="str">
        <f aca="false">IF(IFERROR(INDEX(tsk_Name,GanttView[[#This Row],[_Row]])="",TRUE()),"",INDEX(tsk_ID,GanttView[[#This Row],[_Row]]))</f>
        <v/>
      </c>
      <c r="B176" s="117" t="str">
        <f aca="false">IF(IFERROR(INDEX(tsk_Name,GanttView[[#This Row],[_Row]])="",TRUE()),"",INDEX(tsk_WBS,GanttView[[#This Row],[_Row]]))</f>
        <v/>
      </c>
      <c r="C176" s="118" t="str">
        <f aca="false">IF(IFERROR(INDEX(tsk_Name,GanttView[[#This Row],[_Row]])="",TRUE()),"",REPT("    ",INDEX(tsk_Level,GanttView[[#This Row],[_Row]])-1)&amp;INDEX(tsk_Name,GanttView[[#This Row],[_Row]]))</f>
        <v/>
      </c>
      <c r="D176" s="117" t="str">
        <f aca="false">IF(IFERROR(INDEX(tsk_Name,GanttView[[#This Row],[_Row]])="",TRUE()),"",IF(INDEX(tsk_IsSummary,GanttView[[#This Row],[_Row]]),NETWORKDAYS.INTL(INDEX(tsk_FcStart,GanttView[[#This Row],[_Row]]),INDEX(tsk_FcFinish,GanttView[[#This Row],[_Row]]),WorkWeek,Holidays),N(INDEX(tsk_Duration,GanttView[[#This Row],[_Row]]))))</f>
        <v/>
      </c>
      <c r="E176" s="119" t="str">
        <f aca="false">IF(IFERROR(INDEX(tsk_Name,GanttView[[#This Row],[_Row]])="",TRUE()),"",INDEX(tsk_PlanStart,GanttView[[#This Row],[_Row]]))</f>
        <v/>
      </c>
      <c r="F176" s="119" t="str">
        <f aca="false">IF(IFERROR(INDEX(tsk_Name,GanttView[[#This Row],[_Row]])="",TRUE()),"",INDEX(tsk_PlanFinish,GanttView[[#This Row],[_Row]]))</f>
        <v/>
      </c>
      <c r="G176" s="119" t="str">
        <f aca="false">IF(IFERROR(INDEX(tsk_Name,GanttView[[#This Row],[_Row]])="",TRUE()),"",INDEX(tsk_FcStart,GanttView[[#This Row],[_Row]]))</f>
        <v/>
      </c>
      <c r="H176" s="119" t="str">
        <f aca="false">IF(IFERROR(INDEX(tsk_Name,GanttView[[#This Row],[_Row]])="",TRUE()),"",INDEX(tsk_FcFinish,GanttView[[#This Row],[_Row]]))</f>
        <v/>
      </c>
      <c r="I176" s="120" t="str">
        <f aca="false">IF(IFERROR(INDEX(tsk_Name,GanttView[[#This Row],[_Row]])="",TRUE()),"",INDEX(tsk_Progress,GanttView[[#This Row],[_Row]]))</f>
        <v/>
      </c>
      <c r="J176" s="118" t="str">
        <f aca="false">IF(IFERROR(INDEX(tsk_Name,GanttView[[#This Row],[_Row]])="",TRUE()),"",INDEX(tsk_Resource,GanttView[[#This Row],[_Row]])&amp;"")</f>
        <v/>
      </c>
      <c r="K176" s="121" t="str">
        <f aca="false">IF(IFERROR(INDEX(tsk_Name,GanttView[[#This Row],[_Row]])="",TRUE()),"",INDEX(tsk_Status,GanttView[[#This Row],[_Row]]))</f>
        <v/>
      </c>
      <c r="L176" s="122" t="n">
        <f aca="false">ROW()-ROW(GanttView[[#Headers],[ID]])</f>
        <v>171</v>
      </c>
      <c r="M176" s="123" t="b">
        <f aca="false">IF(IFERROR(INDEX(tsk_Name,GanttView[[#This Row],[_Row]])="",TRUE()),FALSE(),INDEX(tsk_IsSummary,GanttView[[#This Row],[_Row]]))</f>
        <v>0</v>
      </c>
      <c r="N176" s="123" t="b">
        <f aca="false">IF(IFERROR(INDEX(tsk_Name,GanttView[[#This Row],[_Row]])="",TRUE()),FALSE(),AND(INDEX(tsk_IsLeaf,GanttView[[#This Row],[_Row]])=1,N(INDEX(tsk_Duration,GanttView[[#This Row],[_Row]]))=0))</f>
        <v>0</v>
      </c>
      <c r="O176" s="124" t="n">
        <f aca="false">IF(IFERROR(INDEX(tsk_Name,GanttView[[#This Row],[_Row]])="",TRUE()),0,IF(AND(INDEX(tsk_IsLeaf,GanttView[[#This Row],[_Row]])=1,NOT(GanttView[[#This Row],[_IsMilestone]]),N(GanttView[[#This Row],[%]])&gt;0),GanttView[[#This Row],[Forecast Start]],0))</f>
        <v>0</v>
      </c>
      <c r="P176" s="124" t="n">
        <f aca="false">IF(GanttView[[#This Row],[_DoneFrom]]=0,0,IF(GanttView[[#This Row],[%]]&gt;=1,GanttView[[#This Row],[Forecast Finish]],MAX(GanttView[[#This Row],[_DoneFrom]],GanttView[[#This Row],[Forecast Start]]+ROUND((GanttView[[#This Row],[Forecast Finish]]-GanttView[[#This Row],[Forecast Start]]+1)*GanttView[[#This Row],[%]],0)-1)))</f>
        <v>0</v>
      </c>
      <c r="Q176" s="124" t="n">
        <f aca="false">IF(IFERROR(INDEX(tsk_Name,GanttView[[#This Row],[_Row]])="",TRUE()),0,IF(OR(INDEX(tsk_IsLeaf,GanttView[[#This Row],[_Row]])&lt;&gt;1,GanttView[[#This Row],[_IsMilestone]],N(GanttView[[#This Row],[%]])&gt;=1),0,IF(GanttView[[#This Row],[_DoneTo]]&gt;0,GanttView[[#This Row],[_DoneTo]]+1,GanttView[[#This Row],[Forecast Start]])))</f>
        <v>0</v>
      </c>
      <c r="R176" s="124" t="n">
        <f aca="false">IF(GanttView[[#This Row],[_RemFrom]]=0,0,GanttView[[#This Row],[Forecast Finish]])</f>
        <v>0</v>
      </c>
      <c r="S176" s="123" t="b">
        <f aca="false">IF(IFERROR(INDEX(tsk_Name,GanttView[[#This Row],[_Row]])="",TRUE()),FALSE(),N(INDEX(tsk_Variance,GanttView[[#This Row],[_Row]]))&gt;0)</f>
        <v>0</v>
      </c>
      <c r="T176" s="124" t="n">
        <f aca="false">IF(IFERROR(INDEX(tsk_Name,GanttView[[#This Row],[_Row]])="",TRUE()),0,N(INDEX(tsk_Deadline,GanttView[[#This Row],[_Row]])))</f>
        <v>0</v>
      </c>
      <c r="U176" s="123" t="b">
        <f aca="false">IF(IFERROR(INDEX(tsk_Name,GanttView[[#This Row],[_Row]])="",TRUE()),FALSE(),INDEX(tsk_Critical,GanttView[[#This Row],[_Row]])="Yes")</f>
        <v>0</v>
      </c>
    </row>
    <row r="177" customFormat="false" ht="15" hidden="false" customHeight="false" outlineLevel="0" collapsed="false">
      <c r="A177" s="117" t="str">
        <f aca="false">IF(IFERROR(INDEX(tsk_Name,GanttView[[#This Row],[_Row]])="",TRUE()),"",INDEX(tsk_ID,GanttView[[#This Row],[_Row]]))</f>
        <v/>
      </c>
      <c r="B177" s="117" t="str">
        <f aca="false">IF(IFERROR(INDEX(tsk_Name,GanttView[[#This Row],[_Row]])="",TRUE()),"",INDEX(tsk_WBS,GanttView[[#This Row],[_Row]]))</f>
        <v/>
      </c>
      <c r="C177" s="118" t="str">
        <f aca="false">IF(IFERROR(INDEX(tsk_Name,GanttView[[#This Row],[_Row]])="",TRUE()),"",REPT("    ",INDEX(tsk_Level,GanttView[[#This Row],[_Row]])-1)&amp;INDEX(tsk_Name,GanttView[[#This Row],[_Row]]))</f>
        <v/>
      </c>
      <c r="D177" s="117" t="str">
        <f aca="false">IF(IFERROR(INDEX(tsk_Name,GanttView[[#This Row],[_Row]])="",TRUE()),"",IF(INDEX(tsk_IsSummary,GanttView[[#This Row],[_Row]]),NETWORKDAYS.INTL(INDEX(tsk_FcStart,GanttView[[#This Row],[_Row]]),INDEX(tsk_FcFinish,GanttView[[#This Row],[_Row]]),WorkWeek,Holidays),N(INDEX(tsk_Duration,GanttView[[#This Row],[_Row]]))))</f>
        <v/>
      </c>
      <c r="E177" s="119" t="str">
        <f aca="false">IF(IFERROR(INDEX(tsk_Name,GanttView[[#This Row],[_Row]])="",TRUE()),"",INDEX(tsk_PlanStart,GanttView[[#This Row],[_Row]]))</f>
        <v/>
      </c>
      <c r="F177" s="119" t="str">
        <f aca="false">IF(IFERROR(INDEX(tsk_Name,GanttView[[#This Row],[_Row]])="",TRUE()),"",INDEX(tsk_PlanFinish,GanttView[[#This Row],[_Row]]))</f>
        <v/>
      </c>
      <c r="G177" s="119" t="str">
        <f aca="false">IF(IFERROR(INDEX(tsk_Name,GanttView[[#This Row],[_Row]])="",TRUE()),"",INDEX(tsk_FcStart,GanttView[[#This Row],[_Row]]))</f>
        <v/>
      </c>
      <c r="H177" s="119" t="str">
        <f aca="false">IF(IFERROR(INDEX(tsk_Name,GanttView[[#This Row],[_Row]])="",TRUE()),"",INDEX(tsk_FcFinish,GanttView[[#This Row],[_Row]]))</f>
        <v/>
      </c>
      <c r="I177" s="120" t="str">
        <f aca="false">IF(IFERROR(INDEX(tsk_Name,GanttView[[#This Row],[_Row]])="",TRUE()),"",INDEX(tsk_Progress,GanttView[[#This Row],[_Row]]))</f>
        <v/>
      </c>
      <c r="J177" s="118" t="str">
        <f aca="false">IF(IFERROR(INDEX(tsk_Name,GanttView[[#This Row],[_Row]])="",TRUE()),"",INDEX(tsk_Resource,GanttView[[#This Row],[_Row]])&amp;"")</f>
        <v/>
      </c>
      <c r="K177" s="121" t="str">
        <f aca="false">IF(IFERROR(INDEX(tsk_Name,GanttView[[#This Row],[_Row]])="",TRUE()),"",INDEX(tsk_Status,GanttView[[#This Row],[_Row]]))</f>
        <v/>
      </c>
      <c r="L177" s="122" t="n">
        <f aca="false">ROW()-ROW(GanttView[[#Headers],[ID]])</f>
        <v>172</v>
      </c>
      <c r="M177" s="123" t="b">
        <f aca="false">IF(IFERROR(INDEX(tsk_Name,GanttView[[#This Row],[_Row]])="",TRUE()),FALSE(),INDEX(tsk_IsSummary,GanttView[[#This Row],[_Row]]))</f>
        <v>0</v>
      </c>
      <c r="N177" s="123" t="b">
        <f aca="false">IF(IFERROR(INDEX(tsk_Name,GanttView[[#This Row],[_Row]])="",TRUE()),FALSE(),AND(INDEX(tsk_IsLeaf,GanttView[[#This Row],[_Row]])=1,N(INDEX(tsk_Duration,GanttView[[#This Row],[_Row]]))=0))</f>
        <v>0</v>
      </c>
      <c r="O177" s="124" t="n">
        <f aca="false">IF(IFERROR(INDEX(tsk_Name,GanttView[[#This Row],[_Row]])="",TRUE()),0,IF(AND(INDEX(tsk_IsLeaf,GanttView[[#This Row],[_Row]])=1,NOT(GanttView[[#This Row],[_IsMilestone]]),N(GanttView[[#This Row],[%]])&gt;0),GanttView[[#This Row],[Forecast Start]],0))</f>
        <v>0</v>
      </c>
      <c r="P177" s="124" t="n">
        <f aca="false">IF(GanttView[[#This Row],[_DoneFrom]]=0,0,IF(GanttView[[#This Row],[%]]&gt;=1,GanttView[[#This Row],[Forecast Finish]],MAX(GanttView[[#This Row],[_DoneFrom]],GanttView[[#This Row],[Forecast Start]]+ROUND((GanttView[[#This Row],[Forecast Finish]]-GanttView[[#This Row],[Forecast Start]]+1)*GanttView[[#This Row],[%]],0)-1)))</f>
        <v>0</v>
      </c>
      <c r="Q177" s="124" t="n">
        <f aca="false">IF(IFERROR(INDEX(tsk_Name,GanttView[[#This Row],[_Row]])="",TRUE()),0,IF(OR(INDEX(tsk_IsLeaf,GanttView[[#This Row],[_Row]])&lt;&gt;1,GanttView[[#This Row],[_IsMilestone]],N(GanttView[[#This Row],[%]])&gt;=1),0,IF(GanttView[[#This Row],[_DoneTo]]&gt;0,GanttView[[#This Row],[_DoneTo]]+1,GanttView[[#This Row],[Forecast Start]])))</f>
        <v>0</v>
      </c>
      <c r="R177" s="124" t="n">
        <f aca="false">IF(GanttView[[#This Row],[_RemFrom]]=0,0,GanttView[[#This Row],[Forecast Finish]])</f>
        <v>0</v>
      </c>
      <c r="S177" s="123" t="b">
        <f aca="false">IF(IFERROR(INDEX(tsk_Name,GanttView[[#This Row],[_Row]])="",TRUE()),FALSE(),N(INDEX(tsk_Variance,GanttView[[#This Row],[_Row]]))&gt;0)</f>
        <v>0</v>
      </c>
      <c r="T177" s="124" t="n">
        <f aca="false">IF(IFERROR(INDEX(tsk_Name,GanttView[[#This Row],[_Row]])="",TRUE()),0,N(INDEX(tsk_Deadline,GanttView[[#This Row],[_Row]])))</f>
        <v>0</v>
      </c>
      <c r="U177" s="123" t="b">
        <f aca="false">IF(IFERROR(INDEX(tsk_Name,GanttView[[#This Row],[_Row]])="",TRUE()),FALSE(),INDEX(tsk_Critical,GanttView[[#This Row],[_Row]])="Yes")</f>
        <v>0</v>
      </c>
    </row>
    <row r="178" customFormat="false" ht="15" hidden="false" customHeight="false" outlineLevel="0" collapsed="false">
      <c r="A178" s="117" t="str">
        <f aca="false">IF(IFERROR(INDEX(tsk_Name,GanttView[[#This Row],[_Row]])="",TRUE()),"",INDEX(tsk_ID,GanttView[[#This Row],[_Row]]))</f>
        <v/>
      </c>
      <c r="B178" s="117" t="str">
        <f aca="false">IF(IFERROR(INDEX(tsk_Name,GanttView[[#This Row],[_Row]])="",TRUE()),"",INDEX(tsk_WBS,GanttView[[#This Row],[_Row]]))</f>
        <v/>
      </c>
      <c r="C178" s="118" t="str">
        <f aca="false">IF(IFERROR(INDEX(tsk_Name,GanttView[[#This Row],[_Row]])="",TRUE()),"",REPT("    ",INDEX(tsk_Level,GanttView[[#This Row],[_Row]])-1)&amp;INDEX(tsk_Name,GanttView[[#This Row],[_Row]]))</f>
        <v/>
      </c>
      <c r="D178" s="117" t="str">
        <f aca="false">IF(IFERROR(INDEX(tsk_Name,GanttView[[#This Row],[_Row]])="",TRUE()),"",IF(INDEX(tsk_IsSummary,GanttView[[#This Row],[_Row]]),NETWORKDAYS.INTL(INDEX(tsk_FcStart,GanttView[[#This Row],[_Row]]),INDEX(tsk_FcFinish,GanttView[[#This Row],[_Row]]),WorkWeek,Holidays),N(INDEX(tsk_Duration,GanttView[[#This Row],[_Row]]))))</f>
        <v/>
      </c>
      <c r="E178" s="119" t="str">
        <f aca="false">IF(IFERROR(INDEX(tsk_Name,GanttView[[#This Row],[_Row]])="",TRUE()),"",INDEX(tsk_PlanStart,GanttView[[#This Row],[_Row]]))</f>
        <v/>
      </c>
      <c r="F178" s="119" t="str">
        <f aca="false">IF(IFERROR(INDEX(tsk_Name,GanttView[[#This Row],[_Row]])="",TRUE()),"",INDEX(tsk_PlanFinish,GanttView[[#This Row],[_Row]]))</f>
        <v/>
      </c>
      <c r="G178" s="119" t="str">
        <f aca="false">IF(IFERROR(INDEX(tsk_Name,GanttView[[#This Row],[_Row]])="",TRUE()),"",INDEX(tsk_FcStart,GanttView[[#This Row],[_Row]]))</f>
        <v/>
      </c>
      <c r="H178" s="119" t="str">
        <f aca="false">IF(IFERROR(INDEX(tsk_Name,GanttView[[#This Row],[_Row]])="",TRUE()),"",INDEX(tsk_FcFinish,GanttView[[#This Row],[_Row]]))</f>
        <v/>
      </c>
      <c r="I178" s="120" t="str">
        <f aca="false">IF(IFERROR(INDEX(tsk_Name,GanttView[[#This Row],[_Row]])="",TRUE()),"",INDEX(tsk_Progress,GanttView[[#This Row],[_Row]]))</f>
        <v/>
      </c>
      <c r="J178" s="118" t="str">
        <f aca="false">IF(IFERROR(INDEX(tsk_Name,GanttView[[#This Row],[_Row]])="",TRUE()),"",INDEX(tsk_Resource,GanttView[[#This Row],[_Row]])&amp;"")</f>
        <v/>
      </c>
      <c r="K178" s="121" t="str">
        <f aca="false">IF(IFERROR(INDEX(tsk_Name,GanttView[[#This Row],[_Row]])="",TRUE()),"",INDEX(tsk_Status,GanttView[[#This Row],[_Row]]))</f>
        <v/>
      </c>
      <c r="L178" s="122" t="n">
        <f aca="false">ROW()-ROW(GanttView[[#Headers],[ID]])</f>
        <v>173</v>
      </c>
      <c r="M178" s="123" t="b">
        <f aca="false">IF(IFERROR(INDEX(tsk_Name,GanttView[[#This Row],[_Row]])="",TRUE()),FALSE(),INDEX(tsk_IsSummary,GanttView[[#This Row],[_Row]]))</f>
        <v>0</v>
      </c>
      <c r="N178" s="123" t="b">
        <f aca="false">IF(IFERROR(INDEX(tsk_Name,GanttView[[#This Row],[_Row]])="",TRUE()),FALSE(),AND(INDEX(tsk_IsLeaf,GanttView[[#This Row],[_Row]])=1,N(INDEX(tsk_Duration,GanttView[[#This Row],[_Row]]))=0))</f>
        <v>0</v>
      </c>
      <c r="O178" s="124" t="n">
        <f aca="false">IF(IFERROR(INDEX(tsk_Name,GanttView[[#This Row],[_Row]])="",TRUE()),0,IF(AND(INDEX(tsk_IsLeaf,GanttView[[#This Row],[_Row]])=1,NOT(GanttView[[#This Row],[_IsMilestone]]),N(GanttView[[#This Row],[%]])&gt;0),GanttView[[#This Row],[Forecast Start]],0))</f>
        <v>0</v>
      </c>
      <c r="P178" s="124" t="n">
        <f aca="false">IF(GanttView[[#This Row],[_DoneFrom]]=0,0,IF(GanttView[[#This Row],[%]]&gt;=1,GanttView[[#This Row],[Forecast Finish]],MAX(GanttView[[#This Row],[_DoneFrom]],GanttView[[#This Row],[Forecast Start]]+ROUND((GanttView[[#This Row],[Forecast Finish]]-GanttView[[#This Row],[Forecast Start]]+1)*GanttView[[#This Row],[%]],0)-1)))</f>
        <v>0</v>
      </c>
      <c r="Q178" s="124" t="n">
        <f aca="false">IF(IFERROR(INDEX(tsk_Name,GanttView[[#This Row],[_Row]])="",TRUE()),0,IF(OR(INDEX(tsk_IsLeaf,GanttView[[#This Row],[_Row]])&lt;&gt;1,GanttView[[#This Row],[_IsMilestone]],N(GanttView[[#This Row],[%]])&gt;=1),0,IF(GanttView[[#This Row],[_DoneTo]]&gt;0,GanttView[[#This Row],[_DoneTo]]+1,GanttView[[#This Row],[Forecast Start]])))</f>
        <v>0</v>
      </c>
      <c r="R178" s="124" t="n">
        <f aca="false">IF(GanttView[[#This Row],[_RemFrom]]=0,0,GanttView[[#This Row],[Forecast Finish]])</f>
        <v>0</v>
      </c>
      <c r="S178" s="123" t="b">
        <f aca="false">IF(IFERROR(INDEX(tsk_Name,GanttView[[#This Row],[_Row]])="",TRUE()),FALSE(),N(INDEX(tsk_Variance,GanttView[[#This Row],[_Row]]))&gt;0)</f>
        <v>0</v>
      </c>
      <c r="T178" s="124" t="n">
        <f aca="false">IF(IFERROR(INDEX(tsk_Name,GanttView[[#This Row],[_Row]])="",TRUE()),0,N(INDEX(tsk_Deadline,GanttView[[#This Row],[_Row]])))</f>
        <v>0</v>
      </c>
      <c r="U178" s="123" t="b">
        <f aca="false">IF(IFERROR(INDEX(tsk_Name,GanttView[[#This Row],[_Row]])="",TRUE()),FALSE(),INDEX(tsk_Critical,GanttView[[#This Row],[_Row]])="Yes")</f>
        <v>0</v>
      </c>
    </row>
    <row r="179" customFormat="false" ht="15" hidden="false" customHeight="false" outlineLevel="0" collapsed="false">
      <c r="A179" s="117" t="str">
        <f aca="false">IF(IFERROR(INDEX(tsk_Name,GanttView[[#This Row],[_Row]])="",TRUE()),"",INDEX(tsk_ID,GanttView[[#This Row],[_Row]]))</f>
        <v/>
      </c>
      <c r="B179" s="117" t="str">
        <f aca="false">IF(IFERROR(INDEX(tsk_Name,GanttView[[#This Row],[_Row]])="",TRUE()),"",INDEX(tsk_WBS,GanttView[[#This Row],[_Row]]))</f>
        <v/>
      </c>
      <c r="C179" s="118" t="str">
        <f aca="false">IF(IFERROR(INDEX(tsk_Name,GanttView[[#This Row],[_Row]])="",TRUE()),"",REPT("    ",INDEX(tsk_Level,GanttView[[#This Row],[_Row]])-1)&amp;INDEX(tsk_Name,GanttView[[#This Row],[_Row]]))</f>
        <v/>
      </c>
      <c r="D179" s="117" t="str">
        <f aca="false">IF(IFERROR(INDEX(tsk_Name,GanttView[[#This Row],[_Row]])="",TRUE()),"",IF(INDEX(tsk_IsSummary,GanttView[[#This Row],[_Row]]),NETWORKDAYS.INTL(INDEX(tsk_FcStart,GanttView[[#This Row],[_Row]]),INDEX(tsk_FcFinish,GanttView[[#This Row],[_Row]]),WorkWeek,Holidays),N(INDEX(tsk_Duration,GanttView[[#This Row],[_Row]]))))</f>
        <v/>
      </c>
      <c r="E179" s="119" t="str">
        <f aca="false">IF(IFERROR(INDEX(tsk_Name,GanttView[[#This Row],[_Row]])="",TRUE()),"",INDEX(tsk_PlanStart,GanttView[[#This Row],[_Row]]))</f>
        <v/>
      </c>
      <c r="F179" s="119" t="str">
        <f aca="false">IF(IFERROR(INDEX(tsk_Name,GanttView[[#This Row],[_Row]])="",TRUE()),"",INDEX(tsk_PlanFinish,GanttView[[#This Row],[_Row]]))</f>
        <v/>
      </c>
      <c r="G179" s="119" t="str">
        <f aca="false">IF(IFERROR(INDEX(tsk_Name,GanttView[[#This Row],[_Row]])="",TRUE()),"",INDEX(tsk_FcStart,GanttView[[#This Row],[_Row]]))</f>
        <v/>
      </c>
      <c r="H179" s="119" t="str">
        <f aca="false">IF(IFERROR(INDEX(tsk_Name,GanttView[[#This Row],[_Row]])="",TRUE()),"",INDEX(tsk_FcFinish,GanttView[[#This Row],[_Row]]))</f>
        <v/>
      </c>
      <c r="I179" s="120" t="str">
        <f aca="false">IF(IFERROR(INDEX(tsk_Name,GanttView[[#This Row],[_Row]])="",TRUE()),"",INDEX(tsk_Progress,GanttView[[#This Row],[_Row]]))</f>
        <v/>
      </c>
      <c r="J179" s="118" t="str">
        <f aca="false">IF(IFERROR(INDEX(tsk_Name,GanttView[[#This Row],[_Row]])="",TRUE()),"",INDEX(tsk_Resource,GanttView[[#This Row],[_Row]])&amp;"")</f>
        <v/>
      </c>
      <c r="K179" s="121" t="str">
        <f aca="false">IF(IFERROR(INDEX(tsk_Name,GanttView[[#This Row],[_Row]])="",TRUE()),"",INDEX(tsk_Status,GanttView[[#This Row],[_Row]]))</f>
        <v/>
      </c>
      <c r="L179" s="122" t="n">
        <f aca="false">ROW()-ROW(GanttView[[#Headers],[ID]])</f>
        <v>174</v>
      </c>
      <c r="M179" s="123" t="b">
        <f aca="false">IF(IFERROR(INDEX(tsk_Name,GanttView[[#This Row],[_Row]])="",TRUE()),FALSE(),INDEX(tsk_IsSummary,GanttView[[#This Row],[_Row]]))</f>
        <v>0</v>
      </c>
      <c r="N179" s="123" t="b">
        <f aca="false">IF(IFERROR(INDEX(tsk_Name,GanttView[[#This Row],[_Row]])="",TRUE()),FALSE(),AND(INDEX(tsk_IsLeaf,GanttView[[#This Row],[_Row]])=1,N(INDEX(tsk_Duration,GanttView[[#This Row],[_Row]]))=0))</f>
        <v>0</v>
      </c>
      <c r="O179" s="124" t="n">
        <f aca="false">IF(IFERROR(INDEX(tsk_Name,GanttView[[#This Row],[_Row]])="",TRUE()),0,IF(AND(INDEX(tsk_IsLeaf,GanttView[[#This Row],[_Row]])=1,NOT(GanttView[[#This Row],[_IsMilestone]]),N(GanttView[[#This Row],[%]])&gt;0),GanttView[[#This Row],[Forecast Start]],0))</f>
        <v>0</v>
      </c>
      <c r="P179" s="124" t="n">
        <f aca="false">IF(GanttView[[#This Row],[_DoneFrom]]=0,0,IF(GanttView[[#This Row],[%]]&gt;=1,GanttView[[#This Row],[Forecast Finish]],MAX(GanttView[[#This Row],[_DoneFrom]],GanttView[[#This Row],[Forecast Start]]+ROUND((GanttView[[#This Row],[Forecast Finish]]-GanttView[[#This Row],[Forecast Start]]+1)*GanttView[[#This Row],[%]],0)-1)))</f>
        <v>0</v>
      </c>
      <c r="Q179" s="124" t="n">
        <f aca="false">IF(IFERROR(INDEX(tsk_Name,GanttView[[#This Row],[_Row]])="",TRUE()),0,IF(OR(INDEX(tsk_IsLeaf,GanttView[[#This Row],[_Row]])&lt;&gt;1,GanttView[[#This Row],[_IsMilestone]],N(GanttView[[#This Row],[%]])&gt;=1),0,IF(GanttView[[#This Row],[_DoneTo]]&gt;0,GanttView[[#This Row],[_DoneTo]]+1,GanttView[[#This Row],[Forecast Start]])))</f>
        <v>0</v>
      </c>
      <c r="R179" s="124" t="n">
        <f aca="false">IF(GanttView[[#This Row],[_RemFrom]]=0,0,GanttView[[#This Row],[Forecast Finish]])</f>
        <v>0</v>
      </c>
      <c r="S179" s="123" t="b">
        <f aca="false">IF(IFERROR(INDEX(tsk_Name,GanttView[[#This Row],[_Row]])="",TRUE()),FALSE(),N(INDEX(tsk_Variance,GanttView[[#This Row],[_Row]]))&gt;0)</f>
        <v>0</v>
      </c>
      <c r="T179" s="124" t="n">
        <f aca="false">IF(IFERROR(INDEX(tsk_Name,GanttView[[#This Row],[_Row]])="",TRUE()),0,N(INDEX(tsk_Deadline,GanttView[[#This Row],[_Row]])))</f>
        <v>0</v>
      </c>
      <c r="U179" s="123" t="b">
        <f aca="false">IF(IFERROR(INDEX(tsk_Name,GanttView[[#This Row],[_Row]])="",TRUE()),FALSE(),INDEX(tsk_Critical,GanttView[[#This Row],[_Row]])="Yes")</f>
        <v>0</v>
      </c>
    </row>
    <row r="180" customFormat="false" ht="15" hidden="false" customHeight="false" outlineLevel="0" collapsed="false">
      <c r="A180" s="117" t="str">
        <f aca="false">IF(IFERROR(INDEX(tsk_Name,GanttView[[#This Row],[_Row]])="",TRUE()),"",INDEX(tsk_ID,GanttView[[#This Row],[_Row]]))</f>
        <v/>
      </c>
      <c r="B180" s="117" t="str">
        <f aca="false">IF(IFERROR(INDEX(tsk_Name,GanttView[[#This Row],[_Row]])="",TRUE()),"",INDEX(tsk_WBS,GanttView[[#This Row],[_Row]]))</f>
        <v/>
      </c>
      <c r="C180" s="118" t="str">
        <f aca="false">IF(IFERROR(INDEX(tsk_Name,GanttView[[#This Row],[_Row]])="",TRUE()),"",REPT("    ",INDEX(tsk_Level,GanttView[[#This Row],[_Row]])-1)&amp;INDEX(tsk_Name,GanttView[[#This Row],[_Row]]))</f>
        <v/>
      </c>
      <c r="D180" s="117" t="str">
        <f aca="false">IF(IFERROR(INDEX(tsk_Name,GanttView[[#This Row],[_Row]])="",TRUE()),"",IF(INDEX(tsk_IsSummary,GanttView[[#This Row],[_Row]]),NETWORKDAYS.INTL(INDEX(tsk_FcStart,GanttView[[#This Row],[_Row]]),INDEX(tsk_FcFinish,GanttView[[#This Row],[_Row]]),WorkWeek,Holidays),N(INDEX(tsk_Duration,GanttView[[#This Row],[_Row]]))))</f>
        <v/>
      </c>
      <c r="E180" s="119" t="str">
        <f aca="false">IF(IFERROR(INDEX(tsk_Name,GanttView[[#This Row],[_Row]])="",TRUE()),"",INDEX(tsk_PlanStart,GanttView[[#This Row],[_Row]]))</f>
        <v/>
      </c>
      <c r="F180" s="119" t="str">
        <f aca="false">IF(IFERROR(INDEX(tsk_Name,GanttView[[#This Row],[_Row]])="",TRUE()),"",INDEX(tsk_PlanFinish,GanttView[[#This Row],[_Row]]))</f>
        <v/>
      </c>
      <c r="G180" s="119" t="str">
        <f aca="false">IF(IFERROR(INDEX(tsk_Name,GanttView[[#This Row],[_Row]])="",TRUE()),"",INDEX(tsk_FcStart,GanttView[[#This Row],[_Row]]))</f>
        <v/>
      </c>
      <c r="H180" s="119" t="str">
        <f aca="false">IF(IFERROR(INDEX(tsk_Name,GanttView[[#This Row],[_Row]])="",TRUE()),"",INDEX(tsk_FcFinish,GanttView[[#This Row],[_Row]]))</f>
        <v/>
      </c>
      <c r="I180" s="120" t="str">
        <f aca="false">IF(IFERROR(INDEX(tsk_Name,GanttView[[#This Row],[_Row]])="",TRUE()),"",INDEX(tsk_Progress,GanttView[[#This Row],[_Row]]))</f>
        <v/>
      </c>
      <c r="J180" s="118" t="str">
        <f aca="false">IF(IFERROR(INDEX(tsk_Name,GanttView[[#This Row],[_Row]])="",TRUE()),"",INDEX(tsk_Resource,GanttView[[#This Row],[_Row]])&amp;"")</f>
        <v/>
      </c>
      <c r="K180" s="121" t="str">
        <f aca="false">IF(IFERROR(INDEX(tsk_Name,GanttView[[#This Row],[_Row]])="",TRUE()),"",INDEX(tsk_Status,GanttView[[#This Row],[_Row]]))</f>
        <v/>
      </c>
      <c r="L180" s="122" t="n">
        <f aca="false">ROW()-ROW(GanttView[[#Headers],[ID]])</f>
        <v>175</v>
      </c>
      <c r="M180" s="123" t="b">
        <f aca="false">IF(IFERROR(INDEX(tsk_Name,GanttView[[#This Row],[_Row]])="",TRUE()),FALSE(),INDEX(tsk_IsSummary,GanttView[[#This Row],[_Row]]))</f>
        <v>0</v>
      </c>
      <c r="N180" s="123" t="b">
        <f aca="false">IF(IFERROR(INDEX(tsk_Name,GanttView[[#This Row],[_Row]])="",TRUE()),FALSE(),AND(INDEX(tsk_IsLeaf,GanttView[[#This Row],[_Row]])=1,N(INDEX(tsk_Duration,GanttView[[#This Row],[_Row]]))=0))</f>
        <v>0</v>
      </c>
      <c r="O180" s="124" t="n">
        <f aca="false">IF(IFERROR(INDEX(tsk_Name,GanttView[[#This Row],[_Row]])="",TRUE()),0,IF(AND(INDEX(tsk_IsLeaf,GanttView[[#This Row],[_Row]])=1,NOT(GanttView[[#This Row],[_IsMilestone]]),N(GanttView[[#This Row],[%]])&gt;0),GanttView[[#This Row],[Forecast Start]],0))</f>
        <v>0</v>
      </c>
      <c r="P180" s="124" t="n">
        <f aca="false">IF(GanttView[[#This Row],[_DoneFrom]]=0,0,IF(GanttView[[#This Row],[%]]&gt;=1,GanttView[[#This Row],[Forecast Finish]],MAX(GanttView[[#This Row],[_DoneFrom]],GanttView[[#This Row],[Forecast Start]]+ROUND((GanttView[[#This Row],[Forecast Finish]]-GanttView[[#This Row],[Forecast Start]]+1)*GanttView[[#This Row],[%]],0)-1)))</f>
        <v>0</v>
      </c>
      <c r="Q180" s="124" t="n">
        <f aca="false">IF(IFERROR(INDEX(tsk_Name,GanttView[[#This Row],[_Row]])="",TRUE()),0,IF(OR(INDEX(tsk_IsLeaf,GanttView[[#This Row],[_Row]])&lt;&gt;1,GanttView[[#This Row],[_IsMilestone]],N(GanttView[[#This Row],[%]])&gt;=1),0,IF(GanttView[[#This Row],[_DoneTo]]&gt;0,GanttView[[#This Row],[_DoneTo]]+1,GanttView[[#This Row],[Forecast Start]])))</f>
        <v>0</v>
      </c>
      <c r="R180" s="124" t="n">
        <f aca="false">IF(GanttView[[#This Row],[_RemFrom]]=0,0,GanttView[[#This Row],[Forecast Finish]])</f>
        <v>0</v>
      </c>
      <c r="S180" s="123" t="b">
        <f aca="false">IF(IFERROR(INDEX(tsk_Name,GanttView[[#This Row],[_Row]])="",TRUE()),FALSE(),N(INDEX(tsk_Variance,GanttView[[#This Row],[_Row]]))&gt;0)</f>
        <v>0</v>
      </c>
      <c r="T180" s="124" t="n">
        <f aca="false">IF(IFERROR(INDEX(tsk_Name,GanttView[[#This Row],[_Row]])="",TRUE()),0,N(INDEX(tsk_Deadline,GanttView[[#This Row],[_Row]])))</f>
        <v>0</v>
      </c>
      <c r="U180" s="123" t="b">
        <f aca="false">IF(IFERROR(INDEX(tsk_Name,GanttView[[#This Row],[_Row]])="",TRUE()),FALSE(),INDEX(tsk_Critical,GanttView[[#This Row],[_Row]])="Yes")</f>
        <v>0</v>
      </c>
    </row>
    <row r="181" customFormat="false" ht="15" hidden="false" customHeight="false" outlineLevel="0" collapsed="false">
      <c r="A181" s="117" t="str">
        <f aca="false">IF(IFERROR(INDEX(tsk_Name,GanttView[[#This Row],[_Row]])="",TRUE()),"",INDEX(tsk_ID,GanttView[[#This Row],[_Row]]))</f>
        <v/>
      </c>
      <c r="B181" s="117" t="str">
        <f aca="false">IF(IFERROR(INDEX(tsk_Name,GanttView[[#This Row],[_Row]])="",TRUE()),"",INDEX(tsk_WBS,GanttView[[#This Row],[_Row]]))</f>
        <v/>
      </c>
      <c r="C181" s="118" t="str">
        <f aca="false">IF(IFERROR(INDEX(tsk_Name,GanttView[[#This Row],[_Row]])="",TRUE()),"",REPT("    ",INDEX(tsk_Level,GanttView[[#This Row],[_Row]])-1)&amp;INDEX(tsk_Name,GanttView[[#This Row],[_Row]]))</f>
        <v/>
      </c>
      <c r="D181" s="117" t="str">
        <f aca="false">IF(IFERROR(INDEX(tsk_Name,GanttView[[#This Row],[_Row]])="",TRUE()),"",IF(INDEX(tsk_IsSummary,GanttView[[#This Row],[_Row]]),NETWORKDAYS.INTL(INDEX(tsk_FcStart,GanttView[[#This Row],[_Row]]),INDEX(tsk_FcFinish,GanttView[[#This Row],[_Row]]),WorkWeek,Holidays),N(INDEX(tsk_Duration,GanttView[[#This Row],[_Row]]))))</f>
        <v/>
      </c>
      <c r="E181" s="119" t="str">
        <f aca="false">IF(IFERROR(INDEX(tsk_Name,GanttView[[#This Row],[_Row]])="",TRUE()),"",INDEX(tsk_PlanStart,GanttView[[#This Row],[_Row]]))</f>
        <v/>
      </c>
      <c r="F181" s="119" t="str">
        <f aca="false">IF(IFERROR(INDEX(tsk_Name,GanttView[[#This Row],[_Row]])="",TRUE()),"",INDEX(tsk_PlanFinish,GanttView[[#This Row],[_Row]]))</f>
        <v/>
      </c>
      <c r="G181" s="119" t="str">
        <f aca="false">IF(IFERROR(INDEX(tsk_Name,GanttView[[#This Row],[_Row]])="",TRUE()),"",INDEX(tsk_FcStart,GanttView[[#This Row],[_Row]]))</f>
        <v/>
      </c>
      <c r="H181" s="119" t="str">
        <f aca="false">IF(IFERROR(INDEX(tsk_Name,GanttView[[#This Row],[_Row]])="",TRUE()),"",INDEX(tsk_FcFinish,GanttView[[#This Row],[_Row]]))</f>
        <v/>
      </c>
      <c r="I181" s="120" t="str">
        <f aca="false">IF(IFERROR(INDEX(tsk_Name,GanttView[[#This Row],[_Row]])="",TRUE()),"",INDEX(tsk_Progress,GanttView[[#This Row],[_Row]]))</f>
        <v/>
      </c>
      <c r="J181" s="118" t="str">
        <f aca="false">IF(IFERROR(INDEX(tsk_Name,GanttView[[#This Row],[_Row]])="",TRUE()),"",INDEX(tsk_Resource,GanttView[[#This Row],[_Row]])&amp;"")</f>
        <v/>
      </c>
      <c r="K181" s="121" t="str">
        <f aca="false">IF(IFERROR(INDEX(tsk_Name,GanttView[[#This Row],[_Row]])="",TRUE()),"",INDEX(tsk_Status,GanttView[[#This Row],[_Row]]))</f>
        <v/>
      </c>
      <c r="L181" s="122" t="n">
        <f aca="false">ROW()-ROW(GanttView[[#Headers],[ID]])</f>
        <v>176</v>
      </c>
      <c r="M181" s="123" t="b">
        <f aca="false">IF(IFERROR(INDEX(tsk_Name,GanttView[[#This Row],[_Row]])="",TRUE()),FALSE(),INDEX(tsk_IsSummary,GanttView[[#This Row],[_Row]]))</f>
        <v>0</v>
      </c>
      <c r="N181" s="123" t="b">
        <f aca="false">IF(IFERROR(INDEX(tsk_Name,GanttView[[#This Row],[_Row]])="",TRUE()),FALSE(),AND(INDEX(tsk_IsLeaf,GanttView[[#This Row],[_Row]])=1,N(INDEX(tsk_Duration,GanttView[[#This Row],[_Row]]))=0))</f>
        <v>0</v>
      </c>
      <c r="O181" s="124" t="n">
        <f aca="false">IF(IFERROR(INDEX(tsk_Name,GanttView[[#This Row],[_Row]])="",TRUE()),0,IF(AND(INDEX(tsk_IsLeaf,GanttView[[#This Row],[_Row]])=1,NOT(GanttView[[#This Row],[_IsMilestone]]),N(GanttView[[#This Row],[%]])&gt;0),GanttView[[#This Row],[Forecast Start]],0))</f>
        <v>0</v>
      </c>
      <c r="P181" s="124" t="n">
        <f aca="false">IF(GanttView[[#This Row],[_DoneFrom]]=0,0,IF(GanttView[[#This Row],[%]]&gt;=1,GanttView[[#This Row],[Forecast Finish]],MAX(GanttView[[#This Row],[_DoneFrom]],GanttView[[#This Row],[Forecast Start]]+ROUND((GanttView[[#This Row],[Forecast Finish]]-GanttView[[#This Row],[Forecast Start]]+1)*GanttView[[#This Row],[%]],0)-1)))</f>
        <v>0</v>
      </c>
      <c r="Q181" s="124" t="n">
        <f aca="false">IF(IFERROR(INDEX(tsk_Name,GanttView[[#This Row],[_Row]])="",TRUE()),0,IF(OR(INDEX(tsk_IsLeaf,GanttView[[#This Row],[_Row]])&lt;&gt;1,GanttView[[#This Row],[_IsMilestone]],N(GanttView[[#This Row],[%]])&gt;=1),0,IF(GanttView[[#This Row],[_DoneTo]]&gt;0,GanttView[[#This Row],[_DoneTo]]+1,GanttView[[#This Row],[Forecast Start]])))</f>
        <v>0</v>
      </c>
      <c r="R181" s="124" t="n">
        <f aca="false">IF(GanttView[[#This Row],[_RemFrom]]=0,0,GanttView[[#This Row],[Forecast Finish]])</f>
        <v>0</v>
      </c>
      <c r="S181" s="123" t="b">
        <f aca="false">IF(IFERROR(INDEX(tsk_Name,GanttView[[#This Row],[_Row]])="",TRUE()),FALSE(),N(INDEX(tsk_Variance,GanttView[[#This Row],[_Row]]))&gt;0)</f>
        <v>0</v>
      </c>
      <c r="T181" s="124" t="n">
        <f aca="false">IF(IFERROR(INDEX(tsk_Name,GanttView[[#This Row],[_Row]])="",TRUE()),0,N(INDEX(tsk_Deadline,GanttView[[#This Row],[_Row]])))</f>
        <v>0</v>
      </c>
      <c r="U181" s="123" t="b">
        <f aca="false">IF(IFERROR(INDEX(tsk_Name,GanttView[[#This Row],[_Row]])="",TRUE()),FALSE(),INDEX(tsk_Critical,GanttView[[#This Row],[_Row]])="Yes")</f>
        <v>0</v>
      </c>
    </row>
    <row r="182" customFormat="false" ht="15" hidden="false" customHeight="false" outlineLevel="0" collapsed="false">
      <c r="A182" s="117" t="str">
        <f aca="false">IF(IFERROR(INDEX(tsk_Name,GanttView[[#This Row],[_Row]])="",TRUE()),"",INDEX(tsk_ID,GanttView[[#This Row],[_Row]]))</f>
        <v/>
      </c>
      <c r="B182" s="117" t="str">
        <f aca="false">IF(IFERROR(INDEX(tsk_Name,GanttView[[#This Row],[_Row]])="",TRUE()),"",INDEX(tsk_WBS,GanttView[[#This Row],[_Row]]))</f>
        <v/>
      </c>
      <c r="C182" s="118" t="str">
        <f aca="false">IF(IFERROR(INDEX(tsk_Name,GanttView[[#This Row],[_Row]])="",TRUE()),"",REPT("    ",INDEX(tsk_Level,GanttView[[#This Row],[_Row]])-1)&amp;INDEX(tsk_Name,GanttView[[#This Row],[_Row]]))</f>
        <v/>
      </c>
      <c r="D182" s="117" t="str">
        <f aca="false">IF(IFERROR(INDEX(tsk_Name,GanttView[[#This Row],[_Row]])="",TRUE()),"",IF(INDEX(tsk_IsSummary,GanttView[[#This Row],[_Row]]),NETWORKDAYS.INTL(INDEX(tsk_FcStart,GanttView[[#This Row],[_Row]]),INDEX(tsk_FcFinish,GanttView[[#This Row],[_Row]]),WorkWeek,Holidays),N(INDEX(tsk_Duration,GanttView[[#This Row],[_Row]]))))</f>
        <v/>
      </c>
      <c r="E182" s="119" t="str">
        <f aca="false">IF(IFERROR(INDEX(tsk_Name,GanttView[[#This Row],[_Row]])="",TRUE()),"",INDEX(tsk_PlanStart,GanttView[[#This Row],[_Row]]))</f>
        <v/>
      </c>
      <c r="F182" s="119" t="str">
        <f aca="false">IF(IFERROR(INDEX(tsk_Name,GanttView[[#This Row],[_Row]])="",TRUE()),"",INDEX(tsk_PlanFinish,GanttView[[#This Row],[_Row]]))</f>
        <v/>
      </c>
      <c r="G182" s="119" t="str">
        <f aca="false">IF(IFERROR(INDEX(tsk_Name,GanttView[[#This Row],[_Row]])="",TRUE()),"",INDEX(tsk_FcStart,GanttView[[#This Row],[_Row]]))</f>
        <v/>
      </c>
      <c r="H182" s="119" t="str">
        <f aca="false">IF(IFERROR(INDEX(tsk_Name,GanttView[[#This Row],[_Row]])="",TRUE()),"",INDEX(tsk_FcFinish,GanttView[[#This Row],[_Row]]))</f>
        <v/>
      </c>
      <c r="I182" s="120" t="str">
        <f aca="false">IF(IFERROR(INDEX(tsk_Name,GanttView[[#This Row],[_Row]])="",TRUE()),"",INDEX(tsk_Progress,GanttView[[#This Row],[_Row]]))</f>
        <v/>
      </c>
      <c r="J182" s="118" t="str">
        <f aca="false">IF(IFERROR(INDEX(tsk_Name,GanttView[[#This Row],[_Row]])="",TRUE()),"",INDEX(tsk_Resource,GanttView[[#This Row],[_Row]])&amp;"")</f>
        <v/>
      </c>
      <c r="K182" s="121" t="str">
        <f aca="false">IF(IFERROR(INDEX(tsk_Name,GanttView[[#This Row],[_Row]])="",TRUE()),"",INDEX(tsk_Status,GanttView[[#This Row],[_Row]]))</f>
        <v/>
      </c>
      <c r="L182" s="122" t="n">
        <f aca="false">ROW()-ROW(GanttView[[#Headers],[ID]])</f>
        <v>177</v>
      </c>
      <c r="M182" s="123" t="b">
        <f aca="false">IF(IFERROR(INDEX(tsk_Name,GanttView[[#This Row],[_Row]])="",TRUE()),FALSE(),INDEX(tsk_IsSummary,GanttView[[#This Row],[_Row]]))</f>
        <v>0</v>
      </c>
      <c r="N182" s="123" t="b">
        <f aca="false">IF(IFERROR(INDEX(tsk_Name,GanttView[[#This Row],[_Row]])="",TRUE()),FALSE(),AND(INDEX(tsk_IsLeaf,GanttView[[#This Row],[_Row]])=1,N(INDEX(tsk_Duration,GanttView[[#This Row],[_Row]]))=0))</f>
        <v>0</v>
      </c>
      <c r="O182" s="124" t="n">
        <f aca="false">IF(IFERROR(INDEX(tsk_Name,GanttView[[#This Row],[_Row]])="",TRUE()),0,IF(AND(INDEX(tsk_IsLeaf,GanttView[[#This Row],[_Row]])=1,NOT(GanttView[[#This Row],[_IsMilestone]]),N(GanttView[[#This Row],[%]])&gt;0),GanttView[[#This Row],[Forecast Start]],0))</f>
        <v>0</v>
      </c>
      <c r="P182" s="124" t="n">
        <f aca="false">IF(GanttView[[#This Row],[_DoneFrom]]=0,0,IF(GanttView[[#This Row],[%]]&gt;=1,GanttView[[#This Row],[Forecast Finish]],MAX(GanttView[[#This Row],[_DoneFrom]],GanttView[[#This Row],[Forecast Start]]+ROUND((GanttView[[#This Row],[Forecast Finish]]-GanttView[[#This Row],[Forecast Start]]+1)*GanttView[[#This Row],[%]],0)-1)))</f>
        <v>0</v>
      </c>
      <c r="Q182" s="124" t="n">
        <f aca="false">IF(IFERROR(INDEX(tsk_Name,GanttView[[#This Row],[_Row]])="",TRUE()),0,IF(OR(INDEX(tsk_IsLeaf,GanttView[[#This Row],[_Row]])&lt;&gt;1,GanttView[[#This Row],[_IsMilestone]],N(GanttView[[#This Row],[%]])&gt;=1),0,IF(GanttView[[#This Row],[_DoneTo]]&gt;0,GanttView[[#This Row],[_DoneTo]]+1,GanttView[[#This Row],[Forecast Start]])))</f>
        <v>0</v>
      </c>
      <c r="R182" s="124" t="n">
        <f aca="false">IF(GanttView[[#This Row],[_RemFrom]]=0,0,GanttView[[#This Row],[Forecast Finish]])</f>
        <v>0</v>
      </c>
      <c r="S182" s="123" t="b">
        <f aca="false">IF(IFERROR(INDEX(tsk_Name,GanttView[[#This Row],[_Row]])="",TRUE()),FALSE(),N(INDEX(tsk_Variance,GanttView[[#This Row],[_Row]]))&gt;0)</f>
        <v>0</v>
      </c>
      <c r="T182" s="124" t="n">
        <f aca="false">IF(IFERROR(INDEX(tsk_Name,GanttView[[#This Row],[_Row]])="",TRUE()),0,N(INDEX(tsk_Deadline,GanttView[[#This Row],[_Row]])))</f>
        <v>0</v>
      </c>
      <c r="U182" s="123" t="b">
        <f aca="false">IF(IFERROR(INDEX(tsk_Name,GanttView[[#This Row],[_Row]])="",TRUE()),FALSE(),INDEX(tsk_Critical,GanttView[[#This Row],[_Row]])="Yes")</f>
        <v>0</v>
      </c>
    </row>
    <row r="183" customFormat="false" ht="15" hidden="false" customHeight="false" outlineLevel="0" collapsed="false">
      <c r="A183" s="117" t="str">
        <f aca="false">IF(IFERROR(INDEX(tsk_Name,GanttView[[#This Row],[_Row]])="",TRUE()),"",INDEX(tsk_ID,GanttView[[#This Row],[_Row]]))</f>
        <v/>
      </c>
      <c r="B183" s="117" t="str">
        <f aca="false">IF(IFERROR(INDEX(tsk_Name,GanttView[[#This Row],[_Row]])="",TRUE()),"",INDEX(tsk_WBS,GanttView[[#This Row],[_Row]]))</f>
        <v/>
      </c>
      <c r="C183" s="118" t="str">
        <f aca="false">IF(IFERROR(INDEX(tsk_Name,GanttView[[#This Row],[_Row]])="",TRUE()),"",REPT("    ",INDEX(tsk_Level,GanttView[[#This Row],[_Row]])-1)&amp;INDEX(tsk_Name,GanttView[[#This Row],[_Row]]))</f>
        <v/>
      </c>
      <c r="D183" s="117" t="str">
        <f aca="false">IF(IFERROR(INDEX(tsk_Name,GanttView[[#This Row],[_Row]])="",TRUE()),"",IF(INDEX(tsk_IsSummary,GanttView[[#This Row],[_Row]]),NETWORKDAYS.INTL(INDEX(tsk_FcStart,GanttView[[#This Row],[_Row]]),INDEX(tsk_FcFinish,GanttView[[#This Row],[_Row]]),WorkWeek,Holidays),N(INDEX(tsk_Duration,GanttView[[#This Row],[_Row]]))))</f>
        <v/>
      </c>
      <c r="E183" s="119" t="str">
        <f aca="false">IF(IFERROR(INDEX(tsk_Name,GanttView[[#This Row],[_Row]])="",TRUE()),"",INDEX(tsk_PlanStart,GanttView[[#This Row],[_Row]]))</f>
        <v/>
      </c>
      <c r="F183" s="119" t="str">
        <f aca="false">IF(IFERROR(INDEX(tsk_Name,GanttView[[#This Row],[_Row]])="",TRUE()),"",INDEX(tsk_PlanFinish,GanttView[[#This Row],[_Row]]))</f>
        <v/>
      </c>
      <c r="G183" s="119" t="str">
        <f aca="false">IF(IFERROR(INDEX(tsk_Name,GanttView[[#This Row],[_Row]])="",TRUE()),"",INDEX(tsk_FcStart,GanttView[[#This Row],[_Row]]))</f>
        <v/>
      </c>
      <c r="H183" s="119" t="str">
        <f aca="false">IF(IFERROR(INDEX(tsk_Name,GanttView[[#This Row],[_Row]])="",TRUE()),"",INDEX(tsk_FcFinish,GanttView[[#This Row],[_Row]]))</f>
        <v/>
      </c>
      <c r="I183" s="120" t="str">
        <f aca="false">IF(IFERROR(INDEX(tsk_Name,GanttView[[#This Row],[_Row]])="",TRUE()),"",INDEX(tsk_Progress,GanttView[[#This Row],[_Row]]))</f>
        <v/>
      </c>
      <c r="J183" s="118" t="str">
        <f aca="false">IF(IFERROR(INDEX(tsk_Name,GanttView[[#This Row],[_Row]])="",TRUE()),"",INDEX(tsk_Resource,GanttView[[#This Row],[_Row]])&amp;"")</f>
        <v/>
      </c>
      <c r="K183" s="121" t="str">
        <f aca="false">IF(IFERROR(INDEX(tsk_Name,GanttView[[#This Row],[_Row]])="",TRUE()),"",INDEX(tsk_Status,GanttView[[#This Row],[_Row]]))</f>
        <v/>
      </c>
      <c r="L183" s="122" t="n">
        <f aca="false">ROW()-ROW(GanttView[[#Headers],[ID]])</f>
        <v>178</v>
      </c>
      <c r="M183" s="123" t="b">
        <f aca="false">IF(IFERROR(INDEX(tsk_Name,GanttView[[#This Row],[_Row]])="",TRUE()),FALSE(),INDEX(tsk_IsSummary,GanttView[[#This Row],[_Row]]))</f>
        <v>0</v>
      </c>
      <c r="N183" s="123" t="b">
        <f aca="false">IF(IFERROR(INDEX(tsk_Name,GanttView[[#This Row],[_Row]])="",TRUE()),FALSE(),AND(INDEX(tsk_IsLeaf,GanttView[[#This Row],[_Row]])=1,N(INDEX(tsk_Duration,GanttView[[#This Row],[_Row]]))=0))</f>
        <v>0</v>
      </c>
      <c r="O183" s="124" t="n">
        <f aca="false">IF(IFERROR(INDEX(tsk_Name,GanttView[[#This Row],[_Row]])="",TRUE()),0,IF(AND(INDEX(tsk_IsLeaf,GanttView[[#This Row],[_Row]])=1,NOT(GanttView[[#This Row],[_IsMilestone]]),N(GanttView[[#This Row],[%]])&gt;0),GanttView[[#This Row],[Forecast Start]],0))</f>
        <v>0</v>
      </c>
      <c r="P183" s="124" t="n">
        <f aca="false">IF(GanttView[[#This Row],[_DoneFrom]]=0,0,IF(GanttView[[#This Row],[%]]&gt;=1,GanttView[[#This Row],[Forecast Finish]],MAX(GanttView[[#This Row],[_DoneFrom]],GanttView[[#This Row],[Forecast Start]]+ROUND((GanttView[[#This Row],[Forecast Finish]]-GanttView[[#This Row],[Forecast Start]]+1)*GanttView[[#This Row],[%]],0)-1)))</f>
        <v>0</v>
      </c>
      <c r="Q183" s="124" t="n">
        <f aca="false">IF(IFERROR(INDEX(tsk_Name,GanttView[[#This Row],[_Row]])="",TRUE()),0,IF(OR(INDEX(tsk_IsLeaf,GanttView[[#This Row],[_Row]])&lt;&gt;1,GanttView[[#This Row],[_IsMilestone]],N(GanttView[[#This Row],[%]])&gt;=1),0,IF(GanttView[[#This Row],[_DoneTo]]&gt;0,GanttView[[#This Row],[_DoneTo]]+1,GanttView[[#This Row],[Forecast Start]])))</f>
        <v>0</v>
      </c>
      <c r="R183" s="124" t="n">
        <f aca="false">IF(GanttView[[#This Row],[_RemFrom]]=0,0,GanttView[[#This Row],[Forecast Finish]])</f>
        <v>0</v>
      </c>
      <c r="S183" s="123" t="b">
        <f aca="false">IF(IFERROR(INDEX(tsk_Name,GanttView[[#This Row],[_Row]])="",TRUE()),FALSE(),N(INDEX(tsk_Variance,GanttView[[#This Row],[_Row]]))&gt;0)</f>
        <v>0</v>
      </c>
      <c r="T183" s="124" t="n">
        <f aca="false">IF(IFERROR(INDEX(tsk_Name,GanttView[[#This Row],[_Row]])="",TRUE()),0,N(INDEX(tsk_Deadline,GanttView[[#This Row],[_Row]])))</f>
        <v>0</v>
      </c>
      <c r="U183" s="123" t="b">
        <f aca="false">IF(IFERROR(INDEX(tsk_Name,GanttView[[#This Row],[_Row]])="",TRUE()),FALSE(),INDEX(tsk_Critical,GanttView[[#This Row],[_Row]])="Yes")</f>
        <v>0</v>
      </c>
    </row>
    <row r="184" customFormat="false" ht="15" hidden="false" customHeight="false" outlineLevel="0" collapsed="false">
      <c r="A184" s="117" t="str">
        <f aca="false">IF(IFERROR(INDEX(tsk_Name,GanttView[[#This Row],[_Row]])="",TRUE()),"",INDEX(tsk_ID,GanttView[[#This Row],[_Row]]))</f>
        <v/>
      </c>
      <c r="B184" s="117" t="str">
        <f aca="false">IF(IFERROR(INDEX(tsk_Name,GanttView[[#This Row],[_Row]])="",TRUE()),"",INDEX(tsk_WBS,GanttView[[#This Row],[_Row]]))</f>
        <v/>
      </c>
      <c r="C184" s="118" t="str">
        <f aca="false">IF(IFERROR(INDEX(tsk_Name,GanttView[[#This Row],[_Row]])="",TRUE()),"",REPT("    ",INDEX(tsk_Level,GanttView[[#This Row],[_Row]])-1)&amp;INDEX(tsk_Name,GanttView[[#This Row],[_Row]]))</f>
        <v/>
      </c>
      <c r="D184" s="117" t="str">
        <f aca="false">IF(IFERROR(INDEX(tsk_Name,GanttView[[#This Row],[_Row]])="",TRUE()),"",IF(INDEX(tsk_IsSummary,GanttView[[#This Row],[_Row]]),NETWORKDAYS.INTL(INDEX(tsk_FcStart,GanttView[[#This Row],[_Row]]),INDEX(tsk_FcFinish,GanttView[[#This Row],[_Row]]),WorkWeek,Holidays),N(INDEX(tsk_Duration,GanttView[[#This Row],[_Row]]))))</f>
        <v/>
      </c>
      <c r="E184" s="119" t="str">
        <f aca="false">IF(IFERROR(INDEX(tsk_Name,GanttView[[#This Row],[_Row]])="",TRUE()),"",INDEX(tsk_PlanStart,GanttView[[#This Row],[_Row]]))</f>
        <v/>
      </c>
      <c r="F184" s="119" t="str">
        <f aca="false">IF(IFERROR(INDEX(tsk_Name,GanttView[[#This Row],[_Row]])="",TRUE()),"",INDEX(tsk_PlanFinish,GanttView[[#This Row],[_Row]]))</f>
        <v/>
      </c>
      <c r="G184" s="119" t="str">
        <f aca="false">IF(IFERROR(INDEX(tsk_Name,GanttView[[#This Row],[_Row]])="",TRUE()),"",INDEX(tsk_FcStart,GanttView[[#This Row],[_Row]]))</f>
        <v/>
      </c>
      <c r="H184" s="119" t="str">
        <f aca="false">IF(IFERROR(INDEX(tsk_Name,GanttView[[#This Row],[_Row]])="",TRUE()),"",INDEX(tsk_FcFinish,GanttView[[#This Row],[_Row]]))</f>
        <v/>
      </c>
      <c r="I184" s="120" t="str">
        <f aca="false">IF(IFERROR(INDEX(tsk_Name,GanttView[[#This Row],[_Row]])="",TRUE()),"",INDEX(tsk_Progress,GanttView[[#This Row],[_Row]]))</f>
        <v/>
      </c>
      <c r="J184" s="118" t="str">
        <f aca="false">IF(IFERROR(INDEX(tsk_Name,GanttView[[#This Row],[_Row]])="",TRUE()),"",INDEX(tsk_Resource,GanttView[[#This Row],[_Row]])&amp;"")</f>
        <v/>
      </c>
      <c r="K184" s="121" t="str">
        <f aca="false">IF(IFERROR(INDEX(tsk_Name,GanttView[[#This Row],[_Row]])="",TRUE()),"",INDEX(tsk_Status,GanttView[[#This Row],[_Row]]))</f>
        <v/>
      </c>
      <c r="L184" s="122" t="n">
        <f aca="false">ROW()-ROW(GanttView[[#Headers],[ID]])</f>
        <v>179</v>
      </c>
      <c r="M184" s="123" t="b">
        <f aca="false">IF(IFERROR(INDEX(tsk_Name,GanttView[[#This Row],[_Row]])="",TRUE()),FALSE(),INDEX(tsk_IsSummary,GanttView[[#This Row],[_Row]]))</f>
        <v>0</v>
      </c>
      <c r="N184" s="123" t="b">
        <f aca="false">IF(IFERROR(INDEX(tsk_Name,GanttView[[#This Row],[_Row]])="",TRUE()),FALSE(),AND(INDEX(tsk_IsLeaf,GanttView[[#This Row],[_Row]])=1,N(INDEX(tsk_Duration,GanttView[[#This Row],[_Row]]))=0))</f>
        <v>0</v>
      </c>
      <c r="O184" s="124" t="n">
        <f aca="false">IF(IFERROR(INDEX(tsk_Name,GanttView[[#This Row],[_Row]])="",TRUE()),0,IF(AND(INDEX(tsk_IsLeaf,GanttView[[#This Row],[_Row]])=1,NOT(GanttView[[#This Row],[_IsMilestone]]),N(GanttView[[#This Row],[%]])&gt;0),GanttView[[#This Row],[Forecast Start]],0))</f>
        <v>0</v>
      </c>
      <c r="P184" s="124" t="n">
        <f aca="false">IF(GanttView[[#This Row],[_DoneFrom]]=0,0,IF(GanttView[[#This Row],[%]]&gt;=1,GanttView[[#This Row],[Forecast Finish]],MAX(GanttView[[#This Row],[_DoneFrom]],GanttView[[#This Row],[Forecast Start]]+ROUND((GanttView[[#This Row],[Forecast Finish]]-GanttView[[#This Row],[Forecast Start]]+1)*GanttView[[#This Row],[%]],0)-1)))</f>
        <v>0</v>
      </c>
      <c r="Q184" s="124" t="n">
        <f aca="false">IF(IFERROR(INDEX(tsk_Name,GanttView[[#This Row],[_Row]])="",TRUE()),0,IF(OR(INDEX(tsk_IsLeaf,GanttView[[#This Row],[_Row]])&lt;&gt;1,GanttView[[#This Row],[_IsMilestone]],N(GanttView[[#This Row],[%]])&gt;=1),0,IF(GanttView[[#This Row],[_DoneTo]]&gt;0,GanttView[[#This Row],[_DoneTo]]+1,GanttView[[#This Row],[Forecast Start]])))</f>
        <v>0</v>
      </c>
      <c r="R184" s="124" t="n">
        <f aca="false">IF(GanttView[[#This Row],[_RemFrom]]=0,0,GanttView[[#This Row],[Forecast Finish]])</f>
        <v>0</v>
      </c>
      <c r="S184" s="123" t="b">
        <f aca="false">IF(IFERROR(INDEX(tsk_Name,GanttView[[#This Row],[_Row]])="",TRUE()),FALSE(),N(INDEX(tsk_Variance,GanttView[[#This Row],[_Row]]))&gt;0)</f>
        <v>0</v>
      </c>
      <c r="T184" s="124" t="n">
        <f aca="false">IF(IFERROR(INDEX(tsk_Name,GanttView[[#This Row],[_Row]])="",TRUE()),0,N(INDEX(tsk_Deadline,GanttView[[#This Row],[_Row]])))</f>
        <v>0</v>
      </c>
      <c r="U184" s="123" t="b">
        <f aca="false">IF(IFERROR(INDEX(tsk_Name,GanttView[[#This Row],[_Row]])="",TRUE()),FALSE(),INDEX(tsk_Critical,GanttView[[#This Row],[_Row]])="Yes")</f>
        <v>0</v>
      </c>
    </row>
    <row r="185" customFormat="false" ht="15" hidden="false" customHeight="false" outlineLevel="0" collapsed="false">
      <c r="A185" s="117" t="str">
        <f aca="false">IF(IFERROR(INDEX(tsk_Name,GanttView[[#This Row],[_Row]])="",TRUE()),"",INDEX(tsk_ID,GanttView[[#This Row],[_Row]]))</f>
        <v/>
      </c>
      <c r="B185" s="117" t="str">
        <f aca="false">IF(IFERROR(INDEX(tsk_Name,GanttView[[#This Row],[_Row]])="",TRUE()),"",INDEX(tsk_WBS,GanttView[[#This Row],[_Row]]))</f>
        <v/>
      </c>
      <c r="C185" s="118" t="str">
        <f aca="false">IF(IFERROR(INDEX(tsk_Name,GanttView[[#This Row],[_Row]])="",TRUE()),"",REPT("    ",INDEX(tsk_Level,GanttView[[#This Row],[_Row]])-1)&amp;INDEX(tsk_Name,GanttView[[#This Row],[_Row]]))</f>
        <v/>
      </c>
      <c r="D185" s="117" t="str">
        <f aca="false">IF(IFERROR(INDEX(tsk_Name,GanttView[[#This Row],[_Row]])="",TRUE()),"",IF(INDEX(tsk_IsSummary,GanttView[[#This Row],[_Row]]),NETWORKDAYS.INTL(INDEX(tsk_FcStart,GanttView[[#This Row],[_Row]]),INDEX(tsk_FcFinish,GanttView[[#This Row],[_Row]]),WorkWeek,Holidays),N(INDEX(tsk_Duration,GanttView[[#This Row],[_Row]]))))</f>
        <v/>
      </c>
      <c r="E185" s="119" t="str">
        <f aca="false">IF(IFERROR(INDEX(tsk_Name,GanttView[[#This Row],[_Row]])="",TRUE()),"",INDEX(tsk_PlanStart,GanttView[[#This Row],[_Row]]))</f>
        <v/>
      </c>
      <c r="F185" s="119" t="str">
        <f aca="false">IF(IFERROR(INDEX(tsk_Name,GanttView[[#This Row],[_Row]])="",TRUE()),"",INDEX(tsk_PlanFinish,GanttView[[#This Row],[_Row]]))</f>
        <v/>
      </c>
      <c r="G185" s="119" t="str">
        <f aca="false">IF(IFERROR(INDEX(tsk_Name,GanttView[[#This Row],[_Row]])="",TRUE()),"",INDEX(tsk_FcStart,GanttView[[#This Row],[_Row]]))</f>
        <v/>
      </c>
      <c r="H185" s="119" t="str">
        <f aca="false">IF(IFERROR(INDEX(tsk_Name,GanttView[[#This Row],[_Row]])="",TRUE()),"",INDEX(tsk_FcFinish,GanttView[[#This Row],[_Row]]))</f>
        <v/>
      </c>
      <c r="I185" s="120" t="str">
        <f aca="false">IF(IFERROR(INDEX(tsk_Name,GanttView[[#This Row],[_Row]])="",TRUE()),"",INDEX(tsk_Progress,GanttView[[#This Row],[_Row]]))</f>
        <v/>
      </c>
      <c r="J185" s="118" t="str">
        <f aca="false">IF(IFERROR(INDEX(tsk_Name,GanttView[[#This Row],[_Row]])="",TRUE()),"",INDEX(tsk_Resource,GanttView[[#This Row],[_Row]])&amp;"")</f>
        <v/>
      </c>
      <c r="K185" s="121" t="str">
        <f aca="false">IF(IFERROR(INDEX(tsk_Name,GanttView[[#This Row],[_Row]])="",TRUE()),"",INDEX(tsk_Status,GanttView[[#This Row],[_Row]]))</f>
        <v/>
      </c>
      <c r="L185" s="122" t="n">
        <f aca="false">ROW()-ROW(GanttView[[#Headers],[ID]])</f>
        <v>180</v>
      </c>
      <c r="M185" s="123" t="b">
        <f aca="false">IF(IFERROR(INDEX(tsk_Name,GanttView[[#This Row],[_Row]])="",TRUE()),FALSE(),INDEX(tsk_IsSummary,GanttView[[#This Row],[_Row]]))</f>
        <v>0</v>
      </c>
      <c r="N185" s="123" t="b">
        <f aca="false">IF(IFERROR(INDEX(tsk_Name,GanttView[[#This Row],[_Row]])="",TRUE()),FALSE(),AND(INDEX(tsk_IsLeaf,GanttView[[#This Row],[_Row]])=1,N(INDEX(tsk_Duration,GanttView[[#This Row],[_Row]]))=0))</f>
        <v>0</v>
      </c>
      <c r="O185" s="124" t="n">
        <f aca="false">IF(IFERROR(INDEX(tsk_Name,GanttView[[#This Row],[_Row]])="",TRUE()),0,IF(AND(INDEX(tsk_IsLeaf,GanttView[[#This Row],[_Row]])=1,NOT(GanttView[[#This Row],[_IsMilestone]]),N(GanttView[[#This Row],[%]])&gt;0),GanttView[[#This Row],[Forecast Start]],0))</f>
        <v>0</v>
      </c>
      <c r="P185" s="124" t="n">
        <f aca="false">IF(GanttView[[#This Row],[_DoneFrom]]=0,0,IF(GanttView[[#This Row],[%]]&gt;=1,GanttView[[#This Row],[Forecast Finish]],MAX(GanttView[[#This Row],[_DoneFrom]],GanttView[[#This Row],[Forecast Start]]+ROUND((GanttView[[#This Row],[Forecast Finish]]-GanttView[[#This Row],[Forecast Start]]+1)*GanttView[[#This Row],[%]],0)-1)))</f>
        <v>0</v>
      </c>
      <c r="Q185" s="124" t="n">
        <f aca="false">IF(IFERROR(INDEX(tsk_Name,GanttView[[#This Row],[_Row]])="",TRUE()),0,IF(OR(INDEX(tsk_IsLeaf,GanttView[[#This Row],[_Row]])&lt;&gt;1,GanttView[[#This Row],[_IsMilestone]],N(GanttView[[#This Row],[%]])&gt;=1),0,IF(GanttView[[#This Row],[_DoneTo]]&gt;0,GanttView[[#This Row],[_DoneTo]]+1,GanttView[[#This Row],[Forecast Start]])))</f>
        <v>0</v>
      </c>
      <c r="R185" s="124" t="n">
        <f aca="false">IF(GanttView[[#This Row],[_RemFrom]]=0,0,GanttView[[#This Row],[Forecast Finish]])</f>
        <v>0</v>
      </c>
      <c r="S185" s="123" t="b">
        <f aca="false">IF(IFERROR(INDEX(tsk_Name,GanttView[[#This Row],[_Row]])="",TRUE()),FALSE(),N(INDEX(tsk_Variance,GanttView[[#This Row],[_Row]]))&gt;0)</f>
        <v>0</v>
      </c>
      <c r="T185" s="124" t="n">
        <f aca="false">IF(IFERROR(INDEX(tsk_Name,GanttView[[#This Row],[_Row]])="",TRUE()),0,N(INDEX(tsk_Deadline,GanttView[[#This Row],[_Row]])))</f>
        <v>0</v>
      </c>
      <c r="U185" s="123" t="b">
        <f aca="false">IF(IFERROR(INDEX(tsk_Name,GanttView[[#This Row],[_Row]])="",TRUE()),FALSE(),INDEX(tsk_Critical,GanttView[[#This Row],[_Row]])="Yes")</f>
        <v>0</v>
      </c>
    </row>
    <row r="186" customFormat="false" ht="15" hidden="false" customHeight="false" outlineLevel="0" collapsed="false">
      <c r="A186" s="117" t="str">
        <f aca="false">IF(IFERROR(INDEX(tsk_Name,GanttView[[#This Row],[_Row]])="",TRUE()),"",INDEX(tsk_ID,GanttView[[#This Row],[_Row]]))</f>
        <v/>
      </c>
      <c r="B186" s="117" t="str">
        <f aca="false">IF(IFERROR(INDEX(tsk_Name,GanttView[[#This Row],[_Row]])="",TRUE()),"",INDEX(tsk_WBS,GanttView[[#This Row],[_Row]]))</f>
        <v/>
      </c>
      <c r="C186" s="118" t="str">
        <f aca="false">IF(IFERROR(INDEX(tsk_Name,GanttView[[#This Row],[_Row]])="",TRUE()),"",REPT("    ",INDEX(tsk_Level,GanttView[[#This Row],[_Row]])-1)&amp;INDEX(tsk_Name,GanttView[[#This Row],[_Row]]))</f>
        <v/>
      </c>
      <c r="D186" s="117" t="str">
        <f aca="false">IF(IFERROR(INDEX(tsk_Name,GanttView[[#This Row],[_Row]])="",TRUE()),"",IF(INDEX(tsk_IsSummary,GanttView[[#This Row],[_Row]]),NETWORKDAYS.INTL(INDEX(tsk_FcStart,GanttView[[#This Row],[_Row]]),INDEX(tsk_FcFinish,GanttView[[#This Row],[_Row]]),WorkWeek,Holidays),N(INDEX(tsk_Duration,GanttView[[#This Row],[_Row]]))))</f>
        <v/>
      </c>
      <c r="E186" s="119" t="str">
        <f aca="false">IF(IFERROR(INDEX(tsk_Name,GanttView[[#This Row],[_Row]])="",TRUE()),"",INDEX(tsk_PlanStart,GanttView[[#This Row],[_Row]]))</f>
        <v/>
      </c>
      <c r="F186" s="119" t="str">
        <f aca="false">IF(IFERROR(INDEX(tsk_Name,GanttView[[#This Row],[_Row]])="",TRUE()),"",INDEX(tsk_PlanFinish,GanttView[[#This Row],[_Row]]))</f>
        <v/>
      </c>
      <c r="G186" s="119" t="str">
        <f aca="false">IF(IFERROR(INDEX(tsk_Name,GanttView[[#This Row],[_Row]])="",TRUE()),"",INDEX(tsk_FcStart,GanttView[[#This Row],[_Row]]))</f>
        <v/>
      </c>
      <c r="H186" s="119" t="str">
        <f aca="false">IF(IFERROR(INDEX(tsk_Name,GanttView[[#This Row],[_Row]])="",TRUE()),"",INDEX(tsk_FcFinish,GanttView[[#This Row],[_Row]]))</f>
        <v/>
      </c>
      <c r="I186" s="120" t="str">
        <f aca="false">IF(IFERROR(INDEX(tsk_Name,GanttView[[#This Row],[_Row]])="",TRUE()),"",INDEX(tsk_Progress,GanttView[[#This Row],[_Row]]))</f>
        <v/>
      </c>
      <c r="J186" s="118" t="str">
        <f aca="false">IF(IFERROR(INDEX(tsk_Name,GanttView[[#This Row],[_Row]])="",TRUE()),"",INDEX(tsk_Resource,GanttView[[#This Row],[_Row]])&amp;"")</f>
        <v/>
      </c>
      <c r="K186" s="121" t="str">
        <f aca="false">IF(IFERROR(INDEX(tsk_Name,GanttView[[#This Row],[_Row]])="",TRUE()),"",INDEX(tsk_Status,GanttView[[#This Row],[_Row]]))</f>
        <v/>
      </c>
      <c r="L186" s="122" t="n">
        <f aca="false">ROW()-ROW(GanttView[[#Headers],[ID]])</f>
        <v>181</v>
      </c>
      <c r="M186" s="123" t="b">
        <f aca="false">IF(IFERROR(INDEX(tsk_Name,GanttView[[#This Row],[_Row]])="",TRUE()),FALSE(),INDEX(tsk_IsSummary,GanttView[[#This Row],[_Row]]))</f>
        <v>0</v>
      </c>
      <c r="N186" s="123" t="b">
        <f aca="false">IF(IFERROR(INDEX(tsk_Name,GanttView[[#This Row],[_Row]])="",TRUE()),FALSE(),AND(INDEX(tsk_IsLeaf,GanttView[[#This Row],[_Row]])=1,N(INDEX(tsk_Duration,GanttView[[#This Row],[_Row]]))=0))</f>
        <v>0</v>
      </c>
      <c r="O186" s="124" t="n">
        <f aca="false">IF(IFERROR(INDEX(tsk_Name,GanttView[[#This Row],[_Row]])="",TRUE()),0,IF(AND(INDEX(tsk_IsLeaf,GanttView[[#This Row],[_Row]])=1,NOT(GanttView[[#This Row],[_IsMilestone]]),N(GanttView[[#This Row],[%]])&gt;0),GanttView[[#This Row],[Forecast Start]],0))</f>
        <v>0</v>
      </c>
      <c r="P186" s="124" t="n">
        <f aca="false">IF(GanttView[[#This Row],[_DoneFrom]]=0,0,IF(GanttView[[#This Row],[%]]&gt;=1,GanttView[[#This Row],[Forecast Finish]],MAX(GanttView[[#This Row],[_DoneFrom]],GanttView[[#This Row],[Forecast Start]]+ROUND((GanttView[[#This Row],[Forecast Finish]]-GanttView[[#This Row],[Forecast Start]]+1)*GanttView[[#This Row],[%]],0)-1)))</f>
        <v>0</v>
      </c>
      <c r="Q186" s="124" t="n">
        <f aca="false">IF(IFERROR(INDEX(tsk_Name,GanttView[[#This Row],[_Row]])="",TRUE()),0,IF(OR(INDEX(tsk_IsLeaf,GanttView[[#This Row],[_Row]])&lt;&gt;1,GanttView[[#This Row],[_IsMilestone]],N(GanttView[[#This Row],[%]])&gt;=1),0,IF(GanttView[[#This Row],[_DoneTo]]&gt;0,GanttView[[#This Row],[_DoneTo]]+1,GanttView[[#This Row],[Forecast Start]])))</f>
        <v>0</v>
      </c>
      <c r="R186" s="124" t="n">
        <f aca="false">IF(GanttView[[#This Row],[_RemFrom]]=0,0,GanttView[[#This Row],[Forecast Finish]])</f>
        <v>0</v>
      </c>
      <c r="S186" s="123" t="b">
        <f aca="false">IF(IFERROR(INDEX(tsk_Name,GanttView[[#This Row],[_Row]])="",TRUE()),FALSE(),N(INDEX(tsk_Variance,GanttView[[#This Row],[_Row]]))&gt;0)</f>
        <v>0</v>
      </c>
      <c r="T186" s="124" t="n">
        <f aca="false">IF(IFERROR(INDEX(tsk_Name,GanttView[[#This Row],[_Row]])="",TRUE()),0,N(INDEX(tsk_Deadline,GanttView[[#This Row],[_Row]])))</f>
        <v>0</v>
      </c>
      <c r="U186" s="123" t="b">
        <f aca="false">IF(IFERROR(INDEX(tsk_Name,GanttView[[#This Row],[_Row]])="",TRUE()),FALSE(),INDEX(tsk_Critical,GanttView[[#This Row],[_Row]])="Yes")</f>
        <v>0</v>
      </c>
    </row>
    <row r="187" customFormat="false" ht="15" hidden="false" customHeight="false" outlineLevel="0" collapsed="false">
      <c r="A187" s="117" t="str">
        <f aca="false">IF(IFERROR(INDEX(tsk_Name,GanttView[[#This Row],[_Row]])="",TRUE()),"",INDEX(tsk_ID,GanttView[[#This Row],[_Row]]))</f>
        <v/>
      </c>
      <c r="B187" s="117" t="str">
        <f aca="false">IF(IFERROR(INDEX(tsk_Name,GanttView[[#This Row],[_Row]])="",TRUE()),"",INDEX(tsk_WBS,GanttView[[#This Row],[_Row]]))</f>
        <v/>
      </c>
      <c r="C187" s="118" t="str">
        <f aca="false">IF(IFERROR(INDEX(tsk_Name,GanttView[[#This Row],[_Row]])="",TRUE()),"",REPT("    ",INDEX(tsk_Level,GanttView[[#This Row],[_Row]])-1)&amp;INDEX(tsk_Name,GanttView[[#This Row],[_Row]]))</f>
        <v/>
      </c>
      <c r="D187" s="117" t="str">
        <f aca="false">IF(IFERROR(INDEX(tsk_Name,GanttView[[#This Row],[_Row]])="",TRUE()),"",IF(INDEX(tsk_IsSummary,GanttView[[#This Row],[_Row]]),NETWORKDAYS.INTL(INDEX(tsk_FcStart,GanttView[[#This Row],[_Row]]),INDEX(tsk_FcFinish,GanttView[[#This Row],[_Row]]),WorkWeek,Holidays),N(INDEX(tsk_Duration,GanttView[[#This Row],[_Row]]))))</f>
        <v/>
      </c>
      <c r="E187" s="119" t="str">
        <f aca="false">IF(IFERROR(INDEX(tsk_Name,GanttView[[#This Row],[_Row]])="",TRUE()),"",INDEX(tsk_PlanStart,GanttView[[#This Row],[_Row]]))</f>
        <v/>
      </c>
      <c r="F187" s="119" t="str">
        <f aca="false">IF(IFERROR(INDEX(tsk_Name,GanttView[[#This Row],[_Row]])="",TRUE()),"",INDEX(tsk_PlanFinish,GanttView[[#This Row],[_Row]]))</f>
        <v/>
      </c>
      <c r="G187" s="119" t="str">
        <f aca="false">IF(IFERROR(INDEX(tsk_Name,GanttView[[#This Row],[_Row]])="",TRUE()),"",INDEX(tsk_FcStart,GanttView[[#This Row],[_Row]]))</f>
        <v/>
      </c>
      <c r="H187" s="119" t="str">
        <f aca="false">IF(IFERROR(INDEX(tsk_Name,GanttView[[#This Row],[_Row]])="",TRUE()),"",INDEX(tsk_FcFinish,GanttView[[#This Row],[_Row]]))</f>
        <v/>
      </c>
      <c r="I187" s="120" t="str">
        <f aca="false">IF(IFERROR(INDEX(tsk_Name,GanttView[[#This Row],[_Row]])="",TRUE()),"",INDEX(tsk_Progress,GanttView[[#This Row],[_Row]]))</f>
        <v/>
      </c>
      <c r="J187" s="118" t="str">
        <f aca="false">IF(IFERROR(INDEX(tsk_Name,GanttView[[#This Row],[_Row]])="",TRUE()),"",INDEX(tsk_Resource,GanttView[[#This Row],[_Row]])&amp;"")</f>
        <v/>
      </c>
      <c r="K187" s="121" t="str">
        <f aca="false">IF(IFERROR(INDEX(tsk_Name,GanttView[[#This Row],[_Row]])="",TRUE()),"",INDEX(tsk_Status,GanttView[[#This Row],[_Row]]))</f>
        <v/>
      </c>
      <c r="L187" s="122" t="n">
        <f aca="false">ROW()-ROW(GanttView[[#Headers],[ID]])</f>
        <v>182</v>
      </c>
      <c r="M187" s="123" t="b">
        <f aca="false">IF(IFERROR(INDEX(tsk_Name,GanttView[[#This Row],[_Row]])="",TRUE()),FALSE(),INDEX(tsk_IsSummary,GanttView[[#This Row],[_Row]]))</f>
        <v>0</v>
      </c>
      <c r="N187" s="123" t="b">
        <f aca="false">IF(IFERROR(INDEX(tsk_Name,GanttView[[#This Row],[_Row]])="",TRUE()),FALSE(),AND(INDEX(tsk_IsLeaf,GanttView[[#This Row],[_Row]])=1,N(INDEX(tsk_Duration,GanttView[[#This Row],[_Row]]))=0))</f>
        <v>0</v>
      </c>
      <c r="O187" s="124" t="n">
        <f aca="false">IF(IFERROR(INDEX(tsk_Name,GanttView[[#This Row],[_Row]])="",TRUE()),0,IF(AND(INDEX(tsk_IsLeaf,GanttView[[#This Row],[_Row]])=1,NOT(GanttView[[#This Row],[_IsMilestone]]),N(GanttView[[#This Row],[%]])&gt;0),GanttView[[#This Row],[Forecast Start]],0))</f>
        <v>0</v>
      </c>
      <c r="P187" s="124" t="n">
        <f aca="false">IF(GanttView[[#This Row],[_DoneFrom]]=0,0,IF(GanttView[[#This Row],[%]]&gt;=1,GanttView[[#This Row],[Forecast Finish]],MAX(GanttView[[#This Row],[_DoneFrom]],GanttView[[#This Row],[Forecast Start]]+ROUND((GanttView[[#This Row],[Forecast Finish]]-GanttView[[#This Row],[Forecast Start]]+1)*GanttView[[#This Row],[%]],0)-1)))</f>
        <v>0</v>
      </c>
      <c r="Q187" s="124" t="n">
        <f aca="false">IF(IFERROR(INDEX(tsk_Name,GanttView[[#This Row],[_Row]])="",TRUE()),0,IF(OR(INDEX(tsk_IsLeaf,GanttView[[#This Row],[_Row]])&lt;&gt;1,GanttView[[#This Row],[_IsMilestone]],N(GanttView[[#This Row],[%]])&gt;=1),0,IF(GanttView[[#This Row],[_DoneTo]]&gt;0,GanttView[[#This Row],[_DoneTo]]+1,GanttView[[#This Row],[Forecast Start]])))</f>
        <v>0</v>
      </c>
      <c r="R187" s="124" t="n">
        <f aca="false">IF(GanttView[[#This Row],[_RemFrom]]=0,0,GanttView[[#This Row],[Forecast Finish]])</f>
        <v>0</v>
      </c>
      <c r="S187" s="123" t="b">
        <f aca="false">IF(IFERROR(INDEX(tsk_Name,GanttView[[#This Row],[_Row]])="",TRUE()),FALSE(),N(INDEX(tsk_Variance,GanttView[[#This Row],[_Row]]))&gt;0)</f>
        <v>0</v>
      </c>
      <c r="T187" s="124" t="n">
        <f aca="false">IF(IFERROR(INDEX(tsk_Name,GanttView[[#This Row],[_Row]])="",TRUE()),0,N(INDEX(tsk_Deadline,GanttView[[#This Row],[_Row]])))</f>
        <v>0</v>
      </c>
      <c r="U187" s="123" t="b">
        <f aca="false">IF(IFERROR(INDEX(tsk_Name,GanttView[[#This Row],[_Row]])="",TRUE()),FALSE(),INDEX(tsk_Critical,GanttView[[#This Row],[_Row]])="Yes")</f>
        <v>0</v>
      </c>
    </row>
    <row r="188" customFormat="false" ht="15" hidden="false" customHeight="false" outlineLevel="0" collapsed="false">
      <c r="A188" s="117" t="str">
        <f aca="false">IF(IFERROR(INDEX(tsk_Name,GanttView[[#This Row],[_Row]])="",TRUE()),"",INDEX(tsk_ID,GanttView[[#This Row],[_Row]]))</f>
        <v/>
      </c>
      <c r="B188" s="117" t="str">
        <f aca="false">IF(IFERROR(INDEX(tsk_Name,GanttView[[#This Row],[_Row]])="",TRUE()),"",INDEX(tsk_WBS,GanttView[[#This Row],[_Row]]))</f>
        <v/>
      </c>
      <c r="C188" s="118" t="str">
        <f aca="false">IF(IFERROR(INDEX(tsk_Name,GanttView[[#This Row],[_Row]])="",TRUE()),"",REPT("    ",INDEX(tsk_Level,GanttView[[#This Row],[_Row]])-1)&amp;INDEX(tsk_Name,GanttView[[#This Row],[_Row]]))</f>
        <v/>
      </c>
      <c r="D188" s="117" t="str">
        <f aca="false">IF(IFERROR(INDEX(tsk_Name,GanttView[[#This Row],[_Row]])="",TRUE()),"",IF(INDEX(tsk_IsSummary,GanttView[[#This Row],[_Row]]),NETWORKDAYS.INTL(INDEX(tsk_FcStart,GanttView[[#This Row],[_Row]]),INDEX(tsk_FcFinish,GanttView[[#This Row],[_Row]]),WorkWeek,Holidays),N(INDEX(tsk_Duration,GanttView[[#This Row],[_Row]]))))</f>
        <v/>
      </c>
      <c r="E188" s="119" t="str">
        <f aca="false">IF(IFERROR(INDEX(tsk_Name,GanttView[[#This Row],[_Row]])="",TRUE()),"",INDEX(tsk_PlanStart,GanttView[[#This Row],[_Row]]))</f>
        <v/>
      </c>
      <c r="F188" s="119" t="str">
        <f aca="false">IF(IFERROR(INDEX(tsk_Name,GanttView[[#This Row],[_Row]])="",TRUE()),"",INDEX(tsk_PlanFinish,GanttView[[#This Row],[_Row]]))</f>
        <v/>
      </c>
      <c r="G188" s="119" t="str">
        <f aca="false">IF(IFERROR(INDEX(tsk_Name,GanttView[[#This Row],[_Row]])="",TRUE()),"",INDEX(tsk_FcStart,GanttView[[#This Row],[_Row]]))</f>
        <v/>
      </c>
      <c r="H188" s="119" t="str">
        <f aca="false">IF(IFERROR(INDEX(tsk_Name,GanttView[[#This Row],[_Row]])="",TRUE()),"",INDEX(tsk_FcFinish,GanttView[[#This Row],[_Row]]))</f>
        <v/>
      </c>
      <c r="I188" s="120" t="str">
        <f aca="false">IF(IFERROR(INDEX(tsk_Name,GanttView[[#This Row],[_Row]])="",TRUE()),"",INDEX(tsk_Progress,GanttView[[#This Row],[_Row]]))</f>
        <v/>
      </c>
      <c r="J188" s="118" t="str">
        <f aca="false">IF(IFERROR(INDEX(tsk_Name,GanttView[[#This Row],[_Row]])="",TRUE()),"",INDEX(tsk_Resource,GanttView[[#This Row],[_Row]])&amp;"")</f>
        <v/>
      </c>
      <c r="K188" s="121" t="str">
        <f aca="false">IF(IFERROR(INDEX(tsk_Name,GanttView[[#This Row],[_Row]])="",TRUE()),"",INDEX(tsk_Status,GanttView[[#This Row],[_Row]]))</f>
        <v/>
      </c>
      <c r="L188" s="122" t="n">
        <f aca="false">ROW()-ROW(GanttView[[#Headers],[ID]])</f>
        <v>183</v>
      </c>
      <c r="M188" s="123" t="b">
        <f aca="false">IF(IFERROR(INDEX(tsk_Name,GanttView[[#This Row],[_Row]])="",TRUE()),FALSE(),INDEX(tsk_IsSummary,GanttView[[#This Row],[_Row]]))</f>
        <v>0</v>
      </c>
      <c r="N188" s="123" t="b">
        <f aca="false">IF(IFERROR(INDEX(tsk_Name,GanttView[[#This Row],[_Row]])="",TRUE()),FALSE(),AND(INDEX(tsk_IsLeaf,GanttView[[#This Row],[_Row]])=1,N(INDEX(tsk_Duration,GanttView[[#This Row],[_Row]]))=0))</f>
        <v>0</v>
      </c>
      <c r="O188" s="124" t="n">
        <f aca="false">IF(IFERROR(INDEX(tsk_Name,GanttView[[#This Row],[_Row]])="",TRUE()),0,IF(AND(INDEX(tsk_IsLeaf,GanttView[[#This Row],[_Row]])=1,NOT(GanttView[[#This Row],[_IsMilestone]]),N(GanttView[[#This Row],[%]])&gt;0),GanttView[[#This Row],[Forecast Start]],0))</f>
        <v>0</v>
      </c>
      <c r="P188" s="124" t="n">
        <f aca="false">IF(GanttView[[#This Row],[_DoneFrom]]=0,0,IF(GanttView[[#This Row],[%]]&gt;=1,GanttView[[#This Row],[Forecast Finish]],MAX(GanttView[[#This Row],[_DoneFrom]],GanttView[[#This Row],[Forecast Start]]+ROUND((GanttView[[#This Row],[Forecast Finish]]-GanttView[[#This Row],[Forecast Start]]+1)*GanttView[[#This Row],[%]],0)-1)))</f>
        <v>0</v>
      </c>
      <c r="Q188" s="124" t="n">
        <f aca="false">IF(IFERROR(INDEX(tsk_Name,GanttView[[#This Row],[_Row]])="",TRUE()),0,IF(OR(INDEX(tsk_IsLeaf,GanttView[[#This Row],[_Row]])&lt;&gt;1,GanttView[[#This Row],[_IsMilestone]],N(GanttView[[#This Row],[%]])&gt;=1),0,IF(GanttView[[#This Row],[_DoneTo]]&gt;0,GanttView[[#This Row],[_DoneTo]]+1,GanttView[[#This Row],[Forecast Start]])))</f>
        <v>0</v>
      </c>
      <c r="R188" s="124" t="n">
        <f aca="false">IF(GanttView[[#This Row],[_RemFrom]]=0,0,GanttView[[#This Row],[Forecast Finish]])</f>
        <v>0</v>
      </c>
      <c r="S188" s="123" t="b">
        <f aca="false">IF(IFERROR(INDEX(tsk_Name,GanttView[[#This Row],[_Row]])="",TRUE()),FALSE(),N(INDEX(tsk_Variance,GanttView[[#This Row],[_Row]]))&gt;0)</f>
        <v>0</v>
      </c>
      <c r="T188" s="124" t="n">
        <f aca="false">IF(IFERROR(INDEX(tsk_Name,GanttView[[#This Row],[_Row]])="",TRUE()),0,N(INDEX(tsk_Deadline,GanttView[[#This Row],[_Row]])))</f>
        <v>0</v>
      </c>
      <c r="U188" s="123" t="b">
        <f aca="false">IF(IFERROR(INDEX(tsk_Name,GanttView[[#This Row],[_Row]])="",TRUE()),FALSE(),INDEX(tsk_Critical,GanttView[[#This Row],[_Row]])="Yes")</f>
        <v>0</v>
      </c>
    </row>
    <row r="189" customFormat="false" ht="15" hidden="false" customHeight="false" outlineLevel="0" collapsed="false">
      <c r="A189" s="117" t="str">
        <f aca="false">IF(IFERROR(INDEX(tsk_Name,GanttView[[#This Row],[_Row]])="",TRUE()),"",INDEX(tsk_ID,GanttView[[#This Row],[_Row]]))</f>
        <v/>
      </c>
      <c r="B189" s="117" t="str">
        <f aca="false">IF(IFERROR(INDEX(tsk_Name,GanttView[[#This Row],[_Row]])="",TRUE()),"",INDEX(tsk_WBS,GanttView[[#This Row],[_Row]]))</f>
        <v/>
      </c>
      <c r="C189" s="118" t="str">
        <f aca="false">IF(IFERROR(INDEX(tsk_Name,GanttView[[#This Row],[_Row]])="",TRUE()),"",REPT("    ",INDEX(tsk_Level,GanttView[[#This Row],[_Row]])-1)&amp;INDEX(tsk_Name,GanttView[[#This Row],[_Row]]))</f>
        <v/>
      </c>
      <c r="D189" s="117" t="str">
        <f aca="false">IF(IFERROR(INDEX(tsk_Name,GanttView[[#This Row],[_Row]])="",TRUE()),"",IF(INDEX(tsk_IsSummary,GanttView[[#This Row],[_Row]]),NETWORKDAYS.INTL(INDEX(tsk_FcStart,GanttView[[#This Row],[_Row]]),INDEX(tsk_FcFinish,GanttView[[#This Row],[_Row]]),WorkWeek,Holidays),N(INDEX(tsk_Duration,GanttView[[#This Row],[_Row]]))))</f>
        <v/>
      </c>
      <c r="E189" s="119" t="str">
        <f aca="false">IF(IFERROR(INDEX(tsk_Name,GanttView[[#This Row],[_Row]])="",TRUE()),"",INDEX(tsk_PlanStart,GanttView[[#This Row],[_Row]]))</f>
        <v/>
      </c>
      <c r="F189" s="119" t="str">
        <f aca="false">IF(IFERROR(INDEX(tsk_Name,GanttView[[#This Row],[_Row]])="",TRUE()),"",INDEX(tsk_PlanFinish,GanttView[[#This Row],[_Row]]))</f>
        <v/>
      </c>
      <c r="G189" s="119" t="str">
        <f aca="false">IF(IFERROR(INDEX(tsk_Name,GanttView[[#This Row],[_Row]])="",TRUE()),"",INDEX(tsk_FcStart,GanttView[[#This Row],[_Row]]))</f>
        <v/>
      </c>
      <c r="H189" s="119" t="str">
        <f aca="false">IF(IFERROR(INDEX(tsk_Name,GanttView[[#This Row],[_Row]])="",TRUE()),"",INDEX(tsk_FcFinish,GanttView[[#This Row],[_Row]]))</f>
        <v/>
      </c>
      <c r="I189" s="120" t="str">
        <f aca="false">IF(IFERROR(INDEX(tsk_Name,GanttView[[#This Row],[_Row]])="",TRUE()),"",INDEX(tsk_Progress,GanttView[[#This Row],[_Row]]))</f>
        <v/>
      </c>
      <c r="J189" s="118" t="str">
        <f aca="false">IF(IFERROR(INDEX(tsk_Name,GanttView[[#This Row],[_Row]])="",TRUE()),"",INDEX(tsk_Resource,GanttView[[#This Row],[_Row]])&amp;"")</f>
        <v/>
      </c>
      <c r="K189" s="121" t="str">
        <f aca="false">IF(IFERROR(INDEX(tsk_Name,GanttView[[#This Row],[_Row]])="",TRUE()),"",INDEX(tsk_Status,GanttView[[#This Row],[_Row]]))</f>
        <v/>
      </c>
      <c r="L189" s="122" t="n">
        <f aca="false">ROW()-ROW(GanttView[[#Headers],[ID]])</f>
        <v>184</v>
      </c>
      <c r="M189" s="123" t="b">
        <f aca="false">IF(IFERROR(INDEX(tsk_Name,GanttView[[#This Row],[_Row]])="",TRUE()),FALSE(),INDEX(tsk_IsSummary,GanttView[[#This Row],[_Row]]))</f>
        <v>0</v>
      </c>
      <c r="N189" s="123" t="b">
        <f aca="false">IF(IFERROR(INDEX(tsk_Name,GanttView[[#This Row],[_Row]])="",TRUE()),FALSE(),AND(INDEX(tsk_IsLeaf,GanttView[[#This Row],[_Row]])=1,N(INDEX(tsk_Duration,GanttView[[#This Row],[_Row]]))=0))</f>
        <v>0</v>
      </c>
      <c r="O189" s="124" t="n">
        <f aca="false">IF(IFERROR(INDEX(tsk_Name,GanttView[[#This Row],[_Row]])="",TRUE()),0,IF(AND(INDEX(tsk_IsLeaf,GanttView[[#This Row],[_Row]])=1,NOT(GanttView[[#This Row],[_IsMilestone]]),N(GanttView[[#This Row],[%]])&gt;0),GanttView[[#This Row],[Forecast Start]],0))</f>
        <v>0</v>
      </c>
      <c r="P189" s="124" t="n">
        <f aca="false">IF(GanttView[[#This Row],[_DoneFrom]]=0,0,IF(GanttView[[#This Row],[%]]&gt;=1,GanttView[[#This Row],[Forecast Finish]],MAX(GanttView[[#This Row],[_DoneFrom]],GanttView[[#This Row],[Forecast Start]]+ROUND((GanttView[[#This Row],[Forecast Finish]]-GanttView[[#This Row],[Forecast Start]]+1)*GanttView[[#This Row],[%]],0)-1)))</f>
        <v>0</v>
      </c>
      <c r="Q189" s="124" t="n">
        <f aca="false">IF(IFERROR(INDEX(tsk_Name,GanttView[[#This Row],[_Row]])="",TRUE()),0,IF(OR(INDEX(tsk_IsLeaf,GanttView[[#This Row],[_Row]])&lt;&gt;1,GanttView[[#This Row],[_IsMilestone]],N(GanttView[[#This Row],[%]])&gt;=1),0,IF(GanttView[[#This Row],[_DoneTo]]&gt;0,GanttView[[#This Row],[_DoneTo]]+1,GanttView[[#This Row],[Forecast Start]])))</f>
        <v>0</v>
      </c>
      <c r="R189" s="124" t="n">
        <f aca="false">IF(GanttView[[#This Row],[_RemFrom]]=0,0,GanttView[[#This Row],[Forecast Finish]])</f>
        <v>0</v>
      </c>
      <c r="S189" s="123" t="b">
        <f aca="false">IF(IFERROR(INDEX(tsk_Name,GanttView[[#This Row],[_Row]])="",TRUE()),FALSE(),N(INDEX(tsk_Variance,GanttView[[#This Row],[_Row]]))&gt;0)</f>
        <v>0</v>
      </c>
      <c r="T189" s="124" t="n">
        <f aca="false">IF(IFERROR(INDEX(tsk_Name,GanttView[[#This Row],[_Row]])="",TRUE()),0,N(INDEX(tsk_Deadline,GanttView[[#This Row],[_Row]])))</f>
        <v>0</v>
      </c>
      <c r="U189" s="123" t="b">
        <f aca="false">IF(IFERROR(INDEX(tsk_Name,GanttView[[#This Row],[_Row]])="",TRUE()),FALSE(),INDEX(tsk_Critical,GanttView[[#This Row],[_Row]])="Yes")</f>
        <v>0</v>
      </c>
    </row>
    <row r="190" customFormat="false" ht="15" hidden="false" customHeight="false" outlineLevel="0" collapsed="false">
      <c r="A190" s="117" t="str">
        <f aca="false">IF(IFERROR(INDEX(tsk_Name,GanttView[[#This Row],[_Row]])="",TRUE()),"",INDEX(tsk_ID,GanttView[[#This Row],[_Row]]))</f>
        <v/>
      </c>
      <c r="B190" s="117" t="str">
        <f aca="false">IF(IFERROR(INDEX(tsk_Name,GanttView[[#This Row],[_Row]])="",TRUE()),"",INDEX(tsk_WBS,GanttView[[#This Row],[_Row]]))</f>
        <v/>
      </c>
      <c r="C190" s="118" t="str">
        <f aca="false">IF(IFERROR(INDEX(tsk_Name,GanttView[[#This Row],[_Row]])="",TRUE()),"",REPT("    ",INDEX(tsk_Level,GanttView[[#This Row],[_Row]])-1)&amp;INDEX(tsk_Name,GanttView[[#This Row],[_Row]]))</f>
        <v/>
      </c>
      <c r="D190" s="117" t="str">
        <f aca="false">IF(IFERROR(INDEX(tsk_Name,GanttView[[#This Row],[_Row]])="",TRUE()),"",IF(INDEX(tsk_IsSummary,GanttView[[#This Row],[_Row]]),NETWORKDAYS.INTL(INDEX(tsk_FcStart,GanttView[[#This Row],[_Row]]),INDEX(tsk_FcFinish,GanttView[[#This Row],[_Row]]),WorkWeek,Holidays),N(INDEX(tsk_Duration,GanttView[[#This Row],[_Row]]))))</f>
        <v/>
      </c>
      <c r="E190" s="119" t="str">
        <f aca="false">IF(IFERROR(INDEX(tsk_Name,GanttView[[#This Row],[_Row]])="",TRUE()),"",INDEX(tsk_PlanStart,GanttView[[#This Row],[_Row]]))</f>
        <v/>
      </c>
      <c r="F190" s="119" t="str">
        <f aca="false">IF(IFERROR(INDEX(tsk_Name,GanttView[[#This Row],[_Row]])="",TRUE()),"",INDEX(tsk_PlanFinish,GanttView[[#This Row],[_Row]]))</f>
        <v/>
      </c>
      <c r="G190" s="119" t="str">
        <f aca="false">IF(IFERROR(INDEX(tsk_Name,GanttView[[#This Row],[_Row]])="",TRUE()),"",INDEX(tsk_FcStart,GanttView[[#This Row],[_Row]]))</f>
        <v/>
      </c>
      <c r="H190" s="119" t="str">
        <f aca="false">IF(IFERROR(INDEX(tsk_Name,GanttView[[#This Row],[_Row]])="",TRUE()),"",INDEX(tsk_FcFinish,GanttView[[#This Row],[_Row]]))</f>
        <v/>
      </c>
      <c r="I190" s="120" t="str">
        <f aca="false">IF(IFERROR(INDEX(tsk_Name,GanttView[[#This Row],[_Row]])="",TRUE()),"",INDEX(tsk_Progress,GanttView[[#This Row],[_Row]]))</f>
        <v/>
      </c>
      <c r="J190" s="118" t="str">
        <f aca="false">IF(IFERROR(INDEX(tsk_Name,GanttView[[#This Row],[_Row]])="",TRUE()),"",INDEX(tsk_Resource,GanttView[[#This Row],[_Row]])&amp;"")</f>
        <v/>
      </c>
      <c r="K190" s="121" t="str">
        <f aca="false">IF(IFERROR(INDEX(tsk_Name,GanttView[[#This Row],[_Row]])="",TRUE()),"",INDEX(tsk_Status,GanttView[[#This Row],[_Row]]))</f>
        <v/>
      </c>
      <c r="L190" s="122" t="n">
        <f aca="false">ROW()-ROW(GanttView[[#Headers],[ID]])</f>
        <v>185</v>
      </c>
      <c r="M190" s="123" t="b">
        <f aca="false">IF(IFERROR(INDEX(tsk_Name,GanttView[[#This Row],[_Row]])="",TRUE()),FALSE(),INDEX(tsk_IsSummary,GanttView[[#This Row],[_Row]]))</f>
        <v>0</v>
      </c>
      <c r="N190" s="123" t="b">
        <f aca="false">IF(IFERROR(INDEX(tsk_Name,GanttView[[#This Row],[_Row]])="",TRUE()),FALSE(),AND(INDEX(tsk_IsLeaf,GanttView[[#This Row],[_Row]])=1,N(INDEX(tsk_Duration,GanttView[[#This Row],[_Row]]))=0))</f>
        <v>0</v>
      </c>
      <c r="O190" s="124" t="n">
        <f aca="false">IF(IFERROR(INDEX(tsk_Name,GanttView[[#This Row],[_Row]])="",TRUE()),0,IF(AND(INDEX(tsk_IsLeaf,GanttView[[#This Row],[_Row]])=1,NOT(GanttView[[#This Row],[_IsMilestone]]),N(GanttView[[#This Row],[%]])&gt;0),GanttView[[#This Row],[Forecast Start]],0))</f>
        <v>0</v>
      </c>
      <c r="P190" s="124" t="n">
        <f aca="false">IF(GanttView[[#This Row],[_DoneFrom]]=0,0,IF(GanttView[[#This Row],[%]]&gt;=1,GanttView[[#This Row],[Forecast Finish]],MAX(GanttView[[#This Row],[_DoneFrom]],GanttView[[#This Row],[Forecast Start]]+ROUND((GanttView[[#This Row],[Forecast Finish]]-GanttView[[#This Row],[Forecast Start]]+1)*GanttView[[#This Row],[%]],0)-1)))</f>
        <v>0</v>
      </c>
      <c r="Q190" s="124" t="n">
        <f aca="false">IF(IFERROR(INDEX(tsk_Name,GanttView[[#This Row],[_Row]])="",TRUE()),0,IF(OR(INDEX(tsk_IsLeaf,GanttView[[#This Row],[_Row]])&lt;&gt;1,GanttView[[#This Row],[_IsMilestone]],N(GanttView[[#This Row],[%]])&gt;=1),0,IF(GanttView[[#This Row],[_DoneTo]]&gt;0,GanttView[[#This Row],[_DoneTo]]+1,GanttView[[#This Row],[Forecast Start]])))</f>
        <v>0</v>
      </c>
      <c r="R190" s="124" t="n">
        <f aca="false">IF(GanttView[[#This Row],[_RemFrom]]=0,0,GanttView[[#This Row],[Forecast Finish]])</f>
        <v>0</v>
      </c>
      <c r="S190" s="123" t="b">
        <f aca="false">IF(IFERROR(INDEX(tsk_Name,GanttView[[#This Row],[_Row]])="",TRUE()),FALSE(),N(INDEX(tsk_Variance,GanttView[[#This Row],[_Row]]))&gt;0)</f>
        <v>0</v>
      </c>
      <c r="T190" s="124" t="n">
        <f aca="false">IF(IFERROR(INDEX(tsk_Name,GanttView[[#This Row],[_Row]])="",TRUE()),0,N(INDEX(tsk_Deadline,GanttView[[#This Row],[_Row]])))</f>
        <v>0</v>
      </c>
      <c r="U190" s="123" t="b">
        <f aca="false">IF(IFERROR(INDEX(tsk_Name,GanttView[[#This Row],[_Row]])="",TRUE()),FALSE(),INDEX(tsk_Critical,GanttView[[#This Row],[_Row]])="Yes")</f>
        <v>0</v>
      </c>
    </row>
    <row r="191" customFormat="false" ht="15" hidden="false" customHeight="false" outlineLevel="0" collapsed="false">
      <c r="A191" s="117" t="str">
        <f aca="false">IF(IFERROR(INDEX(tsk_Name,GanttView[[#This Row],[_Row]])="",TRUE()),"",INDEX(tsk_ID,GanttView[[#This Row],[_Row]]))</f>
        <v/>
      </c>
      <c r="B191" s="117" t="str">
        <f aca="false">IF(IFERROR(INDEX(tsk_Name,GanttView[[#This Row],[_Row]])="",TRUE()),"",INDEX(tsk_WBS,GanttView[[#This Row],[_Row]]))</f>
        <v/>
      </c>
      <c r="C191" s="118" t="str">
        <f aca="false">IF(IFERROR(INDEX(tsk_Name,GanttView[[#This Row],[_Row]])="",TRUE()),"",REPT("    ",INDEX(tsk_Level,GanttView[[#This Row],[_Row]])-1)&amp;INDEX(tsk_Name,GanttView[[#This Row],[_Row]]))</f>
        <v/>
      </c>
      <c r="D191" s="117" t="str">
        <f aca="false">IF(IFERROR(INDEX(tsk_Name,GanttView[[#This Row],[_Row]])="",TRUE()),"",IF(INDEX(tsk_IsSummary,GanttView[[#This Row],[_Row]]),NETWORKDAYS.INTL(INDEX(tsk_FcStart,GanttView[[#This Row],[_Row]]),INDEX(tsk_FcFinish,GanttView[[#This Row],[_Row]]),WorkWeek,Holidays),N(INDEX(tsk_Duration,GanttView[[#This Row],[_Row]]))))</f>
        <v/>
      </c>
      <c r="E191" s="119" t="str">
        <f aca="false">IF(IFERROR(INDEX(tsk_Name,GanttView[[#This Row],[_Row]])="",TRUE()),"",INDEX(tsk_PlanStart,GanttView[[#This Row],[_Row]]))</f>
        <v/>
      </c>
      <c r="F191" s="119" t="str">
        <f aca="false">IF(IFERROR(INDEX(tsk_Name,GanttView[[#This Row],[_Row]])="",TRUE()),"",INDEX(tsk_PlanFinish,GanttView[[#This Row],[_Row]]))</f>
        <v/>
      </c>
      <c r="G191" s="119" t="str">
        <f aca="false">IF(IFERROR(INDEX(tsk_Name,GanttView[[#This Row],[_Row]])="",TRUE()),"",INDEX(tsk_FcStart,GanttView[[#This Row],[_Row]]))</f>
        <v/>
      </c>
      <c r="H191" s="119" t="str">
        <f aca="false">IF(IFERROR(INDEX(tsk_Name,GanttView[[#This Row],[_Row]])="",TRUE()),"",INDEX(tsk_FcFinish,GanttView[[#This Row],[_Row]]))</f>
        <v/>
      </c>
      <c r="I191" s="120" t="str">
        <f aca="false">IF(IFERROR(INDEX(tsk_Name,GanttView[[#This Row],[_Row]])="",TRUE()),"",INDEX(tsk_Progress,GanttView[[#This Row],[_Row]]))</f>
        <v/>
      </c>
      <c r="J191" s="118" t="str">
        <f aca="false">IF(IFERROR(INDEX(tsk_Name,GanttView[[#This Row],[_Row]])="",TRUE()),"",INDEX(tsk_Resource,GanttView[[#This Row],[_Row]])&amp;"")</f>
        <v/>
      </c>
      <c r="K191" s="121" t="str">
        <f aca="false">IF(IFERROR(INDEX(tsk_Name,GanttView[[#This Row],[_Row]])="",TRUE()),"",INDEX(tsk_Status,GanttView[[#This Row],[_Row]]))</f>
        <v/>
      </c>
      <c r="L191" s="122" t="n">
        <f aca="false">ROW()-ROW(GanttView[[#Headers],[ID]])</f>
        <v>186</v>
      </c>
      <c r="M191" s="123" t="b">
        <f aca="false">IF(IFERROR(INDEX(tsk_Name,GanttView[[#This Row],[_Row]])="",TRUE()),FALSE(),INDEX(tsk_IsSummary,GanttView[[#This Row],[_Row]]))</f>
        <v>0</v>
      </c>
      <c r="N191" s="123" t="b">
        <f aca="false">IF(IFERROR(INDEX(tsk_Name,GanttView[[#This Row],[_Row]])="",TRUE()),FALSE(),AND(INDEX(tsk_IsLeaf,GanttView[[#This Row],[_Row]])=1,N(INDEX(tsk_Duration,GanttView[[#This Row],[_Row]]))=0))</f>
        <v>0</v>
      </c>
      <c r="O191" s="124" t="n">
        <f aca="false">IF(IFERROR(INDEX(tsk_Name,GanttView[[#This Row],[_Row]])="",TRUE()),0,IF(AND(INDEX(tsk_IsLeaf,GanttView[[#This Row],[_Row]])=1,NOT(GanttView[[#This Row],[_IsMilestone]]),N(GanttView[[#This Row],[%]])&gt;0),GanttView[[#This Row],[Forecast Start]],0))</f>
        <v>0</v>
      </c>
      <c r="P191" s="124" t="n">
        <f aca="false">IF(GanttView[[#This Row],[_DoneFrom]]=0,0,IF(GanttView[[#This Row],[%]]&gt;=1,GanttView[[#This Row],[Forecast Finish]],MAX(GanttView[[#This Row],[_DoneFrom]],GanttView[[#This Row],[Forecast Start]]+ROUND((GanttView[[#This Row],[Forecast Finish]]-GanttView[[#This Row],[Forecast Start]]+1)*GanttView[[#This Row],[%]],0)-1)))</f>
        <v>0</v>
      </c>
      <c r="Q191" s="124" t="n">
        <f aca="false">IF(IFERROR(INDEX(tsk_Name,GanttView[[#This Row],[_Row]])="",TRUE()),0,IF(OR(INDEX(tsk_IsLeaf,GanttView[[#This Row],[_Row]])&lt;&gt;1,GanttView[[#This Row],[_IsMilestone]],N(GanttView[[#This Row],[%]])&gt;=1),0,IF(GanttView[[#This Row],[_DoneTo]]&gt;0,GanttView[[#This Row],[_DoneTo]]+1,GanttView[[#This Row],[Forecast Start]])))</f>
        <v>0</v>
      </c>
      <c r="R191" s="124" t="n">
        <f aca="false">IF(GanttView[[#This Row],[_RemFrom]]=0,0,GanttView[[#This Row],[Forecast Finish]])</f>
        <v>0</v>
      </c>
      <c r="S191" s="123" t="b">
        <f aca="false">IF(IFERROR(INDEX(tsk_Name,GanttView[[#This Row],[_Row]])="",TRUE()),FALSE(),N(INDEX(tsk_Variance,GanttView[[#This Row],[_Row]]))&gt;0)</f>
        <v>0</v>
      </c>
      <c r="T191" s="124" t="n">
        <f aca="false">IF(IFERROR(INDEX(tsk_Name,GanttView[[#This Row],[_Row]])="",TRUE()),0,N(INDEX(tsk_Deadline,GanttView[[#This Row],[_Row]])))</f>
        <v>0</v>
      </c>
      <c r="U191" s="123" t="b">
        <f aca="false">IF(IFERROR(INDEX(tsk_Name,GanttView[[#This Row],[_Row]])="",TRUE()),FALSE(),INDEX(tsk_Critical,GanttView[[#This Row],[_Row]])="Yes")</f>
        <v>0</v>
      </c>
    </row>
    <row r="192" customFormat="false" ht="15" hidden="false" customHeight="false" outlineLevel="0" collapsed="false">
      <c r="A192" s="117" t="str">
        <f aca="false">IF(IFERROR(INDEX(tsk_Name,GanttView[[#This Row],[_Row]])="",TRUE()),"",INDEX(tsk_ID,GanttView[[#This Row],[_Row]]))</f>
        <v/>
      </c>
      <c r="B192" s="117" t="str">
        <f aca="false">IF(IFERROR(INDEX(tsk_Name,GanttView[[#This Row],[_Row]])="",TRUE()),"",INDEX(tsk_WBS,GanttView[[#This Row],[_Row]]))</f>
        <v/>
      </c>
      <c r="C192" s="118" t="str">
        <f aca="false">IF(IFERROR(INDEX(tsk_Name,GanttView[[#This Row],[_Row]])="",TRUE()),"",REPT("    ",INDEX(tsk_Level,GanttView[[#This Row],[_Row]])-1)&amp;INDEX(tsk_Name,GanttView[[#This Row],[_Row]]))</f>
        <v/>
      </c>
      <c r="D192" s="117" t="str">
        <f aca="false">IF(IFERROR(INDEX(tsk_Name,GanttView[[#This Row],[_Row]])="",TRUE()),"",IF(INDEX(tsk_IsSummary,GanttView[[#This Row],[_Row]]),NETWORKDAYS.INTL(INDEX(tsk_FcStart,GanttView[[#This Row],[_Row]]),INDEX(tsk_FcFinish,GanttView[[#This Row],[_Row]]),WorkWeek,Holidays),N(INDEX(tsk_Duration,GanttView[[#This Row],[_Row]]))))</f>
        <v/>
      </c>
      <c r="E192" s="119" t="str">
        <f aca="false">IF(IFERROR(INDEX(tsk_Name,GanttView[[#This Row],[_Row]])="",TRUE()),"",INDEX(tsk_PlanStart,GanttView[[#This Row],[_Row]]))</f>
        <v/>
      </c>
      <c r="F192" s="119" t="str">
        <f aca="false">IF(IFERROR(INDEX(tsk_Name,GanttView[[#This Row],[_Row]])="",TRUE()),"",INDEX(tsk_PlanFinish,GanttView[[#This Row],[_Row]]))</f>
        <v/>
      </c>
      <c r="G192" s="119" t="str">
        <f aca="false">IF(IFERROR(INDEX(tsk_Name,GanttView[[#This Row],[_Row]])="",TRUE()),"",INDEX(tsk_FcStart,GanttView[[#This Row],[_Row]]))</f>
        <v/>
      </c>
      <c r="H192" s="119" t="str">
        <f aca="false">IF(IFERROR(INDEX(tsk_Name,GanttView[[#This Row],[_Row]])="",TRUE()),"",INDEX(tsk_FcFinish,GanttView[[#This Row],[_Row]]))</f>
        <v/>
      </c>
      <c r="I192" s="120" t="str">
        <f aca="false">IF(IFERROR(INDEX(tsk_Name,GanttView[[#This Row],[_Row]])="",TRUE()),"",INDEX(tsk_Progress,GanttView[[#This Row],[_Row]]))</f>
        <v/>
      </c>
      <c r="J192" s="118" t="str">
        <f aca="false">IF(IFERROR(INDEX(tsk_Name,GanttView[[#This Row],[_Row]])="",TRUE()),"",INDEX(tsk_Resource,GanttView[[#This Row],[_Row]])&amp;"")</f>
        <v/>
      </c>
      <c r="K192" s="121" t="str">
        <f aca="false">IF(IFERROR(INDEX(tsk_Name,GanttView[[#This Row],[_Row]])="",TRUE()),"",INDEX(tsk_Status,GanttView[[#This Row],[_Row]]))</f>
        <v/>
      </c>
      <c r="L192" s="122" t="n">
        <f aca="false">ROW()-ROW(GanttView[[#Headers],[ID]])</f>
        <v>187</v>
      </c>
      <c r="M192" s="123" t="b">
        <f aca="false">IF(IFERROR(INDEX(tsk_Name,GanttView[[#This Row],[_Row]])="",TRUE()),FALSE(),INDEX(tsk_IsSummary,GanttView[[#This Row],[_Row]]))</f>
        <v>0</v>
      </c>
      <c r="N192" s="123" t="b">
        <f aca="false">IF(IFERROR(INDEX(tsk_Name,GanttView[[#This Row],[_Row]])="",TRUE()),FALSE(),AND(INDEX(tsk_IsLeaf,GanttView[[#This Row],[_Row]])=1,N(INDEX(tsk_Duration,GanttView[[#This Row],[_Row]]))=0))</f>
        <v>0</v>
      </c>
      <c r="O192" s="124" t="n">
        <f aca="false">IF(IFERROR(INDEX(tsk_Name,GanttView[[#This Row],[_Row]])="",TRUE()),0,IF(AND(INDEX(tsk_IsLeaf,GanttView[[#This Row],[_Row]])=1,NOT(GanttView[[#This Row],[_IsMilestone]]),N(GanttView[[#This Row],[%]])&gt;0),GanttView[[#This Row],[Forecast Start]],0))</f>
        <v>0</v>
      </c>
      <c r="P192" s="124" t="n">
        <f aca="false">IF(GanttView[[#This Row],[_DoneFrom]]=0,0,IF(GanttView[[#This Row],[%]]&gt;=1,GanttView[[#This Row],[Forecast Finish]],MAX(GanttView[[#This Row],[_DoneFrom]],GanttView[[#This Row],[Forecast Start]]+ROUND((GanttView[[#This Row],[Forecast Finish]]-GanttView[[#This Row],[Forecast Start]]+1)*GanttView[[#This Row],[%]],0)-1)))</f>
        <v>0</v>
      </c>
      <c r="Q192" s="124" t="n">
        <f aca="false">IF(IFERROR(INDEX(tsk_Name,GanttView[[#This Row],[_Row]])="",TRUE()),0,IF(OR(INDEX(tsk_IsLeaf,GanttView[[#This Row],[_Row]])&lt;&gt;1,GanttView[[#This Row],[_IsMilestone]],N(GanttView[[#This Row],[%]])&gt;=1),0,IF(GanttView[[#This Row],[_DoneTo]]&gt;0,GanttView[[#This Row],[_DoneTo]]+1,GanttView[[#This Row],[Forecast Start]])))</f>
        <v>0</v>
      </c>
      <c r="R192" s="124" t="n">
        <f aca="false">IF(GanttView[[#This Row],[_RemFrom]]=0,0,GanttView[[#This Row],[Forecast Finish]])</f>
        <v>0</v>
      </c>
      <c r="S192" s="123" t="b">
        <f aca="false">IF(IFERROR(INDEX(tsk_Name,GanttView[[#This Row],[_Row]])="",TRUE()),FALSE(),N(INDEX(tsk_Variance,GanttView[[#This Row],[_Row]]))&gt;0)</f>
        <v>0</v>
      </c>
      <c r="T192" s="124" t="n">
        <f aca="false">IF(IFERROR(INDEX(tsk_Name,GanttView[[#This Row],[_Row]])="",TRUE()),0,N(INDEX(tsk_Deadline,GanttView[[#This Row],[_Row]])))</f>
        <v>0</v>
      </c>
      <c r="U192" s="123" t="b">
        <f aca="false">IF(IFERROR(INDEX(tsk_Name,GanttView[[#This Row],[_Row]])="",TRUE()),FALSE(),INDEX(tsk_Critical,GanttView[[#This Row],[_Row]])="Yes")</f>
        <v>0</v>
      </c>
    </row>
    <row r="193" customFormat="false" ht="15" hidden="false" customHeight="false" outlineLevel="0" collapsed="false">
      <c r="A193" s="117" t="str">
        <f aca="false">IF(IFERROR(INDEX(tsk_Name,GanttView[[#This Row],[_Row]])="",TRUE()),"",INDEX(tsk_ID,GanttView[[#This Row],[_Row]]))</f>
        <v/>
      </c>
      <c r="B193" s="117" t="str">
        <f aca="false">IF(IFERROR(INDEX(tsk_Name,GanttView[[#This Row],[_Row]])="",TRUE()),"",INDEX(tsk_WBS,GanttView[[#This Row],[_Row]]))</f>
        <v/>
      </c>
      <c r="C193" s="118" t="str">
        <f aca="false">IF(IFERROR(INDEX(tsk_Name,GanttView[[#This Row],[_Row]])="",TRUE()),"",REPT("    ",INDEX(tsk_Level,GanttView[[#This Row],[_Row]])-1)&amp;INDEX(tsk_Name,GanttView[[#This Row],[_Row]]))</f>
        <v/>
      </c>
      <c r="D193" s="117" t="str">
        <f aca="false">IF(IFERROR(INDEX(tsk_Name,GanttView[[#This Row],[_Row]])="",TRUE()),"",IF(INDEX(tsk_IsSummary,GanttView[[#This Row],[_Row]]),NETWORKDAYS.INTL(INDEX(tsk_FcStart,GanttView[[#This Row],[_Row]]),INDEX(tsk_FcFinish,GanttView[[#This Row],[_Row]]),WorkWeek,Holidays),N(INDEX(tsk_Duration,GanttView[[#This Row],[_Row]]))))</f>
        <v/>
      </c>
      <c r="E193" s="119" t="str">
        <f aca="false">IF(IFERROR(INDEX(tsk_Name,GanttView[[#This Row],[_Row]])="",TRUE()),"",INDEX(tsk_PlanStart,GanttView[[#This Row],[_Row]]))</f>
        <v/>
      </c>
      <c r="F193" s="119" t="str">
        <f aca="false">IF(IFERROR(INDEX(tsk_Name,GanttView[[#This Row],[_Row]])="",TRUE()),"",INDEX(tsk_PlanFinish,GanttView[[#This Row],[_Row]]))</f>
        <v/>
      </c>
      <c r="G193" s="119" t="str">
        <f aca="false">IF(IFERROR(INDEX(tsk_Name,GanttView[[#This Row],[_Row]])="",TRUE()),"",INDEX(tsk_FcStart,GanttView[[#This Row],[_Row]]))</f>
        <v/>
      </c>
      <c r="H193" s="119" t="str">
        <f aca="false">IF(IFERROR(INDEX(tsk_Name,GanttView[[#This Row],[_Row]])="",TRUE()),"",INDEX(tsk_FcFinish,GanttView[[#This Row],[_Row]]))</f>
        <v/>
      </c>
      <c r="I193" s="120" t="str">
        <f aca="false">IF(IFERROR(INDEX(tsk_Name,GanttView[[#This Row],[_Row]])="",TRUE()),"",INDEX(tsk_Progress,GanttView[[#This Row],[_Row]]))</f>
        <v/>
      </c>
      <c r="J193" s="118" t="str">
        <f aca="false">IF(IFERROR(INDEX(tsk_Name,GanttView[[#This Row],[_Row]])="",TRUE()),"",INDEX(tsk_Resource,GanttView[[#This Row],[_Row]])&amp;"")</f>
        <v/>
      </c>
      <c r="K193" s="121" t="str">
        <f aca="false">IF(IFERROR(INDEX(tsk_Name,GanttView[[#This Row],[_Row]])="",TRUE()),"",INDEX(tsk_Status,GanttView[[#This Row],[_Row]]))</f>
        <v/>
      </c>
      <c r="L193" s="122" t="n">
        <f aca="false">ROW()-ROW(GanttView[[#Headers],[ID]])</f>
        <v>188</v>
      </c>
      <c r="M193" s="123" t="b">
        <f aca="false">IF(IFERROR(INDEX(tsk_Name,GanttView[[#This Row],[_Row]])="",TRUE()),FALSE(),INDEX(tsk_IsSummary,GanttView[[#This Row],[_Row]]))</f>
        <v>0</v>
      </c>
      <c r="N193" s="123" t="b">
        <f aca="false">IF(IFERROR(INDEX(tsk_Name,GanttView[[#This Row],[_Row]])="",TRUE()),FALSE(),AND(INDEX(tsk_IsLeaf,GanttView[[#This Row],[_Row]])=1,N(INDEX(tsk_Duration,GanttView[[#This Row],[_Row]]))=0))</f>
        <v>0</v>
      </c>
      <c r="O193" s="124" t="n">
        <f aca="false">IF(IFERROR(INDEX(tsk_Name,GanttView[[#This Row],[_Row]])="",TRUE()),0,IF(AND(INDEX(tsk_IsLeaf,GanttView[[#This Row],[_Row]])=1,NOT(GanttView[[#This Row],[_IsMilestone]]),N(GanttView[[#This Row],[%]])&gt;0),GanttView[[#This Row],[Forecast Start]],0))</f>
        <v>0</v>
      </c>
      <c r="P193" s="124" t="n">
        <f aca="false">IF(GanttView[[#This Row],[_DoneFrom]]=0,0,IF(GanttView[[#This Row],[%]]&gt;=1,GanttView[[#This Row],[Forecast Finish]],MAX(GanttView[[#This Row],[_DoneFrom]],GanttView[[#This Row],[Forecast Start]]+ROUND((GanttView[[#This Row],[Forecast Finish]]-GanttView[[#This Row],[Forecast Start]]+1)*GanttView[[#This Row],[%]],0)-1)))</f>
        <v>0</v>
      </c>
      <c r="Q193" s="124" t="n">
        <f aca="false">IF(IFERROR(INDEX(tsk_Name,GanttView[[#This Row],[_Row]])="",TRUE()),0,IF(OR(INDEX(tsk_IsLeaf,GanttView[[#This Row],[_Row]])&lt;&gt;1,GanttView[[#This Row],[_IsMilestone]],N(GanttView[[#This Row],[%]])&gt;=1),0,IF(GanttView[[#This Row],[_DoneTo]]&gt;0,GanttView[[#This Row],[_DoneTo]]+1,GanttView[[#This Row],[Forecast Start]])))</f>
        <v>0</v>
      </c>
      <c r="R193" s="124" t="n">
        <f aca="false">IF(GanttView[[#This Row],[_RemFrom]]=0,0,GanttView[[#This Row],[Forecast Finish]])</f>
        <v>0</v>
      </c>
      <c r="S193" s="123" t="b">
        <f aca="false">IF(IFERROR(INDEX(tsk_Name,GanttView[[#This Row],[_Row]])="",TRUE()),FALSE(),N(INDEX(tsk_Variance,GanttView[[#This Row],[_Row]]))&gt;0)</f>
        <v>0</v>
      </c>
      <c r="T193" s="124" t="n">
        <f aca="false">IF(IFERROR(INDEX(tsk_Name,GanttView[[#This Row],[_Row]])="",TRUE()),0,N(INDEX(tsk_Deadline,GanttView[[#This Row],[_Row]])))</f>
        <v>0</v>
      </c>
      <c r="U193" s="123" t="b">
        <f aca="false">IF(IFERROR(INDEX(tsk_Name,GanttView[[#This Row],[_Row]])="",TRUE()),FALSE(),INDEX(tsk_Critical,GanttView[[#This Row],[_Row]])="Yes")</f>
        <v>0</v>
      </c>
    </row>
    <row r="194" customFormat="false" ht="15" hidden="false" customHeight="false" outlineLevel="0" collapsed="false">
      <c r="A194" s="117" t="str">
        <f aca="false">IF(IFERROR(INDEX(tsk_Name,GanttView[[#This Row],[_Row]])="",TRUE()),"",INDEX(tsk_ID,GanttView[[#This Row],[_Row]]))</f>
        <v/>
      </c>
      <c r="B194" s="117" t="str">
        <f aca="false">IF(IFERROR(INDEX(tsk_Name,GanttView[[#This Row],[_Row]])="",TRUE()),"",INDEX(tsk_WBS,GanttView[[#This Row],[_Row]]))</f>
        <v/>
      </c>
      <c r="C194" s="118" t="str">
        <f aca="false">IF(IFERROR(INDEX(tsk_Name,GanttView[[#This Row],[_Row]])="",TRUE()),"",REPT("    ",INDEX(tsk_Level,GanttView[[#This Row],[_Row]])-1)&amp;INDEX(tsk_Name,GanttView[[#This Row],[_Row]]))</f>
        <v/>
      </c>
      <c r="D194" s="117" t="str">
        <f aca="false">IF(IFERROR(INDEX(tsk_Name,GanttView[[#This Row],[_Row]])="",TRUE()),"",IF(INDEX(tsk_IsSummary,GanttView[[#This Row],[_Row]]),NETWORKDAYS.INTL(INDEX(tsk_FcStart,GanttView[[#This Row],[_Row]]),INDEX(tsk_FcFinish,GanttView[[#This Row],[_Row]]),WorkWeek,Holidays),N(INDEX(tsk_Duration,GanttView[[#This Row],[_Row]]))))</f>
        <v/>
      </c>
      <c r="E194" s="119" t="str">
        <f aca="false">IF(IFERROR(INDEX(tsk_Name,GanttView[[#This Row],[_Row]])="",TRUE()),"",INDEX(tsk_PlanStart,GanttView[[#This Row],[_Row]]))</f>
        <v/>
      </c>
      <c r="F194" s="119" t="str">
        <f aca="false">IF(IFERROR(INDEX(tsk_Name,GanttView[[#This Row],[_Row]])="",TRUE()),"",INDEX(tsk_PlanFinish,GanttView[[#This Row],[_Row]]))</f>
        <v/>
      </c>
      <c r="G194" s="119" t="str">
        <f aca="false">IF(IFERROR(INDEX(tsk_Name,GanttView[[#This Row],[_Row]])="",TRUE()),"",INDEX(tsk_FcStart,GanttView[[#This Row],[_Row]]))</f>
        <v/>
      </c>
      <c r="H194" s="119" t="str">
        <f aca="false">IF(IFERROR(INDEX(tsk_Name,GanttView[[#This Row],[_Row]])="",TRUE()),"",INDEX(tsk_FcFinish,GanttView[[#This Row],[_Row]]))</f>
        <v/>
      </c>
      <c r="I194" s="120" t="str">
        <f aca="false">IF(IFERROR(INDEX(tsk_Name,GanttView[[#This Row],[_Row]])="",TRUE()),"",INDEX(tsk_Progress,GanttView[[#This Row],[_Row]]))</f>
        <v/>
      </c>
      <c r="J194" s="118" t="str">
        <f aca="false">IF(IFERROR(INDEX(tsk_Name,GanttView[[#This Row],[_Row]])="",TRUE()),"",INDEX(tsk_Resource,GanttView[[#This Row],[_Row]])&amp;"")</f>
        <v/>
      </c>
      <c r="K194" s="121" t="str">
        <f aca="false">IF(IFERROR(INDEX(tsk_Name,GanttView[[#This Row],[_Row]])="",TRUE()),"",INDEX(tsk_Status,GanttView[[#This Row],[_Row]]))</f>
        <v/>
      </c>
      <c r="L194" s="122" t="n">
        <f aca="false">ROW()-ROW(GanttView[[#Headers],[ID]])</f>
        <v>189</v>
      </c>
      <c r="M194" s="123" t="b">
        <f aca="false">IF(IFERROR(INDEX(tsk_Name,GanttView[[#This Row],[_Row]])="",TRUE()),FALSE(),INDEX(tsk_IsSummary,GanttView[[#This Row],[_Row]]))</f>
        <v>0</v>
      </c>
      <c r="N194" s="123" t="b">
        <f aca="false">IF(IFERROR(INDEX(tsk_Name,GanttView[[#This Row],[_Row]])="",TRUE()),FALSE(),AND(INDEX(tsk_IsLeaf,GanttView[[#This Row],[_Row]])=1,N(INDEX(tsk_Duration,GanttView[[#This Row],[_Row]]))=0))</f>
        <v>0</v>
      </c>
      <c r="O194" s="124" t="n">
        <f aca="false">IF(IFERROR(INDEX(tsk_Name,GanttView[[#This Row],[_Row]])="",TRUE()),0,IF(AND(INDEX(tsk_IsLeaf,GanttView[[#This Row],[_Row]])=1,NOT(GanttView[[#This Row],[_IsMilestone]]),N(GanttView[[#This Row],[%]])&gt;0),GanttView[[#This Row],[Forecast Start]],0))</f>
        <v>0</v>
      </c>
      <c r="P194" s="124" t="n">
        <f aca="false">IF(GanttView[[#This Row],[_DoneFrom]]=0,0,IF(GanttView[[#This Row],[%]]&gt;=1,GanttView[[#This Row],[Forecast Finish]],MAX(GanttView[[#This Row],[_DoneFrom]],GanttView[[#This Row],[Forecast Start]]+ROUND((GanttView[[#This Row],[Forecast Finish]]-GanttView[[#This Row],[Forecast Start]]+1)*GanttView[[#This Row],[%]],0)-1)))</f>
        <v>0</v>
      </c>
      <c r="Q194" s="124" t="n">
        <f aca="false">IF(IFERROR(INDEX(tsk_Name,GanttView[[#This Row],[_Row]])="",TRUE()),0,IF(OR(INDEX(tsk_IsLeaf,GanttView[[#This Row],[_Row]])&lt;&gt;1,GanttView[[#This Row],[_IsMilestone]],N(GanttView[[#This Row],[%]])&gt;=1),0,IF(GanttView[[#This Row],[_DoneTo]]&gt;0,GanttView[[#This Row],[_DoneTo]]+1,GanttView[[#This Row],[Forecast Start]])))</f>
        <v>0</v>
      </c>
      <c r="R194" s="124" t="n">
        <f aca="false">IF(GanttView[[#This Row],[_RemFrom]]=0,0,GanttView[[#This Row],[Forecast Finish]])</f>
        <v>0</v>
      </c>
      <c r="S194" s="123" t="b">
        <f aca="false">IF(IFERROR(INDEX(tsk_Name,GanttView[[#This Row],[_Row]])="",TRUE()),FALSE(),N(INDEX(tsk_Variance,GanttView[[#This Row],[_Row]]))&gt;0)</f>
        <v>0</v>
      </c>
      <c r="T194" s="124" t="n">
        <f aca="false">IF(IFERROR(INDEX(tsk_Name,GanttView[[#This Row],[_Row]])="",TRUE()),0,N(INDEX(tsk_Deadline,GanttView[[#This Row],[_Row]])))</f>
        <v>0</v>
      </c>
      <c r="U194" s="123" t="b">
        <f aca="false">IF(IFERROR(INDEX(tsk_Name,GanttView[[#This Row],[_Row]])="",TRUE()),FALSE(),INDEX(tsk_Critical,GanttView[[#This Row],[_Row]])="Yes")</f>
        <v>0</v>
      </c>
    </row>
    <row r="195" customFormat="false" ht="15" hidden="false" customHeight="false" outlineLevel="0" collapsed="false">
      <c r="A195" s="117" t="str">
        <f aca="false">IF(IFERROR(INDEX(tsk_Name,GanttView[[#This Row],[_Row]])="",TRUE()),"",INDEX(tsk_ID,GanttView[[#This Row],[_Row]]))</f>
        <v/>
      </c>
      <c r="B195" s="117" t="str">
        <f aca="false">IF(IFERROR(INDEX(tsk_Name,GanttView[[#This Row],[_Row]])="",TRUE()),"",INDEX(tsk_WBS,GanttView[[#This Row],[_Row]]))</f>
        <v/>
      </c>
      <c r="C195" s="118" t="str">
        <f aca="false">IF(IFERROR(INDEX(tsk_Name,GanttView[[#This Row],[_Row]])="",TRUE()),"",REPT("    ",INDEX(tsk_Level,GanttView[[#This Row],[_Row]])-1)&amp;INDEX(tsk_Name,GanttView[[#This Row],[_Row]]))</f>
        <v/>
      </c>
      <c r="D195" s="117" t="str">
        <f aca="false">IF(IFERROR(INDEX(tsk_Name,GanttView[[#This Row],[_Row]])="",TRUE()),"",IF(INDEX(tsk_IsSummary,GanttView[[#This Row],[_Row]]),NETWORKDAYS.INTL(INDEX(tsk_FcStart,GanttView[[#This Row],[_Row]]),INDEX(tsk_FcFinish,GanttView[[#This Row],[_Row]]),WorkWeek,Holidays),N(INDEX(tsk_Duration,GanttView[[#This Row],[_Row]]))))</f>
        <v/>
      </c>
      <c r="E195" s="119" t="str">
        <f aca="false">IF(IFERROR(INDEX(tsk_Name,GanttView[[#This Row],[_Row]])="",TRUE()),"",INDEX(tsk_PlanStart,GanttView[[#This Row],[_Row]]))</f>
        <v/>
      </c>
      <c r="F195" s="119" t="str">
        <f aca="false">IF(IFERROR(INDEX(tsk_Name,GanttView[[#This Row],[_Row]])="",TRUE()),"",INDEX(tsk_PlanFinish,GanttView[[#This Row],[_Row]]))</f>
        <v/>
      </c>
      <c r="G195" s="119" t="str">
        <f aca="false">IF(IFERROR(INDEX(tsk_Name,GanttView[[#This Row],[_Row]])="",TRUE()),"",INDEX(tsk_FcStart,GanttView[[#This Row],[_Row]]))</f>
        <v/>
      </c>
      <c r="H195" s="119" t="str">
        <f aca="false">IF(IFERROR(INDEX(tsk_Name,GanttView[[#This Row],[_Row]])="",TRUE()),"",INDEX(tsk_FcFinish,GanttView[[#This Row],[_Row]]))</f>
        <v/>
      </c>
      <c r="I195" s="120" t="str">
        <f aca="false">IF(IFERROR(INDEX(tsk_Name,GanttView[[#This Row],[_Row]])="",TRUE()),"",INDEX(tsk_Progress,GanttView[[#This Row],[_Row]]))</f>
        <v/>
      </c>
      <c r="J195" s="118" t="str">
        <f aca="false">IF(IFERROR(INDEX(tsk_Name,GanttView[[#This Row],[_Row]])="",TRUE()),"",INDEX(tsk_Resource,GanttView[[#This Row],[_Row]])&amp;"")</f>
        <v/>
      </c>
      <c r="K195" s="121" t="str">
        <f aca="false">IF(IFERROR(INDEX(tsk_Name,GanttView[[#This Row],[_Row]])="",TRUE()),"",INDEX(tsk_Status,GanttView[[#This Row],[_Row]]))</f>
        <v/>
      </c>
      <c r="L195" s="122" t="n">
        <f aca="false">ROW()-ROW(GanttView[[#Headers],[ID]])</f>
        <v>190</v>
      </c>
      <c r="M195" s="123" t="b">
        <f aca="false">IF(IFERROR(INDEX(tsk_Name,GanttView[[#This Row],[_Row]])="",TRUE()),FALSE(),INDEX(tsk_IsSummary,GanttView[[#This Row],[_Row]]))</f>
        <v>0</v>
      </c>
      <c r="N195" s="123" t="b">
        <f aca="false">IF(IFERROR(INDEX(tsk_Name,GanttView[[#This Row],[_Row]])="",TRUE()),FALSE(),AND(INDEX(tsk_IsLeaf,GanttView[[#This Row],[_Row]])=1,N(INDEX(tsk_Duration,GanttView[[#This Row],[_Row]]))=0))</f>
        <v>0</v>
      </c>
      <c r="O195" s="124" t="n">
        <f aca="false">IF(IFERROR(INDEX(tsk_Name,GanttView[[#This Row],[_Row]])="",TRUE()),0,IF(AND(INDEX(tsk_IsLeaf,GanttView[[#This Row],[_Row]])=1,NOT(GanttView[[#This Row],[_IsMilestone]]),N(GanttView[[#This Row],[%]])&gt;0),GanttView[[#This Row],[Forecast Start]],0))</f>
        <v>0</v>
      </c>
      <c r="P195" s="124" t="n">
        <f aca="false">IF(GanttView[[#This Row],[_DoneFrom]]=0,0,IF(GanttView[[#This Row],[%]]&gt;=1,GanttView[[#This Row],[Forecast Finish]],MAX(GanttView[[#This Row],[_DoneFrom]],GanttView[[#This Row],[Forecast Start]]+ROUND((GanttView[[#This Row],[Forecast Finish]]-GanttView[[#This Row],[Forecast Start]]+1)*GanttView[[#This Row],[%]],0)-1)))</f>
        <v>0</v>
      </c>
      <c r="Q195" s="124" t="n">
        <f aca="false">IF(IFERROR(INDEX(tsk_Name,GanttView[[#This Row],[_Row]])="",TRUE()),0,IF(OR(INDEX(tsk_IsLeaf,GanttView[[#This Row],[_Row]])&lt;&gt;1,GanttView[[#This Row],[_IsMilestone]],N(GanttView[[#This Row],[%]])&gt;=1),0,IF(GanttView[[#This Row],[_DoneTo]]&gt;0,GanttView[[#This Row],[_DoneTo]]+1,GanttView[[#This Row],[Forecast Start]])))</f>
        <v>0</v>
      </c>
      <c r="R195" s="124" t="n">
        <f aca="false">IF(GanttView[[#This Row],[_RemFrom]]=0,0,GanttView[[#This Row],[Forecast Finish]])</f>
        <v>0</v>
      </c>
      <c r="S195" s="123" t="b">
        <f aca="false">IF(IFERROR(INDEX(tsk_Name,GanttView[[#This Row],[_Row]])="",TRUE()),FALSE(),N(INDEX(tsk_Variance,GanttView[[#This Row],[_Row]]))&gt;0)</f>
        <v>0</v>
      </c>
      <c r="T195" s="124" t="n">
        <f aca="false">IF(IFERROR(INDEX(tsk_Name,GanttView[[#This Row],[_Row]])="",TRUE()),0,N(INDEX(tsk_Deadline,GanttView[[#This Row],[_Row]])))</f>
        <v>0</v>
      </c>
      <c r="U195" s="123" t="b">
        <f aca="false">IF(IFERROR(INDEX(tsk_Name,GanttView[[#This Row],[_Row]])="",TRUE()),FALSE(),INDEX(tsk_Critical,GanttView[[#This Row],[_Row]])="Yes")</f>
        <v>0</v>
      </c>
    </row>
    <row r="196" customFormat="false" ht="15" hidden="false" customHeight="false" outlineLevel="0" collapsed="false">
      <c r="A196" s="117" t="str">
        <f aca="false">IF(IFERROR(INDEX(tsk_Name,GanttView[[#This Row],[_Row]])="",TRUE()),"",INDEX(tsk_ID,GanttView[[#This Row],[_Row]]))</f>
        <v/>
      </c>
      <c r="B196" s="117" t="str">
        <f aca="false">IF(IFERROR(INDEX(tsk_Name,GanttView[[#This Row],[_Row]])="",TRUE()),"",INDEX(tsk_WBS,GanttView[[#This Row],[_Row]]))</f>
        <v/>
      </c>
      <c r="C196" s="118" t="str">
        <f aca="false">IF(IFERROR(INDEX(tsk_Name,GanttView[[#This Row],[_Row]])="",TRUE()),"",REPT("    ",INDEX(tsk_Level,GanttView[[#This Row],[_Row]])-1)&amp;INDEX(tsk_Name,GanttView[[#This Row],[_Row]]))</f>
        <v/>
      </c>
      <c r="D196" s="117" t="str">
        <f aca="false">IF(IFERROR(INDEX(tsk_Name,GanttView[[#This Row],[_Row]])="",TRUE()),"",IF(INDEX(tsk_IsSummary,GanttView[[#This Row],[_Row]]),NETWORKDAYS.INTL(INDEX(tsk_FcStart,GanttView[[#This Row],[_Row]]),INDEX(tsk_FcFinish,GanttView[[#This Row],[_Row]]),WorkWeek,Holidays),N(INDEX(tsk_Duration,GanttView[[#This Row],[_Row]]))))</f>
        <v/>
      </c>
      <c r="E196" s="119" t="str">
        <f aca="false">IF(IFERROR(INDEX(tsk_Name,GanttView[[#This Row],[_Row]])="",TRUE()),"",INDEX(tsk_PlanStart,GanttView[[#This Row],[_Row]]))</f>
        <v/>
      </c>
      <c r="F196" s="119" t="str">
        <f aca="false">IF(IFERROR(INDEX(tsk_Name,GanttView[[#This Row],[_Row]])="",TRUE()),"",INDEX(tsk_PlanFinish,GanttView[[#This Row],[_Row]]))</f>
        <v/>
      </c>
      <c r="G196" s="119" t="str">
        <f aca="false">IF(IFERROR(INDEX(tsk_Name,GanttView[[#This Row],[_Row]])="",TRUE()),"",INDEX(tsk_FcStart,GanttView[[#This Row],[_Row]]))</f>
        <v/>
      </c>
      <c r="H196" s="119" t="str">
        <f aca="false">IF(IFERROR(INDEX(tsk_Name,GanttView[[#This Row],[_Row]])="",TRUE()),"",INDEX(tsk_FcFinish,GanttView[[#This Row],[_Row]]))</f>
        <v/>
      </c>
      <c r="I196" s="120" t="str">
        <f aca="false">IF(IFERROR(INDEX(tsk_Name,GanttView[[#This Row],[_Row]])="",TRUE()),"",INDEX(tsk_Progress,GanttView[[#This Row],[_Row]]))</f>
        <v/>
      </c>
      <c r="J196" s="118" t="str">
        <f aca="false">IF(IFERROR(INDEX(tsk_Name,GanttView[[#This Row],[_Row]])="",TRUE()),"",INDEX(tsk_Resource,GanttView[[#This Row],[_Row]])&amp;"")</f>
        <v/>
      </c>
      <c r="K196" s="121" t="str">
        <f aca="false">IF(IFERROR(INDEX(tsk_Name,GanttView[[#This Row],[_Row]])="",TRUE()),"",INDEX(tsk_Status,GanttView[[#This Row],[_Row]]))</f>
        <v/>
      </c>
      <c r="L196" s="122" t="n">
        <f aca="false">ROW()-ROW(GanttView[[#Headers],[ID]])</f>
        <v>191</v>
      </c>
      <c r="M196" s="123" t="b">
        <f aca="false">IF(IFERROR(INDEX(tsk_Name,GanttView[[#This Row],[_Row]])="",TRUE()),FALSE(),INDEX(tsk_IsSummary,GanttView[[#This Row],[_Row]]))</f>
        <v>0</v>
      </c>
      <c r="N196" s="123" t="b">
        <f aca="false">IF(IFERROR(INDEX(tsk_Name,GanttView[[#This Row],[_Row]])="",TRUE()),FALSE(),AND(INDEX(tsk_IsLeaf,GanttView[[#This Row],[_Row]])=1,N(INDEX(tsk_Duration,GanttView[[#This Row],[_Row]]))=0))</f>
        <v>0</v>
      </c>
      <c r="O196" s="124" t="n">
        <f aca="false">IF(IFERROR(INDEX(tsk_Name,GanttView[[#This Row],[_Row]])="",TRUE()),0,IF(AND(INDEX(tsk_IsLeaf,GanttView[[#This Row],[_Row]])=1,NOT(GanttView[[#This Row],[_IsMilestone]]),N(GanttView[[#This Row],[%]])&gt;0),GanttView[[#This Row],[Forecast Start]],0))</f>
        <v>0</v>
      </c>
      <c r="P196" s="124" t="n">
        <f aca="false">IF(GanttView[[#This Row],[_DoneFrom]]=0,0,IF(GanttView[[#This Row],[%]]&gt;=1,GanttView[[#This Row],[Forecast Finish]],MAX(GanttView[[#This Row],[_DoneFrom]],GanttView[[#This Row],[Forecast Start]]+ROUND((GanttView[[#This Row],[Forecast Finish]]-GanttView[[#This Row],[Forecast Start]]+1)*GanttView[[#This Row],[%]],0)-1)))</f>
        <v>0</v>
      </c>
      <c r="Q196" s="124" t="n">
        <f aca="false">IF(IFERROR(INDEX(tsk_Name,GanttView[[#This Row],[_Row]])="",TRUE()),0,IF(OR(INDEX(tsk_IsLeaf,GanttView[[#This Row],[_Row]])&lt;&gt;1,GanttView[[#This Row],[_IsMilestone]],N(GanttView[[#This Row],[%]])&gt;=1),0,IF(GanttView[[#This Row],[_DoneTo]]&gt;0,GanttView[[#This Row],[_DoneTo]]+1,GanttView[[#This Row],[Forecast Start]])))</f>
        <v>0</v>
      </c>
      <c r="R196" s="124" t="n">
        <f aca="false">IF(GanttView[[#This Row],[_RemFrom]]=0,0,GanttView[[#This Row],[Forecast Finish]])</f>
        <v>0</v>
      </c>
      <c r="S196" s="123" t="b">
        <f aca="false">IF(IFERROR(INDEX(tsk_Name,GanttView[[#This Row],[_Row]])="",TRUE()),FALSE(),N(INDEX(tsk_Variance,GanttView[[#This Row],[_Row]]))&gt;0)</f>
        <v>0</v>
      </c>
      <c r="T196" s="124" t="n">
        <f aca="false">IF(IFERROR(INDEX(tsk_Name,GanttView[[#This Row],[_Row]])="",TRUE()),0,N(INDEX(tsk_Deadline,GanttView[[#This Row],[_Row]])))</f>
        <v>0</v>
      </c>
      <c r="U196" s="123" t="b">
        <f aca="false">IF(IFERROR(INDEX(tsk_Name,GanttView[[#This Row],[_Row]])="",TRUE()),FALSE(),INDEX(tsk_Critical,GanttView[[#This Row],[_Row]])="Yes")</f>
        <v>0</v>
      </c>
    </row>
    <row r="197" customFormat="false" ht="15" hidden="false" customHeight="false" outlineLevel="0" collapsed="false">
      <c r="A197" s="117" t="str">
        <f aca="false">IF(IFERROR(INDEX(tsk_Name,GanttView[[#This Row],[_Row]])="",TRUE()),"",INDEX(tsk_ID,GanttView[[#This Row],[_Row]]))</f>
        <v/>
      </c>
      <c r="B197" s="117" t="str">
        <f aca="false">IF(IFERROR(INDEX(tsk_Name,GanttView[[#This Row],[_Row]])="",TRUE()),"",INDEX(tsk_WBS,GanttView[[#This Row],[_Row]]))</f>
        <v/>
      </c>
      <c r="C197" s="118" t="str">
        <f aca="false">IF(IFERROR(INDEX(tsk_Name,GanttView[[#This Row],[_Row]])="",TRUE()),"",REPT("    ",INDEX(tsk_Level,GanttView[[#This Row],[_Row]])-1)&amp;INDEX(tsk_Name,GanttView[[#This Row],[_Row]]))</f>
        <v/>
      </c>
      <c r="D197" s="117" t="str">
        <f aca="false">IF(IFERROR(INDEX(tsk_Name,GanttView[[#This Row],[_Row]])="",TRUE()),"",IF(INDEX(tsk_IsSummary,GanttView[[#This Row],[_Row]]),NETWORKDAYS.INTL(INDEX(tsk_FcStart,GanttView[[#This Row],[_Row]]),INDEX(tsk_FcFinish,GanttView[[#This Row],[_Row]]),WorkWeek,Holidays),N(INDEX(tsk_Duration,GanttView[[#This Row],[_Row]]))))</f>
        <v/>
      </c>
      <c r="E197" s="119" t="str">
        <f aca="false">IF(IFERROR(INDEX(tsk_Name,GanttView[[#This Row],[_Row]])="",TRUE()),"",INDEX(tsk_PlanStart,GanttView[[#This Row],[_Row]]))</f>
        <v/>
      </c>
      <c r="F197" s="119" t="str">
        <f aca="false">IF(IFERROR(INDEX(tsk_Name,GanttView[[#This Row],[_Row]])="",TRUE()),"",INDEX(tsk_PlanFinish,GanttView[[#This Row],[_Row]]))</f>
        <v/>
      </c>
      <c r="G197" s="119" t="str">
        <f aca="false">IF(IFERROR(INDEX(tsk_Name,GanttView[[#This Row],[_Row]])="",TRUE()),"",INDEX(tsk_FcStart,GanttView[[#This Row],[_Row]]))</f>
        <v/>
      </c>
      <c r="H197" s="119" t="str">
        <f aca="false">IF(IFERROR(INDEX(tsk_Name,GanttView[[#This Row],[_Row]])="",TRUE()),"",INDEX(tsk_FcFinish,GanttView[[#This Row],[_Row]]))</f>
        <v/>
      </c>
      <c r="I197" s="120" t="str">
        <f aca="false">IF(IFERROR(INDEX(tsk_Name,GanttView[[#This Row],[_Row]])="",TRUE()),"",INDEX(tsk_Progress,GanttView[[#This Row],[_Row]]))</f>
        <v/>
      </c>
      <c r="J197" s="118" t="str">
        <f aca="false">IF(IFERROR(INDEX(tsk_Name,GanttView[[#This Row],[_Row]])="",TRUE()),"",INDEX(tsk_Resource,GanttView[[#This Row],[_Row]])&amp;"")</f>
        <v/>
      </c>
      <c r="K197" s="121" t="str">
        <f aca="false">IF(IFERROR(INDEX(tsk_Name,GanttView[[#This Row],[_Row]])="",TRUE()),"",INDEX(tsk_Status,GanttView[[#This Row],[_Row]]))</f>
        <v/>
      </c>
      <c r="L197" s="122" t="n">
        <f aca="false">ROW()-ROW(GanttView[[#Headers],[ID]])</f>
        <v>192</v>
      </c>
      <c r="M197" s="123" t="b">
        <f aca="false">IF(IFERROR(INDEX(tsk_Name,GanttView[[#This Row],[_Row]])="",TRUE()),FALSE(),INDEX(tsk_IsSummary,GanttView[[#This Row],[_Row]]))</f>
        <v>0</v>
      </c>
      <c r="N197" s="123" t="b">
        <f aca="false">IF(IFERROR(INDEX(tsk_Name,GanttView[[#This Row],[_Row]])="",TRUE()),FALSE(),AND(INDEX(tsk_IsLeaf,GanttView[[#This Row],[_Row]])=1,N(INDEX(tsk_Duration,GanttView[[#This Row],[_Row]]))=0))</f>
        <v>0</v>
      </c>
      <c r="O197" s="124" t="n">
        <f aca="false">IF(IFERROR(INDEX(tsk_Name,GanttView[[#This Row],[_Row]])="",TRUE()),0,IF(AND(INDEX(tsk_IsLeaf,GanttView[[#This Row],[_Row]])=1,NOT(GanttView[[#This Row],[_IsMilestone]]),N(GanttView[[#This Row],[%]])&gt;0),GanttView[[#This Row],[Forecast Start]],0))</f>
        <v>0</v>
      </c>
      <c r="P197" s="124" t="n">
        <f aca="false">IF(GanttView[[#This Row],[_DoneFrom]]=0,0,IF(GanttView[[#This Row],[%]]&gt;=1,GanttView[[#This Row],[Forecast Finish]],MAX(GanttView[[#This Row],[_DoneFrom]],GanttView[[#This Row],[Forecast Start]]+ROUND((GanttView[[#This Row],[Forecast Finish]]-GanttView[[#This Row],[Forecast Start]]+1)*GanttView[[#This Row],[%]],0)-1)))</f>
        <v>0</v>
      </c>
      <c r="Q197" s="124" t="n">
        <f aca="false">IF(IFERROR(INDEX(tsk_Name,GanttView[[#This Row],[_Row]])="",TRUE()),0,IF(OR(INDEX(tsk_IsLeaf,GanttView[[#This Row],[_Row]])&lt;&gt;1,GanttView[[#This Row],[_IsMilestone]],N(GanttView[[#This Row],[%]])&gt;=1),0,IF(GanttView[[#This Row],[_DoneTo]]&gt;0,GanttView[[#This Row],[_DoneTo]]+1,GanttView[[#This Row],[Forecast Start]])))</f>
        <v>0</v>
      </c>
      <c r="R197" s="124" t="n">
        <f aca="false">IF(GanttView[[#This Row],[_RemFrom]]=0,0,GanttView[[#This Row],[Forecast Finish]])</f>
        <v>0</v>
      </c>
      <c r="S197" s="123" t="b">
        <f aca="false">IF(IFERROR(INDEX(tsk_Name,GanttView[[#This Row],[_Row]])="",TRUE()),FALSE(),N(INDEX(tsk_Variance,GanttView[[#This Row],[_Row]]))&gt;0)</f>
        <v>0</v>
      </c>
      <c r="T197" s="124" t="n">
        <f aca="false">IF(IFERROR(INDEX(tsk_Name,GanttView[[#This Row],[_Row]])="",TRUE()),0,N(INDEX(tsk_Deadline,GanttView[[#This Row],[_Row]])))</f>
        <v>0</v>
      </c>
      <c r="U197" s="123" t="b">
        <f aca="false">IF(IFERROR(INDEX(tsk_Name,GanttView[[#This Row],[_Row]])="",TRUE()),FALSE(),INDEX(tsk_Critical,GanttView[[#This Row],[_Row]])="Yes")</f>
        <v>0</v>
      </c>
    </row>
    <row r="198" customFormat="false" ht="15" hidden="false" customHeight="false" outlineLevel="0" collapsed="false">
      <c r="A198" s="117" t="str">
        <f aca="false">IF(IFERROR(INDEX(tsk_Name,GanttView[[#This Row],[_Row]])="",TRUE()),"",INDEX(tsk_ID,GanttView[[#This Row],[_Row]]))</f>
        <v/>
      </c>
      <c r="B198" s="117" t="str">
        <f aca="false">IF(IFERROR(INDEX(tsk_Name,GanttView[[#This Row],[_Row]])="",TRUE()),"",INDEX(tsk_WBS,GanttView[[#This Row],[_Row]]))</f>
        <v/>
      </c>
      <c r="C198" s="118" t="str">
        <f aca="false">IF(IFERROR(INDEX(tsk_Name,GanttView[[#This Row],[_Row]])="",TRUE()),"",REPT("    ",INDEX(tsk_Level,GanttView[[#This Row],[_Row]])-1)&amp;INDEX(tsk_Name,GanttView[[#This Row],[_Row]]))</f>
        <v/>
      </c>
      <c r="D198" s="117" t="str">
        <f aca="false">IF(IFERROR(INDEX(tsk_Name,GanttView[[#This Row],[_Row]])="",TRUE()),"",IF(INDEX(tsk_IsSummary,GanttView[[#This Row],[_Row]]),NETWORKDAYS.INTL(INDEX(tsk_FcStart,GanttView[[#This Row],[_Row]]),INDEX(tsk_FcFinish,GanttView[[#This Row],[_Row]]),WorkWeek,Holidays),N(INDEX(tsk_Duration,GanttView[[#This Row],[_Row]]))))</f>
        <v/>
      </c>
      <c r="E198" s="119" t="str">
        <f aca="false">IF(IFERROR(INDEX(tsk_Name,GanttView[[#This Row],[_Row]])="",TRUE()),"",INDEX(tsk_PlanStart,GanttView[[#This Row],[_Row]]))</f>
        <v/>
      </c>
      <c r="F198" s="119" t="str">
        <f aca="false">IF(IFERROR(INDEX(tsk_Name,GanttView[[#This Row],[_Row]])="",TRUE()),"",INDEX(tsk_PlanFinish,GanttView[[#This Row],[_Row]]))</f>
        <v/>
      </c>
      <c r="G198" s="119" t="str">
        <f aca="false">IF(IFERROR(INDEX(tsk_Name,GanttView[[#This Row],[_Row]])="",TRUE()),"",INDEX(tsk_FcStart,GanttView[[#This Row],[_Row]]))</f>
        <v/>
      </c>
      <c r="H198" s="119" t="str">
        <f aca="false">IF(IFERROR(INDEX(tsk_Name,GanttView[[#This Row],[_Row]])="",TRUE()),"",INDEX(tsk_FcFinish,GanttView[[#This Row],[_Row]]))</f>
        <v/>
      </c>
      <c r="I198" s="120" t="str">
        <f aca="false">IF(IFERROR(INDEX(tsk_Name,GanttView[[#This Row],[_Row]])="",TRUE()),"",INDEX(tsk_Progress,GanttView[[#This Row],[_Row]]))</f>
        <v/>
      </c>
      <c r="J198" s="118" t="str">
        <f aca="false">IF(IFERROR(INDEX(tsk_Name,GanttView[[#This Row],[_Row]])="",TRUE()),"",INDEX(tsk_Resource,GanttView[[#This Row],[_Row]])&amp;"")</f>
        <v/>
      </c>
      <c r="K198" s="121" t="str">
        <f aca="false">IF(IFERROR(INDEX(tsk_Name,GanttView[[#This Row],[_Row]])="",TRUE()),"",INDEX(tsk_Status,GanttView[[#This Row],[_Row]]))</f>
        <v/>
      </c>
      <c r="L198" s="122" t="n">
        <f aca="false">ROW()-ROW(GanttView[[#Headers],[ID]])</f>
        <v>193</v>
      </c>
      <c r="M198" s="123" t="b">
        <f aca="false">IF(IFERROR(INDEX(tsk_Name,GanttView[[#This Row],[_Row]])="",TRUE()),FALSE(),INDEX(tsk_IsSummary,GanttView[[#This Row],[_Row]]))</f>
        <v>0</v>
      </c>
      <c r="N198" s="123" t="b">
        <f aca="false">IF(IFERROR(INDEX(tsk_Name,GanttView[[#This Row],[_Row]])="",TRUE()),FALSE(),AND(INDEX(tsk_IsLeaf,GanttView[[#This Row],[_Row]])=1,N(INDEX(tsk_Duration,GanttView[[#This Row],[_Row]]))=0))</f>
        <v>0</v>
      </c>
      <c r="O198" s="124" t="n">
        <f aca="false">IF(IFERROR(INDEX(tsk_Name,GanttView[[#This Row],[_Row]])="",TRUE()),0,IF(AND(INDEX(tsk_IsLeaf,GanttView[[#This Row],[_Row]])=1,NOT(GanttView[[#This Row],[_IsMilestone]]),N(GanttView[[#This Row],[%]])&gt;0),GanttView[[#This Row],[Forecast Start]],0))</f>
        <v>0</v>
      </c>
      <c r="P198" s="124" t="n">
        <f aca="false">IF(GanttView[[#This Row],[_DoneFrom]]=0,0,IF(GanttView[[#This Row],[%]]&gt;=1,GanttView[[#This Row],[Forecast Finish]],MAX(GanttView[[#This Row],[_DoneFrom]],GanttView[[#This Row],[Forecast Start]]+ROUND((GanttView[[#This Row],[Forecast Finish]]-GanttView[[#This Row],[Forecast Start]]+1)*GanttView[[#This Row],[%]],0)-1)))</f>
        <v>0</v>
      </c>
      <c r="Q198" s="124" t="n">
        <f aca="false">IF(IFERROR(INDEX(tsk_Name,GanttView[[#This Row],[_Row]])="",TRUE()),0,IF(OR(INDEX(tsk_IsLeaf,GanttView[[#This Row],[_Row]])&lt;&gt;1,GanttView[[#This Row],[_IsMilestone]],N(GanttView[[#This Row],[%]])&gt;=1),0,IF(GanttView[[#This Row],[_DoneTo]]&gt;0,GanttView[[#This Row],[_DoneTo]]+1,GanttView[[#This Row],[Forecast Start]])))</f>
        <v>0</v>
      </c>
      <c r="R198" s="124" t="n">
        <f aca="false">IF(GanttView[[#This Row],[_RemFrom]]=0,0,GanttView[[#This Row],[Forecast Finish]])</f>
        <v>0</v>
      </c>
      <c r="S198" s="123" t="b">
        <f aca="false">IF(IFERROR(INDEX(tsk_Name,GanttView[[#This Row],[_Row]])="",TRUE()),FALSE(),N(INDEX(tsk_Variance,GanttView[[#This Row],[_Row]]))&gt;0)</f>
        <v>0</v>
      </c>
      <c r="T198" s="124" t="n">
        <f aca="false">IF(IFERROR(INDEX(tsk_Name,GanttView[[#This Row],[_Row]])="",TRUE()),0,N(INDEX(tsk_Deadline,GanttView[[#This Row],[_Row]])))</f>
        <v>0</v>
      </c>
      <c r="U198" s="123" t="b">
        <f aca="false">IF(IFERROR(INDEX(tsk_Name,GanttView[[#This Row],[_Row]])="",TRUE()),FALSE(),INDEX(tsk_Critical,GanttView[[#This Row],[_Row]])="Yes")</f>
        <v>0</v>
      </c>
    </row>
    <row r="199" customFormat="false" ht="15" hidden="false" customHeight="false" outlineLevel="0" collapsed="false">
      <c r="A199" s="117" t="str">
        <f aca="false">IF(IFERROR(INDEX(tsk_Name,GanttView[[#This Row],[_Row]])="",TRUE()),"",INDEX(tsk_ID,GanttView[[#This Row],[_Row]]))</f>
        <v/>
      </c>
      <c r="B199" s="117" t="str">
        <f aca="false">IF(IFERROR(INDEX(tsk_Name,GanttView[[#This Row],[_Row]])="",TRUE()),"",INDEX(tsk_WBS,GanttView[[#This Row],[_Row]]))</f>
        <v/>
      </c>
      <c r="C199" s="118" t="str">
        <f aca="false">IF(IFERROR(INDEX(tsk_Name,GanttView[[#This Row],[_Row]])="",TRUE()),"",REPT("    ",INDEX(tsk_Level,GanttView[[#This Row],[_Row]])-1)&amp;INDEX(tsk_Name,GanttView[[#This Row],[_Row]]))</f>
        <v/>
      </c>
      <c r="D199" s="117" t="str">
        <f aca="false">IF(IFERROR(INDEX(tsk_Name,GanttView[[#This Row],[_Row]])="",TRUE()),"",IF(INDEX(tsk_IsSummary,GanttView[[#This Row],[_Row]]),NETWORKDAYS.INTL(INDEX(tsk_FcStart,GanttView[[#This Row],[_Row]]),INDEX(tsk_FcFinish,GanttView[[#This Row],[_Row]]),WorkWeek,Holidays),N(INDEX(tsk_Duration,GanttView[[#This Row],[_Row]]))))</f>
        <v/>
      </c>
      <c r="E199" s="119" t="str">
        <f aca="false">IF(IFERROR(INDEX(tsk_Name,GanttView[[#This Row],[_Row]])="",TRUE()),"",INDEX(tsk_PlanStart,GanttView[[#This Row],[_Row]]))</f>
        <v/>
      </c>
      <c r="F199" s="119" t="str">
        <f aca="false">IF(IFERROR(INDEX(tsk_Name,GanttView[[#This Row],[_Row]])="",TRUE()),"",INDEX(tsk_PlanFinish,GanttView[[#This Row],[_Row]]))</f>
        <v/>
      </c>
      <c r="G199" s="119" t="str">
        <f aca="false">IF(IFERROR(INDEX(tsk_Name,GanttView[[#This Row],[_Row]])="",TRUE()),"",INDEX(tsk_FcStart,GanttView[[#This Row],[_Row]]))</f>
        <v/>
      </c>
      <c r="H199" s="119" t="str">
        <f aca="false">IF(IFERROR(INDEX(tsk_Name,GanttView[[#This Row],[_Row]])="",TRUE()),"",INDEX(tsk_FcFinish,GanttView[[#This Row],[_Row]]))</f>
        <v/>
      </c>
      <c r="I199" s="120" t="str">
        <f aca="false">IF(IFERROR(INDEX(tsk_Name,GanttView[[#This Row],[_Row]])="",TRUE()),"",INDEX(tsk_Progress,GanttView[[#This Row],[_Row]]))</f>
        <v/>
      </c>
      <c r="J199" s="118" t="str">
        <f aca="false">IF(IFERROR(INDEX(tsk_Name,GanttView[[#This Row],[_Row]])="",TRUE()),"",INDEX(tsk_Resource,GanttView[[#This Row],[_Row]])&amp;"")</f>
        <v/>
      </c>
      <c r="K199" s="121" t="str">
        <f aca="false">IF(IFERROR(INDEX(tsk_Name,GanttView[[#This Row],[_Row]])="",TRUE()),"",INDEX(tsk_Status,GanttView[[#This Row],[_Row]]))</f>
        <v/>
      </c>
      <c r="L199" s="122" t="n">
        <f aca="false">ROW()-ROW(GanttView[[#Headers],[ID]])</f>
        <v>194</v>
      </c>
      <c r="M199" s="123" t="b">
        <f aca="false">IF(IFERROR(INDEX(tsk_Name,GanttView[[#This Row],[_Row]])="",TRUE()),FALSE(),INDEX(tsk_IsSummary,GanttView[[#This Row],[_Row]]))</f>
        <v>0</v>
      </c>
      <c r="N199" s="123" t="b">
        <f aca="false">IF(IFERROR(INDEX(tsk_Name,GanttView[[#This Row],[_Row]])="",TRUE()),FALSE(),AND(INDEX(tsk_IsLeaf,GanttView[[#This Row],[_Row]])=1,N(INDEX(tsk_Duration,GanttView[[#This Row],[_Row]]))=0))</f>
        <v>0</v>
      </c>
      <c r="O199" s="124" t="n">
        <f aca="false">IF(IFERROR(INDEX(tsk_Name,GanttView[[#This Row],[_Row]])="",TRUE()),0,IF(AND(INDEX(tsk_IsLeaf,GanttView[[#This Row],[_Row]])=1,NOT(GanttView[[#This Row],[_IsMilestone]]),N(GanttView[[#This Row],[%]])&gt;0),GanttView[[#This Row],[Forecast Start]],0))</f>
        <v>0</v>
      </c>
      <c r="P199" s="124" t="n">
        <f aca="false">IF(GanttView[[#This Row],[_DoneFrom]]=0,0,IF(GanttView[[#This Row],[%]]&gt;=1,GanttView[[#This Row],[Forecast Finish]],MAX(GanttView[[#This Row],[_DoneFrom]],GanttView[[#This Row],[Forecast Start]]+ROUND((GanttView[[#This Row],[Forecast Finish]]-GanttView[[#This Row],[Forecast Start]]+1)*GanttView[[#This Row],[%]],0)-1)))</f>
        <v>0</v>
      </c>
      <c r="Q199" s="124" t="n">
        <f aca="false">IF(IFERROR(INDEX(tsk_Name,GanttView[[#This Row],[_Row]])="",TRUE()),0,IF(OR(INDEX(tsk_IsLeaf,GanttView[[#This Row],[_Row]])&lt;&gt;1,GanttView[[#This Row],[_IsMilestone]],N(GanttView[[#This Row],[%]])&gt;=1),0,IF(GanttView[[#This Row],[_DoneTo]]&gt;0,GanttView[[#This Row],[_DoneTo]]+1,GanttView[[#This Row],[Forecast Start]])))</f>
        <v>0</v>
      </c>
      <c r="R199" s="124" t="n">
        <f aca="false">IF(GanttView[[#This Row],[_RemFrom]]=0,0,GanttView[[#This Row],[Forecast Finish]])</f>
        <v>0</v>
      </c>
      <c r="S199" s="123" t="b">
        <f aca="false">IF(IFERROR(INDEX(tsk_Name,GanttView[[#This Row],[_Row]])="",TRUE()),FALSE(),N(INDEX(tsk_Variance,GanttView[[#This Row],[_Row]]))&gt;0)</f>
        <v>0</v>
      </c>
      <c r="T199" s="124" t="n">
        <f aca="false">IF(IFERROR(INDEX(tsk_Name,GanttView[[#This Row],[_Row]])="",TRUE()),0,N(INDEX(tsk_Deadline,GanttView[[#This Row],[_Row]])))</f>
        <v>0</v>
      </c>
      <c r="U199" s="123" t="b">
        <f aca="false">IF(IFERROR(INDEX(tsk_Name,GanttView[[#This Row],[_Row]])="",TRUE()),FALSE(),INDEX(tsk_Critical,GanttView[[#This Row],[_Row]])="Yes")</f>
        <v>0</v>
      </c>
    </row>
    <row r="200" customFormat="false" ht="15" hidden="false" customHeight="false" outlineLevel="0" collapsed="false">
      <c r="A200" s="117" t="str">
        <f aca="false">IF(IFERROR(INDEX(tsk_Name,GanttView[[#This Row],[_Row]])="",TRUE()),"",INDEX(tsk_ID,GanttView[[#This Row],[_Row]]))</f>
        <v/>
      </c>
      <c r="B200" s="117" t="str">
        <f aca="false">IF(IFERROR(INDEX(tsk_Name,GanttView[[#This Row],[_Row]])="",TRUE()),"",INDEX(tsk_WBS,GanttView[[#This Row],[_Row]]))</f>
        <v/>
      </c>
      <c r="C200" s="118" t="str">
        <f aca="false">IF(IFERROR(INDEX(tsk_Name,GanttView[[#This Row],[_Row]])="",TRUE()),"",REPT("    ",INDEX(tsk_Level,GanttView[[#This Row],[_Row]])-1)&amp;INDEX(tsk_Name,GanttView[[#This Row],[_Row]]))</f>
        <v/>
      </c>
      <c r="D200" s="117" t="str">
        <f aca="false">IF(IFERROR(INDEX(tsk_Name,GanttView[[#This Row],[_Row]])="",TRUE()),"",IF(INDEX(tsk_IsSummary,GanttView[[#This Row],[_Row]]),NETWORKDAYS.INTL(INDEX(tsk_FcStart,GanttView[[#This Row],[_Row]]),INDEX(tsk_FcFinish,GanttView[[#This Row],[_Row]]),WorkWeek,Holidays),N(INDEX(tsk_Duration,GanttView[[#This Row],[_Row]]))))</f>
        <v/>
      </c>
      <c r="E200" s="119" t="str">
        <f aca="false">IF(IFERROR(INDEX(tsk_Name,GanttView[[#This Row],[_Row]])="",TRUE()),"",INDEX(tsk_PlanStart,GanttView[[#This Row],[_Row]]))</f>
        <v/>
      </c>
      <c r="F200" s="119" t="str">
        <f aca="false">IF(IFERROR(INDEX(tsk_Name,GanttView[[#This Row],[_Row]])="",TRUE()),"",INDEX(tsk_PlanFinish,GanttView[[#This Row],[_Row]]))</f>
        <v/>
      </c>
      <c r="G200" s="119" t="str">
        <f aca="false">IF(IFERROR(INDEX(tsk_Name,GanttView[[#This Row],[_Row]])="",TRUE()),"",INDEX(tsk_FcStart,GanttView[[#This Row],[_Row]]))</f>
        <v/>
      </c>
      <c r="H200" s="119" t="str">
        <f aca="false">IF(IFERROR(INDEX(tsk_Name,GanttView[[#This Row],[_Row]])="",TRUE()),"",INDEX(tsk_FcFinish,GanttView[[#This Row],[_Row]]))</f>
        <v/>
      </c>
      <c r="I200" s="120" t="str">
        <f aca="false">IF(IFERROR(INDEX(tsk_Name,GanttView[[#This Row],[_Row]])="",TRUE()),"",INDEX(tsk_Progress,GanttView[[#This Row],[_Row]]))</f>
        <v/>
      </c>
      <c r="J200" s="118" t="str">
        <f aca="false">IF(IFERROR(INDEX(tsk_Name,GanttView[[#This Row],[_Row]])="",TRUE()),"",INDEX(tsk_Resource,GanttView[[#This Row],[_Row]])&amp;"")</f>
        <v/>
      </c>
      <c r="K200" s="121" t="str">
        <f aca="false">IF(IFERROR(INDEX(tsk_Name,GanttView[[#This Row],[_Row]])="",TRUE()),"",INDEX(tsk_Status,GanttView[[#This Row],[_Row]]))</f>
        <v/>
      </c>
      <c r="L200" s="122" t="n">
        <f aca="false">ROW()-ROW(GanttView[[#Headers],[ID]])</f>
        <v>195</v>
      </c>
      <c r="M200" s="123" t="b">
        <f aca="false">IF(IFERROR(INDEX(tsk_Name,GanttView[[#This Row],[_Row]])="",TRUE()),FALSE(),INDEX(tsk_IsSummary,GanttView[[#This Row],[_Row]]))</f>
        <v>0</v>
      </c>
      <c r="N200" s="123" t="b">
        <f aca="false">IF(IFERROR(INDEX(tsk_Name,GanttView[[#This Row],[_Row]])="",TRUE()),FALSE(),AND(INDEX(tsk_IsLeaf,GanttView[[#This Row],[_Row]])=1,N(INDEX(tsk_Duration,GanttView[[#This Row],[_Row]]))=0))</f>
        <v>0</v>
      </c>
      <c r="O200" s="124" t="n">
        <f aca="false">IF(IFERROR(INDEX(tsk_Name,GanttView[[#This Row],[_Row]])="",TRUE()),0,IF(AND(INDEX(tsk_IsLeaf,GanttView[[#This Row],[_Row]])=1,NOT(GanttView[[#This Row],[_IsMilestone]]),N(GanttView[[#This Row],[%]])&gt;0),GanttView[[#This Row],[Forecast Start]],0))</f>
        <v>0</v>
      </c>
      <c r="P200" s="124" t="n">
        <f aca="false">IF(GanttView[[#This Row],[_DoneFrom]]=0,0,IF(GanttView[[#This Row],[%]]&gt;=1,GanttView[[#This Row],[Forecast Finish]],MAX(GanttView[[#This Row],[_DoneFrom]],GanttView[[#This Row],[Forecast Start]]+ROUND((GanttView[[#This Row],[Forecast Finish]]-GanttView[[#This Row],[Forecast Start]]+1)*GanttView[[#This Row],[%]],0)-1)))</f>
        <v>0</v>
      </c>
      <c r="Q200" s="124" t="n">
        <f aca="false">IF(IFERROR(INDEX(tsk_Name,GanttView[[#This Row],[_Row]])="",TRUE()),0,IF(OR(INDEX(tsk_IsLeaf,GanttView[[#This Row],[_Row]])&lt;&gt;1,GanttView[[#This Row],[_IsMilestone]],N(GanttView[[#This Row],[%]])&gt;=1),0,IF(GanttView[[#This Row],[_DoneTo]]&gt;0,GanttView[[#This Row],[_DoneTo]]+1,GanttView[[#This Row],[Forecast Start]])))</f>
        <v>0</v>
      </c>
      <c r="R200" s="124" t="n">
        <f aca="false">IF(GanttView[[#This Row],[_RemFrom]]=0,0,GanttView[[#This Row],[Forecast Finish]])</f>
        <v>0</v>
      </c>
      <c r="S200" s="123" t="b">
        <f aca="false">IF(IFERROR(INDEX(tsk_Name,GanttView[[#This Row],[_Row]])="",TRUE()),FALSE(),N(INDEX(tsk_Variance,GanttView[[#This Row],[_Row]]))&gt;0)</f>
        <v>0</v>
      </c>
      <c r="T200" s="124" t="n">
        <f aca="false">IF(IFERROR(INDEX(tsk_Name,GanttView[[#This Row],[_Row]])="",TRUE()),0,N(INDEX(tsk_Deadline,GanttView[[#This Row],[_Row]])))</f>
        <v>0</v>
      </c>
      <c r="U200" s="123" t="b">
        <f aca="false">IF(IFERROR(INDEX(tsk_Name,GanttView[[#This Row],[_Row]])="",TRUE()),FALSE(),INDEX(tsk_Critical,GanttView[[#This Row],[_Row]])="Yes")</f>
        <v>0</v>
      </c>
    </row>
    <row r="201" customFormat="false" ht="15" hidden="false" customHeight="false" outlineLevel="0" collapsed="false">
      <c r="A201" s="117" t="str">
        <f aca="false">IF(IFERROR(INDEX(tsk_Name,GanttView[[#This Row],[_Row]])="",TRUE()),"",INDEX(tsk_ID,GanttView[[#This Row],[_Row]]))</f>
        <v/>
      </c>
      <c r="B201" s="117" t="str">
        <f aca="false">IF(IFERROR(INDEX(tsk_Name,GanttView[[#This Row],[_Row]])="",TRUE()),"",INDEX(tsk_WBS,GanttView[[#This Row],[_Row]]))</f>
        <v/>
      </c>
      <c r="C201" s="118" t="str">
        <f aca="false">IF(IFERROR(INDEX(tsk_Name,GanttView[[#This Row],[_Row]])="",TRUE()),"",REPT("    ",INDEX(tsk_Level,GanttView[[#This Row],[_Row]])-1)&amp;INDEX(tsk_Name,GanttView[[#This Row],[_Row]]))</f>
        <v/>
      </c>
      <c r="D201" s="117" t="str">
        <f aca="false">IF(IFERROR(INDEX(tsk_Name,GanttView[[#This Row],[_Row]])="",TRUE()),"",IF(INDEX(tsk_IsSummary,GanttView[[#This Row],[_Row]]),NETWORKDAYS.INTL(INDEX(tsk_FcStart,GanttView[[#This Row],[_Row]]),INDEX(tsk_FcFinish,GanttView[[#This Row],[_Row]]),WorkWeek,Holidays),N(INDEX(tsk_Duration,GanttView[[#This Row],[_Row]]))))</f>
        <v/>
      </c>
      <c r="E201" s="119" t="str">
        <f aca="false">IF(IFERROR(INDEX(tsk_Name,GanttView[[#This Row],[_Row]])="",TRUE()),"",INDEX(tsk_PlanStart,GanttView[[#This Row],[_Row]]))</f>
        <v/>
      </c>
      <c r="F201" s="119" t="str">
        <f aca="false">IF(IFERROR(INDEX(tsk_Name,GanttView[[#This Row],[_Row]])="",TRUE()),"",INDEX(tsk_PlanFinish,GanttView[[#This Row],[_Row]]))</f>
        <v/>
      </c>
      <c r="G201" s="119" t="str">
        <f aca="false">IF(IFERROR(INDEX(tsk_Name,GanttView[[#This Row],[_Row]])="",TRUE()),"",INDEX(tsk_FcStart,GanttView[[#This Row],[_Row]]))</f>
        <v/>
      </c>
      <c r="H201" s="119" t="str">
        <f aca="false">IF(IFERROR(INDEX(tsk_Name,GanttView[[#This Row],[_Row]])="",TRUE()),"",INDEX(tsk_FcFinish,GanttView[[#This Row],[_Row]]))</f>
        <v/>
      </c>
      <c r="I201" s="120" t="str">
        <f aca="false">IF(IFERROR(INDEX(tsk_Name,GanttView[[#This Row],[_Row]])="",TRUE()),"",INDEX(tsk_Progress,GanttView[[#This Row],[_Row]]))</f>
        <v/>
      </c>
      <c r="J201" s="118" t="str">
        <f aca="false">IF(IFERROR(INDEX(tsk_Name,GanttView[[#This Row],[_Row]])="",TRUE()),"",INDEX(tsk_Resource,GanttView[[#This Row],[_Row]])&amp;"")</f>
        <v/>
      </c>
      <c r="K201" s="121" t="str">
        <f aca="false">IF(IFERROR(INDEX(tsk_Name,GanttView[[#This Row],[_Row]])="",TRUE()),"",INDEX(tsk_Status,GanttView[[#This Row],[_Row]]))</f>
        <v/>
      </c>
      <c r="L201" s="122" t="n">
        <f aca="false">ROW()-ROW(GanttView[[#Headers],[ID]])</f>
        <v>196</v>
      </c>
      <c r="M201" s="123" t="b">
        <f aca="false">IF(IFERROR(INDEX(tsk_Name,GanttView[[#This Row],[_Row]])="",TRUE()),FALSE(),INDEX(tsk_IsSummary,GanttView[[#This Row],[_Row]]))</f>
        <v>0</v>
      </c>
      <c r="N201" s="123" t="b">
        <f aca="false">IF(IFERROR(INDEX(tsk_Name,GanttView[[#This Row],[_Row]])="",TRUE()),FALSE(),AND(INDEX(tsk_IsLeaf,GanttView[[#This Row],[_Row]])=1,N(INDEX(tsk_Duration,GanttView[[#This Row],[_Row]]))=0))</f>
        <v>0</v>
      </c>
      <c r="O201" s="124" t="n">
        <f aca="false">IF(IFERROR(INDEX(tsk_Name,GanttView[[#This Row],[_Row]])="",TRUE()),0,IF(AND(INDEX(tsk_IsLeaf,GanttView[[#This Row],[_Row]])=1,NOT(GanttView[[#This Row],[_IsMilestone]]),N(GanttView[[#This Row],[%]])&gt;0),GanttView[[#This Row],[Forecast Start]],0))</f>
        <v>0</v>
      </c>
      <c r="P201" s="124" t="n">
        <f aca="false">IF(GanttView[[#This Row],[_DoneFrom]]=0,0,IF(GanttView[[#This Row],[%]]&gt;=1,GanttView[[#This Row],[Forecast Finish]],MAX(GanttView[[#This Row],[_DoneFrom]],GanttView[[#This Row],[Forecast Start]]+ROUND((GanttView[[#This Row],[Forecast Finish]]-GanttView[[#This Row],[Forecast Start]]+1)*GanttView[[#This Row],[%]],0)-1)))</f>
        <v>0</v>
      </c>
      <c r="Q201" s="124" t="n">
        <f aca="false">IF(IFERROR(INDEX(tsk_Name,GanttView[[#This Row],[_Row]])="",TRUE()),0,IF(OR(INDEX(tsk_IsLeaf,GanttView[[#This Row],[_Row]])&lt;&gt;1,GanttView[[#This Row],[_IsMilestone]],N(GanttView[[#This Row],[%]])&gt;=1),0,IF(GanttView[[#This Row],[_DoneTo]]&gt;0,GanttView[[#This Row],[_DoneTo]]+1,GanttView[[#This Row],[Forecast Start]])))</f>
        <v>0</v>
      </c>
      <c r="R201" s="124" t="n">
        <f aca="false">IF(GanttView[[#This Row],[_RemFrom]]=0,0,GanttView[[#This Row],[Forecast Finish]])</f>
        <v>0</v>
      </c>
      <c r="S201" s="123" t="b">
        <f aca="false">IF(IFERROR(INDEX(tsk_Name,GanttView[[#This Row],[_Row]])="",TRUE()),FALSE(),N(INDEX(tsk_Variance,GanttView[[#This Row],[_Row]]))&gt;0)</f>
        <v>0</v>
      </c>
      <c r="T201" s="124" t="n">
        <f aca="false">IF(IFERROR(INDEX(tsk_Name,GanttView[[#This Row],[_Row]])="",TRUE()),0,N(INDEX(tsk_Deadline,GanttView[[#This Row],[_Row]])))</f>
        <v>0</v>
      </c>
      <c r="U201" s="123" t="b">
        <f aca="false">IF(IFERROR(INDEX(tsk_Name,GanttView[[#This Row],[_Row]])="",TRUE()),FALSE(),INDEX(tsk_Critical,GanttView[[#This Row],[_Row]])="Yes")</f>
        <v>0</v>
      </c>
    </row>
    <row r="202" customFormat="false" ht="15" hidden="false" customHeight="false" outlineLevel="0" collapsed="false">
      <c r="A202" s="117" t="str">
        <f aca="false">IF(IFERROR(INDEX(tsk_Name,GanttView[[#This Row],[_Row]])="",TRUE()),"",INDEX(tsk_ID,GanttView[[#This Row],[_Row]]))</f>
        <v/>
      </c>
      <c r="B202" s="117" t="str">
        <f aca="false">IF(IFERROR(INDEX(tsk_Name,GanttView[[#This Row],[_Row]])="",TRUE()),"",INDEX(tsk_WBS,GanttView[[#This Row],[_Row]]))</f>
        <v/>
      </c>
      <c r="C202" s="118" t="str">
        <f aca="false">IF(IFERROR(INDEX(tsk_Name,GanttView[[#This Row],[_Row]])="",TRUE()),"",REPT("    ",INDEX(tsk_Level,GanttView[[#This Row],[_Row]])-1)&amp;INDEX(tsk_Name,GanttView[[#This Row],[_Row]]))</f>
        <v/>
      </c>
      <c r="D202" s="117" t="str">
        <f aca="false">IF(IFERROR(INDEX(tsk_Name,GanttView[[#This Row],[_Row]])="",TRUE()),"",IF(INDEX(tsk_IsSummary,GanttView[[#This Row],[_Row]]),NETWORKDAYS.INTL(INDEX(tsk_FcStart,GanttView[[#This Row],[_Row]]),INDEX(tsk_FcFinish,GanttView[[#This Row],[_Row]]),WorkWeek,Holidays),N(INDEX(tsk_Duration,GanttView[[#This Row],[_Row]]))))</f>
        <v/>
      </c>
      <c r="E202" s="119" t="str">
        <f aca="false">IF(IFERROR(INDEX(tsk_Name,GanttView[[#This Row],[_Row]])="",TRUE()),"",INDEX(tsk_PlanStart,GanttView[[#This Row],[_Row]]))</f>
        <v/>
      </c>
      <c r="F202" s="119" t="str">
        <f aca="false">IF(IFERROR(INDEX(tsk_Name,GanttView[[#This Row],[_Row]])="",TRUE()),"",INDEX(tsk_PlanFinish,GanttView[[#This Row],[_Row]]))</f>
        <v/>
      </c>
      <c r="G202" s="119" t="str">
        <f aca="false">IF(IFERROR(INDEX(tsk_Name,GanttView[[#This Row],[_Row]])="",TRUE()),"",INDEX(tsk_FcStart,GanttView[[#This Row],[_Row]]))</f>
        <v/>
      </c>
      <c r="H202" s="119" t="str">
        <f aca="false">IF(IFERROR(INDEX(tsk_Name,GanttView[[#This Row],[_Row]])="",TRUE()),"",INDEX(tsk_FcFinish,GanttView[[#This Row],[_Row]]))</f>
        <v/>
      </c>
      <c r="I202" s="120" t="str">
        <f aca="false">IF(IFERROR(INDEX(tsk_Name,GanttView[[#This Row],[_Row]])="",TRUE()),"",INDEX(tsk_Progress,GanttView[[#This Row],[_Row]]))</f>
        <v/>
      </c>
      <c r="J202" s="118" t="str">
        <f aca="false">IF(IFERROR(INDEX(tsk_Name,GanttView[[#This Row],[_Row]])="",TRUE()),"",INDEX(tsk_Resource,GanttView[[#This Row],[_Row]])&amp;"")</f>
        <v/>
      </c>
      <c r="K202" s="121" t="str">
        <f aca="false">IF(IFERROR(INDEX(tsk_Name,GanttView[[#This Row],[_Row]])="",TRUE()),"",INDEX(tsk_Status,GanttView[[#This Row],[_Row]]))</f>
        <v/>
      </c>
      <c r="L202" s="122" t="n">
        <f aca="false">ROW()-ROW(GanttView[[#Headers],[ID]])</f>
        <v>197</v>
      </c>
      <c r="M202" s="123" t="b">
        <f aca="false">IF(IFERROR(INDEX(tsk_Name,GanttView[[#This Row],[_Row]])="",TRUE()),FALSE(),INDEX(tsk_IsSummary,GanttView[[#This Row],[_Row]]))</f>
        <v>0</v>
      </c>
      <c r="N202" s="123" t="b">
        <f aca="false">IF(IFERROR(INDEX(tsk_Name,GanttView[[#This Row],[_Row]])="",TRUE()),FALSE(),AND(INDEX(tsk_IsLeaf,GanttView[[#This Row],[_Row]])=1,N(INDEX(tsk_Duration,GanttView[[#This Row],[_Row]]))=0))</f>
        <v>0</v>
      </c>
      <c r="O202" s="124" t="n">
        <f aca="false">IF(IFERROR(INDEX(tsk_Name,GanttView[[#This Row],[_Row]])="",TRUE()),0,IF(AND(INDEX(tsk_IsLeaf,GanttView[[#This Row],[_Row]])=1,NOT(GanttView[[#This Row],[_IsMilestone]]),N(GanttView[[#This Row],[%]])&gt;0),GanttView[[#This Row],[Forecast Start]],0))</f>
        <v>0</v>
      </c>
      <c r="P202" s="124" t="n">
        <f aca="false">IF(GanttView[[#This Row],[_DoneFrom]]=0,0,IF(GanttView[[#This Row],[%]]&gt;=1,GanttView[[#This Row],[Forecast Finish]],MAX(GanttView[[#This Row],[_DoneFrom]],GanttView[[#This Row],[Forecast Start]]+ROUND((GanttView[[#This Row],[Forecast Finish]]-GanttView[[#This Row],[Forecast Start]]+1)*GanttView[[#This Row],[%]],0)-1)))</f>
        <v>0</v>
      </c>
      <c r="Q202" s="124" t="n">
        <f aca="false">IF(IFERROR(INDEX(tsk_Name,GanttView[[#This Row],[_Row]])="",TRUE()),0,IF(OR(INDEX(tsk_IsLeaf,GanttView[[#This Row],[_Row]])&lt;&gt;1,GanttView[[#This Row],[_IsMilestone]],N(GanttView[[#This Row],[%]])&gt;=1),0,IF(GanttView[[#This Row],[_DoneTo]]&gt;0,GanttView[[#This Row],[_DoneTo]]+1,GanttView[[#This Row],[Forecast Start]])))</f>
        <v>0</v>
      </c>
      <c r="R202" s="124" t="n">
        <f aca="false">IF(GanttView[[#This Row],[_RemFrom]]=0,0,GanttView[[#This Row],[Forecast Finish]])</f>
        <v>0</v>
      </c>
      <c r="S202" s="123" t="b">
        <f aca="false">IF(IFERROR(INDEX(tsk_Name,GanttView[[#This Row],[_Row]])="",TRUE()),FALSE(),N(INDEX(tsk_Variance,GanttView[[#This Row],[_Row]]))&gt;0)</f>
        <v>0</v>
      </c>
      <c r="T202" s="124" t="n">
        <f aca="false">IF(IFERROR(INDEX(tsk_Name,GanttView[[#This Row],[_Row]])="",TRUE()),0,N(INDEX(tsk_Deadline,GanttView[[#This Row],[_Row]])))</f>
        <v>0</v>
      </c>
      <c r="U202" s="123" t="b">
        <f aca="false">IF(IFERROR(INDEX(tsk_Name,GanttView[[#This Row],[_Row]])="",TRUE()),FALSE(),INDEX(tsk_Critical,GanttView[[#This Row],[_Row]])="Yes")</f>
        <v>0</v>
      </c>
    </row>
    <row r="203" customFormat="false" ht="15" hidden="false" customHeight="false" outlineLevel="0" collapsed="false">
      <c r="A203" s="117" t="str">
        <f aca="false">IF(IFERROR(INDEX(tsk_Name,GanttView[[#This Row],[_Row]])="",TRUE()),"",INDEX(tsk_ID,GanttView[[#This Row],[_Row]]))</f>
        <v/>
      </c>
      <c r="B203" s="117" t="str">
        <f aca="false">IF(IFERROR(INDEX(tsk_Name,GanttView[[#This Row],[_Row]])="",TRUE()),"",INDEX(tsk_WBS,GanttView[[#This Row],[_Row]]))</f>
        <v/>
      </c>
      <c r="C203" s="118" t="str">
        <f aca="false">IF(IFERROR(INDEX(tsk_Name,GanttView[[#This Row],[_Row]])="",TRUE()),"",REPT("    ",INDEX(tsk_Level,GanttView[[#This Row],[_Row]])-1)&amp;INDEX(tsk_Name,GanttView[[#This Row],[_Row]]))</f>
        <v/>
      </c>
      <c r="D203" s="117" t="str">
        <f aca="false">IF(IFERROR(INDEX(tsk_Name,GanttView[[#This Row],[_Row]])="",TRUE()),"",IF(INDEX(tsk_IsSummary,GanttView[[#This Row],[_Row]]),NETWORKDAYS.INTL(INDEX(tsk_FcStart,GanttView[[#This Row],[_Row]]),INDEX(tsk_FcFinish,GanttView[[#This Row],[_Row]]),WorkWeek,Holidays),N(INDEX(tsk_Duration,GanttView[[#This Row],[_Row]]))))</f>
        <v/>
      </c>
      <c r="E203" s="119" t="str">
        <f aca="false">IF(IFERROR(INDEX(tsk_Name,GanttView[[#This Row],[_Row]])="",TRUE()),"",INDEX(tsk_PlanStart,GanttView[[#This Row],[_Row]]))</f>
        <v/>
      </c>
      <c r="F203" s="119" t="str">
        <f aca="false">IF(IFERROR(INDEX(tsk_Name,GanttView[[#This Row],[_Row]])="",TRUE()),"",INDEX(tsk_PlanFinish,GanttView[[#This Row],[_Row]]))</f>
        <v/>
      </c>
      <c r="G203" s="119" t="str">
        <f aca="false">IF(IFERROR(INDEX(tsk_Name,GanttView[[#This Row],[_Row]])="",TRUE()),"",INDEX(tsk_FcStart,GanttView[[#This Row],[_Row]]))</f>
        <v/>
      </c>
      <c r="H203" s="119" t="str">
        <f aca="false">IF(IFERROR(INDEX(tsk_Name,GanttView[[#This Row],[_Row]])="",TRUE()),"",INDEX(tsk_FcFinish,GanttView[[#This Row],[_Row]]))</f>
        <v/>
      </c>
      <c r="I203" s="120" t="str">
        <f aca="false">IF(IFERROR(INDEX(tsk_Name,GanttView[[#This Row],[_Row]])="",TRUE()),"",INDEX(tsk_Progress,GanttView[[#This Row],[_Row]]))</f>
        <v/>
      </c>
      <c r="J203" s="118" t="str">
        <f aca="false">IF(IFERROR(INDEX(tsk_Name,GanttView[[#This Row],[_Row]])="",TRUE()),"",INDEX(tsk_Resource,GanttView[[#This Row],[_Row]])&amp;"")</f>
        <v/>
      </c>
      <c r="K203" s="121" t="str">
        <f aca="false">IF(IFERROR(INDEX(tsk_Name,GanttView[[#This Row],[_Row]])="",TRUE()),"",INDEX(tsk_Status,GanttView[[#This Row],[_Row]]))</f>
        <v/>
      </c>
      <c r="L203" s="122" t="n">
        <f aca="false">ROW()-ROW(GanttView[[#Headers],[ID]])</f>
        <v>198</v>
      </c>
      <c r="M203" s="123" t="b">
        <f aca="false">IF(IFERROR(INDEX(tsk_Name,GanttView[[#This Row],[_Row]])="",TRUE()),FALSE(),INDEX(tsk_IsSummary,GanttView[[#This Row],[_Row]]))</f>
        <v>0</v>
      </c>
      <c r="N203" s="123" t="b">
        <f aca="false">IF(IFERROR(INDEX(tsk_Name,GanttView[[#This Row],[_Row]])="",TRUE()),FALSE(),AND(INDEX(tsk_IsLeaf,GanttView[[#This Row],[_Row]])=1,N(INDEX(tsk_Duration,GanttView[[#This Row],[_Row]]))=0))</f>
        <v>0</v>
      </c>
      <c r="O203" s="124" t="n">
        <f aca="false">IF(IFERROR(INDEX(tsk_Name,GanttView[[#This Row],[_Row]])="",TRUE()),0,IF(AND(INDEX(tsk_IsLeaf,GanttView[[#This Row],[_Row]])=1,NOT(GanttView[[#This Row],[_IsMilestone]]),N(GanttView[[#This Row],[%]])&gt;0),GanttView[[#This Row],[Forecast Start]],0))</f>
        <v>0</v>
      </c>
      <c r="P203" s="124" t="n">
        <f aca="false">IF(GanttView[[#This Row],[_DoneFrom]]=0,0,IF(GanttView[[#This Row],[%]]&gt;=1,GanttView[[#This Row],[Forecast Finish]],MAX(GanttView[[#This Row],[_DoneFrom]],GanttView[[#This Row],[Forecast Start]]+ROUND((GanttView[[#This Row],[Forecast Finish]]-GanttView[[#This Row],[Forecast Start]]+1)*GanttView[[#This Row],[%]],0)-1)))</f>
        <v>0</v>
      </c>
      <c r="Q203" s="124" t="n">
        <f aca="false">IF(IFERROR(INDEX(tsk_Name,GanttView[[#This Row],[_Row]])="",TRUE()),0,IF(OR(INDEX(tsk_IsLeaf,GanttView[[#This Row],[_Row]])&lt;&gt;1,GanttView[[#This Row],[_IsMilestone]],N(GanttView[[#This Row],[%]])&gt;=1),0,IF(GanttView[[#This Row],[_DoneTo]]&gt;0,GanttView[[#This Row],[_DoneTo]]+1,GanttView[[#This Row],[Forecast Start]])))</f>
        <v>0</v>
      </c>
      <c r="R203" s="124" t="n">
        <f aca="false">IF(GanttView[[#This Row],[_RemFrom]]=0,0,GanttView[[#This Row],[Forecast Finish]])</f>
        <v>0</v>
      </c>
      <c r="S203" s="123" t="b">
        <f aca="false">IF(IFERROR(INDEX(tsk_Name,GanttView[[#This Row],[_Row]])="",TRUE()),FALSE(),N(INDEX(tsk_Variance,GanttView[[#This Row],[_Row]]))&gt;0)</f>
        <v>0</v>
      </c>
      <c r="T203" s="124" t="n">
        <f aca="false">IF(IFERROR(INDEX(tsk_Name,GanttView[[#This Row],[_Row]])="",TRUE()),0,N(INDEX(tsk_Deadline,GanttView[[#This Row],[_Row]])))</f>
        <v>0</v>
      </c>
      <c r="U203" s="123" t="b">
        <f aca="false">IF(IFERROR(INDEX(tsk_Name,GanttView[[#This Row],[_Row]])="",TRUE()),FALSE(),INDEX(tsk_Critical,GanttView[[#This Row],[_Row]])="Yes")</f>
        <v>0</v>
      </c>
    </row>
    <row r="204" customFormat="false" ht="15" hidden="false" customHeight="false" outlineLevel="0" collapsed="false">
      <c r="A204" s="117" t="str">
        <f aca="false">IF(IFERROR(INDEX(tsk_Name,GanttView[[#This Row],[_Row]])="",TRUE()),"",INDEX(tsk_ID,GanttView[[#This Row],[_Row]]))</f>
        <v/>
      </c>
      <c r="B204" s="117" t="str">
        <f aca="false">IF(IFERROR(INDEX(tsk_Name,GanttView[[#This Row],[_Row]])="",TRUE()),"",INDEX(tsk_WBS,GanttView[[#This Row],[_Row]]))</f>
        <v/>
      </c>
      <c r="C204" s="118" t="str">
        <f aca="false">IF(IFERROR(INDEX(tsk_Name,GanttView[[#This Row],[_Row]])="",TRUE()),"",REPT("    ",INDEX(tsk_Level,GanttView[[#This Row],[_Row]])-1)&amp;INDEX(tsk_Name,GanttView[[#This Row],[_Row]]))</f>
        <v/>
      </c>
      <c r="D204" s="117" t="str">
        <f aca="false">IF(IFERROR(INDEX(tsk_Name,GanttView[[#This Row],[_Row]])="",TRUE()),"",IF(INDEX(tsk_IsSummary,GanttView[[#This Row],[_Row]]),NETWORKDAYS.INTL(INDEX(tsk_FcStart,GanttView[[#This Row],[_Row]]),INDEX(tsk_FcFinish,GanttView[[#This Row],[_Row]]),WorkWeek,Holidays),N(INDEX(tsk_Duration,GanttView[[#This Row],[_Row]]))))</f>
        <v/>
      </c>
      <c r="E204" s="119" t="str">
        <f aca="false">IF(IFERROR(INDEX(tsk_Name,GanttView[[#This Row],[_Row]])="",TRUE()),"",INDEX(tsk_PlanStart,GanttView[[#This Row],[_Row]]))</f>
        <v/>
      </c>
      <c r="F204" s="119" t="str">
        <f aca="false">IF(IFERROR(INDEX(tsk_Name,GanttView[[#This Row],[_Row]])="",TRUE()),"",INDEX(tsk_PlanFinish,GanttView[[#This Row],[_Row]]))</f>
        <v/>
      </c>
      <c r="G204" s="119" t="str">
        <f aca="false">IF(IFERROR(INDEX(tsk_Name,GanttView[[#This Row],[_Row]])="",TRUE()),"",INDEX(tsk_FcStart,GanttView[[#This Row],[_Row]]))</f>
        <v/>
      </c>
      <c r="H204" s="119" t="str">
        <f aca="false">IF(IFERROR(INDEX(tsk_Name,GanttView[[#This Row],[_Row]])="",TRUE()),"",INDEX(tsk_FcFinish,GanttView[[#This Row],[_Row]]))</f>
        <v/>
      </c>
      <c r="I204" s="120" t="str">
        <f aca="false">IF(IFERROR(INDEX(tsk_Name,GanttView[[#This Row],[_Row]])="",TRUE()),"",INDEX(tsk_Progress,GanttView[[#This Row],[_Row]]))</f>
        <v/>
      </c>
      <c r="J204" s="118" t="str">
        <f aca="false">IF(IFERROR(INDEX(tsk_Name,GanttView[[#This Row],[_Row]])="",TRUE()),"",INDEX(tsk_Resource,GanttView[[#This Row],[_Row]])&amp;"")</f>
        <v/>
      </c>
      <c r="K204" s="121" t="str">
        <f aca="false">IF(IFERROR(INDEX(tsk_Name,GanttView[[#This Row],[_Row]])="",TRUE()),"",INDEX(tsk_Status,GanttView[[#This Row],[_Row]]))</f>
        <v/>
      </c>
      <c r="L204" s="122" t="n">
        <f aca="false">ROW()-ROW(GanttView[[#Headers],[ID]])</f>
        <v>199</v>
      </c>
      <c r="M204" s="123" t="b">
        <f aca="false">IF(IFERROR(INDEX(tsk_Name,GanttView[[#This Row],[_Row]])="",TRUE()),FALSE(),INDEX(tsk_IsSummary,GanttView[[#This Row],[_Row]]))</f>
        <v>0</v>
      </c>
      <c r="N204" s="123" t="b">
        <f aca="false">IF(IFERROR(INDEX(tsk_Name,GanttView[[#This Row],[_Row]])="",TRUE()),FALSE(),AND(INDEX(tsk_IsLeaf,GanttView[[#This Row],[_Row]])=1,N(INDEX(tsk_Duration,GanttView[[#This Row],[_Row]]))=0))</f>
        <v>0</v>
      </c>
      <c r="O204" s="124" t="n">
        <f aca="false">IF(IFERROR(INDEX(tsk_Name,GanttView[[#This Row],[_Row]])="",TRUE()),0,IF(AND(INDEX(tsk_IsLeaf,GanttView[[#This Row],[_Row]])=1,NOT(GanttView[[#This Row],[_IsMilestone]]),N(GanttView[[#This Row],[%]])&gt;0),GanttView[[#This Row],[Forecast Start]],0))</f>
        <v>0</v>
      </c>
      <c r="P204" s="124" t="n">
        <f aca="false">IF(GanttView[[#This Row],[_DoneFrom]]=0,0,IF(GanttView[[#This Row],[%]]&gt;=1,GanttView[[#This Row],[Forecast Finish]],MAX(GanttView[[#This Row],[_DoneFrom]],GanttView[[#This Row],[Forecast Start]]+ROUND((GanttView[[#This Row],[Forecast Finish]]-GanttView[[#This Row],[Forecast Start]]+1)*GanttView[[#This Row],[%]],0)-1)))</f>
        <v>0</v>
      </c>
      <c r="Q204" s="124" t="n">
        <f aca="false">IF(IFERROR(INDEX(tsk_Name,GanttView[[#This Row],[_Row]])="",TRUE()),0,IF(OR(INDEX(tsk_IsLeaf,GanttView[[#This Row],[_Row]])&lt;&gt;1,GanttView[[#This Row],[_IsMilestone]],N(GanttView[[#This Row],[%]])&gt;=1),0,IF(GanttView[[#This Row],[_DoneTo]]&gt;0,GanttView[[#This Row],[_DoneTo]]+1,GanttView[[#This Row],[Forecast Start]])))</f>
        <v>0</v>
      </c>
      <c r="R204" s="124" t="n">
        <f aca="false">IF(GanttView[[#This Row],[_RemFrom]]=0,0,GanttView[[#This Row],[Forecast Finish]])</f>
        <v>0</v>
      </c>
      <c r="S204" s="123" t="b">
        <f aca="false">IF(IFERROR(INDEX(tsk_Name,GanttView[[#This Row],[_Row]])="",TRUE()),FALSE(),N(INDEX(tsk_Variance,GanttView[[#This Row],[_Row]]))&gt;0)</f>
        <v>0</v>
      </c>
      <c r="T204" s="124" t="n">
        <f aca="false">IF(IFERROR(INDEX(tsk_Name,GanttView[[#This Row],[_Row]])="",TRUE()),0,N(INDEX(tsk_Deadline,GanttView[[#This Row],[_Row]])))</f>
        <v>0</v>
      </c>
      <c r="U204" s="123" t="b">
        <f aca="false">IF(IFERROR(INDEX(tsk_Name,GanttView[[#This Row],[_Row]])="",TRUE()),FALSE(),INDEX(tsk_Critical,GanttView[[#This Row],[_Row]])="Yes")</f>
        <v>0</v>
      </c>
    </row>
    <row r="205" customFormat="false" ht="15" hidden="false" customHeight="false" outlineLevel="0" collapsed="false">
      <c r="A205" s="117" t="str">
        <f aca="false">IF(IFERROR(INDEX(tsk_Name,GanttView[[#This Row],[_Row]])="",TRUE()),"",INDEX(tsk_ID,GanttView[[#This Row],[_Row]]))</f>
        <v/>
      </c>
      <c r="B205" s="117" t="str">
        <f aca="false">IF(IFERROR(INDEX(tsk_Name,GanttView[[#This Row],[_Row]])="",TRUE()),"",INDEX(tsk_WBS,GanttView[[#This Row],[_Row]]))</f>
        <v/>
      </c>
      <c r="C205" s="118" t="str">
        <f aca="false">IF(IFERROR(INDEX(tsk_Name,GanttView[[#This Row],[_Row]])="",TRUE()),"",REPT("    ",INDEX(tsk_Level,GanttView[[#This Row],[_Row]])-1)&amp;INDEX(tsk_Name,GanttView[[#This Row],[_Row]]))</f>
        <v/>
      </c>
      <c r="D205" s="117" t="str">
        <f aca="false">IF(IFERROR(INDEX(tsk_Name,GanttView[[#This Row],[_Row]])="",TRUE()),"",IF(INDEX(tsk_IsSummary,GanttView[[#This Row],[_Row]]),NETWORKDAYS.INTL(INDEX(tsk_FcStart,GanttView[[#This Row],[_Row]]),INDEX(tsk_FcFinish,GanttView[[#This Row],[_Row]]),WorkWeek,Holidays),N(INDEX(tsk_Duration,GanttView[[#This Row],[_Row]]))))</f>
        <v/>
      </c>
      <c r="E205" s="119" t="str">
        <f aca="false">IF(IFERROR(INDEX(tsk_Name,GanttView[[#This Row],[_Row]])="",TRUE()),"",INDEX(tsk_PlanStart,GanttView[[#This Row],[_Row]]))</f>
        <v/>
      </c>
      <c r="F205" s="119" t="str">
        <f aca="false">IF(IFERROR(INDEX(tsk_Name,GanttView[[#This Row],[_Row]])="",TRUE()),"",INDEX(tsk_PlanFinish,GanttView[[#This Row],[_Row]]))</f>
        <v/>
      </c>
      <c r="G205" s="119" t="str">
        <f aca="false">IF(IFERROR(INDEX(tsk_Name,GanttView[[#This Row],[_Row]])="",TRUE()),"",INDEX(tsk_FcStart,GanttView[[#This Row],[_Row]]))</f>
        <v/>
      </c>
      <c r="H205" s="119" t="str">
        <f aca="false">IF(IFERROR(INDEX(tsk_Name,GanttView[[#This Row],[_Row]])="",TRUE()),"",INDEX(tsk_FcFinish,GanttView[[#This Row],[_Row]]))</f>
        <v/>
      </c>
      <c r="I205" s="120" t="str">
        <f aca="false">IF(IFERROR(INDEX(tsk_Name,GanttView[[#This Row],[_Row]])="",TRUE()),"",INDEX(tsk_Progress,GanttView[[#This Row],[_Row]]))</f>
        <v/>
      </c>
      <c r="J205" s="118" t="str">
        <f aca="false">IF(IFERROR(INDEX(tsk_Name,GanttView[[#This Row],[_Row]])="",TRUE()),"",INDEX(tsk_Resource,GanttView[[#This Row],[_Row]])&amp;"")</f>
        <v/>
      </c>
      <c r="K205" s="121" t="str">
        <f aca="false">IF(IFERROR(INDEX(tsk_Name,GanttView[[#This Row],[_Row]])="",TRUE()),"",INDEX(tsk_Status,GanttView[[#This Row],[_Row]]))</f>
        <v/>
      </c>
      <c r="L205" s="122" t="n">
        <f aca="false">ROW()-ROW(GanttView[[#Headers],[ID]])</f>
        <v>200</v>
      </c>
      <c r="M205" s="123" t="b">
        <f aca="false">IF(IFERROR(INDEX(tsk_Name,GanttView[[#This Row],[_Row]])="",TRUE()),FALSE(),INDEX(tsk_IsSummary,GanttView[[#This Row],[_Row]]))</f>
        <v>0</v>
      </c>
      <c r="N205" s="123" t="b">
        <f aca="false">IF(IFERROR(INDEX(tsk_Name,GanttView[[#This Row],[_Row]])="",TRUE()),FALSE(),AND(INDEX(tsk_IsLeaf,GanttView[[#This Row],[_Row]])=1,N(INDEX(tsk_Duration,GanttView[[#This Row],[_Row]]))=0))</f>
        <v>0</v>
      </c>
      <c r="O205" s="124" t="n">
        <f aca="false">IF(IFERROR(INDEX(tsk_Name,GanttView[[#This Row],[_Row]])="",TRUE()),0,IF(AND(INDEX(tsk_IsLeaf,GanttView[[#This Row],[_Row]])=1,NOT(GanttView[[#This Row],[_IsMilestone]]),N(GanttView[[#This Row],[%]])&gt;0),GanttView[[#This Row],[Forecast Start]],0))</f>
        <v>0</v>
      </c>
      <c r="P205" s="124" t="n">
        <f aca="false">IF(GanttView[[#This Row],[_DoneFrom]]=0,0,IF(GanttView[[#This Row],[%]]&gt;=1,GanttView[[#This Row],[Forecast Finish]],MAX(GanttView[[#This Row],[_DoneFrom]],GanttView[[#This Row],[Forecast Start]]+ROUND((GanttView[[#This Row],[Forecast Finish]]-GanttView[[#This Row],[Forecast Start]]+1)*GanttView[[#This Row],[%]],0)-1)))</f>
        <v>0</v>
      </c>
      <c r="Q205" s="124" t="n">
        <f aca="false">IF(IFERROR(INDEX(tsk_Name,GanttView[[#This Row],[_Row]])="",TRUE()),0,IF(OR(INDEX(tsk_IsLeaf,GanttView[[#This Row],[_Row]])&lt;&gt;1,GanttView[[#This Row],[_IsMilestone]],N(GanttView[[#This Row],[%]])&gt;=1),0,IF(GanttView[[#This Row],[_DoneTo]]&gt;0,GanttView[[#This Row],[_DoneTo]]+1,GanttView[[#This Row],[Forecast Start]])))</f>
        <v>0</v>
      </c>
      <c r="R205" s="124" t="n">
        <f aca="false">IF(GanttView[[#This Row],[_RemFrom]]=0,0,GanttView[[#This Row],[Forecast Finish]])</f>
        <v>0</v>
      </c>
      <c r="S205" s="123" t="b">
        <f aca="false">IF(IFERROR(INDEX(tsk_Name,GanttView[[#This Row],[_Row]])="",TRUE()),FALSE(),N(INDEX(tsk_Variance,GanttView[[#This Row],[_Row]]))&gt;0)</f>
        <v>0</v>
      </c>
      <c r="T205" s="124" t="n">
        <f aca="false">IF(IFERROR(INDEX(tsk_Name,GanttView[[#This Row],[_Row]])="",TRUE()),0,N(INDEX(tsk_Deadline,GanttView[[#This Row],[_Row]])))</f>
        <v>0</v>
      </c>
      <c r="U205" s="123" t="b">
        <f aca="false">IF(IFERROR(INDEX(tsk_Name,GanttView[[#This Row],[_Row]])="",TRUE()),FALSE(),INDEX(tsk_Critical,GanttView[[#This Row],[_Row]])="Yes")</f>
        <v>0</v>
      </c>
    </row>
  </sheetData>
  <conditionalFormatting sqref="W6:FP205">
    <cfRule type="expression" priority="2" aboveAverage="0" equalAverage="0" bottom="0" percent="0" rank="0" text="" dxfId="41">
      <formula>AND($T6&gt;0,$T6&gt;=W$5,$T6&lt;W$5+GanttPeriod)</formula>
    </cfRule>
    <cfRule type="expression" priority="3" aboveAverage="0" equalAverage="0" bottom="0" percent="0" rank="0" text="" dxfId="42">
      <formula>AND($M6,AND($G6&gt;0,W$5&lt;=$H6,W$5+GanttPeriod-1&gt;=$G6))</formula>
    </cfRule>
    <cfRule type="expression" priority="4" aboveAverage="0" equalAverage="0" bottom="0" percent="0" rank="0" text="" dxfId="43">
      <formula>AND($N6,AND($G6&gt;0,$G6&gt;=W$5,$G6&lt;W$5+GanttPeriod))</formula>
    </cfRule>
    <cfRule type="expression" priority="5" aboveAverage="0" equalAverage="0" bottom="0" percent="0" rank="0" text="" dxfId="44">
      <formula>AND($O6&gt;0,W$5&lt;=$P6,W$5+GanttPeriod-1&gt;=$O6)</formula>
    </cfRule>
    <cfRule type="expression" priority="6" aboveAverage="0" equalAverage="0" bottom="0" percent="0" rank="0" text="" dxfId="45">
      <formula>AND($U6,AND($Q6&gt;0,W$5&lt;=$R6,W$5+GanttPeriod-1&gt;=$Q6))</formula>
    </cfRule>
    <cfRule type="expression" priority="7" aboveAverage="0" equalAverage="0" bottom="0" percent="0" rank="0" text="" dxfId="46">
      <formula>AND($S6,AND($Q6&gt;0,W$5&lt;=$R6,W$5+GanttPeriod-1&gt;=$Q6))</formula>
    </cfRule>
    <cfRule type="expression" priority="8" aboveAverage="0" equalAverage="0" bottom="0" percent="0" rank="0" text="" dxfId="47">
      <formula>AND($Q6&gt;0,W$5&lt;=$R6,W$5+GanttPeriod-1&gt;=$Q6)</formula>
    </cfRule>
    <cfRule type="expression" priority="9" aboveAverage="0" equalAverage="0" bottom="0" percent="0" rank="0" text="" dxfId="48">
      <formula>AND(ISNUMBER($E6),AND($E6&gt;0,W$5&lt;=$F6,W$5+GanttPeriod-1&gt;=$E6))</formula>
    </cfRule>
    <cfRule type="expression" priority="10" aboveAverage="0" equalAverage="0" bottom="0" percent="0" rank="0" text="" dxfId="49">
      <formula>AND(StatusDate&gt;0,StatusDate&gt;=W$5,StatusDate&lt;W$5+GanttPeriod)</formula>
    </cfRule>
    <cfRule type="expression" priority="11" aboveAverage="0" equalAverage="0" bottom="0" percent="0" rank="0" text="" dxfId="50">
      <formula>AND(GanttPeriod=1,NETWORKDAYS.INTL(W$5,W$5,WorkWeek,Holidays)=0)</formula>
    </cfRule>
  </conditionalFormatting>
  <conditionalFormatting sqref="W5:FP5">
    <cfRule type="expression" priority="12" aboveAverage="0" equalAverage="0" bottom="0" percent="0" rank="0" text="" dxfId="41">
      <formula>AND(StatusDate&gt;0,StatusDate&gt;=W$5,StatusDate&lt;W$5+GanttPeriod)</formula>
    </cfRule>
  </conditionalFormatting>
  <conditionalFormatting sqref="A6:K205">
    <cfRule type="expression" priority="13" aboveAverage="0" equalAverage="0" bottom="0" percent="0" rank="0" text="" dxfId="34">
      <formula>$M6</formula>
    </cfRule>
  </conditionalFormatting>
  <conditionalFormatting sqref="K6:K205">
    <cfRule type="expression" priority="14" aboveAverage="0" equalAverage="0" bottom="0" percent="0" rank="0" text="" dxfId="12">
      <formula>$K6="Complete"</formula>
    </cfRule>
    <cfRule type="expression" priority="15" aboveAverage="0" equalAverage="0" bottom="0" percent="0" rank="0" text="" dxfId="36">
      <formula>$K6="In Progress"</formula>
    </cfRule>
    <cfRule type="expression" priority="16" aboveAverage="0" equalAverage="0" bottom="0" percent="0" rank="0" text="" dxfId="24">
      <formula>$K6="Behind"</formula>
    </cfRule>
    <cfRule type="expression" priority="17" aboveAverage="0" equalAverage="0" bottom="0" percent="0" rank="0" text="" dxfId="29">
      <formula>$K6="Late Start"</formula>
    </cfRule>
    <cfRule type="expression" priority="18" aboveAverage="0" equalAverage="0" bottom="0" percent="0" rank="0" text="" dxfId="37">
      <formula>$K6="Not Started"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M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9"/>
    <col collapsed="false" customWidth="true" hidden="false" outlineLevel="0" max="4" min="4" style="0" width="20"/>
    <col collapsed="false" customWidth="true" hidden="false" outlineLevel="0" max="6" min="5" style="0" width="10"/>
    <col collapsed="false" customWidth="true" hidden="false" outlineLevel="0" max="7" min="7" style="0" width="12"/>
    <col collapsed="false" customWidth="true" hidden="false" outlineLevel="0" max="8" min="8" style="0" width="26"/>
    <col collapsed="false" customWidth="true" hidden="false" outlineLevel="0" max="9" min="9" style="0" width="9"/>
    <col collapsed="false" customWidth="true" hidden="false" outlineLevel="0" max="12" min="10" style="0" width="13"/>
    <col collapsed="false" customWidth="true" hidden="false" outlineLevel="0" max="13" min="13" style="0" width="30"/>
  </cols>
  <sheetData>
    <row r="1" customFormat="false" ht="19.7" hidden="false" customHeight="false" outlineLevel="0" collapsed="false">
      <c r="A1" s="26" t="s">
        <v>651</v>
      </c>
    </row>
    <row r="2" customFormat="false" ht="15" hidden="false" customHeight="false" outlineLevel="0" collapsed="false">
      <c r="A2" s="8" t="s">
        <v>652</v>
      </c>
    </row>
    <row r="5" customFormat="false" ht="15" hidden="false" customHeight="false" outlineLevel="0" collapsed="false">
      <c r="B5" s="27" t="s">
        <v>653</v>
      </c>
      <c r="C5" s="27" t="s">
        <v>654</v>
      </c>
      <c r="D5" s="27" t="s">
        <v>655</v>
      </c>
      <c r="E5" s="27" t="s">
        <v>263</v>
      </c>
      <c r="F5" s="27" t="s">
        <v>224</v>
      </c>
      <c r="G5" s="27" t="s">
        <v>656</v>
      </c>
      <c r="H5" s="27" t="s">
        <v>657</v>
      </c>
      <c r="I5" s="9" t="s">
        <v>225</v>
      </c>
      <c r="J5" s="9" t="s">
        <v>226</v>
      </c>
      <c r="K5" s="9" t="s">
        <v>229</v>
      </c>
      <c r="L5" s="9" t="s">
        <v>230</v>
      </c>
      <c r="M5" s="27" t="s">
        <v>193</v>
      </c>
    </row>
    <row r="6" customFormat="false" ht="15" hidden="false" customHeight="false" outlineLevel="0" collapsed="false">
      <c r="B6" s="30" t="s">
        <v>285</v>
      </c>
      <c r="C6" s="30" t="s">
        <v>658</v>
      </c>
      <c r="D6" s="30" t="s">
        <v>659</v>
      </c>
      <c r="E6" s="30" t="s">
        <v>226</v>
      </c>
      <c r="F6" s="88" t="n">
        <v>0.5</v>
      </c>
      <c r="G6" s="97" t="n">
        <v>95</v>
      </c>
      <c r="H6" s="30" t="s">
        <v>660</v>
      </c>
      <c r="I6" s="93" t="n">
        <f aca="false">IF(ResourceTable[[#This Row],[Resource Name]]="","",COUNTIFS(tsk_Resource,ResourceTable[[#This Row],[Resource Name]],tsk_IsLeaf,1))</f>
        <v>4</v>
      </c>
      <c r="J6" s="95" t="n">
        <f aca="false">IF(ResourceTable[[#This Row],[Resource Name]]="","",SUMIFS(tsk_Work,tsk_Resource,ResourceTable[[#This Row],[Resource Name]],tsk_IsLeaf,1))</f>
        <v>56</v>
      </c>
      <c r="K6" s="96" t="n">
        <f aca="false">IF(ResourceTable[[#This Row],[Resource Name]]="","",SUMIFS(tsk_Cost,tsk_Resource,ResourceTable[[#This Row],[Resource Name]],tsk_IsLeaf,1))</f>
        <v>5320</v>
      </c>
      <c r="L6" s="96" t="n">
        <f aca="false">IF(ResourceTable[[#This Row],[Resource Name]]="","",SUMIFS(tsk_LeafAC,tsk_Resource,ResourceTable[[#This Row],[Resource Name]]))</f>
        <v>3040</v>
      </c>
      <c r="M6" s="30"/>
    </row>
    <row r="7" customFormat="false" ht="15" hidden="false" customHeight="false" outlineLevel="0" collapsed="false">
      <c r="B7" s="30" t="s">
        <v>290</v>
      </c>
      <c r="C7" s="30" t="s">
        <v>661</v>
      </c>
      <c r="D7" s="30" t="s">
        <v>662</v>
      </c>
      <c r="E7" s="30" t="s">
        <v>226</v>
      </c>
      <c r="F7" s="88" t="n">
        <v>1</v>
      </c>
      <c r="G7" s="97" t="n">
        <v>70</v>
      </c>
      <c r="H7" s="30" t="s">
        <v>663</v>
      </c>
      <c r="I7" s="93" t="n">
        <f aca="false">IF(ResourceTable[[#This Row],[Resource Name]]="","",COUNTIFS(tsk_Resource,ResourceTable[[#This Row],[Resource Name]],tsk_IsLeaf,1))</f>
        <v>3</v>
      </c>
      <c r="J7" s="95" t="n">
        <f aca="false">IF(ResourceTable[[#This Row],[Resource Name]]="","",SUMIFS(tsk_Work,tsk_Resource,ResourceTable[[#This Row],[Resource Name]],tsk_IsLeaf,1))</f>
        <v>128</v>
      </c>
      <c r="K7" s="96" t="n">
        <f aca="false">IF(ResourceTable[[#This Row],[Resource Name]]="","",SUMIFS(tsk_Cost,tsk_Resource,ResourceTable[[#This Row],[Resource Name]],tsk_IsLeaf,1))</f>
        <v>8960</v>
      </c>
      <c r="L7" s="96" t="n">
        <f aca="false">IF(ResourceTable[[#This Row],[Resource Name]]="","",SUMIFS(tsk_LeafAC,tsk_Resource,ResourceTable[[#This Row],[Resource Name]]))</f>
        <v>6160</v>
      </c>
      <c r="M7" s="30"/>
    </row>
    <row r="8" customFormat="false" ht="15" hidden="false" customHeight="false" outlineLevel="0" collapsed="false">
      <c r="B8" s="30" t="s">
        <v>294</v>
      </c>
      <c r="C8" s="30" t="s">
        <v>209</v>
      </c>
      <c r="D8" s="30" t="s">
        <v>664</v>
      </c>
      <c r="E8" s="30" t="s">
        <v>226</v>
      </c>
      <c r="F8" s="88" t="n">
        <v>0.5</v>
      </c>
      <c r="G8" s="97" t="n">
        <v>110</v>
      </c>
      <c r="H8" s="30" t="s">
        <v>665</v>
      </c>
      <c r="I8" s="93" t="n">
        <f aca="false">IF(ResourceTable[[#This Row],[Resource Name]]="","",COUNTIFS(tsk_Resource,ResourceTable[[#This Row],[Resource Name]],tsk_IsLeaf,1))</f>
        <v>1</v>
      </c>
      <c r="J8" s="95" t="n">
        <f aca="false">IF(ResourceTable[[#This Row],[Resource Name]]="","",SUMIFS(tsk_Work,tsk_Resource,ResourceTable[[#This Row],[Resource Name]],tsk_IsLeaf,1))</f>
        <v>40</v>
      </c>
      <c r="K8" s="96" t="n">
        <f aca="false">IF(ResourceTable[[#This Row],[Resource Name]]="","",SUMIFS(tsk_Cost,tsk_Resource,ResourceTable[[#This Row],[Resource Name]],tsk_IsLeaf,1))</f>
        <v>4400</v>
      </c>
      <c r="L8" s="96" t="n">
        <f aca="false">IF(ResourceTable[[#This Row],[Resource Name]]="","",SUMIFS(tsk_LeafAC,tsk_Resource,ResourceTable[[#This Row],[Resource Name]]))</f>
        <v>4400</v>
      </c>
      <c r="M8" s="30"/>
    </row>
    <row r="9" customFormat="false" ht="15" hidden="false" customHeight="false" outlineLevel="0" collapsed="false">
      <c r="B9" s="30" t="s">
        <v>281</v>
      </c>
      <c r="C9" s="30" t="s">
        <v>666</v>
      </c>
      <c r="D9" s="30" t="s">
        <v>667</v>
      </c>
      <c r="E9" s="30" t="s">
        <v>226</v>
      </c>
      <c r="F9" s="88" t="n">
        <v>1</v>
      </c>
      <c r="G9" s="97" t="n">
        <v>75</v>
      </c>
      <c r="H9" s="30" t="s">
        <v>668</v>
      </c>
      <c r="I9" s="93" t="n">
        <f aca="false">IF(ResourceTable[[#This Row],[Resource Name]]="","",COUNTIFS(tsk_Resource,ResourceTable[[#This Row],[Resource Name]],tsk_IsLeaf,1))</f>
        <v>3</v>
      </c>
      <c r="J9" s="95" t="n">
        <f aca="false">IF(ResourceTable[[#This Row],[Resource Name]]="","",SUMIFS(tsk_Work,tsk_Resource,ResourceTable[[#This Row],[Resource Name]],tsk_IsLeaf,1))</f>
        <v>80</v>
      </c>
      <c r="K9" s="96" t="n">
        <f aca="false">IF(ResourceTable[[#This Row],[Resource Name]]="","",SUMIFS(tsk_Cost,tsk_Resource,ResourceTable[[#This Row],[Resource Name]],tsk_IsLeaf,1))</f>
        <v>6000</v>
      </c>
      <c r="L9" s="96" t="n">
        <f aca="false">IF(ResourceTable[[#This Row],[Resource Name]]="","",SUMIFS(tsk_LeafAC,tsk_Resource,ResourceTable[[#This Row],[Resource Name]]))</f>
        <v>3600</v>
      </c>
      <c r="M9" s="30"/>
    </row>
    <row r="10" customFormat="false" ht="15" hidden="false" customHeight="false" outlineLevel="0" collapsed="false">
      <c r="B10" s="30" t="s">
        <v>276</v>
      </c>
      <c r="C10" s="30" t="s">
        <v>669</v>
      </c>
      <c r="D10" s="30" t="s">
        <v>670</v>
      </c>
      <c r="E10" s="30" t="s">
        <v>226</v>
      </c>
      <c r="F10" s="88" t="n">
        <v>1</v>
      </c>
      <c r="G10" s="97" t="n">
        <v>85</v>
      </c>
      <c r="H10" s="30" t="s">
        <v>671</v>
      </c>
      <c r="I10" s="93" t="n">
        <f aca="false">IF(ResourceTable[[#This Row],[Resource Name]]="","",COUNTIFS(tsk_Resource,ResourceTable[[#This Row],[Resource Name]],tsk_IsLeaf,1))</f>
        <v>4</v>
      </c>
      <c r="J10" s="95" t="n">
        <f aca="false">IF(ResourceTable[[#This Row],[Resource Name]]="","",SUMIFS(tsk_Work,tsk_Resource,ResourceTable[[#This Row],[Resource Name]],tsk_IsLeaf,1))</f>
        <v>208</v>
      </c>
      <c r="K10" s="96" t="n">
        <f aca="false">IF(ResourceTable[[#This Row],[Resource Name]]="","",SUMIFS(tsk_Cost,tsk_Resource,ResourceTable[[#This Row],[Resource Name]],tsk_IsLeaf,1))</f>
        <v>17680</v>
      </c>
      <c r="L10" s="96" t="n">
        <f aca="false">IF(ResourceTable[[#This Row],[Resource Name]]="","",SUMIFS(tsk_LeafAC,tsk_Resource,ResourceTable[[#This Row],[Resource Name]]))</f>
        <v>7480</v>
      </c>
      <c r="M10" s="30"/>
    </row>
    <row r="11" customFormat="false" ht="15" hidden="false" customHeight="false" outlineLevel="0" collapsed="false">
      <c r="B11" s="30" t="s">
        <v>609</v>
      </c>
      <c r="C11" s="30" t="s">
        <v>672</v>
      </c>
      <c r="D11" s="30" t="s">
        <v>673</v>
      </c>
      <c r="E11" s="30" t="s">
        <v>226</v>
      </c>
      <c r="F11" s="88" t="n">
        <v>1</v>
      </c>
      <c r="G11" s="97" t="n">
        <v>80</v>
      </c>
      <c r="H11" s="30" t="s">
        <v>674</v>
      </c>
      <c r="I11" s="93" t="n">
        <f aca="false">IF(ResourceTable[[#This Row],[Resource Name]]="","",COUNTIFS(tsk_Resource,ResourceTable[[#This Row],[Resource Name]],tsk_IsLeaf,1))</f>
        <v>2</v>
      </c>
      <c r="J11" s="95" t="n">
        <f aca="false">IF(ResourceTable[[#This Row],[Resource Name]]="","",SUMIFS(tsk_Work,tsk_Resource,ResourceTable[[#This Row],[Resource Name]],tsk_IsLeaf,1))</f>
        <v>144</v>
      </c>
      <c r="K11" s="96" t="n">
        <f aca="false">IF(ResourceTable[[#This Row],[Resource Name]]="","",SUMIFS(tsk_Cost,tsk_Resource,ResourceTable[[#This Row],[Resource Name]],tsk_IsLeaf,1))</f>
        <v>11520</v>
      </c>
      <c r="L11" s="96" t="n">
        <f aca="false">IF(ResourceTable[[#This Row],[Resource Name]]="","",SUMIFS(tsk_LeafAC,tsk_Resource,ResourceTable[[#This Row],[Resource Name]]))</f>
        <v>5760</v>
      </c>
      <c r="M11" s="30"/>
    </row>
    <row r="12" customFormat="false" ht="15" hidden="false" customHeight="false" outlineLevel="0" collapsed="false">
      <c r="B12" s="30" t="s">
        <v>618</v>
      </c>
      <c r="C12" s="30" t="s">
        <v>675</v>
      </c>
      <c r="D12" s="30" t="s">
        <v>676</v>
      </c>
      <c r="E12" s="30" t="s">
        <v>226</v>
      </c>
      <c r="F12" s="88" t="n">
        <v>1</v>
      </c>
      <c r="G12" s="97" t="n">
        <v>65</v>
      </c>
      <c r="H12" s="30" t="s">
        <v>677</v>
      </c>
      <c r="I12" s="93" t="n">
        <f aca="false">IF(ResourceTable[[#This Row],[Resource Name]]="","",COUNTIFS(tsk_Resource,ResourceTable[[#This Row],[Resource Name]],tsk_IsLeaf,1))</f>
        <v>1</v>
      </c>
      <c r="J12" s="95" t="n">
        <f aca="false">IF(ResourceTable[[#This Row],[Resource Name]]="","",SUMIFS(tsk_Work,tsk_Resource,ResourceTable[[#This Row],[Resource Name]],tsk_IsLeaf,1))</f>
        <v>64</v>
      </c>
      <c r="K12" s="96" t="n">
        <f aca="false">IF(ResourceTable[[#This Row],[Resource Name]]="","",SUMIFS(tsk_Cost,tsk_Resource,ResourceTable[[#This Row],[Resource Name]],tsk_IsLeaf,1))</f>
        <v>4160</v>
      </c>
      <c r="L12" s="96" t="n">
        <f aca="false">IF(ResourceTable[[#This Row],[Resource Name]]="","",SUMIFS(tsk_LeafAC,tsk_Resource,ResourceTable[[#This Row],[Resource Name]]))</f>
        <v>0</v>
      </c>
      <c r="M12" s="30"/>
    </row>
    <row r="13" customFormat="false" ht="15" hidden="false" customHeight="false" outlineLevel="0" collapsed="false">
      <c r="B13" s="30"/>
      <c r="C13" s="30"/>
      <c r="D13" s="30"/>
      <c r="E13" s="30"/>
      <c r="F13" s="88"/>
      <c r="G13" s="97"/>
      <c r="H13" s="30"/>
      <c r="I13" s="93" t="str">
        <f aca="false">IF(ResourceTable[[#This Row],[Resource Name]]="","",COUNTIFS(tsk_Resource,ResourceTable[[#This Row],[Resource Name]],tsk_IsLeaf,1))</f>
        <v/>
      </c>
      <c r="J13" s="95" t="str">
        <f aca="false">IF(ResourceTable[[#This Row],[Resource Name]]="","",SUMIFS(tsk_Work,tsk_Resource,ResourceTable[[#This Row],[Resource Name]],tsk_IsLeaf,1))</f>
        <v/>
      </c>
      <c r="K13" s="96" t="str">
        <f aca="false">IF(ResourceTable[[#This Row],[Resource Name]]="","",SUMIFS(tsk_Cost,tsk_Resource,ResourceTable[[#This Row],[Resource Name]],tsk_IsLeaf,1))</f>
        <v/>
      </c>
      <c r="L13" s="96" t="str">
        <f aca="false">IF(ResourceTable[[#This Row],[Resource Name]]="","",SUMIFS(tsk_LeafAC,tsk_Resource,ResourceTable[[#This Row],[Resource Name]]))</f>
        <v/>
      </c>
      <c r="M13" s="30"/>
    </row>
    <row r="14" customFormat="false" ht="15" hidden="false" customHeight="false" outlineLevel="0" collapsed="false">
      <c r="B14" s="30"/>
      <c r="C14" s="30"/>
      <c r="D14" s="30"/>
      <c r="E14" s="30"/>
      <c r="F14" s="88"/>
      <c r="G14" s="97"/>
      <c r="H14" s="30"/>
      <c r="I14" s="93" t="str">
        <f aca="false">IF(ResourceTable[[#This Row],[Resource Name]]="","",COUNTIFS(tsk_Resource,ResourceTable[[#This Row],[Resource Name]],tsk_IsLeaf,1))</f>
        <v/>
      </c>
      <c r="J14" s="95" t="str">
        <f aca="false">IF(ResourceTable[[#This Row],[Resource Name]]="","",SUMIFS(tsk_Work,tsk_Resource,ResourceTable[[#This Row],[Resource Name]],tsk_IsLeaf,1))</f>
        <v/>
      </c>
      <c r="K14" s="96" t="str">
        <f aca="false">IF(ResourceTable[[#This Row],[Resource Name]]="","",SUMIFS(tsk_Cost,tsk_Resource,ResourceTable[[#This Row],[Resource Name]],tsk_IsLeaf,1))</f>
        <v/>
      </c>
      <c r="L14" s="96" t="str">
        <f aca="false">IF(ResourceTable[[#This Row],[Resource Name]]="","",SUMIFS(tsk_LeafAC,tsk_Resource,ResourceTable[[#This Row],[Resource Name]]))</f>
        <v/>
      </c>
      <c r="M14" s="30"/>
    </row>
    <row r="15" customFormat="false" ht="15" hidden="false" customHeight="false" outlineLevel="0" collapsed="false">
      <c r="B15" s="30"/>
      <c r="C15" s="30"/>
      <c r="D15" s="30"/>
      <c r="E15" s="30"/>
      <c r="F15" s="88"/>
      <c r="G15" s="97"/>
      <c r="H15" s="30"/>
      <c r="I15" s="93" t="str">
        <f aca="false">IF(ResourceTable[[#This Row],[Resource Name]]="","",COUNTIFS(tsk_Resource,ResourceTable[[#This Row],[Resource Name]],tsk_IsLeaf,1))</f>
        <v/>
      </c>
      <c r="J15" s="95" t="str">
        <f aca="false">IF(ResourceTable[[#This Row],[Resource Name]]="","",SUMIFS(tsk_Work,tsk_Resource,ResourceTable[[#This Row],[Resource Name]],tsk_IsLeaf,1))</f>
        <v/>
      </c>
      <c r="K15" s="96" t="str">
        <f aca="false">IF(ResourceTable[[#This Row],[Resource Name]]="","",SUMIFS(tsk_Cost,tsk_Resource,ResourceTable[[#This Row],[Resource Name]],tsk_IsLeaf,1))</f>
        <v/>
      </c>
      <c r="L15" s="96" t="str">
        <f aca="false">IF(ResourceTable[[#This Row],[Resource Name]]="","",SUMIFS(tsk_LeafAC,tsk_Resource,ResourceTable[[#This Row],[Resource Name]]))</f>
        <v/>
      </c>
      <c r="M15" s="30"/>
    </row>
    <row r="16" customFormat="false" ht="15" hidden="false" customHeight="false" outlineLevel="0" collapsed="false">
      <c r="B16" s="30"/>
      <c r="C16" s="30"/>
      <c r="D16" s="30"/>
      <c r="E16" s="30"/>
      <c r="F16" s="88"/>
      <c r="G16" s="97"/>
      <c r="H16" s="30"/>
      <c r="I16" s="93" t="str">
        <f aca="false">IF(ResourceTable[[#This Row],[Resource Name]]="","",COUNTIFS(tsk_Resource,ResourceTable[[#This Row],[Resource Name]],tsk_IsLeaf,1))</f>
        <v/>
      </c>
      <c r="J16" s="95" t="str">
        <f aca="false">IF(ResourceTable[[#This Row],[Resource Name]]="","",SUMIFS(tsk_Work,tsk_Resource,ResourceTable[[#This Row],[Resource Name]],tsk_IsLeaf,1))</f>
        <v/>
      </c>
      <c r="K16" s="96" t="str">
        <f aca="false">IF(ResourceTable[[#This Row],[Resource Name]]="","",SUMIFS(tsk_Cost,tsk_Resource,ResourceTable[[#This Row],[Resource Name]],tsk_IsLeaf,1))</f>
        <v/>
      </c>
      <c r="L16" s="96" t="str">
        <f aca="false">IF(ResourceTable[[#This Row],[Resource Name]]="","",SUMIFS(tsk_LeafAC,tsk_Resource,ResourceTable[[#This Row],[Resource Name]]))</f>
        <v/>
      </c>
      <c r="M16" s="30"/>
    </row>
    <row r="17" customFormat="false" ht="15" hidden="false" customHeight="false" outlineLevel="0" collapsed="false">
      <c r="B17" s="30"/>
      <c r="C17" s="30"/>
      <c r="D17" s="30"/>
      <c r="E17" s="30"/>
      <c r="F17" s="88"/>
      <c r="G17" s="97"/>
      <c r="H17" s="30"/>
      <c r="I17" s="93" t="str">
        <f aca="false">IF(ResourceTable[[#This Row],[Resource Name]]="","",COUNTIFS(tsk_Resource,ResourceTable[[#This Row],[Resource Name]],tsk_IsLeaf,1))</f>
        <v/>
      </c>
      <c r="J17" s="95" t="str">
        <f aca="false">IF(ResourceTable[[#This Row],[Resource Name]]="","",SUMIFS(tsk_Work,tsk_Resource,ResourceTable[[#This Row],[Resource Name]],tsk_IsLeaf,1))</f>
        <v/>
      </c>
      <c r="K17" s="96" t="str">
        <f aca="false">IF(ResourceTable[[#This Row],[Resource Name]]="","",SUMIFS(tsk_Cost,tsk_Resource,ResourceTable[[#This Row],[Resource Name]],tsk_IsLeaf,1))</f>
        <v/>
      </c>
      <c r="L17" s="96" t="str">
        <f aca="false">IF(ResourceTable[[#This Row],[Resource Name]]="","",SUMIFS(tsk_LeafAC,tsk_Resource,ResourceTable[[#This Row],[Resource Name]]))</f>
        <v/>
      </c>
      <c r="M17" s="30"/>
    </row>
    <row r="18" customFormat="false" ht="15" hidden="false" customHeight="false" outlineLevel="0" collapsed="false">
      <c r="B18" s="30"/>
      <c r="C18" s="30"/>
      <c r="D18" s="30"/>
      <c r="E18" s="30"/>
      <c r="F18" s="88"/>
      <c r="G18" s="97"/>
      <c r="H18" s="30"/>
      <c r="I18" s="93" t="str">
        <f aca="false">IF(ResourceTable[[#This Row],[Resource Name]]="","",COUNTIFS(tsk_Resource,ResourceTable[[#This Row],[Resource Name]],tsk_IsLeaf,1))</f>
        <v/>
      </c>
      <c r="J18" s="95" t="str">
        <f aca="false">IF(ResourceTable[[#This Row],[Resource Name]]="","",SUMIFS(tsk_Work,tsk_Resource,ResourceTable[[#This Row],[Resource Name]],tsk_IsLeaf,1))</f>
        <v/>
      </c>
      <c r="K18" s="96" t="str">
        <f aca="false">IF(ResourceTable[[#This Row],[Resource Name]]="","",SUMIFS(tsk_Cost,tsk_Resource,ResourceTable[[#This Row],[Resource Name]],tsk_IsLeaf,1))</f>
        <v/>
      </c>
      <c r="L18" s="96" t="str">
        <f aca="false">IF(ResourceTable[[#This Row],[Resource Name]]="","",SUMIFS(tsk_LeafAC,tsk_Resource,ResourceTable[[#This Row],[Resource Name]]))</f>
        <v/>
      </c>
      <c r="M18" s="30"/>
    </row>
    <row r="19" customFormat="false" ht="15" hidden="false" customHeight="false" outlineLevel="0" collapsed="false">
      <c r="B19" s="30"/>
      <c r="C19" s="30"/>
      <c r="D19" s="30"/>
      <c r="E19" s="30"/>
      <c r="F19" s="88"/>
      <c r="G19" s="97"/>
      <c r="H19" s="30"/>
      <c r="I19" s="93" t="str">
        <f aca="false">IF(ResourceTable[[#This Row],[Resource Name]]="","",COUNTIFS(tsk_Resource,ResourceTable[[#This Row],[Resource Name]],tsk_IsLeaf,1))</f>
        <v/>
      </c>
      <c r="J19" s="95" t="str">
        <f aca="false">IF(ResourceTable[[#This Row],[Resource Name]]="","",SUMIFS(tsk_Work,tsk_Resource,ResourceTable[[#This Row],[Resource Name]],tsk_IsLeaf,1))</f>
        <v/>
      </c>
      <c r="K19" s="96" t="str">
        <f aca="false">IF(ResourceTable[[#This Row],[Resource Name]]="","",SUMIFS(tsk_Cost,tsk_Resource,ResourceTable[[#This Row],[Resource Name]],tsk_IsLeaf,1))</f>
        <v/>
      </c>
      <c r="L19" s="96" t="str">
        <f aca="false">IF(ResourceTable[[#This Row],[Resource Name]]="","",SUMIFS(tsk_LeafAC,tsk_Resource,ResourceTable[[#This Row],[Resource Name]]))</f>
        <v/>
      </c>
      <c r="M19" s="30"/>
    </row>
    <row r="20" customFormat="false" ht="15" hidden="false" customHeight="false" outlineLevel="0" collapsed="false">
      <c r="B20" s="30"/>
      <c r="C20" s="30"/>
      <c r="D20" s="30"/>
      <c r="E20" s="30"/>
      <c r="F20" s="88"/>
      <c r="G20" s="97"/>
      <c r="H20" s="30"/>
      <c r="I20" s="93" t="str">
        <f aca="false">IF(ResourceTable[[#This Row],[Resource Name]]="","",COUNTIFS(tsk_Resource,ResourceTable[[#This Row],[Resource Name]],tsk_IsLeaf,1))</f>
        <v/>
      </c>
      <c r="J20" s="95" t="str">
        <f aca="false">IF(ResourceTable[[#This Row],[Resource Name]]="","",SUMIFS(tsk_Work,tsk_Resource,ResourceTable[[#This Row],[Resource Name]],tsk_IsLeaf,1))</f>
        <v/>
      </c>
      <c r="K20" s="96" t="str">
        <f aca="false">IF(ResourceTable[[#This Row],[Resource Name]]="","",SUMIFS(tsk_Cost,tsk_Resource,ResourceTable[[#This Row],[Resource Name]],tsk_IsLeaf,1))</f>
        <v/>
      </c>
      <c r="L20" s="96" t="str">
        <f aca="false">IF(ResourceTable[[#This Row],[Resource Name]]="","",SUMIFS(tsk_LeafAC,tsk_Resource,ResourceTable[[#This Row],[Resource Name]]))</f>
        <v/>
      </c>
      <c r="M20" s="30"/>
    </row>
    <row r="21" customFormat="false" ht="15" hidden="false" customHeight="false" outlineLevel="0" collapsed="false">
      <c r="B21" s="30"/>
      <c r="C21" s="30"/>
      <c r="D21" s="30"/>
      <c r="E21" s="30"/>
      <c r="F21" s="88"/>
      <c r="G21" s="97"/>
      <c r="H21" s="30"/>
      <c r="I21" s="93" t="str">
        <f aca="false">IF(ResourceTable[[#This Row],[Resource Name]]="","",COUNTIFS(tsk_Resource,ResourceTable[[#This Row],[Resource Name]],tsk_IsLeaf,1))</f>
        <v/>
      </c>
      <c r="J21" s="95" t="str">
        <f aca="false">IF(ResourceTable[[#This Row],[Resource Name]]="","",SUMIFS(tsk_Work,tsk_Resource,ResourceTable[[#This Row],[Resource Name]],tsk_IsLeaf,1))</f>
        <v/>
      </c>
      <c r="K21" s="96" t="str">
        <f aca="false">IF(ResourceTable[[#This Row],[Resource Name]]="","",SUMIFS(tsk_Cost,tsk_Resource,ResourceTable[[#This Row],[Resource Name]],tsk_IsLeaf,1))</f>
        <v/>
      </c>
      <c r="L21" s="96" t="str">
        <f aca="false">IF(ResourceTable[[#This Row],[Resource Name]]="","",SUMIFS(tsk_LeafAC,tsk_Resource,ResourceTable[[#This Row],[Resource Name]]))</f>
        <v/>
      </c>
      <c r="M21" s="30"/>
    </row>
    <row r="22" customFormat="false" ht="15" hidden="false" customHeight="false" outlineLevel="0" collapsed="false">
      <c r="B22" s="30"/>
      <c r="C22" s="30"/>
      <c r="D22" s="30"/>
      <c r="E22" s="30"/>
      <c r="F22" s="88"/>
      <c r="G22" s="97"/>
      <c r="H22" s="30"/>
      <c r="I22" s="93" t="str">
        <f aca="false">IF(ResourceTable[[#This Row],[Resource Name]]="","",COUNTIFS(tsk_Resource,ResourceTable[[#This Row],[Resource Name]],tsk_IsLeaf,1))</f>
        <v/>
      </c>
      <c r="J22" s="95" t="str">
        <f aca="false">IF(ResourceTable[[#This Row],[Resource Name]]="","",SUMIFS(tsk_Work,tsk_Resource,ResourceTable[[#This Row],[Resource Name]],tsk_IsLeaf,1))</f>
        <v/>
      </c>
      <c r="K22" s="96" t="str">
        <f aca="false">IF(ResourceTable[[#This Row],[Resource Name]]="","",SUMIFS(tsk_Cost,tsk_Resource,ResourceTable[[#This Row],[Resource Name]],tsk_IsLeaf,1))</f>
        <v/>
      </c>
      <c r="L22" s="96" t="str">
        <f aca="false">IF(ResourceTable[[#This Row],[Resource Name]]="","",SUMIFS(tsk_LeafAC,tsk_Resource,ResourceTable[[#This Row],[Resource Name]]))</f>
        <v/>
      </c>
      <c r="M22" s="30"/>
    </row>
    <row r="23" customFormat="false" ht="15" hidden="false" customHeight="false" outlineLevel="0" collapsed="false">
      <c r="B23" s="30"/>
      <c r="C23" s="30"/>
      <c r="D23" s="30"/>
      <c r="E23" s="30"/>
      <c r="F23" s="88"/>
      <c r="G23" s="97"/>
      <c r="H23" s="30"/>
      <c r="I23" s="93" t="str">
        <f aca="false">IF(ResourceTable[[#This Row],[Resource Name]]="","",COUNTIFS(tsk_Resource,ResourceTable[[#This Row],[Resource Name]],tsk_IsLeaf,1))</f>
        <v/>
      </c>
      <c r="J23" s="95" t="str">
        <f aca="false">IF(ResourceTable[[#This Row],[Resource Name]]="","",SUMIFS(tsk_Work,tsk_Resource,ResourceTable[[#This Row],[Resource Name]],tsk_IsLeaf,1))</f>
        <v/>
      </c>
      <c r="K23" s="96" t="str">
        <f aca="false">IF(ResourceTable[[#This Row],[Resource Name]]="","",SUMIFS(tsk_Cost,tsk_Resource,ResourceTable[[#This Row],[Resource Name]],tsk_IsLeaf,1))</f>
        <v/>
      </c>
      <c r="L23" s="96" t="str">
        <f aca="false">IF(ResourceTable[[#This Row],[Resource Name]]="","",SUMIFS(tsk_LeafAC,tsk_Resource,ResourceTable[[#This Row],[Resource Name]]))</f>
        <v/>
      </c>
      <c r="M23" s="30"/>
    </row>
    <row r="24" customFormat="false" ht="15" hidden="false" customHeight="false" outlineLevel="0" collapsed="false">
      <c r="B24" s="30"/>
      <c r="C24" s="30"/>
      <c r="D24" s="30"/>
      <c r="E24" s="30"/>
      <c r="F24" s="88"/>
      <c r="G24" s="97"/>
      <c r="H24" s="30"/>
      <c r="I24" s="93" t="str">
        <f aca="false">IF(ResourceTable[[#This Row],[Resource Name]]="","",COUNTIFS(tsk_Resource,ResourceTable[[#This Row],[Resource Name]],tsk_IsLeaf,1))</f>
        <v/>
      </c>
      <c r="J24" s="95" t="str">
        <f aca="false">IF(ResourceTable[[#This Row],[Resource Name]]="","",SUMIFS(tsk_Work,tsk_Resource,ResourceTable[[#This Row],[Resource Name]],tsk_IsLeaf,1))</f>
        <v/>
      </c>
      <c r="K24" s="96" t="str">
        <f aca="false">IF(ResourceTable[[#This Row],[Resource Name]]="","",SUMIFS(tsk_Cost,tsk_Resource,ResourceTable[[#This Row],[Resource Name]],tsk_IsLeaf,1))</f>
        <v/>
      </c>
      <c r="L24" s="96" t="str">
        <f aca="false">IF(ResourceTable[[#This Row],[Resource Name]]="","",SUMIFS(tsk_LeafAC,tsk_Resource,ResourceTable[[#This Row],[Resource Name]]))</f>
        <v/>
      </c>
      <c r="M24" s="30"/>
    </row>
    <row r="25" customFormat="false" ht="15" hidden="false" customHeight="false" outlineLevel="0" collapsed="false">
      <c r="B25" s="30"/>
      <c r="C25" s="30"/>
      <c r="D25" s="30"/>
      <c r="E25" s="30"/>
      <c r="F25" s="88"/>
      <c r="G25" s="97"/>
      <c r="H25" s="30"/>
      <c r="I25" s="93" t="str">
        <f aca="false">IF(ResourceTable[[#This Row],[Resource Name]]="","",COUNTIFS(tsk_Resource,ResourceTable[[#This Row],[Resource Name]],tsk_IsLeaf,1))</f>
        <v/>
      </c>
      <c r="J25" s="95" t="str">
        <f aca="false">IF(ResourceTable[[#This Row],[Resource Name]]="","",SUMIFS(tsk_Work,tsk_Resource,ResourceTable[[#This Row],[Resource Name]],tsk_IsLeaf,1))</f>
        <v/>
      </c>
      <c r="K25" s="96" t="str">
        <f aca="false">IF(ResourceTable[[#This Row],[Resource Name]]="","",SUMIFS(tsk_Cost,tsk_Resource,ResourceTable[[#This Row],[Resource Name]],tsk_IsLeaf,1))</f>
        <v/>
      </c>
      <c r="L25" s="96" t="str">
        <f aca="false">IF(ResourceTable[[#This Row],[Resource Name]]="","",SUMIFS(tsk_LeafAC,tsk_Resource,ResourceTable[[#This Row],[Resource Name]]))</f>
        <v/>
      </c>
      <c r="M25" s="30"/>
    </row>
    <row r="26" customFormat="false" ht="15" hidden="false" customHeight="false" outlineLevel="0" collapsed="false">
      <c r="B26" s="30"/>
      <c r="C26" s="30"/>
      <c r="D26" s="30"/>
      <c r="E26" s="30"/>
      <c r="F26" s="88"/>
      <c r="G26" s="97"/>
      <c r="H26" s="30"/>
      <c r="I26" s="93" t="str">
        <f aca="false">IF(ResourceTable[[#This Row],[Resource Name]]="","",COUNTIFS(tsk_Resource,ResourceTable[[#This Row],[Resource Name]],tsk_IsLeaf,1))</f>
        <v/>
      </c>
      <c r="J26" s="95" t="str">
        <f aca="false">IF(ResourceTable[[#This Row],[Resource Name]]="","",SUMIFS(tsk_Work,tsk_Resource,ResourceTable[[#This Row],[Resource Name]],tsk_IsLeaf,1))</f>
        <v/>
      </c>
      <c r="K26" s="96" t="str">
        <f aca="false">IF(ResourceTable[[#This Row],[Resource Name]]="","",SUMIFS(tsk_Cost,tsk_Resource,ResourceTable[[#This Row],[Resource Name]],tsk_IsLeaf,1))</f>
        <v/>
      </c>
      <c r="L26" s="96" t="str">
        <f aca="false">IF(ResourceTable[[#This Row],[Resource Name]]="","",SUMIFS(tsk_LeafAC,tsk_Resource,ResourceTable[[#This Row],[Resource Name]]))</f>
        <v/>
      </c>
      <c r="M26" s="30"/>
    </row>
    <row r="27" customFormat="false" ht="15" hidden="false" customHeight="false" outlineLevel="0" collapsed="false">
      <c r="B27" s="30"/>
      <c r="C27" s="30"/>
      <c r="D27" s="30"/>
      <c r="E27" s="30"/>
      <c r="F27" s="88"/>
      <c r="G27" s="97"/>
      <c r="H27" s="30"/>
      <c r="I27" s="93" t="str">
        <f aca="false">IF(ResourceTable[[#This Row],[Resource Name]]="","",COUNTIFS(tsk_Resource,ResourceTable[[#This Row],[Resource Name]],tsk_IsLeaf,1))</f>
        <v/>
      </c>
      <c r="J27" s="95" t="str">
        <f aca="false">IF(ResourceTable[[#This Row],[Resource Name]]="","",SUMIFS(tsk_Work,tsk_Resource,ResourceTable[[#This Row],[Resource Name]],tsk_IsLeaf,1))</f>
        <v/>
      </c>
      <c r="K27" s="96" t="str">
        <f aca="false">IF(ResourceTable[[#This Row],[Resource Name]]="","",SUMIFS(tsk_Cost,tsk_Resource,ResourceTable[[#This Row],[Resource Name]],tsk_IsLeaf,1))</f>
        <v/>
      </c>
      <c r="L27" s="96" t="str">
        <f aca="false">IF(ResourceTable[[#This Row],[Resource Name]]="","",SUMIFS(tsk_LeafAC,tsk_Resource,ResourceTable[[#This Row],[Resource Name]]))</f>
        <v/>
      </c>
      <c r="M27" s="30"/>
    </row>
    <row r="28" customFormat="false" ht="15" hidden="false" customHeight="false" outlineLevel="0" collapsed="false">
      <c r="B28" s="30"/>
      <c r="C28" s="30"/>
      <c r="D28" s="30"/>
      <c r="E28" s="30"/>
      <c r="F28" s="88"/>
      <c r="G28" s="97"/>
      <c r="H28" s="30"/>
      <c r="I28" s="93" t="str">
        <f aca="false">IF(ResourceTable[[#This Row],[Resource Name]]="","",COUNTIFS(tsk_Resource,ResourceTable[[#This Row],[Resource Name]],tsk_IsLeaf,1))</f>
        <v/>
      </c>
      <c r="J28" s="95" t="str">
        <f aca="false">IF(ResourceTable[[#This Row],[Resource Name]]="","",SUMIFS(tsk_Work,tsk_Resource,ResourceTable[[#This Row],[Resource Name]],tsk_IsLeaf,1))</f>
        <v/>
      </c>
      <c r="K28" s="96" t="str">
        <f aca="false">IF(ResourceTable[[#This Row],[Resource Name]]="","",SUMIFS(tsk_Cost,tsk_Resource,ResourceTable[[#This Row],[Resource Name]],tsk_IsLeaf,1))</f>
        <v/>
      </c>
      <c r="L28" s="96" t="str">
        <f aca="false">IF(ResourceTable[[#This Row],[Resource Name]]="","",SUMIFS(tsk_LeafAC,tsk_Resource,ResourceTable[[#This Row],[Resource Name]]))</f>
        <v/>
      </c>
      <c r="M28" s="30"/>
    </row>
    <row r="29" customFormat="false" ht="15" hidden="false" customHeight="false" outlineLevel="0" collapsed="false">
      <c r="B29" s="30"/>
      <c r="C29" s="30"/>
      <c r="D29" s="30"/>
      <c r="E29" s="30"/>
      <c r="F29" s="88"/>
      <c r="G29" s="97"/>
      <c r="H29" s="30"/>
      <c r="I29" s="93" t="str">
        <f aca="false">IF(ResourceTable[[#This Row],[Resource Name]]="","",COUNTIFS(tsk_Resource,ResourceTable[[#This Row],[Resource Name]],tsk_IsLeaf,1))</f>
        <v/>
      </c>
      <c r="J29" s="95" t="str">
        <f aca="false">IF(ResourceTable[[#This Row],[Resource Name]]="","",SUMIFS(tsk_Work,tsk_Resource,ResourceTable[[#This Row],[Resource Name]],tsk_IsLeaf,1))</f>
        <v/>
      </c>
      <c r="K29" s="96" t="str">
        <f aca="false">IF(ResourceTable[[#This Row],[Resource Name]]="","",SUMIFS(tsk_Cost,tsk_Resource,ResourceTable[[#This Row],[Resource Name]],tsk_IsLeaf,1))</f>
        <v/>
      </c>
      <c r="L29" s="96" t="str">
        <f aca="false">IF(ResourceTable[[#This Row],[Resource Name]]="","",SUMIFS(tsk_LeafAC,tsk_Resource,ResourceTable[[#This Row],[Resource Name]]))</f>
        <v/>
      </c>
      <c r="M29" s="30"/>
    </row>
    <row r="30" customFormat="false" ht="15" hidden="false" customHeight="false" outlineLevel="0" collapsed="false">
      <c r="B30" s="30"/>
      <c r="C30" s="30"/>
      <c r="D30" s="30"/>
      <c r="E30" s="30"/>
      <c r="F30" s="88"/>
      <c r="G30" s="97"/>
      <c r="H30" s="30"/>
      <c r="I30" s="93" t="str">
        <f aca="false">IF(ResourceTable[[#This Row],[Resource Name]]="","",COUNTIFS(tsk_Resource,ResourceTable[[#This Row],[Resource Name]],tsk_IsLeaf,1))</f>
        <v/>
      </c>
      <c r="J30" s="95" t="str">
        <f aca="false">IF(ResourceTable[[#This Row],[Resource Name]]="","",SUMIFS(tsk_Work,tsk_Resource,ResourceTable[[#This Row],[Resource Name]],tsk_IsLeaf,1))</f>
        <v/>
      </c>
      <c r="K30" s="96" t="str">
        <f aca="false">IF(ResourceTable[[#This Row],[Resource Name]]="","",SUMIFS(tsk_Cost,tsk_Resource,ResourceTable[[#This Row],[Resource Name]],tsk_IsLeaf,1))</f>
        <v/>
      </c>
      <c r="L30" s="96" t="str">
        <f aca="false">IF(ResourceTable[[#This Row],[Resource Name]]="","",SUMIFS(tsk_LeafAC,tsk_Resource,ResourceTable[[#This Row],[Resource Name]]))</f>
        <v/>
      </c>
      <c r="M30" s="30"/>
    </row>
    <row r="31" customFormat="false" ht="15" hidden="false" customHeight="false" outlineLevel="0" collapsed="false">
      <c r="B31" s="30"/>
      <c r="C31" s="30"/>
      <c r="D31" s="30"/>
      <c r="E31" s="30"/>
      <c r="F31" s="88"/>
      <c r="G31" s="97"/>
      <c r="H31" s="30"/>
      <c r="I31" s="93" t="str">
        <f aca="false">IF(ResourceTable[[#This Row],[Resource Name]]="","",COUNTIFS(tsk_Resource,ResourceTable[[#This Row],[Resource Name]],tsk_IsLeaf,1))</f>
        <v/>
      </c>
      <c r="J31" s="95" t="str">
        <f aca="false">IF(ResourceTable[[#This Row],[Resource Name]]="","",SUMIFS(tsk_Work,tsk_Resource,ResourceTable[[#This Row],[Resource Name]],tsk_IsLeaf,1))</f>
        <v/>
      </c>
      <c r="K31" s="96" t="str">
        <f aca="false">IF(ResourceTable[[#This Row],[Resource Name]]="","",SUMIFS(tsk_Cost,tsk_Resource,ResourceTable[[#This Row],[Resource Name]],tsk_IsLeaf,1))</f>
        <v/>
      </c>
      <c r="L31" s="96" t="str">
        <f aca="false">IF(ResourceTable[[#This Row],[Resource Name]]="","",SUMIFS(tsk_LeafAC,tsk_Resource,ResourceTable[[#This Row],[Resource Name]]))</f>
        <v/>
      </c>
      <c r="M31" s="30"/>
    </row>
    <row r="32" customFormat="false" ht="15" hidden="false" customHeight="false" outlineLevel="0" collapsed="false">
      <c r="B32" s="30"/>
      <c r="C32" s="30"/>
      <c r="D32" s="30"/>
      <c r="E32" s="30"/>
      <c r="F32" s="88"/>
      <c r="G32" s="97"/>
      <c r="H32" s="30"/>
      <c r="I32" s="93" t="str">
        <f aca="false">IF(ResourceTable[[#This Row],[Resource Name]]="","",COUNTIFS(tsk_Resource,ResourceTable[[#This Row],[Resource Name]],tsk_IsLeaf,1))</f>
        <v/>
      </c>
      <c r="J32" s="95" t="str">
        <f aca="false">IF(ResourceTable[[#This Row],[Resource Name]]="","",SUMIFS(tsk_Work,tsk_Resource,ResourceTable[[#This Row],[Resource Name]],tsk_IsLeaf,1))</f>
        <v/>
      </c>
      <c r="K32" s="96" t="str">
        <f aca="false">IF(ResourceTable[[#This Row],[Resource Name]]="","",SUMIFS(tsk_Cost,tsk_Resource,ResourceTable[[#This Row],[Resource Name]],tsk_IsLeaf,1))</f>
        <v/>
      </c>
      <c r="L32" s="96" t="str">
        <f aca="false">IF(ResourceTable[[#This Row],[Resource Name]]="","",SUMIFS(tsk_LeafAC,tsk_Resource,ResourceTable[[#This Row],[Resource Name]]))</f>
        <v/>
      </c>
      <c r="M32" s="30"/>
    </row>
    <row r="33" customFormat="false" ht="15" hidden="false" customHeight="false" outlineLevel="0" collapsed="false">
      <c r="B33" s="30"/>
      <c r="C33" s="30"/>
      <c r="D33" s="30"/>
      <c r="E33" s="30"/>
      <c r="F33" s="88"/>
      <c r="G33" s="97"/>
      <c r="H33" s="30"/>
      <c r="I33" s="93" t="str">
        <f aca="false">IF(ResourceTable[[#This Row],[Resource Name]]="","",COUNTIFS(tsk_Resource,ResourceTable[[#This Row],[Resource Name]],tsk_IsLeaf,1))</f>
        <v/>
      </c>
      <c r="J33" s="95" t="str">
        <f aca="false">IF(ResourceTable[[#This Row],[Resource Name]]="","",SUMIFS(tsk_Work,tsk_Resource,ResourceTable[[#This Row],[Resource Name]],tsk_IsLeaf,1))</f>
        <v/>
      </c>
      <c r="K33" s="96" t="str">
        <f aca="false">IF(ResourceTable[[#This Row],[Resource Name]]="","",SUMIFS(tsk_Cost,tsk_Resource,ResourceTable[[#This Row],[Resource Name]],tsk_IsLeaf,1))</f>
        <v/>
      </c>
      <c r="L33" s="96" t="str">
        <f aca="false">IF(ResourceTable[[#This Row],[Resource Name]]="","",SUMIFS(tsk_LeafAC,tsk_Resource,ResourceTable[[#This Row],[Resource Name]]))</f>
        <v/>
      </c>
      <c r="M33" s="30"/>
    </row>
    <row r="34" customFormat="false" ht="15" hidden="false" customHeight="false" outlineLevel="0" collapsed="false">
      <c r="B34" s="30"/>
      <c r="C34" s="30"/>
      <c r="D34" s="30"/>
      <c r="E34" s="30"/>
      <c r="F34" s="88"/>
      <c r="G34" s="97"/>
      <c r="H34" s="30"/>
      <c r="I34" s="93" t="str">
        <f aca="false">IF(ResourceTable[[#This Row],[Resource Name]]="","",COUNTIFS(tsk_Resource,ResourceTable[[#This Row],[Resource Name]],tsk_IsLeaf,1))</f>
        <v/>
      </c>
      <c r="J34" s="95" t="str">
        <f aca="false">IF(ResourceTable[[#This Row],[Resource Name]]="","",SUMIFS(tsk_Work,tsk_Resource,ResourceTable[[#This Row],[Resource Name]],tsk_IsLeaf,1))</f>
        <v/>
      </c>
      <c r="K34" s="96" t="str">
        <f aca="false">IF(ResourceTable[[#This Row],[Resource Name]]="","",SUMIFS(tsk_Cost,tsk_Resource,ResourceTable[[#This Row],[Resource Name]],tsk_IsLeaf,1))</f>
        <v/>
      </c>
      <c r="L34" s="96" t="str">
        <f aca="false">IF(ResourceTable[[#This Row],[Resource Name]]="","",SUMIFS(tsk_LeafAC,tsk_Resource,ResourceTable[[#This Row],[Resource Name]]))</f>
        <v/>
      </c>
      <c r="M34" s="30"/>
    </row>
    <row r="35" customFormat="false" ht="15" hidden="false" customHeight="false" outlineLevel="0" collapsed="false">
      <c r="B35" s="30"/>
      <c r="C35" s="30"/>
      <c r="D35" s="30"/>
      <c r="E35" s="30"/>
      <c r="F35" s="88"/>
      <c r="G35" s="97"/>
      <c r="H35" s="30"/>
      <c r="I35" s="93" t="str">
        <f aca="false">IF(ResourceTable[[#This Row],[Resource Name]]="","",COUNTIFS(tsk_Resource,ResourceTable[[#This Row],[Resource Name]],tsk_IsLeaf,1))</f>
        <v/>
      </c>
      <c r="J35" s="95" t="str">
        <f aca="false">IF(ResourceTable[[#This Row],[Resource Name]]="","",SUMIFS(tsk_Work,tsk_Resource,ResourceTable[[#This Row],[Resource Name]],tsk_IsLeaf,1))</f>
        <v/>
      </c>
      <c r="K35" s="96" t="str">
        <f aca="false">IF(ResourceTable[[#This Row],[Resource Name]]="","",SUMIFS(tsk_Cost,tsk_Resource,ResourceTable[[#This Row],[Resource Name]],tsk_IsLeaf,1))</f>
        <v/>
      </c>
      <c r="L35" s="96" t="str">
        <f aca="false">IF(ResourceTable[[#This Row],[Resource Name]]="","",SUMIFS(tsk_LeafAC,tsk_Resource,ResourceTable[[#This Row],[Resource Name]]))</f>
        <v/>
      </c>
      <c r="M35" s="30"/>
    </row>
    <row r="36" customFormat="false" ht="15" hidden="false" customHeight="false" outlineLevel="0" collapsed="false">
      <c r="B36" s="30"/>
      <c r="C36" s="30"/>
      <c r="D36" s="30"/>
      <c r="E36" s="30"/>
      <c r="F36" s="88"/>
      <c r="G36" s="97"/>
      <c r="H36" s="30"/>
      <c r="I36" s="93" t="str">
        <f aca="false">IF(ResourceTable[[#This Row],[Resource Name]]="","",COUNTIFS(tsk_Resource,ResourceTable[[#This Row],[Resource Name]],tsk_IsLeaf,1))</f>
        <v/>
      </c>
      <c r="J36" s="95" t="str">
        <f aca="false">IF(ResourceTable[[#This Row],[Resource Name]]="","",SUMIFS(tsk_Work,tsk_Resource,ResourceTable[[#This Row],[Resource Name]],tsk_IsLeaf,1))</f>
        <v/>
      </c>
      <c r="K36" s="96" t="str">
        <f aca="false">IF(ResourceTable[[#This Row],[Resource Name]]="","",SUMIFS(tsk_Cost,tsk_Resource,ResourceTable[[#This Row],[Resource Name]],tsk_IsLeaf,1))</f>
        <v/>
      </c>
      <c r="L36" s="96" t="str">
        <f aca="false">IF(ResourceTable[[#This Row],[Resource Name]]="","",SUMIFS(tsk_LeafAC,tsk_Resource,ResourceTable[[#This Row],[Resource Name]]))</f>
        <v/>
      </c>
      <c r="M36" s="30"/>
    </row>
    <row r="37" customFormat="false" ht="15" hidden="false" customHeight="false" outlineLevel="0" collapsed="false">
      <c r="B37" s="30"/>
      <c r="C37" s="30"/>
      <c r="D37" s="30"/>
      <c r="E37" s="30"/>
      <c r="F37" s="88"/>
      <c r="G37" s="97"/>
      <c r="H37" s="30"/>
      <c r="I37" s="93" t="str">
        <f aca="false">IF(ResourceTable[[#This Row],[Resource Name]]="","",COUNTIFS(tsk_Resource,ResourceTable[[#This Row],[Resource Name]],tsk_IsLeaf,1))</f>
        <v/>
      </c>
      <c r="J37" s="95" t="str">
        <f aca="false">IF(ResourceTable[[#This Row],[Resource Name]]="","",SUMIFS(tsk_Work,tsk_Resource,ResourceTable[[#This Row],[Resource Name]],tsk_IsLeaf,1))</f>
        <v/>
      </c>
      <c r="K37" s="96" t="str">
        <f aca="false">IF(ResourceTable[[#This Row],[Resource Name]]="","",SUMIFS(tsk_Cost,tsk_Resource,ResourceTable[[#This Row],[Resource Name]],tsk_IsLeaf,1))</f>
        <v/>
      </c>
      <c r="L37" s="96" t="str">
        <f aca="false">IF(ResourceTable[[#This Row],[Resource Name]]="","",SUMIFS(tsk_LeafAC,tsk_Resource,ResourceTable[[#This Row],[Resource Name]]))</f>
        <v/>
      </c>
      <c r="M37" s="30"/>
    </row>
    <row r="38" customFormat="false" ht="15" hidden="false" customHeight="false" outlineLevel="0" collapsed="false">
      <c r="B38" s="30"/>
      <c r="C38" s="30"/>
      <c r="D38" s="30"/>
      <c r="E38" s="30"/>
      <c r="F38" s="88"/>
      <c r="G38" s="97"/>
      <c r="H38" s="30"/>
      <c r="I38" s="93" t="str">
        <f aca="false">IF(ResourceTable[[#This Row],[Resource Name]]="","",COUNTIFS(tsk_Resource,ResourceTable[[#This Row],[Resource Name]],tsk_IsLeaf,1))</f>
        <v/>
      </c>
      <c r="J38" s="95" t="str">
        <f aca="false">IF(ResourceTable[[#This Row],[Resource Name]]="","",SUMIFS(tsk_Work,tsk_Resource,ResourceTable[[#This Row],[Resource Name]],tsk_IsLeaf,1))</f>
        <v/>
      </c>
      <c r="K38" s="96" t="str">
        <f aca="false">IF(ResourceTable[[#This Row],[Resource Name]]="","",SUMIFS(tsk_Cost,tsk_Resource,ResourceTable[[#This Row],[Resource Name]],tsk_IsLeaf,1))</f>
        <v/>
      </c>
      <c r="L38" s="96" t="str">
        <f aca="false">IF(ResourceTable[[#This Row],[Resource Name]]="","",SUMIFS(tsk_LeafAC,tsk_Resource,ResourceTable[[#This Row],[Resource Name]]))</f>
        <v/>
      </c>
      <c r="M38" s="30"/>
    </row>
    <row r="39" customFormat="false" ht="15" hidden="false" customHeight="false" outlineLevel="0" collapsed="false">
      <c r="B39" s="30"/>
      <c r="C39" s="30"/>
      <c r="D39" s="30"/>
      <c r="E39" s="30"/>
      <c r="F39" s="88"/>
      <c r="G39" s="97"/>
      <c r="H39" s="30"/>
      <c r="I39" s="93" t="str">
        <f aca="false">IF(ResourceTable[[#This Row],[Resource Name]]="","",COUNTIFS(tsk_Resource,ResourceTable[[#This Row],[Resource Name]],tsk_IsLeaf,1))</f>
        <v/>
      </c>
      <c r="J39" s="95" t="str">
        <f aca="false">IF(ResourceTable[[#This Row],[Resource Name]]="","",SUMIFS(tsk_Work,tsk_Resource,ResourceTable[[#This Row],[Resource Name]],tsk_IsLeaf,1))</f>
        <v/>
      </c>
      <c r="K39" s="96" t="str">
        <f aca="false">IF(ResourceTable[[#This Row],[Resource Name]]="","",SUMIFS(tsk_Cost,tsk_Resource,ResourceTable[[#This Row],[Resource Name]],tsk_IsLeaf,1))</f>
        <v/>
      </c>
      <c r="L39" s="96" t="str">
        <f aca="false">IF(ResourceTable[[#This Row],[Resource Name]]="","",SUMIFS(tsk_LeafAC,tsk_Resource,ResourceTable[[#This Row],[Resource Name]]))</f>
        <v/>
      </c>
      <c r="M39" s="30"/>
    </row>
    <row r="40" customFormat="false" ht="15" hidden="false" customHeight="false" outlineLevel="0" collapsed="false">
      <c r="B40" s="30"/>
      <c r="C40" s="30"/>
      <c r="D40" s="30"/>
      <c r="E40" s="30"/>
      <c r="F40" s="88"/>
      <c r="G40" s="97"/>
      <c r="H40" s="30"/>
      <c r="I40" s="93" t="str">
        <f aca="false">IF(ResourceTable[[#This Row],[Resource Name]]="","",COUNTIFS(tsk_Resource,ResourceTable[[#This Row],[Resource Name]],tsk_IsLeaf,1))</f>
        <v/>
      </c>
      <c r="J40" s="95" t="str">
        <f aca="false">IF(ResourceTable[[#This Row],[Resource Name]]="","",SUMIFS(tsk_Work,tsk_Resource,ResourceTable[[#This Row],[Resource Name]],tsk_IsLeaf,1))</f>
        <v/>
      </c>
      <c r="K40" s="96" t="str">
        <f aca="false">IF(ResourceTable[[#This Row],[Resource Name]]="","",SUMIFS(tsk_Cost,tsk_Resource,ResourceTable[[#This Row],[Resource Name]],tsk_IsLeaf,1))</f>
        <v/>
      </c>
      <c r="L40" s="96" t="str">
        <f aca="false">IF(ResourceTable[[#This Row],[Resource Name]]="","",SUMIFS(tsk_LeafAC,tsk_Resource,ResourceTable[[#This Row],[Resource Name]]))</f>
        <v/>
      </c>
      <c r="M40" s="30"/>
    </row>
    <row r="41" customFormat="false" ht="15" hidden="false" customHeight="false" outlineLevel="0" collapsed="false">
      <c r="B41" s="30"/>
      <c r="C41" s="30"/>
      <c r="D41" s="30"/>
      <c r="E41" s="30"/>
      <c r="F41" s="88"/>
      <c r="G41" s="97"/>
      <c r="H41" s="30"/>
      <c r="I41" s="93" t="str">
        <f aca="false">IF(ResourceTable[[#This Row],[Resource Name]]="","",COUNTIFS(tsk_Resource,ResourceTable[[#This Row],[Resource Name]],tsk_IsLeaf,1))</f>
        <v/>
      </c>
      <c r="J41" s="95" t="str">
        <f aca="false">IF(ResourceTable[[#This Row],[Resource Name]]="","",SUMIFS(tsk_Work,tsk_Resource,ResourceTable[[#This Row],[Resource Name]],tsk_IsLeaf,1))</f>
        <v/>
      </c>
      <c r="K41" s="96" t="str">
        <f aca="false">IF(ResourceTable[[#This Row],[Resource Name]]="","",SUMIFS(tsk_Cost,tsk_Resource,ResourceTable[[#This Row],[Resource Name]],tsk_IsLeaf,1))</f>
        <v/>
      </c>
      <c r="L41" s="96" t="str">
        <f aca="false">IF(ResourceTable[[#This Row],[Resource Name]]="","",SUMIFS(tsk_LeafAC,tsk_Resource,ResourceTable[[#This Row],[Resource Name]]))</f>
        <v/>
      </c>
      <c r="M41" s="30"/>
    </row>
    <row r="42" customFormat="false" ht="15" hidden="false" customHeight="false" outlineLevel="0" collapsed="false">
      <c r="B42" s="30"/>
      <c r="C42" s="30"/>
      <c r="D42" s="30"/>
      <c r="E42" s="30"/>
      <c r="F42" s="88"/>
      <c r="G42" s="97"/>
      <c r="H42" s="30"/>
      <c r="I42" s="93" t="str">
        <f aca="false">IF(ResourceTable[[#This Row],[Resource Name]]="","",COUNTIFS(tsk_Resource,ResourceTable[[#This Row],[Resource Name]],tsk_IsLeaf,1))</f>
        <v/>
      </c>
      <c r="J42" s="95" t="str">
        <f aca="false">IF(ResourceTable[[#This Row],[Resource Name]]="","",SUMIFS(tsk_Work,tsk_Resource,ResourceTable[[#This Row],[Resource Name]],tsk_IsLeaf,1))</f>
        <v/>
      </c>
      <c r="K42" s="96" t="str">
        <f aca="false">IF(ResourceTable[[#This Row],[Resource Name]]="","",SUMIFS(tsk_Cost,tsk_Resource,ResourceTable[[#This Row],[Resource Name]],tsk_IsLeaf,1))</f>
        <v/>
      </c>
      <c r="L42" s="96" t="str">
        <f aca="false">IF(ResourceTable[[#This Row],[Resource Name]]="","",SUMIFS(tsk_LeafAC,tsk_Resource,ResourceTable[[#This Row],[Resource Name]]))</f>
        <v/>
      </c>
      <c r="M42" s="30"/>
    </row>
    <row r="43" customFormat="false" ht="15" hidden="false" customHeight="false" outlineLevel="0" collapsed="false">
      <c r="B43" s="30"/>
      <c r="C43" s="30"/>
      <c r="D43" s="30"/>
      <c r="E43" s="30"/>
      <c r="F43" s="88"/>
      <c r="G43" s="97"/>
      <c r="H43" s="30"/>
      <c r="I43" s="93" t="str">
        <f aca="false">IF(ResourceTable[[#This Row],[Resource Name]]="","",COUNTIFS(tsk_Resource,ResourceTable[[#This Row],[Resource Name]],tsk_IsLeaf,1))</f>
        <v/>
      </c>
      <c r="J43" s="95" t="str">
        <f aca="false">IF(ResourceTable[[#This Row],[Resource Name]]="","",SUMIFS(tsk_Work,tsk_Resource,ResourceTable[[#This Row],[Resource Name]],tsk_IsLeaf,1))</f>
        <v/>
      </c>
      <c r="K43" s="96" t="str">
        <f aca="false">IF(ResourceTable[[#This Row],[Resource Name]]="","",SUMIFS(tsk_Cost,tsk_Resource,ResourceTable[[#This Row],[Resource Name]],tsk_IsLeaf,1))</f>
        <v/>
      </c>
      <c r="L43" s="96" t="str">
        <f aca="false">IF(ResourceTable[[#This Row],[Resource Name]]="","",SUMIFS(tsk_LeafAC,tsk_Resource,ResourceTable[[#This Row],[Resource Name]]))</f>
        <v/>
      </c>
      <c r="M43" s="30"/>
    </row>
    <row r="44" customFormat="false" ht="15" hidden="false" customHeight="false" outlineLevel="0" collapsed="false">
      <c r="B44" s="30"/>
      <c r="C44" s="30"/>
      <c r="D44" s="30"/>
      <c r="E44" s="30"/>
      <c r="F44" s="88"/>
      <c r="G44" s="97"/>
      <c r="H44" s="30"/>
      <c r="I44" s="93" t="str">
        <f aca="false">IF(ResourceTable[[#This Row],[Resource Name]]="","",COUNTIFS(tsk_Resource,ResourceTable[[#This Row],[Resource Name]],tsk_IsLeaf,1))</f>
        <v/>
      </c>
      <c r="J44" s="95" t="str">
        <f aca="false">IF(ResourceTable[[#This Row],[Resource Name]]="","",SUMIFS(tsk_Work,tsk_Resource,ResourceTable[[#This Row],[Resource Name]],tsk_IsLeaf,1))</f>
        <v/>
      </c>
      <c r="K44" s="96" t="str">
        <f aca="false">IF(ResourceTable[[#This Row],[Resource Name]]="","",SUMIFS(tsk_Cost,tsk_Resource,ResourceTable[[#This Row],[Resource Name]],tsk_IsLeaf,1))</f>
        <v/>
      </c>
      <c r="L44" s="96" t="str">
        <f aca="false">IF(ResourceTable[[#This Row],[Resource Name]]="","",SUMIFS(tsk_LeafAC,tsk_Resource,ResourceTable[[#This Row],[Resource Name]]))</f>
        <v/>
      </c>
      <c r="M44" s="30"/>
    </row>
    <row r="45" customFormat="false" ht="15" hidden="false" customHeight="false" outlineLevel="0" collapsed="false">
      <c r="B45" s="30"/>
      <c r="C45" s="30"/>
      <c r="D45" s="30"/>
      <c r="E45" s="30"/>
      <c r="F45" s="88"/>
      <c r="G45" s="97"/>
      <c r="H45" s="30"/>
      <c r="I45" s="93" t="str">
        <f aca="false">IF(ResourceTable[[#This Row],[Resource Name]]="","",COUNTIFS(tsk_Resource,ResourceTable[[#This Row],[Resource Name]],tsk_IsLeaf,1))</f>
        <v/>
      </c>
      <c r="J45" s="95" t="str">
        <f aca="false">IF(ResourceTable[[#This Row],[Resource Name]]="","",SUMIFS(tsk_Work,tsk_Resource,ResourceTable[[#This Row],[Resource Name]],tsk_IsLeaf,1))</f>
        <v/>
      </c>
      <c r="K45" s="96" t="str">
        <f aca="false">IF(ResourceTable[[#This Row],[Resource Name]]="","",SUMIFS(tsk_Cost,tsk_Resource,ResourceTable[[#This Row],[Resource Name]],tsk_IsLeaf,1))</f>
        <v/>
      </c>
      <c r="L45" s="96" t="str">
        <f aca="false">IF(ResourceTable[[#This Row],[Resource Name]]="","",SUMIFS(tsk_LeafAC,tsk_Resource,ResourceTable[[#This Row],[Resource Name]]))</f>
        <v/>
      </c>
      <c r="M45" s="30"/>
    </row>
    <row r="46" customFormat="false" ht="15" hidden="false" customHeight="false" outlineLevel="0" collapsed="false">
      <c r="B46" s="30"/>
      <c r="C46" s="30"/>
      <c r="D46" s="30"/>
      <c r="E46" s="30"/>
      <c r="F46" s="88"/>
      <c r="G46" s="97"/>
      <c r="H46" s="30"/>
      <c r="I46" s="93" t="str">
        <f aca="false">IF(ResourceTable[[#This Row],[Resource Name]]="","",COUNTIFS(tsk_Resource,ResourceTable[[#This Row],[Resource Name]],tsk_IsLeaf,1))</f>
        <v/>
      </c>
      <c r="J46" s="95" t="str">
        <f aca="false">IF(ResourceTable[[#This Row],[Resource Name]]="","",SUMIFS(tsk_Work,tsk_Resource,ResourceTable[[#This Row],[Resource Name]],tsk_IsLeaf,1))</f>
        <v/>
      </c>
      <c r="K46" s="96" t="str">
        <f aca="false">IF(ResourceTable[[#This Row],[Resource Name]]="","",SUMIFS(tsk_Cost,tsk_Resource,ResourceTable[[#This Row],[Resource Name]],tsk_IsLeaf,1))</f>
        <v/>
      </c>
      <c r="L46" s="96" t="str">
        <f aca="false">IF(ResourceTable[[#This Row],[Resource Name]]="","",SUMIFS(tsk_LeafAC,tsk_Resource,ResourceTable[[#This Row],[Resource Name]]))</f>
        <v/>
      </c>
      <c r="M46" s="30"/>
    </row>
    <row r="47" customFormat="false" ht="15" hidden="false" customHeight="false" outlineLevel="0" collapsed="false">
      <c r="B47" s="30"/>
      <c r="C47" s="30"/>
      <c r="D47" s="30"/>
      <c r="E47" s="30"/>
      <c r="F47" s="88"/>
      <c r="G47" s="97"/>
      <c r="H47" s="30"/>
      <c r="I47" s="93" t="str">
        <f aca="false">IF(ResourceTable[[#This Row],[Resource Name]]="","",COUNTIFS(tsk_Resource,ResourceTable[[#This Row],[Resource Name]],tsk_IsLeaf,1))</f>
        <v/>
      </c>
      <c r="J47" s="95" t="str">
        <f aca="false">IF(ResourceTable[[#This Row],[Resource Name]]="","",SUMIFS(tsk_Work,tsk_Resource,ResourceTable[[#This Row],[Resource Name]],tsk_IsLeaf,1))</f>
        <v/>
      </c>
      <c r="K47" s="96" t="str">
        <f aca="false">IF(ResourceTable[[#This Row],[Resource Name]]="","",SUMIFS(tsk_Cost,tsk_Resource,ResourceTable[[#This Row],[Resource Name]],tsk_IsLeaf,1))</f>
        <v/>
      </c>
      <c r="L47" s="96" t="str">
        <f aca="false">IF(ResourceTable[[#This Row],[Resource Name]]="","",SUMIFS(tsk_LeafAC,tsk_Resource,ResourceTable[[#This Row],[Resource Name]]))</f>
        <v/>
      </c>
      <c r="M47" s="30"/>
    </row>
    <row r="48" customFormat="false" ht="15" hidden="false" customHeight="false" outlineLevel="0" collapsed="false">
      <c r="B48" s="30"/>
      <c r="C48" s="30"/>
      <c r="D48" s="30"/>
      <c r="E48" s="30"/>
      <c r="F48" s="88"/>
      <c r="G48" s="97"/>
      <c r="H48" s="30"/>
      <c r="I48" s="93" t="str">
        <f aca="false">IF(ResourceTable[[#This Row],[Resource Name]]="","",COUNTIFS(tsk_Resource,ResourceTable[[#This Row],[Resource Name]],tsk_IsLeaf,1))</f>
        <v/>
      </c>
      <c r="J48" s="95" t="str">
        <f aca="false">IF(ResourceTable[[#This Row],[Resource Name]]="","",SUMIFS(tsk_Work,tsk_Resource,ResourceTable[[#This Row],[Resource Name]],tsk_IsLeaf,1))</f>
        <v/>
      </c>
      <c r="K48" s="96" t="str">
        <f aca="false">IF(ResourceTable[[#This Row],[Resource Name]]="","",SUMIFS(tsk_Cost,tsk_Resource,ResourceTable[[#This Row],[Resource Name]],tsk_IsLeaf,1))</f>
        <v/>
      </c>
      <c r="L48" s="96" t="str">
        <f aca="false">IF(ResourceTable[[#This Row],[Resource Name]]="","",SUMIFS(tsk_LeafAC,tsk_Resource,ResourceTable[[#This Row],[Resource Name]]))</f>
        <v/>
      </c>
      <c r="M48" s="30"/>
    </row>
    <row r="49" customFormat="false" ht="15" hidden="false" customHeight="false" outlineLevel="0" collapsed="false">
      <c r="B49" s="30"/>
      <c r="C49" s="30"/>
      <c r="D49" s="30"/>
      <c r="E49" s="30"/>
      <c r="F49" s="88"/>
      <c r="G49" s="97"/>
      <c r="H49" s="30"/>
      <c r="I49" s="93" t="str">
        <f aca="false">IF(ResourceTable[[#This Row],[Resource Name]]="","",COUNTIFS(tsk_Resource,ResourceTable[[#This Row],[Resource Name]],tsk_IsLeaf,1))</f>
        <v/>
      </c>
      <c r="J49" s="95" t="str">
        <f aca="false">IF(ResourceTable[[#This Row],[Resource Name]]="","",SUMIFS(tsk_Work,tsk_Resource,ResourceTable[[#This Row],[Resource Name]],tsk_IsLeaf,1))</f>
        <v/>
      </c>
      <c r="K49" s="96" t="str">
        <f aca="false">IF(ResourceTable[[#This Row],[Resource Name]]="","",SUMIFS(tsk_Cost,tsk_Resource,ResourceTable[[#This Row],[Resource Name]],tsk_IsLeaf,1))</f>
        <v/>
      </c>
      <c r="L49" s="96" t="str">
        <f aca="false">IF(ResourceTable[[#This Row],[Resource Name]]="","",SUMIFS(tsk_LeafAC,tsk_Resource,ResourceTable[[#This Row],[Resource Name]]))</f>
        <v/>
      </c>
      <c r="M49" s="30"/>
    </row>
    <row r="50" customFormat="false" ht="15" hidden="false" customHeight="false" outlineLevel="0" collapsed="false">
      <c r="B50" s="30"/>
      <c r="C50" s="30"/>
      <c r="D50" s="30"/>
      <c r="E50" s="30"/>
      <c r="F50" s="88"/>
      <c r="G50" s="97"/>
      <c r="H50" s="30"/>
      <c r="I50" s="93" t="str">
        <f aca="false">IF(ResourceTable[[#This Row],[Resource Name]]="","",COUNTIFS(tsk_Resource,ResourceTable[[#This Row],[Resource Name]],tsk_IsLeaf,1))</f>
        <v/>
      </c>
      <c r="J50" s="95" t="str">
        <f aca="false">IF(ResourceTable[[#This Row],[Resource Name]]="","",SUMIFS(tsk_Work,tsk_Resource,ResourceTable[[#This Row],[Resource Name]],tsk_IsLeaf,1))</f>
        <v/>
      </c>
      <c r="K50" s="96" t="str">
        <f aca="false">IF(ResourceTable[[#This Row],[Resource Name]]="","",SUMIFS(tsk_Cost,tsk_Resource,ResourceTable[[#This Row],[Resource Name]],tsk_IsLeaf,1))</f>
        <v/>
      </c>
      <c r="L50" s="96" t="str">
        <f aca="false">IF(ResourceTable[[#This Row],[Resource Name]]="","",SUMIFS(tsk_LeafAC,tsk_Resource,ResourceTable[[#This Row],[Resource Name]]))</f>
        <v/>
      </c>
      <c r="M50" s="30"/>
    </row>
    <row r="51" customFormat="false" ht="15" hidden="false" customHeight="false" outlineLevel="0" collapsed="false">
      <c r="B51" s="30"/>
      <c r="C51" s="30"/>
      <c r="D51" s="30"/>
      <c r="E51" s="30"/>
      <c r="F51" s="88"/>
      <c r="G51" s="97"/>
      <c r="H51" s="30"/>
      <c r="I51" s="93" t="str">
        <f aca="false">IF(ResourceTable[[#This Row],[Resource Name]]="","",COUNTIFS(tsk_Resource,ResourceTable[[#This Row],[Resource Name]],tsk_IsLeaf,1))</f>
        <v/>
      </c>
      <c r="J51" s="95" t="str">
        <f aca="false">IF(ResourceTable[[#This Row],[Resource Name]]="","",SUMIFS(tsk_Work,tsk_Resource,ResourceTable[[#This Row],[Resource Name]],tsk_IsLeaf,1))</f>
        <v/>
      </c>
      <c r="K51" s="96" t="str">
        <f aca="false">IF(ResourceTable[[#This Row],[Resource Name]]="","",SUMIFS(tsk_Cost,tsk_Resource,ResourceTable[[#This Row],[Resource Name]],tsk_IsLeaf,1))</f>
        <v/>
      </c>
      <c r="L51" s="96" t="str">
        <f aca="false">IF(ResourceTable[[#This Row],[Resource Name]]="","",SUMIFS(tsk_LeafAC,tsk_Resource,ResourceTable[[#This Row],[Resource Name]]))</f>
        <v/>
      </c>
      <c r="M51" s="30"/>
    </row>
    <row r="52" customFormat="false" ht="15" hidden="false" customHeight="false" outlineLevel="0" collapsed="false">
      <c r="B52" s="30"/>
      <c r="C52" s="30"/>
      <c r="D52" s="30"/>
      <c r="E52" s="30"/>
      <c r="F52" s="88"/>
      <c r="G52" s="97"/>
      <c r="H52" s="30"/>
      <c r="I52" s="93" t="str">
        <f aca="false">IF(ResourceTable[[#This Row],[Resource Name]]="","",COUNTIFS(tsk_Resource,ResourceTable[[#This Row],[Resource Name]],tsk_IsLeaf,1))</f>
        <v/>
      </c>
      <c r="J52" s="95" t="str">
        <f aca="false">IF(ResourceTable[[#This Row],[Resource Name]]="","",SUMIFS(tsk_Work,tsk_Resource,ResourceTable[[#This Row],[Resource Name]],tsk_IsLeaf,1))</f>
        <v/>
      </c>
      <c r="K52" s="96" t="str">
        <f aca="false">IF(ResourceTable[[#This Row],[Resource Name]]="","",SUMIFS(tsk_Cost,tsk_Resource,ResourceTable[[#This Row],[Resource Name]],tsk_IsLeaf,1))</f>
        <v/>
      </c>
      <c r="L52" s="96" t="str">
        <f aca="false">IF(ResourceTable[[#This Row],[Resource Name]]="","",SUMIFS(tsk_LeafAC,tsk_Resource,ResourceTable[[#This Row],[Resource Name]]))</f>
        <v/>
      </c>
      <c r="M52" s="30"/>
    </row>
    <row r="53" customFormat="false" ht="15" hidden="false" customHeight="false" outlineLevel="0" collapsed="false">
      <c r="B53" s="30"/>
      <c r="C53" s="30"/>
      <c r="D53" s="30"/>
      <c r="E53" s="30"/>
      <c r="F53" s="88"/>
      <c r="G53" s="97"/>
      <c r="H53" s="30"/>
      <c r="I53" s="93" t="str">
        <f aca="false">IF(ResourceTable[[#This Row],[Resource Name]]="","",COUNTIFS(tsk_Resource,ResourceTable[[#This Row],[Resource Name]],tsk_IsLeaf,1))</f>
        <v/>
      </c>
      <c r="J53" s="95" t="str">
        <f aca="false">IF(ResourceTable[[#This Row],[Resource Name]]="","",SUMIFS(tsk_Work,tsk_Resource,ResourceTable[[#This Row],[Resource Name]],tsk_IsLeaf,1))</f>
        <v/>
      </c>
      <c r="K53" s="96" t="str">
        <f aca="false">IF(ResourceTable[[#This Row],[Resource Name]]="","",SUMIFS(tsk_Cost,tsk_Resource,ResourceTable[[#This Row],[Resource Name]],tsk_IsLeaf,1))</f>
        <v/>
      </c>
      <c r="L53" s="96" t="str">
        <f aca="false">IF(ResourceTable[[#This Row],[Resource Name]]="","",SUMIFS(tsk_LeafAC,tsk_Resource,ResourceTable[[#This Row],[Resource Name]]))</f>
        <v/>
      </c>
      <c r="M53" s="30"/>
    </row>
    <row r="54" customFormat="false" ht="15" hidden="false" customHeight="false" outlineLevel="0" collapsed="false">
      <c r="B54" s="30"/>
      <c r="C54" s="30"/>
      <c r="D54" s="30"/>
      <c r="E54" s="30"/>
      <c r="F54" s="88"/>
      <c r="G54" s="97"/>
      <c r="H54" s="30"/>
      <c r="I54" s="93" t="str">
        <f aca="false">IF(ResourceTable[[#This Row],[Resource Name]]="","",COUNTIFS(tsk_Resource,ResourceTable[[#This Row],[Resource Name]],tsk_IsLeaf,1))</f>
        <v/>
      </c>
      <c r="J54" s="95" t="str">
        <f aca="false">IF(ResourceTable[[#This Row],[Resource Name]]="","",SUMIFS(tsk_Work,tsk_Resource,ResourceTable[[#This Row],[Resource Name]],tsk_IsLeaf,1))</f>
        <v/>
      </c>
      <c r="K54" s="96" t="str">
        <f aca="false">IF(ResourceTable[[#This Row],[Resource Name]]="","",SUMIFS(tsk_Cost,tsk_Resource,ResourceTable[[#This Row],[Resource Name]],tsk_IsLeaf,1))</f>
        <v/>
      </c>
      <c r="L54" s="96" t="str">
        <f aca="false">IF(ResourceTable[[#This Row],[Resource Name]]="","",SUMIFS(tsk_LeafAC,tsk_Resource,ResourceTable[[#This Row],[Resource Name]]))</f>
        <v/>
      </c>
      <c r="M54" s="30"/>
    </row>
    <row r="55" customFormat="false" ht="15" hidden="false" customHeight="false" outlineLevel="0" collapsed="false">
      <c r="B55" s="30"/>
      <c r="C55" s="30"/>
      <c r="D55" s="30"/>
      <c r="E55" s="30"/>
      <c r="F55" s="88"/>
      <c r="G55" s="97"/>
      <c r="H55" s="30"/>
      <c r="I55" s="93" t="str">
        <f aca="false">IF(ResourceTable[[#This Row],[Resource Name]]="","",COUNTIFS(tsk_Resource,ResourceTable[[#This Row],[Resource Name]],tsk_IsLeaf,1))</f>
        <v/>
      </c>
      <c r="J55" s="95" t="str">
        <f aca="false">IF(ResourceTable[[#This Row],[Resource Name]]="","",SUMIFS(tsk_Work,tsk_Resource,ResourceTable[[#This Row],[Resource Name]],tsk_IsLeaf,1))</f>
        <v/>
      </c>
      <c r="K55" s="96" t="str">
        <f aca="false">IF(ResourceTable[[#This Row],[Resource Name]]="","",SUMIFS(tsk_Cost,tsk_Resource,ResourceTable[[#This Row],[Resource Name]],tsk_IsLeaf,1))</f>
        <v/>
      </c>
      <c r="L55" s="96" t="str">
        <f aca="false">IF(ResourceTable[[#This Row],[Resource Name]]="","",SUMIFS(tsk_LeafAC,tsk_Resource,ResourceTable[[#This Row],[Resource Name]]))</f>
        <v/>
      </c>
      <c r="M55" s="30"/>
    </row>
  </sheetData>
  <dataValidations count="1">
    <dataValidation allowBlank="false" errorStyle="stop" operator="between" showDropDown="false" showErrorMessage="false" showInputMessage="false" sqref="E6:E55" type="list">
      <formula1>L_ResType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C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14"/>
    <col collapsed="false" customWidth="true" hidden="false" outlineLevel="0" max="18" min="4" style="0" width="10"/>
    <col collapsed="false" customWidth="true" hidden="true" outlineLevel="0" max="19" min="19" style="0" width="10"/>
    <col collapsed="false" customWidth="true" hidden="false" outlineLevel="0" max="29" min="20" style="0" width="10"/>
  </cols>
  <sheetData>
    <row r="1" customFormat="false" ht="19.7" hidden="false" customHeight="false" outlineLevel="0" collapsed="false">
      <c r="A1" s="26" t="str">
        <f aca="false">ProjectName&amp;"  -  Sprint &amp; Capacity Planning"</f>
        <v>Customer Portal Implementation  -  Sprint &amp; Capacity Planning</v>
      </c>
    </row>
    <row r="2" customFormat="false" ht="15" hidden="false" customHeight="false" outlineLevel="0" collapsed="false">
      <c r="A2" s="8" t="s">
        <v>678</v>
      </c>
    </row>
    <row r="5" customFormat="false" ht="23.85" hidden="false" customHeight="false" outlineLevel="0" collapsed="false">
      <c r="A5" s="9" t="s">
        <v>397</v>
      </c>
      <c r="B5" s="9" t="s">
        <v>507</v>
      </c>
      <c r="C5" s="9" t="s">
        <v>679</v>
      </c>
      <c r="D5" s="9" t="s">
        <v>680</v>
      </c>
      <c r="E5" s="9" t="s">
        <v>681</v>
      </c>
      <c r="F5" s="27" t="s">
        <v>682</v>
      </c>
      <c r="G5" s="9" t="s">
        <v>683</v>
      </c>
      <c r="H5" s="9" t="s">
        <v>684</v>
      </c>
      <c r="I5" s="9" t="s">
        <v>59</v>
      </c>
      <c r="J5" s="9" t="s">
        <v>685</v>
      </c>
      <c r="K5" s="9" t="s">
        <v>91</v>
      </c>
      <c r="L5" s="27" t="s">
        <v>686</v>
      </c>
      <c r="M5" s="9" t="s">
        <v>687</v>
      </c>
      <c r="N5" s="9" t="s">
        <v>688</v>
      </c>
      <c r="O5" s="9" t="s">
        <v>689</v>
      </c>
      <c r="P5" s="9" t="s">
        <v>690</v>
      </c>
      <c r="Q5" s="9" t="s">
        <v>691</v>
      </c>
      <c r="R5" s="9" t="s">
        <v>692</v>
      </c>
      <c r="S5" s="40" t="s">
        <v>258</v>
      </c>
    </row>
    <row r="6" customFormat="false" ht="15" hidden="false" customHeight="false" outlineLevel="0" collapsed="false">
      <c r="A6" s="28" t="n">
        <f aca="false">ROW()-ROW(SprintTable[[#Headers],[No]])</f>
        <v>1</v>
      </c>
      <c r="B6" s="24" t="str">
        <f aca="false">IF(SprintTable[[#This Row],[No]]&lt;=SprintCount,SprintPrefix&amp;SprintTable[[#This Row],[No]],"")</f>
        <v>Sprint 1</v>
      </c>
      <c r="C6" s="25" t="n">
        <f aca="false">Sprint1Start+(SprintTable[[#This Row],[No]]-1)*SprintLength</f>
        <v>46272</v>
      </c>
      <c r="D6" s="25" t="n">
        <f aca="false">SprintTable[[#This Row],[Start]]+SprintLength-1</f>
        <v>46285</v>
      </c>
      <c r="E6" s="28" t="n">
        <f aca="false">NETWORKDAYS.INTL(SprintTable[[#This Row],[Start]],SprintTable[[#This Row],[End]],WorkWeek,Holidays)</f>
        <v>10</v>
      </c>
      <c r="F6" s="30" t="s">
        <v>693</v>
      </c>
      <c r="G6" s="28" t="n">
        <f aca="false">IF(SprintTable[[#This Row],[Sprint]]="","",COUNTIF(tsk_Sprint,SprintTable[[#This Row],[Sprint]]))</f>
        <v>5</v>
      </c>
      <c r="H6" s="95"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75.1111111111111</v>
      </c>
      <c r="I6" s="95" t="n">
        <f aca="false">IF(SprintTable[[#This Row],[Sprint]]="","",SUMIFS(res_MaxUnits,res_Type,"Work")*HoursPerDay*SprintTable[[#This Row],[Working Days]])</f>
        <v>480</v>
      </c>
      <c r="J6" s="94" t="n">
        <f aca="false">IF(OR(SprintTable[[#This Row],[Sprint]]="",N(SprintTable[[#This Row],[Capacity]])=0),"",SprintTable[[#This Row],[Planned Work]]/SprintTable[[#This Row],[Capacity]])</f>
        <v>0.156481481481482</v>
      </c>
      <c r="K6" s="28" t="str">
        <f aca="false">IF(SprintTable[[#This Row],[Sprint]]="","",IF(StatusDate&gt;SprintTable[[#This Row],[End]],"Closed",IF(StatusDate&gt;=SprintTable[[#This Row],[Start]],"Active","Future")))</f>
        <v>Closed</v>
      </c>
      <c r="L6" s="82"/>
      <c r="M6" s="76" t="n">
        <f aca="false">IF(SprintTable[[#This Row],[Sprint]]="","",SUMIFS(tsk_LeafPoints,tsk_Sprint,SprintTable[[#This Row],[Sprint]]))</f>
        <v>18</v>
      </c>
      <c r="N6" s="76" t="n">
        <f aca="false">IF(OR(SprintTable[[#This Row],[Sprint]]="",SprintTable[[#This Row],[Status]]="Future"),"",SUMIFS(tsk_LeafPoints,tsk_DoneDate,"&gt;="&amp;SprintTable[[#This Row],[Start]],tsk_DoneDate,"&lt;="&amp;SprintTable[[#This Row],[End]]))</f>
        <v>5</v>
      </c>
      <c r="O6" s="125" t="n">
        <f aca="false">IF(OR(SprintTable[[#This Row],[Sprint]]="",SprintTable[[#This Row],[Status]]&lt;&gt;"Closed"),"",AVERAGE(INDEX(SprintTable[Done Points],MAX(1,SprintTable[[#This Row],[No]]-2)):INDEX(SprintTable[Done Points],SprintTable[[#This Row],[No]])))</f>
        <v>5</v>
      </c>
      <c r="P6" s="76" t="n">
        <f aca="false">IF(OR(SprintTable[[#This Row],[Sprint]]="",SprintTable[[#This Row],[Status]]="Future"),"",TotalPoints-SUMIFS(tsk_LeafPoints,tsk_DoneDate,"&lt;="&amp;MIN(SprintTable[[#This Row],[End]],StatusDate)))</f>
        <v>77</v>
      </c>
      <c r="Q6" s="76" t="n">
        <f aca="false">IF(SprintTable[[#This Row],[Sprint]]="","",TotalPoints-SUMIFS(tsk_LeafPoints,tsk_FcFinish,"&lt;="&amp;SprintTable[[#This Row],[End]]))</f>
        <v>77</v>
      </c>
      <c r="R6" s="76" t="n">
        <f aca="false">IF(SprintTable[[#This Row],[Sprint]]="","",TotalPoints*MAX(0,1-SprintTable[[#This Row],[No]]/SprintCount))</f>
        <v>75.1666666666667</v>
      </c>
      <c r="S6" s="72" t="n">
        <f aca="false">IF(SprintTable[[#This Row],[Remaining Points]]="",NA(),SprintTable[[#This Row],[Remaining Points]])</f>
        <v>77</v>
      </c>
    </row>
    <row r="7" customFormat="false" ht="15" hidden="false" customHeight="false" outlineLevel="0" collapsed="false">
      <c r="A7" s="28" t="n">
        <f aca="false">ROW()-ROW(SprintTable[[#Headers],[No]])</f>
        <v>2</v>
      </c>
      <c r="B7" s="24" t="str">
        <f aca="false">IF(SprintTable[[#This Row],[No]]&lt;=SprintCount,SprintPrefix&amp;SprintTable[[#This Row],[No]],"")</f>
        <v>Sprint 2</v>
      </c>
      <c r="C7" s="25" t="n">
        <f aca="false">Sprint1Start+(SprintTable[[#This Row],[No]]-1)*SprintLength</f>
        <v>46286</v>
      </c>
      <c r="D7" s="25" t="n">
        <f aca="false">SprintTable[[#This Row],[Start]]+SprintLength-1</f>
        <v>46299</v>
      </c>
      <c r="E7" s="28" t="n">
        <f aca="false">NETWORKDAYS.INTL(SprintTable[[#This Row],[Start]],SprintTable[[#This Row],[End]],WorkWeek,Holidays)</f>
        <v>10</v>
      </c>
      <c r="F7" s="30" t="s">
        <v>694</v>
      </c>
      <c r="G7" s="28" t="n">
        <f aca="false">IF(SprintTable[[#This Row],[Sprint]]="","",COUNTIF(tsk_Sprint,SprintTable[[#This Row],[Sprint]]))</f>
        <v>1</v>
      </c>
      <c r="H7" s="95"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103.174603174603</v>
      </c>
      <c r="I7" s="95" t="n">
        <f aca="false">IF(SprintTable[[#This Row],[Sprint]]="","",SUMIFS(res_MaxUnits,res_Type,"Work")*HoursPerDay*SprintTable[[#This Row],[Working Days]])</f>
        <v>480</v>
      </c>
      <c r="J7" s="94" t="n">
        <f aca="false">IF(OR(SprintTable[[#This Row],[Sprint]]="",N(SprintTable[[#This Row],[Capacity]])=0),"",SprintTable[[#This Row],[Planned Work]]/SprintTable[[#This Row],[Capacity]])</f>
        <v>0.21494708994709</v>
      </c>
      <c r="K7" s="28" t="str">
        <f aca="false">IF(SprintTable[[#This Row],[Sprint]]="","",IF(StatusDate&gt;SprintTable[[#This Row],[End]],"Closed",IF(StatusDate&gt;=SprintTable[[#This Row],[Start]],"Active","Future")))</f>
        <v>Closed</v>
      </c>
      <c r="L7" s="82"/>
      <c r="M7" s="76" t="n">
        <f aca="false">IF(SprintTable[[#This Row],[Sprint]]="","",SUMIFS(tsk_LeafPoints,tsk_Sprint,SprintTable[[#This Row],[Sprint]]))</f>
        <v>5</v>
      </c>
      <c r="N7" s="76" t="n">
        <f aca="false">IF(OR(SprintTable[[#This Row],[Sprint]]="",SprintTable[[#This Row],[Status]]="Future"),"",SUMIFS(tsk_LeafPoints,tsk_DoneDate,"&gt;="&amp;SprintTable[[#This Row],[Start]],tsk_DoneDate,"&lt;="&amp;SprintTable[[#This Row],[End]]))</f>
        <v>13</v>
      </c>
      <c r="O7" s="125" t="n">
        <f aca="false">IF(OR(SprintTable[[#This Row],[Sprint]]="",SprintTable[[#This Row],[Status]]&lt;&gt;"Closed"),"",AVERAGE(INDEX(SprintTable[Done Points],MAX(1,SprintTable[[#This Row],[No]]-2)):INDEX(SprintTable[Done Points],SprintTable[[#This Row],[No]])))</f>
        <v>9</v>
      </c>
      <c r="P7" s="76" t="n">
        <f aca="false">IF(OR(SprintTable[[#This Row],[Sprint]]="",SprintTable[[#This Row],[Status]]="Future"),"",TotalPoints-SUMIFS(tsk_LeafPoints,tsk_DoneDate,"&lt;="&amp;MIN(SprintTable[[#This Row],[End]],StatusDate)))</f>
        <v>64</v>
      </c>
      <c r="Q7" s="76" t="n">
        <f aca="false">IF(SprintTable[[#This Row],[Sprint]]="","",TotalPoints-SUMIFS(tsk_LeafPoints,tsk_FcFinish,"&lt;="&amp;SprintTable[[#This Row],[End]]))</f>
        <v>64</v>
      </c>
      <c r="R7" s="76" t="n">
        <f aca="false">IF(SprintTable[[#This Row],[Sprint]]="","",TotalPoints*MAX(0,1-SprintTable[[#This Row],[No]]/SprintCount))</f>
        <v>68.3333333333333</v>
      </c>
      <c r="S7" s="72" t="n">
        <f aca="false">IF(SprintTable[[#This Row],[Remaining Points]]="",NA(),SprintTable[[#This Row],[Remaining Points]])</f>
        <v>64</v>
      </c>
    </row>
    <row r="8" customFormat="false" ht="15" hidden="false" customHeight="false" outlineLevel="0" collapsed="false">
      <c r="A8" s="28" t="n">
        <f aca="false">ROW()-ROW(SprintTable[[#Headers],[No]])</f>
        <v>3</v>
      </c>
      <c r="B8" s="24" t="str">
        <f aca="false">IF(SprintTable[[#This Row],[No]]&lt;=SprintCount,SprintPrefix&amp;SprintTable[[#This Row],[No]],"")</f>
        <v>Sprint 3</v>
      </c>
      <c r="C8" s="25" t="n">
        <f aca="false">Sprint1Start+(SprintTable[[#This Row],[No]]-1)*SprintLength</f>
        <v>46300</v>
      </c>
      <c r="D8" s="25" t="n">
        <f aca="false">SprintTable[[#This Row],[Start]]+SprintLength-1</f>
        <v>46313</v>
      </c>
      <c r="E8" s="28" t="n">
        <f aca="false">NETWORKDAYS.INTL(SprintTable[[#This Row],[Start]],SprintTable[[#This Row],[End]],WorkWeek,Holidays)</f>
        <v>10</v>
      </c>
      <c r="F8" s="30" t="s">
        <v>695</v>
      </c>
      <c r="G8" s="28" t="n">
        <f aca="false">IF(SprintTable[[#This Row],[Sprint]]="","",COUNTIF(tsk_Sprint,SprintTable[[#This Row],[Sprint]]))</f>
        <v>4</v>
      </c>
      <c r="H8" s="95"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115.047619047619</v>
      </c>
      <c r="I8" s="95" t="n">
        <f aca="false">IF(SprintTable[[#This Row],[Sprint]]="","",SUMIFS(res_MaxUnits,res_Type,"Work")*HoursPerDay*SprintTable[[#This Row],[Working Days]])</f>
        <v>480</v>
      </c>
      <c r="J8" s="94" t="n">
        <f aca="false">IF(OR(SprintTable[[#This Row],[Sprint]]="",N(SprintTable[[#This Row],[Capacity]])=0),"",SprintTable[[#This Row],[Planned Work]]/SprintTable[[#This Row],[Capacity]])</f>
        <v>0.23968253968254</v>
      </c>
      <c r="K8" s="28" t="str">
        <f aca="false">IF(SprintTable[[#This Row],[Sprint]]="","",IF(StatusDate&gt;SprintTable[[#This Row],[End]],"Closed",IF(StatusDate&gt;=SprintTable[[#This Row],[Start]],"Active","Future")))</f>
        <v>Closed</v>
      </c>
      <c r="L8" s="82"/>
      <c r="M8" s="76" t="n">
        <f aca="false">IF(SprintTable[[#This Row],[Sprint]]="","",SUMIFS(tsk_LeafPoints,tsk_Sprint,SprintTable[[#This Row],[Sprint]]))</f>
        <v>18</v>
      </c>
      <c r="N8" s="76" t="n">
        <f aca="false">IF(OR(SprintTable[[#This Row],[Sprint]]="",SprintTable[[#This Row],[Status]]="Future"),"",SUMIFS(tsk_LeafPoints,tsk_DoneDate,"&gt;="&amp;SprintTable[[#This Row],[Start]],tsk_DoneDate,"&lt;="&amp;SprintTable[[#This Row],[End]]))</f>
        <v>15</v>
      </c>
      <c r="O8" s="125" t="n">
        <f aca="false">IF(OR(SprintTable[[#This Row],[Sprint]]="",SprintTable[[#This Row],[Status]]&lt;&gt;"Closed"),"",AVERAGE(INDEX(SprintTable[Done Points],MAX(1,SprintTable[[#This Row],[No]]-2)):INDEX(SprintTable[Done Points],SprintTable[[#This Row],[No]])))</f>
        <v>11</v>
      </c>
      <c r="P8" s="76" t="n">
        <f aca="false">IF(OR(SprintTable[[#This Row],[Sprint]]="",SprintTable[[#This Row],[Status]]="Future"),"",TotalPoints-SUMIFS(tsk_LeafPoints,tsk_DoneDate,"&lt;="&amp;MIN(SprintTable[[#This Row],[End]],StatusDate)))</f>
        <v>49</v>
      </c>
      <c r="Q8" s="76" t="n">
        <f aca="false">IF(SprintTable[[#This Row],[Sprint]]="","",TotalPoints-SUMIFS(tsk_LeafPoints,tsk_FcFinish,"&lt;="&amp;SprintTable[[#This Row],[End]]))</f>
        <v>49</v>
      </c>
      <c r="R8" s="76" t="n">
        <f aca="false">IF(SprintTable[[#This Row],[Sprint]]="","",TotalPoints*MAX(0,1-SprintTable[[#This Row],[No]]/SprintCount))</f>
        <v>61.5</v>
      </c>
      <c r="S8" s="72" t="n">
        <f aca="false">IF(SprintTable[[#This Row],[Remaining Points]]="",NA(),SprintTable[[#This Row],[Remaining Points]])</f>
        <v>49</v>
      </c>
    </row>
    <row r="9" customFormat="false" ht="15" hidden="false" customHeight="false" outlineLevel="0" collapsed="false">
      <c r="A9" s="28" t="n">
        <f aca="false">ROW()-ROW(SprintTable[[#Headers],[No]])</f>
        <v>4</v>
      </c>
      <c r="B9" s="24" t="str">
        <f aca="false">IF(SprintTable[[#This Row],[No]]&lt;=SprintCount,SprintPrefix&amp;SprintTable[[#This Row],[No]],"")</f>
        <v>Sprint 4</v>
      </c>
      <c r="C9" s="25" t="n">
        <f aca="false">Sprint1Start+(SprintTable[[#This Row],[No]]-1)*SprintLength</f>
        <v>46314</v>
      </c>
      <c r="D9" s="25" t="n">
        <f aca="false">SprintTable[[#This Row],[Start]]+SprintLength-1</f>
        <v>46327</v>
      </c>
      <c r="E9" s="28" t="n">
        <f aca="false">NETWORKDAYS.INTL(SprintTable[[#This Row],[Start]],SprintTable[[#This Row],[End]],WorkWeek,Holidays)</f>
        <v>10</v>
      </c>
      <c r="F9" s="30" t="s">
        <v>696</v>
      </c>
      <c r="G9" s="28" t="n">
        <f aca="false">IF(SprintTable[[#This Row],[Sprint]]="","",COUNTIF(tsk_Sprint,SprintTable[[#This Row],[Sprint]]))</f>
        <v>1</v>
      </c>
      <c r="H9" s="95"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135.238095238095</v>
      </c>
      <c r="I9" s="95" t="n">
        <f aca="false">IF(SprintTable[[#This Row],[Sprint]]="","",SUMIFS(res_MaxUnits,res_Type,"Work")*HoursPerDay*SprintTable[[#This Row],[Working Days]])</f>
        <v>480</v>
      </c>
      <c r="J9" s="94" t="n">
        <f aca="false">IF(OR(SprintTable[[#This Row],[Sprint]]="",N(SprintTable[[#This Row],[Capacity]])=0),"",SprintTable[[#This Row],[Planned Work]]/SprintTable[[#This Row],[Capacity]])</f>
        <v>0.281746031746032</v>
      </c>
      <c r="K9" s="28" t="str">
        <f aca="false">IF(SprintTable[[#This Row],[Sprint]]="","",IF(StatusDate&gt;SprintTable[[#This Row],[End]],"Closed",IF(StatusDate&gt;=SprintTable[[#This Row],[Start]],"Active","Future")))</f>
        <v>Active</v>
      </c>
      <c r="L9" s="82"/>
      <c r="M9" s="76" t="n">
        <f aca="false">IF(SprintTable[[#This Row],[Sprint]]="","",SUMIFS(tsk_LeafPoints,tsk_Sprint,SprintTable[[#This Row],[Sprint]]))</f>
        <v>8</v>
      </c>
      <c r="N9" s="76" t="n">
        <f aca="false">IF(OR(SprintTable[[#This Row],[Sprint]]="",SprintTable[[#This Row],[Status]]="Future"),"",SUMIFS(tsk_LeafPoints,tsk_DoneDate,"&gt;="&amp;SprintTable[[#This Row],[Start]],tsk_DoneDate,"&lt;="&amp;SprintTable[[#This Row],[End]]))</f>
        <v>0</v>
      </c>
      <c r="O9" s="125" t="str">
        <f aca="false">IF(OR(SprintTable[[#This Row],[Sprint]]="",SprintTable[[#This Row],[Status]]&lt;&gt;"Closed"),"",AVERAGE(INDEX(SprintTable[Done Points],MAX(1,SprintTable[[#This Row],[No]]-2)):INDEX(SprintTable[Done Points],SprintTable[[#This Row],[No]])))</f>
        <v/>
      </c>
      <c r="P9" s="76" t="n">
        <f aca="false">IF(OR(SprintTable[[#This Row],[Sprint]]="",SprintTable[[#This Row],[Status]]="Future"),"",TotalPoints-SUMIFS(tsk_LeafPoints,tsk_DoneDate,"&lt;="&amp;MIN(SprintTable[[#This Row],[End]],StatusDate)))</f>
        <v>49</v>
      </c>
      <c r="Q9" s="76" t="n">
        <f aca="false">IF(SprintTable[[#This Row],[Sprint]]="","",TotalPoints-SUMIFS(tsk_LeafPoints,tsk_FcFinish,"&lt;="&amp;SprintTable[[#This Row],[End]]))</f>
        <v>41</v>
      </c>
      <c r="R9" s="76" t="n">
        <f aca="false">IF(SprintTable[[#This Row],[Sprint]]="","",TotalPoints*MAX(0,1-SprintTable[[#This Row],[No]]/SprintCount))</f>
        <v>54.6666666666667</v>
      </c>
      <c r="S9" s="72" t="n">
        <f aca="false">IF(SprintTable[[#This Row],[Remaining Points]]="",NA(),SprintTable[[#This Row],[Remaining Points]])</f>
        <v>49</v>
      </c>
    </row>
    <row r="10" customFormat="false" ht="15" hidden="false" customHeight="false" outlineLevel="0" collapsed="false">
      <c r="A10" s="28" t="n">
        <f aca="false">ROW()-ROW(SprintTable[[#Headers],[No]])</f>
        <v>5</v>
      </c>
      <c r="B10" s="24" t="str">
        <f aca="false">IF(SprintTable[[#This Row],[No]]&lt;=SprintCount,SprintPrefix&amp;SprintTable[[#This Row],[No]],"")</f>
        <v>Sprint 5</v>
      </c>
      <c r="C10" s="25" t="n">
        <f aca="false">Sprint1Start+(SprintTable[[#This Row],[No]]-1)*SprintLength</f>
        <v>46328</v>
      </c>
      <c r="D10" s="25" t="n">
        <f aca="false">SprintTable[[#This Row],[Start]]+SprintLength-1</f>
        <v>46341</v>
      </c>
      <c r="E10" s="28" t="n">
        <f aca="false">NETWORKDAYS.INTL(SprintTable[[#This Row],[Start]],SprintTable[[#This Row],[End]],WorkWeek,Holidays)</f>
        <v>10</v>
      </c>
      <c r="F10" s="30" t="s">
        <v>697</v>
      </c>
      <c r="G10" s="28" t="n">
        <f aca="false">IF(SprintTable[[#This Row],[Sprint]]="","",COUNTIF(tsk_Sprint,SprintTable[[#This Row],[Sprint]]))</f>
        <v>5</v>
      </c>
      <c r="H10" s="95"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127.428571428571</v>
      </c>
      <c r="I10" s="95" t="n">
        <f aca="false">IF(SprintTable[[#This Row],[Sprint]]="","",SUMIFS(res_MaxUnits,res_Type,"Work")*HoursPerDay*SprintTable[[#This Row],[Working Days]])</f>
        <v>480</v>
      </c>
      <c r="J10" s="94" t="n">
        <f aca="false">IF(OR(SprintTable[[#This Row],[Sprint]]="",N(SprintTable[[#This Row],[Capacity]])=0),"",SprintTable[[#This Row],[Planned Work]]/SprintTable[[#This Row],[Capacity]])</f>
        <v>0.265476190476191</v>
      </c>
      <c r="K10" s="28" t="str">
        <f aca="false">IF(SprintTable[[#This Row],[Sprint]]="","",IF(StatusDate&gt;SprintTable[[#This Row],[End]],"Closed",IF(StatusDate&gt;=SprintTable[[#This Row],[Start]],"Active","Future")))</f>
        <v>Future</v>
      </c>
      <c r="L10" s="82"/>
      <c r="M10" s="76" t="n">
        <f aca="false">IF(SprintTable[[#This Row],[Sprint]]="","",SUMIFS(tsk_LeafPoints,tsk_Sprint,SprintTable[[#This Row],[Sprint]]))</f>
        <v>19</v>
      </c>
      <c r="N10" s="76" t="str">
        <f aca="false">IF(OR(SprintTable[[#This Row],[Sprint]]="",SprintTable[[#This Row],[Status]]="Future"),"",SUMIFS(tsk_LeafPoints,tsk_DoneDate,"&gt;="&amp;SprintTable[[#This Row],[Start]],tsk_DoneDate,"&lt;="&amp;SprintTable[[#This Row],[End]]))</f>
        <v/>
      </c>
      <c r="O10" s="125" t="str">
        <f aca="false">IF(OR(SprintTable[[#This Row],[Sprint]]="",SprintTable[[#This Row],[Status]]&lt;&gt;"Closed"),"",AVERAGE(INDEX(SprintTable[Done Points],MAX(1,SprintTable[[#This Row],[No]]-2)):INDEX(SprintTable[Done Points],SprintTable[[#This Row],[No]])))</f>
        <v/>
      </c>
      <c r="P10" s="76" t="str">
        <f aca="false">IF(OR(SprintTable[[#This Row],[Sprint]]="",SprintTable[[#This Row],[Status]]="Future"),"",TotalPoints-SUMIFS(tsk_LeafPoints,tsk_DoneDate,"&lt;="&amp;MIN(SprintTable[[#This Row],[End]],StatusDate)))</f>
        <v/>
      </c>
      <c r="Q10" s="76" t="n">
        <f aca="false">IF(SprintTable[[#This Row],[Sprint]]="","",TotalPoints-SUMIFS(tsk_LeafPoints,tsk_FcFinish,"&lt;="&amp;SprintTable[[#This Row],[End]]))</f>
        <v>25</v>
      </c>
      <c r="R10" s="76" t="n">
        <f aca="false">IF(SprintTable[[#This Row],[Sprint]]="","",TotalPoints*MAX(0,1-SprintTable[[#This Row],[No]]/SprintCount))</f>
        <v>47.8333333333333</v>
      </c>
      <c r="S10" s="41" t="e">
        <f aca="false">IF(SprintTable[[#This Row],[Remaining Points]]="",NA(),SprintTable[[#This Row],[Remaining Points]])</f>
        <v>#N/A</v>
      </c>
    </row>
    <row r="11" customFormat="false" ht="15" hidden="false" customHeight="false" outlineLevel="0" collapsed="false">
      <c r="A11" s="28" t="n">
        <f aca="false">ROW()-ROW(SprintTable[[#Headers],[No]])</f>
        <v>6</v>
      </c>
      <c r="B11" s="24" t="str">
        <f aca="false">IF(SprintTable[[#This Row],[No]]&lt;=SprintCount,SprintPrefix&amp;SprintTable[[#This Row],[No]],"")</f>
        <v>Sprint 6</v>
      </c>
      <c r="C11" s="25" t="n">
        <f aca="false">Sprint1Start+(SprintTable[[#This Row],[No]]-1)*SprintLength</f>
        <v>46342</v>
      </c>
      <c r="D11" s="25" t="n">
        <f aca="false">SprintTable[[#This Row],[Start]]+SprintLength-1</f>
        <v>46355</v>
      </c>
      <c r="E11" s="28" t="n">
        <f aca="false">NETWORKDAYS.INTL(SprintTable[[#This Row],[Start]],SprintTable[[#This Row],[End]],WorkWeek,Holidays)</f>
        <v>10</v>
      </c>
      <c r="F11" s="30" t="s">
        <v>698</v>
      </c>
      <c r="G11" s="28" t="n">
        <f aca="false">IF(SprintTable[[#This Row],[Sprint]]="","",COUNTIF(tsk_Sprint,SprintTable[[#This Row],[Sprint]]))</f>
        <v>1</v>
      </c>
      <c r="H11" s="95"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52</v>
      </c>
      <c r="I11" s="95" t="n">
        <f aca="false">IF(SprintTable[[#This Row],[Sprint]]="","",SUMIFS(res_MaxUnits,res_Type,"Work")*HoursPerDay*SprintTable[[#This Row],[Working Days]])</f>
        <v>480</v>
      </c>
      <c r="J11" s="94" t="n">
        <f aca="false">IF(OR(SprintTable[[#This Row],[Sprint]]="",N(SprintTable[[#This Row],[Capacity]])=0),"",SprintTable[[#This Row],[Planned Work]]/SprintTable[[#This Row],[Capacity]])</f>
        <v>0.108333333333333</v>
      </c>
      <c r="K11" s="28" t="str">
        <f aca="false">IF(SprintTable[[#This Row],[Sprint]]="","",IF(StatusDate&gt;SprintTable[[#This Row],[End]],"Closed",IF(StatusDate&gt;=SprintTable[[#This Row],[Start]],"Active","Future")))</f>
        <v>Future</v>
      </c>
      <c r="L11" s="82"/>
      <c r="M11" s="76" t="n">
        <f aca="false">IF(SprintTable[[#This Row],[Sprint]]="","",SUMIFS(tsk_LeafPoints,tsk_Sprint,SprintTable[[#This Row],[Sprint]]))</f>
        <v>1</v>
      </c>
      <c r="N11" s="76" t="str">
        <f aca="false">IF(OR(SprintTable[[#This Row],[Sprint]]="",SprintTable[[#This Row],[Status]]="Future"),"",SUMIFS(tsk_LeafPoints,tsk_DoneDate,"&gt;="&amp;SprintTable[[#This Row],[Start]],tsk_DoneDate,"&lt;="&amp;SprintTable[[#This Row],[End]]))</f>
        <v/>
      </c>
      <c r="O11" s="125" t="str">
        <f aca="false">IF(OR(SprintTable[[#This Row],[Sprint]]="",SprintTable[[#This Row],[Status]]&lt;&gt;"Closed"),"",AVERAGE(INDEX(SprintTable[Done Points],MAX(1,SprintTable[[#This Row],[No]]-2)):INDEX(SprintTable[Done Points],SprintTable[[#This Row],[No]])))</f>
        <v/>
      </c>
      <c r="P11" s="76" t="str">
        <f aca="false">IF(OR(SprintTable[[#This Row],[Sprint]]="",SprintTable[[#This Row],[Status]]="Future"),"",TotalPoints-SUMIFS(tsk_LeafPoints,tsk_DoneDate,"&lt;="&amp;MIN(SprintTable[[#This Row],[End]],StatusDate)))</f>
        <v/>
      </c>
      <c r="Q11" s="76" t="n">
        <f aca="false">IF(SprintTable[[#This Row],[Sprint]]="","",TotalPoints-SUMIFS(tsk_LeafPoints,tsk_FcFinish,"&lt;="&amp;SprintTable[[#This Row],[End]]))</f>
        <v>13</v>
      </c>
      <c r="R11" s="76" t="n">
        <f aca="false">IF(SprintTable[[#This Row],[Sprint]]="","",TotalPoints*MAX(0,1-SprintTable[[#This Row],[No]]/SprintCount))</f>
        <v>41</v>
      </c>
      <c r="S11" s="41" t="e">
        <f aca="false">IF(SprintTable[[#This Row],[Remaining Points]]="",NA(),SprintTable[[#This Row],[Remaining Points]])</f>
        <v>#N/A</v>
      </c>
    </row>
    <row r="12" customFormat="false" ht="15" hidden="false" customHeight="false" outlineLevel="0" collapsed="false">
      <c r="A12" s="28" t="n">
        <f aca="false">ROW()-ROW(SprintTable[[#Headers],[No]])</f>
        <v>7</v>
      </c>
      <c r="B12" s="24" t="str">
        <f aca="false">IF(SprintTable[[#This Row],[No]]&lt;=SprintCount,SprintPrefix&amp;SprintTable[[#This Row],[No]],"")</f>
        <v>Sprint 7</v>
      </c>
      <c r="C12" s="25" t="n">
        <f aca="false">Sprint1Start+(SprintTable[[#This Row],[No]]-1)*SprintLength</f>
        <v>46356</v>
      </c>
      <c r="D12" s="25" t="n">
        <f aca="false">SprintTable[[#This Row],[Start]]+SprintLength-1</f>
        <v>46369</v>
      </c>
      <c r="E12" s="28" t="n">
        <f aca="false">NETWORKDAYS.INTL(SprintTable[[#This Row],[Start]],SprintTable[[#This Row],[End]],WorkWeek,Holidays)</f>
        <v>10</v>
      </c>
      <c r="F12" s="30" t="s">
        <v>699</v>
      </c>
      <c r="G12" s="28" t="n">
        <f aca="false">IF(SprintTable[[#This Row],[Sprint]]="","",COUNTIF(tsk_Sprint,SprintTable[[#This Row],[Sprint]]))</f>
        <v>1</v>
      </c>
      <c r="H12" s="95"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40</v>
      </c>
      <c r="I12" s="95" t="n">
        <f aca="false">IF(SprintTable[[#This Row],[Sprint]]="","",SUMIFS(res_MaxUnits,res_Type,"Work")*HoursPerDay*SprintTable[[#This Row],[Working Days]])</f>
        <v>480</v>
      </c>
      <c r="J12" s="94" t="n">
        <f aca="false">IF(OR(SprintTable[[#This Row],[Sprint]]="",N(SprintTable[[#This Row],[Capacity]])=0),"",SprintTable[[#This Row],[Planned Work]]/SprintTable[[#This Row],[Capacity]])</f>
        <v>0.0833333333333333</v>
      </c>
      <c r="K12" s="28" t="str">
        <f aca="false">IF(SprintTable[[#This Row],[Sprint]]="","",IF(StatusDate&gt;SprintTable[[#This Row],[End]],"Closed",IF(StatusDate&gt;=SprintTable[[#This Row],[Start]],"Active","Future")))</f>
        <v>Future</v>
      </c>
      <c r="L12" s="82"/>
      <c r="M12" s="76" t="n">
        <f aca="false">IF(SprintTable[[#This Row],[Sprint]]="","",SUMIFS(tsk_LeafPoints,tsk_Sprint,SprintTable[[#This Row],[Sprint]]))</f>
        <v>5</v>
      </c>
      <c r="N12" s="76" t="str">
        <f aca="false">IF(OR(SprintTable[[#This Row],[Sprint]]="",SprintTable[[#This Row],[Status]]="Future"),"",SUMIFS(tsk_LeafPoints,tsk_DoneDate,"&gt;="&amp;SprintTable[[#This Row],[Start]],tsk_DoneDate,"&lt;="&amp;SprintTable[[#This Row],[End]]))</f>
        <v/>
      </c>
      <c r="O12" s="125" t="str">
        <f aca="false">IF(OR(SprintTable[[#This Row],[Sprint]]="",SprintTable[[#This Row],[Status]]&lt;&gt;"Closed"),"",AVERAGE(INDEX(SprintTable[Done Points],MAX(1,SprintTable[[#This Row],[No]]-2)):INDEX(SprintTable[Done Points],SprintTable[[#This Row],[No]])))</f>
        <v/>
      </c>
      <c r="P12" s="76" t="str">
        <f aca="false">IF(OR(SprintTable[[#This Row],[Sprint]]="",SprintTable[[#This Row],[Status]]="Future"),"",TotalPoints-SUMIFS(tsk_LeafPoints,tsk_DoneDate,"&lt;="&amp;MIN(SprintTable[[#This Row],[End]],StatusDate)))</f>
        <v/>
      </c>
      <c r="Q12" s="76" t="n">
        <f aca="false">IF(SprintTable[[#This Row],[Sprint]]="","",TotalPoints-SUMIFS(tsk_LeafPoints,tsk_FcFinish,"&lt;="&amp;SprintTable[[#This Row],[End]]))</f>
        <v>13</v>
      </c>
      <c r="R12" s="76" t="n">
        <f aca="false">IF(SprintTable[[#This Row],[Sprint]]="","",TotalPoints*MAX(0,1-SprintTable[[#This Row],[No]]/SprintCount))</f>
        <v>34.1666666666667</v>
      </c>
      <c r="S12" s="41" t="e">
        <f aca="false">IF(SprintTable[[#This Row],[Remaining Points]]="",NA(),SprintTable[[#This Row],[Remaining Points]])</f>
        <v>#N/A</v>
      </c>
    </row>
    <row r="13" customFormat="false" ht="15" hidden="false" customHeight="false" outlineLevel="0" collapsed="false">
      <c r="A13" s="28" t="n">
        <f aca="false">ROW()-ROW(SprintTable[[#Headers],[No]])</f>
        <v>8</v>
      </c>
      <c r="B13" s="24" t="str">
        <f aca="false">IF(SprintTable[[#This Row],[No]]&lt;=SprintCount,SprintPrefix&amp;SprintTable[[#This Row],[No]],"")</f>
        <v>Sprint 8</v>
      </c>
      <c r="C13" s="25" t="n">
        <f aca="false">Sprint1Start+(SprintTable[[#This Row],[No]]-1)*SprintLength</f>
        <v>46370</v>
      </c>
      <c r="D13" s="25" t="n">
        <f aca="false">SprintTable[[#This Row],[Start]]+SprintLength-1</f>
        <v>46383</v>
      </c>
      <c r="E13" s="28" t="n">
        <f aca="false">NETWORKDAYS.INTL(SprintTable[[#This Row],[Start]],SprintTable[[#This Row],[End]],WorkWeek,Holidays)</f>
        <v>8</v>
      </c>
      <c r="F13" s="30" t="s">
        <v>700</v>
      </c>
      <c r="G13" s="28" t="n">
        <f aca="false">IF(SprintTable[[#This Row],[Sprint]]="","",COUNTIF(tsk_Sprint,SprintTable[[#This Row],[Sprint]]))</f>
        <v>3</v>
      </c>
      <c r="H13" s="95"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40</v>
      </c>
      <c r="I13" s="95" t="n">
        <f aca="false">IF(SprintTable[[#This Row],[Sprint]]="","",SUMIFS(res_MaxUnits,res_Type,"Work")*HoursPerDay*SprintTable[[#This Row],[Working Days]])</f>
        <v>384</v>
      </c>
      <c r="J13" s="94" t="n">
        <f aca="false">IF(OR(SprintTable[[#This Row],[Sprint]]="",N(SprintTable[[#This Row],[Capacity]])=0),"",SprintTable[[#This Row],[Planned Work]]/SprintTable[[#This Row],[Capacity]])</f>
        <v>0.104166666666667</v>
      </c>
      <c r="K13" s="28" t="str">
        <f aca="false">IF(SprintTable[[#This Row],[Sprint]]="","",IF(StatusDate&gt;SprintTable[[#This Row],[End]],"Closed",IF(StatusDate&gt;=SprintTable[[#This Row],[Start]],"Active","Future")))</f>
        <v>Future</v>
      </c>
      <c r="L13" s="82"/>
      <c r="M13" s="76" t="n">
        <f aca="false">IF(SprintTable[[#This Row],[Sprint]]="","",SUMIFS(tsk_LeafPoints,tsk_Sprint,SprintTable[[#This Row],[Sprint]]))</f>
        <v>6</v>
      </c>
      <c r="N13" s="76" t="str">
        <f aca="false">IF(OR(SprintTable[[#This Row],[Sprint]]="",SprintTable[[#This Row],[Status]]="Future"),"",SUMIFS(tsk_LeafPoints,tsk_DoneDate,"&gt;="&amp;SprintTable[[#This Row],[Start]],tsk_DoneDate,"&lt;="&amp;SprintTable[[#This Row],[End]]))</f>
        <v/>
      </c>
      <c r="O13" s="125" t="str">
        <f aca="false">IF(OR(SprintTable[[#This Row],[Sprint]]="",SprintTable[[#This Row],[Status]]&lt;&gt;"Closed"),"",AVERAGE(INDEX(SprintTable[Done Points],MAX(1,SprintTable[[#This Row],[No]]-2)):INDEX(SprintTable[Done Points],SprintTable[[#This Row],[No]])))</f>
        <v/>
      </c>
      <c r="P13" s="76" t="str">
        <f aca="false">IF(OR(SprintTable[[#This Row],[Sprint]]="",SprintTable[[#This Row],[Status]]="Future"),"",TotalPoints-SUMIFS(tsk_LeafPoints,tsk_DoneDate,"&lt;="&amp;MIN(SprintTable[[#This Row],[End]],StatusDate)))</f>
        <v/>
      </c>
      <c r="Q13" s="76" t="n">
        <f aca="false">IF(SprintTable[[#This Row],[Sprint]]="","",TotalPoints-SUMIFS(tsk_LeafPoints,tsk_FcFinish,"&lt;="&amp;SprintTable[[#This Row],[End]]))</f>
        <v>7</v>
      </c>
      <c r="R13" s="76" t="n">
        <f aca="false">IF(SprintTable[[#This Row],[Sprint]]="","",TotalPoints*MAX(0,1-SprintTable[[#This Row],[No]]/SprintCount))</f>
        <v>27.3333333333333</v>
      </c>
      <c r="S13" s="41" t="e">
        <f aca="false">IF(SprintTable[[#This Row],[Remaining Points]]="",NA(),SprintTable[[#This Row],[Remaining Points]])</f>
        <v>#N/A</v>
      </c>
    </row>
    <row r="14" customFormat="false" ht="15" hidden="false" customHeight="false" outlineLevel="0" collapsed="false">
      <c r="A14" s="28" t="n">
        <f aca="false">ROW()-ROW(SprintTable[[#Headers],[No]])</f>
        <v>9</v>
      </c>
      <c r="B14" s="24" t="str">
        <f aca="false">IF(SprintTable[[#This Row],[No]]&lt;=SprintCount,SprintPrefix&amp;SprintTable[[#This Row],[No]],"")</f>
        <v>Sprint 9</v>
      </c>
      <c r="C14" s="25" t="n">
        <f aca="false">Sprint1Start+(SprintTable[[#This Row],[No]]-1)*SprintLength</f>
        <v>46384</v>
      </c>
      <c r="D14" s="25" t="n">
        <f aca="false">SprintTable[[#This Row],[Start]]+SprintLength-1</f>
        <v>46397</v>
      </c>
      <c r="E14" s="28" t="n">
        <f aca="false">NETWORKDAYS.INTL(SprintTable[[#This Row],[Start]],SprintTable[[#This Row],[End]],WorkWeek,Holidays)</f>
        <v>8</v>
      </c>
      <c r="F14" s="30" t="s">
        <v>701</v>
      </c>
      <c r="G14" s="28" t="n">
        <f aca="false">IF(SprintTable[[#This Row],[Sprint]]="","",COUNTIF(tsk_Sprint,SprintTable[[#This Row],[Sprint]]))</f>
        <v>2</v>
      </c>
      <c r="H14" s="95"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32</v>
      </c>
      <c r="I14" s="95" t="n">
        <f aca="false">IF(SprintTable[[#This Row],[Sprint]]="","",SUMIFS(res_MaxUnits,res_Type,"Work")*HoursPerDay*SprintTable[[#This Row],[Working Days]])</f>
        <v>384</v>
      </c>
      <c r="J14" s="94" t="n">
        <f aca="false">IF(OR(SprintTable[[#This Row],[Sprint]]="",N(SprintTable[[#This Row],[Capacity]])=0),"",SprintTable[[#This Row],[Planned Work]]/SprintTable[[#This Row],[Capacity]])</f>
        <v>0.0833333333333333</v>
      </c>
      <c r="K14" s="28" t="str">
        <f aca="false">IF(SprintTable[[#This Row],[Sprint]]="","",IF(StatusDate&gt;SprintTable[[#This Row],[End]],"Closed",IF(StatusDate&gt;=SprintTable[[#This Row],[Start]],"Active","Future")))</f>
        <v>Future</v>
      </c>
      <c r="L14" s="82"/>
      <c r="M14" s="76" t="n">
        <f aca="false">IF(SprintTable[[#This Row],[Sprint]]="","",SUMIFS(tsk_LeafPoints,tsk_Sprint,SprintTable[[#This Row],[Sprint]]))</f>
        <v>2</v>
      </c>
      <c r="N14" s="76" t="str">
        <f aca="false">IF(OR(SprintTable[[#This Row],[Sprint]]="",SprintTable[[#This Row],[Status]]="Future"),"",SUMIFS(tsk_LeafPoints,tsk_DoneDate,"&gt;="&amp;SprintTable[[#This Row],[Start]],tsk_DoneDate,"&lt;="&amp;SprintTable[[#This Row],[End]]))</f>
        <v/>
      </c>
      <c r="O14" s="125" t="str">
        <f aca="false">IF(OR(SprintTable[[#This Row],[Sprint]]="",SprintTable[[#This Row],[Status]]&lt;&gt;"Closed"),"",AVERAGE(INDEX(SprintTable[Done Points],MAX(1,SprintTable[[#This Row],[No]]-2)):INDEX(SprintTable[Done Points],SprintTable[[#This Row],[No]])))</f>
        <v/>
      </c>
      <c r="P14" s="76" t="str">
        <f aca="false">IF(OR(SprintTable[[#This Row],[Sprint]]="",SprintTable[[#This Row],[Status]]="Future"),"",TotalPoints-SUMIFS(tsk_LeafPoints,tsk_DoneDate,"&lt;="&amp;MIN(SprintTable[[#This Row],[End]],StatusDate)))</f>
        <v/>
      </c>
      <c r="Q14" s="76" t="n">
        <f aca="false">IF(SprintTable[[#This Row],[Sprint]]="","",TotalPoints-SUMIFS(tsk_LeafPoints,tsk_FcFinish,"&lt;="&amp;SprintTable[[#This Row],[End]]))</f>
        <v>0</v>
      </c>
      <c r="R14" s="76" t="n">
        <f aca="false">IF(SprintTable[[#This Row],[Sprint]]="","",TotalPoints*MAX(0,1-SprintTable[[#This Row],[No]]/SprintCount))</f>
        <v>20.5</v>
      </c>
      <c r="S14" s="41" t="e">
        <f aca="false">IF(SprintTable[[#This Row],[Remaining Points]]="",NA(),SprintTable[[#This Row],[Remaining Points]])</f>
        <v>#N/A</v>
      </c>
    </row>
    <row r="15" customFormat="false" ht="15" hidden="false" customHeight="false" outlineLevel="0" collapsed="false">
      <c r="A15" s="28" t="n">
        <f aca="false">ROW()-ROW(SprintTable[[#Headers],[No]])</f>
        <v>10</v>
      </c>
      <c r="B15" s="24" t="str">
        <f aca="false">IF(SprintTable[[#This Row],[No]]&lt;=SprintCount,SprintPrefix&amp;SprintTable[[#This Row],[No]],"")</f>
        <v>Sprint 10</v>
      </c>
      <c r="C15" s="25" t="n">
        <f aca="false">Sprint1Start+(SprintTable[[#This Row],[No]]-1)*SprintLength</f>
        <v>46398</v>
      </c>
      <c r="D15" s="25" t="n">
        <f aca="false">SprintTable[[#This Row],[Start]]+SprintLength-1</f>
        <v>46411</v>
      </c>
      <c r="E15" s="28" t="n">
        <f aca="false">NETWORKDAYS.INTL(SprintTable[[#This Row],[Start]],SprintTable[[#This Row],[End]],WorkWeek,Holidays)</f>
        <v>10</v>
      </c>
      <c r="F15" s="30" t="s">
        <v>702</v>
      </c>
      <c r="G15" s="28" t="n">
        <f aca="false">IF(SprintTable[[#This Row],[Sprint]]="","",COUNTIF(tsk_Sprint,SprintTable[[#This Row],[Sprint]]))</f>
        <v>0</v>
      </c>
      <c r="H15" s="95"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5" s="95" t="n">
        <f aca="false">IF(SprintTable[[#This Row],[Sprint]]="","",SUMIFS(res_MaxUnits,res_Type,"Work")*HoursPerDay*SprintTable[[#This Row],[Working Days]])</f>
        <v>480</v>
      </c>
      <c r="J15" s="94" t="n">
        <f aca="false">IF(OR(SprintTable[[#This Row],[Sprint]]="",N(SprintTable[[#This Row],[Capacity]])=0),"",SprintTable[[#This Row],[Planned Work]]/SprintTable[[#This Row],[Capacity]])</f>
        <v>0</v>
      </c>
      <c r="K15" s="28" t="str">
        <f aca="false">IF(SprintTable[[#This Row],[Sprint]]="","",IF(StatusDate&gt;SprintTable[[#This Row],[End]],"Closed",IF(StatusDate&gt;=SprintTable[[#This Row],[Start]],"Active","Future")))</f>
        <v>Future</v>
      </c>
      <c r="L15" s="82"/>
      <c r="M15" s="76" t="n">
        <f aca="false">IF(SprintTable[[#This Row],[Sprint]]="","",SUMIFS(tsk_LeafPoints,tsk_Sprint,SprintTable[[#This Row],[Sprint]]))</f>
        <v>0</v>
      </c>
      <c r="N15" s="76" t="str">
        <f aca="false">IF(OR(SprintTable[[#This Row],[Sprint]]="",SprintTable[[#This Row],[Status]]="Future"),"",SUMIFS(tsk_LeafPoints,tsk_DoneDate,"&gt;="&amp;SprintTable[[#This Row],[Start]],tsk_DoneDate,"&lt;="&amp;SprintTable[[#This Row],[End]]))</f>
        <v/>
      </c>
      <c r="O15" s="125" t="str">
        <f aca="false">IF(OR(SprintTable[[#This Row],[Sprint]]="",SprintTable[[#This Row],[Status]]&lt;&gt;"Closed"),"",AVERAGE(INDEX(SprintTable[Done Points],MAX(1,SprintTable[[#This Row],[No]]-2)):INDEX(SprintTable[Done Points],SprintTable[[#This Row],[No]])))</f>
        <v/>
      </c>
      <c r="P15" s="76" t="str">
        <f aca="false">IF(OR(SprintTable[[#This Row],[Sprint]]="",SprintTable[[#This Row],[Status]]="Future"),"",TotalPoints-SUMIFS(tsk_LeafPoints,tsk_DoneDate,"&lt;="&amp;MIN(SprintTable[[#This Row],[End]],StatusDate)))</f>
        <v/>
      </c>
      <c r="Q15" s="76" t="n">
        <f aca="false">IF(SprintTable[[#This Row],[Sprint]]="","",TotalPoints-SUMIFS(tsk_LeafPoints,tsk_FcFinish,"&lt;="&amp;SprintTable[[#This Row],[End]]))</f>
        <v>0</v>
      </c>
      <c r="R15" s="76" t="n">
        <f aca="false">IF(SprintTable[[#This Row],[Sprint]]="","",TotalPoints*MAX(0,1-SprintTable[[#This Row],[No]]/SprintCount))</f>
        <v>13.6666666666667</v>
      </c>
      <c r="S15" s="41" t="e">
        <f aca="false">IF(SprintTable[[#This Row],[Remaining Points]]="",NA(),SprintTable[[#This Row],[Remaining Points]])</f>
        <v>#N/A</v>
      </c>
    </row>
    <row r="16" customFormat="false" ht="15" hidden="false" customHeight="false" outlineLevel="0" collapsed="false">
      <c r="A16" s="28" t="n">
        <f aca="false">ROW()-ROW(SprintTable[[#Headers],[No]])</f>
        <v>11</v>
      </c>
      <c r="B16" s="24" t="str">
        <f aca="false">IF(SprintTable[[#This Row],[No]]&lt;=SprintCount,SprintPrefix&amp;SprintTable[[#This Row],[No]],"")</f>
        <v>Sprint 11</v>
      </c>
      <c r="C16" s="25" t="n">
        <f aca="false">Sprint1Start+(SprintTable[[#This Row],[No]]-1)*SprintLength</f>
        <v>46412</v>
      </c>
      <c r="D16" s="25" t="n">
        <f aca="false">SprintTable[[#This Row],[Start]]+SprintLength-1</f>
        <v>46425</v>
      </c>
      <c r="E16" s="28" t="n">
        <f aca="false">NETWORKDAYS.INTL(SprintTable[[#This Row],[Start]],SprintTable[[#This Row],[End]],WorkWeek,Holidays)</f>
        <v>10</v>
      </c>
      <c r="F16" s="30" t="s">
        <v>703</v>
      </c>
      <c r="G16" s="28" t="n">
        <f aca="false">IF(SprintTable[[#This Row],[Sprint]]="","",COUNTIF(tsk_Sprint,SprintTable[[#This Row],[Sprint]]))</f>
        <v>0</v>
      </c>
      <c r="H16" s="95"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6" s="95" t="n">
        <f aca="false">IF(SprintTable[[#This Row],[Sprint]]="","",SUMIFS(res_MaxUnits,res_Type,"Work")*HoursPerDay*SprintTable[[#This Row],[Working Days]])</f>
        <v>480</v>
      </c>
      <c r="J16" s="94" t="n">
        <f aca="false">IF(OR(SprintTable[[#This Row],[Sprint]]="",N(SprintTable[[#This Row],[Capacity]])=0),"",SprintTable[[#This Row],[Planned Work]]/SprintTable[[#This Row],[Capacity]])</f>
        <v>0</v>
      </c>
      <c r="K16" s="28" t="str">
        <f aca="false">IF(SprintTable[[#This Row],[Sprint]]="","",IF(StatusDate&gt;SprintTable[[#This Row],[End]],"Closed",IF(StatusDate&gt;=SprintTable[[#This Row],[Start]],"Active","Future")))</f>
        <v>Future</v>
      </c>
      <c r="L16" s="82"/>
      <c r="M16" s="76" t="n">
        <f aca="false">IF(SprintTable[[#This Row],[Sprint]]="","",SUMIFS(tsk_LeafPoints,tsk_Sprint,SprintTable[[#This Row],[Sprint]]))</f>
        <v>0</v>
      </c>
      <c r="N16" s="76" t="str">
        <f aca="false">IF(OR(SprintTable[[#This Row],[Sprint]]="",SprintTable[[#This Row],[Status]]="Future"),"",SUMIFS(tsk_LeafPoints,tsk_DoneDate,"&gt;="&amp;SprintTable[[#This Row],[Start]],tsk_DoneDate,"&lt;="&amp;SprintTable[[#This Row],[End]]))</f>
        <v/>
      </c>
      <c r="O16" s="125" t="str">
        <f aca="false">IF(OR(SprintTable[[#This Row],[Sprint]]="",SprintTable[[#This Row],[Status]]&lt;&gt;"Closed"),"",AVERAGE(INDEX(SprintTable[Done Points],MAX(1,SprintTable[[#This Row],[No]]-2)):INDEX(SprintTable[Done Points],SprintTable[[#This Row],[No]])))</f>
        <v/>
      </c>
      <c r="P16" s="76" t="str">
        <f aca="false">IF(OR(SprintTable[[#This Row],[Sprint]]="",SprintTable[[#This Row],[Status]]="Future"),"",TotalPoints-SUMIFS(tsk_LeafPoints,tsk_DoneDate,"&lt;="&amp;MIN(SprintTable[[#This Row],[End]],StatusDate)))</f>
        <v/>
      </c>
      <c r="Q16" s="76" t="n">
        <f aca="false">IF(SprintTable[[#This Row],[Sprint]]="","",TotalPoints-SUMIFS(tsk_LeafPoints,tsk_FcFinish,"&lt;="&amp;SprintTable[[#This Row],[End]]))</f>
        <v>0</v>
      </c>
      <c r="R16" s="76" t="n">
        <f aca="false">IF(SprintTable[[#This Row],[Sprint]]="","",TotalPoints*MAX(0,1-SprintTable[[#This Row],[No]]/SprintCount))</f>
        <v>6.83333333333334</v>
      </c>
      <c r="S16" s="41" t="e">
        <f aca="false">IF(SprintTable[[#This Row],[Remaining Points]]="",NA(),SprintTable[[#This Row],[Remaining Points]])</f>
        <v>#N/A</v>
      </c>
    </row>
    <row r="17" customFormat="false" ht="15" hidden="false" customHeight="false" outlineLevel="0" collapsed="false">
      <c r="A17" s="28" t="n">
        <f aca="false">ROW()-ROW(SprintTable[[#Headers],[No]])</f>
        <v>12</v>
      </c>
      <c r="B17" s="24" t="str">
        <f aca="false">IF(SprintTable[[#This Row],[No]]&lt;=SprintCount,SprintPrefix&amp;SprintTable[[#This Row],[No]],"")</f>
        <v>Sprint 12</v>
      </c>
      <c r="C17" s="25" t="n">
        <f aca="false">Sprint1Start+(SprintTable[[#This Row],[No]]-1)*SprintLength</f>
        <v>46426</v>
      </c>
      <c r="D17" s="25" t="n">
        <f aca="false">SprintTable[[#This Row],[Start]]+SprintLength-1</f>
        <v>46439</v>
      </c>
      <c r="E17" s="28" t="n">
        <f aca="false">NETWORKDAYS.INTL(SprintTable[[#This Row],[Start]],SprintTable[[#This Row],[End]],WorkWeek,Holidays)</f>
        <v>10</v>
      </c>
      <c r="F17" s="30" t="s">
        <v>704</v>
      </c>
      <c r="G17" s="28" t="n">
        <f aca="false">IF(SprintTable[[#This Row],[Sprint]]="","",COUNTIF(tsk_Sprint,SprintTable[[#This Row],[Sprint]]))</f>
        <v>0</v>
      </c>
      <c r="H17" s="95"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7" s="95" t="n">
        <f aca="false">IF(SprintTable[[#This Row],[Sprint]]="","",SUMIFS(res_MaxUnits,res_Type,"Work")*HoursPerDay*SprintTable[[#This Row],[Working Days]])</f>
        <v>480</v>
      </c>
      <c r="J17" s="94" t="n">
        <f aca="false">IF(OR(SprintTable[[#This Row],[Sprint]]="",N(SprintTable[[#This Row],[Capacity]])=0),"",SprintTable[[#This Row],[Planned Work]]/SprintTable[[#This Row],[Capacity]])</f>
        <v>0</v>
      </c>
      <c r="K17" s="28" t="str">
        <f aca="false">IF(SprintTable[[#This Row],[Sprint]]="","",IF(StatusDate&gt;SprintTable[[#This Row],[End]],"Closed",IF(StatusDate&gt;=SprintTable[[#This Row],[Start]],"Active","Future")))</f>
        <v>Future</v>
      </c>
      <c r="L17" s="82"/>
      <c r="M17" s="76" t="n">
        <f aca="false">IF(SprintTable[[#This Row],[Sprint]]="","",SUMIFS(tsk_LeafPoints,tsk_Sprint,SprintTable[[#This Row],[Sprint]]))</f>
        <v>0</v>
      </c>
      <c r="N17" s="76" t="str">
        <f aca="false">IF(OR(SprintTable[[#This Row],[Sprint]]="",SprintTable[[#This Row],[Status]]="Future"),"",SUMIFS(tsk_LeafPoints,tsk_DoneDate,"&gt;="&amp;SprintTable[[#This Row],[Start]],tsk_DoneDate,"&lt;="&amp;SprintTable[[#This Row],[End]]))</f>
        <v/>
      </c>
      <c r="O17" s="125" t="str">
        <f aca="false">IF(OR(SprintTable[[#This Row],[Sprint]]="",SprintTable[[#This Row],[Status]]&lt;&gt;"Closed"),"",AVERAGE(INDEX(SprintTable[Done Points],MAX(1,SprintTable[[#This Row],[No]]-2)):INDEX(SprintTable[Done Points],SprintTable[[#This Row],[No]])))</f>
        <v/>
      </c>
      <c r="P17" s="76" t="str">
        <f aca="false">IF(OR(SprintTable[[#This Row],[Sprint]]="",SprintTable[[#This Row],[Status]]="Future"),"",TotalPoints-SUMIFS(tsk_LeafPoints,tsk_DoneDate,"&lt;="&amp;MIN(SprintTable[[#This Row],[End]],StatusDate)))</f>
        <v/>
      </c>
      <c r="Q17" s="76" t="n">
        <f aca="false">IF(SprintTable[[#This Row],[Sprint]]="","",TotalPoints-SUMIFS(tsk_LeafPoints,tsk_FcFinish,"&lt;="&amp;SprintTable[[#This Row],[End]]))</f>
        <v>0</v>
      </c>
      <c r="R17" s="76" t="n">
        <f aca="false">IF(SprintTable[[#This Row],[Sprint]]="","",TotalPoints*MAX(0,1-SprintTable[[#This Row],[No]]/SprintCount))</f>
        <v>0</v>
      </c>
      <c r="S17" s="41" t="e">
        <f aca="false">IF(SprintTable[[#This Row],[Remaining Points]]="",NA(),SprintTable[[#This Row],[Remaining Points]])</f>
        <v>#N/A</v>
      </c>
    </row>
    <row r="18" customFormat="false" ht="15" hidden="false" customHeight="false" outlineLevel="0" collapsed="false">
      <c r="A18" s="28" t="n">
        <f aca="false">ROW()-ROW(SprintTable[[#Headers],[No]])</f>
        <v>13</v>
      </c>
      <c r="B18" s="24" t="str">
        <f aca="false">IF(SprintTable[[#This Row],[No]]&lt;=SprintCount,SprintPrefix&amp;SprintTable[[#This Row],[No]],"")</f>
        <v/>
      </c>
      <c r="C18" s="25" t="n">
        <f aca="false">Sprint1Start+(SprintTable[[#This Row],[No]]-1)*SprintLength</f>
        <v>46440</v>
      </c>
      <c r="D18" s="25" t="n">
        <f aca="false">SprintTable[[#This Row],[Start]]+SprintLength-1</f>
        <v>46453</v>
      </c>
      <c r="E18" s="28" t="n">
        <f aca="false">NETWORKDAYS.INTL(SprintTable[[#This Row],[Start]],SprintTable[[#This Row],[End]],WorkWeek,Holidays)</f>
        <v>10</v>
      </c>
      <c r="F18" s="30"/>
      <c r="G18" s="28" t="str">
        <f aca="false">IF(SprintTable[[#This Row],[Sprint]]="","",COUNTIF(tsk_Sprint,SprintTable[[#This Row],[Sprint]]))</f>
        <v/>
      </c>
      <c r="H18" s="95"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18" s="95" t="str">
        <f aca="false">IF(SprintTable[[#This Row],[Sprint]]="","",SUMIFS(res_MaxUnits,res_Type,"Work")*HoursPerDay*SprintTable[[#This Row],[Working Days]])</f>
        <v/>
      </c>
      <c r="J18" s="94" t="str">
        <f aca="false">IF(OR(SprintTable[[#This Row],[Sprint]]="",N(SprintTable[[#This Row],[Capacity]])=0),"",SprintTable[[#This Row],[Planned Work]]/SprintTable[[#This Row],[Capacity]])</f>
        <v/>
      </c>
      <c r="K18" s="28" t="str">
        <f aca="false">IF(SprintTable[[#This Row],[Sprint]]="","",IF(StatusDate&gt;SprintTable[[#This Row],[End]],"Closed",IF(StatusDate&gt;=SprintTable[[#This Row],[Start]],"Active","Future")))</f>
        <v/>
      </c>
      <c r="L18" s="82"/>
      <c r="M18" s="76" t="str">
        <f aca="false">IF(SprintTable[[#This Row],[Sprint]]="","",SUMIFS(tsk_LeafPoints,tsk_Sprint,SprintTable[[#This Row],[Sprint]]))</f>
        <v/>
      </c>
      <c r="N18" s="76" t="str">
        <f aca="false">IF(OR(SprintTable[[#This Row],[Sprint]]="",SprintTable[[#This Row],[Status]]="Future"),"",SUMIFS(tsk_LeafPoints,tsk_DoneDate,"&gt;="&amp;SprintTable[[#This Row],[Start]],tsk_DoneDate,"&lt;="&amp;SprintTable[[#This Row],[End]]))</f>
        <v/>
      </c>
      <c r="O18" s="125" t="str">
        <f aca="false">IF(OR(SprintTable[[#This Row],[Sprint]]="",SprintTable[[#This Row],[Status]]&lt;&gt;"Closed"),"",AVERAGE(INDEX(SprintTable[Done Points],MAX(1,SprintTable[[#This Row],[No]]-2)):INDEX(SprintTable[Done Points],SprintTable[[#This Row],[No]])))</f>
        <v/>
      </c>
      <c r="P18" s="76" t="str">
        <f aca="false">IF(OR(SprintTable[[#This Row],[Sprint]]="",SprintTable[[#This Row],[Status]]="Future"),"",TotalPoints-SUMIFS(tsk_LeafPoints,tsk_DoneDate,"&lt;="&amp;MIN(SprintTable[[#This Row],[End]],StatusDate)))</f>
        <v/>
      </c>
      <c r="Q18" s="76" t="str">
        <f aca="false">IF(SprintTable[[#This Row],[Sprint]]="","",TotalPoints-SUMIFS(tsk_LeafPoints,tsk_FcFinish,"&lt;="&amp;SprintTable[[#This Row],[End]]))</f>
        <v/>
      </c>
      <c r="R18" s="76" t="str">
        <f aca="false">IF(SprintTable[[#This Row],[Sprint]]="","",TotalPoints*MAX(0,1-SprintTable[[#This Row],[No]]/SprintCount))</f>
        <v/>
      </c>
      <c r="S18" s="41" t="e">
        <f aca="false">IF(SprintTable[[#This Row],[Remaining Points]]="",NA(),SprintTable[[#This Row],[Remaining Points]])</f>
        <v>#N/A</v>
      </c>
    </row>
    <row r="19" customFormat="false" ht="15" hidden="false" customHeight="false" outlineLevel="0" collapsed="false">
      <c r="A19" s="28" t="n">
        <f aca="false">ROW()-ROW(SprintTable[[#Headers],[No]])</f>
        <v>14</v>
      </c>
      <c r="B19" s="24" t="str">
        <f aca="false">IF(SprintTable[[#This Row],[No]]&lt;=SprintCount,SprintPrefix&amp;SprintTable[[#This Row],[No]],"")</f>
        <v/>
      </c>
      <c r="C19" s="25" t="n">
        <f aca="false">Sprint1Start+(SprintTable[[#This Row],[No]]-1)*SprintLength</f>
        <v>46454</v>
      </c>
      <c r="D19" s="25" t="n">
        <f aca="false">SprintTable[[#This Row],[Start]]+SprintLength-1</f>
        <v>46467</v>
      </c>
      <c r="E19" s="28" t="n">
        <f aca="false">NETWORKDAYS.INTL(SprintTable[[#This Row],[Start]],SprintTable[[#This Row],[End]],WorkWeek,Holidays)</f>
        <v>10</v>
      </c>
      <c r="F19" s="30"/>
      <c r="G19" s="28" t="str">
        <f aca="false">IF(SprintTable[[#This Row],[Sprint]]="","",COUNTIF(tsk_Sprint,SprintTable[[#This Row],[Sprint]]))</f>
        <v/>
      </c>
      <c r="H19" s="95"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19" s="95" t="str">
        <f aca="false">IF(SprintTable[[#This Row],[Sprint]]="","",SUMIFS(res_MaxUnits,res_Type,"Work")*HoursPerDay*SprintTable[[#This Row],[Working Days]])</f>
        <v/>
      </c>
      <c r="J19" s="94" t="str">
        <f aca="false">IF(OR(SprintTable[[#This Row],[Sprint]]="",N(SprintTable[[#This Row],[Capacity]])=0),"",SprintTable[[#This Row],[Planned Work]]/SprintTable[[#This Row],[Capacity]])</f>
        <v/>
      </c>
      <c r="K19" s="28" t="str">
        <f aca="false">IF(SprintTable[[#This Row],[Sprint]]="","",IF(StatusDate&gt;SprintTable[[#This Row],[End]],"Closed",IF(StatusDate&gt;=SprintTable[[#This Row],[Start]],"Active","Future")))</f>
        <v/>
      </c>
      <c r="L19" s="82"/>
      <c r="M19" s="76" t="str">
        <f aca="false">IF(SprintTable[[#This Row],[Sprint]]="","",SUMIFS(tsk_LeafPoints,tsk_Sprint,SprintTable[[#This Row],[Sprint]]))</f>
        <v/>
      </c>
      <c r="N19" s="76" t="str">
        <f aca="false">IF(OR(SprintTable[[#This Row],[Sprint]]="",SprintTable[[#This Row],[Status]]="Future"),"",SUMIFS(tsk_LeafPoints,tsk_DoneDate,"&gt;="&amp;SprintTable[[#This Row],[Start]],tsk_DoneDate,"&lt;="&amp;SprintTable[[#This Row],[End]]))</f>
        <v/>
      </c>
      <c r="O19" s="125" t="str">
        <f aca="false">IF(OR(SprintTable[[#This Row],[Sprint]]="",SprintTable[[#This Row],[Status]]&lt;&gt;"Closed"),"",AVERAGE(INDEX(SprintTable[Done Points],MAX(1,SprintTable[[#This Row],[No]]-2)):INDEX(SprintTable[Done Points],SprintTable[[#This Row],[No]])))</f>
        <v/>
      </c>
      <c r="P19" s="76" t="str">
        <f aca="false">IF(OR(SprintTable[[#This Row],[Sprint]]="",SprintTable[[#This Row],[Status]]="Future"),"",TotalPoints-SUMIFS(tsk_LeafPoints,tsk_DoneDate,"&lt;="&amp;MIN(SprintTable[[#This Row],[End]],StatusDate)))</f>
        <v/>
      </c>
      <c r="Q19" s="76" t="str">
        <f aca="false">IF(SprintTable[[#This Row],[Sprint]]="","",TotalPoints-SUMIFS(tsk_LeafPoints,tsk_FcFinish,"&lt;="&amp;SprintTable[[#This Row],[End]]))</f>
        <v/>
      </c>
      <c r="R19" s="76" t="str">
        <f aca="false">IF(SprintTable[[#This Row],[Sprint]]="","",TotalPoints*MAX(0,1-SprintTable[[#This Row],[No]]/SprintCount))</f>
        <v/>
      </c>
      <c r="S19" s="41" t="e">
        <f aca="false">IF(SprintTable[[#This Row],[Remaining Points]]="",NA(),SprintTable[[#This Row],[Remaining Points]])</f>
        <v>#N/A</v>
      </c>
    </row>
    <row r="20" customFormat="false" ht="15" hidden="false" customHeight="false" outlineLevel="0" collapsed="false">
      <c r="A20" s="28" t="n">
        <f aca="false">ROW()-ROW(SprintTable[[#Headers],[No]])</f>
        <v>15</v>
      </c>
      <c r="B20" s="24" t="str">
        <f aca="false">IF(SprintTable[[#This Row],[No]]&lt;=SprintCount,SprintPrefix&amp;SprintTable[[#This Row],[No]],"")</f>
        <v/>
      </c>
      <c r="C20" s="25" t="n">
        <f aca="false">Sprint1Start+(SprintTable[[#This Row],[No]]-1)*SprintLength</f>
        <v>46468</v>
      </c>
      <c r="D20" s="25" t="n">
        <f aca="false">SprintTable[[#This Row],[Start]]+SprintLength-1</f>
        <v>46481</v>
      </c>
      <c r="E20" s="28" t="n">
        <f aca="false">NETWORKDAYS.INTL(SprintTable[[#This Row],[Start]],SprintTable[[#This Row],[End]],WorkWeek,Holidays)</f>
        <v>10</v>
      </c>
      <c r="F20" s="30"/>
      <c r="G20" s="28" t="str">
        <f aca="false">IF(SprintTable[[#This Row],[Sprint]]="","",COUNTIF(tsk_Sprint,SprintTable[[#This Row],[Sprint]]))</f>
        <v/>
      </c>
      <c r="H20" s="95"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0" s="95" t="str">
        <f aca="false">IF(SprintTable[[#This Row],[Sprint]]="","",SUMIFS(res_MaxUnits,res_Type,"Work")*HoursPerDay*SprintTable[[#This Row],[Working Days]])</f>
        <v/>
      </c>
      <c r="J20" s="94" t="str">
        <f aca="false">IF(OR(SprintTable[[#This Row],[Sprint]]="",N(SprintTable[[#This Row],[Capacity]])=0),"",SprintTable[[#This Row],[Planned Work]]/SprintTable[[#This Row],[Capacity]])</f>
        <v/>
      </c>
      <c r="K20" s="28" t="str">
        <f aca="false">IF(SprintTable[[#This Row],[Sprint]]="","",IF(StatusDate&gt;SprintTable[[#This Row],[End]],"Closed",IF(StatusDate&gt;=SprintTable[[#This Row],[Start]],"Active","Future")))</f>
        <v/>
      </c>
      <c r="L20" s="82"/>
      <c r="M20" s="76" t="str">
        <f aca="false">IF(SprintTable[[#This Row],[Sprint]]="","",SUMIFS(tsk_LeafPoints,tsk_Sprint,SprintTable[[#This Row],[Sprint]]))</f>
        <v/>
      </c>
      <c r="N20" s="76" t="str">
        <f aca="false">IF(OR(SprintTable[[#This Row],[Sprint]]="",SprintTable[[#This Row],[Status]]="Future"),"",SUMIFS(tsk_LeafPoints,tsk_DoneDate,"&gt;="&amp;SprintTable[[#This Row],[Start]],tsk_DoneDate,"&lt;="&amp;SprintTable[[#This Row],[End]]))</f>
        <v/>
      </c>
      <c r="O20" s="125" t="str">
        <f aca="false">IF(OR(SprintTable[[#This Row],[Sprint]]="",SprintTable[[#This Row],[Status]]&lt;&gt;"Closed"),"",AVERAGE(INDEX(SprintTable[Done Points],MAX(1,SprintTable[[#This Row],[No]]-2)):INDEX(SprintTable[Done Points],SprintTable[[#This Row],[No]])))</f>
        <v/>
      </c>
      <c r="P20" s="76" t="str">
        <f aca="false">IF(OR(SprintTable[[#This Row],[Sprint]]="",SprintTable[[#This Row],[Status]]="Future"),"",TotalPoints-SUMIFS(tsk_LeafPoints,tsk_DoneDate,"&lt;="&amp;MIN(SprintTable[[#This Row],[End]],StatusDate)))</f>
        <v/>
      </c>
      <c r="Q20" s="76" t="str">
        <f aca="false">IF(SprintTable[[#This Row],[Sprint]]="","",TotalPoints-SUMIFS(tsk_LeafPoints,tsk_FcFinish,"&lt;="&amp;SprintTable[[#This Row],[End]]))</f>
        <v/>
      </c>
      <c r="R20" s="76" t="str">
        <f aca="false">IF(SprintTable[[#This Row],[Sprint]]="","",TotalPoints*MAX(0,1-SprintTable[[#This Row],[No]]/SprintCount))</f>
        <v/>
      </c>
      <c r="S20" s="41" t="e">
        <f aca="false">IF(SprintTable[[#This Row],[Remaining Points]]="",NA(),SprintTable[[#This Row],[Remaining Points]])</f>
        <v>#N/A</v>
      </c>
    </row>
    <row r="21" customFormat="false" ht="15" hidden="false" customHeight="false" outlineLevel="0" collapsed="false">
      <c r="A21" s="28" t="n">
        <f aca="false">ROW()-ROW(SprintTable[[#Headers],[No]])</f>
        <v>16</v>
      </c>
      <c r="B21" s="24" t="str">
        <f aca="false">IF(SprintTable[[#This Row],[No]]&lt;=SprintCount,SprintPrefix&amp;SprintTable[[#This Row],[No]],"")</f>
        <v/>
      </c>
      <c r="C21" s="25" t="n">
        <f aca="false">Sprint1Start+(SprintTable[[#This Row],[No]]-1)*SprintLength</f>
        <v>46482</v>
      </c>
      <c r="D21" s="25" t="n">
        <f aca="false">SprintTable[[#This Row],[Start]]+SprintLength-1</f>
        <v>46495</v>
      </c>
      <c r="E21" s="28" t="n">
        <f aca="false">NETWORKDAYS.INTL(SprintTable[[#This Row],[Start]],SprintTable[[#This Row],[End]],WorkWeek,Holidays)</f>
        <v>10</v>
      </c>
      <c r="F21" s="30"/>
      <c r="G21" s="28" t="str">
        <f aca="false">IF(SprintTable[[#This Row],[Sprint]]="","",COUNTIF(tsk_Sprint,SprintTable[[#This Row],[Sprint]]))</f>
        <v/>
      </c>
      <c r="H21" s="95"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1" s="95" t="str">
        <f aca="false">IF(SprintTable[[#This Row],[Sprint]]="","",SUMIFS(res_MaxUnits,res_Type,"Work")*HoursPerDay*SprintTable[[#This Row],[Working Days]])</f>
        <v/>
      </c>
      <c r="J21" s="94" t="str">
        <f aca="false">IF(OR(SprintTable[[#This Row],[Sprint]]="",N(SprintTable[[#This Row],[Capacity]])=0),"",SprintTable[[#This Row],[Planned Work]]/SprintTable[[#This Row],[Capacity]])</f>
        <v/>
      </c>
      <c r="K21" s="28" t="str">
        <f aca="false">IF(SprintTable[[#This Row],[Sprint]]="","",IF(StatusDate&gt;SprintTable[[#This Row],[End]],"Closed",IF(StatusDate&gt;=SprintTable[[#This Row],[Start]],"Active","Future")))</f>
        <v/>
      </c>
      <c r="L21" s="82"/>
      <c r="M21" s="76" t="str">
        <f aca="false">IF(SprintTable[[#This Row],[Sprint]]="","",SUMIFS(tsk_LeafPoints,tsk_Sprint,SprintTable[[#This Row],[Sprint]]))</f>
        <v/>
      </c>
      <c r="N21" s="76" t="str">
        <f aca="false">IF(OR(SprintTable[[#This Row],[Sprint]]="",SprintTable[[#This Row],[Status]]="Future"),"",SUMIFS(tsk_LeafPoints,tsk_DoneDate,"&gt;="&amp;SprintTable[[#This Row],[Start]],tsk_DoneDate,"&lt;="&amp;SprintTable[[#This Row],[End]]))</f>
        <v/>
      </c>
      <c r="O21" s="125" t="str">
        <f aca="false">IF(OR(SprintTable[[#This Row],[Sprint]]="",SprintTable[[#This Row],[Status]]&lt;&gt;"Closed"),"",AVERAGE(INDEX(SprintTable[Done Points],MAX(1,SprintTable[[#This Row],[No]]-2)):INDEX(SprintTable[Done Points],SprintTable[[#This Row],[No]])))</f>
        <v/>
      </c>
      <c r="P21" s="76" t="str">
        <f aca="false">IF(OR(SprintTable[[#This Row],[Sprint]]="",SprintTable[[#This Row],[Status]]="Future"),"",TotalPoints-SUMIFS(tsk_LeafPoints,tsk_DoneDate,"&lt;="&amp;MIN(SprintTable[[#This Row],[End]],StatusDate)))</f>
        <v/>
      </c>
      <c r="Q21" s="76" t="str">
        <f aca="false">IF(SprintTable[[#This Row],[Sprint]]="","",TotalPoints-SUMIFS(tsk_LeafPoints,tsk_FcFinish,"&lt;="&amp;SprintTable[[#This Row],[End]]))</f>
        <v/>
      </c>
      <c r="R21" s="76" t="str">
        <f aca="false">IF(SprintTable[[#This Row],[Sprint]]="","",TotalPoints*MAX(0,1-SprintTable[[#This Row],[No]]/SprintCount))</f>
        <v/>
      </c>
      <c r="S21" s="41" t="e">
        <f aca="false">IF(SprintTable[[#This Row],[Remaining Points]]="",NA(),SprintTable[[#This Row],[Remaining Points]])</f>
        <v>#N/A</v>
      </c>
    </row>
    <row r="22" customFormat="false" ht="15" hidden="false" customHeight="false" outlineLevel="0" collapsed="false">
      <c r="A22" s="28" t="n">
        <f aca="false">ROW()-ROW(SprintTable[[#Headers],[No]])</f>
        <v>17</v>
      </c>
      <c r="B22" s="24" t="str">
        <f aca="false">IF(SprintTable[[#This Row],[No]]&lt;=SprintCount,SprintPrefix&amp;SprintTable[[#This Row],[No]],"")</f>
        <v/>
      </c>
      <c r="C22" s="25" t="n">
        <f aca="false">Sprint1Start+(SprintTable[[#This Row],[No]]-1)*SprintLength</f>
        <v>46496</v>
      </c>
      <c r="D22" s="25" t="n">
        <f aca="false">SprintTable[[#This Row],[Start]]+SprintLength-1</f>
        <v>46509</v>
      </c>
      <c r="E22" s="28" t="n">
        <f aca="false">NETWORKDAYS.INTL(SprintTable[[#This Row],[Start]],SprintTable[[#This Row],[End]],WorkWeek,Holidays)</f>
        <v>10</v>
      </c>
      <c r="F22" s="30"/>
      <c r="G22" s="28" t="str">
        <f aca="false">IF(SprintTable[[#This Row],[Sprint]]="","",COUNTIF(tsk_Sprint,SprintTable[[#This Row],[Sprint]]))</f>
        <v/>
      </c>
      <c r="H22" s="95"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2" s="95" t="str">
        <f aca="false">IF(SprintTable[[#This Row],[Sprint]]="","",SUMIFS(res_MaxUnits,res_Type,"Work")*HoursPerDay*SprintTable[[#This Row],[Working Days]])</f>
        <v/>
      </c>
      <c r="J22" s="94" t="str">
        <f aca="false">IF(OR(SprintTable[[#This Row],[Sprint]]="",N(SprintTable[[#This Row],[Capacity]])=0),"",SprintTable[[#This Row],[Planned Work]]/SprintTable[[#This Row],[Capacity]])</f>
        <v/>
      </c>
      <c r="K22" s="28" t="str">
        <f aca="false">IF(SprintTable[[#This Row],[Sprint]]="","",IF(StatusDate&gt;SprintTable[[#This Row],[End]],"Closed",IF(StatusDate&gt;=SprintTable[[#This Row],[Start]],"Active","Future")))</f>
        <v/>
      </c>
      <c r="L22" s="82"/>
      <c r="M22" s="76" t="str">
        <f aca="false">IF(SprintTable[[#This Row],[Sprint]]="","",SUMIFS(tsk_LeafPoints,tsk_Sprint,SprintTable[[#This Row],[Sprint]]))</f>
        <v/>
      </c>
      <c r="N22" s="76" t="str">
        <f aca="false">IF(OR(SprintTable[[#This Row],[Sprint]]="",SprintTable[[#This Row],[Status]]="Future"),"",SUMIFS(tsk_LeafPoints,tsk_DoneDate,"&gt;="&amp;SprintTable[[#This Row],[Start]],tsk_DoneDate,"&lt;="&amp;SprintTable[[#This Row],[End]]))</f>
        <v/>
      </c>
      <c r="O22" s="125" t="str">
        <f aca="false">IF(OR(SprintTable[[#This Row],[Sprint]]="",SprintTable[[#This Row],[Status]]&lt;&gt;"Closed"),"",AVERAGE(INDEX(SprintTable[Done Points],MAX(1,SprintTable[[#This Row],[No]]-2)):INDEX(SprintTable[Done Points],SprintTable[[#This Row],[No]])))</f>
        <v/>
      </c>
      <c r="P22" s="76" t="str">
        <f aca="false">IF(OR(SprintTable[[#This Row],[Sprint]]="",SprintTable[[#This Row],[Status]]="Future"),"",TotalPoints-SUMIFS(tsk_LeafPoints,tsk_DoneDate,"&lt;="&amp;MIN(SprintTable[[#This Row],[End]],StatusDate)))</f>
        <v/>
      </c>
      <c r="Q22" s="76" t="str">
        <f aca="false">IF(SprintTable[[#This Row],[Sprint]]="","",TotalPoints-SUMIFS(tsk_LeafPoints,tsk_FcFinish,"&lt;="&amp;SprintTable[[#This Row],[End]]))</f>
        <v/>
      </c>
      <c r="R22" s="76" t="str">
        <f aca="false">IF(SprintTable[[#This Row],[Sprint]]="","",TotalPoints*MAX(0,1-SprintTable[[#This Row],[No]]/SprintCount))</f>
        <v/>
      </c>
      <c r="S22" s="41" t="e">
        <f aca="false">IF(SprintTable[[#This Row],[Remaining Points]]="",NA(),SprintTable[[#This Row],[Remaining Points]])</f>
        <v>#N/A</v>
      </c>
    </row>
    <row r="23" customFormat="false" ht="15" hidden="false" customHeight="false" outlineLevel="0" collapsed="false">
      <c r="A23" s="28" t="n">
        <f aca="false">ROW()-ROW(SprintTable[[#Headers],[No]])</f>
        <v>18</v>
      </c>
      <c r="B23" s="24" t="str">
        <f aca="false">IF(SprintTable[[#This Row],[No]]&lt;=SprintCount,SprintPrefix&amp;SprintTable[[#This Row],[No]],"")</f>
        <v/>
      </c>
      <c r="C23" s="25" t="n">
        <f aca="false">Sprint1Start+(SprintTable[[#This Row],[No]]-1)*SprintLength</f>
        <v>46510</v>
      </c>
      <c r="D23" s="25" t="n">
        <f aca="false">SprintTable[[#This Row],[Start]]+SprintLength-1</f>
        <v>46523</v>
      </c>
      <c r="E23" s="28" t="n">
        <f aca="false">NETWORKDAYS.INTL(SprintTable[[#This Row],[Start]],SprintTable[[#This Row],[End]],WorkWeek,Holidays)</f>
        <v>10</v>
      </c>
      <c r="F23" s="30"/>
      <c r="G23" s="28" t="str">
        <f aca="false">IF(SprintTable[[#This Row],[Sprint]]="","",COUNTIF(tsk_Sprint,SprintTable[[#This Row],[Sprint]]))</f>
        <v/>
      </c>
      <c r="H23" s="95"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3" s="95" t="str">
        <f aca="false">IF(SprintTable[[#This Row],[Sprint]]="","",SUMIFS(res_MaxUnits,res_Type,"Work")*HoursPerDay*SprintTable[[#This Row],[Working Days]])</f>
        <v/>
      </c>
      <c r="J23" s="94" t="str">
        <f aca="false">IF(OR(SprintTable[[#This Row],[Sprint]]="",N(SprintTable[[#This Row],[Capacity]])=0),"",SprintTable[[#This Row],[Planned Work]]/SprintTable[[#This Row],[Capacity]])</f>
        <v/>
      </c>
      <c r="K23" s="28" t="str">
        <f aca="false">IF(SprintTable[[#This Row],[Sprint]]="","",IF(StatusDate&gt;SprintTable[[#This Row],[End]],"Closed",IF(StatusDate&gt;=SprintTable[[#This Row],[Start]],"Active","Future")))</f>
        <v/>
      </c>
      <c r="L23" s="82"/>
      <c r="M23" s="76" t="str">
        <f aca="false">IF(SprintTable[[#This Row],[Sprint]]="","",SUMIFS(tsk_LeafPoints,tsk_Sprint,SprintTable[[#This Row],[Sprint]]))</f>
        <v/>
      </c>
      <c r="N23" s="76" t="str">
        <f aca="false">IF(OR(SprintTable[[#This Row],[Sprint]]="",SprintTable[[#This Row],[Status]]="Future"),"",SUMIFS(tsk_LeafPoints,tsk_DoneDate,"&gt;="&amp;SprintTable[[#This Row],[Start]],tsk_DoneDate,"&lt;="&amp;SprintTable[[#This Row],[End]]))</f>
        <v/>
      </c>
      <c r="O23" s="125" t="str">
        <f aca="false">IF(OR(SprintTable[[#This Row],[Sprint]]="",SprintTable[[#This Row],[Status]]&lt;&gt;"Closed"),"",AVERAGE(INDEX(SprintTable[Done Points],MAX(1,SprintTable[[#This Row],[No]]-2)):INDEX(SprintTable[Done Points],SprintTable[[#This Row],[No]])))</f>
        <v/>
      </c>
      <c r="P23" s="76" t="str">
        <f aca="false">IF(OR(SprintTable[[#This Row],[Sprint]]="",SprintTable[[#This Row],[Status]]="Future"),"",TotalPoints-SUMIFS(tsk_LeafPoints,tsk_DoneDate,"&lt;="&amp;MIN(SprintTable[[#This Row],[End]],StatusDate)))</f>
        <v/>
      </c>
      <c r="Q23" s="76" t="str">
        <f aca="false">IF(SprintTable[[#This Row],[Sprint]]="","",TotalPoints-SUMIFS(tsk_LeafPoints,tsk_FcFinish,"&lt;="&amp;SprintTable[[#This Row],[End]]))</f>
        <v/>
      </c>
      <c r="R23" s="76" t="str">
        <f aca="false">IF(SprintTable[[#This Row],[Sprint]]="","",TotalPoints*MAX(0,1-SprintTable[[#This Row],[No]]/SprintCount))</f>
        <v/>
      </c>
      <c r="S23" s="41" t="e">
        <f aca="false">IF(SprintTable[[#This Row],[Remaining Points]]="",NA(),SprintTable[[#This Row],[Remaining Points]])</f>
        <v>#N/A</v>
      </c>
    </row>
    <row r="24" customFormat="false" ht="15" hidden="false" customHeight="false" outlineLevel="0" collapsed="false">
      <c r="A24" s="28" t="n">
        <f aca="false">ROW()-ROW(SprintTable[[#Headers],[No]])</f>
        <v>19</v>
      </c>
      <c r="B24" s="24" t="str">
        <f aca="false">IF(SprintTable[[#This Row],[No]]&lt;=SprintCount,SprintPrefix&amp;SprintTable[[#This Row],[No]],"")</f>
        <v/>
      </c>
      <c r="C24" s="25" t="n">
        <f aca="false">Sprint1Start+(SprintTable[[#This Row],[No]]-1)*SprintLength</f>
        <v>46524</v>
      </c>
      <c r="D24" s="25" t="n">
        <f aca="false">SprintTable[[#This Row],[Start]]+SprintLength-1</f>
        <v>46537</v>
      </c>
      <c r="E24" s="28" t="n">
        <f aca="false">NETWORKDAYS.INTL(SprintTable[[#This Row],[Start]],SprintTable[[#This Row],[End]],WorkWeek,Holidays)</f>
        <v>10</v>
      </c>
      <c r="F24" s="30"/>
      <c r="G24" s="28" t="str">
        <f aca="false">IF(SprintTable[[#This Row],[Sprint]]="","",COUNTIF(tsk_Sprint,SprintTable[[#This Row],[Sprint]]))</f>
        <v/>
      </c>
      <c r="H24" s="95"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4" s="95" t="str">
        <f aca="false">IF(SprintTable[[#This Row],[Sprint]]="","",SUMIFS(res_MaxUnits,res_Type,"Work")*HoursPerDay*SprintTable[[#This Row],[Working Days]])</f>
        <v/>
      </c>
      <c r="J24" s="94" t="str">
        <f aca="false">IF(OR(SprintTable[[#This Row],[Sprint]]="",N(SprintTable[[#This Row],[Capacity]])=0),"",SprintTable[[#This Row],[Planned Work]]/SprintTable[[#This Row],[Capacity]])</f>
        <v/>
      </c>
      <c r="K24" s="28" t="str">
        <f aca="false">IF(SprintTable[[#This Row],[Sprint]]="","",IF(StatusDate&gt;SprintTable[[#This Row],[End]],"Closed",IF(StatusDate&gt;=SprintTable[[#This Row],[Start]],"Active","Future")))</f>
        <v/>
      </c>
      <c r="L24" s="82"/>
      <c r="M24" s="76" t="str">
        <f aca="false">IF(SprintTable[[#This Row],[Sprint]]="","",SUMIFS(tsk_LeafPoints,tsk_Sprint,SprintTable[[#This Row],[Sprint]]))</f>
        <v/>
      </c>
      <c r="N24" s="76" t="str">
        <f aca="false">IF(OR(SprintTable[[#This Row],[Sprint]]="",SprintTable[[#This Row],[Status]]="Future"),"",SUMIFS(tsk_LeafPoints,tsk_DoneDate,"&gt;="&amp;SprintTable[[#This Row],[Start]],tsk_DoneDate,"&lt;="&amp;SprintTable[[#This Row],[End]]))</f>
        <v/>
      </c>
      <c r="O24" s="125" t="str">
        <f aca="false">IF(OR(SprintTable[[#This Row],[Sprint]]="",SprintTable[[#This Row],[Status]]&lt;&gt;"Closed"),"",AVERAGE(INDEX(SprintTable[Done Points],MAX(1,SprintTable[[#This Row],[No]]-2)):INDEX(SprintTable[Done Points],SprintTable[[#This Row],[No]])))</f>
        <v/>
      </c>
      <c r="P24" s="76" t="str">
        <f aca="false">IF(OR(SprintTable[[#This Row],[Sprint]]="",SprintTable[[#This Row],[Status]]="Future"),"",TotalPoints-SUMIFS(tsk_LeafPoints,tsk_DoneDate,"&lt;="&amp;MIN(SprintTable[[#This Row],[End]],StatusDate)))</f>
        <v/>
      </c>
      <c r="Q24" s="76" t="str">
        <f aca="false">IF(SprintTable[[#This Row],[Sprint]]="","",TotalPoints-SUMIFS(tsk_LeafPoints,tsk_FcFinish,"&lt;="&amp;SprintTable[[#This Row],[End]]))</f>
        <v/>
      </c>
      <c r="R24" s="76" t="str">
        <f aca="false">IF(SprintTable[[#This Row],[Sprint]]="","",TotalPoints*MAX(0,1-SprintTable[[#This Row],[No]]/SprintCount))</f>
        <v/>
      </c>
      <c r="S24" s="41" t="e">
        <f aca="false">IF(SprintTable[[#This Row],[Remaining Points]]="",NA(),SprintTable[[#This Row],[Remaining Points]])</f>
        <v>#N/A</v>
      </c>
    </row>
    <row r="25" customFormat="false" ht="15" hidden="false" customHeight="false" outlineLevel="0" collapsed="false">
      <c r="A25" s="28" t="n">
        <f aca="false">ROW()-ROW(SprintTable[[#Headers],[No]])</f>
        <v>20</v>
      </c>
      <c r="B25" s="24" t="str">
        <f aca="false">IF(SprintTable[[#This Row],[No]]&lt;=SprintCount,SprintPrefix&amp;SprintTable[[#This Row],[No]],"")</f>
        <v/>
      </c>
      <c r="C25" s="25" t="n">
        <f aca="false">Sprint1Start+(SprintTable[[#This Row],[No]]-1)*SprintLength</f>
        <v>46538</v>
      </c>
      <c r="D25" s="25" t="n">
        <f aca="false">SprintTable[[#This Row],[Start]]+SprintLength-1</f>
        <v>46551</v>
      </c>
      <c r="E25" s="28" t="n">
        <f aca="false">NETWORKDAYS.INTL(SprintTable[[#This Row],[Start]],SprintTable[[#This Row],[End]],WorkWeek,Holidays)</f>
        <v>10</v>
      </c>
      <c r="F25" s="30"/>
      <c r="G25" s="28" t="str">
        <f aca="false">IF(SprintTable[[#This Row],[Sprint]]="","",COUNTIF(tsk_Sprint,SprintTable[[#This Row],[Sprint]]))</f>
        <v/>
      </c>
      <c r="H25" s="95"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5" s="95" t="str">
        <f aca="false">IF(SprintTable[[#This Row],[Sprint]]="","",SUMIFS(res_MaxUnits,res_Type,"Work")*HoursPerDay*SprintTable[[#This Row],[Working Days]])</f>
        <v/>
      </c>
      <c r="J25" s="94" t="str">
        <f aca="false">IF(OR(SprintTable[[#This Row],[Sprint]]="",N(SprintTable[[#This Row],[Capacity]])=0),"",SprintTable[[#This Row],[Planned Work]]/SprintTable[[#This Row],[Capacity]])</f>
        <v/>
      </c>
      <c r="K25" s="28" t="str">
        <f aca="false">IF(SprintTable[[#This Row],[Sprint]]="","",IF(StatusDate&gt;SprintTable[[#This Row],[End]],"Closed",IF(StatusDate&gt;=SprintTable[[#This Row],[Start]],"Active","Future")))</f>
        <v/>
      </c>
      <c r="L25" s="82"/>
      <c r="M25" s="76" t="str">
        <f aca="false">IF(SprintTable[[#This Row],[Sprint]]="","",SUMIFS(tsk_LeafPoints,tsk_Sprint,SprintTable[[#This Row],[Sprint]]))</f>
        <v/>
      </c>
      <c r="N25" s="76" t="str">
        <f aca="false">IF(OR(SprintTable[[#This Row],[Sprint]]="",SprintTable[[#This Row],[Status]]="Future"),"",SUMIFS(tsk_LeafPoints,tsk_DoneDate,"&gt;="&amp;SprintTable[[#This Row],[Start]],tsk_DoneDate,"&lt;="&amp;SprintTable[[#This Row],[End]]))</f>
        <v/>
      </c>
      <c r="O25" s="125" t="str">
        <f aca="false">IF(OR(SprintTable[[#This Row],[Sprint]]="",SprintTable[[#This Row],[Status]]&lt;&gt;"Closed"),"",AVERAGE(INDEX(SprintTable[Done Points],MAX(1,SprintTable[[#This Row],[No]]-2)):INDEX(SprintTable[Done Points],SprintTable[[#This Row],[No]])))</f>
        <v/>
      </c>
      <c r="P25" s="76" t="str">
        <f aca="false">IF(OR(SprintTable[[#This Row],[Sprint]]="",SprintTable[[#This Row],[Status]]="Future"),"",TotalPoints-SUMIFS(tsk_LeafPoints,tsk_DoneDate,"&lt;="&amp;MIN(SprintTable[[#This Row],[End]],StatusDate)))</f>
        <v/>
      </c>
      <c r="Q25" s="76" t="str">
        <f aca="false">IF(SprintTable[[#This Row],[Sprint]]="","",TotalPoints-SUMIFS(tsk_LeafPoints,tsk_FcFinish,"&lt;="&amp;SprintTable[[#This Row],[End]]))</f>
        <v/>
      </c>
      <c r="R25" s="76" t="str">
        <f aca="false">IF(SprintTable[[#This Row],[Sprint]]="","",TotalPoints*MAX(0,1-SprintTable[[#This Row],[No]]/SprintCount))</f>
        <v/>
      </c>
      <c r="S25" s="41" t="e">
        <f aca="false">IF(SprintTable[[#This Row],[Remaining Points]]="",NA(),SprintTable[[#This Row],[Remaining Points]])</f>
        <v>#N/A</v>
      </c>
    </row>
    <row r="26" customFormat="false" ht="15" hidden="false" customHeight="false" outlineLevel="0" collapsed="false">
      <c r="A26" s="28" t="n">
        <f aca="false">ROW()-ROW(SprintTable[[#Headers],[No]])</f>
        <v>21</v>
      </c>
      <c r="B26" s="24" t="str">
        <f aca="false">IF(SprintTable[[#This Row],[No]]&lt;=SprintCount,SprintPrefix&amp;SprintTable[[#This Row],[No]],"")</f>
        <v/>
      </c>
      <c r="C26" s="25" t="n">
        <f aca="false">Sprint1Start+(SprintTable[[#This Row],[No]]-1)*SprintLength</f>
        <v>46552</v>
      </c>
      <c r="D26" s="25" t="n">
        <f aca="false">SprintTable[[#This Row],[Start]]+SprintLength-1</f>
        <v>46565</v>
      </c>
      <c r="E26" s="28" t="n">
        <f aca="false">NETWORKDAYS.INTL(SprintTable[[#This Row],[Start]],SprintTable[[#This Row],[End]],WorkWeek,Holidays)</f>
        <v>10</v>
      </c>
      <c r="F26" s="30"/>
      <c r="G26" s="28" t="str">
        <f aca="false">IF(SprintTable[[#This Row],[Sprint]]="","",COUNTIF(tsk_Sprint,SprintTable[[#This Row],[Sprint]]))</f>
        <v/>
      </c>
      <c r="H26" s="95"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6" s="95" t="str">
        <f aca="false">IF(SprintTable[[#This Row],[Sprint]]="","",SUMIFS(res_MaxUnits,res_Type,"Work")*HoursPerDay*SprintTable[[#This Row],[Working Days]])</f>
        <v/>
      </c>
      <c r="J26" s="94" t="str">
        <f aca="false">IF(OR(SprintTable[[#This Row],[Sprint]]="",N(SprintTable[[#This Row],[Capacity]])=0),"",SprintTable[[#This Row],[Planned Work]]/SprintTable[[#This Row],[Capacity]])</f>
        <v/>
      </c>
      <c r="K26" s="28" t="str">
        <f aca="false">IF(SprintTable[[#This Row],[Sprint]]="","",IF(StatusDate&gt;SprintTable[[#This Row],[End]],"Closed",IF(StatusDate&gt;=SprintTable[[#This Row],[Start]],"Active","Future")))</f>
        <v/>
      </c>
      <c r="L26" s="82"/>
      <c r="M26" s="76" t="str">
        <f aca="false">IF(SprintTable[[#This Row],[Sprint]]="","",SUMIFS(tsk_LeafPoints,tsk_Sprint,SprintTable[[#This Row],[Sprint]]))</f>
        <v/>
      </c>
      <c r="N26" s="76" t="str">
        <f aca="false">IF(OR(SprintTable[[#This Row],[Sprint]]="",SprintTable[[#This Row],[Status]]="Future"),"",SUMIFS(tsk_LeafPoints,tsk_DoneDate,"&gt;="&amp;SprintTable[[#This Row],[Start]],tsk_DoneDate,"&lt;="&amp;SprintTable[[#This Row],[End]]))</f>
        <v/>
      </c>
      <c r="O26" s="125" t="str">
        <f aca="false">IF(OR(SprintTable[[#This Row],[Sprint]]="",SprintTable[[#This Row],[Status]]&lt;&gt;"Closed"),"",AVERAGE(INDEX(SprintTable[Done Points],MAX(1,SprintTable[[#This Row],[No]]-2)):INDEX(SprintTable[Done Points],SprintTable[[#This Row],[No]])))</f>
        <v/>
      </c>
      <c r="P26" s="76" t="str">
        <f aca="false">IF(OR(SprintTable[[#This Row],[Sprint]]="",SprintTable[[#This Row],[Status]]="Future"),"",TotalPoints-SUMIFS(tsk_LeafPoints,tsk_DoneDate,"&lt;="&amp;MIN(SprintTable[[#This Row],[End]],StatusDate)))</f>
        <v/>
      </c>
      <c r="Q26" s="76" t="str">
        <f aca="false">IF(SprintTable[[#This Row],[Sprint]]="","",TotalPoints-SUMIFS(tsk_LeafPoints,tsk_FcFinish,"&lt;="&amp;SprintTable[[#This Row],[End]]))</f>
        <v/>
      </c>
      <c r="R26" s="76" t="str">
        <f aca="false">IF(SprintTable[[#This Row],[Sprint]]="","",TotalPoints*MAX(0,1-SprintTable[[#This Row],[No]]/SprintCount))</f>
        <v/>
      </c>
      <c r="S26" s="41" t="e">
        <f aca="false">IF(SprintTable[[#This Row],[Remaining Points]]="",NA(),SprintTable[[#This Row],[Remaining Points]])</f>
        <v>#N/A</v>
      </c>
    </row>
    <row r="27" customFormat="false" ht="15" hidden="false" customHeight="false" outlineLevel="0" collapsed="false">
      <c r="A27" s="28" t="n">
        <f aca="false">ROW()-ROW(SprintTable[[#Headers],[No]])</f>
        <v>22</v>
      </c>
      <c r="B27" s="24" t="str">
        <f aca="false">IF(SprintTable[[#This Row],[No]]&lt;=SprintCount,SprintPrefix&amp;SprintTable[[#This Row],[No]],"")</f>
        <v/>
      </c>
      <c r="C27" s="25" t="n">
        <f aca="false">Sprint1Start+(SprintTable[[#This Row],[No]]-1)*SprintLength</f>
        <v>46566</v>
      </c>
      <c r="D27" s="25" t="n">
        <f aca="false">SprintTable[[#This Row],[Start]]+SprintLength-1</f>
        <v>46579</v>
      </c>
      <c r="E27" s="28" t="n">
        <f aca="false">NETWORKDAYS.INTL(SprintTable[[#This Row],[Start]],SprintTable[[#This Row],[End]],WorkWeek,Holidays)</f>
        <v>10</v>
      </c>
      <c r="F27" s="30"/>
      <c r="G27" s="28" t="str">
        <f aca="false">IF(SprintTable[[#This Row],[Sprint]]="","",COUNTIF(tsk_Sprint,SprintTable[[#This Row],[Sprint]]))</f>
        <v/>
      </c>
      <c r="H27" s="95"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7" s="95" t="str">
        <f aca="false">IF(SprintTable[[#This Row],[Sprint]]="","",SUMIFS(res_MaxUnits,res_Type,"Work")*HoursPerDay*SprintTable[[#This Row],[Working Days]])</f>
        <v/>
      </c>
      <c r="J27" s="94" t="str">
        <f aca="false">IF(OR(SprintTable[[#This Row],[Sprint]]="",N(SprintTable[[#This Row],[Capacity]])=0),"",SprintTable[[#This Row],[Planned Work]]/SprintTable[[#This Row],[Capacity]])</f>
        <v/>
      </c>
      <c r="K27" s="28" t="str">
        <f aca="false">IF(SprintTable[[#This Row],[Sprint]]="","",IF(StatusDate&gt;SprintTable[[#This Row],[End]],"Closed",IF(StatusDate&gt;=SprintTable[[#This Row],[Start]],"Active","Future")))</f>
        <v/>
      </c>
      <c r="L27" s="82"/>
      <c r="M27" s="76" t="str">
        <f aca="false">IF(SprintTable[[#This Row],[Sprint]]="","",SUMIFS(tsk_LeafPoints,tsk_Sprint,SprintTable[[#This Row],[Sprint]]))</f>
        <v/>
      </c>
      <c r="N27" s="76" t="str">
        <f aca="false">IF(OR(SprintTable[[#This Row],[Sprint]]="",SprintTable[[#This Row],[Status]]="Future"),"",SUMIFS(tsk_LeafPoints,tsk_DoneDate,"&gt;="&amp;SprintTable[[#This Row],[Start]],tsk_DoneDate,"&lt;="&amp;SprintTable[[#This Row],[End]]))</f>
        <v/>
      </c>
      <c r="O27" s="125" t="str">
        <f aca="false">IF(OR(SprintTable[[#This Row],[Sprint]]="",SprintTable[[#This Row],[Status]]&lt;&gt;"Closed"),"",AVERAGE(INDEX(SprintTable[Done Points],MAX(1,SprintTable[[#This Row],[No]]-2)):INDEX(SprintTable[Done Points],SprintTable[[#This Row],[No]])))</f>
        <v/>
      </c>
      <c r="P27" s="76" t="str">
        <f aca="false">IF(OR(SprintTable[[#This Row],[Sprint]]="",SprintTable[[#This Row],[Status]]="Future"),"",TotalPoints-SUMIFS(tsk_LeafPoints,tsk_DoneDate,"&lt;="&amp;MIN(SprintTable[[#This Row],[End]],StatusDate)))</f>
        <v/>
      </c>
      <c r="Q27" s="76" t="str">
        <f aca="false">IF(SprintTable[[#This Row],[Sprint]]="","",TotalPoints-SUMIFS(tsk_LeafPoints,tsk_FcFinish,"&lt;="&amp;SprintTable[[#This Row],[End]]))</f>
        <v/>
      </c>
      <c r="R27" s="76" t="str">
        <f aca="false">IF(SprintTable[[#This Row],[Sprint]]="","",TotalPoints*MAX(0,1-SprintTable[[#This Row],[No]]/SprintCount))</f>
        <v/>
      </c>
      <c r="S27" s="41" t="e">
        <f aca="false">IF(SprintTable[[#This Row],[Remaining Points]]="",NA(),SprintTable[[#This Row],[Remaining Points]])</f>
        <v>#N/A</v>
      </c>
    </row>
    <row r="28" customFormat="false" ht="15" hidden="false" customHeight="false" outlineLevel="0" collapsed="false">
      <c r="A28" s="28" t="n">
        <f aca="false">ROW()-ROW(SprintTable[[#Headers],[No]])</f>
        <v>23</v>
      </c>
      <c r="B28" s="24" t="str">
        <f aca="false">IF(SprintTable[[#This Row],[No]]&lt;=SprintCount,SprintPrefix&amp;SprintTable[[#This Row],[No]],"")</f>
        <v/>
      </c>
      <c r="C28" s="25" t="n">
        <f aca="false">Sprint1Start+(SprintTable[[#This Row],[No]]-1)*SprintLength</f>
        <v>46580</v>
      </c>
      <c r="D28" s="25" t="n">
        <f aca="false">SprintTable[[#This Row],[Start]]+SprintLength-1</f>
        <v>46593</v>
      </c>
      <c r="E28" s="28" t="n">
        <f aca="false">NETWORKDAYS.INTL(SprintTable[[#This Row],[Start]],SprintTable[[#This Row],[End]],WorkWeek,Holidays)</f>
        <v>10</v>
      </c>
      <c r="F28" s="30"/>
      <c r="G28" s="28" t="str">
        <f aca="false">IF(SprintTable[[#This Row],[Sprint]]="","",COUNTIF(tsk_Sprint,SprintTable[[#This Row],[Sprint]]))</f>
        <v/>
      </c>
      <c r="H28" s="95"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8" s="95" t="str">
        <f aca="false">IF(SprintTable[[#This Row],[Sprint]]="","",SUMIFS(res_MaxUnits,res_Type,"Work")*HoursPerDay*SprintTable[[#This Row],[Working Days]])</f>
        <v/>
      </c>
      <c r="J28" s="94" t="str">
        <f aca="false">IF(OR(SprintTable[[#This Row],[Sprint]]="",N(SprintTable[[#This Row],[Capacity]])=0),"",SprintTable[[#This Row],[Planned Work]]/SprintTable[[#This Row],[Capacity]])</f>
        <v/>
      </c>
      <c r="K28" s="28" t="str">
        <f aca="false">IF(SprintTable[[#This Row],[Sprint]]="","",IF(StatusDate&gt;SprintTable[[#This Row],[End]],"Closed",IF(StatusDate&gt;=SprintTable[[#This Row],[Start]],"Active","Future")))</f>
        <v/>
      </c>
      <c r="L28" s="82"/>
      <c r="M28" s="76" t="str">
        <f aca="false">IF(SprintTable[[#This Row],[Sprint]]="","",SUMIFS(tsk_LeafPoints,tsk_Sprint,SprintTable[[#This Row],[Sprint]]))</f>
        <v/>
      </c>
      <c r="N28" s="76" t="str">
        <f aca="false">IF(OR(SprintTable[[#This Row],[Sprint]]="",SprintTable[[#This Row],[Status]]="Future"),"",SUMIFS(tsk_LeafPoints,tsk_DoneDate,"&gt;="&amp;SprintTable[[#This Row],[Start]],tsk_DoneDate,"&lt;="&amp;SprintTable[[#This Row],[End]]))</f>
        <v/>
      </c>
      <c r="O28" s="125" t="str">
        <f aca="false">IF(OR(SprintTable[[#This Row],[Sprint]]="",SprintTable[[#This Row],[Status]]&lt;&gt;"Closed"),"",AVERAGE(INDEX(SprintTable[Done Points],MAX(1,SprintTable[[#This Row],[No]]-2)):INDEX(SprintTable[Done Points],SprintTable[[#This Row],[No]])))</f>
        <v/>
      </c>
      <c r="P28" s="76" t="str">
        <f aca="false">IF(OR(SprintTable[[#This Row],[Sprint]]="",SprintTable[[#This Row],[Status]]="Future"),"",TotalPoints-SUMIFS(tsk_LeafPoints,tsk_DoneDate,"&lt;="&amp;MIN(SprintTable[[#This Row],[End]],StatusDate)))</f>
        <v/>
      </c>
      <c r="Q28" s="76" t="str">
        <f aca="false">IF(SprintTable[[#This Row],[Sprint]]="","",TotalPoints-SUMIFS(tsk_LeafPoints,tsk_FcFinish,"&lt;="&amp;SprintTable[[#This Row],[End]]))</f>
        <v/>
      </c>
      <c r="R28" s="76" t="str">
        <f aca="false">IF(SprintTable[[#This Row],[Sprint]]="","",TotalPoints*MAX(0,1-SprintTable[[#This Row],[No]]/SprintCount))</f>
        <v/>
      </c>
      <c r="S28" s="41" t="e">
        <f aca="false">IF(SprintTable[[#This Row],[Remaining Points]]="",NA(),SprintTable[[#This Row],[Remaining Points]])</f>
        <v>#N/A</v>
      </c>
    </row>
    <row r="29" customFormat="false" ht="15" hidden="false" customHeight="false" outlineLevel="0" collapsed="false">
      <c r="A29" s="28" t="n">
        <f aca="false">ROW()-ROW(SprintTable[[#Headers],[No]])</f>
        <v>24</v>
      </c>
      <c r="B29" s="24" t="str">
        <f aca="false">IF(SprintTable[[#This Row],[No]]&lt;=SprintCount,SprintPrefix&amp;SprintTable[[#This Row],[No]],"")</f>
        <v/>
      </c>
      <c r="C29" s="25" t="n">
        <f aca="false">Sprint1Start+(SprintTable[[#This Row],[No]]-1)*SprintLength</f>
        <v>46594</v>
      </c>
      <c r="D29" s="25" t="n">
        <f aca="false">SprintTable[[#This Row],[Start]]+SprintLength-1</f>
        <v>46607</v>
      </c>
      <c r="E29" s="28" t="n">
        <f aca="false">NETWORKDAYS.INTL(SprintTable[[#This Row],[Start]],SprintTable[[#This Row],[End]],WorkWeek,Holidays)</f>
        <v>10</v>
      </c>
      <c r="F29" s="30"/>
      <c r="G29" s="28" t="str">
        <f aca="false">IF(SprintTable[[#This Row],[Sprint]]="","",COUNTIF(tsk_Sprint,SprintTable[[#This Row],[Sprint]]))</f>
        <v/>
      </c>
      <c r="H29" s="95"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9" s="95" t="str">
        <f aca="false">IF(SprintTable[[#This Row],[Sprint]]="","",SUMIFS(res_MaxUnits,res_Type,"Work")*HoursPerDay*SprintTable[[#This Row],[Working Days]])</f>
        <v/>
      </c>
      <c r="J29" s="94" t="str">
        <f aca="false">IF(OR(SprintTable[[#This Row],[Sprint]]="",N(SprintTable[[#This Row],[Capacity]])=0),"",SprintTable[[#This Row],[Planned Work]]/SprintTable[[#This Row],[Capacity]])</f>
        <v/>
      </c>
      <c r="K29" s="28" t="str">
        <f aca="false">IF(SprintTable[[#This Row],[Sprint]]="","",IF(StatusDate&gt;SprintTable[[#This Row],[End]],"Closed",IF(StatusDate&gt;=SprintTable[[#This Row],[Start]],"Active","Future")))</f>
        <v/>
      </c>
      <c r="L29" s="82"/>
      <c r="M29" s="76" t="str">
        <f aca="false">IF(SprintTable[[#This Row],[Sprint]]="","",SUMIFS(tsk_LeafPoints,tsk_Sprint,SprintTable[[#This Row],[Sprint]]))</f>
        <v/>
      </c>
      <c r="N29" s="76" t="str">
        <f aca="false">IF(OR(SprintTable[[#This Row],[Sprint]]="",SprintTable[[#This Row],[Status]]="Future"),"",SUMIFS(tsk_LeafPoints,tsk_DoneDate,"&gt;="&amp;SprintTable[[#This Row],[Start]],tsk_DoneDate,"&lt;="&amp;SprintTable[[#This Row],[End]]))</f>
        <v/>
      </c>
      <c r="O29" s="125" t="str">
        <f aca="false">IF(OR(SprintTable[[#This Row],[Sprint]]="",SprintTable[[#This Row],[Status]]&lt;&gt;"Closed"),"",AVERAGE(INDEX(SprintTable[Done Points],MAX(1,SprintTable[[#This Row],[No]]-2)):INDEX(SprintTable[Done Points],SprintTable[[#This Row],[No]])))</f>
        <v/>
      </c>
      <c r="P29" s="76" t="str">
        <f aca="false">IF(OR(SprintTable[[#This Row],[Sprint]]="",SprintTable[[#This Row],[Status]]="Future"),"",TotalPoints-SUMIFS(tsk_LeafPoints,tsk_DoneDate,"&lt;="&amp;MIN(SprintTable[[#This Row],[End]],StatusDate)))</f>
        <v/>
      </c>
      <c r="Q29" s="76" t="str">
        <f aca="false">IF(SprintTable[[#This Row],[Sprint]]="","",TotalPoints-SUMIFS(tsk_LeafPoints,tsk_FcFinish,"&lt;="&amp;SprintTable[[#This Row],[End]]))</f>
        <v/>
      </c>
      <c r="R29" s="76" t="str">
        <f aca="false">IF(SprintTable[[#This Row],[Sprint]]="","",TotalPoints*MAX(0,1-SprintTable[[#This Row],[No]]/SprintCount))</f>
        <v/>
      </c>
      <c r="S29" s="41" t="e">
        <f aca="false">IF(SprintTable[[#This Row],[Remaining Points]]="",NA(),SprintTable[[#This Row],[Remaining Points]])</f>
        <v>#N/A</v>
      </c>
    </row>
    <row r="30" customFormat="false" ht="15" hidden="false" customHeight="false" outlineLevel="0" collapsed="false">
      <c r="A30" s="28" t="n">
        <f aca="false">ROW()-ROW(SprintTable[[#Headers],[No]])</f>
        <v>25</v>
      </c>
      <c r="B30" s="24" t="str">
        <f aca="false">IF(SprintTable[[#This Row],[No]]&lt;=SprintCount,SprintPrefix&amp;SprintTable[[#This Row],[No]],"")</f>
        <v/>
      </c>
      <c r="C30" s="25" t="n">
        <f aca="false">Sprint1Start+(SprintTable[[#This Row],[No]]-1)*SprintLength</f>
        <v>46608</v>
      </c>
      <c r="D30" s="25" t="n">
        <f aca="false">SprintTable[[#This Row],[Start]]+SprintLength-1</f>
        <v>46621</v>
      </c>
      <c r="E30" s="28" t="n">
        <f aca="false">NETWORKDAYS.INTL(SprintTable[[#This Row],[Start]],SprintTable[[#This Row],[End]],WorkWeek,Holidays)</f>
        <v>10</v>
      </c>
      <c r="F30" s="30"/>
      <c r="G30" s="28" t="str">
        <f aca="false">IF(SprintTable[[#This Row],[Sprint]]="","",COUNTIF(tsk_Sprint,SprintTable[[#This Row],[Sprint]]))</f>
        <v/>
      </c>
      <c r="H30" s="95"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30" s="95" t="str">
        <f aca="false">IF(SprintTable[[#This Row],[Sprint]]="","",SUMIFS(res_MaxUnits,res_Type,"Work")*HoursPerDay*SprintTable[[#This Row],[Working Days]])</f>
        <v/>
      </c>
      <c r="J30" s="94" t="str">
        <f aca="false">IF(OR(SprintTable[[#This Row],[Sprint]]="",N(SprintTable[[#This Row],[Capacity]])=0),"",SprintTable[[#This Row],[Planned Work]]/SprintTable[[#This Row],[Capacity]])</f>
        <v/>
      </c>
      <c r="K30" s="28" t="str">
        <f aca="false">IF(SprintTable[[#This Row],[Sprint]]="","",IF(StatusDate&gt;SprintTable[[#This Row],[End]],"Closed",IF(StatusDate&gt;=SprintTable[[#This Row],[Start]],"Active","Future")))</f>
        <v/>
      </c>
      <c r="L30" s="82"/>
      <c r="M30" s="76" t="str">
        <f aca="false">IF(SprintTable[[#This Row],[Sprint]]="","",SUMIFS(tsk_LeafPoints,tsk_Sprint,SprintTable[[#This Row],[Sprint]]))</f>
        <v/>
      </c>
      <c r="N30" s="76" t="str">
        <f aca="false">IF(OR(SprintTable[[#This Row],[Sprint]]="",SprintTable[[#This Row],[Status]]="Future"),"",SUMIFS(tsk_LeafPoints,tsk_DoneDate,"&gt;="&amp;SprintTable[[#This Row],[Start]],tsk_DoneDate,"&lt;="&amp;SprintTable[[#This Row],[End]]))</f>
        <v/>
      </c>
      <c r="O30" s="125" t="str">
        <f aca="false">IF(OR(SprintTable[[#This Row],[Sprint]]="",SprintTable[[#This Row],[Status]]&lt;&gt;"Closed"),"",AVERAGE(INDEX(SprintTable[Done Points],MAX(1,SprintTable[[#This Row],[No]]-2)):INDEX(SprintTable[Done Points],SprintTable[[#This Row],[No]])))</f>
        <v/>
      </c>
      <c r="P30" s="76" t="str">
        <f aca="false">IF(OR(SprintTable[[#This Row],[Sprint]]="",SprintTable[[#This Row],[Status]]="Future"),"",TotalPoints-SUMIFS(tsk_LeafPoints,tsk_DoneDate,"&lt;="&amp;MIN(SprintTable[[#This Row],[End]],StatusDate)))</f>
        <v/>
      </c>
      <c r="Q30" s="76" t="str">
        <f aca="false">IF(SprintTable[[#This Row],[Sprint]]="","",TotalPoints-SUMIFS(tsk_LeafPoints,tsk_FcFinish,"&lt;="&amp;SprintTable[[#This Row],[End]]))</f>
        <v/>
      </c>
      <c r="R30" s="76" t="str">
        <f aca="false">IF(SprintTable[[#This Row],[Sprint]]="","",TotalPoints*MAX(0,1-SprintTable[[#This Row],[No]]/SprintCount))</f>
        <v/>
      </c>
      <c r="S30" s="41" t="e">
        <f aca="false">IF(SprintTable[[#This Row],[Remaining Points]]="",NA(),SprintTable[[#This Row],[Remaining Points]])</f>
        <v>#N/A</v>
      </c>
    </row>
    <row r="31" customFormat="false" ht="15" hidden="false" customHeight="false" outlineLevel="0" collapsed="false">
      <c r="A31" s="28" t="n">
        <f aca="false">ROW()-ROW(SprintTable[[#Headers],[No]])</f>
        <v>26</v>
      </c>
      <c r="B31" s="24" t="str">
        <f aca="false">IF(SprintTable[[#This Row],[No]]&lt;=SprintCount,SprintPrefix&amp;SprintTable[[#This Row],[No]],"")</f>
        <v/>
      </c>
      <c r="C31" s="25" t="n">
        <f aca="false">Sprint1Start+(SprintTable[[#This Row],[No]]-1)*SprintLength</f>
        <v>46622</v>
      </c>
      <c r="D31" s="25" t="n">
        <f aca="false">SprintTable[[#This Row],[Start]]+SprintLength-1</f>
        <v>46635</v>
      </c>
      <c r="E31" s="28" t="n">
        <f aca="false">NETWORKDAYS.INTL(SprintTable[[#This Row],[Start]],SprintTable[[#This Row],[End]],WorkWeek,Holidays)</f>
        <v>10</v>
      </c>
      <c r="F31" s="30"/>
      <c r="G31" s="28" t="str">
        <f aca="false">IF(SprintTable[[#This Row],[Sprint]]="","",COUNTIF(tsk_Sprint,SprintTable[[#This Row],[Sprint]]))</f>
        <v/>
      </c>
      <c r="H31" s="95"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31" s="95" t="str">
        <f aca="false">IF(SprintTable[[#This Row],[Sprint]]="","",SUMIFS(res_MaxUnits,res_Type,"Work")*HoursPerDay*SprintTable[[#This Row],[Working Days]])</f>
        <v/>
      </c>
      <c r="J31" s="94" t="str">
        <f aca="false">IF(OR(SprintTable[[#This Row],[Sprint]]="",N(SprintTable[[#This Row],[Capacity]])=0),"",SprintTable[[#This Row],[Planned Work]]/SprintTable[[#This Row],[Capacity]])</f>
        <v/>
      </c>
      <c r="K31" s="28" t="str">
        <f aca="false">IF(SprintTable[[#This Row],[Sprint]]="","",IF(StatusDate&gt;SprintTable[[#This Row],[End]],"Closed",IF(StatusDate&gt;=SprintTable[[#This Row],[Start]],"Active","Future")))</f>
        <v/>
      </c>
      <c r="L31" s="82"/>
      <c r="M31" s="76" t="str">
        <f aca="false">IF(SprintTable[[#This Row],[Sprint]]="","",SUMIFS(tsk_LeafPoints,tsk_Sprint,SprintTable[[#This Row],[Sprint]]))</f>
        <v/>
      </c>
      <c r="N31" s="76" t="str">
        <f aca="false">IF(OR(SprintTable[[#This Row],[Sprint]]="",SprintTable[[#This Row],[Status]]="Future"),"",SUMIFS(tsk_LeafPoints,tsk_DoneDate,"&gt;="&amp;SprintTable[[#This Row],[Start]],tsk_DoneDate,"&lt;="&amp;SprintTable[[#This Row],[End]]))</f>
        <v/>
      </c>
      <c r="O31" s="125" t="str">
        <f aca="false">IF(OR(SprintTable[[#This Row],[Sprint]]="",SprintTable[[#This Row],[Status]]&lt;&gt;"Closed"),"",AVERAGE(INDEX(SprintTable[Done Points],MAX(1,SprintTable[[#This Row],[No]]-2)):INDEX(SprintTable[Done Points],SprintTable[[#This Row],[No]])))</f>
        <v/>
      </c>
      <c r="P31" s="76" t="str">
        <f aca="false">IF(OR(SprintTable[[#This Row],[Sprint]]="",SprintTable[[#This Row],[Status]]="Future"),"",TotalPoints-SUMIFS(tsk_LeafPoints,tsk_DoneDate,"&lt;="&amp;MIN(SprintTable[[#This Row],[End]],StatusDate)))</f>
        <v/>
      </c>
      <c r="Q31" s="76" t="str">
        <f aca="false">IF(SprintTable[[#This Row],[Sprint]]="","",TotalPoints-SUMIFS(tsk_LeafPoints,tsk_FcFinish,"&lt;="&amp;SprintTable[[#This Row],[End]]))</f>
        <v/>
      </c>
      <c r="R31" s="76" t="str">
        <f aca="false">IF(SprintTable[[#This Row],[Sprint]]="","",TotalPoints*MAX(0,1-SprintTable[[#This Row],[No]]/SprintCount))</f>
        <v/>
      </c>
      <c r="S31" s="41" t="e">
        <f aca="false">IF(SprintTable[[#This Row],[Remaining Points]]="",NA(),SprintTable[[#This Row],[Remaining Points]])</f>
        <v>#N/A</v>
      </c>
    </row>
    <row r="33" customFormat="false" ht="15" hidden="false" customHeight="false" outlineLevel="0" collapsed="false">
      <c r="A33" s="55" t="s">
        <v>705</v>
      </c>
    </row>
    <row r="34" customFormat="false" ht="15" hidden="false" customHeight="false" outlineLevel="0" collapsed="false">
      <c r="B34" s="9" t="s">
        <v>218</v>
      </c>
      <c r="C34" s="9" t="s">
        <v>224</v>
      </c>
      <c r="D34" s="9" t="str">
        <f aca="false">IFERROR(INDEX(spr_Name,(COLUMN()-COLUMN(load_Origin)-1))&amp;"","")</f>
        <v>Sprint 1</v>
      </c>
      <c r="E34" s="9" t="str">
        <f aca="false">IFERROR(INDEX(spr_Name,(COLUMN()-COLUMN(load_Origin)-1))&amp;"","")</f>
        <v>Sprint 2</v>
      </c>
      <c r="F34" s="9" t="str">
        <f aca="false">IFERROR(INDEX(spr_Name,(COLUMN()-COLUMN(load_Origin)-1))&amp;"","")</f>
        <v>Sprint 3</v>
      </c>
      <c r="G34" s="9" t="str">
        <f aca="false">IFERROR(INDEX(spr_Name,(COLUMN()-COLUMN(load_Origin)-1))&amp;"","")</f>
        <v>Sprint 4</v>
      </c>
      <c r="H34" s="9" t="str">
        <f aca="false">IFERROR(INDEX(spr_Name,(COLUMN()-COLUMN(load_Origin)-1))&amp;"","")</f>
        <v>Sprint 5</v>
      </c>
      <c r="I34" s="9" t="str">
        <f aca="false">IFERROR(INDEX(spr_Name,(COLUMN()-COLUMN(load_Origin)-1))&amp;"","")</f>
        <v>Sprint 6</v>
      </c>
      <c r="J34" s="9" t="str">
        <f aca="false">IFERROR(INDEX(spr_Name,(COLUMN()-COLUMN(load_Origin)-1))&amp;"","")</f>
        <v>Sprint 7</v>
      </c>
      <c r="K34" s="9" t="str">
        <f aca="false">IFERROR(INDEX(spr_Name,(COLUMN()-COLUMN(load_Origin)-1))&amp;"","")</f>
        <v>Sprint 8</v>
      </c>
      <c r="L34" s="9" t="str">
        <f aca="false">IFERROR(INDEX(spr_Name,(COLUMN()-COLUMN(load_Origin)-1))&amp;"","")</f>
        <v>Sprint 9</v>
      </c>
      <c r="M34" s="9" t="str">
        <f aca="false">IFERROR(INDEX(spr_Name,(COLUMN()-COLUMN(load_Origin)-1))&amp;"","")</f>
        <v>Sprint 10</v>
      </c>
      <c r="N34" s="9" t="str">
        <f aca="false">IFERROR(INDEX(spr_Name,(COLUMN()-COLUMN(load_Origin)-1))&amp;"","")</f>
        <v>Sprint 11</v>
      </c>
      <c r="O34" s="9" t="str">
        <f aca="false">IFERROR(INDEX(spr_Name,(COLUMN()-COLUMN(load_Origin)-1))&amp;"","")</f>
        <v>Sprint 12</v>
      </c>
      <c r="P34" s="9" t="str">
        <f aca="false">IFERROR(INDEX(spr_Name,(COLUMN()-COLUMN(load_Origin)-1))&amp;"","")</f>
        <v/>
      </c>
      <c r="Q34" s="9" t="str">
        <f aca="false">IFERROR(INDEX(spr_Name,(COLUMN()-COLUMN(load_Origin)-1))&amp;"","")</f>
        <v/>
      </c>
      <c r="R34" s="9" t="str">
        <f aca="false">IFERROR(INDEX(spr_Name,(COLUMN()-COLUMN(load_Origin)-1))&amp;"","")</f>
        <v/>
      </c>
      <c r="S34" s="9" t="str">
        <f aca="false">IFERROR(INDEX(spr_Name,(COLUMN()-COLUMN(load_Origin)-1))&amp;"","")</f>
        <v/>
      </c>
      <c r="T34" s="9" t="str">
        <f aca="false">IFERROR(INDEX(spr_Name,(COLUMN()-COLUMN(load_Origin)-1))&amp;"","")</f>
        <v/>
      </c>
      <c r="U34" s="9" t="str">
        <f aca="false">IFERROR(INDEX(spr_Name,(COLUMN()-COLUMN(load_Origin)-1))&amp;"","")</f>
        <v/>
      </c>
      <c r="V34" s="9" t="str">
        <f aca="false">IFERROR(INDEX(spr_Name,(COLUMN()-COLUMN(load_Origin)-1))&amp;"","")</f>
        <v/>
      </c>
      <c r="W34" s="9" t="str">
        <f aca="false">IFERROR(INDEX(spr_Name,(COLUMN()-COLUMN(load_Origin)-1))&amp;"","")</f>
        <v/>
      </c>
      <c r="X34" s="9" t="str">
        <f aca="false">IFERROR(INDEX(spr_Name,(COLUMN()-COLUMN(load_Origin)-1))&amp;"","")</f>
        <v/>
      </c>
      <c r="Y34" s="9" t="str">
        <f aca="false">IFERROR(INDEX(spr_Name,(COLUMN()-COLUMN(load_Origin)-1))&amp;"","")</f>
        <v/>
      </c>
      <c r="Z34" s="9" t="str">
        <f aca="false">IFERROR(INDEX(spr_Name,(COLUMN()-COLUMN(load_Origin)-1))&amp;"","")</f>
        <v/>
      </c>
      <c r="AA34" s="9" t="str">
        <f aca="false">IFERROR(INDEX(spr_Name,(COLUMN()-COLUMN(load_Origin)-1))&amp;"","")</f>
        <v/>
      </c>
      <c r="AB34" s="9" t="str">
        <f aca="false">IFERROR(INDEX(spr_Name,(COLUMN()-COLUMN(load_Origin)-1))&amp;"","")</f>
        <v/>
      </c>
      <c r="AC34" s="9" t="str">
        <f aca="false">IFERROR(INDEX(spr_Name,(COLUMN()-COLUMN(load_Origin)-1))&amp;"","")</f>
        <v/>
      </c>
    </row>
    <row r="35" customFormat="false" ht="15" hidden="false" customHeight="false" outlineLevel="0" collapsed="false">
      <c r="B35" s="57" t="s">
        <v>706</v>
      </c>
      <c r="D35" s="126" t="n">
        <f aca="false">IFERROR(IF(INDEX(spr_Name,(COLUMN()-COLUMN(load_Origin)-1))="","",INDEX(spr_Start,(COLUMN()-COLUMN(load_Origin)-1))),"")</f>
        <v>46272</v>
      </c>
      <c r="E35" s="126" t="n">
        <f aca="false">IFERROR(IF(INDEX(spr_Name,(COLUMN()-COLUMN(load_Origin)-1))="","",INDEX(spr_Start,(COLUMN()-COLUMN(load_Origin)-1))),"")</f>
        <v>46286</v>
      </c>
      <c r="F35" s="126" t="n">
        <f aca="false">IFERROR(IF(INDEX(spr_Name,(COLUMN()-COLUMN(load_Origin)-1))="","",INDEX(spr_Start,(COLUMN()-COLUMN(load_Origin)-1))),"")</f>
        <v>46300</v>
      </c>
      <c r="G35" s="126" t="n">
        <f aca="false">IFERROR(IF(INDEX(spr_Name,(COLUMN()-COLUMN(load_Origin)-1))="","",INDEX(spr_Start,(COLUMN()-COLUMN(load_Origin)-1))),"")</f>
        <v>46314</v>
      </c>
      <c r="H35" s="126" t="n">
        <f aca="false">IFERROR(IF(INDEX(spr_Name,(COLUMN()-COLUMN(load_Origin)-1))="","",INDEX(spr_Start,(COLUMN()-COLUMN(load_Origin)-1))),"")</f>
        <v>46328</v>
      </c>
      <c r="I35" s="126" t="n">
        <f aca="false">IFERROR(IF(INDEX(spr_Name,(COLUMN()-COLUMN(load_Origin)-1))="","",INDEX(spr_Start,(COLUMN()-COLUMN(load_Origin)-1))),"")</f>
        <v>46342</v>
      </c>
      <c r="J35" s="126" t="n">
        <f aca="false">IFERROR(IF(INDEX(spr_Name,(COLUMN()-COLUMN(load_Origin)-1))="","",INDEX(spr_Start,(COLUMN()-COLUMN(load_Origin)-1))),"")</f>
        <v>46356</v>
      </c>
      <c r="K35" s="126" t="n">
        <f aca="false">IFERROR(IF(INDEX(spr_Name,(COLUMN()-COLUMN(load_Origin)-1))="","",INDEX(spr_Start,(COLUMN()-COLUMN(load_Origin)-1))),"")</f>
        <v>46370</v>
      </c>
      <c r="L35" s="126" t="n">
        <f aca="false">IFERROR(IF(INDEX(spr_Name,(COLUMN()-COLUMN(load_Origin)-1))="","",INDEX(spr_Start,(COLUMN()-COLUMN(load_Origin)-1))),"")</f>
        <v>46384</v>
      </c>
      <c r="M35" s="126" t="n">
        <f aca="false">IFERROR(IF(INDEX(spr_Name,(COLUMN()-COLUMN(load_Origin)-1))="","",INDEX(spr_Start,(COLUMN()-COLUMN(load_Origin)-1))),"")</f>
        <v>46398</v>
      </c>
      <c r="N35" s="126" t="n">
        <f aca="false">IFERROR(IF(INDEX(spr_Name,(COLUMN()-COLUMN(load_Origin)-1))="","",INDEX(spr_Start,(COLUMN()-COLUMN(load_Origin)-1))),"")</f>
        <v>46412</v>
      </c>
      <c r="O35" s="126" t="n">
        <f aca="false">IFERROR(IF(INDEX(spr_Name,(COLUMN()-COLUMN(load_Origin)-1))="","",INDEX(spr_Start,(COLUMN()-COLUMN(load_Origin)-1))),"")</f>
        <v>46426</v>
      </c>
      <c r="P35" s="126" t="str">
        <f aca="false">IFERROR(IF(INDEX(spr_Name,(COLUMN()-COLUMN(load_Origin)-1))="","",INDEX(spr_Start,(COLUMN()-COLUMN(load_Origin)-1))),"")</f>
        <v/>
      </c>
      <c r="Q35" s="126" t="str">
        <f aca="false">IFERROR(IF(INDEX(spr_Name,(COLUMN()-COLUMN(load_Origin)-1))="","",INDEX(spr_Start,(COLUMN()-COLUMN(load_Origin)-1))),"")</f>
        <v/>
      </c>
      <c r="R35" s="126" t="str">
        <f aca="false">IFERROR(IF(INDEX(spr_Name,(COLUMN()-COLUMN(load_Origin)-1))="","",INDEX(spr_Start,(COLUMN()-COLUMN(load_Origin)-1))),"")</f>
        <v/>
      </c>
      <c r="S35" s="126" t="str">
        <f aca="false">IFERROR(IF(INDEX(spr_Name,(COLUMN()-COLUMN(load_Origin)-1))="","",INDEX(spr_Start,(COLUMN()-COLUMN(load_Origin)-1))),"")</f>
        <v/>
      </c>
      <c r="T35" s="126" t="str">
        <f aca="false">IFERROR(IF(INDEX(spr_Name,(COLUMN()-COLUMN(load_Origin)-1))="","",INDEX(spr_Start,(COLUMN()-COLUMN(load_Origin)-1))),"")</f>
        <v/>
      </c>
      <c r="U35" s="126" t="str">
        <f aca="false">IFERROR(IF(INDEX(spr_Name,(COLUMN()-COLUMN(load_Origin)-1))="","",INDEX(spr_Start,(COLUMN()-COLUMN(load_Origin)-1))),"")</f>
        <v/>
      </c>
      <c r="V35" s="126" t="str">
        <f aca="false">IFERROR(IF(INDEX(spr_Name,(COLUMN()-COLUMN(load_Origin)-1))="","",INDEX(spr_Start,(COLUMN()-COLUMN(load_Origin)-1))),"")</f>
        <v/>
      </c>
      <c r="W35" s="126" t="str">
        <f aca="false">IFERROR(IF(INDEX(spr_Name,(COLUMN()-COLUMN(load_Origin)-1))="","",INDEX(spr_Start,(COLUMN()-COLUMN(load_Origin)-1))),"")</f>
        <v/>
      </c>
      <c r="X35" s="126" t="str">
        <f aca="false">IFERROR(IF(INDEX(spr_Name,(COLUMN()-COLUMN(load_Origin)-1))="","",INDEX(spr_Start,(COLUMN()-COLUMN(load_Origin)-1))),"")</f>
        <v/>
      </c>
      <c r="Y35" s="126" t="str">
        <f aca="false">IFERROR(IF(INDEX(spr_Name,(COLUMN()-COLUMN(load_Origin)-1))="","",INDEX(spr_Start,(COLUMN()-COLUMN(load_Origin)-1))),"")</f>
        <v/>
      </c>
      <c r="Z35" s="126" t="str">
        <f aca="false">IFERROR(IF(INDEX(spr_Name,(COLUMN()-COLUMN(load_Origin)-1))="","",INDEX(spr_Start,(COLUMN()-COLUMN(load_Origin)-1))),"")</f>
        <v/>
      </c>
      <c r="AA35" s="126" t="str">
        <f aca="false">IFERROR(IF(INDEX(spr_Name,(COLUMN()-COLUMN(load_Origin)-1))="","",INDEX(spr_Start,(COLUMN()-COLUMN(load_Origin)-1))),"")</f>
        <v/>
      </c>
      <c r="AB35" s="126" t="str">
        <f aca="false">IFERROR(IF(INDEX(spr_Name,(COLUMN()-COLUMN(load_Origin)-1))="","",INDEX(spr_Start,(COLUMN()-COLUMN(load_Origin)-1))),"")</f>
        <v/>
      </c>
      <c r="AC35" s="126" t="str">
        <f aca="false">IFERROR(IF(INDEX(spr_Name,(COLUMN()-COLUMN(load_Origin)-1))="","",INDEX(spr_Start,(COLUMN()-COLUMN(load_Origin)-1))),"")</f>
        <v/>
      </c>
    </row>
    <row r="36" customFormat="false" ht="15" hidden="false" customHeight="false" outlineLevel="0" collapsed="false">
      <c r="B36" s="31" t="str">
        <f aca="false">IFERROR(INDEX(res_Name,(ROW()-ROW(load_Origin)-1))&amp;"","")</f>
        <v>Priya Sharma</v>
      </c>
      <c r="C36" s="59" t="n">
        <f aca="false">IFERROR(IF(INDEX(res_Name,(ROW()-ROW(load_Origin)-1))="","",INDEX(res_MaxUnits,(ROW()-ROW(load_Origin)-1))),"")</f>
        <v>0.5</v>
      </c>
      <c r="D36"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24</v>
      </c>
      <c r="E36"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F36"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G36"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H36"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I36"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8</v>
      </c>
      <c r="J36"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K36"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8</v>
      </c>
      <c r="L36"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16</v>
      </c>
      <c r="M36"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N36"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O36"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P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37" customFormat="false" ht="15" hidden="false" customHeight="false" outlineLevel="0" collapsed="false">
      <c r="B37" s="31" t="str">
        <f aca="false">IFERROR(INDEX(res_Name,(ROW()-ROW(load_Origin)-1))&amp;"","")</f>
        <v>Morgan Patel</v>
      </c>
      <c r="C37" s="59" t="n">
        <f aca="false">IFERROR(IF(INDEX(res_Name,(ROW()-ROW(load_Origin)-1))="","",INDEX(res_MaxUnits,(ROW()-ROW(load_Origin)-1))),"")</f>
        <v>1</v>
      </c>
      <c r="D37"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44.4444444444445</v>
      </c>
      <c r="E37"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35.5555555555556</v>
      </c>
      <c r="F37"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G37"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H37"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I37"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J37"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40</v>
      </c>
      <c r="K37"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8</v>
      </c>
      <c r="L37"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M37"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N37"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O37"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P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38" customFormat="false" ht="15" hidden="false" customHeight="false" outlineLevel="0" collapsed="false">
      <c r="B38" s="31" t="str">
        <f aca="false">IFERROR(INDEX(res_Name,(ROW()-ROW(load_Origin)-1))&amp;"","")</f>
        <v>Alex Chen</v>
      </c>
      <c r="C38" s="59" t="n">
        <f aca="false">IFERROR(IF(INDEX(res_Name,(ROW()-ROW(load_Origin)-1))="","",INDEX(res_MaxUnits,(ROW()-ROW(load_Origin)-1))),"")</f>
        <v>0.5</v>
      </c>
      <c r="D38"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6.66666666666667</v>
      </c>
      <c r="E38"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33.3333333333333</v>
      </c>
      <c r="F38"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G38"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H38"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I38"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J38"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K38"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L38"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M38"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N38"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O38"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P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39" customFormat="false" ht="15" hidden="false" customHeight="false" outlineLevel="0" collapsed="false">
      <c r="B39" s="31" t="str">
        <f aca="false">IFERROR(INDEX(res_Name,(ROW()-ROW(load_Origin)-1))&amp;"","")</f>
        <v>Casey Kim</v>
      </c>
      <c r="C39" s="59" t="n">
        <f aca="false">IFERROR(IF(INDEX(res_Name,(ROW()-ROW(load_Origin)-1))="","",INDEX(res_MaxUnits,(ROW()-ROW(load_Origin)-1))),"")</f>
        <v>1</v>
      </c>
      <c r="D39"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E39"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34.2857142857143</v>
      </c>
      <c r="F39"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13.7142857142857</v>
      </c>
      <c r="G39"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H39"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20</v>
      </c>
      <c r="I39"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12</v>
      </c>
      <c r="J39"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K39"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L39"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M39"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N39"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O39"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P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0" customFormat="false" ht="15" hidden="false" customHeight="false" outlineLevel="0" collapsed="false">
      <c r="B40" s="31" t="str">
        <f aca="false">IFERROR(INDEX(res_Name,(ROW()-ROW(load_Origin)-1))&amp;"","")</f>
        <v>Jordan Lee</v>
      </c>
      <c r="C40" s="59" t="n">
        <f aca="false">IFERROR(IF(INDEX(res_Name,(ROW()-ROW(load_Origin)-1))="","",INDEX(res_MaxUnits,(ROW()-ROW(load_Origin)-1))),"")</f>
        <v>1</v>
      </c>
      <c r="D40"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E40"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F40"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53.3333333333333</v>
      </c>
      <c r="G40"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66.6666666666667</v>
      </c>
      <c r="H40"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48</v>
      </c>
      <c r="I40"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J40"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K40"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24</v>
      </c>
      <c r="L40"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16</v>
      </c>
      <c r="M40"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N40"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O40"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P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1" customFormat="false" ht="15" hidden="false" customHeight="false" outlineLevel="0" collapsed="false">
      <c r="B41" s="31" t="str">
        <f aca="false">IFERROR(INDEX(res_Name,(ROW()-ROW(load_Origin)-1))&amp;"","")</f>
        <v>Sam Rivera</v>
      </c>
      <c r="C41" s="59" t="n">
        <f aca="false">IFERROR(IF(INDEX(res_Name,(ROW()-ROW(load_Origin)-1))="","",INDEX(res_MaxUnits,(ROW()-ROW(load_Origin)-1))),"")</f>
        <v>1</v>
      </c>
      <c r="D41"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E41"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F41"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48</v>
      </c>
      <c r="G41"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68.5714285714286</v>
      </c>
      <c r="H41"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27.4285714285714</v>
      </c>
      <c r="I41"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J41"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K41"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L41"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M41"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N41"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O41"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P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2" customFormat="false" ht="15" hidden="false" customHeight="false" outlineLevel="0" collapsed="false">
      <c r="B42" s="31" t="str">
        <f aca="false">IFERROR(INDEX(res_Name,(ROW()-ROW(load_Origin)-1))&amp;"","")</f>
        <v>Taylor Morgan</v>
      </c>
      <c r="C42" s="59" t="n">
        <f aca="false">IFERROR(IF(INDEX(res_Name,(ROW()-ROW(load_Origin)-1))="","",INDEX(res_MaxUnits,(ROW()-ROW(load_Origin)-1))),"")</f>
        <v>1</v>
      </c>
      <c r="D42"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E42"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F42"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G42"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H42"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32</v>
      </c>
      <c r="I42"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32</v>
      </c>
      <c r="J42"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K42"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L42"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M42"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N42"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O42" s="60"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P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3" customFormat="false" ht="15" hidden="false" customHeight="false" outlineLevel="0" collapsed="false">
      <c r="B43" s="31" t="str">
        <f aca="false">IFERROR(INDEX(res_Name,(ROW()-ROW(load_Origin)-1))&amp;"","")</f>
        <v/>
      </c>
      <c r="C43" s="59" t="str">
        <f aca="false">IFERROR(IF(INDEX(res_Name,(ROW()-ROW(load_Origin)-1))="","",INDEX(res_MaxUnits,(ROW()-ROW(load_Origin)-1))),"")</f>
        <v/>
      </c>
      <c r="D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4" customFormat="false" ht="15" hidden="false" customHeight="false" outlineLevel="0" collapsed="false">
      <c r="B44" s="31" t="str">
        <f aca="false">IFERROR(INDEX(res_Name,(ROW()-ROW(load_Origin)-1))&amp;"","")</f>
        <v/>
      </c>
      <c r="C44" s="59" t="str">
        <f aca="false">IFERROR(IF(INDEX(res_Name,(ROW()-ROW(load_Origin)-1))="","",INDEX(res_MaxUnits,(ROW()-ROW(load_Origin)-1))),"")</f>
        <v/>
      </c>
      <c r="D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5" customFormat="false" ht="15" hidden="false" customHeight="false" outlineLevel="0" collapsed="false">
      <c r="B45" s="31" t="str">
        <f aca="false">IFERROR(INDEX(res_Name,(ROW()-ROW(load_Origin)-1))&amp;"","")</f>
        <v/>
      </c>
      <c r="C45" s="59" t="str">
        <f aca="false">IFERROR(IF(INDEX(res_Name,(ROW()-ROW(load_Origin)-1))="","",INDEX(res_MaxUnits,(ROW()-ROW(load_Origin)-1))),"")</f>
        <v/>
      </c>
      <c r="D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6" customFormat="false" ht="15" hidden="false" customHeight="false" outlineLevel="0" collapsed="false">
      <c r="B46" s="31" t="str">
        <f aca="false">IFERROR(INDEX(res_Name,(ROW()-ROW(load_Origin)-1))&amp;"","")</f>
        <v/>
      </c>
      <c r="C46" s="59" t="str">
        <f aca="false">IFERROR(IF(INDEX(res_Name,(ROW()-ROW(load_Origin)-1))="","",INDEX(res_MaxUnits,(ROW()-ROW(load_Origin)-1))),"")</f>
        <v/>
      </c>
      <c r="D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7" customFormat="false" ht="15" hidden="false" customHeight="false" outlineLevel="0" collapsed="false">
      <c r="B47" s="31" t="str">
        <f aca="false">IFERROR(INDEX(res_Name,(ROW()-ROW(load_Origin)-1))&amp;"","")</f>
        <v/>
      </c>
      <c r="C47" s="59" t="str">
        <f aca="false">IFERROR(IF(INDEX(res_Name,(ROW()-ROW(load_Origin)-1))="","",INDEX(res_MaxUnits,(ROW()-ROW(load_Origin)-1))),"")</f>
        <v/>
      </c>
      <c r="D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8" customFormat="false" ht="15" hidden="false" customHeight="false" outlineLevel="0" collapsed="false">
      <c r="B48" s="31" t="str">
        <f aca="false">IFERROR(INDEX(res_Name,(ROW()-ROW(load_Origin)-1))&amp;"","")</f>
        <v/>
      </c>
      <c r="C48" s="59" t="str">
        <f aca="false">IFERROR(IF(INDEX(res_Name,(ROW()-ROW(load_Origin)-1))="","",INDEX(res_MaxUnits,(ROW()-ROW(load_Origin)-1))),"")</f>
        <v/>
      </c>
      <c r="D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9" customFormat="false" ht="15" hidden="false" customHeight="false" outlineLevel="0" collapsed="false">
      <c r="B49" s="31" t="str">
        <f aca="false">IFERROR(INDEX(res_Name,(ROW()-ROW(load_Origin)-1))&amp;"","")</f>
        <v/>
      </c>
      <c r="C49" s="59" t="str">
        <f aca="false">IFERROR(IF(INDEX(res_Name,(ROW()-ROW(load_Origin)-1))="","",INDEX(res_MaxUnits,(ROW()-ROW(load_Origin)-1))),"")</f>
        <v/>
      </c>
      <c r="D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0" customFormat="false" ht="15" hidden="false" customHeight="false" outlineLevel="0" collapsed="false">
      <c r="B50" s="31" t="str">
        <f aca="false">IFERROR(INDEX(res_Name,(ROW()-ROW(load_Origin)-1))&amp;"","")</f>
        <v/>
      </c>
      <c r="C50" s="59" t="str">
        <f aca="false">IFERROR(IF(INDEX(res_Name,(ROW()-ROW(load_Origin)-1))="","",INDEX(res_MaxUnits,(ROW()-ROW(load_Origin)-1))),"")</f>
        <v/>
      </c>
      <c r="D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1" customFormat="false" ht="15" hidden="false" customHeight="false" outlineLevel="0" collapsed="false">
      <c r="B51" s="31" t="str">
        <f aca="false">IFERROR(INDEX(res_Name,(ROW()-ROW(load_Origin)-1))&amp;"","")</f>
        <v/>
      </c>
      <c r="C51" s="59" t="str">
        <f aca="false">IFERROR(IF(INDEX(res_Name,(ROW()-ROW(load_Origin)-1))="","",INDEX(res_MaxUnits,(ROW()-ROW(load_Origin)-1))),"")</f>
        <v/>
      </c>
      <c r="D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2" customFormat="false" ht="15" hidden="false" customHeight="false" outlineLevel="0" collapsed="false">
      <c r="B52" s="31" t="str">
        <f aca="false">IFERROR(INDEX(res_Name,(ROW()-ROW(load_Origin)-1))&amp;"","")</f>
        <v/>
      </c>
      <c r="C52" s="59" t="str">
        <f aca="false">IFERROR(IF(INDEX(res_Name,(ROW()-ROW(load_Origin)-1))="","",INDEX(res_MaxUnits,(ROW()-ROW(load_Origin)-1))),"")</f>
        <v/>
      </c>
      <c r="D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3" customFormat="false" ht="15" hidden="false" customHeight="false" outlineLevel="0" collapsed="false">
      <c r="B53" s="31" t="str">
        <f aca="false">IFERROR(INDEX(res_Name,(ROW()-ROW(load_Origin)-1))&amp;"","")</f>
        <v/>
      </c>
      <c r="C53" s="59" t="str">
        <f aca="false">IFERROR(IF(INDEX(res_Name,(ROW()-ROW(load_Origin)-1))="","",INDEX(res_MaxUnits,(ROW()-ROW(load_Origin)-1))),"")</f>
        <v/>
      </c>
      <c r="D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4" customFormat="false" ht="15" hidden="false" customHeight="false" outlineLevel="0" collapsed="false">
      <c r="B54" s="31" t="str">
        <f aca="false">IFERROR(INDEX(res_Name,(ROW()-ROW(load_Origin)-1))&amp;"","")</f>
        <v/>
      </c>
      <c r="C54" s="59" t="str">
        <f aca="false">IFERROR(IF(INDEX(res_Name,(ROW()-ROW(load_Origin)-1))="","",INDEX(res_MaxUnits,(ROW()-ROW(load_Origin)-1))),"")</f>
        <v/>
      </c>
      <c r="D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5" customFormat="false" ht="15" hidden="false" customHeight="false" outlineLevel="0" collapsed="false">
      <c r="B55" s="31" t="str">
        <f aca="false">IFERROR(INDEX(res_Name,(ROW()-ROW(load_Origin)-1))&amp;"","")</f>
        <v/>
      </c>
      <c r="C55" s="59" t="str">
        <f aca="false">IFERROR(IF(INDEX(res_Name,(ROW()-ROW(load_Origin)-1))="","",INDEX(res_MaxUnits,(ROW()-ROW(load_Origin)-1))),"")</f>
        <v/>
      </c>
      <c r="D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6" customFormat="false" ht="15" hidden="false" customHeight="false" outlineLevel="0" collapsed="false">
      <c r="B56" s="31" t="str">
        <f aca="false">IFERROR(INDEX(res_Name,(ROW()-ROW(load_Origin)-1))&amp;"","")</f>
        <v/>
      </c>
      <c r="C56" s="59" t="str">
        <f aca="false">IFERROR(IF(INDEX(res_Name,(ROW()-ROW(load_Origin)-1))="","",INDEX(res_MaxUnits,(ROW()-ROW(load_Origin)-1))),"")</f>
        <v/>
      </c>
      <c r="D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7" customFormat="false" ht="15" hidden="false" customHeight="false" outlineLevel="0" collapsed="false">
      <c r="B57" s="31" t="str">
        <f aca="false">IFERROR(INDEX(res_Name,(ROW()-ROW(load_Origin)-1))&amp;"","")</f>
        <v/>
      </c>
      <c r="C57" s="59" t="str">
        <f aca="false">IFERROR(IF(INDEX(res_Name,(ROW()-ROW(load_Origin)-1))="","",INDEX(res_MaxUnits,(ROW()-ROW(load_Origin)-1))),"")</f>
        <v/>
      </c>
      <c r="D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8" customFormat="false" ht="15" hidden="false" customHeight="false" outlineLevel="0" collapsed="false">
      <c r="B58" s="31" t="str">
        <f aca="false">IFERROR(INDEX(res_Name,(ROW()-ROW(load_Origin)-1))&amp;"","")</f>
        <v/>
      </c>
      <c r="C58" s="59" t="str">
        <f aca="false">IFERROR(IF(INDEX(res_Name,(ROW()-ROW(load_Origin)-1))="","",INDEX(res_MaxUnits,(ROW()-ROW(load_Origin)-1))),"")</f>
        <v/>
      </c>
      <c r="D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9" customFormat="false" ht="15" hidden="false" customHeight="false" outlineLevel="0" collapsed="false">
      <c r="B59" s="31" t="str">
        <f aca="false">IFERROR(INDEX(res_Name,(ROW()-ROW(load_Origin)-1))&amp;"","")</f>
        <v/>
      </c>
      <c r="C59" s="59" t="str">
        <f aca="false">IFERROR(IF(INDEX(res_Name,(ROW()-ROW(load_Origin)-1))="","",INDEX(res_MaxUnits,(ROW()-ROW(load_Origin)-1))),"")</f>
        <v/>
      </c>
      <c r="D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60" customFormat="false" ht="15" hidden="false" customHeight="false" outlineLevel="0" collapsed="false">
      <c r="B60" s="31" t="str">
        <f aca="false">IFERROR(INDEX(res_Name,(ROW()-ROW(load_Origin)-1))&amp;"","")</f>
        <v/>
      </c>
      <c r="C60" s="59" t="str">
        <f aca="false">IFERROR(IF(INDEX(res_Name,(ROW()-ROW(load_Origin)-1))="","",INDEX(res_MaxUnits,(ROW()-ROW(load_Origin)-1))),"")</f>
        <v/>
      </c>
      <c r="D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63" customFormat="false" ht="15" hidden="false" customHeight="false" outlineLevel="0" collapsed="false">
      <c r="A63" s="55" t="s">
        <v>707</v>
      </c>
    </row>
    <row r="64" customFormat="false" ht="15" hidden="false" customHeight="false" outlineLevel="0" collapsed="false">
      <c r="B64" s="9" t="s">
        <v>218</v>
      </c>
      <c r="C64" s="9" t="s">
        <v>224</v>
      </c>
      <c r="D64" s="9" t="str">
        <f aca="false">IFERROR(INDEX(spr_Name,(COLUMN()-COLUMN(util_Origin)-1))&amp;"","")</f>
        <v>Sprint 1</v>
      </c>
      <c r="E64" s="9" t="str">
        <f aca="false">IFERROR(INDEX(spr_Name,(COLUMN()-COLUMN(util_Origin)-1))&amp;"","")</f>
        <v>Sprint 2</v>
      </c>
      <c r="F64" s="9" t="str">
        <f aca="false">IFERROR(INDEX(spr_Name,(COLUMN()-COLUMN(util_Origin)-1))&amp;"","")</f>
        <v>Sprint 3</v>
      </c>
      <c r="G64" s="9" t="str">
        <f aca="false">IFERROR(INDEX(spr_Name,(COLUMN()-COLUMN(util_Origin)-1))&amp;"","")</f>
        <v>Sprint 4</v>
      </c>
      <c r="H64" s="9" t="str">
        <f aca="false">IFERROR(INDEX(spr_Name,(COLUMN()-COLUMN(util_Origin)-1))&amp;"","")</f>
        <v>Sprint 5</v>
      </c>
      <c r="I64" s="9" t="str">
        <f aca="false">IFERROR(INDEX(spr_Name,(COLUMN()-COLUMN(util_Origin)-1))&amp;"","")</f>
        <v>Sprint 6</v>
      </c>
      <c r="J64" s="9" t="str">
        <f aca="false">IFERROR(INDEX(spr_Name,(COLUMN()-COLUMN(util_Origin)-1))&amp;"","")</f>
        <v>Sprint 7</v>
      </c>
      <c r="K64" s="9" t="str">
        <f aca="false">IFERROR(INDEX(spr_Name,(COLUMN()-COLUMN(util_Origin)-1))&amp;"","")</f>
        <v>Sprint 8</v>
      </c>
      <c r="L64" s="9" t="str">
        <f aca="false">IFERROR(INDEX(spr_Name,(COLUMN()-COLUMN(util_Origin)-1))&amp;"","")</f>
        <v>Sprint 9</v>
      </c>
      <c r="M64" s="9" t="str">
        <f aca="false">IFERROR(INDEX(spr_Name,(COLUMN()-COLUMN(util_Origin)-1))&amp;"","")</f>
        <v>Sprint 10</v>
      </c>
      <c r="N64" s="9" t="str">
        <f aca="false">IFERROR(INDEX(spr_Name,(COLUMN()-COLUMN(util_Origin)-1))&amp;"","")</f>
        <v>Sprint 11</v>
      </c>
      <c r="O64" s="9" t="str">
        <f aca="false">IFERROR(INDEX(spr_Name,(COLUMN()-COLUMN(util_Origin)-1))&amp;"","")</f>
        <v>Sprint 12</v>
      </c>
      <c r="P64" s="9" t="str">
        <f aca="false">IFERROR(INDEX(spr_Name,(COLUMN()-COLUMN(util_Origin)-1))&amp;"","")</f>
        <v/>
      </c>
      <c r="Q64" s="9" t="str">
        <f aca="false">IFERROR(INDEX(spr_Name,(COLUMN()-COLUMN(util_Origin)-1))&amp;"","")</f>
        <v/>
      </c>
      <c r="R64" s="9" t="str">
        <f aca="false">IFERROR(INDEX(spr_Name,(COLUMN()-COLUMN(util_Origin)-1))&amp;"","")</f>
        <v/>
      </c>
      <c r="S64" s="9" t="str">
        <f aca="false">IFERROR(INDEX(spr_Name,(COLUMN()-COLUMN(util_Origin)-1))&amp;"","")</f>
        <v/>
      </c>
      <c r="T64" s="9" t="str">
        <f aca="false">IFERROR(INDEX(spr_Name,(COLUMN()-COLUMN(util_Origin)-1))&amp;"","")</f>
        <v/>
      </c>
      <c r="U64" s="9" t="str">
        <f aca="false">IFERROR(INDEX(spr_Name,(COLUMN()-COLUMN(util_Origin)-1))&amp;"","")</f>
        <v/>
      </c>
      <c r="V64" s="9" t="str">
        <f aca="false">IFERROR(INDEX(spr_Name,(COLUMN()-COLUMN(util_Origin)-1))&amp;"","")</f>
        <v/>
      </c>
      <c r="W64" s="9" t="str">
        <f aca="false">IFERROR(INDEX(spr_Name,(COLUMN()-COLUMN(util_Origin)-1))&amp;"","")</f>
        <v/>
      </c>
      <c r="X64" s="9" t="str">
        <f aca="false">IFERROR(INDEX(spr_Name,(COLUMN()-COLUMN(util_Origin)-1))&amp;"","")</f>
        <v/>
      </c>
      <c r="Y64" s="9" t="str">
        <f aca="false">IFERROR(INDEX(spr_Name,(COLUMN()-COLUMN(util_Origin)-1))&amp;"","")</f>
        <v/>
      </c>
      <c r="Z64" s="9" t="str">
        <f aca="false">IFERROR(INDEX(spr_Name,(COLUMN()-COLUMN(util_Origin)-1))&amp;"","")</f>
        <v/>
      </c>
      <c r="AA64" s="9" t="str">
        <f aca="false">IFERROR(INDEX(spr_Name,(COLUMN()-COLUMN(util_Origin)-1))&amp;"","")</f>
        <v/>
      </c>
      <c r="AB64" s="9" t="str">
        <f aca="false">IFERROR(INDEX(spr_Name,(COLUMN()-COLUMN(util_Origin)-1))&amp;"","")</f>
        <v/>
      </c>
      <c r="AC64" s="9" t="str">
        <f aca="false">IFERROR(INDEX(spr_Name,(COLUMN()-COLUMN(util_Origin)-1))&amp;"","")</f>
        <v/>
      </c>
    </row>
    <row r="65" customFormat="false" ht="15" hidden="false" customHeight="false" outlineLevel="0" collapsed="false">
      <c r="B65" s="57" t="s">
        <v>706</v>
      </c>
      <c r="D65" s="126" t="n">
        <f aca="false">IFERROR(IF(INDEX(spr_Name,(COLUMN()-COLUMN(util_Origin)-1))="","",INDEX(spr_Start,(COLUMN()-COLUMN(util_Origin)-1))),"")</f>
        <v>46272</v>
      </c>
      <c r="E65" s="126" t="n">
        <f aca="false">IFERROR(IF(INDEX(spr_Name,(COLUMN()-COLUMN(util_Origin)-1))="","",INDEX(spr_Start,(COLUMN()-COLUMN(util_Origin)-1))),"")</f>
        <v>46286</v>
      </c>
      <c r="F65" s="126" t="n">
        <f aca="false">IFERROR(IF(INDEX(spr_Name,(COLUMN()-COLUMN(util_Origin)-1))="","",INDEX(spr_Start,(COLUMN()-COLUMN(util_Origin)-1))),"")</f>
        <v>46300</v>
      </c>
      <c r="G65" s="126" t="n">
        <f aca="false">IFERROR(IF(INDEX(spr_Name,(COLUMN()-COLUMN(util_Origin)-1))="","",INDEX(spr_Start,(COLUMN()-COLUMN(util_Origin)-1))),"")</f>
        <v>46314</v>
      </c>
      <c r="H65" s="126" t="n">
        <f aca="false">IFERROR(IF(INDEX(spr_Name,(COLUMN()-COLUMN(util_Origin)-1))="","",INDEX(spr_Start,(COLUMN()-COLUMN(util_Origin)-1))),"")</f>
        <v>46328</v>
      </c>
      <c r="I65" s="126" t="n">
        <f aca="false">IFERROR(IF(INDEX(spr_Name,(COLUMN()-COLUMN(util_Origin)-1))="","",INDEX(spr_Start,(COLUMN()-COLUMN(util_Origin)-1))),"")</f>
        <v>46342</v>
      </c>
      <c r="J65" s="126" t="n">
        <f aca="false">IFERROR(IF(INDEX(spr_Name,(COLUMN()-COLUMN(util_Origin)-1))="","",INDEX(spr_Start,(COLUMN()-COLUMN(util_Origin)-1))),"")</f>
        <v>46356</v>
      </c>
      <c r="K65" s="126" t="n">
        <f aca="false">IFERROR(IF(INDEX(spr_Name,(COLUMN()-COLUMN(util_Origin)-1))="","",INDEX(spr_Start,(COLUMN()-COLUMN(util_Origin)-1))),"")</f>
        <v>46370</v>
      </c>
      <c r="L65" s="126" t="n">
        <f aca="false">IFERROR(IF(INDEX(spr_Name,(COLUMN()-COLUMN(util_Origin)-1))="","",INDEX(spr_Start,(COLUMN()-COLUMN(util_Origin)-1))),"")</f>
        <v>46384</v>
      </c>
      <c r="M65" s="126" t="n">
        <f aca="false">IFERROR(IF(INDEX(spr_Name,(COLUMN()-COLUMN(util_Origin)-1))="","",INDEX(spr_Start,(COLUMN()-COLUMN(util_Origin)-1))),"")</f>
        <v>46398</v>
      </c>
      <c r="N65" s="126" t="n">
        <f aca="false">IFERROR(IF(INDEX(spr_Name,(COLUMN()-COLUMN(util_Origin)-1))="","",INDEX(spr_Start,(COLUMN()-COLUMN(util_Origin)-1))),"")</f>
        <v>46412</v>
      </c>
      <c r="O65" s="126" t="n">
        <f aca="false">IFERROR(IF(INDEX(spr_Name,(COLUMN()-COLUMN(util_Origin)-1))="","",INDEX(spr_Start,(COLUMN()-COLUMN(util_Origin)-1))),"")</f>
        <v>46426</v>
      </c>
      <c r="P65" s="126" t="str">
        <f aca="false">IFERROR(IF(INDEX(spr_Name,(COLUMN()-COLUMN(util_Origin)-1))="","",INDEX(spr_Start,(COLUMN()-COLUMN(util_Origin)-1))),"")</f>
        <v/>
      </c>
      <c r="Q65" s="126" t="str">
        <f aca="false">IFERROR(IF(INDEX(spr_Name,(COLUMN()-COLUMN(util_Origin)-1))="","",INDEX(spr_Start,(COLUMN()-COLUMN(util_Origin)-1))),"")</f>
        <v/>
      </c>
      <c r="R65" s="126" t="str">
        <f aca="false">IFERROR(IF(INDEX(spr_Name,(COLUMN()-COLUMN(util_Origin)-1))="","",INDEX(spr_Start,(COLUMN()-COLUMN(util_Origin)-1))),"")</f>
        <v/>
      </c>
      <c r="S65" s="126" t="str">
        <f aca="false">IFERROR(IF(INDEX(spr_Name,(COLUMN()-COLUMN(util_Origin)-1))="","",INDEX(spr_Start,(COLUMN()-COLUMN(util_Origin)-1))),"")</f>
        <v/>
      </c>
      <c r="T65" s="126" t="str">
        <f aca="false">IFERROR(IF(INDEX(spr_Name,(COLUMN()-COLUMN(util_Origin)-1))="","",INDEX(spr_Start,(COLUMN()-COLUMN(util_Origin)-1))),"")</f>
        <v/>
      </c>
      <c r="U65" s="126" t="str">
        <f aca="false">IFERROR(IF(INDEX(spr_Name,(COLUMN()-COLUMN(util_Origin)-1))="","",INDEX(spr_Start,(COLUMN()-COLUMN(util_Origin)-1))),"")</f>
        <v/>
      </c>
      <c r="V65" s="126" t="str">
        <f aca="false">IFERROR(IF(INDEX(spr_Name,(COLUMN()-COLUMN(util_Origin)-1))="","",INDEX(spr_Start,(COLUMN()-COLUMN(util_Origin)-1))),"")</f>
        <v/>
      </c>
      <c r="W65" s="126" t="str">
        <f aca="false">IFERROR(IF(INDEX(spr_Name,(COLUMN()-COLUMN(util_Origin)-1))="","",INDEX(spr_Start,(COLUMN()-COLUMN(util_Origin)-1))),"")</f>
        <v/>
      </c>
      <c r="X65" s="126" t="str">
        <f aca="false">IFERROR(IF(INDEX(spr_Name,(COLUMN()-COLUMN(util_Origin)-1))="","",INDEX(spr_Start,(COLUMN()-COLUMN(util_Origin)-1))),"")</f>
        <v/>
      </c>
      <c r="Y65" s="126" t="str">
        <f aca="false">IFERROR(IF(INDEX(spr_Name,(COLUMN()-COLUMN(util_Origin)-1))="","",INDEX(spr_Start,(COLUMN()-COLUMN(util_Origin)-1))),"")</f>
        <v/>
      </c>
      <c r="Z65" s="126" t="str">
        <f aca="false">IFERROR(IF(INDEX(spr_Name,(COLUMN()-COLUMN(util_Origin)-1))="","",INDEX(spr_Start,(COLUMN()-COLUMN(util_Origin)-1))),"")</f>
        <v/>
      </c>
      <c r="AA65" s="126" t="str">
        <f aca="false">IFERROR(IF(INDEX(spr_Name,(COLUMN()-COLUMN(util_Origin)-1))="","",INDEX(spr_Start,(COLUMN()-COLUMN(util_Origin)-1))),"")</f>
        <v/>
      </c>
      <c r="AB65" s="126" t="str">
        <f aca="false">IFERROR(IF(INDEX(spr_Name,(COLUMN()-COLUMN(util_Origin)-1))="","",INDEX(spr_Start,(COLUMN()-COLUMN(util_Origin)-1))),"")</f>
        <v/>
      </c>
      <c r="AC65" s="126" t="str">
        <f aca="false">IFERROR(IF(INDEX(spr_Name,(COLUMN()-COLUMN(util_Origin)-1))="","",INDEX(spr_Start,(COLUMN()-COLUMN(util_Origin)-1))),"")</f>
        <v/>
      </c>
    </row>
    <row r="66" customFormat="false" ht="15" hidden="false" customHeight="false" outlineLevel="0" collapsed="false">
      <c r="B66" s="31" t="str">
        <f aca="false">IFERROR(INDEX(res_Name,(ROW()-ROW(util_Origin)-1))&amp;"","")</f>
        <v>Priya Sharma</v>
      </c>
      <c r="C66" s="59" t="n">
        <f aca="false">IFERROR(IF(INDEX(res_Name,(ROW()-ROW(util_Origin)-1))="","",INDEX(res_MaxUnits,(ROW()-ROW(util_Origin)-1))),"")</f>
        <v>0.5</v>
      </c>
      <c r="D66"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0.6</v>
      </c>
      <c r="E66"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F66"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G66"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H66"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I66"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0.2</v>
      </c>
      <c r="J66"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K66"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0.25</v>
      </c>
      <c r="L66"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0.5</v>
      </c>
      <c r="M66"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N66"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O66"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P6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6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6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6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6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6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6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6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6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6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6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6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6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6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67" customFormat="false" ht="15" hidden="false" customHeight="false" outlineLevel="0" collapsed="false">
      <c r="B67" s="31" t="str">
        <f aca="false">IFERROR(INDEX(res_Name,(ROW()-ROW(util_Origin)-1))&amp;"","")</f>
        <v>Morgan Patel</v>
      </c>
      <c r="C67" s="59" t="n">
        <f aca="false">IFERROR(IF(INDEX(res_Name,(ROW()-ROW(util_Origin)-1))="","",INDEX(res_MaxUnits,(ROW()-ROW(util_Origin)-1))),"")</f>
        <v>1</v>
      </c>
      <c r="D67"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0.555555555555556</v>
      </c>
      <c r="E67"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0.444444444444444</v>
      </c>
      <c r="F67"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G67"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H67"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I67"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J67"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0.5</v>
      </c>
      <c r="K67"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0.125</v>
      </c>
      <c r="L67"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M67"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N67"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O67"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P6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6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6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6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6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6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6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6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6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6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6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6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6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6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68" customFormat="false" ht="15" hidden="false" customHeight="false" outlineLevel="0" collapsed="false">
      <c r="B68" s="31" t="str">
        <f aca="false">IFERROR(INDEX(res_Name,(ROW()-ROW(util_Origin)-1))&amp;"","")</f>
        <v>Alex Chen</v>
      </c>
      <c r="C68" s="59" t="n">
        <f aca="false">IFERROR(IF(INDEX(res_Name,(ROW()-ROW(util_Origin)-1))="","",INDEX(res_MaxUnits,(ROW()-ROW(util_Origin)-1))),"")</f>
        <v>0.5</v>
      </c>
      <c r="D68"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0.166666666666667</v>
      </c>
      <c r="E68"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0.833333333333333</v>
      </c>
      <c r="F68"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G68"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H68"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I68"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J68"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K68"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L68"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M68"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N68"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O68"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P6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6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6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6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6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6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6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6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6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6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6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6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6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6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69" customFormat="false" ht="15" hidden="false" customHeight="false" outlineLevel="0" collapsed="false">
      <c r="B69" s="31" t="str">
        <f aca="false">IFERROR(INDEX(res_Name,(ROW()-ROW(util_Origin)-1))&amp;"","")</f>
        <v>Casey Kim</v>
      </c>
      <c r="C69" s="59" t="n">
        <f aca="false">IFERROR(IF(INDEX(res_Name,(ROW()-ROW(util_Origin)-1))="","",INDEX(res_MaxUnits,(ROW()-ROW(util_Origin)-1))),"")</f>
        <v>1</v>
      </c>
      <c r="D69"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E69"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0.428571428571429</v>
      </c>
      <c r="F69"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0.171428571428571</v>
      </c>
      <c r="G69"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H69"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0.25</v>
      </c>
      <c r="I69"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0.15</v>
      </c>
      <c r="J69"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K69"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L69"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M69"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N69"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O69"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P6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6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6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6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6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6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6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6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6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6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6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6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6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6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70" customFormat="false" ht="15" hidden="false" customHeight="false" outlineLevel="0" collapsed="false">
      <c r="B70" s="31" t="str">
        <f aca="false">IFERROR(INDEX(res_Name,(ROW()-ROW(util_Origin)-1))&amp;"","")</f>
        <v>Jordan Lee</v>
      </c>
      <c r="C70" s="59" t="n">
        <f aca="false">IFERROR(IF(INDEX(res_Name,(ROW()-ROW(util_Origin)-1))="","",INDEX(res_MaxUnits,(ROW()-ROW(util_Origin)-1))),"")</f>
        <v>1</v>
      </c>
      <c r="D70"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E70"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F70"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0.666666666666666</v>
      </c>
      <c r="G70"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0.833333333333334</v>
      </c>
      <c r="H70"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0.6</v>
      </c>
      <c r="I70"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J70"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K70"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0.375</v>
      </c>
      <c r="L70"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0.25</v>
      </c>
      <c r="M70"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N70"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O70"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P7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7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7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7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7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7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7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7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7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7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7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7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7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7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71" customFormat="false" ht="15" hidden="false" customHeight="false" outlineLevel="0" collapsed="false">
      <c r="B71" s="31" t="str">
        <f aca="false">IFERROR(INDEX(res_Name,(ROW()-ROW(util_Origin)-1))&amp;"","")</f>
        <v>Sam Rivera</v>
      </c>
      <c r="C71" s="59" t="n">
        <f aca="false">IFERROR(IF(INDEX(res_Name,(ROW()-ROW(util_Origin)-1))="","",INDEX(res_MaxUnits,(ROW()-ROW(util_Origin)-1))),"")</f>
        <v>1</v>
      </c>
      <c r="D71"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E71"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F71"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0.6</v>
      </c>
      <c r="G71"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0.857142857142857</v>
      </c>
      <c r="H71"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0.342857142857143</v>
      </c>
      <c r="I71"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J71"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K71"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L71"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M71"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N71"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O71"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P7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7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7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7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7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7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7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7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7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7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7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7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7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7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72" customFormat="false" ht="15" hidden="false" customHeight="false" outlineLevel="0" collapsed="false">
      <c r="B72" s="31" t="str">
        <f aca="false">IFERROR(INDEX(res_Name,(ROW()-ROW(util_Origin)-1))&amp;"","")</f>
        <v>Taylor Morgan</v>
      </c>
      <c r="C72" s="59" t="n">
        <f aca="false">IFERROR(IF(INDEX(res_Name,(ROW()-ROW(util_Origin)-1))="","",INDEX(res_MaxUnits,(ROW()-ROW(util_Origin)-1))),"")</f>
        <v>1</v>
      </c>
      <c r="D72"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E72"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F72"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G72"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H72"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0.4</v>
      </c>
      <c r="I72"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0.4</v>
      </c>
      <c r="J72"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K72"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L72"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M72"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N72"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O72" s="62" t="n">
        <f aca="false">IFERROR(IF(OR(INDEX(res_Name,(ROW()-ROW(util_Origin)-1))="",INDEX(spr_Name,(COLUMN()-COLUMN(util_Origin)-1))="",N(INDEX(res_MaxUnits,(ROW()-ROW(util_Origin)-1)))=0),"",INDEX(load_Grid,(ROW()-ROW(util_Origin)-1),(COLUMN()-COLUMN(util_Origin)-1))/(INDEX(res_MaxUnits,(ROW()-ROW(util_Origin)-1))*HoursPerDay*INDEX(spr_WorkDays,(COLUMN()-COLUMN(util_Origin)-1)))),"")</f>
        <v>0</v>
      </c>
      <c r="P7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7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7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7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7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7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7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7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7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7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7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7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7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7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73" customFormat="false" ht="15" hidden="false" customHeight="false" outlineLevel="0" collapsed="false">
      <c r="B73" s="31" t="str">
        <f aca="false">IFERROR(INDEX(res_Name,(ROW()-ROW(util_Origin)-1))&amp;"","")</f>
        <v/>
      </c>
      <c r="C73" s="59" t="str">
        <f aca="false">IFERROR(IF(INDEX(res_Name,(ROW()-ROW(util_Origin)-1))="","",INDEX(res_MaxUnits,(ROW()-ROW(util_Origin)-1))),"")</f>
        <v/>
      </c>
      <c r="D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7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74" customFormat="false" ht="15" hidden="false" customHeight="false" outlineLevel="0" collapsed="false">
      <c r="B74" s="31" t="str">
        <f aca="false">IFERROR(INDEX(res_Name,(ROW()-ROW(util_Origin)-1))&amp;"","")</f>
        <v/>
      </c>
      <c r="C74" s="59" t="str">
        <f aca="false">IFERROR(IF(INDEX(res_Name,(ROW()-ROW(util_Origin)-1))="","",INDEX(res_MaxUnits,(ROW()-ROW(util_Origin)-1))),"")</f>
        <v/>
      </c>
      <c r="D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7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75" customFormat="false" ht="15" hidden="false" customHeight="false" outlineLevel="0" collapsed="false">
      <c r="B75" s="31" t="str">
        <f aca="false">IFERROR(INDEX(res_Name,(ROW()-ROW(util_Origin)-1))&amp;"","")</f>
        <v/>
      </c>
      <c r="C75" s="59" t="str">
        <f aca="false">IFERROR(IF(INDEX(res_Name,(ROW()-ROW(util_Origin)-1))="","",INDEX(res_MaxUnits,(ROW()-ROW(util_Origin)-1))),"")</f>
        <v/>
      </c>
      <c r="D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7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76" customFormat="false" ht="15" hidden="false" customHeight="false" outlineLevel="0" collapsed="false">
      <c r="B76" s="31" t="str">
        <f aca="false">IFERROR(INDEX(res_Name,(ROW()-ROW(util_Origin)-1))&amp;"","")</f>
        <v/>
      </c>
      <c r="C76" s="59" t="str">
        <f aca="false">IFERROR(IF(INDEX(res_Name,(ROW()-ROW(util_Origin)-1))="","",INDEX(res_MaxUnits,(ROW()-ROW(util_Origin)-1))),"")</f>
        <v/>
      </c>
      <c r="D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7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77" customFormat="false" ht="15" hidden="false" customHeight="false" outlineLevel="0" collapsed="false">
      <c r="B77" s="31" t="str">
        <f aca="false">IFERROR(INDEX(res_Name,(ROW()-ROW(util_Origin)-1))&amp;"","")</f>
        <v/>
      </c>
      <c r="C77" s="59" t="str">
        <f aca="false">IFERROR(IF(INDEX(res_Name,(ROW()-ROW(util_Origin)-1))="","",INDEX(res_MaxUnits,(ROW()-ROW(util_Origin)-1))),"")</f>
        <v/>
      </c>
      <c r="D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7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78" customFormat="false" ht="15" hidden="false" customHeight="false" outlineLevel="0" collapsed="false">
      <c r="B78" s="31" t="str">
        <f aca="false">IFERROR(INDEX(res_Name,(ROW()-ROW(util_Origin)-1))&amp;"","")</f>
        <v/>
      </c>
      <c r="C78" s="59" t="str">
        <f aca="false">IFERROR(IF(INDEX(res_Name,(ROW()-ROW(util_Origin)-1))="","",INDEX(res_MaxUnits,(ROW()-ROW(util_Origin)-1))),"")</f>
        <v/>
      </c>
      <c r="D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7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79" customFormat="false" ht="15" hidden="false" customHeight="false" outlineLevel="0" collapsed="false">
      <c r="B79" s="31" t="str">
        <f aca="false">IFERROR(INDEX(res_Name,(ROW()-ROW(util_Origin)-1))&amp;"","")</f>
        <v/>
      </c>
      <c r="C79" s="59" t="str">
        <f aca="false">IFERROR(IF(INDEX(res_Name,(ROW()-ROW(util_Origin)-1))="","",INDEX(res_MaxUnits,(ROW()-ROW(util_Origin)-1))),"")</f>
        <v/>
      </c>
      <c r="D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7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80" customFormat="false" ht="15" hidden="false" customHeight="false" outlineLevel="0" collapsed="false">
      <c r="B80" s="31" t="str">
        <f aca="false">IFERROR(INDEX(res_Name,(ROW()-ROW(util_Origin)-1))&amp;"","")</f>
        <v/>
      </c>
      <c r="C80" s="59" t="str">
        <f aca="false">IFERROR(IF(INDEX(res_Name,(ROW()-ROW(util_Origin)-1))="","",INDEX(res_MaxUnits,(ROW()-ROW(util_Origin)-1))),"")</f>
        <v/>
      </c>
      <c r="D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8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81" customFormat="false" ht="15" hidden="false" customHeight="false" outlineLevel="0" collapsed="false">
      <c r="B81" s="31" t="str">
        <f aca="false">IFERROR(INDEX(res_Name,(ROW()-ROW(util_Origin)-1))&amp;"","")</f>
        <v/>
      </c>
      <c r="C81" s="59" t="str">
        <f aca="false">IFERROR(IF(INDEX(res_Name,(ROW()-ROW(util_Origin)-1))="","",INDEX(res_MaxUnits,(ROW()-ROW(util_Origin)-1))),"")</f>
        <v/>
      </c>
      <c r="D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81"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82" customFormat="false" ht="15" hidden="false" customHeight="false" outlineLevel="0" collapsed="false">
      <c r="B82" s="31" t="str">
        <f aca="false">IFERROR(INDEX(res_Name,(ROW()-ROW(util_Origin)-1))&amp;"","")</f>
        <v/>
      </c>
      <c r="C82" s="59" t="str">
        <f aca="false">IFERROR(IF(INDEX(res_Name,(ROW()-ROW(util_Origin)-1))="","",INDEX(res_MaxUnits,(ROW()-ROW(util_Origin)-1))),"")</f>
        <v/>
      </c>
      <c r="D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82"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83" customFormat="false" ht="15" hidden="false" customHeight="false" outlineLevel="0" collapsed="false">
      <c r="B83" s="31" t="str">
        <f aca="false">IFERROR(INDEX(res_Name,(ROW()-ROW(util_Origin)-1))&amp;"","")</f>
        <v/>
      </c>
      <c r="C83" s="59" t="str">
        <f aca="false">IFERROR(IF(INDEX(res_Name,(ROW()-ROW(util_Origin)-1))="","",INDEX(res_MaxUnits,(ROW()-ROW(util_Origin)-1))),"")</f>
        <v/>
      </c>
      <c r="D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83"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84" customFormat="false" ht="15" hidden="false" customHeight="false" outlineLevel="0" collapsed="false">
      <c r="B84" s="31" t="str">
        <f aca="false">IFERROR(INDEX(res_Name,(ROW()-ROW(util_Origin)-1))&amp;"","")</f>
        <v/>
      </c>
      <c r="C84" s="59" t="str">
        <f aca="false">IFERROR(IF(INDEX(res_Name,(ROW()-ROW(util_Origin)-1))="","",INDEX(res_MaxUnits,(ROW()-ROW(util_Origin)-1))),"")</f>
        <v/>
      </c>
      <c r="D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84"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85" customFormat="false" ht="15" hidden="false" customHeight="false" outlineLevel="0" collapsed="false">
      <c r="B85" s="31" t="str">
        <f aca="false">IFERROR(INDEX(res_Name,(ROW()-ROW(util_Origin)-1))&amp;"","")</f>
        <v/>
      </c>
      <c r="C85" s="59" t="str">
        <f aca="false">IFERROR(IF(INDEX(res_Name,(ROW()-ROW(util_Origin)-1))="","",INDEX(res_MaxUnits,(ROW()-ROW(util_Origin)-1))),"")</f>
        <v/>
      </c>
      <c r="D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85"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86" customFormat="false" ht="15" hidden="false" customHeight="false" outlineLevel="0" collapsed="false">
      <c r="B86" s="31" t="str">
        <f aca="false">IFERROR(INDEX(res_Name,(ROW()-ROW(util_Origin)-1))&amp;"","")</f>
        <v/>
      </c>
      <c r="C86" s="59" t="str">
        <f aca="false">IFERROR(IF(INDEX(res_Name,(ROW()-ROW(util_Origin)-1))="","",INDEX(res_MaxUnits,(ROW()-ROW(util_Origin)-1))),"")</f>
        <v/>
      </c>
      <c r="D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86"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87" customFormat="false" ht="15" hidden="false" customHeight="false" outlineLevel="0" collapsed="false">
      <c r="B87" s="31" t="str">
        <f aca="false">IFERROR(INDEX(res_Name,(ROW()-ROW(util_Origin)-1))&amp;"","")</f>
        <v/>
      </c>
      <c r="C87" s="59" t="str">
        <f aca="false">IFERROR(IF(INDEX(res_Name,(ROW()-ROW(util_Origin)-1))="","",INDEX(res_MaxUnits,(ROW()-ROW(util_Origin)-1))),"")</f>
        <v/>
      </c>
      <c r="D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87"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88" customFormat="false" ht="15" hidden="false" customHeight="false" outlineLevel="0" collapsed="false">
      <c r="B88" s="31" t="str">
        <f aca="false">IFERROR(INDEX(res_Name,(ROW()-ROW(util_Origin)-1))&amp;"","")</f>
        <v/>
      </c>
      <c r="C88" s="59" t="str">
        <f aca="false">IFERROR(IF(INDEX(res_Name,(ROW()-ROW(util_Origin)-1))="","",INDEX(res_MaxUnits,(ROW()-ROW(util_Origin)-1))),"")</f>
        <v/>
      </c>
      <c r="D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88"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89" customFormat="false" ht="15" hidden="false" customHeight="false" outlineLevel="0" collapsed="false">
      <c r="B89" s="31" t="str">
        <f aca="false">IFERROR(INDEX(res_Name,(ROW()-ROW(util_Origin)-1))&amp;"","")</f>
        <v/>
      </c>
      <c r="C89" s="59" t="str">
        <f aca="false">IFERROR(IF(INDEX(res_Name,(ROW()-ROW(util_Origin)-1))="","",INDEX(res_MaxUnits,(ROW()-ROW(util_Origin)-1))),"")</f>
        <v/>
      </c>
      <c r="D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89"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90" customFormat="false" ht="15" hidden="false" customHeight="false" outlineLevel="0" collapsed="false">
      <c r="B90" s="31" t="str">
        <f aca="false">IFERROR(INDEX(res_Name,(ROW()-ROW(util_Origin)-1))&amp;"","")</f>
        <v/>
      </c>
      <c r="C90" s="59" t="str">
        <f aca="false">IFERROR(IF(INDEX(res_Name,(ROW()-ROW(util_Origin)-1))="","",INDEX(res_MaxUnits,(ROW()-ROW(util_Origin)-1))),"")</f>
        <v/>
      </c>
      <c r="D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90" s="62"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sheetData>
  <conditionalFormatting sqref="A6:R31">
    <cfRule type="expression" priority="2" aboveAverage="0" equalAverage="0" bottom="0" percent="0" rank="0" text="" dxfId="53">
      <formula>$B6=""</formula>
    </cfRule>
    <cfRule type="expression" priority="3" aboveAverage="0" equalAverage="0" bottom="0" percent="0" rank="0" text="" dxfId="54">
      <formula>$K6="Active"</formula>
    </cfRule>
  </conditionalFormatting>
  <conditionalFormatting sqref="J6:J31">
    <cfRule type="expression" priority="4" aboveAverage="0" equalAverage="0" bottom="0" percent="0" rank="0" text="" dxfId="11">
      <formula>AND(ISNUMBER($J6),$J6&gt;1)</formula>
    </cfRule>
  </conditionalFormatting>
  <conditionalFormatting sqref="M6:M31">
    <cfRule type="expression" priority="5" aboveAverage="0" equalAverage="0" bottom="0" percent="0" rank="0" text="" dxfId="11">
      <formula>AND(N($L6)&gt;0,N($M6)&gt;$L6)</formula>
    </cfRule>
  </conditionalFormatting>
  <conditionalFormatting sqref="D36:AC60">
    <cfRule type="expression" priority="6" aboveAverage="0" equalAverage="0" bottom="0" percent="0" rank="0" text="" dxfId="15">
      <formula>AND(ISNUMBER(D36),D36&gt;$C36*HoursPerDay*INDEX(spr_WorkDays,COLUMN()-COLUMN(load_Origin)-1))</formula>
    </cfRule>
  </conditionalFormatting>
  <conditionalFormatting sqref="D66:AC90">
    <cfRule type="colorScale" priority="7">
      <colorScale>
        <cfvo type="num" val="0"/>
        <cfvo type="num" val="0.8"/>
        <cfvo type="num" val="1.2"/>
        <color rgb="FFFFFFFF"/>
        <color rgb="FFC6EFCE"/>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C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0" width="18"/>
    <col collapsed="false" customWidth="true" hidden="false" outlineLevel="0" max="3" min="3" style="0" width="50"/>
  </cols>
  <sheetData>
    <row r="1" customFormat="false" ht="19.7" hidden="false" customHeight="false" outlineLevel="0" collapsed="false">
      <c r="A1" s="26" t="s">
        <v>708</v>
      </c>
    </row>
    <row r="2" customFormat="false" ht="15" hidden="false" customHeight="false" outlineLevel="0" collapsed="false">
      <c r="A2" s="8" t="s">
        <v>709</v>
      </c>
    </row>
    <row r="4" customFormat="false" ht="15" hidden="false" customHeight="false" outlineLevel="0" collapsed="false">
      <c r="B4" s="27" t="s">
        <v>303</v>
      </c>
      <c r="C4" s="27" t="s">
        <v>710</v>
      </c>
    </row>
    <row r="5" customFormat="false" ht="15" hidden="false" customHeight="false" outlineLevel="0" collapsed="false">
      <c r="B5" s="73" t="n">
        <v>46380</v>
      </c>
      <c r="C5" s="30" t="s">
        <v>711</v>
      </c>
    </row>
    <row r="6" customFormat="false" ht="15" hidden="false" customHeight="false" outlineLevel="0" collapsed="false">
      <c r="B6" s="73" t="n">
        <v>46381</v>
      </c>
      <c r="C6" s="30" t="s">
        <v>712</v>
      </c>
    </row>
    <row r="7" customFormat="false" ht="15" hidden="false" customHeight="false" outlineLevel="0" collapsed="false">
      <c r="B7" s="73" t="n">
        <v>46387</v>
      </c>
      <c r="C7" s="30" t="s">
        <v>713</v>
      </c>
    </row>
    <row r="8" customFormat="false" ht="15" hidden="false" customHeight="false" outlineLevel="0" collapsed="false">
      <c r="B8" s="73" t="n">
        <v>46388</v>
      </c>
      <c r="C8" s="30" t="s">
        <v>714</v>
      </c>
    </row>
    <row r="9" customFormat="false" ht="15" hidden="false" customHeight="false" outlineLevel="0" collapsed="false">
      <c r="B9" s="73"/>
      <c r="C9" s="30"/>
    </row>
    <row r="10" customFormat="false" ht="15" hidden="false" customHeight="false" outlineLevel="0" collapsed="false">
      <c r="B10" s="73"/>
      <c r="C10" s="30"/>
    </row>
    <row r="11" customFormat="false" ht="15" hidden="false" customHeight="false" outlineLevel="0" collapsed="false">
      <c r="B11" s="73"/>
      <c r="C11" s="30"/>
    </row>
    <row r="12" customFormat="false" ht="15" hidden="false" customHeight="false" outlineLevel="0" collapsed="false">
      <c r="B12" s="73"/>
      <c r="C12" s="30"/>
    </row>
    <row r="13" customFormat="false" ht="15" hidden="false" customHeight="false" outlineLevel="0" collapsed="false">
      <c r="B13" s="73"/>
      <c r="C13" s="30"/>
    </row>
    <row r="14" customFormat="false" ht="15" hidden="false" customHeight="false" outlineLevel="0" collapsed="false">
      <c r="B14" s="73"/>
      <c r="C14" s="30"/>
    </row>
    <row r="15" customFormat="false" ht="15" hidden="false" customHeight="false" outlineLevel="0" collapsed="false">
      <c r="B15" s="73"/>
      <c r="C15" s="30"/>
    </row>
    <row r="16" customFormat="false" ht="15" hidden="false" customHeight="false" outlineLevel="0" collapsed="false">
      <c r="B16" s="73"/>
      <c r="C16" s="30"/>
    </row>
    <row r="17" customFormat="false" ht="15" hidden="false" customHeight="false" outlineLevel="0" collapsed="false">
      <c r="B17" s="73"/>
      <c r="C17" s="30"/>
    </row>
    <row r="18" customFormat="false" ht="15" hidden="false" customHeight="false" outlineLevel="0" collapsed="false">
      <c r="B18" s="73"/>
      <c r="C18" s="30"/>
    </row>
    <row r="19" customFormat="false" ht="15" hidden="false" customHeight="false" outlineLevel="0" collapsed="false">
      <c r="B19" s="73"/>
      <c r="C19" s="30"/>
    </row>
    <row r="20" customFormat="false" ht="15" hidden="false" customHeight="false" outlineLevel="0" collapsed="false">
      <c r="B20" s="73"/>
      <c r="C20" s="30"/>
    </row>
    <row r="21" customFormat="false" ht="15" hidden="false" customHeight="false" outlineLevel="0" collapsed="false">
      <c r="B21" s="73"/>
      <c r="C21" s="30"/>
    </row>
    <row r="22" customFormat="false" ht="15" hidden="false" customHeight="false" outlineLevel="0" collapsed="false">
      <c r="B22" s="73"/>
      <c r="C22" s="30"/>
    </row>
    <row r="23" customFormat="false" ht="15" hidden="false" customHeight="false" outlineLevel="0" collapsed="false">
      <c r="B23" s="73"/>
      <c r="C23" s="30"/>
    </row>
    <row r="24" customFormat="false" ht="15" hidden="false" customHeight="false" outlineLevel="0" collapsed="false">
      <c r="B24" s="73"/>
      <c r="C24" s="30"/>
    </row>
    <row r="25" customFormat="false" ht="15" hidden="false" customHeight="false" outlineLevel="0" collapsed="false">
      <c r="B25" s="73"/>
      <c r="C25" s="30"/>
    </row>
    <row r="26" customFormat="false" ht="15" hidden="false" customHeight="false" outlineLevel="0" collapsed="false">
      <c r="B26" s="73"/>
      <c r="C26" s="30"/>
    </row>
    <row r="27" customFormat="false" ht="15" hidden="false" customHeight="false" outlineLevel="0" collapsed="false">
      <c r="B27" s="73"/>
      <c r="C27" s="30"/>
    </row>
    <row r="28" customFormat="false" ht="15" hidden="false" customHeight="false" outlineLevel="0" collapsed="false">
      <c r="B28" s="73"/>
      <c r="C28" s="30"/>
    </row>
    <row r="29" customFormat="false" ht="15" hidden="false" customHeight="false" outlineLevel="0" collapsed="false">
      <c r="B29" s="73"/>
      <c r="C29" s="30"/>
    </row>
    <row r="30" customFormat="false" ht="15" hidden="false" customHeight="false" outlineLevel="0" collapsed="false">
      <c r="B30" s="73"/>
      <c r="C30" s="30"/>
    </row>
    <row r="31" customFormat="false" ht="15" hidden="false" customHeight="false" outlineLevel="0" collapsed="false">
      <c r="B31" s="73"/>
      <c r="C31" s="30"/>
    </row>
    <row r="32" customFormat="false" ht="15" hidden="false" customHeight="false" outlineLevel="0" collapsed="false">
      <c r="B32" s="73"/>
      <c r="C32" s="30"/>
    </row>
    <row r="33" customFormat="false" ht="15" hidden="false" customHeight="false" outlineLevel="0" collapsed="false">
      <c r="B33" s="73"/>
      <c r="C33" s="30"/>
    </row>
    <row r="34" customFormat="false" ht="15" hidden="false" customHeight="false" outlineLevel="0" collapsed="false">
      <c r="B34" s="73"/>
      <c r="C34" s="30"/>
    </row>
    <row r="35" customFormat="false" ht="15" hidden="false" customHeight="false" outlineLevel="0" collapsed="false">
      <c r="B35" s="73"/>
      <c r="C35" s="30"/>
    </row>
    <row r="36" customFormat="false" ht="15" hidden="false" customHeight="false" outlineLevel="0" collapsed="false">
      <c r="B36" s="73"/>
      <c r="C36" s="30"/>
    </row>
    <row r="37" customFormat="false" ht="15" hidden="false" customHeight="false" outlineLevel="0" collapsed="false">
      <c r="B37" s="73"/>
      <c r="C37" s="30"/>
    </row>
    <row r="38" customFormat="false" ht="15" hidden="false" customHeight="false" outlineLevel="0" collapsed="false">
      <c r="B38" s="73"/>
      <c r="C38" s="30"/>
    </row>
    <row r="39" customFormat="false" ht="15" hidden="false" customHeight="false" outlineLevel="0" collapsed="false">
      <c r="B39" s="73"/>
      <c r="C39" s="30"/>
    </row>
    <row r="40" customFormat="false" ht="15" hidden="false" customHeight="false" outlineLevel="0" collapsed="false">
      <c r="B40" s="73"/>
      <c r="C40" s="30"/>
    </row>
    <row r="41" customFormat="false" ht="15" hidden="false" customHeight="false" outlineLevel="0" collapsed="false">
      <c r="B41" s="73"/>
      <c r="C41" s="30"/>
    </row>
    <row r="42" customFormat="false" ht="15" hidden="false" customHeight="false" outlineLevel="0" collapsed="false">
      <c r="B42" s="73"/>
      <c r="C42" s="30"/>
    </row>
    <row r="43" customFormat="false" ht="15" hidden="false" customHeight="false" outlineLevel="0" collapsed="false">
      <c r="B43" s="73"/>
      <c r="C43" s="30"/>
    </row>
    <row r="44" customFormat="false" ht="15" hidden="false" customHeight="false" outlineLevel="0" collapsed="false">
      <c r="B44" s="73"/>
      <c r="C44" s="30"/>
    </row>
    <row r="45" customFormat="false" ht="15" hidden="false" customHeight="false" outlineLevel="0" collapsed="false">
      <c r="B45" s="73"/>
      <c r="C45" s="30"/>
    </row>
    <row r="46" customFormat="false" ht="15" hidden="false" customHeight="false" outlineLevel="0" collapsed="false">
      <c r="B46" s="73"/>
      <c r="C46" s="30"/>
    </row>
    <row r="47" customFormat="false" ht="15" hidden="false" customHeight="false" outlineLevel="0" collapsed="false">
      <c r="B47" s="73"/>
      <c r="C47" s="30"/>
    </row>
    <row r="48" customFormat="false" ht="15" hidden="false" customHeight="false" outlineLevel="0" collapsed="false">
      <c r="B48" s="73"/>
      <c r="C48" s="30"/>
    </row>
    <row r="49" customFormat="false" ht="15" hidden="false" customHeight="false" outlineLevel="0" collapsed="false">
      <c r="B49" s="73"/>
      <c r="C49" s="30"/>
    </row>
    <row r="50" customFormat="false" ht="15" hidden="false" customHeight="false" outlineLevel="0" collapsed="false">
      <c r="B50" s="73"/>
      <c r="C50" s="30"/>
    </row>
    <row r="51" customFormat="false" ht="15" hidden="false" customHeight="false" outlineLevel="0" collapsed="false">
      <c r="B51" s="73"/>
      <c r="C51" s="30"/>
    </row>
    <row r="52" customFormat="false" ht="15" hidden="false" customHeight="false" outlineLevel="0" collapsed="false">
      <c r="B52" s="73"/>
      <c r="C52" s="30"/>
    </row>
    <row r="53" customFormat="false" ht="15" hidden="false" customHeight="false" outlineLevel="0" collapsed="false">
      <c r="B53" s="73"/>
      <c r="C53" s="30"/>
    </row>
    <row r="54" customFormat="false" ht="15" hidden="false" customHeight="false" outlineLevel="0" collapsed="false">
      <c r="B54" s="73"/>
      <c r="C54" s="30"/>
    </row>
    <row r="55" customFormat="false" ht="15" hidden="false" customHeight="false" outlineLevel="0" collapsed="false">
      <c r="B55" s="73"/>
      <c r="C55" s="30"/>
    </row>
    <row r="56" customFormat="false" ht="15" hidden="false" customHeight="false" outlineLevel="0" collapsed="false">
      <c r="B56" s="73"/>
      <c r="C56" s="30"/>
    </row>
    <row r="57" customFormat="false" ht="15" hidden="false" customHeight="false" outlineLevel="0" collapsed="false">
      <c r="B57" s="73"/>
      <c r="C57" s="30"/>
    </row>
    <row r="58" customFormat="false" ht="15" hidden="false" customHeight="false" outlineLevel="0" collapsed="false">
      <c r="B58" s="73"/>
      <c r="C58" s="30"/>
    </row>
    <row r="59" customFormat="false" ht="15" hidden="false" customHeight="false" outlineLevel="0" collapsed="false">
      <c r="B59" s="73"/>
      <c r="C59" s="30"/>
    </row>
    <row r="60" customFormat="false" ht="15" hidden="false" customHeight="false" outlineLevel="0" collapsed="false">
      <c r="B60" s="73"/>
      <c r="C60" s="30"/>
    </row>
    <row r="61" customFormat="false" ht="15" hidden="false" customHeight="false" outlineLevel="0" collapsed="false">
      <c r="B61" s="73"/>
      <c r="C61" s="30"/>
    </row>
    <row r="62" customFormat="false" ht="15" hidden="false" customHeight="false" outlineLevel="0" collapsed="false">
      <c r="B62" s="73"/>
      <c r="C62" s="30"/>
    </row>
    <row r="63" customFormat="false" ht="15" hidden="false" customHeight="false" outlineLevel="0" collapsed="false">
      <c r="B63" s="73"/>
      <c r="C63" s="30"/>
    </row>
    <row r="64" customFormat="false" ht="15" hidden="false" customHeight="false" outlineLevel="0" collapsed="false">
      <c r="B64" s="73"/>
      <c r="C64" s="30"/>
    </row>
    <row r="65" customFormat="false" ht="15" hidden="false" customHeight="false" outlineLevel="0" collapsed="false">
      <c r="B65" s="73"/>
      <c r="C65" s="30"/>
    </row>
    <row r="66" customFormat="false" ht="15" hidden="false" customHeight="false" outlineLevel="0" collapsed="false">
      <c r="B66" s="73"/>
      <c r="C66" s="30"/>
    </row>
    <row r="67" customFormat="false" ht="15" hidden="false" customHeight="false" outlineLevel="0" collapsed="false">
      <c r="B67" s="73"/>
      <c r="C67" s="30"/>
    </row>
    <row r="68" customFormat="false" ht="15" hidden="false" customHeight="false" outlineLevel="0" collapsed="false">
      <c r="B68" s="73"/>
      <c r="C68" s="30"/>
    </row>
    <row r="69" customFormat="false" ht="15" hidden="false" customHeight="false" outlineLevel="0" collapsed="false">
      <c r="B69" s="73"/>
      <c r="C69" s="30"/>
    </row>
    <row r="70" customFormat="false" ht="15" hidden="false" customHeight="false" outlineLevel="0" collapsed="false">
      <c r="B70" s="73"/>
      <c r="C70" s="30"/>
    </row>
    <row r="71" customFormat="false" ht="15" hidden="false" customHeight="false" outlineLevel="0" collapsed="false">
      <c r="B71" s="73"/>
      <c r="C71" s="30"/>
    </row>
    <row r="72" customFormat="false" ht="15" hidden="false" customHeight="false" outlineLevel="0" collapsed="false">
      <c r="B72" s="73"/>
      <c r="C72" s="30"/>
    </row>
    <row r="73" customFormat="false" ht="15" hidden="false" customHeight="false" outlineLevel="0" collapsed="false">
      <c r="B73" s="73"/>
      <c r="C73" s="30"/>
    </row>
    <row r="74" customFormat="false" ht="15" hidden="false" customHeight="false" outlineLevel="0" collapsed="false">
      <c r="B74" s="73"/>
      <c r="C74" s="30"/>
    </row>
    <row r="75" customFormat="false" ht="15" hidden="false" customHeight="false" outlineLevel="0" collapsed="false">
      <c r="B75" s="73"/>
      <c r="C75" s="30"/>
    </row>
    <row r="76" customFormat="false" ht="15" hidden="false" customHeight="false" outlineLevel="0" collapsed="false">
      <c r="B76" s="73"/>
      <c r="C76" s="30"/>
    </row>
    <row r="77" customFormat="false" ht="15" hidden="false" customHeight="false" outlineLevel="0" collapsed="false">
      <c r="B77" s="73"/>
      <c r="C77" s="30"/>
    </row>
    <row r="78" customFormat="false" ht="15" hidden="false" customHeight="false" outlineLevel="0" collapsed="false">
      <c r="B78" s="73"/>
      <c r="C78" s="30"/>
    </row>
    <row r="79" customFormat="false" ht="15" hidden="false" customHeight="false" outlineLevel="0" collapsed="false">
      <c r="B79" s="73"/>
      <c r="C79" s="30"/>
    </row>
    <row r="80" customFormat="false" ht="15" hidden="false" customHeight="false" outlineLevel="0" collapsed="false">
      <c r="B80" s="73"/>
      <c r="C80" s="30"/>
    </row>
    <row r="81" customFormat="false" ht="15" hidden="false" customHeight="false" outlineLevel="0" collapsed="false">
      <c r="B81" s="73"/>
      <c r="C81" s="30"/>
    </row>
    <row r="82" customFormat="false" ht="15" hidden="false" customHeight="false" outlineLevel="0" collapsed="false">
      <c r="B82" s="73"/>
      <c r="C82" s="30"/>
    </row>
    <row r="83" customFormat="false" ht="15" hidden="false" customHeight="false" outlineLevel="0" collapsed="false">
      <c r="B83" s="73"/>
      <c r="C83" s="30"/>
    </row>
    <row r="84" customFormat="false" ht="15" hidden="false" customHeight="false" outlineLevel="0" collapsed="false">
      <c r="B84" s="73"/>
      <c r="C84" s="30"/>
    </row>
    <row r="85" customFormat="false" ht="15" hidden="false" customHeight="false" outlineLevel="0" collapsed="false">
      <c r="B85" s="73"/>
      <c r="C85" s="30"/>
    </row>
    <row r="86" customFormat="false" ht="15" hidden="false" customHeight="false" outlineLevel="0" collapsed="false">
      <c r="B86" s="73"/>
      <c r="C86" s="30"/>
    </row>
    <row r="87" customFormat="false" ht="15" hidden="false" customHeight="false" outlineLevel="0" collapsed="false">
      <c r="B87" s="73"/>
      <c r="C87" s="30"/>
    </row>
    <row r="88" customFormat="false" ht="15" hidden="false" customHeight="false" outlineLevel="0" collapsed="false">
      <c r="B88" s="73"/>
      <c r="C88" s="30"/>
    </row>
    <row r="89" customFormat="false" ht="15" hidden="false" customHeight="false" outlineLevel="0" collapsed="false">
      <c r="B89" s="73"/>
      <c r="C89" s="30"/>
    </row>
    <row r="90" customFormat="false" ht="15" hidden="false" customHeight="false" outlineLevel="0" collapsed="false">
      <c r="B90" s="73"/>
      <c r="C90" s="30"/>
    </row>
    <row r="91" customFormat="false" ht="15" hidden="false" customHeight="false" outlineLevel="0" collapsed="false">
      <c r="B91" s="73"/>
      <c r="C91" s="30"/>
    </row>
    <row r="92" customFormat="false" ht="15" hidden="false" customHeight="false" outlineLevel="0" collapsed="false">
      <c r="B92" s="73"/>
      <c r="C92" s="30"/>
    </row>
    <row r="93" customFormat="false" ht="15" hidden="false" customHeight="false" outlineLevel="0" collapsed="false">
      <c r="B93" s="73"/>
      <c r="C93" s="30"/>
    </row>
    <row r="94" customFormat="false" ht="15" hidden="false" customHeight="false" outlineLevel="0" collapsed="false">
      <c r="B94" s="73"/>
      <c r="C94" s="30"/>
    </row>
    <row r="95" customFormat="false" ht="15" hidden="false" customHeight="false" outlineLevel="0" collapsed="false">
      <c r="B95" s="73"/>
      <c r="C95" s="30"/>
    </row>
    <row r="96" customFormat="false" ht="15" hidden="false" customHeight="false" outlineLevel="0" collapsed="false">
      <c r="B96" s="73"/>
      <c r="C96" s="30"/>
    </row>
    <row r="97" customFormat="false" ht="15" hidden="false" customHeight="false" outlineLevel="0" collapsed="false">
      <c r="B97" s="73"/>
      <c r="C97" s="30"/>
    </row>
    <row r="98" customFormat="false" ht="15" hidden="false" customHeight="false" outlineLevel="0" collapsed="false">
      <c r="B98" s="73"/>
      <c r="C98" s="30"/>
    </row>
    <row r="99" customFormat="false" ht="15" hidden="false" customHeight="false" outlineLevel="0" collapsed="false">
      <c r="B99" s="73"/>
      <c r="C99" s="30"/>
    </row>
    <row r="100" customFormat="false" ht="15" hidden="false" customHeight="false" outlineLevel="0" collapsed="false">
      <c r="B100" s="73"/>
      <c r="C100" s="30"/>
    </row>
    <row r="101" customFormat="false" ht="15" hidden="false" customHeight="false" outlineLevel="0" collapsed="false">
      <c r="B101" s="73"/>
      <c r="C101" s="30"/>
    </row>
    <row r="102" customFormat="false" ht="15" hidden="false" customHeight="false" outlineLevel="0" collapsed="false">
      <c r="B102" s="73"/>
      <c r="C102" s="30"/>
    </row>
    <row r="103" customFormat="false" ht="15" hidden="false" customHeight="false" outlineLevel="0" collapsed="false">
      <c r="B103" s="73"/>
      <c r="C103" s="30"/>
    </row>
    <row r="104" customFormat="false" ht="15" hidden="false" customHeight="false" outlineLevel="0" collapsed="false">
      <c r="B104" s="73"/>
      <c r="C104" s="3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false"/>
  </sheetPr>
  <dimension ref="A1:Z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8"/>
    <col collapsed="false" customWidth="true" hidden="false" outlineLevel="0" max="3" min="3" style="0" width="36"/>
    <col collapsed="false" customWidth="true" hidden="false" outlineLevel="0" max="4" min="4" style="0" width="8"/>
    <col collapsed="false" customWidth="true" hidden="false" outlineLevel="0" max="5" min="5" style="0" width="18"/>
    <col collapsed="false" customWidth="true" hidden="false" outlineLevel="0" max="6" min="6" style="0" width="9"/>
    <col collapsed="false" customWidth="true" hidden="false" outlineLevel="0" max="8" min="7" style="0" width="12"/>
    <col collapsed="false" customWidth="true" hidden="false" outlineLevel="0" max="10" min="9" style="0" width="14"/>
    <col collapsed="false" customWidth="true" hidden="false" outlineLevel="0" max="11" min="11" style="0" width="22"/>
    <col collapsed="false" customWidth="true" hidden="false" outlineLevel="0" max="12" min="12" style="0" width="9"/>
    <col collapsed="false" customWidth="true" hidden="false" outlineLevel="0" max="16" min="13" style="0" width="12"/>
    <col collapsed="false" customWidth="true" hidden="false" outlineLevel="0" max="18" min="17" style="0" width="9"/>
    <col collapsed="false" customWidth="true" hidden="false" outlineLevel="0" max="20" min="19" style="0" width="11"/>
    <col collapsed="false" customWidth="true" hidden="false" outlineLevel="0" max="21" min="21" style="0" width="22"/>
    <col collapsed="false" customWidth="true" hidden="false" outlineLevel="0" max="23" min="22" style="0" width="12"/>
    <col collapsed="false" customWidth="true" hidden="false" outlineLevel="0" max="24" min="24" style="0" width="10"/>
    <col collapsed="false" customWidth="true" hidden="false" outlineLevel="0" max="25" min="25" style="0" width="8"/>
    <col collapsed="false" customWidth="true" hidden="false" outlineLevel="0" max="26" min="26" style="0" width="40"/>
  </cols>
  <sheetData>
    <row r="1" customFormat="false" ht="46.25" hidden="false" customHeight="false" outlineLevel="0" collapsed="false">
      <c r="A1" s="9" t="s">
        <v>486</v>
      </c>
      <c r="B1" s="9" t="s">
        <v>715</v>
      </c>
      <c r="C1" s="9" t="s">
        <v>716</v>
      </c>
      <c r="D1" s="9" t="s">
        <v>717</v>
      </c>
      <c r="E1" s="9" t="s">
        <v>718</v>
      </c>
      <c r="F1" s="9" t="s">
        <v>221</v>
      </c>
      <c r="G1" s="9" t="s">
        <v>679</v>
      </c>
      <c r="H1" s="9" t="s">
        <v>719</v>
      </c>
      <c r="I1" s="9" t="s">
        <v>53</v>
      </c>
      <c r="J1" s="9" t="s">
        <v>720</v>
      </c>
      <c r="K1" s="9" t="s">
        <v>721</v>
      </c>
      <c r="L1" s="9" t="s">
        <v>504</v>
      </c>
      <c r="M1" s="9" t="s">
        <v>498</v>
      </c>
      <c r="N1" s="9" t="s">
        <v>499</v>
      </c>
      <c r="O1" s="9" t="s">
        <v>513</v>
      </c>
      <c r="P1" s="9" t="s">
        <v>514</v>
      </c>
      <c r="Q1" s="9" t="s">
        <v>515</v>
      </c>
      <c r="R1" s="9" t="s">
        <v>516</v>
      </c>
      <c r="S1" s="9" t="s">
        <v>517</v>
      </c>
      <c r="T1" s="9" t="s">
        <v>230</v>
      </c>
      <c r="U1" s="9" t="s">
        <v>722</v>
      </c>
      <c r="V1" s="9" t="s">
        <v>723</v>
      </c>
      <c r="W1" s="9" t="s">
        <v>216</v>
      </c>
      <c r="X1" s="9" t="s">
        <v>724</v>
      </c>
      <c r="Y1" s="9" t="s">
        <v>725</v>
      </c>
      <c r="Z1" s="9" t="s">
        <v>193</v>
      </c>
    </row>
    <row r="2" customFormat="false" ht="15" hidden="false" customHeight="false" outlineLevel="0" collapsed="false">
      <c r="A2" s="24" t="n">
        <f aca="false">IF(IFERROR(INDEX(tsk_Name,(ROW()-ROW(MSPTasks[[#Headers],[ID]])))="",TRUE()),"",INDEX(tsk_ID,(ROW()-ROW(MSPTasks[[#Headers],[ID]]))))</f>
        <v>1</v>
      </c>
      <c r="B2" s="24" t="n">
        <f aca="false">IF(IFERROR(INDEX(tsk_Name,(ROW()-ROW(MSPTasks[[#Headers],[ID]])))="",TRUE()),"",INDEX(tsk_UID,(ROW()-ROW(MSPTasks[[#Headers],[ID]]))))</f>
        <v>1</v>
      </c>
      <c r="C2" s="24" t="str">
        <f aca="false">IF(IFERROR(INDEX(tsk_Name,(ROW()-ROW(MSPTasks[[#Headers],[ID]])))="",TRUE()),"",INDEX(tsk_Name,(ROW()-ROW(MSPTasks[[#Headers],[ID]]))))</f>
        <v>Initiation</v>
      </c>
      <c r="D2" s="24" t="n">
        <f aca="false">IF(IFERROR(INDEX(tsk_Name,(ROW()-ROW(MSPTasks[[#Headers],[ID]])))="",TRUE()),"",INDEX(tsk_Level,(ROW()-ROW(MSPTasks[[#Headers],[ID]]))))</f>
        <v>1</v>
      </c>
      <c r="E2" s="24" t="str">
        <f aca="false">IF(IFERROR(INDEX(tsk_Name,(ROW()-ROW(MSPTasks[[#Headers],[ID]])))="",TRUE()),"",IF(INDEX(tsk_Mode,(ROW()-ROW(MSPTasks[[#Headers],[ID]])))="Manual","Manually Scheduled","Auto Scheduled"))</f>
        <v>Auto Scheduled</v>
      </c>
      <c r="F2" s="24" t="str">
        <f aca="false">IF(IFERROR(INDEX(tsk_Name,(ROW()-ROW(MSPTasks[[#Headers],[ID]])))="",TRUE()),"",IF(INDEX(tsk_IsSummary,(ROW()-ROW(MSPTasks[[#Headers],[ID]]))),"",N(INDEX(tsk_Duration,(ROW()-ROW(MSPTasks[[#Headers],[ID]]))))&amp;"d"))</f>
        <v/>
      </c>
      <c r="G2" s="127" t="n">
        <f aca="false">IF(IFERROR(INDEX(tsk_Name,(ROW()-ROW(MSPTasks[[#Headers],[ID]])))="",TRUE()),"",INDEX(tsk_FcStart,(ROW()-ROW(MSPTasks[[#Headers],[ID]]))))</f>
        <v>46272</v>
      </c>
      <c r="H2" s="127" t="n">
        <f aca="false">IF(IFERROR(INDEX(tsk_Name,(ROW()-ROW(MSPTasks[[#Headers],[ID]])))="",TRUE()),"",INDEX(tsk_FcFinish,(ROW()-ROW(MSPTasks[[#Headers],[ID]]))))</f>
        <v>46279</v>
      </c>
      <c r="I2" s="24" t="str">
        <f aca="false">IF(IFERROR(INDEX(tsk_Name,(ROW()-ROW(MSPTasks[[#Headers],[ID]])))="",TRUE()),"",IF(INDEX(tsk_IsSummary,(ROW()-ROW(MSPTasks[[#Headers],[ID]]))),"",INDEX(tsk_Predecessors,(ROW()-ROW(MSPTasks[[#Headers],[ID]])))))</f>
        <v/>
      </c>
      <c r="J2" s="24" t="str">
        <f aca="false">IF(IFERROR(INDEX(tsk_Name,(ROW()-ROW(MSPTasks[[#Headers],[ID]])))="",TRUE()),"",IF(INDEX(tsk_IsSummary,(ROW()-ROW(MSPTasks[[#Headers],[ID]]))),"",INDEX(tsk_UIDPredecessors,(ROW()-ROW(MSPTasks[[#Headers],[ID]])))))</f>
        <v/>
      </c>
      <c r="K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 s="24" t="str">
        <f aca="false">IF(IFERROR(INDEX(tsk_Name,(ROW()-ROW(MSPTasks[[#Headers],[ID]])))="",TRUE()),"",IF(INDEX(tsk_IsSummary,(ROW()-ROW(MSPTasks[[#Headers],[ID]]))),"",ROUND(INDEX(tsk_Progress,(ROW()-ROW(MSPTasks[[#Headers],[ID]])))*100,0)))</f>
        <v/>
      </c>
      <c r="M2" s="127" t="str">
        <f aca="false">IF(IFERROR(INDEX(tsk_Name,(ROW()-ROW(MSPTasks[[#Headers],[ID]])))="",TRUE()),"",IF(N(INDEX(tsk_ActStart,(ROW()-ROW(MSPTasks[[#Headers],[ID]]))))=0,"",INDEX(tsk_ActStart,(ROW()-ROW(MSPTasks[[#Headers],[ID]])))))</f>
        <v/>
      </c>
      <c r="N2" s="127" t="str">
        <f aca="false">IF(IFERROR(INDEX(tsk_Name,(ROW()-ROW(MSPTasks[[#Headers],[ID]])))="",TRUE()),"",IF(N(INDEX(tsk_ActFinish,(ROW()-ROW(MSPTasks[[#Headers],[ID]]))))=0,"",INDEX(tsk_ActFinish,(ROW()-ROW(MSPTasks[[#Headers],[ID]])))))</f>
        <v/>
      </c>
      <c r="O2" s="127" t="n">
        <f aca="false">IF(IFERROR(INDEX(tsk_Name,(ROW()-ROW(MSPTasks[[#Headers],[ID]])))="",TRUE()),"",INDEX(tsk_PlanStart,(ROW()-ROW(MSPTasks[[#Headers],[ID]]))))</f>
        <v>46272</v>
      </c>
      <c r="P2" s="127" t="n">
        <f aca="false">IF(IFERROR(INDEX(tsk_Name,(ROW()-ROW(MSPTasks[[#Headers],[ID]])))="",TRUE()),"",INDEX(tsk_PlanFinish,(ROW()-ROW(MSPTasks[[#Headers],[ID]]))))</f>
        <v>46276</v>
      </c>
      <c r="Q2" s="24" t="str">
        <f aca="false">IF(IFERROR(INDEX(tsk_Name,(ROW()-ROW(MSPTasks[[#Headers],[ID]])))="",TRUE()),"",IF(INDEX(tsk_BaseDuration,(ROW()-ROW(MSPTasks[[#Headers],[ID]])))="","",N(INDEX(tsk_BaseDuration,(ROW()-ROW(MSPTasks[[#Headers],[ID]]))))&amp;"d"))</f>
        <v/>
      </c>
      <c r="R2" s="24" t="str">
        <f aca="false">IF(IFERROR(INDEX(tsk_Name,(ROW()-ROW(MSPTasks[[#Headers],[ID]])))="",TRUE()),"",IF(INDEX(tsk_BaseWork,(ROW()-ROW(MSPTasks[[#Headers],[ID]])))="","",N(INDEX(tsk_BaseWork,(ROW()-ROW(MSPTasks[[#Headers],[ID]]))))&amp;"h"))</f>
        <v/>
      </c>
      <c r="S2" s="24" t="str">
        <f aca="false">IF(IFERROR(INDEX(tsk_Name,(ROW()-ROW(MSPTasks[[#Headers],[ID]])))="",TRUE()),"",IF(INDEX(tsk_BaseCost,(ROW()-ROW(MSPTasks[[#Headers],[ID]])))="","",N(INDEX(tsk_BaseCost,(ROW()-ROW(MSPTasks[[#Headers],[ID]]))))))</f>
        <v/>
      </c>
      <c r="T2" s="24" t="str">
        <f aca="false">IF(IFERROR(INDEX(tsk_Name,(ROW()-ROW(MSPTasks[[#Headers],[ID]])))="",TRUE()),"",IF(INDEX(tsk_IsSummary,(ROW()-ROW(MSPTasks[[#Headers],[ID]]))),"",IF(N(INDEX(tsk_ActCostInput,(ROW()-ROW(MSPTasks[[#Headers],[ID]]))))=0,"",INDEX(tsk_ActCostInput,(ROW()-ROW(MSPTasks[[#Headers],[ID]]))))))</f>
        <v/>
      </c>
      <c r="U2" s="24" t="str">
        <f aca="false">IF(IFERROR(INDEX(tsk_Name,(ROW()-ROW(MSPTasks[[#Headers],[ID]])))="",TRUE()),"",IF(INDEX(tsk_IsSummary,(ROW()-ROW(MSPTasks[[#Headers],[ID]]))),"",IF(AND(INDEX(tsk_Mode,(ROW()-ROW(MSPTasks[[#Headers],[ID]])))&lt;&gt;"Manual",N(INDEX(tsk_Constraint,(ROW()-ROW(MSPTasks[[#Headers],[ID]]))))&gt;0),"Start No Earlier Than","As Soon As Possible")))</f>
        <v/>
      </c>
      <c r="V2" s="127" t="str">
        <f aca="false">IF(IFERROR(INDEX(tsk_Name,(ROW()-ROW(MSPTasks[[#Headers],[ID]])))="",TRUE()),"",IF(OR(INDEX(tsk_IsSummary,(ROW()-ROW(MSPTasks[[#Headers],[ID]]))),INDEX(tsk_Mode,(ROW()-ROW(MSPTasks[[#Headers],[ID]])))="Manual"),"",IF(N(INDEX(tsk_Constraint,(ROW()-ROW(MSPTasks[[#Headers],[ID]]))))=0,"",INDEX(tsk_Constraint,(ROW()-ROW(MSPTasks[[#Headers],[ID]]))))))</f>
        <v/>
      </c>
      <c r="W2" s="127" t="str">
        <f aca="false">IF(IFERROR(INDEX(tsk_Name,(ROW()-ROW(MSPTasks[[#Headers],[ID]])))="",TRUE()),"",IF(N(INDEX(tsk_Deadline,(ROW()-ROW(MSPTasks[[#Headers],[ID]]))))=0,"",INDEX(tsk_Deadline,(ROW()-ROW(MSPTasks[[#Headers],[ID]])))))</f>
        <v/>
      </c>
      <c r="X2" s="24" t="str">
        <f aca="false">IF(IFERROR(INDEX(tsk_Name,(ROW()-ROW(MSPTasks[[#Headers],[ID]])))="",TRUE()),"",IF(INDEX(tsk_IsSummary,(ROW()-ROW(MSPTasks[[#Headers],[ID]]))),"",INDEX(tsk_Sprint,(ROW()-ROW(MSPTasks[[#Headers],[ID]])))&amp;""))</f>
        <v/>
      </c>
      <c r="Y2" s="24" t="str">
        <f aca="false">IF(IFERROR(INDEX(tsk_Name,(ROW()-ROW(MSPTasks[[#Headers],[ID]])))="",TRUE()),"",IF(INDEX(tsk_IsSummary,(ROW()-ROW(MSPTasks[[#Headers],[ID]]))),"",IF(N(INDEX(tsk_StoryPoints,(ROW()-ROW(MSPTasks[[#Headers],[ID]]))))=0,"",INDEX(tsk_StoryPoints,(ROW()-ROW(MSPTasks[[#Headers],[ID]]))))))</f>
        <v/>
      </c>
      <c r="Z2" s="24" t="str">
        <f aca="false">IF(IFERROR(INDEX(tsk_Name,(ROW()-ROW(MSPTasks[[#Headers],[ID]])))="",TRUE()),"",INDEX(tsk_Notes,(ROW()-ROW(MSPTasks[[#Headers],[ID]])))&amp;"")</f>
        <v>Phase 1 - summary rows roll up dates, work, cost and progress automatically.</v>
      </c>
    </row>
    <row r="3" customFormat="false" ht="15" hidden="false" customHeight="false" outlineLevel="0" collapsed="false">
      <c r="A3" s="24" t="n">
        <f aca="false">IF(IFERROR(INDEX(tsk_Name,(ROW()-ROW(MSPTasks[[#Headers],[ID]])))="",TRUE()),"",INDEX(tsk_ID,(ROW()-ROW(MSPTasks[[#Headers],[ID]]))))</f>
        <v>2</v>
      </c>
      <c r="B3" s="24" t="n">
        <f aca="false">IF(IFERROR(INDEX(tsk_Name,(ROW()-ROW(MSPTasks[[#Headers],[ID]])))="",TRUE()),"",INDEX(tsk_UID,(ROW()-ROW(MSPTasks[[#Headers],[ID]]))))</f>
        <v>2</v>
      </c>
      <c r="C3" s="24" t="str">
        <f aca="false">IF(IFERROR(INDEX(tsk_Name,(ROW()-ROW(MSPTasks[[#Headers],[ID]])))="",TRUE()),"",INDEX(tsk_Name,(ROW()-ROW(MSPTasks[[#Headers],[ID]]))))</f>
        <v>Project charter &amp; scope statement</v>
      </c>
      <c r="D3" s="24" t="n">
        <f aca="false">IF(IFERROR(INDEX(tsk_Name,(ROW()-ROW(MSPTasks[[#Headers],[ID]])))="",TRUE()),"",INDEX(tsk_Level,(ROW()-ROW(MSPTasks[[#Headers],[ID]]))))</f>
        <v>2</v>
      </c>
      <c r="E3" s="24" t="str">
        <f aca="false">IF(IFERROR(INDEX(tsk_Name,(ROW()-ROW(MSPTasks[[#Headers],[ID]])))="",TRUE()),"",IF(INDEX(tsk_Mode,(ROW()-ROW(MSPTasks[[#Headers],[ID]])))="Manual","Manually Scheduled","Auto Scheduled"))</f>
        <v>Auto Scheduled</v>
      </c>
      <c r="F3" s="24" t="str">
        <f aca="false">IF(IFERROR(INDEX(tsk_Name,(ROW()-ROW(MSPTasks[[#Headers],[ID]])))="",TRUE()),"",IF(INDEX(tsk_IsSummary,(ROW()-ROW(MSPTasks[[#Headers],[ID]]))),"",N(INDEX(tsk_Duration,(ROW()-ROW(MSPTasks[[#Headers],[ID]]))))&amp;"d"))</f>
        <v>3d</v>
      </c>
      <c r="G3" s="127" t="n">
        <f aca="false">IF(IFERROR(INDEX(tsk_Name,(ROW()-ROW(MSPTasks[[#Headers],[ID]])))="",TRUE()),"",INDEX(tsk_FcStart,(ROW()-ROW(MSPTasks[[#Headers],[ID]]))))</f>
        <v>46272</v>
      </c>
      <c r="H3" s="127" t="n">
        <f aca="false">IF(IFERROR(INDEX(tsk_Name,(ROW()-ROW(MSPTasks[[#Headers],[ID]])))="",TRUE()),"",INDEX(tsk_FcFinish,(ROW()-ROW(MSPTasks[[#Headers],[ID]]))))</f>
        <v>46275</v>
      </c>
      <c r="I3" s="24" t="str">
        <f aca="false">IF(IFERROR(INDEX(tsk_Name,(ROW()-ROW(MSPTasks[[#Headers],[ID]])))="",TRUE()),"",IF(INDEX(tsk_IsSummary,(ROW()-ROW(MSPTasks[[#Headers],[ID]]))),"",INDEX(tsk_Predecessors,(ROW()-ROW(MSPTasks[[#Headers],[ID]])))))</f>
        <v/>
      </c>
      <c r="J3" s="24" t="str">
        <f aca="false">IF(IFERROR(INDEX(tsk_Name,(ROW()-ROW(MSPTasks[[#Headers],[ID]])))="",TRUE()),"",IF(INDEX(tsk_IsSummary,(ROW()-ROW(MSPTasks[[#Headers],[ID]]))),"",INDEX(tsk_UIDPredecessors,(ROW()-ROW(MSPTasks[[#Headers],[ID]])))))</f>
        <v/>
      </c>
      <c r="K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Priya Sharma</v>
      </c>
      <c r="L3" s="24" t="n">
        <f aca="false">IF(IFERROR(INDEX(tsk_Name,(ROW()-ROW(MSPTasks[[#Headers],[ID]])))="",TRUE()),"",IF(INDEX(tsk_IsSummary,(ROW()-ROW(MSPTasks[[#Headers],[ID]]))),"",ROUND(INDEX(tsk_Progress,(ROW()-ROW(MSPTasks[[#Headers],[ID]])))*100,0)))</f>
        <v>100</v>
      </c>
      <c r="M3" s="127" t="n">
        <f aca="false">IF(IFERROR(INDEX(tsk_Name,(ROW()-ROW(MSPTasks[[#Headers],[ID]])))="",TRUE()),"",IF(N(INDEX(tsk_ActStart,(ROW()-ROW(MSPTasks[[#Headers],[ID]]))))=0,"",INDEX(tsk_ActStart,(ROW()-ROW(MSPTasks[[#Headers],[ID]])))))</f>
        <v>46272</v>
      </c>
      <c r="N3" s="127" t="n">
        <f aca="false">IF(IFERROR(INDEX(tsk_Name,(ROW()-ROW(MSPTasks[[#Headers],[ID]])))="",TRUE()),"",IF(N(INDEX(tsk_ActFinish,(ROW()-ROW(MSPTasks[[#Headers],[ID]]))))=0,"",INDEX(tsk_ActFinish,(ROW()-ROW(MSPTasks[[#Headers],[ID]])))))</f>
        <v>46275</v>
      </c>
      <c r="O3" s="127" t="n">
        <f aca="false">IF(IFERROR(INDEX(tsk_Name,(ROW()-ROW(MSPTasks[[#Headers],[ID]])))="",TRUE()),"",INDEX(tsk_PlanStart,(ROW()-ROW(MSPTasks[[#Headers],[ID]]))))</f>
        <v>46272</v>
      </c>
      <c r="P3" s="127" t="n">
        <f aca="false">IF(IFERROR(INDEX(tsk_Name,(ROW()-ROW(MSPTasks[[#Headers],[ID]])))="",TRUE()),"",INDEX(tsk_PlanFinish,(ROW()-ROW(MSPTasks[[#Headers],[ID]]))))</f>
        <v>46274</v>
      </c>
      <c r="Q3" s="24" t="str">
        <f aca="false">IF(IFERROR(INDEX(tsk_Name,(ROW()-ROW(MSPTasks[[#Headers],[ID]])))="",TRUE()),"",IF(INDEX(tsk_BaseDuration,(ROW()-ROW(MSPTasks[[#Headers],[ID]])))="","",N(INDEX(tsk_BaseDuration,(ROW()-ROW(MSPTasks[[#Headers],[ID]]))))&amp;"d"))</f>
        <v/>
      </c>
      <c r="R3" s="24" t="str">
        <f aca="false">IF(IFERROR(INDEX(tsk_Name,(ROW()-ROW(MSPTasks[[#Headers],[ID]])))="",TRUE()),"",IF(INDEX(tsk_BaseWork,(ROW()-ROW(MSPTasks[[#Headers],[ID]])))="","",N(INDEX(tsk_BaseWork,(ROW()-ROW(MSPTasks[[#Headers],[ID]]))))&amp;"h"))</f>
        <v/>
      </c>
      <c r="S3" s="24" t="str">
        <f aca="false">IF(IFERROR(INDEX(tsk_Name,(ROW()-ROW(MSPTasks[[#Headers],[ID]])))="",TRUE()),"",IF(INDEX(tsk_BaseCost,(ROW()-ROW(MSPTasks[[#Headers],[ID]])))="","",N(INDEX(tsk_BaseCost,(ROW()-ROW(MSPTasks[[#Headers],[ID]]))))))</f>
        <v/>
      </c>
      <c r="T3" s="96" t="n">
        <f aca="false">IF(IFERROR(INDEX(tsk_Name,(ROW()-ROW(MSPTasks[[#Headers],[ID]])))="",TRUE()),"",IF(INDEX(tsk_IsSummary,(ROW()-ROW(MSPTasks[[#Headers],[ID]]))),"",IF(N(INDEX(tsk_ActCostInput,(ROW()-ROW(MSPTasks[[#Headers],[ID]]))))=0,"",INDEX(tsk_ActCostInput,(ROW()-ROW(MSPTasks[[#Headers],[ID]]))))))</f>
        <v>3040</v>
      </c>
      <c r="U3" s="24" t="str">
        <f aca="false">IF(IFERROR(INDEX(tsk_Name,(ROW()-ROW(MSPTasks[[#Headers],[ID]])))="",TRUE()),"",IF(INDEX(tsk_IsSummary,(ROW()-ROW(MSPTasks[[#Headers],[ID]]))),"",IF(AND(INDEX(tsk_Mode,(ROW()-ROW(MSPTasks[[#Headers],[ID]])))&lt;&gt;"Manual",N(INDEX(tsk_Constraint,(ROW()-ROW(MSPTasks[[#Headers],[ID]]))))&gt;0),"Start No Earlier Than","As Soon As Possible")))</f>
        <v>As Soon As Possible</v>
      </c>
      <c r="V3" s="127" t="str">
        <f aca="false">IF(IFERROR(INDEX(tsk_Name,(ROW()-ROW(MSPTasks[[#Headers],[ID]])))="",TRUE()),"",IF(OR(INDEX(tsk_IsSummary,(ROW()-ROW(MSPTasks[[#Headers],[ID]]))),INDEX(tsk_Mode,(ROW()-ROW(MSPTasks[[#Headers],[ID]])))="Manual"),"",IF(N(INDEX(tsk_Constraint,(ROW()-ROW(MSPTasks[[#Headers],[ID]]))))=0,"",INDEX(tsk_Constraint,(ROW()-ROW(MSPTasks[[#Headers],[ID]]))))))</f>
        <v/>
      </c>
      <c r="W3" s="127" t="str">
        <f aca="false">IF(IFERROR(INDEX(tsk_Name,(ROW()-ROW(MSPTasks[[#Headers],[ID]])))="",TRUE()),"",IF(N(INDEX(tsk_Deadline,(ROW()-ROW(MSPTasks[[#Headers],[ID]]))))=0,"",INDEX(tsk_Deadline,(ROW()-ROW(MSPTasks[[#Headers],[ID]])))))</f>
        <v/>
      </c>
      <c r="X3" s="24" t="str">
        <f aca="false">IF(IFERROR(INDEX(tsk_Name,(ROW()-ROW(MSPTasks[[#Headers],[ID]])))="",TRUE()),"",IF(INDEX(tsk_IsSummary,(ROW()-ROW(MSPTasks[[#Headers],[ID]]))),"",INDEX(tsk_Sprint,(ROW()-ROW(MSPTasks[[#Headers],[ID]])))&amp;""))</f>
        <v>Sprint 1</v>
      </c>
      <c r="Y3" s="70" t="n">
        <f aca="false">IF(IFERROR(INDEX(tsk_Name,(ROW()-ROW(MSPTasks[[#Headers],[ID]])))="",TRUE()),"",IF(INDEX(tsk_IsSummary,(ROW()-ROW(MSPTasks[[#Headers],[ID]]))),"",IF(N(INDEX(tsk_StoryPoints,(ROW()-ROW(MSPTasks[[#Headers],[ID]]))))=0,"",INDEX(tsk_StoryPoints,(ROW()-ROW(MSPTasks[[#Headers],[ID]]))))))</f>
        <v>3</v>
      </c>
      <c r="Z3" s="24" t="str">
        <f aca="false">IF(IFERROR(INDEX(tsk_Name,(ROW()-ROW(MSPTasks[[#Headers],[ID]])))="",TRUE()),"",INDEX(tsk_Notes,(ROW()-ROW(MSPTasks[[#Headers],[ID]])))&amp;"")</f>
        <v>Took 1 extra day for sponsor sign-off.</v>
      </c>
    </row>
    <row r="4" customFormat="false" ht="15" hidden="false" customHeight="false" outlineLevel="0" collapsed="false">
      <c r="A4" s="24" t="n">
        <f aca="false">IF(IFERROR(INDEX(tsk_Name,(ROW()-ROW(MSPTasks[[#Headers],[ID]])))="",TRUE()),"",INDEX(tsk_ID,(ROW()-ROW(MSPTasks[[#Headers],[ID]]))))</f>
        <v>3</v>
      </c>
      <c r="B4" s="24" t="n">
        <f aca="false">IF(IFERROR(INDEX(tsk_Name,(ROW()-ROW(MSPTasks[[#Headers],[ID]])))="",TRUE()),"",INDEX(tsk_UID,(ROW()-ROW(MSPTasks[[#Headers],[ID]]))))</f>
        <v>3</v>
      </c>
      <c r="C4" s="24" t="str">
        <f aca="false">IF(IFERROR(INDEX(tsk_Name,(ROW()-ROW(MSPTasks[[#Headers],[ID]])))="",TRUE()),"",INDEX(tsk_Name,(ROW()-ROW(MSPTasks[[#Headers],[ID]]))))</f>
        <v>Stakeholder kickoff workshop</v>
      </c>
      <c r="D4" s="24" t="n">
        <f aca="false">IF(IFERROR(INDEX(tsk_Name,(ROW()-ROW(MSPTasks[[#Headers],[ID]])))="",TRUE()),"",INDEX(tsk_Level,(ROW()-ROW(MSPTasks[[#Headers],[ID]]))))</f>
        <v>2</v>
      </c>
      <c r="E4" s="24" t="str">
        <f aca="false">IF(IFERROR(INDEX(tsk_Name,(ROW()-ROW(MSPTasks[[#Headers],[ID]])))="",TRUE()),"",IF(INDEX(tsk_Mode,(ROW()-ROW(MSPTasks[[#Headers],[ID]])))="Manual","Manually Scheduled","Auto Scheduled"))</f>
        <v>Auto Scheduled</v>
      </c>
      <c r="F4" s="24" t="str">
        <f aca="false">IF(IFERROR(INDEX(tsk_Name,(ROW()-ROW(MSPTasks[[#Headers],[ID]])))="",TRUE()),"",IF(INDEX(tsk_IsSummary,(ROW()-ROW(MSPTasks[[#Headers],[ID]]))),"",N(INDEX(tsk_Duration,(ROW()-ROW(MSPTasks[[#Headers],[ID]]))))&amp;"d"))</f>
        <v>2d</v>
      </c>
      <c r="G4" s="127" t="n">
        <f aca="false">IF(IFERROR(INDEX(tsk_Name,(ROW()-ROW(MSPTasks[[#Headers],[ID]])))="",TRUE()),"",INDEX(tsk_FcStart,(ROW()-ROW(MSPTasks[[#Headers],[ID]]))))</f>
        <v>46276</v>
      </c>
      <c r="H4" s="127" t="n">
        <f aca="false">IF(IFERROR(INDEX(tsk_Name,(ROW()-ROW(MSPTasks[[#Headers],[ID]])))="",TRUE()),"",INDEX(tsk_FcFinish,(ROW()-ROW(MSPTasks[[#Headers],[ID]]))))</f>
        <v>46279</v>
      </c>
      <c r="I4" s="24" t="str">
        <f aca="false">IF(IFERROR(INDEX(tsk_Name,(ROW()-ROW(MSPTasks[[#Headers],[ID]])))="",TRUE()),"",IF(INDEX(tsk_IsSummary,(ROW()-ROW(MSPTasks[[#Headers],[ID]]))),"",INDEX(tsk_Predecessors,(ROW()-ROW(MSPTasks[[#Headers],[ID]])))))</f>
        <v>2</v>
      </c>
      <c r="J4" s="24" t="str">
        <f aca="false">IF(IFERROR(INDEX(tsk_Name,(ROW()-ROW(MSPTasks[[#Headers],[ID]])))="",TRUE()),"",IF(INDEX(tsk_IsSummary,(ROW()-ROW(MSPTasks[[#Headers],[ID]]))),"",INDEX(tsk_UIDPredecessors,(ROW()-ROW(MSPTasks[[#Headers],[ID]])))))</f>
        <v>2</v>
      </c>
      <c r="K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Morgan Patel</v>
      </c>
      <c r="L4" s="24" t="n">
        <f aca="false">IF(IFERROR(INDEX(tsk_Name,(ROW()-ROW(MSPTasks[[#Headers],[ID]])))="",TRUE()),"",IF(INDEX(tsk_IsSummary,(ROW()-ROW(MSPTasks[[#Headers],[ID]]))),"",ROUND(INDEX(tsk_Progress,(ROW()-ROW(MSPTasks[[#Headers],[ID]])))*100,0)))</f>
        <v>100</v>
      </c>
      <c r="M4" s="127" t="n">
        <f aca="false">IF(IFERROR(INDEX(tsk_Name,(ROW()-ROW(MSPTasks[[#Headers],[ID]])))="",TRUE()),"",IF(N(INDEX(tsk_ActStart,(ROW()-ROW(MSPTasks[[#Headers],[ID]]))))=0,"",INDEX(tsk_ActStart,(ROW()-ROW(MSPTasks[[#Headers],[ID]])))))</f>
        <v>46276</v>
      </c>
      <c r="N4" s="127" t="n">
        <f aca="false">IF(IFERROR(INDEX(tsk_Name,(ROW()-ROW(MSPTasks[[#Headers],[ID]])))="",TRUE()),"",IF(N(INDEX(tsk_ActFinish,(ROW()-ROW(MSPTasks[[#Headers],[ID]]))))=0,"",INDEX(tsk_ActFinish,(ROW()-ROW(MSPTasks[[#Headers],[ID]])))))</f>
        <v>46279</v>
      </c>
      <c r="O4" s="127" t="n">
        <f aca="false">IF(IFERROR(INDEX(tsk_Name,(ROW()-ROW(MSPTasks[[#Headers],[ID]])))="",TRUE()),"",INDEX(tsk_PlanStart,(ROW()-ROW(MSPTasks[[#Headers],[ID]]))))</f>
        <v>46275</v>
      </c>
      <c r="P4" s="127" t="n">
        <f aca="false">IF(IFERROR(INDEX(tsk_Name,(ROW()-ROW(MSPTasks[[#Headers],[ID]])))="",TRUE()),"",INDEX(tsk_PlanFinish,(ROW()-ROW(MSPTasks[[#Headers],[ID]]))))</f>
        <v>46276</v>
      </c>
      <c r="Q4" s="24" t="str">
        <f aca="false">IF(IFERROR(INDEX(tsk_Name,(ROW()-ROW(MSPTasks[[#Headers],[ID]])))="",TRUE()),"",IF(INDEX(tsk_BaseDuration,(ROW()-ROW(MSPTasks[[#Headers],[ID]])))="","",N(INDEX(tsk_BaseDuration,(ROW()-ROW(MSPTasks[[#Headers],[ID]]))))&amp;"d"))</f>
        <v/>
      </c>
      <c r="R4" s="24" t="str">
        <f aca="false">IF(IFERROR(INDEX(tsk_Name,(ROW()-ROW(MSPTasks[[#Headers],[ID]])))="",TRUE()),"",IF(INDEX(tsk_BaseWork,(ROW()-ROW(MSPTasks[[#Headers],[ID]])))="","",N(INDEX(tsk_BaseWork,(ROW()-ROW(MSPTasks[[#Headers],[ID]]))))&amp;"h"))</f>
        <v/>
      </c>
      <c r="S4" s="24" t="str">
        <f aca="false">IF(IFERROR(INDEX(tsk_Name,(ROW()-ROW(MSPTasks[[#Headers],[ID]])))="",TRUE()),"",IF(INDEX(tsk_BaseCost,(ROW()-ROW(MSPTasks[[#Headers],[ID]])))="","",N(INDEX(tsk_BaseCost,(ROW()-ROW(MSPTasks[[#Headers],[ID]]))))))</f>
        <v/>
      </c>
      <c r="T4" s="24" t="str">
        <f aca="false">IF(IFERROR(INDEX(tsk_Name,(ROW()-ROW(MSPTasks[[#Headers],[ID]])))="",TRUE()),"",IF(INDEX(tsk_IsSummary,(ROW()-ROW(MSPTasks[[#Headers],[ID]]))),"",IF(N(INDEX(tsk_ActCostInput,(ROW()-ROW(MSPTasks[[#Headers],[ID]]))))=0,"",INDEX(tsk_ActCostInput,(ROW()-ROW(MSPTasks[[#Headers],[ID]]))))))</f>
        <v/>
      </c>
      <c r="U4" s="24" t="str">
        <f aca="false">IF(IFERROR(INDEX(tsk_Name,(ROW()-ROW(MSPTasks[[#Headers],[ID]])))="",TRUE()),"",IF(INDEX(tsk_IsSummary,(ROW()-ROW(MSPTasks[[#Headers],[ID]]))),"",IF(AND(INDEX(tsk_Mode,(ROW()-ROW(MSPTasks[[#Headers],[ID]])))&lt;&gt;"Manual",N(INDEX(tsk_Constraint,(ROW()-ROW(MSPTasks[[#Headers],[ID]]))))&gt;0),"Start No Earlier Than","As Soon As Possible")))</f>
        <v>As Soon As Possible</v>
      </c>
      <c r="V4" s="127" t="str">
        <f aca="false">IF(IFERROR(INDEX(tsk_Name,(ROW()-ROW(MSPTasks[[#Headers],[ID]])))="",TRUE()),"",IF(OR(INDEX(tsk_IsSummary,(ROW()-ROW(MSPTasks[[#Headers],[ID]]))),INDEX(tsk_Mode,(ROW()-ROW(MSPTasks[[#Headers],[ID]])))="Manual"),"",IF(N(INDEX(tsk_Constraint,(ROW()-ROW(MSPTasks[[#Headers],[ID]]))))=0,"",INDEX(tsk_Constraint,(ROW()-ROW(MSPTasks[[#Headers],[ID]]))))))</f>
        <v/>
      </c>
      <c r="W4" s="127" t="str">
        <f aca="false">IF(IFERROR(INDEX(tsk_Name,(ROW()-ROW(MSPTasks[[#Headers],[ID]])))="",TRUE()),"",IF(N(INDEX(tsk_Deadline,(ROW()-ROW(MSPTasks[[#Headers],[ID]]))))=0,"",INDEX(tsk_Deadline,(ROW()-ROW(MSPTasks[[#Headers],[ID]])))))</f>
        <v/>
      </c>
      <c r="X4" s="24" t="str">
        <f aca="false">IF(IFERROR(INDEX(tsk_Name,(ROW()-ROW(MSPTasks[[#Headers],[ID]])))="",TRUE()),"",IF(INDEX(tsk_IsSummary,(ROW()-ROW(MSPTasks[[#Headers],[ID]]))),"",INDEX(tsk_Sprint,(ROW()-ROW(MSPTasks[[#Headers],[ID]])))&amp;""))</f>
        <v>Sprint 1</v>
      </c>
      <c r="Y4" s="70" t="n">
        <f aca="false">IF(IFERROR(INDEX(tsk_Name,(ROW()-ROW(MSPTasks[[#Headers],[ID]])))="",TRUE()),"",IF(INDEX(tsk_IsSummary,(ROW()-ROW(MSPTasks[[#Headers],[ID]]))),"",IF(N(INDEX(tsk_StoryPoints,(ROW()-ROW(MSPTasks[[#Headers],[ID]]))))=0,"",INDEX(tsk_StoryPoints,(ROW()-ROW(MSPTasks[[#Headers],[ID]]))))))</f>
        <v>2</v>
      </c>
      <c r="Z4" s="24" t="str">
        <f aca="false">IF(IFERROR(INDEX(tsk_Name,(ROW()-ROW(MSPTasks[[#Headers],[ID]])))="",TRUE()),"",INDEX(tsk_Notes,(ROW()-ROW(MSPTasks[[#Headers],[ID]])))&amp;"")</f>
        <v/>
      </c>
    </row>
    <row r="5" customFormat="false" ht="15" hidden="false" customHeight="false" outlineLevel="0" collapsed="false">
      <c r="A5" s="24" t="n">
        <f aca="false">IF(IFERROR(INDEX(tsk_Name,(ROW()-ROW(MSPTasks[[#Headers],[ID]])))="",TRUE()),"",INDEX(tsk_ID,(ROW()-ROW(MSPTasks[[#Headers],[ID]]))))</f>
        <v>4</v>
      </c>
      <c r="B5" s="24" t="n">
        <f aca="false">IF(IFERROR(INDEX(tsk_Name,(ROW()-ROW(MSPTasks[[#Headers],[ID]])))="",TRUE()),"",INDEX(tsk_UID,(ROW()-ROW(MSPTasks[[#Headers],[ID]]))))</f>
        <v>4</v>
      </c>
      <c r="C5" s="24" t="str">
        <f aca="false">IF(IFERROR(INDEX(tsk_Name,(ROW()-ROW(MSPTasks[[#Headers],[ID]])))="",TRUE()),"",INDEX(tsk_Name,(ROW()-ROW(MSPTasks[[#Headers],[ID]]))))</f>
        <v>Kickoff complete</v>
      </c>
      <c r="D5" s="24" t="n">
        <f aca="false">IF(IFERROR(INDEX(tsk_Name,(ROW()-ROW(MSPTasks[[#Headers],[ID]])))="",TRUE()),"",INDEX(tsk_Level,(ROW()-ROW(MSPTasks[[#Headers],[ID]]))))</f>
        <v>2</v>
      </c>
      <c r="E5" s="24" t="str">
        <f aca="false">IF(IFERROR(INDEX(tsk_Name,(ROW()-ROW(MSPTasks[[#Headers],[ID]])))="",TRUE()),"",IF(INDEX(tsk_Mode,(ROW()-ROW(MSPTasks[[#Headers],[ID]])))="Manual","Manually Scheduled","Auto Scheduled"))</f>
        <v>Auto Scheduled</v>
      </c>
      <c r="F5" s="24" t="str">
        <f aca="false">IF(IFERROR(INDEX(tsk_Name,(ROW()-ROW(MSPTasks[[#Headers],[ID]])))="",TRUE()),"",IF(INDEX(tsk_IsSummary,(ROW()-ROW(MSPTasks[[#Headers],[ID]]))),"",N(INDEX(tsk_Duration,(ROW()-ROW(MSPTasks[[#Headers],[ID]]))))&amp;"d"))</f>
        <v>0d</v>
      </c>
      <c r="G5" s="127" t="n">
        <f aca="false">IF(IFERROR(INDEX(tsk_Name,(ROW()-ROW(MSPTasks[[#Headers],[ID]])))="",TRUE()),"",INDEX(tsk_FcStart,(ROW()-ROW(MSPTasks[[#Headers],[ID]]))))</f>
        <v>46279</v>
      </c>
      <c r="H5" s="127" t="n">
        <f aca="false">IF(IFERROR(INDEX(tsk_Name,(ROW()-ROW(MSPTasks[[#Headers],[ID]])))="",TRUE()),"",INDEX(tsk_FcFinish,(ROW()-ROW(MSPTasks[[#Headers],[ID]]))))</f>
        <v>46279</v>
      </c>
      <c r="I5" s="24" t="str">
        <f aca="false">IF(IFERROR(INDEX(tsk_Name,(ROW()-ROW(MSPTasks[[#Headers],[ID]])))="",TRUE()),"",IF(INDEX(tsk_IsSummary,(ROW()-ROW(MSPTasks[[#Headers],[ID]]))),"",INDEX(tsk_Predecessors,(ROW()-ROW(MSPTasks[[#Headers],[ID]])))))</f>
        <v>3</v>
      </c>
      <c r="J5" s="24" t="str">
        <f aca="false">IF(IFERROR(INDEX(tsk_Name,(ROW()-ROW(MSPTasks[[#Headers],[ID]])))="",TRUE()),"",IF(INDEX(tsk_IsSummary,(ROW()-ROW(MSPTasks[[#Headers],[ID]]))),"",INDEX(tsk_UIDPredecessors,(ROW()-ROW(MSPTasks[[#Headers],[ID]])))))</f>
        <v>3</v>
      </c>
      <c r="K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 s="24" t="n">
        <f aca="false">IF(IFERROR(INDEX(tsk_Name,(ROW()-ROW(MSPTasks[[#Headers],[ID]])))="",TRUE()),"",IF(INDEX(tsk_IsSummary,(ROW()-ROW(MSPTasks[[#Headers],[ID]]))),"",ROUND(INDEX(tsk_Progress,(ROW()-ROW(MSPTasks[[#Headers],[ID]])))*100,0)))</f>
        <v>100</v>
      </c>
      <c r="M5" s="127" t="n">
        <f aca="false">IF(IFERROR(INDEX(tsk_Name,(ROW()-ROW(MSPTasks[[#Headers],[ID]])))="",TRUE()),"",IF(N(INDEX(tsk_ActStart,(ROW()-ROW(MSPTasks[[#Headers],[ID]]))))=0,"",INDEX(tsk_ActStart,(ROW()-ROW(MSPTasks[[#Headers],[ID]])))))</f>
        <v>46279</v>
      </c>
      <c r="N5" s="127" t="n">
        <f aca="false">IF(IFERROR(INDEX(tsk_Name,(ROW()-ROW(MSPTasks[[#Headers],[ID]])))="",TRUE()),"",IF(N(INDEX(tsk_ActFinish,(ROW()-ROW(MSPTasks[[#Headers],[ID]]))))=0,"",INDEX(tsk_ActFinish,(ROW()-ROW(MSPTasks[[#Headers],[ID]])))))</f>
        <v>46279</v>
      </c>
      <c r="O5" s="127" t="n">
        <f aca="false">IF(IFERROR(INDEX(tsk_Name,(ROW()-ROW(MSPTasks[[#Headers],[ID]])))="",TRUE()),"",INDEX(tsk_PlanStart,(ROW()-ROW(MSPTasks[[#Headers],[ID]]))))</f>
        <v>46276</v>
      </c>
      <c r="P5" s="127" t="n">
        <f aca="false">IF(IFERROR(INDEX(tsk_Name,(ROW()-ROW(MSPTasks[[#Headers],[ID]])))="",TRUE()),"",INDEX(tsk_PlanFinish,(ROW()-ROW(MSPTasks[[#Headers],[ID]]))))</f>
        <v>46276</v>
      </c>
      <c r="Q5" s="24" t="str">
        <f aca="false">IF(IFERROR(INDEX(tsk_Name,(ROW()-ROW(MSPTasks[[#Headers],[ID]])))="",TRUE()),"",IF(INDEX(tsk_BaseDuration,(ROW()-ROW(MSPTasks[[#Headers],[ID]])))="","",N(INDEX(tsk_BaseDuration,(ROW()-ROW(MSPTasks[[#Headers],[ID]]))))&amp;"d"))</f>
        <v/>
      </c>
      <c r="R5" s="24" t="str">
        <f aca="false">IF(IFERROR(INDEX(tsk_Name,(ROW()-ROW(MSPTasks[[#Headers],[ID]])))="",TRUE()),"",IF(INDEX(tsk_BaseWork,(ROW()-ROW(MSPTasks[[#Headers],[ID]])))="","",N(INDEX(tsk_BaseWork,(ROW()-ROW(MSPTasks[[#Headers],[ID]]))))&amp;"h"))</f>
        <v/>
      </c>
      <c r="S5" s="24" t="str">
        <f aca="false">IF(IFERROR(INDEX(tsk_Name,(ROW()-ROW(MSPTasks[[#Headers],[ID]])))="",TRUE()),"",IF(INDEX(tsk_BaseCost,(ROW()-ROW(MSPTasks[[#Headers],[ID]])))="","",N(INDEX(tsk_BaseCost,(ROW()-ROW(MSPTasks[[#Headers],[ID]]))))))</f>
        <v/>
      </c>
      <c r="T5" s="24" t="str">
        <f aca="false">IF(IFERROR(INDEX(tsk_Name,(ROW()-ROW(MSPTasks[[#Headers],[ID]])))="",TRUE()),"",IF(INDEX(tsk_IsSummary,(ROW()-ROW(MSPTasks[[#Headers],[ID]]))),"",IF(N(INDEX(tsk_ActCostInput,(ROW()-ROW(MSPTasks[[#Headers],[ID]]))))=0,"",INDEX(tsk_ActCostInput,(ROW()-ROW(MSPTasks[[#Headers],[ID]]))))))</f>
        <v/>
      </c>
      <c r="U5" s="24" t="str">
        <f aca="false">IF(IFERROR(INDEX(tsk_Name,(ROW()-ROW(MSPTasks[[#Headers],[ID]])))="",TRUE()),"",IF(INDEX(tsk_IsSummary,(ROW()-ROW(MSPTasks[[#Headers],[ID]]))),"",IF(AND(INDEX(tsk_Mode,(ROW()-ROW(MSPTasks[[#Headers],[ID]])))&lt;&gt;"Manual",N(INDEX(tsk_Constraint,(ROW()-ROW(MSPTasks[[#Headers],[ID]]))))&gt;0),"Start No Earlier Than","As Soon As Possible")))</f>
        <v>As Soon As Possible</v>
      </c>
      <c r="V5" s="127" t="str">
        <f aca="false">IF(IFERROR(INDEX(tsk_Name,(ROW()-ROW(MSPTasks[[#Headers],[ID]])))="",TRUE()),"",IF(OR(INDEX(tsk_IsSummary,(ROW()-ROW(MSPTasks[[#Headers],[ID]]))),INDEX(tsk_Mode,(ROW()-ROW(MSPTasks[[#Headers],[ID]])))="Manual"),"",IF(N(INDEX(tsk_Constraint,(ROW()-ROW(MSPTasks[[#Headers],[ID]]))))=0,"",INDEX(tsk_Constraint,(ROW()-ROW(MSPTasks[[#Headers],[ID]]))))))</f>
        <v/>
      </c>
      <c r="W5" s="127" t="str">
        <f aca="false">IF(IFERROR(INDEX(tsk_Name,(ROW()-ROW(MSPTasks[[#Headers],[ID]])))="",TRUE()),"",IF(N(INDEX(tsk_Deadline,(ROW()-ROW(MSPTasks[[#Headers],[ID]]))))=0,"",INDEX(tsk_Deadline,(ROW()-ROW(MSPTasks[[#Headers],[ID]])))))</f>
        <v/>
      </c>
      <c r="X5" s="24" t="str">
        <f aca="false">IF(IFERROR(INDEX(tsk_Name,(ROW()-ROW(MSPTasks[[#Headers],[ID]])))="",TRUE()),"",IF(INDEX(tsk_IsSummary,(ROW()-ROW(MSPTasks[[#Headers],[ID]]))),"",INDEX(tsk_Sprint,(ROW()-ROW(MSPTasks[[#Headers],[ID]])))&amp;""))</f>
        <v>Sprint 1</v>
      </c>
      <c r="Y5" s="24" t="str">
        <f aca="false">IF(IFERROR(INDEX(tsk_Name,(ROW()-ROW(MSPTasks[[#Headers],[ID]])))="",TRUE()),"",IF(INDEX(tsk_IsSummary,(ROW()-ROW(MSPTasks[[#Headers],[ID]]))),"",IF(N(INDEX(tsk_StoryPoints,(ROW()-ROW(MSPTasks[[#Headers],[ID]]))))=0,"",INDEX(tsk_StoryPoints,(ROW()-ROW(MSPTasks[[#Headers],[ID]]))))))</f>
        <v/>
      </c>
      <c r="Z5" s="24" t="str">
        <f aca="false">IF(IFERROR(INDEX(tsk_Name,(ROW()-ROW(MSPTasks[[#Headers],[ID]])))="",TRUE()),"",INDEX(tsk_Notes,(ROW()-ROW(MSPTasks[[#Headers],[ID]])))&amp;"")</f>
        <v>Milestone (Duration 0).</v>
      </c>
    </row>
    <row r="6" customFormat="false" ht="15" hidden="false" customHeight="false" outlineLevel="0" collapsed="false">
      <c r="A6" s="24" t="n">
        <f aca="false">IF(IFERROR(INDEX(tsk_Name,(ROW()-ROW(MSPTasks[[#Headers],[ID]])))="",TRUE()),"",INDEX(tsk_ID,(ROW()-ROW(MSPTasks[[#Headers],[ID]]))))</f>
        <v>5</v>
      </c>
      <c r="B6" s="24" t="n">
        <f aca="false">IF(IFERROR(INDEX(tsk_Name,(ROW()-ROW(MSPTasks[[#Headers],[ID]])))="",TRUE()),"",INDEX(tsk_UID,(ROW()-ROW(MSPTasks[[#Headers],[ID]]))))</f>
        <v>5</v>
      </c>
      <c r="C6" s="24" t="str">
        <f aca="false">IF(IFERROR(INDEX(tsk_Name,(ROW()-ROW(MSPTasks[[#Headers],[ID]])))="",TRUE()),"",INDEX(tsk_Name,(ROW()-ROW(MSPTasks[[#Headers],[ID]]))))</f>
        <v>Requirements &amp; Design</v>
      </c>
      <c r="D6" s="24" t="n">
        <f aca="false">IF(IFERROR(INDEX(tsk_Name,(ROW()-ROW(MSPTasks[[#Headers],[ID]])))="",TRUE()),"",INDEX(tsk_Level,(ROW()-ROW(MSPTasks[[#Headers],[ID]]))))</f>
        <v>1</v>
      </c>
      <c r="E6" s="24" t="str">
        <f aca="false">IF(IFERROR(INDEX(tsk_Name,(ROW()-ROW(MSPTasks[[#Headers],[ID]])))="",TRUE()),"",IF(INDEX(tsk_Mode,(ROW()-ROW(MSPTasks[[#Headers],[ID]])))="Manual","Manually Scheduled","Auto Scheduled"))</f>
        <v>Auto Scheduled</v>
      </c>
      <c r="F6" s="24" t="str">
        <f aca="false">IF(IFERROR(INDEX(tsk_Name,(ROW()-ROW(MSPTasks[[#Headers],[ID]])))="",TRUE()),"",IF(INDEX(tsk_IsSummary,(ROW()-ROW(MSPTasks[[#Headers],[ID]]))),"",N(INDEX(tsk_Duration,(ROW()-ROW(MSPTasks[[#Headers],[ID]]))))&amp;"d"))</f>
        <v/>
      </c>
      <c r="G6" s="127" t="n">
        <f aca="false">IF(IFERROR(INDEX(tsk_Name,(ROW()-ROW(MSPTasks[[#Headers],[ID]])))="",TRUE()),"",INDEX(tsk_FcStart,(ROW()-ROW(MSPTasks[[#Headers],[ID]]))))</f>
        <v>46280</v>
      </c>
      <c r="H6" s="127" t="n">
        <f aca="false">IF(IFERROR(INDEX(tsk_Name,(ROW()-ROW(MSPTasks[[#Headers],[ID]])))="",TRUE()),"",INDEX(tsk_FcFinish,(ROW()-ROW(MSPTasks[[#Headers],[ID]]))))</f>
        <v>46301</v>
      </c>
      <c r="I6" s="24" t="str">
        <f aca="false">IF(IFERROR(INDEX(tsk_Name,(ROW()-ROW(MSPTasks[[#Headers],[ID]])))="",TRUE()),"",IF(INDEX(tsk_IsSummary,(ROW()-ROW(MSPTasks[[#Headers],[ID]]))),"",INDEX(tsk_Predecessors,(ROW()-ROW(MSPTasks[[#Headers],[ID]])))))</f>
        <v/>
      </c>
      <c r="J6" s="24" t="str">
        <f aca="false">IF(IFERROR(INDEX(tsk_Name,(ROW()-ROW(MSPTasks[[#Headers],[ID]])))="",TRUE()),"",IF(INDEX(tsk_IsSummary,(ROW()-ROW(MSPTasks[[#Headers],[ID]]))),"",INDEX(tsk_UIDPredecessors,(ROW()-ROW(MSPTasks[[#Headers],[ID]])))))</f>
        <v/>
      </c>
      <c r="K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 s="24" t="str">
        <f aca="false">IF(IFERROR(INDEX(tsk_Name,(ROW()-ROW(MSPTasks[[#Headers],[ID]])))="",TRUE()),"",IF(INDEX(tsk_IsSummary,(ROW()-ROW(MSPTasks[[#Headers],[ID]]))),"",ROUND(INDEX(tsk_Progress,(ROW()-ROW(MSPTasks[[#Headers],[ID]])))*100,0)))</f>
        <v/>
      </c>
      <c r="M6" s="127" t="str">
        <f aca="false">IF(IFERROR(INDEX(tsk_Name,(ROW()-ROW(MSPTasks[[#Headers],[ID]])))="",TRUE()),"",IF(N(INDEX(tsk_ActStart,(ROW()-ROW(MSPTasks[[#Headers],[ID]]))))=0,"",INDEX(tsk_ActStart,(ROW()-ROW(MSPTasks[[#Headers],[ID]])))))</f>
        <v/>
      </c>
      <c r="N6" s="127" t="str">
        <f aca="false">IF(IFERROR(INDEX(tsk_Name,(ROW()-ROW(MSPTasks[[#Headers],[ID]])))="",TRUE()),"",IF(N(INDEX(tsk_ActFinish,(ROW()-ROW(MSPTasks[[#Headers],[ID]]))))=0,"",INDEX(tsk_ActFinish,(ROW()-ROW(MSPTasks[[#Headers],[ID]])))))</f>
        <v/>
      </c>
      <c r="O6" s="127" t="n">
        <f aca="false">IF(IFERROR(INDEX(tsk_Name,(ROW()-ROW(MSPTasks[[#Headers],[ID]])))="",TRUE()),"",INDEX(tsk_PlanStart,(ROW()-ROW(MSPTasks[[#Headers],[ID]]))))</f>
        <v>46279</v>
      </c>
      <c r="P6" s="127" t="n">
        <f aca="false">IF(IFERROR(INDEX(tsk_Name,(ROW()-ROW(MSPTasks[[#Headers],[ID]])))="",TRUE()),"",INDEX(tsk_PlanFinish,(ROW()-ROW(MSPTasks[[#Headers],[ID]]))))</f>
        <v>46296</v>
      </c>
      <c r="Q6" s="24" t="str">
        <f aca="false">IF(IFERROR(INDEX(tsk_Name,(ROW()-ROW(MSPTasks[[#Headers],[ID]])))="",TRUE()),"",IF(INDEX(tsk_BaseDuration,(ROW()-ROW(MSPTasks[[#Headers],[ID]])))="","",N(INDEX(tsk_BaseDuration,(ROW()-ROW(MSPTasks[[#Headers],[ID]]))))&amp;"d"))</f>
        <v/>
      </c>
      <c r="R6" s="24" t="str">
        <f aca="false">IF(IFERROR(INDEX(tsk_Name,(ROW()-ROW(MSPTasks[[#Headers],[ID]])))="",TRUE()),"",IF(INDEX(tsk_BaseWork,(ROW()-ROW(MSPTasks[[#Headers],[ID]])))="","",N(INDEX(tsk_BaseWork,(ROW()-ROW(MSPTasks[[#Headers],[ID]]))))&amp;"h"))</f>
        <v/>
      </c>
      <c r="S6" s="24" t="str">
        <f aca="false">IF(IFERROR(INDEX(tsk_Name,(ROW()-ROW(MSPTasks[[#Headers],[ID]])))="",TRUE()),"",IF(INDEX(tsk_BaseCost,(ROW()-ROW(MSPTasks[[#Headers],[ID]])))="","",N(INDEX(tsk_BaseCost,(ROW()-ROW(MSPTasks[[#Headers],[ID]]))))))</f>
        <v/>
      </c>
      <c r="T6" s="24" t="str">
        <f aca="false">IF(IFERROR(INDEX(tsk_Name,(ROW()-ROW(MSPTasks[[#Headers],[ID]])))="",TRUE()),"",IF(INDEX(tsk_IsSummary,(ROW()-ROW(MSPTasks[[#Headers],[ID]]))),"",IF(N(INDEX(tsk_ActCostInput,(ROW()-ROW(MSPTasks[[#Headers],[ID]]))))=0,"",INDEX(tsk_ActCostInput,(ROW()-ROW(MSPTasks[[#Headers],[ID]]))))))</f>
        <v/>
      </c>
      <c r="U6" s="24" t="str">
        <f aca="false">IF(IFERROR(INDEX(tsk_Name,(ROW()-ROW(MSPTasks[[#Headers],[ID]])))="",TRUE()),"",IF(INDEX(tsk_IsSummary,(ROW()-ROW(MSPTasks[[#Headers],[ID]]))),"",IF(AND(INDEX(tsk_Mode,(ROW()-ROW(MSPTasks[[#Headers],[ID]])))&lt;&gt;"Manual",N(INDEX(tsk_Constraint,(ROW()-ROW(MSPTasks[[#Headers],[ID]]))))&gt;0),"Start No Earlier Than","As Soon As Possible")))</f>
        <v/>
      </c>
      <c r="V6" s="127" t="str">
        <f aca="false">IF(IFERROR(INDEX(tsk_Name,(ROW()-ROW(MSPTasks[[#Headers],[ID]])))="",TRUE()),"",IF(OR(INDEX(tsk_IsSummary,(ROW()-ROW(MSPTasks[[#Headers],[ID]]))),INDEX(tsk_Mode,(ROW()-ROW(MSPTasks[[#Headers],[ID]])))="Manual"),"",IF(N(INDEX(tsk_Constraint,(ROW()-ROW(MSPTasks[[#Headers],[ID]]))))=0,"",INDEX(tsk_Constraint,(ROW()-ROW(MSPTasks[[#Headers],[ID]]))))))</f>
        <v/>
      </c>
      <c r="W6" s="127" t="str">
        <f aca="false">IF(IFERROR(INDEX(tsk_Name,(ROW()-ROW(MSPTasks[[#Headers],[ID]])))="",TRUE()),"",IF(N(INDEX(tsk_Deadline,(ROW()-ROW(MSPTasks[[#Headers],[ID]]))))=0,"",INDEX(tsk_Deadline,(ROW()-ROW(MSPTasks[[#Headers],[ID]])))))</f>
        <v/>
      </c>
      <c r="X6" s="24" t="str">
        <f aca="false">IF(IFERROR(INDEX(tsk_Name,(ROW()-ROW(MSPTasks[[#Headers],[ID]])))="",TRUE()),"",IF(INDEX(tsk_IsSummary,(ROW()-ROW(MSPTasks[[#Headers],[ID]]))),"",INDEX(tsk_Sprint,(ROW()-ROW(MSPTasks[[#Headers],[ID]])))&amp;""))</f>
        <v/>
      </c>
      <c r="Y6" s="24" t="str">
        <f aca="false">IF(IFERROR(INDEX(tsk_Name,(ROW()-ROW(MSPTasks[[#Headers],[ID]])))="",TRUE()),"",IF(INDEX(tsk_IsSummary,(ROW()-ROW(MSPTasks[[#Headers],[ID]]))),"",IF(N(INDEX(tsk_StoryPoints,(ROW()-ROW(MSPTasks[[#Headers],[ID]]))))=0,"",INDEX(tsk_StoryPoints,(ROW()-ROW(MSPTasks[[#Headers],[ID]]))))))</f>
        <v/>
      </c>
      <c r="Z6" s="24" t="str">
        <f aca="false">IF(IFERROR(INDEX(tsk_Name,(ROW()-ROW(MSPTasks[[#Headers],[ID]])))="",TRUE()),"",INDEX(tsk_Notes,(ROW()-ROW(MSPTasks[[#Headers],[ID]])))&amp;"")</f>
        <v/>
      </c>
    </row>
    <row r="7" customFormat="false" ht="15" hidden="false" customHeight="false" outlineLevel="0" collapsed="false">
      <c r="A7" s="24" t="n">
        <f aca="false">IF(IFERROR(INDEX(tsk_Name,(ROW()-ROW(MSPTasks[[#Headers],[ID]])))="",TRUE()),"",INDEX(tsk_ID,(ROW()-ROW(MSPTasks[[#Headers],[ID]]))))</f>
        <v>6</v>
      </c>
      <c r="B7" s="24" t="n">
        <f aca="false">IF(IFERROR(INDEX(tsk_Name,(ROW()-ROW(MSPTasks[[#Headers],[ID]])))="",TRUE()),"",INDEX(tsk_UID,(ROW()-ROW(MSPTasks[[#Headers],[ID]]))))</f>
        <v>6</v>
      </c>
      <c r="C7" s="24" t="str">
        <f aca="false">IF(IFERROR(INDEX(tsk_Name,(ROW()-ROW(MSPTasks[[#Headers],[ID]])))="",TRUE()),"",INDEX(tsk_Name,(ROW()-ROW(MSPTasks[[#Headers],[ID]]))))</f>
        <v>Requirements gathering</v>
      </c>
      <c r="D7" s="24" t="n">
        <f aca="false">IF(IFERROR(INDEX(tsk_Name,(ROW()-ROW(MSPTasks[[#Headers],[ID]])))="",TRUE()),"",INDEX(tsk_Level,(ROW()-ROW(MSPTasks[[#Headers],[ID]]))))</f>
        <v>2</v>
      </c>
      <c r="E7" s="24" t="str">
        <f aca="false">IF(IFERROR(INDEX(tsk_Name,(ROW()-ROW(MSPTasks[[#Headers],[ID]])))="",TRUE()),"",IF(INDEX(tsk_Mode,(ROW()-ROW(MSPTasks[[#Headers],[ID]])))="Manual","Manually Scheduled","Auto Scheduled"))</f>
        <v>Auto Scheduled</v>
      </c>
      <c r="F7" s="24" t="str">
        <f aca="false">IF(IFERROR(INDEX(tsk_Name,(ROW()-ROW(MSPTasks[[#Headers],[ID]])))="",TRUE()),"",IF(INDEX(tsk_IsSummary,(ROW()-ROW(MSPTasks[[#Headers],[ID]]))),"",N(INDEX(tsk_Duration,(ROW()-ROW(MSPTasks[[#Headers],[ID]]))))&amp;"d"))</f>
        <v>8d</v>
      </c>
      <c r="G7" s="127" t="n">
        <f aca="false">IF(IFERROR(INDEX(tsk_Name,(ROW()-ROW(MSPTasks[[#Headers],[ID]])))="",TRUE()),"",INDEX(tsk_FcStart,(ROW()-ROW(MSPTasks[[#Headers],[ID]]))))</f>
        <v>46280</v>
      </c>
      <c r="H7" s="127" t="n">
        <f aca="false">IF(IFERROR(INDEX(tsk_Name,(ROW()-ROW(MSPTasks[[#Headers],[ID]])))="",TRUE()),"",INDEX(tsk_FcFinish,(ROW()-ROW(MSPTasks[[#Headers],[ID]]))))</f>
        <v>46290</v>
      </c>
      <c r="I7" s="24" t="str">
        <f aca="false">IF(IFERROR(INDEX(tsk_Name,(ROW()-ROW(MSPTasks[[#Headers],[ID]])))="",TRUE()),"",IF(INDEX(tsk_IsSummary,(ROW()-ROW(MSPTasks[[#Headers],[ID]]))),"",INDEX(tsk_Predecessors,(ROW()-ROW(MSPTasks[[#Headers],[ID]])))))</f>
        <v>4</v>
      </c>
      <c r="J7" s="24" t="str">
        <f aca="false">IF(IFERROR(INDEX(tsk_Name,(ROW()-ROW(MSPTasks[[#Headers],[ID]])))="",TRUE()),"",IF(INDEX(tsk_IsSummary,(ROW()-ROW(MSPTasks[[#Headers],[ID]]))),"",INDEX(tsk_UIDPredecessors,(ROW()-ROW(MSPTasks[[#Headers],[ID]])))))</f>
        <v>4</v>
      </c>
      <c r="K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Morgan Patel</v>
      </c>
      <c r="L7" s="24" t="n">
        <f aca="false">IF(IFERROR(INDEX(tsk_Name,(ROW()-ROW(MSPTasks[[#Headers],[ID]])))="",TRUE()),"",IF(INDEX(tsk_IsSummary,(ROW()-ROW(MSPTasks[[#Headers],[ID]]))),"",ROUND(INDEX(tsk_Progress,(ROW()-ROW(MSPTasks[[#Headers],[ID]])))*100,0)))</f>
        <v>100</v>
      </c>
      <c r="M7" s="127" t="n">
        <f aca="false">IF(IFERROR(INDEX(tsk_Name,(ROW()-ROW(MSPTasks[[#Headers],[ID]])))="",TRUE()),"",IF(N(INDEX(tsk_ActStart,(ROW()-ROW(MSPTasks[[#Headers],[ID]]))))=0,"",INDEX(tsk_ActStart,(ROW()-ROW(MSPTasks[[#Headers],[ID]])))))</f>
        <v>46280</v>
      </c>
      <c r="N7" s="127" t="n">
        <f aca="false">IF(IFERROR(INDEX(tsk_Name,(ROW()-ROW(MSPTasks[[#Headers],[ID]])))="",TRUE()),"",IF(N(INDEX(tsk_ActFinish,(ROW()-ROW(MSPTasks[[#Headers],[ID]]))))=0,"",INDEX(tsk_ActFinish,(ROW()-ROW(MSPTasks[[#Headers],[ID]])))))</f>
        <v>46290</v>
      </c>
      <c r="O7" s="127" t="n">
        <f aca="false">IF(IFERROR(INDEX(tsk_Name,(ROW()-ROW(MSPTasks[[#Headers],[ID]])))="",TRUE()),"",INDEX(tsk_PlanStart,(ROW()-ROW(MSPTasks[[#Headers],[ID]]))))</f>
        <v>46279</v>
      </c>
      <c r="P7" s="127" t="n">
        <f aca="false">IF(IFERROR(INDEX(tsk_Name,(ROW()-ROW(MSPTasks[[#Headers],[ID]])))="",TRUE()),"",INDEX(tsk_PlanFinish,(ROW()-ROW(MSPTasks[[#Headers],[ID]]))))</f>
        <v>46288</v>
      </c>
      <c r="Q7" s="24" t="str">
        <f aca="false">IF(IFERROR(INDEX(tsk_Name,(ROW()-ROW(MSPTasks[[#Headers],[ID]])))="",TRUE()),"",IF(INDEX(tsk_BaseDuration,(ROW()-ROW(MSPTasks[[#Headers],[ID]])))="","",N(INDEX(tsk_BaseDuration,(ROW()-ROW(MSPTasks[[#Headers],[ID]]))))&amp;"d"))</f>
        <v/>
      </c>
      <c r="R7" s="24" t="str">
        <f aca="false">IF(IFERROR(INDEX(tsk_Name,(ROW()-ROW(MSPTasks[[#Headers],[ID]])))="",TRUE()),"",IF(INDEX(tsk_BaseWork,(ROW()-ROW(MSPTasks[[#Headers],[ID]])))="","",N(INDEX(tsk_BaseWork,(ROW()-ROW(MSPTasks[[#Headers],[ID]]))))&amp;"h"))</f>
        <v/>
      </c>
      <c r="S7" s="24" t="str">
        <f aca="false">IF(IFERROR(INDEX(tsk_Name,(ROW()-ROW(MSPTasks[[#Headers],[ID]])))="",TRUE()),"",IF(INDEX(tsk_BaseCost,(ROW()-ROW(MSPTasks[[#Headers],[ID]])))="","",N(INDEX(tsk_BaseCost,(ROW()-ROW(MSPTasks[[#Headers],[ID]]))))))</f>
        <v/>
      </c>
      <c r="T7" s="96" t="n">
        <f aca="false">IF(IFERROR(INDEX(tsk_Name,(ROW()-ROW(MSPTasks[[#Headers],[ID]])))="",TRUE()),"",IF(INDEX(tsk_IsSummary,(ROW()-ROW(MSPTasks[[#Headers],[ID]]))),"",IF(N(INDEX(tsk_ActCostInput,(ROW()-ROW(MSPTasks[[#Headers],[ID]]))))=0,"",INDEX(tsk_ActCostInput,(ROW()-ROW(MSPTasks[[#Headers],[ID]]))))))</f>
        <v>5040</v>
      </c>
      <c r="U7" s="24" t="str">
        <f aca="false">IF(IFERROR(INDEX(tsk_Name,(ROW()-ROW(MSPTasks[[#Headers],[ID]])))="",TRUE()),"",IF(INDEX(tsk_IsSummary,(ROW()-ROW(MSPTasks[[#Headers],[ID]]))),"",IF(AND(INDEX(tsk_Mode,(ROW()-ROW(MSPTasks[[#Headers],[ID]])))&lt;&gt;"Manual",N(INDEX(tsk_Constraint,(ROW()-ROW(MSPTasks[[#Headers],[ID]]))))&gt;0),"Start No Earlier Than","As Soon As Possible")))</f>
        <v>As Soon As Possible</v>
      </c>
      <c r="V7" s="127" t="str">
        <f aca="false">IF(IFERROR(INDEX(tsk_Name,(ROW()-ROW(MSPTasks[[#Headers],[ID]])))="",TRUE()),"",IF(OR(INDEX(tsk_IsSummary,(ROW()-ROW(MSPTasks[[#Headers],[ID]]))),INDEX(tsk_Mode,(ROW()-ROW(MSPTasks[[#Headers],[ID]])))="Manual"),"",IF(N(INDEX(tsk_Constraint,(ROW()-ROW(MSPTasks[[#Headers],[ID]]))))=0,"",INDEX(tsk_Constraint,(ROW()-ROW(MSPTasks[[#Headers],[ID]]))))))</f>
        <v/>
      </c>
      <c r="W7" s="127" t="str">
        <f aca="false">IF(IFERROR(INDEX(tsk_Name,(ROW()-ROW(MSPTasks[[#Headers],[ID]])))="",TRUE()),"",IF(N(INDEX(tsk_Deadline,(ROW()-ROW(MSPTasks[[#Headers],[ID]]))))=0,"",INDEX(tsk_Deadline,(ROW()-ROW(MSPTasks[[#Headers],[ID]])))))</f>
        <v/>
      </c>
      <c r="X7" s="24" t="str">
        <f aca="false">IF(IFERROR(INDEX(tsk_Name,(ROW()-ROW(MSPTasks[[#Headers],[ID]])))="",TRUE()),"",IF(INDEX(tsk_IsSummary,(ROW()-ROW(MSPTasks[[#Headers],[ID]]))),"",INDEX(tsk_Sprint,(ROW()-ROW(MSPTasks[[#Headers],[ID]])))&amp;""))</f>
        <v>Sprint 1</v>
      </c>
      <c r="Y7" s="70" t="n">
        <f aca="false">IF(IFERROR(INDEX(tsk_Name,(ROW()-ROW(MSPTasks[[#Headers],[ID]])))="",TRUE()),"",IF(INDEX(tsk_IsSummary,(ROW()-ROW(MSPTasks[[#Headers],[ID]]))),"",IF(N(INDEX(tsk_StoryPoints,(ROW()-ROW(MSPTasks[[#Headers],[ID]]))))=0,"",INDEX(tsk_StoryPoints,(ROW()-ROW(MSPTasks[[#Headers],[ID]]))))))</f>
        <v>8</v>
      </c>
      <c r="Z7" s="24" t="str">
        <f aca="false">IF(IFERROR(INDEX(tsk_Name,(ROW()-ROW(MSPTasks[[#Headers],[ID]])))="",TRUE()),"",INDEX(tsk_Notes,(ROW()-ROW(MSPTasks[[#Headers],[ID]])))&amp;"")</f>
        <v/>
      </c>
    </row>
    <row r="8" customFormat="false" ht="15" hidden="false" customHeight="false" outlineLevel="0" collapsed="false">
      <c r="A8" s="24" t="n">
        <f aca="false">IF(IFERROR(INDEX(tsk_Name,(ROW()-ROW(MSPTasks[[#Headers],[ID]])))="",TRUE()),"",INDEX(tsk_ID,(ROW()-ROW(MSPTasks[[#Headers],[ID]]))))</f>
        <v>7</v>
      </c>
      <c r="B8" s="24" t="n">
        <f aca="false">IF(IFERROR(INDEX(tsk_Name,(ROW()-ROW(MSPTasks[[#Headers],[ID]])))="",TRUE()),"",INDEX(tsk_UID,(ROW()-ROW(MSPTasks[[#Headers],[ID]]))))</f>
        <v>7</v>
      </c>
      <c r="C8" s="24" t="str">
        <f aca="false">IF(IFERROR(INDEX(tsk_Name,(ROW()-ROW(MSPTasks[[#Headers],[ID]])))="",TRUE()),"",INDEX(tsk_Name,(ROW()-ROW(MSPTasks[[#Headers],[ID]]))))</f>
        <v>Solution architecture</v>
      </c>
      <c r="D8" s="24" t="n">
        <f aca="false">IF(IFERROR(INDEX(tsk_Name,(ROW()-ROW(MSPTasks[[#Headers],[ID]])))="",TRUE()),"",INDEX(tsk_Level,(ROW()-ROW(MSPTasks[[#Headers],[ID]]))))</f>
        <v>2</v>
      </c>
      <c r="E8" s="24" t="str">
        <f aca="false">IF(IFERROR(INDEX(tsk_Name,(ROW()-ROW(MSPTasks[[#Headers],[ID]])))="",TRUE()),"",IF(INDEX(tsk_Mode,(ROW()-ROW(MSPTasks[[#Headers],[ID]])))="Manual","Manually Scheduled","Auto Scheduled"))</f>
        <v>Auto Scheduled</v>
      </c>
      <c r="F8" s="24" t="str">
        <f aca="false">IF(IFERROR(INDEX(tsk_Name,(ROW()-ROW(MSPTasks[[#Headers],[ID]])))="",TRUE()),"",IF(INDEX(tsk_IsSummary,(ROW()-ROW(MSPTasks[[#Headers],[ID]]))),"",N(INDEX(tsk_Duration,(ROW()-ROW(MSPTasks[[#Headers],[ID]]))))&amp;"d"))</f>
        <v>5d</v>
      </c>
      <c r="G8" s="127" t="n">
        <f aca="false">IF(IFERROR(INDEX(tsk_Name,(ROW()-ROW(MSPTasks[[#Headers],[ID]])))="",TRUE()),"",INDEX(tsk_FcStart,(ROW()-ROW(MSPTasks[[#Headers],[ID]]))))</f>
        <v>46283</v>
      </c>
      <c r="H8" s="127" t="n">
        <f aca="false">IF(IFERROR(INDEX(tsk_Name,(ROW()-ROW(MSPTasks[[#Headers],[ID]])))="",TRUE()),"",INDEX(tsk_FcFinish,(ROW()-ROW(MSPTasks[[#Headers],[ID]]))))</f>
        <v>46290</v>
      </c>
      <c r="I8" s="24" t="str">
        <f aca="false">IF(IFERROR(INDEX(tsk_Name,(ROW()-ROW(MSPTasks[[#Headers],[ID]])))="",TRUE()),"",IF(INDEX(tsk_IsSummary,(ROW()-ROW(MSPTasks[[#Headers],[ID]]))),"",INDEX(tsk_Predecessors,(ROW()-ROW(MSPTasks[[#Headers],[ID]])))))</f>
        <v>6SS+3d</v>
      </c>
      <c r="J8" s="24" t="str">
        <f aca="false">IF(IFERROR(INDEX(tsk_Name,(ROW()-ROW(MSPTasks[[#Headers],[ID]])))="",TRUE()),"",IF(INDEX(tsk_IsSummary,(ROW()-ROW(MSPTasks[[#Headers],[ID]]))),"",INDEX(tsk_UIDPredecessors,(ROW()-ROW(MSPTasks[[#Headers],[ID]])))))</f>
        <v>6SS+3d</v>
      </c>
      <c r="K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Alex Chen</v>
      </c>
      <c r="L8" s="24" t="n">
        <f aca="false">IF(IFERROR(INDEX(tsk_Name,(ROW()-ROW(MSPTasks[[#Headers],[ID]])))="",TRUE()),"",IF(INDEX(tsk_IsSummary,(ROW()-ROW(MSPTasks[[#Headers],[ID]]))),"",ROUND(INDEX(tsk_Progress,(ROW()-ROW(MSPTasks[[#Headers],[ID]])))*100,0)))</f>
        <v>100</v>
      </c>
      <c r="M8" s="127" t="n">
        <f aca="false">IF(IFERROR(INDEX(tsk_Name,(ROW()-ROW(MSPTasks[[#Headers],[ID]])))="",TRUE()),"",IF(N(INDEX(tsk_ActStart,(ROW()-ROW(MSPTasks[[#Headers],[ID]]))))=0,"",INDEX(tsk_ActStart,(ROW()-ROW(MSPTasks[[#Headers],[ID]])))))</f>
        <v>46283</v>
      </c>
      <c r="N8" s="127" t="n">
        <f aca="false">IF(IFERROR(INDEX(tsk_Name,(ROW()-ROW(MSPTasks[[#Headers],[ID]])))="",TRUE()),"",IF(N(INDEX(tsk_ActFinish,(ROW()-ROW(MSPTasks[[#Headers],[ID]]))))=0,"",INDEX(tsk_ActFinish,(ROW()-ROW(MSPTasks[[#Headers],[ID]])))))</f>
        <v>46290</v>
      </c>
      <c r="O8" s="127" t="n">
        <f aca="false">IF(IFERROR(INDEX(tsk_Name,(ROW()-ROW(MSPTasks[[#Headers],[ID]])))="",TRUE()),"",INDEX(tsk_PlanStart,(ROW()-ROW(MSPTasks[[#Headers],[ID]]))))</f>
        <v>46282</v>
      </c>
      <c r="P8" s="127" t="n">
        <f aca="false">IF(IFERROR(INDEX(tsk_Name,(ROW()-ROW(MSPTasks[[#Headers],[ID]])))="",TRUE()),"",INDEX(tsk_PlanFinish,(ROW()-ROW(MSPTasks[[#Headers],[ID]]))))</f>
        <v>46288</v>
      </c>
      <c r="Q8" s="24" t="str">
        <f aca="false">IF(IFERROR(INDEX(tsk_Name,(ROW()-ROW(MSPTasks[[#Headers],[ID]])))="",TRUE()),"",IF(INDEX(tsk_BaseDuration,(ROW()-ROW(MSPTasks[[#Headers],[ID]])))="","",N(INDEX(tsk_BaseDuration,(ROW()-ROW(MSPTasks[[#Headers],[ID]]))))&amp;"d"))</f>
        <v/>
      </c>
      <c r="R8" s="24" t="str">
        <f aca="false">IF(IFERROR(INDEX(tsk_Name,(ROW()-ROW(MSPTasks[[#Headers],[ID]])))="",TRUE()),"",IF(INDEX(tsk_BaseWork,(ROW()-ROW(MSPTasks[[#Headers],[ID]])))="","",N(INDEX(tsk_BaseWork,(ROW()-ROW(MSPTasks[[#Headers],[ID]]))))&amp;"h"))</f>
        <v/>
      </c>
      <c r="S8" s="24" t="str">
        <f aca="false">IF(IFERROR(INDEX(tsk_Name,(ROW()-ROW(MSPTasks[[#Headers],[ID]])))="",TRUE()),"",IF(INDEX(tsk_BaseCost,(ROW()-ROW(MSPTasks[[#Headers],[ID]])))="","",N(INDEX(tsk_BaseCost,(ROW()-ROW(MSPTasks[[#Headers],[ID]]))))))</f>
        <v/>
      </c>
      <c r="T8" s="24" t="str">
        <f aca="false">IF(IFERROR(INDEX(tsk_Name,(ROW()-ROW(MSPTasks[[#Headers],[ID]])))="",TRUE()),"",IF(INDEX(tsk_IsSummary,(ROW()-ROW(MSPTasks[[#Headers],[ID]]))),"",IF(N(INDEX(tsk_ActCostInput,(ROW()-ROW(MSPTasks[[#Headers],[ID]]))))=0,"",INDEX(tsk_ActCostInput,(ROW()-ROW(MSPTasks[[#Headers],[ID]]))))))</f>
        <v/>
      </c>
      <c r="U8" s="24" t="str">
        <f aca="false">IF(IFERROR(INDEX(tsk_Name,(ROW()-ROW(MSPTasks[[#Headers],[ID]])))="",TRUE()),"",IF(INDEX(tsk_IsSummary,(ROW()-ROW(MSPTasks[[#Headers],[ID]]))),"",IF(AND(INDEX(tsk_Mode,(ROW()-ROW(MSPTasks[[#Headers],[ID]])))&lt;&gt;"Manual",N(INDEX(tsk_Constraint,(ROW()-ROW(MSPTasks[[#Headers],[ID]]))))&gt;0),"Start No Earlier Than","As Soon As Possible")))</f>
        <v>As Soon As Possible</v>
      </c>
      <c r="V8" s="127" t="str">
        <f aca="false">IF(IFERROR(INDEX(tsk_Name,(ROW()-ROW(MSPTasks[[#Headers],[ID]])))="",TRUE()),"",IF(OR(INDEX(tsk_IsSummary,(ROW()-ROW(MSPTasks[[#Headers],[ID]]))),INDEX(tsk_Mode,(ROW()-ROW(MSPTasks[[#Headers],[ID]])))="Manual"),"",IF(N(INDEX(tsk_Constraint,(ROW()-ROW(MSPTasks[[#Headers],[ID]]))))=0,"",INDEX(tsk_Constraint,(ROW()-ROW(MSPTasks[[#Headers],[ID]]))))))</f>
        <v/>
      </c>
      <c r="W8" s="127" t="str">
        <f aca="false">IF(IFERROR(INDEX(tsk_Name,(ROW()-ROW(MSPTasks[[#Headers],[ID]])))="",TRUE()),"",IF(N(INDEX(tsk_Deadline,(ROW()-ROW(MSPTasks[[#Headers],[ID]]))))=0,"",INDEX(tsk_Deadline,(ROW()-ROW(MSPTasks[[#Headers],[ID]])))))</f>
        <v/>
      </c>
      <c r="X8" s="24" t="str">
        <f aca="false">IF(IFERROR(INDEX(tsk_Name,(ROW()-ROW(MSPTasks[[#Headers],[ID]])))="",TRUE()),"",IF(INDEX(tsk_IsSummary,(ROW()-ROW(MSPTasks[[#Headers],[ID]]))),"",INDEX(tsk_Sprint,(ROW()-ROW(MSPTasks[[#Headers],[ID]])))&amp;""))</f>
        <v>Sprint 1</v>
      </c>
      <c r="Y8" s="70" t="n">
        <f aca="false">IF(IFERROR(INDEX(tsk_Name,(ROW()-ROW(MSPTasks[[#Headers],[ID]])))="",TRUE()),"",IF(INDEX(tsk_IsSummary,(ROW()-ROW(MSPTasks[[#Headers],[ID]]))),"",IF(N(INDEX(tsk_StoryPoints,(ROW()-ROW(MSPTasks[[#Headers],[ID]]))))=0,"",INDEX(tsk_StoryPoints,(ROW()-ROW(MSPTasks[[#Headers],[ID]]))))))</f>
        <v>5</v>
      </c>
      <c r="Z8" s="24" t="str">
        <f aca="false">IF(IFERROR(INDEX(tsk_Name,(ROW()-ROW(MSPTasks[[#Headers],[ID]])))="",TRUE()),"",INDEX(tsk_Notes,(ROW()-ROW(MSPTasks[[#Headers],[ID]])))&amp;"")</f>
        <v>Start-to-Start + 3 day lag example.</v>
      </c>
    </row>
    <row r="9" customFormat="false" ht="15" hidden="false" customHeight="false" outlineLevel="0" collapsed="false">
      <c r="A9" s="24" t="n">
        <f aca="false">IF(IFERROR(INDEX(tsk_Name,(ROW()-ROW(MSPTasks[[#Headers],[ID]])))="",TRUE()),"",INDEX(tsk_ID,(ROW()-ROW(MSPTasks[[#Headers],[ID]]))))</f>
        <v>8</v>
      </c>
      <c r="B9" s="24" t="n">
        <f aca="false">IF(IFERROR(INDEX(tsk_Name,(ROW()-ROW(MSPTasks[[#Headers],[ID]])))="",TRUE()),"",INDEX(tsk_UID,(ROW()-ROW(MSPTasks[[#Headers],[ID]]))))</f>
        <v>8</v>
      </c>
      <c r="C9" s="24" t="str">
        <f aca="false">IF(IFERROR(INDEX(tsk_Name,(ROW()-ROW(MSPTasks[[#Headers],[ID]])))="",TRUE()),"",INDEX(tsk_Name,(ROW()-ROW(MSPTasks[[#Headers],[ID]]))))</f>
        <v>UX wireframes &amp; prototype</v>
      </c>
      <c r="D9" s="24" t="n">
        <f aca="false">IF(IFERROR(INDEX(tsk_Name,(ROW()-ROW(MSPTasks[[#Headers],[ID]])))="",TRUE()),"",INDEX(tsk_Level,(ROW()-ROW(MSPTasks[[#Headers],[ID]]))))</f>
        <v>2</v>
      </c>
      <c r="E9" s="24" t="str">
        <f aca="false">IF(IFERROR(INDEX(tsk_Name,(ROW()-ROW(MSPTasks[[#Headers],[ID]])))="",TRUE()),"",IF(INDEX(tsk_Mode,(ROW()-ROW(MSPTasks[[#Headers],[ID]])))="Manual","Manually Scheduled","Auto Scheduled"))</f>
        <v>Auto Scheduled</v>
      </c>
      <c r="F9" s="24" t="str">
        <f aca="false">IF(IFERROR(INDEX(tsk_Name,(ROW()-ROW(MSPTasks[[#Headers],[ID]])))="",TRUE()),"",IF(INDEX(tsk_IsSummary,(ROW()-ROW(MSPTasks[[#Headers],[ID]]))),"",N(INDEX(tsk_Duration,(ROW()-ROW(MSPTasks[[#Headers],[ID]]))))&amp;"d"))</f>
        <v>6d</v>
      </c>
      <c r="G9" s="127" t="n">
        <f aca="false">IF(IFERROR(INDEX(tsk_Name,(ROW()-ROW(MSPTasks[[#Headers],[ID]])))="",TRUE()),"",INDEX(tsk_FcStart,(ROW()-ROW(MSPTasks[[#Headers],[ID]]))))</f>
        <v>46293</v>
      </c>
      <c r="H9" s="127" t="n">
        <f aca="false">IF(IFERROR(INDEX(tsk_Name,(ROW()-ROW(MSPTasks[[#Headers],[ID]])))="",TRUE()),"",INDEX(tsk_FcFinish,(ROW()-ROW(MSPTasks[[#Headers],[ID]]))))</f>
        <v>46301</v>
      </c>
      <c r="I9" s="24" t="str">
        <f aca="false">IF(IFERROR(INDEX(tsk_Name,(ROW()-ROW(MSPTasks[[#Headers],[ID]])))="",TRUE()),"",IF(INDEX(tsk_IsSummary,(ROW()-ROW(MSPTasks[[#Headers],[ID]]))),"",INDEX(tsk_Predecessors,(ROW()-ROW(MSPTasks[[#Headers],[ID]])))))</f>
        <v>6</v>
      </c>
      <c r="J9" s="24" t="str">
        <f aca="false">IF(IFERROR(INDEX(tsk_Name,(ROW()-ROW(MSPTasks[[#Headers],[ID]])))="",TRUE()),"",IF(INDEX(tsk_IsSummary,(ROW()-ROW(MSPTasks[[#Headers],[ID]]))),"",INDEX(tsk_UIDPredecessors,(ROW()-ROW(MSPTasks[[#Headers],[ID]])))))</f>
        <v>6</v>
      </c>
      <c r="K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Casey Kim</v>
      </c>
      <c r="L9" s="24" t="n">
        <f aca="false">IF(IFERROR(INDEX(tsk_Name,(ROW()-ROW(MSPTasks[[#Headers],[ID]])))="",TRUE()),"",IF(INDEX(tsk_IsSummary,(ROW()-ROW(MSPTasks[[#Headers],[ID]]))),"",ROUND(INDEX(tsk_Progress,(ROW()-ROW(MSPTasks[[#Headers],[ID]])))*100,0)))</f>
        <v>100</v>
      </c>
      <c r="M9" s="127" t="n">
        <f aca="false">IF(IFERROR(INDEX(tsk_Name,(ROW()-ROW(MSPTasks[[#Headers],[ID]])))="",TRUE()),"",IF(N(INDEX(tsk_ActStart,(ROW()-ROW(MSPTasks[[#Headers],[ID]]))))=0,"",INDEX(tsk_ActStart,(ROW()-ROW(MSPTasks[[#Headers],[ID]])))))</f>
        <v>46293</v>
      </c>
      <c r="N9" s="127" t="n">
        <f aca="false">IF(IFERROR(INDEX(tsk_Name,(ROW()-ROW(MSPTasks[[#Headers],[ID]])))="",TRUE()),"",IF(N(INDEX(tsk_ActFinish,(ROW()-ROW(MSPTasks[[#Headers],[ID]]))))=0,"",INDEX(tsk_ActFinish,(ROW()-ROW(MSPTasks[[#Headers],[ID]])))))</f>
        <v>46301</v>
      </c>
      <c r="O9" s="127" t="n">
        <f aca="false">IF(IFERROR(INDEX(tsk_Name,(ROW()-ROW(MSPTasks[[#Headers],[ID]])))="",TRUE()),"",INDEX(tsk_PlanStart,(ROW()-ROW(MSPTasks[[#Headers],[ID]]))))</f>
        <v>46289</v>
      </c>
      <c r="P9" s="127" t="n">
        <f aca="false">IF(IFERROR(INDEX(tsk_Name,(ROW()-ROW(MSPTasks[[#Headers],[ID]])))="",TRUE()),"",INDEX(tsk_PlanFinish,(ROW()-ROW(MSPTasks[[#Headers],[ID]]))))</f>
        <v>46296</v>
      </c>
      <c r="Q9" s="24" t="str">
        <f aca="false">IF(IFERROR(INDEX(tsk_Name,(ROW()-ROW(MSPTasks[[#Headers],[ID]])))="",TRUE()),"",IF(INDEX(tsk_BaseDuration,(ROW()-ROW(MSPTasks[[#Headers],[ID]])))="","",N(INDEX(tsk_BaseDuration,(ROW()-ROW(MSPTasks[[#Headers],[ID]]))))&amp;"d"))</f>
        <v/>
      </c>
      <c r="R9" s="24" t="str">
        <f aca="false">IF(IFERROR(INDEX(tsk_Name,(ROW()-ROW(MSPTasks[[#Headers],[ID]])))="",TRUE()),"",IF(INDEX(tsk_BaseWork,(ROW()-ROW(MSPTasks[[#Headers],[ID]])))="","",N(INDEX(tsk_BaseWork,(ROW()-ROW(MSPTasks[[#Headers],[ID]]))))&amp;"h"))</f>
        <v/>
      </c>
      <c r="S9" s="24" t="str">
        <f aca="false">IF(IFERROR(INDEX(tsk_Name,(ROW()-ROW(MSPTasks[[#Headers],[ID]])))="",TRUE()),"",IF(INDEX(tsk_BaseCost,(ROW()-ROW(MSPTasks[[#Headers],[ID]])))="","",N(INDEX(tsk_BaseCost,(ROW()-ROW(MSPTasks[[#Headers],[ID]]))))))</f>
        <v/>
      </c>
      <c r="T9" s="24" t="str">
        <f aca="false">IF(IFERROR(INDEX(tsk_Name,(ROW()-ROW(MSPTasks[[#Headers],[ID]])))="",TRUE()),"",IF(INDEX(tsk_IsSummary,(ROW()-ROW(MSPTasks[[#Headers],[ID]]))),"",IF(N(INDEX(tsk_ActCostInput,(ROW()-ROW(MSPTasks[[#Headers],[ID]]))))=0,"",INDEX(tsk_ActCostInput,(ROW()-ROW(MSPTasks[[#Headers],[ID]]))))))</f>
        <v/>
      </c>
      <c r="U9" s="24" t="str">
        <f aca="false">IF(IFERROR(INDEX(tsk_Name,(ROW()-ROW(MSPTasks[[#Headers],[ID]])))="",TRUE()),"",IF(INDEX(tsk_IsSummary,(ROW()-ROW(MSPTasks[[#Headers],[ID]]))),"",IF(AND(INDEX(tsk_Mode,(ROW()-ROW(MSPTasks[[#Headers],[ID]])))&lt;&gt;"Manual",N(INDEX(tsk_Constraint,(ROW()-ROW(MSPTasks[[#Headers],[ID]]))))&gt;0),"Start No Earlier Than","As Soon As Possible")))</f>
        <v>As Soon As Possible</v>
      </c>
      <c r="V9" s="127" t="str">
        <f aca="false">IF(IFERROR(INDEX(tsk_Name,(ROW()-ROW(MSPTasks[[#Headers],[ID]])))="",TRUE()),"",IF(OR(INDEX(tsk_IsSummary,(ROW()-ROW(MSPTasks[[#Headers],[ID]]))),INDEX(tsk_Mode,(ROW()-ROW(MSPTasks[[#Headers],[ID]])))="Manual"),"",IF(N(INDEX(tsk_Constraint,(ROW()-ROW(MSPTasks[[#Headers],[ID]]))))=0,"",INDEX(tsk_Constraint,(ROW()-ROW(MSPTasks[[#Headers],[ID]]))))))</f>
        <v/>
      </c>
      <c r="W9" s="127" t="str">
        <f aca="false">IF(IFERROR(INDEX(tsk_Name,(ROW()-ROW(MSPTasks[[#Headers],[ID]])))="",TRUE()),"",IF(N(INDEX(tsk_Deadline,(ROW()-ROW(MSPTasks[[#Headers],[ID]]))))=0,"",INDEX(tsk_Deadline,(ROW()-ROW(MSPTasks[[#Headers],[ID]])))))</f>
        <v/>
      </c>
      <c r="X9" s="24" t="str">
        <f aca="false">IF(IFERROR(INDEX(tsk_Name,(ROW()-ROW(MSPTasks[[#Headers],[ID]])))="",TRUE()),"",IF(INDEX(tsk_IsSummary,(ROW()-ROW(MSPTasks[[#Headers],[ID]]))),"",INDEX(tsk_Sprint,(ROW()-ROW(MSPTasks[[#Headers],[ID]])))&amp;""))</f>
        <v>Sprint 2</v>
      </c>
      <c r="Y9" s="70" t="n">
        <f aca="false">IF(IFERROR(INDEX(tsk_Name,(ROW()-ROW(MSPTasks[[#Headers],[ID]])))="",TRUE()),"",IF(INDEX(tsk_IsSummary,(ROW()-ROW(MSPTasks[[#Headers],[ID]]))),"",IF(N(INDEX(tsk_StoryPoints,(ROW()-ROW(MSPTasks[[#Headers],[ID]]))))=0,"",INDEX(tsk_StoryPoints,(ROW()-ROW(MSPTasks[[#Headers],[ID]]))))))</f>
        <v>5</v>
      </c>
      <c r="Z9" s="24" t="str">
        <f aca="false">IF(IFERROR(INDEX(tsk_Name,(ROW()-ROW(MSPTasks[[#Headers],[ID]])))="",TRUE()),"",INDEX(tsk_Notes,(ROW()-ROW(MSPTasks[[#Headers],[ID]])))&amp;"")</f>
        <v/>
      </c>
    </row>
    <row r="10" customFormat="false" ht="15" hidden="false" customHeight="false" outlineLevel="0" collapsed="false">
      <c r="A10" s="24" t="n">
        <f aca="false">IF(IFERROR(INDEX(tsk_Name,(ROW()-ROW(MSPTasks[[#Headers],[ID]])))="",TRUE()),"",INDEX(tsk_ID,(ROW()-ROW(MSPTasks[[#Headers],[ID]]))))</f>
        <v>9</v>
      </c>
      <c r="B10" s="24" t="n">
        <f aca="false">IF(IFERROR(INDEX(tsk_Name,(ROW()-ROW(MSPTasks[[#Headers],[ID]])))="",TRUE()),"",INDEX(tsk_UID,(ROW()-ROW(MSPTasks[[#Headers],[ID]]))))</f>
        <v>9</v>
      </c>
      <c r="C10" s="24" t="str">
        <f aca="false">IF(IFERROR(INDEX(tsk_Name,(ROW()-ROW(MSPTasks[[#Headers],[ID]])))="",TRUE()),"",INDEX(tsk_Name,(ROW()-ROW(MSPTasks[[#Headers],[ID]]))))</f>
        <v>Design sign-off</v>
      </c>
      <c r="D10" s="24" t="n">
        <f aca="false">IF(IFERROR(INDEX(tsk_Name,(ROW()-ROW(MSPTasks[[#Headers],[ID]])))="",TRUE()),"",INDEX(tsk_Level,(ROW()-ROW(MSPTasks[[#Headers],[ID]]))))</f>
        <v>2</v>
      </c>
      <c r="E10" s="24" t="str">
        <f aca="false">IF(IFERROR(INDEX(tsk_Name,(ROW()-ROW(MSPTasks[[#Headers],[ID]])))="",TRUE()),"",IF(INDEX(tsk_Mode,(ROW()-ROW(MSPTasks[[#Headers],[ID]])))="Manual","Manually Scheduled","Auto Scheduled"))</f>
        <v>Auto Scheduled</v>
      </c>
      <c r="F10" s="24" t="str">
        <f aca="false">IF(IFERROR(INDEX(tsk_Name,(ROW()-ROW(MSPTasks[[#Headers],[ID]])))="",TRUE()),"",IF(INDEX(tsk_IsSummary,(ROW()-ROW(MSPTasks[[#Headers],[ID]]))),"",N(INDEX(tsk_Duration,(ROW()-ROW(MSPTasks[[#Headers],[ID]]))))&amp;"d"))</f>
        <v>0d</v>
      </c>
      <c r="G10" s="127" t="n">
        <f aca="false">IF(IFERROR(INDEX(tsk_Name,(ROW()-ROW(MSPTasks[[#Headers],[ID]])))="",TRUE()),"",INDEX(tsk_FcStart,(ROW()-ROW(MSPTasks[[#Headers],[ID]]))))</f>
        <v>46301</v>
      </c>
      <c r="H10" s="127" t="n">
        <f aca="false">IF(IFERROR(INDEX(tsk_Name,(ROW()-ROW(MSPTasks[[#Headers],[ID]])))="",TRUE()),"",INDEX(tsk_FcFinish,(ROW()-ROW(MSPTasks[[#Headers],[ID]]))))</f>
        <v>46301</v>
      </c>
      <c r="I10" s="24" t="str">
        <f aca="false">IF(IFERROR(INDEX(tsk_Name,(ROW()-ROW(MSPTasks[[#Headers],[ID]])))="",TRUE()),"",IF(INDEX(tsk_IsSummary,(ROW()-ROW(MSPTasks[[#Headers],[ID]]))),"",INDEX(tsk_Predecessors,(ROW()-ROW(MSPTasks[[#Headers],[ID]])))))</f>
        <v>7,8</v>
      </c>
      <c r="J10" s="24" t="str">
        <f aca="false">IF(IFERROR(INDEX(tsk_Name,(ROW()-ROW(MSPTasks[[#Headers],[ID]])))="",TRUE()),"",IF(INDEX(tsk_IsSummary,(ROW()-ROW(MSPTasks[[#Headers],[ID]]))),"",INDEX(tsk_UIDPredecessors,(ROW()-ROW(MSPTasks[[#Headers],[ID]])))))</f>
        <v>7,8</v>
      </c>
      <c r="K1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 s="24" t="n">
        <f aca="false">IF(IFERROR(INDEX(tsk_Name,(ROW()-ROW(MSPTasks[[#Headers],[ID]])))="",TRUE()),"",IF(INDEX(tsk_IsSummary,(ROW()-ROW(MSPTasks[[#Headers],[ID]]))),"",ROUND(INDEX(tsk_Progress,(ROW()-ROW(MSPTasks[[#Headers],[ID]])))*100,0)))</f>
        <v>100</v>
      </c>
      <c r="M10" s="127" t="n">
        <f aca="false">IF(IFERROR(INDEX(tsk_Name,(ROW()-ROW(MSPTasks[[#Headers],[ID]])))="",TRUE()),"",IF(N(INDEX(tsk_ActStart,(ROW()-ROW(MSPTasks[[#Headers],[ID]]))))=0,"",INDEX(tsk_ActStart,(ROW()-ROW(MSPTasks[[#Headers],[ID]])))))</f>
        <v>46301</v>
      </c>
      <c r="N10" s="127" t="n">
        <f aca="false">IF(IFERROR(INDEX(tsk_Name,(ROW()-ROW(MSPTasks[[#Headers],[ID]])))="",TRUE()),"",IF(N(INDEX(tsk_ActFinish,(ROW()-ROW(MSPTasks[[#Headers],[ID]]))))=0,"",INDEX(tsk_ActFinish,(ROW()-ROW(MSPTasks[[#Headers],[ID]])))))</f>
        <v>46301</v>
      </c>
      <c r="O10" s="127" t="n">
        <f aca="false">IF(IFERROR(INDEX(tsk_Name,(ROW()-ROW(MSPTasks[[#Headers],[ID]])))="",TRUE()),"",INDEX(tsk_PlanStart,(ROW()-ROW(MSPTasks[[#Headers],[ID]]))))</f>
        <v>46296</v>
      </c>
      <c r="P10" s="127" t="n">
        <f aca="false">IF(IFERROR(INDEX(tsk_Name,(ROW()-ROW(MSPTasks[[#Headers],[ID]])))="",TRUE()),"",INDEX(tsk_PlanFinish,(ROW()-ROW(MSPTasks[[#Headers],[ID]]))))</f>
        <v>46296</v>
      </c>
      <c r="Q10" s="24" t="str">
        <f aca="false">IF(IFERROR(INDEX(tsk_Name,(ROW()-ROW(MSPTasks[[#Headers],[ID]])))="",TRUE()),"",IF(INDEX(tsk_BaseDuration,(ROW()-ROW(MSPTasks[[#Headers],[ID]])))="","",N(INDEX(tsk_BaseDuration,(ROW()-ROW(MSPTasks[[#Headers],[ID]]))))&amp;"d"))</f>
        <v/>
      </c>
      <c r="R10" s="24" t="str">
        <f aca="false">IF(IFERROR(INDEX(tsk_Name,(ROW()-ROW(MSPTasks[[#Headers],[ID]])))="",TRUE()),"",IF(INDEX(tsk_BaseWork,(ROW()-ROW(MSPTasks[[#Headers],[ID]])))="","",N(INDEX(tsk_BaseWork,(ROW()-ROW(MSPTasks[[#Headers],[ID]]))))&amp;"h"))</f>
        <v/>
      </c>
      <c r="S10" s="24" t="str">
        <f aca="false">IF(IFERROR(INDEX(tsk_Name,(ROW()-ROW(MSPTasks[[#Headers],[ID]])))="",TRUE()),"",IF(INDEX(tsk_BaseCost,(ROW()-ROW(MSPTasks[[#Headers],[ID]])))="","",N(INDEX(tsk_BaseCost,(ROW()-ROW(MSPTasks[[#Headers],[ID]]))))))</f>
        <v/>
      </c>
      <c r="T10" s="24" t="str">
        <f aca="false">IF(IFERROR(INDEX(tsk_Name,(ROW()-ROW(MSPTasks[[#Headers],[ID]])))="",TRUE()),"",IF(INDEX(tsk_IsSummary,(ROW()-ROW(MSPTasks[[#Headers],[ID]]))),"",IF(N(INDEX(tsk_ActCostInput,(ROW()-ROW(MSPTasks[[#Headers],[ID]]))))=0,"",INDEX(tsk_ActCostInput,(ROW()-ROW(MSPTasks[[#Headers],[ID]]))))))</f>
        <v/>
      </c>
      <c r="U10" s="24" t="str">
        <f aca="false">IF(IFERROR(INDEX(tsk_Name,(ROW()-ROW(MSPTasks[[#Headers],[ID]])))="",TRUE()),"",IF(INDEX(tsk_IsSummary,(ROW()-ROW(MSPTasks[[#Headers],[ID]]))),"",IF(AND(INDEX(tsk_Mode,(ROW()-ROW(MSPTasks[[#Headers],[ID]])))&lt;&gt;"Manual",N(INDEX(tsk_Constraint,(ROW()-ROW(MSPTasks[[#Headers],[ID]]))))&gt;0),"Start No Earlier Than","As Soon As Possible")))</f>
        <v>As Soon As Possible</v>
      </c>
      <c r="V10" s="127" t="str">
        <f aca="false">IF(IFERROR(INDEX(tsk_Name,(ROW()-ROW(MSPTasks[[#Headers],[ID]])))="",TRUE()),"",IF(OR(INDEX(tsk_IsSummary,(ROW()-ROW(MSPTasks[[#Headers],[ID]]))),INDEX(tsk_Mode,(ROW()-ROW(MSPTasks[[#Headers],[ID]])))="Manual"),"",IF(N(INDEX(tsk_Constraint,(ROW()-ROW(MSPTasks[[#Headers],[ID]]))))=0,"",INDEX(tsk_Constraint,(ROW()-ROW(MSPTasks[[#Headers],[ID]]))))))</f>
        <v/>
      </c>
      <c r="W10" s="127" t="str">
        <f aca="false">IF(IFERROR(INDEX(tsk_Name,(ROW()-ROW(MSPTasks[[#Headers],[ID]])))="",TRUE()),"",IF(N(INDEX(tsk_Deadline,(ROW()-ROW(MSPTasks[[#Headers],[ID]]))))=0,"",INDEX(tsk_Deadline,(ROW()-ROW(MSPTasks[[#Headers],[ID]])))))</f>
        <v/>
      </c>
      <c r="X10" s="24" t="str">
        <f aca="false">IF(IFERROR(INDEX(tsk_Name,(ROW()-ROW(MSPTasks[[#Headers],[ID]])))="",TRUE()),"",IF(INDEX(tsk_IsSummary,(ROW()-ROW(MSPTasks[[#Headers],[ID]]))),"",INDEX(tsk_Sprint,(ROW()-ROW(MSPTasks[[#Headers],[ID]])))&amp;""))</f>
        <v>Sprint 3</v>
      </c>
      <c r="Y10" s="24" t="str">
        <f aca="false">IF(IFERROR(INDEX(tsk_Name,(ROW()-ROW(MSPTasks[[#Headers],[ID]])))="",TRUE()),"",IF(INDEX(tsk_IsSummary,(ROW()-ROW(MSPTasks[[#Headers],[ID]]))),"",IF(N(INDEX(tsk_StoryPoints,(ROW()-ROW(MSPTasks[[#Headers],[ID]]))))=0,"",INDEX(tsk_StoryPoints,(ROW()-ROW(MSPTasks[[#Headers],[ID]]))))))</f>
        <v/>
      </c>
      <c r="Z10" s="24" t="str">
        <f aca="false">IF(IFERROR(INDEX(tsk_Name,(ROW()-ROW(MSPTasks[[#Headers],[ID]])))="",TRUE()),"",INDEX(tsk_Notes,(ROW()-ROW(MSPTasks[[#Headers],[ID]])))&amp;"")</f>
        <v>Two predecessors - waits for the later one.</v>
      </c>
    </row>
    <row r="11" customFormat="false" ht="15" hidden="false" customHeight="false" outlineLevel="0" collapsed="false">
      <c r="A11" s="24" t="n">
        <f aca="false">IF(IFERROR(INDEX(tsk_Name,(ROW()-ROW(MSPTasks[[#Headers],[ID]])))="",TRUE()),"",INDEX(tsk_ID,(ROW()-ROW(MSPTasks[[#Headers],[ID]]))))</f>
        <v>10</v>
      </c>
      <c r="B11" s="24" t="n">
        <f aca="false">IF(IFERROR(INDEX(tsk_Name,(ROW()-ROW(MSPTasks[[#Headers],[ID]])))="",TRUE()),"",INDEX(tsk_UID,(ROW()-ROW(MSPTasks[[#Headers],[ID]]))))</f>
        <v>10</v>
      </c>
      <c r="C11" s="24" t="str">
        <f aca="false">IF(IFERROR(INDEX(tsk_Name,(ROW()-ROW(MSPTasks[[#Headers],[ID]])))="",TRUE()),"",INDEX(tsk_Name,(ROW()-ROW(MSPTasks[[#Headers],[ID]]))))</f>
        <v>Build</v>
      </c>
      <c r="D11" s="24" t="n">
        <f aca="false">IF(IFERROR(INDEX(tsk_Name,(ROW()-ROW(MSPTasks[[#Headers],[ID]])))="",TRUE()),"",INDEX(tsk_Level,(ROW()-ROW(MSPTasks[[#Headers],[ID]]))))</f>
        <v>1</v>
      </c>
      <c r="E11" s="24" t="str">
        <f aca="false">IF(IFERROR(INDEX(tsk_Name,(ROW()-ROW(MSPTasks[[#Headers],[ID]])))="",TRUE()),"",IF(INDEX(tsk_Mode,(ROW()-ROW(MSPTasks[[#Headers],[ID]])))="Manual","Manually Scheduled","Auto Scheduled"))</f>
        <v>Auto Scheduled</v>
      </c>
      <c r="F11" s="24" t="str">
        <f aca="false">IF(IFERROR(INDEX(tsk_Name,(ROW()-ROW(MSPTasks[[#Headers],[ID]])))="",TRUE()),"",IF(INDEX(tsk_IsSummary,(ROW()-ROW(MSPTasks[[#Headers],[ID]]))),"",N(INDEX(tsk_Duration,(ROW()-ROW(MSPTasks[[#Headers],[ID]]))))&amp;"d"))</f>
        <v/>
      </c>
      <c r="G11" s="127" t="n">
        <f aca="false">IF(IFERROR(INDEX(tsk_Name,(ROW()-ROW(MSPTasks[[#Headers],[ID]])))="",TRUE()),"",INDEX(tsk_FcStart,(ROW()-ROW(MSPTasks[[#Headers],[ID]]))))</f>
        <v>46302</v>
      </c>
      <c r="H11" s="127" t="n">
        <f aca="false">IF(IFERROR(INDEX(tsk_Name,(ROW()-ROW(MSPTasks[[#Headers],[ID]])))="",TRUE()),"",INDEX(tsk_FcFinish,(ROW()-ROW(MSPTasks[[#Headers],[ID]]))))</f>
        <v>46335</v>
      </c>
      <c r="I11" s="24" t="str">
        <f aca="false">IF(IFERROR(INDEX(tsk_Name,(ROW()-ROW(MSPTasks[[#Headers],[ID]])))="",TRUE()),"",IF(INDEX(tsk_IsSummary,(ROW()-ROW(MSPTasks[[#Headers],[ID]]))),"",INDEX(tsk_Predecessors,(ROW()-ROW(MSPTasks[[#Headers],[ID]])))))</f>
        <v/>
      </c>
      <c r="J11" s="24" t="str">
        <f aca="false">IF(IFERROR(INDEX(tsk_Name,(ROW()-ROW(MSPTasks[[#Headers],[ID]])))="",TRUE()),"",IF(INDEX(tsk_IsSummary,(ROW()-ROW(MSPTasks[[#Headers],[ID]]))),"",INDEX(tsk_UIDPredecessors,(ROW()-ROW(MSPTasks[[#Headers],[ID]])))))</f>
        <v/>
      </c>
      <c r="K1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 s="24" t="str">
        <f aca="false">IF(IFERROR(INDEX(tsk_Name,(ROW()-ROW(MSPTasks[[#Headers],[ID]])))="",TRUE()),"",IF(INDEX(tsk_IsSummary,(ROW()-ROW(MSPTasks[[#Headers],[ID]]))),"",ROUND(INDEX(tsk_Progress,(ROW()-ROW(MSPTasks[[#Headers],[ID]])))*100,0)))</f>
        <v/>
      </c>
      <c r="M11" s="127" t="str">
        <f aca="false">IF(IFERROR(INDEX(tsk_Name,(ROW()-ROW(MSPTasks[[#Headers],[ID]])))="",TRUE()),"",IF(N(INDEX(tsk_ActStart,(ROW()-ROW(MSPTasks[[#Headers],[ID]]))))=0,"",INDEX(tsk_ActStart,(ROW()-ROW(MSPTasks[[#Headers],[ID]])))))</f>
        <v/>
      </c>
      <c r="N11" s="127" t="str">
        <f aca="false">IF(IFERROR(INDEX(tsk_Name,(ROW()-ROW(MSPTasks[[#Headers],[ID]])))="",TRUE()),"",IF(N(INDEX(tsk_ActFinish,(ROW()-ROW(MSPTasks[[#Headers],[ID]]))))=0,"",INDEX(tsk_ActFinish,(ROW()-ROW(MSPTasks[[#Headers],[ID]])))))</f>
        <v/>
      </c>
      <c r="O11" s="127" t="n">
        <f aca="false">IF(IFERROR(INDEX(tsk_Name,(ROW()-ROW(MSPTasks[[#Headers],[ID]])))="",TRUE()),"",INDEX(tsk_PlanStart,(ROW()-ROW(MSPTasks[[#Headers],[ID]]))))</f>
        <v>46297</v>
      </c>
      <c r="P11" s="127" t="n">
        <f aca="false">IF(IFERROR(INDEX(tsk_Name,(ROW()-ROW(MSPTasks[[#Headers],[ID]])))="",TRUE()),"",INDEX(tsk_PlanFinish,(ROW()-ROW(MSPTasks[[#Headers],[ID]]))))</f>
        <v>46325</v>
      </c>
      <c r="Q11" s="24" t="str">
        <f aca="false">IF(IFERROR(INDEX(tsk_Name,(ROW()-ROW(MSPTasks[[#Headers],[ID]])))="",TRUE()),"",IF(INDEX(tsk_BaseDuration,(ROW()-ROW(MSPTasks[[#Headers],[ID]])))="","",N(INDEX(tsk_BaseDuration,(ROW()-ROW(MSPTasks[[#Headers],[ID]]))))&amp;"d"))</f>
        <v/>
      </c>
      <c r="R11" s="24" t="str">
        <f aca="false">IF(IFERROR(INDEX(tsk_Name,(ROW()-ROW(MSPTasks[[#Headers],[ID]])))="",TRUE()),"",IF(INDEX(tsk_BaseWork,(ROW()-ROW(MSPTasks[[#Headers],[ID]])))="","",N(INDEX(tsk_BaseWork,(ROW()-ROW(MSPTasks[[#Headers],[ID]]))))&amp;"h"))</f>
        <v/>
      </c>
      <c r="S11" s="24" t="str">
        <f aca="false">IF(IFERROR(INDEX(tsk_Name,(ROW()-ROW(MSPTasks[[#Headers],[ID]])))="",TRUE()),"",IF(INDEX(tsk_BaseCost,(ROW()-ROW(MSPTasks[[#Headers],[ID]])))="","",N(INDEX(tsk_BaseCost,(ROW()-ROW(MSPTasks[[#Headers],[ID]]))))))</f>
        <v/>
      </c>
      <c r="T11" s="24" t="str">
        <f aca="false">IF(IFERROR(INDEX(tsk_Name,(ROW()-ROW(MSPTasks[[#Headers],[ID]])))="",TRUE()),"",IF(INDEX(tsk_IsSummary,(ROW()-ROW(MSPTasks[[#Headers],[ID]]))),"",IF(N(INDEX(tsk_ActCostInput,(ROW()-ROW(MSPTasks[[#Headers],[ID]]))))=0,"",INDEX(tsk_ActCostInput,(ROW()-ROW(MSPTasks[[#Headers],[ID]]))))))</f>
        <v/>
      </c>
      <c r="U11" s="24" t="str">
        <f aca="false">IF(IFERROR(INDEX(tsk_Name,(ROW()-ROW(MSPTasks[[#Headers],[ID]])))="",TRUE()),"",IF(INDEX(tsk_IsSummary,(ROW()-ROW(MSPTasks[[#Headers],[ID]]))),"",IF(AND(INDEX(tsk_Mode,(ROW()-ROW(MSPTasks[[#Headers],[ID]])))&lt;&gt;"Manual",N(INDEX(tsk_Constraint,(ROW()-ROW(MSPTasks[[#Headers],[ID]]))))&gt;0),"Start No Earlier Than","As Soon As Possible")))</f>
        <v/>
      </c>
      <c r="V11" s="127" t="str">
        <f aca="false">IF(IFERROR(INDEX(tsk_Name,(ROW()-ROW(MSPTasks[[#Headers],[ID]])))="",TRUE()),"",IF(OR(INDEX(tsk_IsSummary,(ROW()-ROW(MSPTasks[[#Headers],[ID]]))),INDEX(tsk_Mode,(ROW()-ROW(MSPTasks[[#Headers],[ID]])))="Manual"),"",IF(N(INDEX(tsk_Constraint,(ROW()-ROW(MSPTasks[[#Headers],[ID]]))))=0,"",INDEX(tsk_Constraint,(ROW()-ROW(MSPTasks[[#Headers],[ID]]))))))</f>
        <v/>
      </c>
      <c r="W11" s="127" t="str">
        <f aca="false">IF(IFERROR(INDEX(tsk_Name,(ROW()-ROW(MSPTasks[[#Headers],[ID]])))="",TRUE()),"",IF(N(INDEX(tsk_Deadline,(ROW()-ROW(MSPTasks[[#Headers],[ID]]))))=0,"",INDEX(tsk_Deadline,(ROW()-ROW(MSPTasks[[#Headers],[ID]])))))</f>
        <v/>
      </c>
      <c r="X11" s="24" t="str">
        <f aca="false">IF(IFERROR(INDEX(tsk_Name,(ROW()-ROW(MSPTasks[[#Headers],[ID]])))="",TRUE()),"",IF(INDEX(tsk_IsSummary,(ROW()-ROW(MSPTasks[[#Headers],[ID]]))),"",INDEX(tsk_Sprint,(ROW()-ROW(MSPTasks[[#Headers],[ID]])))&amp;""))</f>
        <v/>
      </c>
      <c r="Y11" s="24" t="str">
        <f aca="false">IF(IFERROR(INDEX(tsk_Name,(ROW()-ROW(MSPTasks[[#Headers],[ID]])))="",TRUE()),"",IF(INDEX(tsk_IsSummary,(ROW()-ROW(MSPTasks[[#Headers],[ID]]))),"",IF(N(INDEX(tsk_StoryPoints,(ROW()-ROW(MSPTasks[[#Headers],[ID]]))))=0,"",INDEX(tsk_StoryPoints,(ROW()-ROW(MSPTasks[[#Headers],[ID]]))))))</f>
        <v/>
      </c>
      <c r="Z11" s="24" t="str">
        <f aca="false">IF(IFERROR(INDEX(tsk_Name,(ROW()-ROW(MSPTasks[[#Headers],[ID]])))="",TRUE()),"",INDEX(tsk_Notes,(ROW()-ROW(MSPTasks[[#Headers],[ID]])))&amp;"")</f>
        <v/>
      </c>
    </row>
    <row r="12" customFormat="false" ht="15" hidden="false" customHeight="false" outlineLevel="0" collapsed="false">
      <c r="A12" s="24" t="n">
        <f aca="false">IF(IFERROR(INDEX(tsk_Name,(ROW()-ROW(MSPTasks[[#Headers],[ID]])))="",TRUE()),"",INDEX(tsk_ID,(ROW()-ROW(MSPTasks[[#Headers],[ID]]))))</f>
        <v>11</v>
      </c>
      <c r="B12" s="24" t="n">
        <f aca="false">IF(IFERROR(INDEX(tsk_Name,(ROW()-ROW(MSPTasks[[#Headers],[ID]])))="",TRUE()),"",INDEX(tsk_UID,(ROW()-ROW(MSPTasks[[#Headers],[ID]]))))</f>
        <v>11</v>
      </c>
      <c r="C12" s="24" t="str">
        <f aca="false">IF(IFERROR(INDEX(tsk_Name,(ROW()-ROW(MSPTasks[[#Headers],[ID]])))="",TRUE()),"",INDEX(tsk_Name,(ROW()-ROW(MSPTasks[[#Headers],[ID]]))))</f>
        <v>Backend</v>
      </c>
      <c r="D12" s="24" t="n">
        <f aca="false">IF(IFERROR(INDEX(tsk_Name,(ROW()-ROW(MSPTasks[[#Headers],[ID]])))="",TRUE()),"",INDEX(tsk_Level,(ROW()-ROW(MSPTasks[[#Headers],[ID]]))))</f>
        <v>2</v>
      </c>
      <c r="E12" s="24" t="str">
        <f aca="false">IF(IFERROR(INDEX(tsk_Name,(ROW()-ROW(MSPTasks[[#Headers],[ID]])))="",TRUE()),"",IF(INDEX(tsk_Mode,(ROW()-ROW(MSPTasks[[#Headers],[ID]])))="Manual","Manually Scheduled","Auto Scheduled"))</f>
        <v>Auto Scheduled</v>
      </c>
      <c r="F12" s="24" t="str">
        <f aca="false">IF(IFERROR(INDEX(tsk_Name,(ROW()-ROW(MSPTasks[[#Headers],[ID]])))="",TRUE()),"",IF(INDEX(tsk_IsSummary,(ROW()-ROW(MSPTasks[[#Headers],[ID]]))),"",N(INDEX(tsk_Duration,(ROW()-ROW(MSPTasks[[#Headers],[ID]]))))&amp;"d"))</f>
        <v/>
      </c>
      <c r="G12" s="127" t="n">
        <f aca="false">IF(IFERROR(INDEX(tsk_Name,(ROW()-ROW(MSPTasks[[#Headers],[ID]])))="",TRUE()),"",INDEX(tsk_FcStart,(ROW()-ROW(MSPTasks[[#Headers],[ID]]))))</f>
        <v>46302</v>
      </c>
      <c r="H12" s="127" t="n">
        <f aca="false">IF(IFERROR(INDEX(tsk_Name,(ROW()-ROW(MSPTasks[[#Headers],[ID]])))="",TRUE()),"",INDEX(tsk_FcFinish,(ROW()-ROW(MSPTasks[[#Headers],[ID]]))))</f>
        <v>46335</v>
      </c>
      <c r="I12" s="24" t="str">
        <f aca="false">IF(IFERROR(INDEX(tsk_Name,(ROW()-ROW(MSPTasks[[#Headers],[ID]])))="",TRUE()),"",IF(INDEX(tsk_IsSummary,(ROW()-ROW(MSPTasks[[#Headers],[ID]]))),"",INDEX(tsk_Predecessors,(ROW()-ROW(MSPTasks[[#Headers],[ID]])))))</f>
        <v/>
      </c>
      <c r="J12" s="24" t="str">
        <f aca="false">IF(IFERROR(INDEX(tsk_Name,(ROW()-ROW(MSPTasks[[#Headers],[ID]])))="",TRUE()),"",IF(INDEX(tsk_IsSummary,(ROW()-ROW(MSPTasks[[#Headers],[ID]]))),"",INDEX(tsk_UIDPredecessors,(ROW()-ROW(MSPTasks[[#Headers],[ID]])))))</f>
        <v/>
      </c>
      <c r="K1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 s="24" t="str">
        <f aca="false">IF(IFERROR(INDEX(tsk_Name,(ROW()-ROW(MSPTasks[[#Headers],[ID]])))="",TRUE()),"",IF(INDEX(tsk_IsSummary,(ROW()-ROW(MSPTasks[[#Headers],[ID]]))),"",ROUND(INDEX(tsk_Progress,(ROW()-ROW(MSPTasks[[#Headers],[ID]])))*100,0)))</f>
        <v/>
      </c>
      <c r="M12" s="127" t="str">
        <f aca="false">IF(IFERROR(INDEX(tsk_Name,(ROW()-ROW(MSPTasks[[#Headers],[ID]])))="",TRUE()),"",IF(N(INDEX(tsk_ActStart,(ROW()-ROW(MSPTasks[[#Headers],[ID]]))))=0,"",INDEX(tsk_ActStart,(ROW()-ROW(MSPTasks[[#Headers],[ID]])))))</f>
        <v/>
      </c>
      <c r="N12" s="127" t="str">
        <f aca="false">IF(IFERROR(INDEX(tsk_Name,(ROW()-ROW(MSPTasks[[#Headers],[ID]])))="",TRUE()),"",IF(N(INDEX(tsk_ActFinish,(ROW()-ROW(MSPTasks[[#Headers],[ID]]))))=0,"",INDEX(tsk_ActFinish,(ROW()-ROW(MSPTasks[[#Headers],[ID]])))))</f>
        <v/>
      </c>
      <c r="O12" s="127" t="n">
        <f aca="false">IF(IFERROR(INDEX(tsk_Name,(ROW()-ROW(MSPTasks[[#Headers],[ID]])))="",TRUE()),"",INDEX(tsk_PlanStart,(ROW()-ROW(MSPTasks[[#Headers],[ID]]))))</f>
        <v>46297</v>
      </c>
      <c r="P12" s="127" t="n">
        <f aca="false">IF(IFERROR(INDEX(tsk_Name,(ROW()-ROW(MSPTasks[[#Headers],[ID]])))="",TRUE()),"",INDEX(tsk_PlanFinish,(ROW()-ROW(MSPTasks[[#Headers],[ID]]))))</f>
        <v>46325</v>
      </c>
      <c r="Q12" s="24" t="str">
        <f aca="false">IF(IFERROR(INDEX(tsk_Name,(ROW()-ROW(MSPTasks[[#Headers],[ID]])))="",TRUE()),"",IF(INDEX(tsk_BaseDuration,(ROW()-ROW(MSPTasks[[#Headers],[ID]])))="","",N(INDEX(tsk_BaseDuration,(ROW()-ROW(MSPTasks[[#Headers],[ID]]))))&amp;"d"))</f>
        <v/>
      </c>
      <c r="R12" s="24" t="str">
        <f aca="false">IF(IFERROR(INDEX(tsk_Name,(ROW()-ROW(MSPTasks[[#Headers],[ID]])))="",TRUE()),"",IF(INDEX(tsk_BaseWork,(ROW()-ROW(MSPTasks[[#Headers],[ID]])))="","",N(INDEX(tsk_BaseWork,(ROW()-ROW(MSPTasks[[#Headers],[ID]]))))&amp;"h"))</f>
        <v/>
      </c>
      <c r="S12" s="24" t="str">
        <f aca="false">IF(IFERROR(INDEX(tsk_Name,(ROW()-ROW(MSPTasks[[#Headers],[ID]])))="",TRUE()),"",IF(INDEX(tsk_BaseCost,(ROW()-ROW(MSPTasks[[#Headers],[ID]])))="","",N(INDEX(tsk_BaseCost,(ROW()-ROW(MSPTasks[[#Headers],[ID]]))))))</f>
        <v/>
      </c>
      <c r="T12" s="24" t="str">
        <f aca="false">IF(IFERROR(INDEX(tsk_Name,(ROW()-ROW(MSPTasks[[#Headers],[ID]])))="",TRUE()),"",IF(INDEX(tsk_IsSummary,(ROW()-ROW(MSPTasks[[#Headers],[ID]]))),"",IF(N(INDEX(tsk_ActCostInput,(ROW()-ROW(MSPTasks[[#Headers],[ID]]))))=0,"",INDEX(tsk_ActCostInput,(ROW()-ROW(MSPTasks[[#Headers],[ID]]))))))</f>
        <v/>
      </c>
      <c r="U12" s="24" t="str">
        <f aca="false">IF(IFERROR(INDEX(tsk_Name,(ROW()-ROW(MSPTasks[[#Headers],[ID]])))="",TRUE()),"",IF(INDEX(tsk_IsSummary,(ROW()-ROW(MSPTasks[[#Headers],[ID]]))),"",IF(AND(INDEX(tsk_Mode,(ROW()-ROW(MSPTasks[[#Headers],[ID]])))&lt;&gt;"Manual",N(INDEX(tsk_Constraint,(ROW()-ROW(MSPTasks[[#Headers],[ID]]))))&gt;0),"Start No Earlier Than","As Soon As Possible")))</f>
        <v/>
      </c>
      <c r="V12" s="127" t="str">
        <f aca="false">IF(IFERROR(INDEX(tsk_Name,(ROW()-ROW(MSPTasks[[#Headers],[ID]])))="",TRUE()),"",IF(OR(INDEX(tsk_IsSummary,(ROW()-ROW(MSPTasks[[#Headers],[ID]]))),INDEX(tsk_Mode,(ROW()-ROW(MSPTasks[[#Headers],[ID]])))="Manual"),"",IF(N(INDEX(tsk_Constraint,(ROW()-ROW(MSPTasks[[#Headers],[ID]]))))=0,"",INDEX(tsk_Constraint,(ROW()-ROW(MSPTasks[[#Headers],[ID]]))))))</f>
        <v/>
      </c>
      <c r="W12" s="127" t="str">
        <f aca="false">IF(IFERROR(INDEX(tsk_Name,(ROW()-ROW(MSPTasks[[#Headers],[ID]])))="",TRUE()),"",IF(N(INDEX(tsk_Deadline,(ROW()-ROW(MSPTasks[[#Headers],[ID]]))))=0,"",INDEX(tsk_Deadline,(ROW()-ROW(MSPTasks[[#Headers],[ID]])))))</f>
        <v/>
      </c>
      <c r="X12" s="24" t="str">
        <f aca="false">IF(IFERROR(INDEX(tsk_Name,(ROW()-ROW(MSPTasks[[#Headers],[ID]])))="",TRUE()),"",IF(INDEX(tsk_IsSummary,(ROW()-ROW(MSPTasks[[#Headers],[ID]]))),"",INDEX(tsk_Sprint,(ROW()-ROW(MSPTasks[[#Headers],[ID]])))&amp;""))</f>
        <v/>
      </c>
      <c r="Y12" s="24" t="str">
        <f aca="false">IF(IFERROR(INDEX(tsk_Name,(ROW()-ROW(MSPTasks[[#Headers],[ID]])))="",TRUE()),"",IF(INDEX(tsk_IsSummary,(ROW()-ROW(MSPTasks[[#Headers],[ID]]))),"",IF(N(INDEX(tsk_StoryPoints,(ROW()-ROW(MSPTasks[[#Headers],[ID]]))))=0,"",INDEX(tsk_StoryPoints,(ROW()-ROW(MSPTasks[[#Headers],[ID]]))))))</f>
        <v/>
      </c>
      <c r="Z12" s="24" t="str">
        <f aca="false">IF(IFERROR(INDEX(tsk_Name,(ROW()-ROW(MSPTasks[[#Headers],[ID]])))="",TRUE()),"",INDEX(tsk_Notes,(ROW()-ROW(MSPTasks[[#Headers],[ID]])))&amp;"")</f>
        <v>Level-2 summary with sub-tasks.</v>
      </c>
    </row>
    <row r="13" customFormat="false" ht="15" hidden="false" customHeight="false" outlineLevel="0" collapsed="false">
      <c r="A13" s="24" t="n">
        <f aca="false">IF(IFERROR(INDEX(tsk_Name,(ROW()-ROW(MSPTasks[[#Headers],[ID]])))="",TRUE()),"",INDEX(tsk_ID,(ROW()-ROW(MSPTasks[[#Headers],[ID]]))))</f>
        <v>12</v>
      </c>
      <c r="B13" s="24" t="n">
        <f aca="false">IF(IFERROR(INDEX(tsk_Name,(ROW()-ROW(MSPTasks[[#Headers],[ID]])))="",TRUE()),"",INDEX(tsk_UID,(ROW()-ROW(MSPTasks[[#Headers],[ID]]))))</f>
        <v>12</v>
      </c>
      <c r="C13" s="24" t="str">
        <f aca="false">IF(IFERROR(INDEX(tsk_Name,(ROW()-ROW(MSPTasks[[#Headers],[ID]])))="",TRUE()),"",INDEX(tsk_Name,(ROW()-ROW(MSPTasks[[#Headers],[ID]]))))</f>
        <v>Data model &amp; database setup</v>
      </c>
      <c r="D13" s="24" t="n">
        <f aca="false">IF(IFERROR(INDEX(tsk_Name,(ROW()-ROW(MSPTasks[[#Headers],[ID]])))="",TRUE()),"",INDEX(tsk_Level,(ROW()-ROW(MSPTasks[[#Headers],[ID]]))))</f>
        <v>3</v>
      </c>
      <c r="E13" s="24" t="str">
        <f aca="false">IF(IFERROR(INDEX(tsk_Name,(ROW()-ROW(MSPTasks[[#Headers],[ID]])))="",TRUE()),"",IF(INDEX(tsk_Mode,(ROW()-ROW(MSPTasks[[#Headers],[ID]])))="Manual","Manually Scheduled","Auto Scheduled"))</f>
        <v>Auto Scheduled</v>
      </c>
      <c r="F13" s="24" t="str">
        <f aca="false">IF(IFERROR(INDEX(tsk_Name,(ROW()-ROW(MSPTasks[[#Headers],[ID]])))="",TRUE()),"",IF(INDEX(tsk_IsSummary,(ROW()-ROW(MSPTasks[[#Headers],[ID]]))),"",N(INDEX(tsk_Duration,(ROW()-ROW(MSPTasks[[#Headers],[ID]]))))&amp;"d"))</f>
        <v>5d</v>
      </c>
      <c r="G13" s="127" t="n">
        <f aca="false">IF(IFERROR(INDEX(tsk_Name,(ROW()-ROW(MSPTasks[[#Headers],[ID]])))="",TRUE()),"",INDEX(tsk_FcStart,(ROW()-ROW(MSPTasks[[#Headers],[ID]]))))</f>
        <v>46302</v>
      </c>
      <c r="H13" s="127" t="n">
        <f aca="false">IF(IFERROR(INDEX(tsk_Name,(ROW()-ROW(MSPTasks[[#Headers],[ID]])))="",TRUE()),"",INDEX(tsk_FcFinish,(ROW()-ROW(MSPTasks[[#Headers],[ID]]))))</f>
        <v>46309</v>
      </c>
      <c r="I13" s="24" t="str">
        <f aca="false">IF(IFERROR(INDEX(tsk_Name,(ROW()-ROW(MSPTasks[[#Headers],[ID]])))="",TRUE()),"",IF(INDEX(tsk_IsSummary,(ROW()-ROW(MSPTasks[[#Headers],[ID]]))),"",INDEX(tsk_Predecessors,(ROW()-ROW(MSPTasks[[#Headers],[ID]])))))</f>
        <v>9</v>
      </c>
      <c r="J13" s="24" t="str">
        <f aca="false">IF(IFERROR(INDEX(tsk_Name,(ROW()-ROW(MSPTasks[[#Headers],[ID]])))="",TRUE()),"",IF(INDEX(tsk_IsSummary,(ROW()-ROW(MSPTasks[[#Headers],[ID]]))),"",INDEX(tsk_UIDPredecessors,(ROW()-ROW(MSPTasks[[#Headers],[ID]])))))</f>
        <v>9</v>
      </c>
      <c r="K1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Jordan Lee</v>
      </c>
      <c r="L13" s="24" t="n">
        <f aca="false">IF(IFERROR(INDEX(tsk_Name,(ROW()-ROW(MSPTasks[[#Headers],[ID]])))="",TRUE()),"",IF(INDEX(tsk_IsSummary,(ROW()-ROW(MSPTasks[[#Headers],[ID]]))),"",ROUND(INDEX(tsk_Progress,(ROW()-ROW(MSPTasks[[#Headers],[ID]])))*100,0)))</f>
        <v>100</v>
      </c>
      <c r="M13" s="127" t="n">
        <f aca="false">IF(IFERROR(INDEX(tsk_Name,(ROW()-ROW(MSPTasks[[#Headers],[ID]])))="",TRUE()),"",IF(N(INDEX(tsk_ActStart,(ROW()-ROW(MSPTasks[[#Headers],[ID]]))))=0,"",INDEX(tsk_ActStart,(ROW()-ROW(MSPTasks[[#Headers],[ID]])))))</f>
        <v>46302</v>
      </c>
      <c r="N13" s="127" t="n">
        <f aca="false">IF(IFERROR(INDEX(tsk_Name,(ROW()-ROW(MSPTasks[[#Headers],[ID]])))="",TRUE()),"",IF(N(INDEX(tsk_ActFinish,(ROW()-ROW(MSPTasks[[#Headers],[ID]]))))=0,"",INDEX(tsk_ActFinish,(ROW()-ROW(MSPTasks[[#Headers],[ID]])))))</f>
        <v>46309</v>
      </c>
      <c r="O13" s="127" t="n">
        <f aca="false">IF(IFERROR(INDEX(tsk_Name,(ROW()-ROW(MSPTasks[[#Headers],[ID]])))="",TRUE()),"",INDEX(tsk_PlanStart,(ROW()-ROW(MSPTasks[[#Headers],[ID]]))))</f>
        <v>46297</v>
      </c>
      <c r="P13" s="127" t="n">
        <f aca="false">IF(IFERROR(INDEX(tsk_Name,(ROW()-ROW(MSPTasks[[#Headers],[ID]])))="",TRUE()),"",INDEX(tsk_PlanFinish,(ROW()-ROW(MSPTasks[[#Headers],[ID]]))))</f>
        <v>46303</v>
      </c>
      <c r="Q13" s="24" t="str">
        <f aca="false">IF(IFERROR(INDEX(tsk_Name,(ROW()-ROW(MSPTasks[[#Headers],[ID]])))="",TRUE()),"",IF(INDEX(tsk_BaseDuration,(ROW()-ROW(MSPTasks[[#Headers],[ID]])))="","",N(INDEX(tsk_BaseDuration,(ROW()-ROW(MSPTasks[[#Headers],[ID]]))))&amp;"d"))</f>
        <v/>
      </c>
      <c r="R13" s="24" t="str">
        <f aca="false">IF(IFERROR(INDEX(tsk_Name,(ROW()-ROW(MSPTasks[[#Headers],[ID]])))="",TRUE()),"",IF(INDEX(tsk_BaseWork,(ROW()-ROW(MSPTasks[[#Headers],[ID]])))="","",N(INDEX(tsk_BaseWork,(ROW()-ROW(MSPTasks[[#Headers],[ID]]))))&amp;"h"))</f>
        <v/>
      </c>
      <c r="S13" s="24" t="str">
        <f aca="false">IF(IFERROR(INDEX(tsk_Name,(ROW()-ROW(MSPTasks[[#Headers],[ID]])))="",TRUE()),"",IF(INDEX(tsk_BaseCost,(ROW()-ROW(MSPTasks[[#Headers],[ID]])))="","",N(INDEX(tsk_BaseCost,(ROW()-ROW(MSPTasks[[#Headers],[ID]]))))))</f>
        <v/>
      </c>
      <c r="T13" s="24" t="str">
        <f aca="false">IF(IFERROR(INDEX(tsk_Name,(ROW()-ROW(MSPTasks[[#Headers],[ID]])))="",TRUE()),"",IF(INDEX(tsk_IsSummary,(ROW()-ROW(MSPTasks[[#Headers],[ID]]))),"",IF(N(INDEX(tsk_ActCostInput,(ROW()-ROW(MSPTasks[[#Headers],[ID]]))))=0,"",INDEX(tsk_ActCostInput,(ROW()-ROW(MSPTasks[[#Headers],[ID]]))))))</f>
        <v/>
      </c>
      <c r="U13" s="24" t="str">
        <f aca="false">IF(IFERROR(INDEX(tsk_Name,(ROW()-ROW(MSPTasks[[#Headers],[ID]])))="",TRUE()),"",IF(INDEX(tsk_IsSummary,(ROW()-ROW(MSPTasks[[#Headers],[ID]]))),"",IF(AND(INDEX(tsk_Mode,(ROW()-ROW(MSPTasks[[#Headers],[ID]])))&lt;&gt;"Manual",N(INDEX(tsk_Constraint,(ROW()-ROW(MSPTasks[[#Headers],[ID]]))))&gt;0),"Start No Earlier Than","As Soon As Possible")))</f>
        <v>As Soon As Possible</v>
      </c>
      <c r="V13" s="127" t="str">
        <f aca="false">IF(IFERROR(INDEX(tsk_Name,(ROW()-ROW(MSPTasks[[#Headers],[ID]])))="",TRUE()),"",IF(OR(INDEX(tsk_IsSummary,(ROW()-ROW(MSPTasks[[#Headers],[ID]]))),INDEX(tsk_Mode,(ROW()-ROW(MSPTasks[[#Headers],[ID]])))="Manual"),"",IF(N(INDEX(tsk_Constraint,(ROW()-ROW(MSPTasks[[#Headers],[ID]]))))=0,"",INDEX(tsk_Constraint,(ROW()-ROW(MSPTasks[[#Headers],[ID]]))))))</f>
        <v/>
      </c>
      <c r="W13" s="127" t="str">
        <f aca="false">IF(IFERROR(INDEX(tsk_Name,(ROW()-ROW(MSPTasks[[#Headers],[ID]])))="",TRUE()),"",IF(N(INDEX(tsk_Deadline,(ROW()-ROW(MSPTasks[[#Headers],[ID]]))))=0,"",INDEX(tsk_Deadline,(ROW()-ROW(MSPTasks[[#Headers],[ID]])))))</f>
        <v/>
      </c>
      <c r="X13" s="24" t="str">
        <f aca="false">IF(IFERROR(INDEX(tsk_Name,(ROW()-ROW(MSPTasks[[#Headers],[ID]])))="",TRUE()),"",IF(INDEX(tsk_IsSummary,(ROW()-ROW(MSPTasks[[#Headers],[ID]]))),"",INDEX(tsk_Sprint,(ROW()-ROW(MSPTasks[[#Headers],[ID]])))&amp;""))</f>
        <v>Sprint 3</v>
      </c>
      <c r="Y13" s="70" t="n">
        <f aca="false">IF(IFERROR(INDEX(tsk_Name,(ROW()-ROW(MSPTasks[[#Headers],[ID]])))="",TRUE()),"",IF(INDEX(tsk_IsSummary,(ROW()-ROW(MSPTasks[[#Headers],[ID]]))),"",IF(N(INDEX(tsk_StoryPoints,(ROW()-ROW(MSPTasks[[#Headers],[ID]]))))=0,"",INDEX(tsk_StoryPoints,(ROW()-ROW(MSPTasks[[#Headers],[ID]]))))))</f>
        <v>5</v>
      </c>
      <c r="Z13" s="24" t="str">
        <f aca="false">IF(IFERROR(INDEX(tsk_Name,(ROW()-ROW(MSPTasks[[#Headers],[ID]])))="",TRUE()),"",INDEX(tsk_Notes,(ROW()-ROW(MSPTasks[[#Headers],[ID]])))&amp;"")</f>
        <v/>
      </c>
    </row>
    <row r="14" customFormat="false" ht="15" hidden="false" customHeight="false" outlineLevel="0" collapsed="false">
      <c r="A14" s="24" t="n">
        <f aca="false">IF(IFERROR(INDEX(tsk_Name,(ROW()-ROW(MSPTasks[[#Headers],[ID]])))="",TRUE()),"",INDEX(tsk_ID,(ROW()-ROW(MSPTasks[[#Headers],[ID]]))))</f>
        <v>13</v>
      </c>
      <c r="B14" s="24" t="n">
        <f aca="false">IF(IFERROR(INDEX(tsk_Name,(ROW()-ROW(MSPTasks[[#Headers],[ID]])))="",TRUE()),"",INDEX(tsk_UID,(ROW()-ROW(MSPTasks[[#Headers],[ID]]))))</f>
        <v>13</v>
      </c>
      <c r="C14" s="24" t="str">
        <f aca="false">IF(IFERROR(INDEX(tsk_Name,(ROW()-ROW(MSPTasks[[#Headers],[ID]])))="",TRUE()),"",INDEX(tsk_Name,(ROW()-ROW(MSPTasks[[#Headers],[ID]]))))</f>
        <v>Core API endpoints</v>
      </c>
      <c r="D14" s="24" t="n">
        <f aca="false">IF(IFERROR(INDEX(tsk_Name,(ROW()-ROW(MSPTasks[[#Headers],[ID]])))="",TRUE()),"",INDEX(tsk_Level,(ROW()-ROW(MSPTasks[[#Headers],[ID]]))))</f>
        <v>3</v>
      </c>
      <c r="E14" s="24" t="str">
        <f aca="false">IF(IFERROR(INDEX(tsk_Name,(ROW()-ROW(MSPTasks[[#Headers],[ID]])))="",TRUE()),"",IF(INDEX(tsk_Mode,(ROW()-ROW(MSPTasks[[#Headers],[ID]])))="Manual","Manually Scheduled","Auto Scheduled"))</f>
        <v>Auto Scheduled</v>
      </c>
      <c r="F14" s="24" t="str">
        <f aca="false">IF(IFERROR(INDEX(tsk_Name,(ROW()-ROW(MSPTasks[[#Headers],[ID]])))="",TRUE()),"",IF(INDEX(tsk_IsSummary,(ROW()-ROW(MSPTasks[[#Headers],[ID]]))),"",N(INDEX(tsk_Duration,(ROW()-ROW(MSPTasks[[#Headers],[ID]]))))&amp;"d"))</f>
        <v>10d</v>
      </c>
      <c r="G14" s="127" t="n">
        <f aca="false">IF(IFERROR(INDEX(tsk_Name,(ROW()-ROW(MSPTasks[[#Headers],[ID]])))="",TRUE()),"",INDEX(tsk_FcStart,(ROW()-ROW(MSPTasks[[#Headers],[ID]]))))</f>
        <v>46310</v>
      </c>
      <c r="H14" s="127" t="n">
        <f aca="false">IF(IFERROR(INDEX(tsk_Name,(ROW()-ROW(MSPTasks[[#Headers],[ID]])))="",TRUE()),"",INDEX(tsk_FcFinish,(ROW()-ROW(MSPTasks[[#Headers],[ID]]))))</f>
        <v>46325</v>
      </c>
      <c r="I14" s="24" t="str">
        <f aca="false">IF(IFERROR(INDEX(tsk_Name,(ROW()-ROW(MSPTasks[[#Headers],[ID]])))="",TRUE()),"",IF(INDEX(tsk_IsSummary,(ROW()-ROW(MSPTasks[[#Headers],[ID]]))),"",INDEX(tsk_Predecessors,(ROW()-ROW(MSPTasks[[#Headers],[ID]])))))</f>
        <v>12</v>
      </c>
      <c r="J14" s="24" t="str">
        <f aca="false">IF(IFERROR(INDEX(tsk_Name,(ROW()-ROW(MSPTasks[[#Headers],[ID]])))="",TRUE()),"",IF(INDEX(tsk_IsSummary,(ROW()-ROW(MSPTasks[[#Headers],[ID]]))),"",INDEX(tsk_UIDPredecessors,(ROW()-ROW(MSPTasks[[#Headers],[ID]])))))</f>
        <v>12</v>
      </c>
      <c r="K1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Jordan Lee</v>
      </c>
      <c r="L14" s="24" t="n">
        <f aca="false">IF(IFERROR(INDEX(tsk_Name,(ROW()-ROW(MSPTasks[[#Headers],[ID]])))="",TRUE()),"",IF(INDEX(tsk_IsSummary,(ROW()-ROW(MSPTasks[[#Headers],[ID]]))),"",ROUND(INDEX(tsk_Progress,(ROW()-ROW(MSPTasks[[#Headers],[ID]])))*100,0)))</f>
        <v>50</v>
      </c>
      <c r="M14" s="127" t="n">
        <f aca="false">IF(IFERROR(INDEX(tsk_Name,(ROW()-ROW(MSPTasks[[#Headers],[ID]])))="",TRUE()),"",IF(N(INDEX(tsk_ActStart,(ROW()-ROW(MSPTasks[[#Headers],[ID]]))))=0,"",INDEX(tsk_ActStart,(ROW()-ROW(MSPTasks[[#Headers],[ID]])))))</f>
        <v>46310</v>
      </c>
      <c r="N14" s="127" t="str">
        <f aca="false">IF(IFERROR(INDEX(tsk_Name,(ROW()-ROW(MSPTasks[[#Headers],[ID]])))="",TRUE()),"",IF(N(INDEX(tsk_ActFinish,(ROW()-ROW(MSPTasks[[#Headers],[ID]]))))=0,"",INDEX(tsk_ActFinish,(ROW()-ROW(MSPTasks[[#Headers],[ID]])))))</f>
        <v/>
      </c>
      <c r="O14" s="127" t="n">
        <f aca="false">IF(IFERROR(INDEX(tsk_Name,(ROW()-ROW(MSPTasks[[#Headers],[ID]])))="",TRUE()),"",INDEX(tsk_PlanStart,(ROW()-ROW(MSPTasks[[#Headers],[ID]]))))</f>
        <v>46304</v>
      </c>
      <c r="P14" s="127" t="n">
        <f aca="false">IF(IFERROR(INDEX(tsk_Name,(ROW()-ROW(MSPTasks[[#Headers],[ID]])))="",TRUE()),"",INDEX(tsk_PlanFinish,(ROW()-ROW(MSPTasks[[#Headers],[ID]]))))</f>
        <v>46317</v>
      </c>
      <c r="Q14" s="24" t="str">
        <f aca="false">IF(IFERROR(INDEX(tsk_Name,(ROW()-ROW(MSPTasks[[#Headers],[ID]])))="",TRUE()),"",IF(INDEX(tsk_BaseDuration,(ROW()-ROW(MSPTasks[[#Headers],[ID]])))="","",N(INDEX(tsk_BaseDuration,(ROW()-ROW(MSPTasks[[#Headers],[ID]]))))&amp;"d"))</f>
        <v/>
      </c>
      <c r="R14" s="24" t="str">
        <f aca="false">IF(IFERROR(INDEX(tsk_Name,(ROW()-ROW(MSPTasks[[#Headers],[ID]])))="",TRUE()),"",IF(INDEX(tsk_BaseWork,(ROW()-ROW(MSPTasks[[#Headers],[ID]])))="","",N(INDEX(tsk_BaseWork,(ROW()-ROW(MSPTasks[[#Headers],[ID]]))))&amp;"h"))</f>
        <v/>
      </c>
      <c r="S14" s="24" t="str">
        <f aca="false">IF(IFERROR(INDEX(tsk_Name,(ROW()-ROW(MSPTasks[[#Headers],[ID]])))="",TRUE()),"",IF(INDEX(tsk_BaseCost,(ROW()-ROW(MSPTasks[[#Headers],[ID]])))="","",N(INDEX(tsk_BaseCost,(ROW()-ROW(MSPTasks[[#Headers],[ID]]))))))</f>
        <v/>
      </c>
      <c r="T14" s="96" t="n">
        <f aca="false">IF(IFERROR(INDEX(tsk_Name,(ROW()-ROW(MSPTasks[[#Headers],[ID]])))="",TRUE()),"",IF(INDEX(tsk_IsSummary,(ROW()-ROW(MSPTasks[[#Headers],[ID]]))),"",IF(N(INDEX(tsk_ActCostInput,(ROW()-ROW(MSPTasks[[#Headers],[ID]]))))=0,"",INDEX(tsk_ActCostInput,(ROW()-ROW(MSPTasks[[#Headers],[ID]]))))))</f>
        <v>4080</v>
      </c>
      <c r="U14" s="24" t="str">
        <f aca="false">IF(IFERROR(INDEX(tsk_Name,(ROW()-ROW(MSPTasks[[#Headers],[ID]])))="",TRUE()),"",IF(INDEX(tsk_IsSummary,(ROW()-ROW(MSPTasks[[#Headers],[ID]]))),"",IF(AND(INDEX(tsk_Mode,(ROW()-ROW(MSPTasks[[#Headers],[ID]])))&lt;&gt;"Manual",N(INDEX(tsk_Constraint,(ROW()-ROW(MSPTasks[[#Headers],[ID]]))))&gt;0),"Start No Earlier Than","As Soon As Possible")))</f>
        <v>As Soon As Possible</v>
      </c>
      <c r="V14" s="127" t="str">
        <f aca="false">IF(IFERROR(INDEX(tsk_Name,(ROW()-ROW(MSPTasks[[#Headers],[ID]])))="",TRUE()),"",IF(OR(INDEX(tsk_IsSummary,(ROW()-ROW(MSPTasks[[#Headers],[ID]]))),INDEX(tsk_Mode,(ROW()-ROW(MSPTasks[[#Headers],[ID]])))="Manual"),"",IF(N(INDEX(tsk_Constraint,(ROW()-ROW(MSPTasks[[#Headers],[ID]]))))=0,"",INDEX(tsk_Constraint,(ROW()-ROW(MSPTasks[[#Headers],[ID]]))))))</f>
        <v/>
      </c>
      <c r="W14" s="127" t="str">
        <f aca="false">IF(IFERROR(INDEX(tsk_Name,(ROW()-ROW(MSPTasks[[#Headers],[ID]])))="",TRUE()),"",IF(N(INDEX(tsk_Deadline,(ROW()-ROW(MSPTasks[[#Headers],[ID]]))))=0,"",INDEX(tsk_Deadline,(ROW()-ROW(MSPTasks[[#Headers],[ID]])))))</f>
        <v/>
      </c>
      <c r="X14" s="24" t="str">
        <f aca="false">IF(IFERROR(INDEX(tsk_Name,(ROW()-ROW(MSPTasks[[#Headers],[ID]])))="",TRUE()),"",IF(INDEX(tsk_IsSummary,(ROW()-ROW(MSPTasks[[#Headers],[ID]]))),"",INDEX(tsk_Sprint,(ROW()-ROW(MSPTasks[[#Headers],[ID]])))&amp;""))</f>
        <v>Sprint 3</v>
      </c>
      <c r="Y14" s="70" t="n">
        <f aca="false">IF(IFERROR(INDEX(tsk_Name,(ROW()-ROW(MSPTasks[[#Headers],[ID]])))="",TRUE()),"",IF(INDEX(tsk_IsSummary,(ROW()-ROW(MSPTasks[[#Headers],[ID]]))),"",IF(N(INDEX(tsk_StoryPoints,(ROW()-ROW(MSPTasks[[#Headers],[ID]]))))=0,"",INDEX(tsk_StoryPoints,(ROW()-ROW(MSPTasks[[#Headers],[ID]]))))))</f>
        <v>8</v>
      </c>
      <c r="Z14" s="24" t="str">
        <f aca="false">IF(IFERROR(INDEX(tsk_Name,(ROW()-ROW(MSPTasks[[#Headers],[ID]])))="",TRUE()),"",INDEX(tsk_Notes,(ROW()-ROW(MSPTasks[[#Headers],[ID]])))&amp;"")</f>
        <v>In progress - enter % Complete; forecast finish adjusts.</v>
      </c>
    </row>
    <row r="15" customFormat="false" ht="15" hidden="false" customHeight="false" outlineLevel="0" collapsed="false">
      <c r="A15" s="24" t="n">
        <f aca="false">IF(IFERROR(INDEX(tsk_Name,(ROW()-ROW(MSPTasks[[#Headers],[ID]])))="",TRUE()),"",INDEX(tsk_ID,(ROW()-ROW(MSPTasks[[#Headers],[ID]]))))</f>
        <v>14</v>
      </c>
      <c r="B15" s="24" t="n">
        <f aca="false">IF(IFERROR(INDEX(tsk_Name,(ROW()-ROW(MSPTasks[[#Headers],[ID]])))="",TRUE()),"",INDEX(tsk_UID,(ROW()-ROW(MSPTasks[[#Headers],[ID]]))))</f>
        <v>14</v>
      </c>
      <c r="C15" s="24" t="str">
        <f aca="false">IF(IFERROR(INDEX(tsk_Name,(ROW()-ROW(MSPTasks[[#Headers],[ID]])))="",TRUE()),"",INDEX(tsk_Name,(ROW()-ROW(MSPTasks[[#Headers],[ID]]))))</f>
        <v>Payment gateway integration</v>
      </c>
      <c r="D15" s="24" t="n">
        <f aca="false">IF(IFERROR(INDEX(tsk_Name,(ROW()-ROW(MSPTasks[[#Headers],[ID]])))="",TRUE()),"",INDEX(tsk_Level,(ROW()-ROW(MSPTasks[[#Headers],[ID]]))))</f>
        <v>3</v>
      </c>
      <c r="E15" s="24" t="str">
        <f aca="false">IF(IFERROR(INDEX(tsk_Name,(ROW()-ROW(MSPTasks[[#Headers],[ID]])))="",TRUE()),"",IF(INDEX(tsk_Mode,(ROW()-ROW(MSPTasks[[#Headers],[ID]])))="Manual","Manually Scheduled","Auto Scheduled"))</f>
        <v>Auto Scheduled</v>
      </c>
      <c r="F15" s="24" t="str">
        <f aca="false">IF(IFERROR(INDEX(tsk_Name,(ROW()-ROW(MSPTasks[[#Headers],[ID]])))="",TRUE()),"",IF(INDEX(tsk_IsSummary,(ROW()-ROW(MSPTasks[[#Headers],[ID]]))),"",N(INDEX(tsk_Duration,(ROW()-ROW(MSPTasks[[#Headers],[ID]]))))&amp;"d"))</f>
        <v>6d</v>
      </c>
      <c r="G15" s="127" t="n">
        <f aca="false">IF(IFERROR(INDEX(tsk_Name,(ROW()-ROW(MSPTasks[[#Headers],[ID]])))="",TRUE()),"",INDEX(tsk_FcStart,(ROW()-ROW(MSPTasks[[#Headers],[ID]]))))</f>
        <v>46328</v>
      </c>
      <c r="H15" s="127" t="n">
        <f aca="false">IF(IFERROR(INDEX(tsk_Name,(ROW()-ROW(MSPTasks[[#Headers],[ID]])))="",TRUE()),"",INDEX(tsk_FcFinish,(ROW()-ROW(MSPTasks[[#Headers],[ID]]))))</f>
        <v>46335</v>
      </c>
      <c r="I15" s="24" t="str">
        <f aca="false">IF(IFERROR(INDEX(tsk_Name,(ROW()-ROW(MSPTasks[[#Headers],[ID]])))="",TRUE()),"",IF(INDEX(tsk_IsSummary,(ROW()-ROW(MSPTasks[[#Headers],[ID]]))),"",INDEX(tsk_Predecessors,(ROW()-ROW(MSPTasks[[#Headers],[ID]])))))</f>
        <v>13</v>
      </c>
      <c r="J15" s="24" t="str">
        <f aca="false">IF(IFERROR(INDEX(tsk_Name,(ROW()-ROW(MSPTasks[[#Headers],[ID]])))="",TRUE()),"",IF(INDEX(tsk_IsSummary,(ROW()-ROW(MSPTasks[[#Headers],[ID]]))),"",INDEX(tsk_UIDPredecessors,(ROW()-ROW(MSPTasks[[#Headers],[ID]])))))</f>
        <v>13</v>
      </c>
      <c r="K1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Jordan Lee</v>
      </c>
      <c r="L15" s="24" t="n">
        <f aca="false">IF(IFERROR(INDEX(tsk_Name,(ROW()-ROW(MSPTasks[[#Headers],[ID]])))="",TRUE()),"",IF(INDEX(tsk_IsSummary,(ROW()-ROW(MSPTasks[[#Headers],[ID]]))),"",ROUND(INDEX(tsk_Progress,(ROW()-ROW(MSPTasks[[#Headers],[ID]])))*100,0)))</f>
        <v>0</v>
      </c>
      <c r="M15" s="127" t="str">
        <f aca="false">IF(IFERROR(INDEX(tsk_Name,(ROW()-ROW(MSPTasks[[#Headers],[ID]])))="",TRUE()),"",IF(N(INDEX(tsk_ActStart,(ROW()-ROW(MSPTasks[[#Headers],[ID]]))))=0,"",INDEX(tsk_ActStart,(ROW()-ROW(MSPTasks[[#Headers],[ID]])))))</f>
        <v/>
      </c>
      <c r="N15" s="127" t="str">
        <f aca="false">IF(IFERROR(INDEX(tsk_Name,(ROW()-ROW(MSPTasks[[#Headers],[ID]])))="",TRUE()),"",IF(N(INDEX(tsk_ActFinish,(ROW()-ROW(MSPTasks[[#Headers],[ID]]))))=0,"",INDEX(tsk_ActFinish,(ROW()-ROW(MSPTasks[[#Headers],[ID]])))))</f>
        <v/>
      </c>
      <c r="O15" s="127" t="n">
        <f aca="false">IF(IFERROR(INDEX(tsk_Name,(ROW()-ROW(MSPTasks[[#Headers],[ID]])))="",TRUE()),"",INDEX(tsk_PlanStart,(ROW()-ROW(MSPTasks[[#Headers],[ID]]))))</f>
        <v>46318</v>
      </c>
      <c r="P15" s="127" t="n">
        <f aca="false">IF(IFERROR(INDEX(tsk_Name,(ROW()-ROW(MSPTasks[[#Headers],[ID]])))="",TRUE()),"",INDEX(tsk_PlanFinish,(ROW()-ROW(MSPTasks[[#Headers],[ID]]))))</f>
        <v>46325</v>
      </c>
      <c r="Q15" s="24" t="str">
        <f aca="false">IF(IFERROR(INDEX(tsk_Name,(ROW()-ROW(MSPTasks[[#Headers],[ID]])))="",TRUE()),"",IF(INDEX(tsk_BaseDuration,(ROW()-ROW(MSPTasks[[#Headers],[ID]])))="","",N(INDEX(tsk_BaseDuration,(ROW()-ROW(MSPTasks[[#Headers],[ID]]))))&amp;"d"))</f>
        <v/>
      </c>
      <c r="R15" s="24" t="str">
        <f aca="false">IF(IFERROR(INDEX(tsk_Name,(ROW()-ROW(MSPTasks[[#Headers],[ID]])))="",TRUE()),"",IF(INDEX(tsk_BaseWork,(ROW()-ROW(MSPTasks[[#Headers],[ID]])))="","",N(INDEX(tsk_BaseWork,(ROW()-ROW(MSPTasks[[#Headers],[ID]]))))&amp;"h"))</f>
        <v/>
      </c>
      <c r="S15" s="24" t="str">
        <f aca="false">IF(IFERROR(INDEX(tsk_Name,(ROW()-ROW(MSPTasks[[#Headers],[ID]])))="",TRUE()),"",IF(INDEX(tsk_BaseCost,(ROW()-ROW(MSPTasks[[#Headers],[ID]])))="","",N(INDEX(tsk_BaseCost,(ROW()-ROW(MSPTasks[[#Headers],[ID]]))))))</f>
        <v/>
      </c>
      <c r="T15" s="24" t="str">
        <f aca="false">IF(IFERROR(INDEX(tsk_Name,(ROW()-ROW(MSPTasks[[#Headers],[ID]])))="",TRUE()),"",IF(INDEX(tsk_IsSummary,(ROW()-ROW(MSPTasks[[#Headers],[ID]]))),"",IF(N(INDEX(tsk_ActCostInput,(ROW()-ROW(MSPTasks[[#Headers],[ID]]))))=0,"",INDEX(tsk_ActCostInput,(ROW()-ROW(MSPTasks[[#Headers],[ID]]))))))</f>
        <v/>
      </c>
      <c r="U15" s="24" t="str">
        <f aca="false">IF(IFERROR(INDEX(tsk_Name,(ROW()-ROW(MSPTasks[[#Headers],[ID]])))="",TRUE()),"",IF(INDEX(tsk_IsSummary,(ROW()-ROW(MSPTasks[[#Headers],[ID]]))),"",IF(AND(INDEX(tsk_Mode,(ROW()-ROW(MSPTasks[[#Headers],[ID]])))&lt;&gt;"Manual",N(INDEX(tsk_Constraint,(ROW()-ROW(MSPTasks[[#Headers],[ID]]))))&gt;0),"Start No Earlier Than","As Soon As Possible")))</f>
        <v>As Soon As Possible</v>
      </c>
      <c r="V15" s="127" t="str">
        <f aca="false">IF(IFERROR(INDEX(tsk_Name,(ROW()-ROW(MSPTasks[[#Headers],[ID]])))="",TRUE()),"",IF(OR(INDEX(tsk_IsSummary,(ROW()-ROW(MSPTasks[[#Headers],[ID]]))),INDEX(tsk_Mode,(ROW()-ROW(MSPTasks[[#Headers],[ID]])))="Manual"),"",IF(N(INDEX(tsk_Constraint,(ROW()-ROW(MSPTasks[[#Headers],[ID]]))))=0,"",INDEX(tsk_Constraint,(ROW()-ROW(MSPTasks[[#Headers],[ID]]))))))</f>
        <v/>
      </c>
      <c r="W15" s="127" t="str">
        <f aca="false">IF(IFERROR(INDEX(tsk_Name,(ROW()-ROW(MSPTasks[[#Headers],[ID]])))="",TRUE()),"",IF(N(INDEX(tsk_Deadline,(ROW()-ROW(MSPTasks[[#Headers],[ID]]))))=0,"",INDEX(tsk_Deadline,(ROW()-ROW(MSPTasks[[#Headers],[ID]])))))</f>
        <v/>
      </c>
      <c r="X15" s="24" t="str">
        <f aca="false">IF(IFERROR(INDEX(tsk_Name,(ROW()-ROW(MSPTasks[[#Headers],[ID]])))="",TRUE()),"",IF(INDEX(tsk_IsSummary,(ROW()-ROW(MSPTasks[[#Headers],[ID]]))),"",INDEX(tsk_Sprint,(ROW()-ROW(MSPTasks[[#Headers],[ID]])))&amp;""))</f>
        <v>Sprint 5</v>
      </c>
      <c r="Y15" s="70" t="n">
        <f aca="false">IF(IFERROR(INDEX(tsk_Name,(ROW()-ROW(MSPTasks[[#Headers],[ID]])))="",TRUE()),"",IF(INDEX(tsk_IsSummary,(ROW()-ROW(MSPTasks[[#Headers],[ID]]))),"",IF(N(INDEX(tsk_StoryPoints,(ROW()-ROW(MSPTasks[[#Headers],[ID]]))))=0,"",INDEX(tsk_StoryPoints,(ROW()-ROW(MSPTasks[[#Headers],[ID]]))))))</f>
        <v>5</v>
      </c>
      <c r="Z15" s="24" t="str">
        <f aca="false">IF(IFERROR(INDEX(tsk_Name,(ROW()-ROW(MSPTasks[[#Headers],[ID]])))="",TRUE()),"",INDEX(tsk_Notes,(ROW()-ROW(MSPTasks[[#Headers],[ID]])))&amp;"")</f>
        <v/>
      </c>
    </row>
    <row r="16" customFormat="false" ht="15" hidden="false" customHeight="false" outlineLevel="0" collapsed="false">
      <c r="A16" s="24" t="n">
        <f aca="false">IF(IFERROR(INDEX(tsk_Name,(ROW()-ROW(MSPTasks[[#Headers],[ID]])))="",TRUE()),"",INDEX(tsk_ID,(ROW()-ROW(MSPTasks[[#Headers],[ID]]))))</f>
        <v>15</v>
      </c>
      <c r="B16" s="24" t="n">
        <f aca="false">IF(IFERROR(INDEX(tsk_Name,(ROW()-ROW(MSPTasks[[#Headers],[ID]])))="",TRUE()),"",INDEX(tsk_UID,(ROW()-ROW(MSPTasks[[#Headers],[ID]]))))</f>
        <v>15</v>
      </c>
      <c r="C16" s="24" t="str">
        <f aca="false">IF(IFERROR(INDEX(tsk_Name,(ROW()-ROW(MSPTasks[[#Headers],[ID]])))="",TRUE()),"",INDEX(tsk_Name,(ROW()-ROW(MSPTasks[[#Headers],[ID]]))))</f>
        <v>Frontend</v>
      </c>
      <c r="D16" s="24" t="n">
        <f aca="false">IF(IFERROR(INDEX(tsk_Name,(ROW()-ROW(MSPTasks[[#Headers],[ID]])))="",TRUE()),"",INDEX(tsk_Level,(ROW()-ROW(MSPTasks[[#Headers],[ID]]))))</f>
        <v>2</v>
      </c>
      <c r="E16" s="24" t="str">
        <f aca="false">IF(IFERROR(INDEX(tsk_Name,(ROW()-ROW(MSPTasks[[#Headers],[ID]])))="",TRUE()),"",IF(INDEX(tsk_Mode,(ROW()-ROW(MSPTasks[[#Headers],[ID]])))="Manual","Manually Scheduled","Auto Scheduled"))</f>
        <v>Auto Scheduled</v>
      </c>
      <c r="F16" s="24" t="str">
        <f aca="false">IF(IFERROR(INDEX(tsk_Name,(ROW()-ROW(MSPTasks[[#Headers],[ID]])))="",TRUE()),"",IF(INDEX(tsk_IsSummary,(ROW()-ROW(MSPTasks[[#Headers],[ID]]))),"",N(INDEX(tsk_Duration,(ROW()-ROW(MSPTasks[[#Headers],[ID]]))))&amp;"d"))</f>
        <v/>
      </c>
      <c r="G16" s="127" t="n">
        <f aca="false">IF(IFERROR(INDEX(tsk_Name,(ROW()-ROW(MSPTasks[[#Headers],[ID]])))="",TRUE()),"",INDEX(tsk_FcStart,(ROW()-ROW(MSPTasks[[#Headers],[ID]]))))</f>
        <v>46302</v>
      </c>
      <c r="H16" s="127" t="n">
        <f aca="false">IF(IFERROR(INDEX(tsk_Name,(ROW()-ROW(MSPTasks[[#Headers],[ID]])))="",TRUE()),"",INDEX(tsk_FcFinish,(ROW()-ROW(MSPTasks[[#Headers],[ID]]))))</f>
        <v>46332</v>
      </c>
      <c r="I16" s="24" t="str">
        <f aca="false">IF(IFERROR(INDEX(tsk_Name,(ROW()-ROW(MSPTasks[[#Headers],[ID]])))="",TRUE()),"",IF(INDEX(tsk_IsSummary,(ROW()-ROW(MSPTasks[[#Headers],[ID]]))),"",INDEX(tsk_Predecessors,(ROW()-ROW(MSPTasks[[#Headers],[ID]])))))</f>
        <v/>
      </c>
      <c r="J16" s="24" t="str">
        <f aca="false">IF(IFERROR(INDEX(tsk_Name,(ROW()-ROW(MSPTasks[[#Headers],[ID]])))="",TRUE()),"",IF(INDEX(tsk_IsSummary,(ROW()-ROW(MSPTasks[[#Headers],[ID]]))),"",INDEX(tsk_UIDPredecessors,(ROW()-ROW(MSPTasks[[#Headers],[ID]])))))</f>
        <v/>
      </c>
      <c r="K1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 s="24" t="str">
        <f aca="false">IF(IFERROR(INDEX(tsk_Name,(ROW()-ROW(MSPTasks[[#Headers],[ID]])))="",TRUE()),"",IF(INDEX(tsk_IsSummary,(ROW()-ROW(MSPTasks[[#Headers],[ID]]))),"",ROUND(INDEX(tsk_Progress,(ROW()-ROW(MSPTasks[[#Headers],[ID]])))*100,0)))</f>
        <v/>
      </c>
      <c r="M16" s="127" t="str">
        <f aca="false">IF(IFERROR(INDEX(tsk_Name,(ROW()-ROW(MSPTasks[[#Headers],[ID]])))="",TRUE()),"",IF(N(INDEX(tsk_ActStart,(ROW()-ROW(MSPTasks[[#Headers],[ID]]))))=0,"",INDEX(tsk_ActStart,(ROW()-ROW(MSPTasks[[#Headers],[ID]])))))</f>
        <v/>
      </c>
      <c r="N16" s="127" t="str">
        <f aca="false">IF(IFERROR(INDEX(tsk_Name,(ROW()-ROW(MSPTasks[[#Headers],[ID]])))="",TRUE()),"",IF(N(INDEX(tsk_ActFinish,(ROW()-ROW(MSPTasks[[#Headers],[ID]]))))=0,"",INDEX(tsk_ActFinish,(ROW()-ROW(MSPTasks[[#Headers],[ID]])))))</f>
        <v/>
      </c>
      <c r="O16" s="127" t="n">
        <f aca="false">IF(IFERROR(INDEX(tsk_Name,(ROW()-ROW(MSPTasks[[#Headers],[ID]])))="",TRUE()),"",INDEX(tsk_PlanStart,(ROW()-ROW(MSPTasks[[#Headers],[ID]]))))</f>
        <v>46297</v>
      </c>
      <c r="P16" s="127" t="n">
        <f aca="false">IF(IFERROR(INDEX(tsk_Name,(ROW()-ROW(MSPTasks[[#Headers],[ID]])))="",TRUE()),"",INDEX(tsk_PlanFinish,(ROW()-ROW(MSPTasks[[#Headers],[ID]]))))</f>
        <v>46324</v>
      </c>
      <c r="Q16" s="24" t="str">
        <f aca="false">IF(IFERROR(INDEX(tsk_Name,(ROW()-ROW(MSPTasks[[#Headers],[ID]])))="",TRUE()),"",IF(INDEX(tsk_BaseDuration,(ROW()-ROW(MSPTasks[[#Headers],[ID]])))="","",N(INDEX(tsk_BaseDuration,(ROW()-ROW(MSPTasks[[#Headers],[ID]]))))&amp;"d"))</f>
        <v/>
      </c>
      <c r="R16" s="24" t="str">
        <f aca="false">IF(IFERROR(INDEX(tsk_Name,(ROW()-ROW(MSPTasks[[#Headers],[ID]])))="",TRUE()),"",IF(INDEX(tsk_BaseWork,(ROW()-ROW(MSPTasks[[#Headers],[ID]])))="","",N(INDEX(tsk_BaseWork,(ROW()-ROW(MSPTasks[[#Headers],[ID]]))))&amp;"h"))</f>
        <v/>
      </c>
      <c r="S16" s="24" t="str">
        <f aca="false">IF(IFERROR(INDEX(tsk_Name,(ROW()-ROW(MSPTasks[[#Headers],[ID]])))="",TRUE()),"",IF(INDEX(tsk_BaseCost,(ROW()-ROW(MSPTasks[[#Headers],[ID]])))="","",N(INDEX(tsk_BaseCost,(ROW()-ROW(MSPTasks[[#Headers],[ID]]))))))</f>
        <v/>
      </c>
      <c r="T16" s="24" t="str">
        <f aca="false">IF(IFERROR(INDEX(tsk_Name,(ROW()-ROW(MSPTasks[[#Headers],[ID]])))="",TRUE()),"",IF(INDEX(tsk_IsSummary,(ROW()-ROW(MSPTasks[[#Headers],[ID]]))),"",IF(N(INDEX(tsk_ActCostInput,(ROW()-ROW(MSPTasks[[#Headers],[ID]]))))=0,"",INDEX(tsk_ActCostInput,(ROW()-ROW(MSPTasks[[#Headers],[ID]]))))))</f>
        <v/>
      </c>
      <c r="U16" s="24" t="str">
        <f aca="false">IF(IFERROR(INDEX(tsk_Name,(ROW()-ROW(MSPTasks[[#Headers],[ID]])))="",TRUE()),"",IF(INDEX(tsk_IsSummary,(ROW()-ROW(MSPTasks[[#Headers],[ID]]))),"",IF(AND(INDEX(tsk_Mode,(ROW()-ROW(MSPTasks[[#Headers],[ID]])))&lt;&gt;"Manual",N(INDEX(tsk_Constraint,(ROW()-ROW(MSPTasks[[#Headers],[ID]]))))&gt;0),"Start No Earlier Than","As Soon As Possible")))</f>
        <v/>
      </c>
      <c r="V16" s="127" t="str">
        <f aca="false">IF(IFERROR(INDEX(tsk_Name,(ROW()-ROW(MSPTasks[[#Headers],[ID]])))="",TRUE()),"",IF(OR(INDEX(tsk_IsSummary,(ROW()-ROW(MSPTasks[[#Headers],[ID]]))),INDEX(tsk_Mode,(ROW()-ROW(MSPTasks[[#Headers],[ID]])))="Manual"),"",IF(N(INDEX(tsk_Constraint,(ROW()-ROW(MSPTasks[[#Headers],[ID]]))))=0,"",INDEX(tsk_Constraint,(ROW()-ROW(MSPTasks[[#Headers],[ID]]))))))</f>
        <v/>
      </c>
      <c r="W16" s="127" t="str">
        <f aca="false">IF(IFERROR(INDEX(tsk_Name,(ROW()-ROW(MSPTasks[[#Headers],[ID]])))="",TRUE()),"",IF(N(INDEX(tsk_Deadline,(ROW()-ROW(MSPTasks[[#Headers],[ID]]))))=0,"",INDEX(tsk_Deadline,(ROW()-ROW(MSPTasks[[#Headers],[ID]])))))</f>
        <v/>
      </c>
      <c r="X16" s="24" t="str">
        <f aca="false">IF(IFERROR(INDEX(tsk_Name,(ROW()-ROW(MSPTasks[[#Headers],[ID]])))="",TRUE()),"",IF(INDEX(tsk_IsSummary,(ROW()-ROW(MSPTasks[[#Headers],[ID]]))),"",INDEX(tsk_Sprint,(ROW()-ROW(MSPTasks[[#Headers],[ID]])))&amp;""))</f>
        <v/>
      </c>
      <c r="Y16" s="24" t="str">
        <f aca="false">IF(IFERROR(INDEX(tsk_Name,(ROW()-ROW(MSPTasks[[#Headers],[ID]])))="",TRUE()),"",IF(INDEX(tsk_IsSummary,(ROW()-ROW(MSPTasks[[#Headers],[ID]]))),"",IF(N(INDEX(tsk_StoryPoints,(ROW()-ROW(MSPTasks[[#Headers],[ID]]))))=0,"",INDEX(tsk_StoryPoints,(ROW()-ROW(MSPTasks[[#Headers],[ID]]))))))</f>
        <v/>
      </c>
      <c r="Z16" s="24" t="str">
        <f aca="false">IF(IFERROR(INDEX(tsk_Name,(ROW()-ROW(MSPTasks[[#Headers],[ID]])))="",TRUE()),"",INDEX(tsk_Notes,(ROW()-ROW(MSPTasks[[#Headers],[ID]])))&amp;"")</f>
        <v/>
      </c>
    </row>
    <row r="17" customFormat="false" ht="15" hidden="false" customHeight="false" outlineLevel="0" collapsed="false">
      <c r="A17" s="24" t="n">
        <f aca="false">IF(IFERROR(INDEX(tsk_Name,(ROW()-ROW(MSPTasks[[#Headers],[ID]])))="",TRUE()),"",INDEX(tsk_ID,(ROW()-ROW(MSPTasks[[#Headers],[ID]]))))</f>
        <v>16</v>
      </c>
      <c r="B17" s="24" t="n">
        <f aca="false">IF(IFERROR(INDEX(tsk_Name,(ROW()-ROW(MSPTasks[[#Headers],[ID]])))="",TRUE()),"",INDEX(tsk_UID,(ROW()-ROW(MSPTasks[[#Headers],[ID]]))))</f>
        <v>16</v>
      </c>
      <c r="C17" s="24" t="str">
        <f aca="false">IF(IFERROR(INDEX(tsk_Name,(ROW()-ROW(MSPTasks[[#Headers],[ID]])))="",TRUE()),"",INDEX(tsk_Name,(ROW()-ROW(MSPTasks[[#Headers],[ID]]))))</f>
        <v>UI component library</v>
      </c>
      <c r="D17" s="24" t="n">
        <f aca="false">IF(IFERROR(INDEX(tsk_Name,(ROW()-ROW(MSPTasks[[#Headers],[ID]])))="",TRUE()),"",INDEX(tsk_Level,(ROW()-ROW(MSPTasks[[#Headers],[ID]]))))</f>
        <v>3</v>
      </c>
      <c r="E17" s="24" t="str">
        <f aca="false">IF(IFERROR(INDEX(tsk_Name,(ROW()-ROW(MSPTasks[[#Headers],[ID]])))="",TRUE()),"",IF(INDEX(tsk_Mode,(ROW()-ROW(MSPTasks[[#Headers],[ID]])))="Manual","Manually Scheduled","Auto Scheduled"))</f>
        <v>Auto Scheduled</v>
      </c>
      <c r="F17" s="24" t="str">
        <f aca="false">IF(IFERROR(INDEX(tsk_Name,(ROW()-ROW(MSPTasks[[#Headers],[ID]])))="",TRUE()),"",IF(INDEX(tsk_IsSummary,(ROW()-ROW(MSPTasks[[#Headers],[ID]]))),"",N(INDEX(tsk_Duration,(ROW()-ROW(MSPTasks[[#Headers],[ID]]))))&amp;"d"))</f>
        <v>6d</v>
      </c>
      <c r="G17" s="127" t="n">
        <f aca="false">IF(IFERROR(INDEX(tsk_Name,(ROW()-ROW(MSPTasks[[#Headers],[ID]])))="",TRUE()),"",INDEX(tsk_FcStart,(ROW()-ROW(MSPTasks[[#Headers],[ID]]))))</f>
        <v>46302</v>
      </c>
      <c r="H17" s="127" t="n">
        <f aca="false">IF(IFERROR(INDEX(tsk_Name,(ROW()-ROW(MSPTasks[[#Headers],[ID]])))="",TRUE()),"",INDEX(tsk_FcFinish,(ROW()-ROW(MSPTasks[[#Headers],[ID]]))))</f>
        <v>46311</v>
      </c>
      <c r="I17" s="24" t="str">
        <f aca="false">IF(IFERROR(INDEX(tsk_Name,(ROW()-ROW(MSPTasks[[#Headers],[ID]])))="",TRUE()),"",IF(INDEX(tsk_IsSummary,(ROW()-ROW(MSPTasks[[#Headers],[ID]]))),"",INDEX(tsk_Predecessors,(ROW()-ROW(MSPTasks[[#Headers],[ID]])))))</f>
        <v>9</v>
      </c>
      <c r="J17" s="24" t="str">
        <f aca="false">IF(IFERROR(INDEX(tsk_Name,(ROW()-ROW(MSPTasks[[#Headers],[ID]])))="",TRUE()),"",IF(INDEX(tsk_IsSummary,(ROW()-ROW(MSPTasks[[#Headers],[ID]]))),"",INDEX(tsk_UIDPredecessors,(ROW()-ROW(MSPTasks[[#Headers],[ID]])))))</f>
        <v>9</v>
      </c>
      <c r="K1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Sam Rivera</v>
      </c>
      <c r="L17" s="24" t="n">
        <f aca="false">IF(IFERROR(INDEX(tsk_Name,(ROW()-ROW(MSPTasks[[#Headers],[ID]])))="",TRUE()),"",IF(INDEX(tsk_IsSummary,(ROW()-ROW(MSPTasks[[#Headers],[ID]]))),"",ROUND(INDEX(tsk_Progress,(ROW()-ROW(MSPTasks[[#Headers],[ID]])))*100,0)))</f>
        <v>100</v>
      </c>
      <c r="M17" s="127" t="n">
        <f aca="false">IF(IFERROR(INDEX(tsk_Name,(ROW()-ROW(MSPTasks[[#Headers],[ID]])))="",TRUE()),"",IF(N(INDEX(tsk_ActStart,(ROW()-ROW(MSPTasks[[#Headers],[ID]]))))=0,"",INDEX(tsk_ActStart,(ROW()-ROW(MSPTasks[[#Headers],[ID]])))))</f>
        <v>46302</v>
      </c>
      <c r="N17" s="127" t="n">
        <f aca="false">IF(IFERROR(INDEX(tsk_Name,(ROW()-ROW(MSPTasks[[#Headers],[ID]])))="",TRUE()),"",IF(N(INDEX(tsk_ActFinish,(ROW()-ROW(MSPTasks[[#Headers],[ID]]))))=0,"",INDEX(tsk_ActFinish,(ROW()-ROW(MSPTasks[[#Headers],[ID]])))))</f>
        <v>46311</v>
      </c>
      <c r="O17" s="127" t="n">
        <f aca="false">IF(IFERROR(INDEX(tsk_Name,(ROW()-ROW(MSPTasks[[#Headers],[ID]])))="",TRUE()),"",INDEX(tsk_PlanStart,(ROW()-ROW(MSPTasks[[#Headers],[ID]]))))</f>
        <v>46297</v>
      </c>
      <c r="P17" s="127" t="n">
        <f aca="false">IF(IFERROR(INDEX(tsk_Name,(ROW()-ROW(MSPTasks[[#Headers],[ID]])))="",TRUE()),"",INDEX(tsk_PlanFinish,(ROW()-ROW(MSPTasks[[#Headers],[ID]]))))</f>
        <v>46304</v>
      </c>
      <c r="Q17" s="24" t="str">
        <f aca="false">IF(IFERROR(INDEX(tsk_Name,(ROW()-ROW(MSPTasks[[#Headers],[ID]])))="",TRUE()),"",IF(INDEX(tsk_BaseDuration,(ROW()-ROW(MSPTasks[[#Headers],[ID]])))="","",N(INDEX(tsk_BaseDuration,(ROW()-ROW(MSPTasks[[#Headers],[ID]]))))&amp;"d"))</f>
        <v/>
      </c>
      <c r="R17" s="24" t="str">
        <f aca="false">IF(IFERROR(INDEX(tsk_Name,(ROW()-ROW(MSPTasks[[#Headers],[ID]])))="",TRUE()),"",IF(INDEX(tsk_BaseWork,(ROW()-ROW(MSPTasks[[#Headers],[ID]])))="","",N(INDEX(tsk_BaseWork,(ROW()-ROW(MSPTasks[[#Headers],[ID]]))))&amp;"h"))</f>
        <v/>
      </c>
      <c r="S17" s="24" t="str">
        <f aca="false">IF(IFERROR(INDEX(tsk_Name,(ROW()-ROW(MSPTasks[[#Headers],[ID]])))="",TRUE()),"",IF(INDEX(tsk_BaseCost,(ROW()-ROW(MSPTasks[[#Headers],[ID]])))="","",N(INDEX(tsk_BaseCost,(ROW()-ROW(MSPTasks[[#Headers],[ID]]))))))</f>
        <v/>
      </c>
      <c r="T17" s="24" t="str">
        <f aca="false">IF(IFERROR(INDEX(tsk_Name,(ROW()-ROW(MSPTasks[[#Headers],[ID]])))="",TRUE()),"",IF(INDEX(tsk_IsSummary,(ROW()-ROW(MSPTasks[[#Headers],[ID]]))),"",IF(N(INDEX(tsk_ActCostInput,(ROW()-ROW(MSPTasks[[#Headers],[ID]]))))=0,"",INDEX(tsk_ActCostInput,(ROW()-ROW(MSPTasks[[#Headers],[ID]]))))))</f>
        <v/>
      </c>
      <c r="U17" s="24" t="str">
        <f aca="false">IF(IFERROR(INDEX(tsk_Name,(ROW()-ROW(MSPTasks[[#Headers],[ID]])))="",TRUE()),"",IF(INDEX(tsk_IsSummary,(ROW()-ROW(MSPTasks[[#Headers],[ID]]))),"",IF(AND(INDEX(tsk_Mode,(ROW()-ROW(MSPTasks[[#Headers],[ID]])))&lt;&gt;"Manual",N(INDEX(tsk_Constraint,(ROW()-ROW(MSPTasks[[#Headers],[ID]]))))&gt;0),"Start No Earlier Than","As Soon As Possible")))</f>
        <v>As Soon As Possible</v>
      </c>
      <c r="V17" s="127" t="str">
        <f aca="false">IF(IFERROR(INDEX(tsk_Name,(ROW()-ROW(MSPTasks[[#Headers],[ID]])))="",TRUE()),"",IF(OR(INDEX(tsk_IsSummary,(ROW()-ROW(MSPTasks[[#Headers],[ID]]))),INDEX(tsk_Mode,(ROW()-ROW(MSPTasks[[#Headers],[ID]])))="Manual"),"",IF(N(INDEX(tsk_Constraint,(ROW()-ROW(MSPTasks[[#Headers],[ID]]))))=0,"",INDEX(tsk_Constraint,(ROW()-ROW(MSPTasks[[#Headers],[ID]]))))))</f>
        <v/>
      </c>
      <c r="W17" s="127" t="str">
        <f aca="false">IF(IFERROR(INDEX(tsk_Name,(ROW()-ROW(MSPTasks[[#Headers],[ID]])))="",TRUE()),"",IF(N(INDEX(tsk_Deadline,(ROW()-ROW(MSPTasks[[#Headers],[ID]]))))=0,"",INDEX(tsk_Deadline,(ROW()-ROW(MSPTasks[[#Headers],[ID]])))))</f>
        <v/>
      </c>
      <c r="X17" s="24" t="str">
        <f aca="false">IF(IFERROR(INDEX(tsk_Name,(ROW()-ROW(MSPTasks[[#Headers],[ID]])))="",TRUE()),"",IF(INDEX(tsk_IsSummary,(ROW()-ROW(MSPTasks[[#Headers],[ID]]))),"",INDEX(tsk_Sprint,(ROW()-ROW(MSPTasks[[#Headers],[ID]])))&amp;""))</f>
        <v>Sprint 3</v>
      </c>
      <c r="Y17" s="70" t="n">
        <f aca="false">IF(IFERROR(INDEX(tsk_Name,(ROW()-ROW(MSPTasks[[#Headers],[ID]])))="",TRUE()),"",IF(INDEX(tsk_IsSummary,(ROW()-ROW(MSPTasks[[#Headers],[ID]]))),"",IF(N(INDEX(tsk_StoryPoints,(ROW()-ROW(MSPTasks[[#Headers],[ID]]))))=0,"",INDEX(tsk_StoryPoints,(ROW()-ROW(MSPTasks[[#Headers],[ID]]))))))</f>
        <v>5</v>
      </c>
      <c r="Z17" s="24" t="str">
        <f aca="false">IF(IFERROR(INDEX(tsk_Name,(ROW()-ROW(MSPTasks[[#Headers],[ID]])))="",TRUE()),"",INDEX(tsk_Notes,(ROW()-ROW(MSPTasks[[#Headers],[ID]])))&amp;"")</f>
        <v/>
      </c>
    </row>
    <row r="18" customFormat="false" ht="15" hidden="false" customHeight="false" outlineLevel="0" collapsed="false">
      <c r="A18" s="24" t="n">
        <f aca="false">IF(IFERROR(INDEX(tsk_Name,(ROW()-ROW(MSPTasks[[#Headers],[ID]])))="",TRUE()),"",INDEX(tsk_ID,(ROW()-ROW(MSPTasks[[#Headers],[ID]]))))</f>
        <v>17</v>
      </c>
      <c r="B18" s="24" t="n">
        <f aca="false">IF(IFERROR(INDEX(tsk_Name,(ROW()-ROW(MSPTasks[[#Headers],[ID]])))="",TRUE()),"",INDEX(tsk_UID,(ROW()-ROW(MSPTasks[[#Headers],[ID]]))))</f>
        <v>17</v>
      </c>
      <c r="C18" s="24" t="str">
        <f aca="false">IF(IFERROR(INDEX(tsk_Name,(ROW()-ROW(MSPTasks[[#Headers],[ID]])))="",TRUE()),"",INDEX(tsk_Name,(ROW()-ROW(MSPTasks[[#Headers],[ID]]))))</f>
        <v>Feature screens</v>
      </c>
      <c r="D18" s="24" t="n">
        <f aca="false">IF(IFERROR(INDEX(tsk_Name,(ROW()-ROW(MSPTasks[[#Headers],[ID]])))="",TRUE()),"",INDEX(tsk_Level,(ROW()-ROW(MSPTasks[[#Headers],[ID]]))))</f>
        <v>3</v>
      </c>
      <c r="E18" s="24" t="str">
        <f aca="false">IF(IFERROR(INDEX(tsk_Name,(ROW()-ROW(MSPTasks[[#Headers],[ID]])))="",TRUE()),"",IF(INDEX(tsk_Mode,(ROW()-ROW(MSPTasks[[#Headers],[ID]])))="Manual","Manually Scheduled","Auto Scheduled"))</f>
        <v>Auto Scheduled</v>
      </c>
      <c r="F18" s="24" t="str">
        <f aca="false">IF(IFERROR(INDEX(tsk_Name,(ROW()-ROW(MSPTasks[[#Headers],[ID]])))="",TRUE()),"",IF(INDEX(tsk_IsSummary,(ROW()-ROW(MSPTasks[[#Headers],[ID]]))),"",N(INDEX(tsk_Duration,(ROW()-ROW(MSPTasks[[#Headers],[ID]]))))&amp;"d"))</f>
        <v>12d</v>
      </c>
      <c r="G18" s="127" t="n">
        <f aca="false">IF(IFERROR(INDEX(tsk_Name,(ROW()-ROW(MSPTasks[[#Headers],[ID]])))="",TRUE()),"",INDEX(tsk_FcStart,(ROW()-ROW(MSPTasks[[#Headers],[ID]]))))</f>
        <v>46314</v>
      </c>
      <c r="H18" s="127" t="n">
        <f aca="false">IF(IFERROR(INDEX(tsk_Name,(ROW()-ROW(MSPTasks[[#Headers],[ID]])))="",TRUE()),"",INDEX(tsk_FcFinish,(ROW()-ROW(MSPTasks[[#Headers],[ID]]))))</f>
        <v>46331</v>
      </c>
      <c r="I18" s="24" t="str">
        <f aca="false">IF(IFERROR(INDEX(tsk_Name,(ROW()-ROW(MSPTasks[[#Headers],[ID]])))="",TRUE()),"",IF(INDEX(tsk_IsSummary,(ROW()-ROW(MSPTasks[[#Headers],[ID]]))),"",INDEX(tsk_Predecessors,(ROW()-ROW(MSPTasks[[#Headers],[ID]])))))</f>
        <v>16,13SS+2d</v>
      </c>
      <c r="J18" s="24" t="str">
        <f aca="false">IF(IFERROR(INDEX(tsk_Name,(ROW()-ROW(MSPTasks[[#Headers],[ID]])))="",TRUE()),"",IF(INDEX(tsk_IsSummary,(ROW()-ROW(MSPTasks[[#Headers],[ID]]))),"",INDEX(tsk_UIDPredecessors,(ROW()-ROW(MSPTasks[[#Headers],[ID]])))))</f>
        <v>16,13SS+2d</v>
      </c>
      <c r="K1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Sam Rivera</v>
      </c>
      <c r="L18" s="24" t="n">
        <f aca="false">IF(IFERROR(INDEX(tsk_Name,(ROW()-ROW(MSPTasks[[#Headers],[ID]])))="",TRUE()),"",IF(INDEX(tsk_IsSummary,(ROW()-ROW(MSPTasks[[#Headers],[ID]]))),"",ROUND(INDEX(tsk_Progress,(ROW()-ROW(MSPTasks[[#Headers],[ID]])))*100,0)))</f>
        <v>25</v>
      </c>
      <c r="M18" s="127" t="n">
        <f aca="false">IF(IFERROR(INDEX(tsk_Name,(ROW()-ROW(MSPTasks[[#Headers],[ID]])))="",TRUE()),"",IF(N(INDEX(tsk_ActStart,(ROW()-ROW(MSPTasks[[#Headers],[ID]]))))=0,"",INDEX(tsk_ActStart,(ROW()-ROW(MSPTasks[[#Headers],[ID]])))))</f>
        <v>46314</v>
      </c>
      <c r="N18" s="127" t="str">
        <f aca="false">IF(IFERROR(INDEX(tsk_Name,(ROW()-ROW(MSPTasks[[#Headers],[ID]])))="",TRUE()),"",IF(N(INDEX(tsk_ActFinish,(ROW()-ROW(MSPTasks[[#Headers],[ID]]))))=0,"",INDEX(tsk_ActFinish,(ROW()-ROW(MSPTasks[[#Headers],[ID]])))))</f>
        <v/>
      </c>
      <c r="O18" s="127" t="n">
        <f aca="false">IF(IFERROR(INDEX(tsk_Name,(ROW()-ROW(MSPTasks[[#Headers],[ID]])))="",TRUE()),"",INDEX(tsk_PlanStart,(ROW()-ROW(MSPTasks[[#Headers],[ID]]))))</f>
        <v>46308</v>
      </c>
      <c r="P18" s="127" t="n">
        <f aca="false">IF(IFERROR(INDEX(tsk_Name,(ROW()-ROW(MSPTasks[[#Headers],[ID]])))="",TRUE()),"",INDEX(tsk_PlanFinish,(ROW()-ROW(MSPTasks[[#Headers],[ID]]))))</f>
        <v>46323</v>
      </c>
      <c r="Q18" s="24" t="str">
        <f aca="false">IF(IFERROR(INDEX(tsk_Name,(ROW()-ROW(MSPTasks[[#Headers],[ID]])))="",TRUE()),"",IF(INDEX(tsk_BaseDuration,(ROW()-ROW(MSPTasks[[#Headers],[ID]])))="","",N(INDEX(tsk_BaseDuration,(ROW()-ROW(MSPTasks[[#Headers],[ID]]))))&amp;"d"))</f>
        <v/>
      </c>
      <c r="R18" s="24" t="str">
        <f aca="false">IF(IFERROR(INDEX(tsk_Name,(ROW()-ROW(MSPTasks[[#Headers],[ID]])))="",TRUE()),"",IF(INDEX(tsk_BaseWork,(ROW()-ROW(MSPTasks[[#Headers],[ID]])))="","",N(INDEX(tsk_BaseWork,(ROW()-ROW(MSPTasks[[#Headers],[ID]]))))&amp;"h"))</f>
        <v/>
      </c>
      <c r="S18" s="24" t="str">
        <f aca="false">IF(IFERROR(INDEX(tsk_Name,(ROW()-ROW(MSPTasks[[#Headers],[ID]])))="",TRUE()),"",IF(INDEX(tsk_BaseCost,(ROW()-ROW(MSPTasks[[#Headers],[ID]])))="","",N(INDEX(tsk_BaseCost,(ROW()-ROW(MSPTasks[[#Headers],[ID]]))))))</f>
        <v/>
      </c>
      <c r="T18" s="24" t="str">
        <f aca="false">IF(IFERROR(INDEX(tsk_Name,(ROW()-ROW(MSPTasks[[#Headers],[ID]])))="",TRUE()),"",IF(INDEX(tsk_IsSummary,(ROW()-ROW(MSPTasks[[#Headers],[ID]]))),"",IF(N(INDEX(tsk_ActCostInput,(ROW()-ROW(MSPTasks[[#Headers],[ID]]))))=0,"",INDEX(tsk_ActCostInput,(ROW()-ROW(MSPTasks[[#Headers],[ID]]))))))</f>
        <v/>
      </c>
      <c r="U18" s="24" t="str">
        <f aca="false">IF(IFERROR(INDEX(tsk_Name,(ROW()-ROW(MSPTasks[[#Headers],[ID]])))="",TRUE()),"",IF(INDEX(tsk_IsSummary,(ROW()-ROW(MSPTasks[[#Headers],[ID]]))),"",IF(AND(INDEX(tsk_Mode,(ROW()-ROW(MSPTasks[[#Headers],[ID]])))&lt;&gt;"Manual",N(INDEX(tsk_Constraint,(ROW()-ROW(MSPTasks[[#Headers],[ID]]))))&gt;0),"Start No Earlier Than","As Soon As Possible")))</f>
        <v>As Soon As Possible</v>
      </c>
      <c r="V18" s="127" t="str">
        <f aca="false">IF(IFERROR(INDEX(tsk_Name,(ROW()-ROW(MSPTasks[[#Headers],[ID]])))="",TRUE()),"",IF(OR(INDEX(tsk_IsSummary,(ROW()-ROW(MSPTasks[[#Headers],[ID]]))),INDEX(tsk_Mode,(ROW()-ROW(MSPTasks[[#Headers],[ID]])))="Manual"),"",IF(N(INDEX(tsk_Constraint,(ROW()-ROW(MSPTasks[[#Headers],[ID]]))))=0,"",INDEX(tsk_Constraint,(ROW()-ROW(MSPTasks[[#Headers],[ID]]))))))</f>
        <v/>
      </c>
      <c r="W18" s="127" t="str">
        <f aca="false">IF(IFERROR(INDEX(tsk_Name,(ROW()-ROW(MSPTasks[[#Headers],[ID]])))="",TRUE()),"",IF(N(INDEX(tsk_Deadline,(ROW()-ROW(MSPTasks[[#Headers],[ID]]))))=0,"",INDEX(tsk_Deadline,(ROW()-ROW(MSPTasks[[#Headers],[ID]])))))</f>
        <v/>
      </c>
      <c r="X18" s="24" t="str">
        <f aca="false">IF(IFERROR(INDEX(tsk_Name,(ROW()-ROW(MSPTasks[[#Headers],[ID]])))="",TRUE()),"",IF(INDEX(tsk_IsSummary,(ROW()-ROW(MSPTasks[[#Headers],[ID]]))),"",INDEX(tsk_Sprint,(ROW()-ROW(MSPTasks[[#Headers],[ID]])))&amp;""))</f>
        <v>Sprint 4</v>
      </c>
      <c r="Y18" s="70" t="n">
        <f aca="false">IF(IFERROR(INDEX(tsk_Name,(ROW()-ROW(MSPTasks[[#Headers],[ID]])))="",TRUE()),"",IF(INDEX(tsk_IsSummary,(ROW()-ROW(MSPTasks[[#Headers],[ID]]))),"",IF(N(INDEX(tsk_StoryPoints,(ROW()-ROW(MSPTasks[[#Headers],[ID]]))))=0,"",INDEX(tsk_StoryPoints,(ROW()-ROW(MSPTasks[[#Headers],[ID]]))))))</f>
        <v>8</v>
      </c>
      <c r="Z18" s="24" t="str">
        <f aca="false">IF(IFERROR(INDEX(tsk_Name,(ROW()-ROW(MSPTasks[[#Headers],[ID]])))="",TRUE()),"",INDEX(tsk_Notes,(ROW()-ROW(MSPTasks[[#Headers],[ID]])))&amp;"")</f>
        <v/>
      </c>
    </row>
    <row r="19" customFormat="false" ht="15" hidden="false" customHeight="false" outlineLevel="0" collapsed="false">
      <c r="A19" s="24" t="n">
        <f aca="false">IF(IFERROR(INDEX(tsk_Name,(ROW()-ROW(MSPTasks[[#Headers],[ID]])))="",TRUE()),"",INDEX(tsk_ID,(ROW()-ROW(MSPTasks[[#Headers],[ID]]))))</f>
        <v>18</v>
      </c>
      <c r="B19" s="24" t="n">
        <f aca="false">IF(IFERROR(INDEX(tsk_Name,(ROW()-ROW(MSPTasks[[#Headers],[ID]])))="",TRUE()),"",INDEX(tsk_UID,(ROW()-ROW(MSPTasks[[#Headers],[ID]]))))</f>
        <v>18</v>
      </c>
      <c r="C19" s="24" t="str">
        <f aca="false">IF(IFERROR(INDEX(tsk_Name,(ROW()-ROW(MSPTasks[[#Headers],[ID]])))="",TRUE()),"",INDEX(tsk_Name,(ROW()-ROW(MSPTasks[[#Headers],[ID]]))))</f>
        <v>Accessibility review</v>
      </c>
      <c r="D19" s="24" t="n">
        <f aca="false">IF(IFERROR(INDEX(tsk_Name,(ROW()-ROW(MSPTasks[[#Headers],[ID]])))="",TRUE()),"",INDEX(tsk_Level,(ROW()-ROW(MSPTasks[[#Headers],[ID]]))))</f>
        <v>3</v>
      </c>
      <c r="E19" s="24" t="str">
        <f aca="false">IF(IFERROR(INDEX(tsk_Name,(ROW()-ROW(MSPTasks[[#Headers],[ID]])))="",TRUE()),"",IF(INDEX(tsk_Mode,(ROW()-ROW(MSPTasks[[#Headers],[ID]])))="Manual","Manually Scheduled","Auto Scheduled"))</f>
        <v>Auto Scheduled</v>
      </c>
      <c r="F19" s="24" t="str">
        <f aca="false">IF(IFERROR(INDEX(tsk_Name,(ROW()-ROW(MSPTasks[[#Headers],[ID]])))="",TRUE()),"",IF(INDEX(tsk_IsSummary,(ROW()-ROW(MSPTasks[[#Headers],[ID]]))),"",N(INDEX(tsk_Duration,(ROW()-ROW(MSPTasks[[#Headers],[ID]]))))&amp;"d"))</f>
        <v>3d</v>
      </c>
      <c r="G19" s="127" t="n">
        <f aca="false">IF(IFERROR(INDEX(tsk_Name,(ROW()-ROW(MSPTasks[[#Headers],[ID]])))="",TRUE()),"",INDEX(tsk_FcStart,(ROW()-ROW(MSPTasks[[#Headers],[ID]]))))</f>
        <v>46330</v>
      </c>
      <c r="H19" s="127" t="n">
        <f aca="false">IF(IFERROR(INDEX(tsk_Name,(ROW()-ROW(MSPTasks[[#Headers],[ID]])))="",TRUE()),"",INDEX(tsk_FcFinish,(ROW()-ROW(MSPTasks[[#Headers],[ID]]))))</f>
        <v>46332</v>
      </c>
      <c r="I19" s="24" t="str">
        <f aca="false">IF(IFERROR(INDEX(tsk_Name,(ROW()-ROW(MSPTasks[[#Headers],[ID]])))="",TRUE()),"",IF(INDEX(tsk_IsSummary,(ROW()-ROW(MSPTasks[[#Headers],[ID]]))),"",INDEX(tsk_Predecessors,(ROW()-ROW(MSPTasks[[#Headers],[ID]])))))</f>
        <v>17FF+1d</v>
      </c>
      <c r="J19" s="24" t="str">
        <f aca="false">IF(IFERROR(INDEX(tsk_Name,(ROW()-ROW(MSPTasks[[#Headers],[ID]])))="",TRUE()),"",IF(INDEX(tsk_IsSummary,(ROW()-ROW(MSPTasks[[#Headers],[ID]]))),"",INDEX(tsk_UIDPredecessors,(ROW()-ROW(MSPTasks[[#Headers],[ID]])))))</f>
        <v>17FF+1d</v>
      </c>
      <c r="K1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Casey Kim[50%]</v>
      </c>
      <c r="L19" s="24" t="n">
        <f aca="false">IF(IFERROR(INDEX(tsk_Name,(ROW()-ROW(MSPTasks[[#Headers],[ID]])))="",TRUE()),"",IF(INDEX(tsk_IsSummary,(ROW()-ROW(MSPTasks[[#Headers],[ID]]))),"",ROUND(INDEX(tsk_Progress,(ROW()-ROW(MSPTasks[[#Headers],[ID]])))*100,0)))</f>
        <v>0</v>
      </c>
      <c r="M19" s="127" t="str">
        <f aca="false">IF(IFERROR(INDEX(tsk_Name,(ROW()-ROW(MSPTasks[[#Headers],[ID]])))="",TRUE()),"",IF(N(INDEX(tsk_ActStart,(ROW()-ROW(MSPTasks[[#Headers],[ID]]))))=0,"",INDEX(tsk_ActStart,(ROW()-ROW(MSPTasks[[#Headers],[ID]])))))</f>
        <v/>
      </c>
      <c r="N19" s="127" t="str">
        <f aca="false">IF(IFERROR(INDEX(tsk_Name,(ROW()-ROW(MSPTasks[[#Headers],[ID]])))="",TRUE()),"",IF(N(INDEX(tsk_ActFinish,(ROW()-ROW(MSPTasks[[#Headers],[ID]]))))=0,"",INDEX(tsk_ActFinish,(ROW()-ROW(MSPTasks[[#Headers],[ID]])))))</f>
        <v/>
      </c>
      <c r="O19" s="127" t="n">
        <f aca="false">IF(IFERROR(INDEX(tsk_Name,(ROW()-ROW(MSPTasks[[#Headers],[ID]])))="",TRUE()),"",INDEX(tsk_PlanStart,(ROW()-ROW(MSPTasks[[#Headers],[ID]]))))</f>
        <v>46322</v>
      </c>
      <c r="P19" s="127" t="n">
        <f aca="false">IF(IFERROR(INDEX(tsk_Name,(ROW()-ROW(MSPTasks[[#Headers],[ID]])))="",TRUE()),"",INDEX(tsk_PlanFinish,(ROW()-ROW(MSPTasks[[#Headers],[ID]]))))</f>
        <v>46324</v>
      </c>
      <c r="Q19" s="24" t="str">
        <f aca="false">IF(IFERROR(INDEX(tsk_Name,(ROW()-ROW(MSPTasks[[#Headers],[ID]])))="",TRUE()),"",IF(INDEX(tsk_BaseDuration,(ROW()-ROW(MSPTasks[[#Headers],[ID]])))="","",N(INDEX(tsk_BaseDuration,(ROW()-ROW(MSPTasks[[#Headers],[ID]]))))&amp;"d"))</f>
        <v/>
      </c>
      <c r="R19" s="24" t="str">
        <f aca="false">IF(IFERROR(INDEX(tsk_Name,(ROW()-ROW(MSPTasks[[#Headers],[ID]])))="",TRUE()),"",IF(INDEX(tsk_BaseWork,(ROW()-ROW(MSPTasks[[#Headers],[ID]])))="","",N(INDEX(tsk_BaseWork,(ROW()-ROW(MSPTasks[[#Headers],[ID]]))))&amp;"h"))</f>
        <v/>
      </c>
      <c r="S19" s="24" t="str">
        <f aca="false">IF(IFERROR(INDEX(tsk_Name,(ROW()-ROW(MSPTasks[[#Headers],[ID]])))="",TRUE()),"",IF(INDEX(tsk_BaseCost,(ROW()-ROW(MSPTasks[[#Headers],[ID]])))="","",N(INDEX(tsk_BaseCost,(ROW()-ROW(MSPTasks[[#Headers],[ID]]))))))</f>
        <v/>
      </c>
      <c r="T19" s="24" t="str">
        <f aca="false">IF(IFERROR(INDEX(tsk_Name,(ROW()-ROW(MSPTasks[[#Headers],[ID]])))="",TRUE()),"",IF(INDEX(tsk_IsSummary,(ROW()-ROW(MSPTasks[[#Headers],[ID]]))),"",IF(N(INDEX(tsk_ActCostInput,(ROW()-ROW(MSPTasks[[#Headers],[ID]]))))=0,"",INDEX(tsk_ActCostInput,(ROW()-ROW(MSPTasks[[#Headers],[ID]]))))))</f>
        <v/>
      </c>
      <c r="U19" s="24" t="str">
        <f aca="false">IF(IFERROR(INDEX(tsk_Name,(ROW()-ROW(MSPTasks[[#Headers],[ID]])))="",TRUE()),"",IF(INDEX(tsk_IsSummary,(ROW()-ROW(MSPTasks[[#Headers],[ID]]))),"",IF(AND(INDEX(tsk_Mode,(ROW()-ROW(MSPTasks[[#Headers],[ID]])))&lt;&gt;"Manual",N(INDEX(tsk_Constraint,(ROW()-ROW(MSPTasks[[#Headers],[ID]]))))&gt;0),"Start No Earlier Than","As Soon As Possible")))</f>
        <v>As Soon As Possible</v>
      </c>
      <c r="V19" s="127" t="str">
        <f aca="false">IF(IFERROR(INDEX(tsk_Name,(ROW()-ROW(MSPTasks[[#Headers],[ID]])))="",TRUE()),"",IF(OR(INDEX(tsk_IsSummary,(ROW()-ROW(MSPTasks[[#Headers],[ID]]))),INDEX(tsk_Mode,(ROW()-ROW(MSPTasks[[#Headers],[ID]])))="Manual"),"",IF(N(INDEX(tsk_Constraint,(ROW()-ROW(MSPTasks[[#Headers],[ID]]))))=0,"",INDEX(tsk_Constraint,(ROW()-ROW(MSPTasks[[#Headers],[ID]]))))))</f>
        <v/>
      </c>
      <c r="W19" s="127" t="str">
        <f aca="false">IF(IFERROR(INDEX(tsk_Name,(ROW()-ROW(MSPTasks[[#Headers],[ID]])))="",TRUE()),"",IF(N(INDEX(tsk_Deadline,(ROW()-ROW(MSPTasks[[#Headers],[ID]]))))=0,"",INDEX(tsk_Deadline,(ROW()-ROW(MSPTasks[[#Headers],[ID]])))))</f>
        <v/>
      </c>
      <c r="X19" s="24" t="str">
        <f aca="false">IF(IFERROR(INDEX(tsk_Name,(ROW()-ROW(MSPTasks[[#Headers],[ID]])))="",TRUE()),"",IF(INDEX(tsk_IsSummary,(ROW()-ROW(MSPTasks[[#Headers],[ID]]))),"",INDEX(tsk_Sprint,(ROW()-ROW(MSPTasks[[#Headers],[ID]])))&amp;""))</f>
        <v>Sprint 5</v>
      </c>
      <c r="Y19" s="70" t="n">
        <f aca="false">IF(IFERROR(INDEX(tsk_Name,(ROW()-ROW(MSPTasks[[#Headers],[ID]])))="",TRUE()),"",IF(INDEX(tsk_IsSummary,(ROW()-ROW(MSPTasks[[#Headers],[ID]]))),"",IF(N(INDEX(tsk_StoryPoints,(ROW()-ROW(MSPTasks[[#Headers],[ID]]))))=0,"",INDEX(tsk_StoryPoints,(ROW()-ROW(MSPTasks[[#Headers],[ID]]))))))</f>
        <v>3</v>
      </c>
      <c r="Z19" s="24" t="str">
        <f aca="false">IF(IFERROR(INDEX(tsk_Name,(ROW()-ROW(MSPTasks[[#Headers],[ID]])))="",TRUE()),"",INDEX(tsk_Notes,(ROW()-ROW(MSPTasks[[#Headers],[ID]])))&amp;"")</f>
        <v>Finish-to-Finish + 1 day; 50% units.</v>
      </c>
    </row>
    <row r="20" customFormat="false" ht="15" hidden="false" customHeight="false" outlineLevel="0" collapsed="false">
      <c r="A20" s="24" t="n">
        <f aca="false">IF(IFERROR(INDEX(tsk_Name,(ROW()-ROW(MSPTasks[[#Headers],[ID]])))="",TRUE()),"",INDEX(tsk_ID,(ROW()-ROW(MSPTasks[[#Headers],[ID]]))))</f>
        <v>19</v>
      </c>
      <c r="B20" s="24" t="n">
        <f aca="false">IF(IFERROR(INDEX(tsk_Name,(ROW()-ROW(MSPTasks[[#Headers],[ID]])))="",TRUE()),"",INDEX(tsk_UID,(ROW()-ROW(MSPTasks[[#Headers],[ID]]))))</f>
        <v>19</v>
      </c>
      <c r="C20" s="24" t="str">
        <f aca="false">IF(IFERROR(INDEX(tsk_Name,(ROW()-ROW(MSPTasks[[#Headers],[ID]])))="",TRUE()),"",INDEX(tsk_Name,(ROW()-ROW(MSPTasks[[#Headers],[ID]]))))</f>
        <v>Build complete</v>
      </c>
      <c r="D20" s="24" t="n">
        <f aca="false">IF(IFERROR(INDEX(tsk_Name,(ROW()-ROW(MSPTasks[[#Headers],[ID]])))="",TRUE()),"",INDEX(tsk_Level,(ROW()-ROW(MSPTasks[[#Headers],[ID]]))))</f>
        <v>2</v>
      </c>
      <c r="E20" s="24" t="str">
        <f aca="false">IF(IFERROR(INDEX(tsk_Name,(ROW()-ROW(MSPTasks[[#Headers],[ID]])))="",TRUE()),"",IF(INDEX(tsk_Mode,(ROW()-ROW(MSPTasks[[#Headers],[ID]])))="Manual","Manually Scheduled","Auto Scheduled"))</f>
        <v>Auto Scheduled</v>
      </c>
      <c r="F20" s="24" t="str">
        <f aca="false">IF(IFERROR(INDEX(tsk_Name,(ROW()-ROW(MSPTasks[[#Headers],[ID]])))="",TRUE()),"",IF(INDEX(tsk_IsSummary,(ROW()-ROW(MSPTasks[[#Headers],[ID]]))),"",N(INDEX(tsk_Duration,(ROW()-ROW(MSPTasks[[#Headers],[ID]]))))&amp;"d"))</f>
        <v>0d</v>
      </c>
      <c r="G20" s="127" t="n">
        <f aca="false">IF(IFERROR(INDEX(tsk_Name,(ROW()-ROW(MSPTasks[[#Headers],[ID]])))="",TRUE()),"",INDEX(tsk_FcStart,(ROW()-ROW(MSPTasks[[#Headers],[ID]]))))</f>
        <v>46335</v>
      </c>
      <c r="H20" s="127" t="n">
        <f aca="false">IF(IFERROR(INDEX(tsk_Name,(ROW()-ROW(MSPTasks[[#Headers],[ID]])))="",TRUE()),"",INDEX(tsk_FcFinish,(ROW()-ROW(MSPTasks[[#Headers],[ID]]))))</f>
        <v>46335</v>
      </c>
      <c r="I20" s="24" t="str">
        <f aca="false">IF(IFERROR(INDEX(tsk_Name,(ROW()-ROW(MSPTasks[[#Headers],[ID]])))="",TRUE()),"",IF(INDEX(tsk_IsSummary,(ROW()-ROW(MSPTasks[[#Headers],[ID]]))),"",INDEX(tsk_Predecessors,(ROW()-ROW(MSPTasks[[#Headers],[ID]])))))</f>
        <v>14,18</v>
      </c>
      <c r="J20" s="24" t="str">
        <f aca="false">IF(IFERROR(INDEX(tsk_Name,(ROW()-ROW(MSPTasks[[#Headers],[ID]])))="",TRUE()),"",IF(INDEX(tsk_IsSummary,(ROW()-ROW(MSPTasks[[#Headers],[ID]]))),"",INDEX(tsk_UIDPredecessors,(ROW()-ROW(MSPTasks[[#Headers],[ID]])))))</f>
        <v>14,18</v>
      </c>
      <c r="K2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0" s="24" t="n">
        <f aca="false">IF(IFERROR(INDEX(tsk_Name,(ROW()-ROW(MSPTasks[[#Headers],[ID]])))="",TRUE()),"",IF(INDEX(tsk_IsSummary,(ROW()-ROW(MSPTasks[[#Headers],[ID]]))),"",ROUND(INDEX(tsk_Progress,(ROW()-ROW(MSPTasks[[#Headers],[ID]])))*100,0)))</f>
        <v>0</v>
      </c>
      <c r="M20" s="127" t="str">
        <f aca="false">IF(IFERROR(INDEX(tsk_Name,(ROW()-ROW(MSPTasks[[#Headers],[ID]])))="",TRUE()),"",IF(N(INDEX(tsk_ActStart,(ROW()-ROW(MSPTasks[[#Headers],[ID]]))))=0,"",INDEX(tsk_ActStart,(ROW()-ROW(MSPTasks[[#Headers],[ID]])))))</f>
        <v/>
      </c>
      <c r="N20" s="127" t="str">
        <f aca="false">IF(IFERROR(INDEX(tsk_Name,(ROW()-ROW(MSPTasks[[#Headers],[ID]])))="",TRUE()),"",IF(N(INDEX(tsk_ActFinish,(ROW()-ROW(MSPTasks[[#Headers],[ID]]))))=0,"",INDEX(tsk_ActFinish,(ROW()-ROW(MSPTasks[[#Headers],[ID]])))))</f>
        <v/>
      </c>
      <c r="O20" s="127" t="n">
        <f aca="false">IF(IFERROR(INDEX(tsk_Name,(ROW()-ROW(MSPTasks[[#Headers],[ID]])))="",TRUE()),"",INDEX(tsk_PlanStart,(ROW()-ROW(MSPTasks[[#Headers],[ID]]))))</f>
        <v>46325</v>
      </c>
      <c r="P20" s="127" t="n">
        <f aca="false">IF(IFERROR(INDEX(tsk_Name,(ROW()-ROW(MSPTasks[[#Headers],[ID]])))="",TRUE()),"",INDEX(tsk_PlanFinish,(ROW()-ROW(MSPTasks[[#Headers],[ID]]))))</f>
        <v>46325</v>
      </c>
      <c r="Q20" s="24" t="str">
        <f aca="false">IF(IFERROR(INDEX(tsk_Name,(ROW()-ROW(MSPTasks[[#Headers],[ID]])))="",TRUE()),"",IF(INDEX(tsk_BaseDuration,(ROW()-ROW(MSPTasks[[#Headers],[ID]])))="","",N(INDEX(tsk_BaseDuration,(ROW()-ROW(MSPTasks[[#Headers],[ID]]))))&amp;"d"))</f>
        <v/>
      </c>
      <c r="R20" s="24" t="str">
        <f aca="false">IF(IFERROR(INDEX(tsk_Name,(ROW()-ROW(MSPTasks[[#Headers],[ID]])))="",TRUE()),"",IF(INDEX(tsk_BaseWork,(ROW()-ROW(MSPTasks[[#Headers],[ID]])))="","",N(INDEX(tsk_BaseWork,(ROW()-ROW(MSPTasks[[#Headers],[ID]]))))&amp;"h"))</f>
        <v/>
      </c>
      <c r="S20" s="24" t="str">
        <f aca="false">IF(IFERROR(INDEX(tsk_Name,(ROW()-ROW(MSPTasks[[#Headers],[ID]])))="",TRUE()),"",IF(INDEX(tsk_BaseCost,(ROW()-ROW(MSPTasks[[#Headers],[ID]])))="","",N(INDEX(tsk_BaseCost,(ROW()-ROW(MSPTasks[[#Headers],[ID]]))))))</f>
        <v/>
      </c>
      <c r="T20" s="24" t="str">
        <f aca="false">IF(IFERROR(INDEX(tsk_Name,(ROW()-ROW(MSPTasks[[#Headers],[ID]])))="",TRUE()),"",IF(INDEX(tsk_IsSummary,(ROW()-ROW(MSPTasks[[#Headers],[ID]]))),"",IF(N(INDEX(tsk_ActCostInput,(ROW()-ROW(MSPTasks[[#Headers],[ID]]))))=0,"",INDEX(tsk_ActCostInput,(ROW()-ROW(MSPTasks[[#Headers],[ID]]))))))</f>
        <v/>
      </c>
      <c r="U20" s="24" t="str">
        <f aca="false">IF(IFERROR(INDEX(tsk_Name,(ROW()-ROW(MSPTasks[[#Headers],[ID]])))="",TRUE()),"",IF(INDEX(tsk_IsSummary,(ROW()-ROW(MSPTasks[[#Headers],[ID]]))),"",IF(AND(INDEX(tsk_Mode,(ROW()-ROW(MSPTasks[[#Headers],[ID]])))&lt;&gt;"Manual",N(INDEX(tsk_Constraint,(ROW()-ROW(MSPTasks[[#Headers],[ID]]))))&gt;0),"Start No Earlier Than","As Soon As Possible")))</f>
        <v>As Soon As Possible</v>
      </c>
      <c r="V20" s="127" t="str">
        <f aca="false">IF(IFERROR(INDEX(tsk_Name,(ROW()-ROW(MSPTasks[[#Headers],[ID]])))="",TRUE()),"",IF(OR(INDEX(tsk_IsSummary,(ROW()-ROW(MSPTasks[[#Headers],[ID]]))),INDEX(tsk_Mode,(ROW()-ROW(MSPTasks[[#Headers],[ID]])))="Manual"),"",IF(N(INDEX(tsk_Constraint,(ROW()-ROW(MSPTasks[[#Headers],[ID]]))))=0,"",INDEX(tsk_Constraint,(ROW()-ROW(MSPTasks[[#Headers],[ID]]))))))</f>
        <v/>
      </c>
      <c r="W20" s="127" t="n">
        <f aca="false">IF(IFERROR(INDEX(tsk_Name,(ROW()-ROW(MSPTasks[[#Headers],[ID]])))="",TRUE()),"",IF(N(INDEX(tsk_Deadline,(ROW()-ROW(MSPTasks[[#Headers],[ID]]))))=0,"",INDEX(tsk_Deadline,(ROW()-ROW(MSPTasks[[#Headers],[ID]])))))</f>
        <v>46332</v>
      </c>
      <c r="X20" s="24" t="str">
        <f aca="false">IF(IFERROR(INDEX(tsk_Name,(ROW()-ROW(MSPTasks[[#Headers],[ID]])))="",TRUE()),"",IF(INDEX(tsk_IsSummary,(ROW()-ROW(MSPTasks[[#Headers],[ID]]))),"",INDEX(tsk_Sprint,(ROW()-ROW(MSPTasks[[#Headers],[ID]])))&amp;""))</f>
        <v>Sprint 5</v>
      </c>
      <c r="Y20" s="24" t="str">
        <f aca="false">IF(IFERROR(INDEX(tsk_Name,(ROW()-ROW(MSPTasks[[#Headers],[ID]])))="",TRUE()),"",IF(INDEX(tsk_IsSummary,(ROW()-ROW(MSPTasks[[#Headers],[ID]]))),"",IF(N(INDEX(tsk_StoryPoints,(ROW()-ROW(MSPTasks[[#Headers],[ID]]))))=0,"",INDEX(tsk_StoryPoints,(ROW()-ROW(MSPTasks[[#Headers],[ID]]))))))</f>
        <v/>
      </c>
      <c r="Z20" s="24" t="str">
        <f aca="false">IF(IFERROR(INDEX(tsk_Name,(ROW()-ROW(MSPTasks[[#Headers],[ID]])))="",TRUE()),"",INDEX(tsk_Notes,(ROW()-ROW(MSPTasks[[#Headers],[ID]])))&amp;"")</f>
        <v>Milestone with a deadline of 06-Nov (see Deadline Check).</v>
      </c>
    </row>
    <row r="21" customFormat="false" ht="15" hidden="false" customHeight="false" outlineLevel="0" collapsed="false">
      <c r="A21" s="24" t="n">
        <f aca="false">IF(IFERROR(INDEX(tsk_Name,(ROW()-ROW(MSPTasks[[#Headers],[ID]])))="",TRUE()),"",INDEX(tsk_ID,(ROW()-ROW(MSPTasks[[#Headers],[ID]]))))</f>
        <v>20</v>
      </c>
      <c r="B21" s="24" t="n">
        <f aca="false">IF(IFERROR(INDEX(tsk_Name,(ROW()-ROW(MSPTasks[[#Headers],[ID]])))="",TRUE()),"",INDEX(tsk_UID,(ROW()-ROW(MSPTasks[[#Headers],[ID]]))))</f>
        <v>20</v>
      </c>
      <c r="C21" s="24" t="str">
        <f aca="false">IF(IFERROR(INDEX(tsk_Name,(ROW()-ROW(MSPTasks[[#Headers],[ID]])))="",TRUE()),"",INDEX(tsk_Name,(ROW()-ROW(MSPTasks[[#Headers],[ID]]))))</f>
        <v>Test &amp; Release</v>
      </c>
      <c r="D21" s="24" t="n">
        <f aca="false">IF(IFERROR(INDEX(tsk_Name,(ROW()-ROW(MSPTasks[[#Headers],[ID]])))="",TRUE()),"",INDEX(tsk_Level,(ROW()-ROW(MSPTasks[[#Headers],[ID]]))))</f>
        <v>1</v>
      </c>
      <c r="E21" s="24" t="str">
        <f aca="false">IF(IFERROR(INDEX(tsk_Name,(ROW()-ROW(MSPTasks[[#Headers],[ID]])))="",TRUE()),"",IF(INDEX(tsk_Mode,(ROW()-ROW(MSPTasks[[#Headers],[ID]])))="Manual","Manually Scheduled","Auto Scheduled"))</f>
        <v>Auto Scheduled</v>
      </c>
      <c r="F21" s="24" t="str">
        <f aca="false">IF(IFERROR(INDEX(tsk_Name,(ROW()-ROW(MSPTasks[[#Headers],[ID]])))="",TRUE()),"",IF(INDEX(tsk_IsSummary,(ROW()-ROW(MSPTasks[[#Headers],[ID]]))),"",N(INDEX(tsk_Duration,(ROW()-ROW(MSPTasks[[#Headers],[ID]]))))&amp;"d"))</f>
        <v/>
      </c>
      <c r="G21" s="127" t="n">
        <f aca="false">IF(IFERROR(INDEX(tsk_Name,(ROW()-ROW(MSPTasks[[#Headers],[ID]])))="",TRUE()),"",INDEX(tsk_FcStart,(ROW()-ROW(MSPTasks[[#Headers],[ID]]))))</f>
        <v>46336</v>
      </c>
      <c r="H21" s="127" t="n">
        <f aca="false">IF(IFERROR(INDEX(tsk_Name,(ROW()-ROW(MSPTasks[[#Headers],[ID]])))="",TRUE()),"",INDEX(tsk_FcFinish,(ROW()-ROW(MSPTasks[[#Headers],[ID]]))))</f>
        <v>46391</v>
      </c>
      <c r="I21" s="24" t="str">
        <f aca="false">IF(IFERROR(INDEX(tsk_Name,(ROW()-ROW(MSPTasks[[#Headers],[ID]])))="",TRUE()),"",IF(INDEX(tsk_IsSummary,(ROW()-ROW(MSPTasks[[#Headers],[ID]]))),"",INDEX(tsk_Predecessors,(ROW()-ROW(MSPTasks[[#Headers],[ID]])))))</f>
        <v/>
      </c>
      <c r="J21" s="24" t="str">
        <f aca="false">IF(IFERROR(INDEX(tsk_Name,(ROW()-ROW(MSPTasks[[#Headers],[ID]])))="",TRUE()),"",IF(INDEX(tsk_IsSummary,(ROW()-ROW(MSPTasks[[#Headers],[ID]]))),"",INDEX(tsk_UIDPredecessors,(ROW()-ROW(MSPTasks[[#Headers],[ID]])))))</f>
        <v/>
      </c>
      <c r="K2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1" s="24" t="str">
        <f aca="false">IF(IFERROR(INDEX(tsk_Name,(ROW()-ROW(MSPTasks[[#Headers],[ID]])))="",TRUE()),"",IF(INDEX(tsk_IsSummary,(ROW()-ROW(MSPTasks[[#Headers],[ID]]))),"",ROUND(INDEX(tsk_Progress,(ROW()-ROW(MSPTasks[[#Headers],[ID]])))*100,0)))</f>
        <v/>
      </c>
      <c r="M21" s="127" t="str">
        <f aca="false">IF(IFERROR(INDEX(tsk_Name,(ROW()-ROW(MSPTasks[[#Headers],[ID]])))="",TRUE()),"",IF(N(INDEX(tsk_ActStart,(ROW()-ROW(MSPTasks[[#Headers],[ID]]))))=0,"",INDEX(tsk_ActStart,(ROW()-ROW(MSPTasks[[#Headers],[ID]])))))</f>
        <v/>
      </c>
      <c r="N21" s="127" t="str">
        <f aca="false">IF(IFERROR(INDEX(tsk_Name,(ROW()-ROW(MSPTasks[[#Headers],[ID]])))="",TRUE()),"",IF(N(INDEX(tsk_ActFinish,(ROW()-ROW(MSPTasks[[#Headers],[ID]]))))=0,"",INDEX(tsk_ActFinish,(ROW()-ROW(MSPTasks[[#Headers],[ID]])))))</f>
        <v/>
      </c>
      <c r="O21" s="127" t="n">
        <f aca="false">IF(IFERROR(INDEX(tsk_Name,(ROW()-ROW(MSPTasks[[#Headers],[ID]])))="",TRUE()),"",INDEX(tsk_PlanStart,(ROW()-ROW(MSPTasks[[#Headers],[ID]]))))</f>
        <v>46328</v>
      </c>
      <c r="P21" s="127" t="n">
        <f aca="false">IF(IFERROR(INDEX(tsk_Name,(ROW()-ROW(MSPTasks[[#Headers],[ID]])))="",TRUE()),"",INDEX(tsk_PlanFinish,(ROW()-ROW(MSPTasks[[#Headers],[ID]]))))</f>
        <v>46391</v>
      </c>
      <c r="Q21" s="24" t="str">
        <f aca="false">IF(IFERROR(INDEX(tsk_Name,(ROW()-ROW(MSPTasks[[#Headers],[ID]])))="",TRUE()),"",IF(INDEX(tsk_BaseDuration,(ROW()-ROW(MSPTasks[[#Headers],[ID]])))="","",N(INDEX(tsk_BaseDuration,(ROW()-ROW(MSPTasks[[#Headers],[ID]]))))&amp;"d"))</f>
        <v/>
      </c>
      <c r="R21" s="24" t="str">
        <f aca="false">IF(IFERROR(INDEX(tsk_Name,(ROW()-ROW(MSPTasks[[#Headers],[ID]])))="",TRUE()),"",IF(INDEX(tsk_BaseWork,(ROW()-ROW(MSPTasks[[#Headers],[ID]])))="","",N(INDEX(tsk_BaseWork,(ROW()-ROW(MSPTasks[[#Headers],[ID]]))))&amp;"h"))</f>
        <v/>
      </c>
      <c r="S21" s="24" t="str">
        <f aca="false">IF(IFERROR(INDEX(tsk_Name,(ROW()-ROW(MSPTasks[[#Headers],[ID]])))="",TRUE()),"",IF(INDEX(tsk_BaseCost,(ROW()-ROW(MSPTasks[[#Headers],[ID]])))="","",N(INDEX(tsk_BaseCost,(ROW()-ROW(MSPTasks[[#Headers],[ID]]))))))</f>
        <v/>
      </c>
      <c r="T21" s="24" t="str">
        <f aca="false">IF(IFERROR(INDEX(tsk_Name,(ROW()-ROW(MSPTasks[[#Headers],[ID]])))="",TRUE()),"",IF(INDEX(tsk_IsSummary,(ROW()-ROW(MSPTasks[[#Headers],[ID]]))),"",IF(N(INDEX(tsk_ActCostInput,(ROW()-ROW(MSPTasks[[#Headers],[ID]]))))=0,"",INDEX(tsk_ActCostInput,(ROW()-ROW(MSPTasks[[#Headers],[ID]]))))))</f>
        <v/>
      </c>
      <c r="U21" s="24" t="str">
        <f aca="false">IF(IFERROR(INDEX(tsk_Name,(ROW()-ROW(MSPTasks[[#Headers],[ID]])))="",TRUE()),"",IF(INDEX(tsk_IsSummary,(ROW()-ROW(MSPTasks[[#Headers],[ID]]))),"",IF(AND(INDEX(tsk_Mode,(ROW()-ROW(MSPTasks[[#Headers],[ID]])))&lt;&gt;"Manual",N(INDEX(tsk_Constraint,(ROW()-ROW(MSPTasks[[#Headers],[ID]]))))&gt;0),"Start No Earlier Than","As Soon As Possible")))</f>
        <v/>
      </c>
      <c r="V21" s="127" t="str">
        <f aca="false">IF(IFERROR(INDEX(tsk_Name,(ROW()-ROW(MSPTasks[[#Headers],[ID]])))="",TRUE()),"",IF(OR(INDEX(tsk_IsSummary,(ROW()-ROW(MSPTasks[[#Headers],[ID]]))),INDEX(tsk_Mode,(ROW()-ROW(MSPTasks[[#Headers],[ID]])))="Manual"),"",IF(N(INDEX(tsk_Constraint,(ROW()-ROW(MSPTasks[[#Headers],[ID]]))))=0,"",INDEX(tsk_Constraint,(ROW()-ROW(MSPTasks[[#Headers],[ID]]))))))</f>
        <v/>
      </c>
      <c r="W21" s="127" t="str">
        <f aca="false">IF(IFERROR(INDEX(tsk_Name,(ROW()-ROW(MSPTasks[[#Headers],[ID]])))="",TRUE()),"",IF(N(INDEX(tsk_Deadline,(ROW()-ROW(MSPTasks[[#Headers],[ID]]))))=0,"",INDEX(tsk_Deadline,(ROW()-ROW(MSPTasks[[#Headers],[ID]])))))</f>
        <v/>
      </c>
      <c r="X21" s="24" t="str">
        <f aca="false">IF(IFERROR(INDEX(tsk_Name,(ROW()-ROW(MSPTasks[[#Headers],[ID]])))="",TRUE()),"",IF(INDEX(tsk_IsSummary,(ROW()-ROW(MSPTasks[[#Headers],[ID]]))),"",INDEX(tsk_Sprint,(ROW()-ROW(MSPTasks[[#Headers],[ID]])))&amp;""))</f>
        <v/>
      </c>
      <c r="Y21" s="24" t="str">
        <f aca="false">IF(IFERROR(INDEX(tsk_Name,(ROW()-ROW(MSPTasks[[#Headers],[ID]])))="",TRUE()),"",IF(INDEX(tsk_IsSummary,(ROW()-ROW(MSPTasks[[#Headers],[ID]]))),"",IF(N(INDEX(tsk_StoryPoints,(ROW()-ROW(MSPTasks[[#Headers],[ID]]))))=0,"",INDEX(tsk_StoryPoints,(ROW()-ROW(MSPTasks[[#Headers],[ID]]))))))</f>
        <v/>
      </c>
      <c r="Z21" s="24" t="str">
        <f aca="false">IF(IFERROR(INDEX(tsk_Name,(ROW()-ROW(MSPTasks[[#Headers],[ID]])))="",TRUE()),"",INDEX(tsk_Notes,(ROW()-ROW(MSPTasks[[#Headers],[ID]])))&amp;"")</f>
        <v/>
      </c>
    </row>
    <row r="22" customFormat="false" ht="15" hidden="false" customHeight="false" outlineLevel="0" collapsed="false">
      <c r="A22" s="24" t="n">
        <f aca="false">IF(IFERROR(INDEX(tsk_Name,(ROW()-ROW(MSPTasks[[#Headers],[ID]])))="",TRUE()),"",INDEX(tsk_ID,(ROW()-ROW(MSPTasks[[#Headers],[ID]]))))</f>
        <v>21</v>
      </c>
      <c r="B22" s="24" t="n">
        <f aca="false">IF(IFERROR(INDEX(tsk_Name,(ROW()-ROW(MSPTasks[[#Headers],[ID]])))="",TRUE()),"",INDEX(tsk_UID,(ROW()-ROW(MSPTasks[[#Headers],[ID]]))))</f>
        <v>21</v>
      </c>
      <c r="C22" s="24" t="str">
        <f aca="false">IF(IFERROR(INDEX(tsk_Name,(ROW()-ROW(MSPTasks[[#Headers],[ID]])))="",TRUE()),"",INDEX(tsk_Name,(ROW()-ROW(MSPTasks[[#Headers],[ID]]))))</f>
        <v>System integration testing</v>
      </c>
      <c r="D22" s="24" t="n">
        <f aca="false">IF(IFERROR(INDEX(tsk_Name,(ROW()-ROW(MSPTasks[[#Headers],[ID]])))="",TRUE()),"",INDEX(tsk_Level,(ROW()-ROW(MSPTasks[[#Headers],[ID]]))))</f>
        <v>2</v>
      </c>
      <c r="E22" s="24" t="str">
        <f aca="false">IF(IFERROR(INDEX(tsk_Name,(ROW()-ROW(MSPTasks[[#Headers],[ID]])))="",TRUE()),"",IF(INDEX(tsk_Mode,(ROW()-ROW(MSPTasks[[#Headers],[ID]])))="Manual","Manually Scheduled","Auto Scheduled"))</f>
        <v>Auto Scheduled</v>
      </c>
      <c r="F22" s="24" t="str">
        <f aca="false">IF(IFERROR(INDEX(tsk_Name,(ROW()-ROW(MSPTasks[[#Headers],[ID]])))="",TRUE()),"",IF(INDEX(tsk_IsSummary,(ROW()-ROW(MSPTasks[[#Headers],[ID]]))),"",N(INDEX(tsk_Duration,(ROW()-ROW(MSPTasks[[#Headers],[ID]]))))&amp;"d"))</f>
        <v>8d</v>
      </c>
      <c r="G22" s="127" t="n">
        <f aca="false">IF(IFERROR(INDEX(tsk_Name,(ROW()-ROW(MSPTasks[[#Headers],[ID]])))="",TRUE()),"",INDEX(tsk_FcStart,(ROW()-ROW(MSPTasks[[#Headers],[ID]]))))</f>
        <v>46336</v>
      </c>
      <c r="H22" s="127" t="n">
        <f aca="false">IF(IFERROR(INDEX(tsk_Name,(ROW()-ROW(MSPTasks[[#Headers],[ID]])))="",TRUE()),"",INDEX(tsk_FcFinish,(ROW()-ROW(MSPTasks[[#Headers],[ID]]))))</f>
        <v>46345</v>
      </c>
      <c r="I22" s="24" t="str">
        <f aca="false">IF(IFERROR(INDEX(tsk_Name,(ROW()-ROW(MSPTasks[[#Headers],[ID]])))="",TRUE()),"",IF(INDEX(tsk_IsSummary,(ROW()-ROW(MSPTasks[[#Headers],[ID]]))),"",INDEX(tsk_Predecessors,(ROW()-ROW(MSPTasks[[#Headers],[ID]])))))</f>
        <v>19</v>
      </c>
      <c r="J22" s="24" t="str">
        <f aca="false">IF(IFERROR(INDEX(tsk_Name,(ROW()-ROW(MSPTasks[[#Headers],[ID]])))="",TRUE()),"",IF(INDEX(tsk_IsSummary,(ROW()-ROW(MSPTasks[[#Headers],[ID]]))),"",INDEX(tsk_UIDPredecessors,(ROW()-ROW(MSPTasks[[#Headers],[ID]])))))</f>
        <v>19</v>
      </c>
      <c r="K2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Taylor Morgan</v>
      </c>
      <c r="L22" s="24" t="n">
        <f aca="false">IF(IFERROR(INDEX(tsk_Name,(ROW()-ROW(MSPTasks[[#Headers],[ID]])))="",TRUE()),"",IF(INDEX(tsk_IsSummary,(ROW()-ROW(MSPTasks[[#Headers],[ID]]))),"",ROUND(INDEX(tsk_Progress,(ROW()-ROW(MSPTasks[[#Headers],[ID]])))*100,0)))</f>
        <v>0</v>
      </c>
      <c r="M22" s="127" t="str">
        <f aca="false">IF(IFERROR(INDEX(tsk_Name,(ROW()-ROW(MSPTasks[[#Headers],[ID]])))="",TRUE()),"",IF(N(INDEX(tsk_ActStart,(ROW()-ROW(MSPTasks[[#Headers],[ID]]))))=0,"",INDEX(tsk_ActStart,(ROW()-ROW(MSPTasks[[#Headers],[ID]])))))</f>
        <v/>
      </c>
      <c r="N22" s="127" t="str">
        <f aca="false">IF(IFERROR(INDEX(tsk_Name,(ROW()-ROW(MSPTasks[[#Headers],[ID]])))="",TRUE()),"",IF(N(INDEX(tsk_ActFinish,(ROW()-ROW(MSPTasks[[#Headers],[ID]]))))=0,"",INDEX(tsk_ActFinish,(ROW()-ROW(MSPTasks[[#Headers],[ID]])))))</f>
        <v/>
      </c>
      <c r="O22" s="127" t="n">
        <f aca="false">IF(IFERROR(INDEX(tsk_Name,(ROW()-ROW(MSPTasks[[#Headers],[ID]])))="",TRUE()),"",INDEX(tsk_PlanStart,(ROW()-ROW(MSPTasks[[#Headers],[ID]]))))</f>
        <v>46328</v>
      </c>
      <c r="P22" s="127" t="n">
        <f aca="false">IF(IFERROR(INDEX(tsk_Name,(ROW()-ROW(MSPTasks[[#Headers],[ID]])))="",TRUE()),"",INDEX(tsk_PlanFinish,(ROW()-ROW(MSPTasks[[#Headers],[ID]]))))</f>
        <v>46337</v>
      </c>
      <c r="Q22" s="24" t="str">
        <f aca="false">IF(IFERROR(INDEX(tsk_Name,(ROW()-ROW(MSPTasks[[#Headers],[ID]])))="",TRUE()),"",IF(INDEX(tsk_BaseDuration,(ROW()-ROW(MSPTasks[[#Headers],[ID]])))="","",N(INDEX(tsk_BaseDuration,(ROW()-ROW(MSPTasks[[#Headers],[ID]]))))&amp;"d"))</f>
        <v/>
      </c>
      <c r="R22" s="24" t="str">
        <f aca="false">IF(IFERROR(INDEX(tsk_Name,(ROW()-ROW(MSPTasks[[#Headers],[ID]])))="",TRUE()),"",IF(INDEX(tsk_BaseWork,(ROW()-ROW(MSPTasks[[#Headers],[ID]])))="","",N(INDEX(tsk_BaseWork,(ROW()-ROW(MSPTasks[[#Headers],[ID]]))))&amp;"h"))</f>
        <v/>
      </c>
      <c r="S22" s="24" t="str">
        <f aca="false">IF(IFERROR(INDEX(tsk_Name,(ROW()-ROW(MSPTasks[[#Headers],[ID]])))="",TRUE()),"",IF(INDEX(tsk_BaseCost,(ROW()-ROW(MSPTasks[[#Headers],[ID]])))="","",N(INDEX(tsk_BaseCost,(ROW()-ROW(MSPTasks[[#Headers],[ID]]))))))</f>
        <v/>
      </c>
      <c r="T22" s="24" t="str">
        <f aca="false">IF(IFERROR(INDEX(tsk_Name,(ROW()-ROW(MSPTasks[[#Headers],[ID]])))="",TRUE()),"",IF(INDEX(tsk_IsSummary,(ROW()-ROW(MSPTasks[[#Headers],[ID]]))),"",IF(N(INDEX(tsk_ActCostInput,(ROW()-ROW(MSPTasks[[#Headers],[ID]]))))=0,"",INDEX(tsk_ActCostInput,(ROW()-ROW(MSPTasks[[#Headers],[ID]]))))))</f>
        <v/>
      </c>
      <c r="U22" s="24" t="str">
        <f aca="false">IF(IFERROR(INDEX(tsk_Name,(ROW()-ROW(MSPTasks[[#Headers],[ID]])))="",TRUE()),"",IF(INDEX(tsk_IsSummary,(ROW()-ROW(MSPTasks[[#Headers],[ID]]))),"",IF(AND(INDEX(tsk_Mode,(ROW()-ROW(MSPTasks[[#Headers],[ID]])))&lt;&gt;"Manual",N(INDEX(tsk_Constraint,(ROW()-ROW(MSPTasks[[#Headers],[ID]]))))&gt;0),"Start No Earlier Than","As Soon As Possible")))</f>
        <v>As Soon As Possible</v>
      </c>
      <c r="V22" s="127" t="str">
        <f aca="false">IF(IFERROR(INDEX(tsk_Name,(ROW()-ROW(MSPTasks[[#Headers],[ID]])))="",TRUE()),"",IF(OR(INDEX(tsk_IsSummary,(ROW()-ROW(MSPTasks[[#Headers],[ID]]))),INDEX(tsk_Mode,(ROW()-ROW(MSPTasks[[#Headers],[ID]])))="Manual"),"",IF(N(INDEX(tsk_Constraint,(ROW()-ROW(MSPTasks[[#Headers],[ID]]))))=0,"",INDEX(tsk_Constraint,(ROW()-ROW(MSPTasks[[#Headers],[ID]]))))))</f>
        <v/>
      </c>
      <c r="W22" s="127" t="str">
        <f aca="false">IF(IFERROR(INDEX(tsk_Name,(ROW()-ROW(MSPTasks[[#Headers],[ID]])))="",TRUE()),"",IF(N(INDEX(tsk_Deadline,(ROW()-ROW(MSPTasks[[#Headers],[ID]]))))=0,"",INDEX(tsk_Deadline,(ROW()-ROW(MSPTasks[[#Headers],[ID]])))))</f>
        <v/>
      </c>
      <c r="X22" s="24" t="str">
        <f aca="false">IF(IFERROR(INDEX(tsk_Name,(ROW()-ROW(MSPTasks[[#Headers],[ID]])))="",TRUE()),"",IF(INDEX(tsk_IsSummary,(ROW()-ROW(MSPTasks[[#Headers],[ID]]))),"",INDEX(tsk_Sprint,(ROW()-ROW(MSPTasks[[#Headers],[ID]])))&amp;""))</f>
        <v>Sprint 5</v>
      </c>
      <c r="Y22" s="70" t="n">
        <f aca="false">IF(IFERROR(INDEX(tsk_Name,(ROW()-ROW(MSPTasks[[#Headers],[ID]])))="",TRUE()),"",IF(INDEX(tsk_IsSummary,(ROW()-ROW(MSPTasks[[#Headers],[ID]]))),"",IF(N(INDEX(tsk_StoryPoints,(ROW()-ROW(MSPTasks[[#Headers],[ID]]))))=0,"",INDEX(tsk_StoryPoints,(ROW()-ROW(MSPTasks[[#Headers],[ID]]))))))</f>
        <v>8</v>
      </c>
      <c r="Z22" s="24" t="str">
        <f aca="false">IF(IFERROR(INDEX(tsk_Name,(ROW()-ROW(MSPTasks[[#Headers],[ID]])))="",TRUE()),"",INDEX(tsk_Notes,(ROW()-ROW(MSPTasks[[#Headers],[ID]])))&amp;"")</f>
        <v/>
      </c>
    </row>
    <row r="23" customFormat="false" ht="15" hidden="false" customHeight="false" outlineLevel="0" collapsed="false">
      <c r="A23" s="24" t="n">
        <f aca="false">IF(IFERROR(INDEX(tsk_Name,(ROW()-ROW(MSPTasks[[#Headers],[ID]])))="",TRUE()),"",INDEX(tsk_ID,(ROW()-ROW(MSPTasks[[#Headers],[ID]]))))</f>
        <v>22</v>
      </c>
      <c r="B23" s="24" t="n">
        <f aca="false">IF(IFERROR(INDEX(tsk_Name,(ROW()-ROW(MSPTasks[[#Headers],[ID]])))="",TRUE()),"",INDEX(tsk_UID,(ROW()-ROW(MSPTasks[[#Headers],[ID]]))))</f>
        <v>22</v>
      </c>
      <c r="C23" s="24" t="str">
        <f aca="false">IF(IFERROR(INDEX(tsk_Name,(ROW()-ROW(MSPTasks[[#Headers],[ID]])))="",TRUE()),"",INDEX(tsk_Name,(ROW()-ROW(MSPTasks[[#Headers],[ID]]))))</f>
        <v>User acceptance testing</v>
      </c>
      <c r="D23" s="24" t="n">
        <f aca="false">IF(IFERROR(INDEX(tsk_Name,(ROW()-ROW(MSPTasks[[#Headers],[ID]])))="",TRUE()),"",INDEX(tsk_Level,(ROW()-ROW(MSPTasks[[#Headers],[ID]]))))</f>
        <v>2</v>
      </c>
      <c r="E23" s="24" t="str">
        <f aca="false">IF(IFERROR(INDEX(tsk_Name,(ROW()-ROW(MSPTasks[[#Headers],[ID]])))="",TRUE()),"",IF(INDEX(tsk_Mode,(ROW()-ROW(MSPTasks[[#Headers],[ID]])))="Manual","Manually Scheduled","Auto Scheduled"))</f>
        <v>Auto Scheduled</v>
      </c>
      <c r="F23" s="24" t="str">
        <f aca="false">IF(IFERROR(INDEX(tsk_Name,(ROW()-ROW(MSPTasks[[#Headers],[ID]])))="",TRUE()),"",IF(INDEX(tsk_IsSummary,(ROW()-ROW(MSPTasks[[#Headers],[ID]]))),"",N(INDEX(tsk_Duration,(ROW()-ROW(MSPTasks[[#Headers],[ID]]))))&amp;"d"))</f>
        <v>6d</v>
      </c>
      <c r="G23" s="127" t="n">
        <f aca="false">IF(IFERROR(INDEX(tsk_Name,(ROW()-ROW(MSPTasks[[#Headers],[ID]])))="",TRUE()),"",INDEX(tsk_FcStart,(ROW()-ROW(MSPTasks[[#Headers],[ID]]))))</f>
        <v>46363</v>
      </c>
      <c r="H23" s="127" t="n">
        <f aca="false">IF(IFERROR(INDEX(tsk_Name,(ROW()-ROW(MSPTasks[[#Headers],[ID]])))="",TRUE()),"",INDEX(tsk_FcFinish,(ROW()-ROW(MSPTasks[[#Headers],[ID]]))))</f>
        <v>46370</v>
      </c>
      <c r="I23" s="24" t="str">
        <f aca="false">IF(IFERROR(INDEX(tsk_Name,(ROW()-ROW(MSPTasks[[#Headers],[ID]])))="",TRUE()),"",IF(INDEX(tsk_IsSummary,(ROW()-ROW(MSPTasks[[#Headers],[ID]]))),"",INDEX(tsk_Predecessors,(ROW()-ROW(MSPTasks[[#Headers],[ID]])))))</f>
        <v>21</v>
      </c>
      <c r="J23" s="24" t="str">
        <f aca="false">IF(IFERROR(INDEX(tsk_Name,(ROW()-ROW(MSPTasks[[#Headers],[ID]])))="",TRUE()),"",IF(INDEX(tsk_IsSummary,(ROW()-ROW(MSPTasks[[#Headers],[ID]]))),"",INDEX(tsk_UIDPredecessors,(ROW()-ROW(MSPTasks[[#Headers],[ID]])))))</f>
        <v>21</v>
      </c>
      <c r="K2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Morgan Patel</v>
      </c>
      <c r="L23" s="24" t="n">
        <f aca="false">IF(IFERROR(INDEX(tsk_Name,(ROW()-ROW(MSPTasks[[#Headers],[ID]])))="",TRUE()),"",IF(INDEX(tsk_IsSummary,(ROW()-ROW(MSPTasks[[#Headers],[ID]]))),"",ROUND(INDEX(tsk_Progress,(ROW()-ROW(MSPTasks[[#Headers],[ID]])))*100,0)))</f>
        <v>0</v>
      </c>
      <c r="M23" s="127" t="str">
        <f aca="false">IF(IFERROR(INDEX(tsk_Name,(ROW()-ROW(MSPTasks[[#Headers],[ID]])))="",TRUE()),"",IF(N(INDEX(tsk_ActStart,(ROW()-ROW(MSPTasks[[#Headers],[ID]]))))=0,"",INDEX(tsk_ActStart,(ROW()-ROW(MSPTasks[[#Headers],[ID]])))))</f>
        <v/>
      </c>
      <c r="N23" s="127" t="str">
        <f aca="false">IF(IFERROR(INDEX(tsk_Name,(ROW()-ROW(MSPTasks[[#Headers],[ID]])))="",TRUE()),"",IF(N(INDEX(tsk_ActFinish,(ROW()-ROW(MSPTasks[[#Headers],[ID]]))))=0,"",INDEX(tsk_ActFinish,(ROW()-ROW(MSPTasks[[#Headers],[ID]])))))</f>
        <v/>
      </c>
      <c r="O23" s="127" t="n">
        <f aca="false">IF(IFERROR(INDEX(tsk_Name,(ROW()-ROW(MSPTasks[[#Headers],[ID]])))="",TRUE()),"",INDEX(tsk_PlanStart,(ROW()-ROW(MSPTasks[[#Headers],[ID]]))))</f>
        <v>46363</v>
      </c>
      <c r="P23" s="127" t="n">
        <f aca="false">IF(IFERROR(INDEX(tsk_Name,(ROW()-ROW(MSPTasks[[#Headers],[ID]])))="",TRUE()),"",INDEX(tsk_PlanFinish,(ROW()-ROW(MSPTasks[[#Headers],[ID]]))))</f>
        <v>46370</v>
      </c>
      <c r="Q23" s="24" t="str">
        <f aca="false">IF(IFERROR(INDEX(tsk_Name,(ROW()-ROW(MSPTasks[[#Headers],[ID]])))="",TRUE()),"",IF(INDEX(tsk_BaseDuration,(ROW()-ROW(MSPTasks[[#Headers],[ID]])))="","",N(INDEX(tsk_BaseDuration,(ROW()-ROW(MSPTasks[[#Headers],[ID]]))))&amp;"d"))</f>
        <v/>
      </c>
      <c r="R23" s="24" t="str">
        <f aca="false">IF(IFERROR(INDEX(tsk_Name,(ROW()-ROW(MSPTasks[[#Headers],[ID]])))="",TRUE()),"",IF(INDEX(tsk_BaseWork,(ROW()-ROW(MSPTasks[[#Headers],[ID]])))="","",N(INDEX(tsk_BaseWork,(ROW()-ROW(MSPTasks[[#Headers],[ID]]))))&amp;"h"))</f>
        <v/>
      </c>
      <c r="S23" s="24" t="str">
        <f aca="false">IF(IFERROR(INDEX(tsk_Name,(ROW()-ROW(MSPTasks[[#Headers],[ID]])))="",TRUE()),"",IF(INDEX(tsk_BaseCost,(ROW()-ROW(MSPTasks[[#Headers],[ID]])))="","",N(INDEX(tsk_BaseCost,(ROW()-ROW(MSPTasks[[#Headers],[ID]]))))))</f>
        <v/>
      </c>
      <c r="T23" s="24" t="str">
        <f aca="false">IF(IFERROR(INDEX(tsk_Name,(ROW()-ROW(MSPTasks[[#Headers],[ID]])))="",TRUE()),"",IF(INDEX(tsk_IsSummary,(ROW()-ROW(MSPTasks[[#Headers],[ID]]))),"",IF(N(INDEX(tsk_ActCostInput,(ROW()-ROW(MSPTasks[[#Headers],[ID]]))))=0,"",INDEX(tsk_ActCostInput,(ROW()-ROW(MSPTasks[[#Headers],[ID]]))))))</f>
        <v/>
      </c>
      <c r="U23" s="24" t="str">
        <f aca="false">IF(IFERROR(INDEX(tsk_Name,(ROW()-ROW(MSPTasks[[#Headers],[ID]])))="",TRUE()),"",IF(INDEX(tsk_IsSummary,(ROW()-ROW(MSPTasks[[#Headers],[ID]]))),"",IF(AND(INDEX(tsk_Mode,(ROW()-ROW(MSPTasks[[#Headers],[ID]])))&lt;&gt;"Manual",N(INDEX(tsk_Constraint,(ROW()-ROW(MSPTasks[[#Headers],[ID]]))))&gt;0),"Start No Earlier Than","As Soon As Possible")))</f>
        <v>Start No Earlier Than</v>
      </c>
      <c r="V23" s="127" t="n">
        <f aca="false">IF(IFERROR(INDEX(tsk_Name,(ROW()-ROW(MSPTasks[[#Headers],[ID]])))="",TRUE()),"",IF(OR(INDEX(tsk_IsSummary,(ROW()-ROW(MSPTasks[[#Headers],[ID]]))),INDEX(tsk_Mode,(ROW()-ROW(MSPTasks[[#Headers],[ID]])))="Manual"),"",IF(N(INDEX(tsk_Constraint,(ROW()-ROW(MSPTasks[[#Headers],[ID]]))))=0,"",INDEX(tsk_Constraint,(ROW()-ROW(MSPTasks[[#Headers],[ID]]))))))</f>
        <v>46363</v>
      </c>
      <c r="W23" s="127" t="str">
        <f aca="false">IF(IFERROR(INDEX(tsk_Name,(ROW()-ROW(MSPTasks[[#Headers],[ID]])))="",TRUE()),"",IF(N(INDEX(tsk_Deadline,(ROW()-ROW(MSPTasks[[#Headers],[ID]]))))=0,"",INDEX(tsk_Deadline,(ROW()-ROW(MSPTasks[[#Headers],[ID]])))))</f>
        <v/>
      </c>
      <c r="X23" s="24" t="str">
        <f aca="false">IF(IFERROR(INDEX(tsk_Name,(ROW()-ROW(MSPTasks[[#Headers],[ID]])))="",TRUE()),"",IF(INDEX(tsk_IsSummary,(ROW()-ROW(MSPTasks[[#Headers],[ID]]))),"",INDEX(tsk_Sprint,(ROW()-ROW(MSPTasks[[#Headers],[ID]])))&amp;""))</f>
        <v>Sprint 7</v>
      </c>
      <c r="Y23" s="70" t="n">
        <f aca="false">IF(IFERROR(INDEX(tsk_Name,(ROW()-ROW(MSPTasks[[#Headers],[ID]])))="",TRUE()),"",IF(INDEX(tsk_IsSummary,(ROW()-ROW(MSPTasks[[#Headers],[ID]]))),"",IF(N(INDEX(tsk_StoryPoints,(ROW()-ROW(MSPTasks[[#Headers],[ID]]))))=0,"",INDEX(tsk_StoryPoints,(ROW()-ROW(MSPTasks[[#Headers],[ID]]))))))</f>
        <v>5</v>
      </c>
      <c r="Z23" s="24" t="str">
        <f aca="false">IF(IFERROR(INDEX(tsk_Name,(ROW()-ROW(MSPTasks[[#Headers],[ID]])))="",TRUE()),"",INDEX(tsk_Notes,(ROW()-ROW(MSPTasks[[#Headers],[ID]])))&amp;"")</f>
        <v>Start No Earlier Than 07-Dec (client availability).</v>
      </c>
    </row>
    <row r="24" customFormat="false" ht="15" hidden="false" customHeight="false" outlineLevel="0" collapsed="false">
      <c r="A24" s="24" t="n">
        <f aca="false">IF(IFERROR(INDEX(tsk_Name,(ROW()-ROW(MSPTasks[[#Headers],[ID]])))="",TRUE()),"",INDEX(tsk_ID,(ROW()-ROW(MSPTasks[[#Headers],[ID]]))))</f>
        <v>23</v>
      </c>
      <c r="B24" s="24" t="n">
        <f aca="false">IF(IFERROR(INDEX(tsk_Name,(ROW()-ROW(MSPTasks[[#Headers],[ID]])))="",TRUE()),"",INDEX(tsk_UID,(ROW()-ROW(MSPTasks[[#Headers],[ID]]))))</f>
        <v>23</v>
      </c>
      <c r="C24" s="24" t="str">
        <f aca="false">IF(IFERROR(INDEX(tsk_Name,(ROW()-ROW(MSPTasks[[#Headers],[ID]])))="",TRUE()),"",INDEX(tsk_Name,(ROW()-ROW(MSPTasks[[#Headers],[ID]]))))</f>
        <v>Training &amp; user guides</v>
      </c>
      <c r="D24" s="24" t="n">
        <f aca="false">IF(IFERROR(INDEX(tsk_Name,(ROW()-ROW(MSPTasks[[#Headers],[ID]])))="",TRUE()),"",INDEX(tsk_Level,(ROW()-ROW(MSPTasks[[#Headers],[ID]]))))</f>
        <v>2</v>
      </c>
      <c r="E24" s="24" t="str">
        <f aca="false">IF(IFERROR(INDEX(tsk_Name,(ROW()-ROW(MSPTasks[[#Headers],[ID]])))="",TRUE()),"",IF(INDEX(tsk_Mode,(ROW()-ROW(MSPTasks[[#Headers],[ID]])))="Manual","Manually Scheduled","Auto Scheduled"))</f>
        <v>Auto Scheduled</v>
      </c>
      <c r="F24" s="24" t="str">
        <f aca="false">IF(IFERROR(INDEX(tsk_Name,(ROW()-ROW(MSPTasks[[#Headers],[ID]])))="",TRUE()),"",IF(INDEX(tsk_IsSummary,(ROW()-ROW(MSPTasks[[#Headers],[ID]]))),"",N(INDEX(tsk_Duration,(ROW()-ROW(MSPTasks[[#Headers],[ID]]))))&amp;"d"))</f>
        <v>5d</v>
      </c>
      <c r="G24" s="127" t="n">
        <f aca="false">IF(IFERROR(INDEX(tsk_Name,(ROW()-ROW(MSPTasks[[#Headers],[ID]])))="",TRUE()),"",INDEX(tsk_FcStart,(ROW()-ROW(MSPTasks[[#Headers],[ID]]))))</f>
        <v>46338</v>
      </c>
      <c r="H24" s="127" t="n">
        <f aca="false">IF(IFERROR(INDEX(tsk_Name,(ROW()-ROW(MSPTasks[[#Headers],[ID]])))="",TRUE()),"",INDEX(tsk_FcFinish,(ROW()-ROW(MSPTasks[[#Headers],[ID]]))))</f>
        <v>46344</v>
      </c>
      <c r="I24" s="24" t="str">
        <f aca="false">IF(IFERROR(INDEX(tsk_Name,(ROW()-ROW(MSPTasks[[#Headers],[ID]])))="",TRUE()),"",IF(INDEX(tsk_IsSummary,(ROW()-ROW(MSPTasks[[#Headers],[ID]]))),"",INDEX(tsk_Predecessors,(ROW()-ROW(MSPTasks[[#Headers],[ID]])))))</f>
        <v>21SS+2d</v>
      </c>
      <c r="J24" s="24" t="str">
        <f aca="false">IF(IFERROR(INDEX(tsk_Name,(ROW()-ROW(MSPTasks[[#Headers],[ID]])))="",TRUE()),"",IF(INDEX(tsk_IsSummary,(ROW()-ROW(MSPTasks[[#Headers],[ID]]))),"",INDEX(tsk_UIDPredecessors,(ROW()-ROW(MSPTasks[[#Headers],[ID]])))))</f>
        <v>21SS+2d</v>
      </c>
      <c r="K2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Casey Kim[50%]</v>
      </c>
      <c r="L24" s="24" t="n">
        <f aca="false">IF(IFERROR(INDEX(tsk_Name,(ROW()-ROW(MSPTasks[[#Headers],[ID]])))="",TRUE()),"",IF(INDEX(tsk_IsSummary,(ROW()-ROW(MSPTasks[[#Headers],[ID]]))),"",ROUND(INDEX(tsk_Progress,(ROW()-ROW(MSPTasks[[#Headers],[ID]])))*100,0)))</f>
        <v>0</v>
      </c>
      <c r="M24" s="127" t="str">
        <f aca="false">IF(IFERROR(INDEX(tsk_Name,(ROW()-ROW(MSPTasks[[#Headers],[ID]])))="",TRUE()),"",IF(N(INDEX(tsk_ActStart,(ROW()-ROW(MSPTasks[[#Headers],[ID]]))))=0,"",INDEX(tsk_ActStart,(ROW()-ROW(MSPTasks[[#Headers],[ID]])))))</f>
        <v/>
      </c>
      <c r="N24" s="127" t="str">
        <f aca="false">IF(IFERROR(INDEX(tsk_Name,(ROW()-ROW(MSPTasks[[#Headers],[ID]])))="",TRUE()),"",IF(N(INDEX(tsk_ActFinish,(ROW()-ROW(MSPTasks[[#Headers],[ID]]))))=0,"",INDEX(tsk_ActFinish,(ROW()-ROW(MSPTasks[[#Headers],[ID]])))))</f>
        <v/>
      </c>
      <c r="O24" s="127" t="n">
        <f aca="false">IF(IFERROR(INDEX(tsk_Name,(ROW()-ROW(MSPTasks[[#Headers],[ID]])))="",TRUE()),"",INDEX(tsk_PlanStart,(ROW()-ROW(MSPTasks[[#Headers],[ID]]))))</f>
        <v>46330</v>
      </c>
      <c r="P24" s="127" t="n">
        <f aca="false">IF(IFERROR(INDEX(tsk_Name,(ROW()-ROW(MSPTasks[[#Headers],[ID]])))="",TRUE()),"",INDEX(tsk_PlanFinish,(ROW()-ROW(MSPTasks[[#Headers],[ID]]))))</f>
        <v>46336</v>
      </c>
      <c r="Q24" s="24" t="str">
        <f aca="false">IF(IFERROR(INDEX(tsk_Name,(ROW()-ROW(MSPTasks[[#Headers],[ID]])))="",TRUE()),"",IF(INDEX(tsk_BaseDuration,(ROW()-ROW(MSPTasks[[#Headers],[ID]])))="","",N(INDEX(tsk_BaseDuration,(ROW()-ROW(MSPTasks[[#Headers],[ID]]))))&amp;"d"))</f>
        <v/>
      </c>
      <c r="R24" s="24" t="str">
        <f aca="false">IF(IFERROR(INDEX(tsk_Name,(ROW()-ROW(MSPTasks[[#Headers],[ID]])))="",TRUE()),"",IF(INDEX(tsk_BaseWork,(ROW()-ROW(MSPTasks[[#Headers],[ID]])))="","",N(INDEX(tsk_BaseWork,(ROW()-ROW(MSPTasks[[#Headers],[ID]]))))&amp;"h"))</f>
        <v/>
      </c>
      <c r="S24" s="24" t="str">
        <f aca="false">IF(IFERROR(INDEX(tsk_Name,(ROW()-ROW(MSPTasks[[#Headers],[ID]])))="",TRUE()),"",IF(INDEX(tsk_BaseCost,(ROW()-ROW(MSPTasks[[#Headers],[ID]])))="","",N(INDEX(tsk_BaseCost,(ROW()-ROW(MSPTasks[[#Headers],[ID]]))))))</f>
        <v/>
      </c>
      <c r="T24" s="24" t="str">
        <f aca="false">IF(IFERROR(INDEX(tsk_Name,(ROW()-ROW(MSPTasks[[#Headers],[ID]])))="",TRUE()),"",IF(INDEX(tsk_IsSummary,(ROW()-ROW(MSPTasks[[#Headers],[ID]]))),"",IF(N(INDEX(tsk_ActCostInput,(ROW()-ROW(MSPTasks[[#Headers],[ID]]))))=0,"",INDEX(tsk_ActCostInput,(ROW()-ROW(MSPTasks[[#Headers],[ID]]))))))</f>
        <v/>
      </c>
      <c r="U24" s="24" t="str">
        <f aca="false">IF(IFERROR(INDEX(tsk_Name,(ROW()-ROW(MSPTasks[[#Headers],[ID]])))="",TRUE()),"",IF(INDEX(tsk_IsSummary,(ROW()-ROW(MSPTasks[[#Headers],[ID]]))),"",IF(AND(INDEX(tsk_Mode,(ROW()-ROW(MSPTasks[[#Headers],[ID]])))&lt;&gt;"Manual",N(INDEX(tsk_Constraint,(ROW()-ROW(MSPTasks[[#Headers],[ID]]))))&gt;0),"Start No Earlier Than","As Soon As Possible")))</f>
        <v>As Soon As Possible</v>
      </c>
      <c r="V24" s="127" t="str">
        <f aca="false">IF(IFERROR(INDEX(tsk_Name,(ROW()-ROW(MSPTasks[[#Headers],[ID]])))="",TRUE()),"",IF(OR(INDEX(tsk_IsSummary,(ROW()-ROW(MSPTasks[[#Headers],[ID]]))),INDEX(tsk_Mode,(ROW()-ROW(MSPTasks[[#Headers],[ID]])))="Manual"),"",IF(N(INDEX(tsk_Constraint,(ROW()-ROW(MSPTasks[[#Headers],[ID]]))))=0,"",INDEX(tsk_Constraint,(ROW()-ROW(MSPTasks[[#Headers],[ID]]))))))</f>
        <v/>
      </c>
      <c r="W24" s="127" t="str">
        <f aca="false">IF(IFERROR(INDEX(tsk_Name,(ROW()-ROW(MSPTasks[[#Headers],[ID]])))="",TRUE()),"",IF(N(INDEX(tsk_Deadline,(ROW()-ROW(MSPTasks[[#Headers],[ID]]))))=0,"",INDEX(tsk_Deadline,(ROW()-ROW(MSPTasks[[#Headers],[ID]])))))</f>
        <v/>
      </c>
      <c r="X24" s="24" t="str">
        <f aca="false">IF(IFERROR(INDEX(tsk_Name,(ROW()-ROW(MSPTasks[[#Headers],[ID]])))="",TRUE()),"",IF(INDEX(tsk_IsSummary,(ROW()-ROW(MSPTasks[[#Headers],[ID]]))),"",INDEX(tsk_Sprint,(ROW()-ROW(MSPTasks[[#Headers],[ID]])))&amp;""))</f>
        <v>Sprint 5</v>
      </c>
      <c r="Y24" s="70" t="n">
        <f aca="false">IF(IFERROR(INDEX(tsk_Name,(ROW()-ROW(MSPTasks[[#Headers],[ID]])))="",TRUE()),"",IF(INDEX(tsk_IsSummary,(ROW()-ROW(MSPTasks[[#Headers],[ID]]))),"",IF(N(INDEX(tsk_StoryPoints,(ROW()-ROW(MSPTasks[[#Headers],[ID]]))))=0,"",INDEX(tsk_StoryPoints,(ROW()-ROW(MSPTasks[[#Headers],[ID]]))))))</f>
        <v>3</v>
      </c>
      <c r="Z24" s="24" t="str">
        <f aca="false">IF(IFERROR(INDEX(tsk_Name,(ROW()-ROW(MSPTasks[[#Headers],[ID]])))="",TRUE()),"",INDEX(tsk_Notes,(ROW()-ROW(MSPTasks[[#Headers],[ID]])))&amp;"")</f>
        <v/>
      </c>
    </row>
    <row r="25" customFormat="false" ht="15" hidden="false" customHeight="false" outlineLevel="0" collapsed="false">
      <c r="A25" s="24" t="n">
        <f aca="false">IF(IFERROR(INDEX(tsk_Name,(ROW()-ROW(MSPTasks[[#Headers],[ID]])))="",TRUE()),"",INDEX(tsk_ID,(ROW()-ROW(MSPTasks[[#Headers],[ID]]))))</f>
        <v>24</v>
      </c>
      <c r="B25" s="24" t="n">
        <f aca="false">IF(IFERROR(INDEX(tsk_Name,(ROW()-ROW(MSPTasks[[#Headers],[ID]])))="",TRUE()),"",INDEX(tsk_UID,(ROW()-ROW(MSPTasks[[#Headers],[ID]]))))</f>
        <v>24</v>
      </c>
      <c r="C25" s="24" t="str">
        <f aca="false">IF(IFERROR(INDEX(tsk_Name,(ROW()-ROW(MSPTasks[[#Headers],[ID]])))="",TRUE()),"",INDEX(tsk_Name,(ROW()-ROW(MSPTasks[[#Headers],[ID]]))))</f>
        <v>Go-live readiness review</v>
      </c>
      <c r="D25" s="24" t="n">
        <f aca="false">IF(IFERROR(INDEX(tsk_Name,(ROW()-ROW(MSPTasks[[#Headers],[ID]])))="",TRUE()),"",INDEX(tsk_Level,(ROW()-ROW(MSPTasks[[#Headers],[ID]]))))</f>
        <v>2</v>
      </c>
      <c r="E25" s="24" t="str">
        <f aca="false">IF(IFERROR(INDEX(tsk_Name,(ROW()-ROW(MSPTasks[[#Headers],[ID]])))="",TRUE()),"",IF(INDEX(tsk_Mode,(ROW()-ROW(MSPTasks[[#Headers],[ID]])))="Manual","Manually Scheduled","Auto Scheduled"))</f>
        <v>Auto Scheduled</v>
      </c>
      <c r="F25" s="24" t="str">
        <f aca="false">IF(IFERROR(INDEX(tsk_Name,(ROW()-ROW(MSPTasks[[#Headers],[ID]])))="",TRUE()),"",IF(INDEX(tsk_IsSummary,(ROW()-ROW(MSPTasks[[#Headers],[ID]]))),"",N(INDEX(tsk_Duration,(ROW()-ROW(MSPTasks[[#Headers],[ID]]))))&amp;"d"))</f>
        <v>1d</v>
      </c>
      <c r="G25" s="127" t="n">
        <f aca="false">IF(IFERROR(INDEX(tsk_Name,(ROW()-ROW(MSPTasks[[#Headers],[ID]])))="",TRUE()),"",INDEX(tsk_FcStart,(ROW()-ROW(MSPTasks[[#Headers],[ID]]))))</f>
        <v>46371</v>
      </c>
      <c r="H25" s="127" t="n">
        <f aca="false">IF(IFERROR(INDEX(tsk_Name,(ROW()-ROW(MSPTasks[[#Headers],[ID]])))="",TRUE()),"",INDEX(tsk_FcFinish,(ROW()-ROW(MSPTasks[[#Headers],[ID]]))))</f>
        <v>46371</v>
      </c>
      <c r="I25" s="24" t="str">
        <f aca="false">IF(IFERROR(INDEX(tsk_Name,(ROW()-ROW(MSPTasks[[#Headers],[ID]])))="",TRUE()),"",IF(INDEX(tsk_IsSummary,(ROW()-ROW(MSPTasks[[#Headers],[ID]]))),"",INDEX(tsk_Predecessors,(ROW()-ROW(MSPTasks[[#Headers],[ID]])))))</f>
        <v>22,23</v>
      </c>
      <c r="J25" s="24" t="str">
        <f aca="false">IF(IFERROR(INDEX(tsk_Name,(ROW()-ROW(MSPTasks[[#Headers],[ID]])))="",TRUE()),"",IF(INDEX(tsk_IsSummary,(ROW()-ROW(MSPTasks[[#Headers],[ID]]))),"",INDEX(tsk_UIDPredecessors,(ROW()-ROW(MSPTasks[[#Headers],[ID]])))))</f>
        <v>22,23</v>
      </c>
      <c r="K2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Priya Sharma</v>
      </c>
      <c r="L25" s="24" t="n">
        <f aca="false">IF(IFERROR(INDEX(tsk_Name,(ROW()-ROW(MSPTasks[[#Headers],[ID]])))="",TRUE()),"",IF(INDEX(tsk_IsSummary,(ROW()-ROW(MSPTasks[[#Headers],[ID]]))),"",ROUND(INDEX(tsk_Progress,(ROW()-ROW(MSPTasks[[#Headers],[ID]])))*100,0)))</f>
        <v>0</v>
      </c>
      <c r="M25" s="127" t="str">
        <f aca="false">IF(IFERROR(INDEX(tsk_Name,(ROW()-ROW(MSPTasks[[#Headers],[ID]])))="",TRUE()),"",IF(N(INDEX(tsk_ActStart,(ROW()-ROW(MSPTasks[[#Headers],[ID]]))))=0,"",INDEX(tsk_ActStart,(ROW()-ROW(MSPTasks[[#Headers],[ID]])))))</f>
        <v/>
      </c>
      <c r="N25" s="127" t="str">
        <f aca="false">IF(IFERROR(INDEX(tsk_Name,(ROW()-ROW(MSPTasks[[#Headers],[ID]])))="",TRUE()),"",IF(N(INDEX(tsk_ActFinish,(ROW()-ROW(MSPTasks[[#Headers],[ID]]))))=0,"",INDEX(tsk_ActFinish,(ROW()-ROW(MSPTasks[[#Headers],[ID]])))))</f>
        <v/>
      </c>
      <c r="O25" s="127" t="n">
        <f aca="false">IF(IFERROR(INDEX(tsk_Name,(ROW()-ROW(MSPTasks[[#Headers],[ID]])))="",TRUE()),"",INDEX(tsk_PlanStart,(ROW()-ROW(MSPTasks[[#Headers],[ID]]))))</f>
        <v>46371</v>
      </c>
      <c r="P25" s="127" t="n">
        <f aca="false">IF(IFERROR(INDEX(tsk_Name,(ROW()-ROW(MSPTasks[[#Headers],[ID]])))="",TRUE()),"",INDEX(tsk_PlanFinish,(ROW()-ROW(MSPTasks[[#Headers],[ID]]))))</f>
        <v>46371</v>
      </c>
      <c r="Q25" s="24" t="str">
        <f aca="false">IF(IFERROR(INDEX(tsk_Name,(ROW()-ROW(MSPTasks[[#Headers],[ID]])))="",TRUE()),"",IF(INDEX(tsk_BaseDuration,(ROW()-ROW(MSPTasks[[#Headers],[ID]])))="","",N(INDEX(tsk_BaseDuration,(ROW()-ROW(MSPTasks[[#Headers],[ID]]))))&amp;"d"))</f>
        <v/>
      </c>
      <c r="R25" s="24" t="str">
        <f aca="false">IF(IFERROR(INDEX(tsk_Name,(ROW()-ROW(MSPTasks[[#Headers],[ID]])))="",TRUE()),"",IF(INDEX(tsk_BaseWork,(ROW()-ROW(MSPTasks[[#Headers],[ID]])))="","",N(INDEX(tsk_BaseWork,(ROW()-ROW(MSPTasks[[#Headers],[ID]]))))&amp;"h"))</f>
        <v/>
      </c>
      <c r="S25" s="24" t="str">
        <f aca="false">IF(IFERROR(INDEX(tsk_Name,(ROW()-ROW(MSPTasks[[#Headers],[ID]])))="",TRUE()),"",IF(INDEX(tsk_BaseCost,(ROW()-ROW(MSPTasks[[#Headers],[ID]])))="","",N(INDEX(tsk_BaseCost,(ROW()-ROW(MSPTasks[[#Headers],[ID]]))))))</f>
        <v/>
      </c>
      <c r="T25" s="24" t="str">
        <f aca="false">IF(IFERROR(INDEX(tsk_Name,(ROW()-ROW(MSPTasks[[#Headers],[ID]])))="",TRUE()),"",IF(INDEX(tsk_IsSummary,(ROW()-ROW(MSPTasks[[#Headers],[ID]]))),"",IF(N(INDEX(tsk_ActCostInput,(ROW()-ROW(MSPTasks[[#Headers],[ID]]))))=0,"",INDEX(tsk_ActCostInput,(ROW()-ROW(MSPTasks[[#Headers],[ID]]))))))</f>
        <v/>
      </c>
      <c r="U25" s="24" t="str">
        <f aca="false">IF(IFERROR(INDEX(tsk_Name,(ROW()-ROW(MSPTasks[[#Headers],[ID]])))="",TRUE()),"",IF(INDEX(tsk_IsSummary,(ROW()-ROW(MSPTasks[[#Headers],[ID]]))),"",IF(AND(INDEX(tsk_Mode,(ROW()-ROW(MSPTasks[[#Headers],[ID]])))&lt;&gt;"Manual",N(INDEX(tsk_Constraint,(ROW()-ROW(MSPTasks[[#Headers],[ID]]))))&gt;0),"Start No Earlier Than","As Soon As Possible")))</f>
        <v>As Soon As Possible</v>
      </c>
      <c r="V25" s="127" t="str">
        <f aca="false">IF(IFERROR(INDEX(tsk_Name,(ROW()-ROW(MSPTasks[[#Headers],[ID]])))="",TRUE()),"",IF(OR(INDEX(tsk_IsSummary,(ROW()-ROW(MSPTasks[[#Headers],[ID]]))),INDEX(tsk_Mode,(ROW()-ROW(MSPTasks[[#Headers],[ID]])))="Manual"),"",IF(N(INDEX(tsk_Constraint,(ROW()-ROW(MSPTasks[[#Headers],[ID]]))))=0,"",INDEX(tsk_Constraint,(ROW()-ROW(MSPTasks[[#Headers],[ID]]))))))</f>
        <v/>
      </c>
      <c r="W25" s="127" t="str">
        <f aca="false">IF(IFERROR(INDEX(tsk_Name,(ROW()-ROW(MSPTasks[[#Headers],[ID]])))="",TRUE()),"",IF(N(INDEX(tsk_Deadline,(ROW()-ROW(MSPTasks[[#Headers],[ID]]))))=0,"",INDEX(tsk_Deadline,(ROW()-ROW(MSPTasks[[#Headers],[ID]])))))</f>
        <v/>
      </c>
      <c r="X25" s="24" t="str">
        <f aca="false">IF(IFERROR(INDEX(tsk_Name,(ROW()-ROW(MSPTasks[[#Headers],[ID]])))="",TRUE()),"",IF(INDEX(tsk_IsSummary,(ROW()-ROW(MSPTasks[[#Headers],[ID]]))),"",INDEX(tsk_Sprint,(ROW()-ROW(MSPTasks[[#Headers],[ID]])))&amp;""))</f>
        <v>Sprint 8</v>
      </c>
      <c r="Y25" s="70" t="n">
        <f aca="false">IF(IFERROR(INDEX(tsk_Name,(ROW()-ROW(MSPTasks[[#Headers],[ID]])))="",TRUE()),"",IF(INDEX(tsk_IsSummary,(ROW()-ROW(MSPTasks[[#Headers],[ID]]))),"",IF(N(INDEX(tsk_StoryPoints,(ROW()-ROW(MSPTasks[[#Headers],[ID]]))))=0,"",INDEX(tsk_StoryPoints,(ROW()-ROW(MSPTasks[[#Headers],[ID]]))))))</f>
        <v>1</v>
      </c>
      <c r="Z25" s="24" t="str">
        <f aca="false">IF(IFERROR(INDEX(tsk_Name,(ROW()-ROW(MSPTasks[[#Headers],[ID]])))="",TRUE()),"",INDEX(tsk_Notes,(ROW()-ROW(MSPTasks[[#Headers],[ID]])))&amp;"")</f>
        <v/>
      </c>
    </row>
    <row r="26" customFormat="false" ht="15" hidden="false" customHeight="false" outlineLevel="0" collapsed="false">
      <c r="A26" s="24" t="n">
        <f aca="false">IF(IFERROR(INDEX(tsk_Name,(ROW()-ROW(MSPTasks[[#Headers],[ID]])))="",TRUE()),"",INDEX(tsk_ID,(ROW()-ROW(MSPTasks[[#Headers],[ID]]))))</f>
        <v>25</v>
      </c>
      <c r="B26" s="24" t="n">
        <f aca="false">IF(IFERROR(INDEX(tsk_Name,(ROW()-ROW(MSPTasks[[#Headers],[ID]])))="",TRUE()),"",INDEX(tsk_UID,(ROW()-ROW(MSPTasks[[#Headers],[ID]]))))</f>
        <v>25</v>
      </c>
      <c r="C26" s="24" t="str">
        <f aca="false">IF(IFERROR(INDEX(tsk_Name,(ROW()-ROW(MSPTasks[[#Headers],[ID]])))="",TRUE()),"",INDEX(tsk_Name,(ROW()-ROW(MSPTasks[[#Headers],[ID]]))))</f>
        <v>Go-live</v>
      </c>
      <c r="D26" s="24" t="n">
        <f aca="false">IF(IFERROR(INDEX(tsk_Name,(ROW()-ROW(MSPTasks[[#Headers],[ID]])))="",TRUE()),"",INDEX(tsk_Level,(ROW()-ROW(MSPTasks[[#Headers],[ID]]))))</f>
        <v>2</v>
      </c>
      <c r="E26" s="24" t="str">
        <f aca="false">IF(IFERROR(INDEX(tsk_Name,(ROW()-ROW(MSPTasks[[#Headers],[ID]])))="",TRUE()),"",IF(INDEX(tsk_Mode,(ROW()-ROW(MSPTasks[[#Headers],[ID]])))="Manual","Manually Scheduled","Auto Scheduled"))</f>
        <v>Auto Scheduled</v>
      </c>
      <c r="F26" s="24" t="str">
        <f aca="false">IF(IFERROR(INDEX(tsk_Name,(ROW()-ROW(MSPTasks[[#Headers],[ID]])))="",TRUE()),"",IF(INDEX(tsk_IsSummary,(ROW()-ROW(MSPTasks[[#Headers],[ID]]))),"",N(INDEX(tsk_Duration,(ROW()-ROW(MSPTasks[[#Headers],[ID]]))))&amp;"d"))</f>
        <v>0d</v>
      </c>
      <c r="G26" s="127" t="n">
        <f aca="false">IF(IFERROR(INDEX(tsk_Name,(ROW()-ROW(MSPTasks[[#Headers],[ID]])))="",TRUE()),"",INDEX(tsk_FcStart,(ROW()-ROW(MSPTasks[[#Headers],[ID]]))))</f>
        <v>46371</v>
      </c>
      <c r="H26" s="127" t="n">
        <f aca="false">IF(IFERROR(INDEX(tsk_Name,(ROW()-ROW(MSPTasks[[#Headers],[ID]])))="",TRUE()),"",INDEX(tsk_FcFinish,(ROW()-ROW(MSPTasks[[#Headers],[ID]]))))</f>
        <v>46371</v>
      </c>
      <c r="I26" s="24" t="str">
        <f aca="false">IF(IFERROR(INDEX(tsk_Name,(ROW()-ROW(MSPTasks[[#Headers],[ID]])))="",TRUE()),"",IF(INDEX(tsk_IsSummary,(ROW()-ROW(MSPTasks[[#Headers],[ID]]))),"",INDEX(tsk_Predecessors,(ROW()-ROW(MSPTasks[[#Headers],[ID]])))))</f>
        <v>24</v>
      </c>
      <c r="J26" s="24" t="str">
        <f aca="false">IF(IFERROR(INDEX(tsk_Name,(ROW()-ROW(MSPTasks[[#Headers],[ID]])))="",TRUE()),"",IF(INDEX(tsk_IsSummary,(ROW()-ROW(MSPTasks[[#Headers],[ID]]))),"",INDEX(tsk_UIDPredecessors,(ROW()-ROW(MSPTasks[[#Headers],[ID]])))))</f>
        <v>24</v>
      </c>
      <c r="K2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6" s="24" t="n">
        <f aca="false">IF(IFERROR(INDEX(tsk_Name,(ROW()-ROW(MSPTasks[[#Headers],[ID]])))="",TRUE()),"",IF(INDEX(tsk_IsSummary,(ROW()-ROW(MSPTasks[[#Headers],[ID]]))),"",ROUND(INDEX(tsk_Progress,(ROW()-ROW(MSPTasks[[#Headers],[ID]])))*100,0)))</f>
        <v>0</v>
      </c>
      <c r="M26" s="127" t="str">
        <f aca="false">IF(IFERROR(INDEX(tsk_Name,(ROW()-ROW(MSPTasks[[#Headers],[ID]])))="",TRUE()),"",IF(N(INDEX(tsk_ActStart,(ROW()-ROW(MSPTasks[[#Headers],[ID]]))))=0,"",INDEX(tsk_ActStart,(ROW()-ROW(MSPTasks[[#Headers],[ID]])))))</f>
        <v/>
      </c>
      <c r="N26" s="127" t="str">
        <f aca="false">IF(IFERROR(INDEX(tsk_Name,(ROW()-ROW(MSPTasks[[#Headers],[ID]])))="",TRUE()),"",IF(N(INDEX(tsk_ActFinish,(ROW()-ROW(MSPTasks[[#Headers],[ID]]))))=0,"",INDEX(tsk_ActFinish,(ROW()-ROW(MSPTasks[[#Headers],[ID]])))))</f>
        <v/>
      </c>
      <c r="O26" s="127" t="n">
        <f aca="false">IF(IFERROR(INDEX(tsk_Name,(ROW()-ROW(MSPTasks[[#Headers],[ID]])))="",TRUE()),"",INDEX(tsk_PlanStart,(ROW()-ROW(MSPTasks[[#Headers],[ID]]))))</f>
        <v>46371</v>
      </c>
      <c r="P26" s="127" t="n">
        <f aca="false">IF(IFERROR(INDEX(tsk_Name,(ROW()-ROW(MSPTasks[[#Headers],[ID]])))="",TRUE()),"",INDEX(tsk_PlanFinish,(ROW()-ROW(MSPTasks[[#Headers],[ID]]))))</f>
        <v>46371</v>
      </c>
      <c r="Q26" s="24" t="str">
        <f aca="false">IF(IFERROR(INDEX(tsk_Name,(ROW()-ROW(MSPTasks[[#Headers],[ID]])))="",TRUE()),"",IF(INDEX(tsk_BaseDuration,(ROW()-ROW(MSPTasks[[#Headers],[ID]])))="","",N(INDEX(tsk_BaseDuration,(ROW()-ROW(MSPTasks[[#Headers],[ID]]))))&amp;"d"))</f>
        <v/>
      </c>
      <c r="R26" s="24" t="str">
        <f aca="false">IF(IFERROR(INDEX(tsk_Name,(ROW()-ROW(MSPTasks[[#Headers],[ID]])))="",TRUE()),"",IF(INDEX(tsk_BaseWork,(ROW()-ROW(MSPTasks[[#Headers],[ID]])))="","",N(INDEX(tsk_BaseWork,(ROW()-ROW(MSPTasks[[#Headers],[ID]]))))&amp;"h"))</f>
        <v/>
      </c>
      <c r="S26" s="24" t="str">
        <f aca="false">IF(IFERROR(INDEX(tsk_Name,(ROW()-ROW(MSPTasks[[#Headers],[ID]])))="",TRUE()),"",IF(INDEX(tsk_BaseCost,(ROW()-ROW(MSPTasks[[#Headers],[ID]])))="","",N(INDEX(tsk_BaseCost,(ROW()-ROW(MSPTasks[[#Headers],[ID]]))))))</f>
        <v/>
      </c>
      <c r="T26" s="24" t="str">
        <f aca="false">IF(IFERROR(INDEX(tsk_Name,(ROW()-ROW(MSPTasks[[#Headers],[ID]])))="",TRUE()),"",IF(INDEX(tsk_IsSummary,(ROW()-ROW(MSPTasks[[#Headers],[ID]]))),"",IF(N(INDEX(tsk_ActCostInput,(ROW()-ROW(MSPTasks[[#Headers],[ID]]))))=0,"",INDEX(tsk_ActCostInput,(ROW()-ROW(MSPTasks[[#Headers],[ID]]))))))</f>
        <v/>
      </c>
      <c r="U26" s="24" t="str">
        <f aca="false">IF(IFERROR(INDEX(tsk_Name,(ROW()-ROW(MSPTasks[[#Headers],[ID]])))="",TRUE()),"",IF(INDEX(tsk_IsSummary,(ROW()-ROW(MSPTasks[[#Headers],[ID]]))),"",IF(AND(INDEX(tsk_Mode,(ROW()-ROW(MSPTasks[[#Headers],[ID]])))&lt;&gt;"Manual",N(INDEX(tsk_Constraint,(ROW()-ROW(MSPTasks[[#Headers],[ID]]))))&gt;0),"Start No Earlier Than","As Soon As Possible")))</f>
        <v>As Soon As Possible</v>
      </c>
      <c r="V26" s="127" t="str">
        <f aca="false">IF(IFERROR(INDEX(tsk_Name,(ROW()-ROW(MSPTasks[[#Headers],[ID]])))="",TRUE()),"",IF(OR(INDEX(tsk_IsSummary,(ROW()-ROW(MSPTasks[[#Headers],[ID]]))),INDEX(tsk_Mode,(ROW()-ROW(MSPTasks[[#Headers],[ID]])))="Manual"),"",IF(N(INDEX(tsk_Constraint,(ROW()-ROW(MSPTasks[[#Headers],[ID]]))))=0,"",INDEX(tsk_Constraint,(ROW()-ROW(MSPTasks[[#Headers],[ID]]))))))</f>
        <v/>
      </c>
      <c r="W26" s="127" t="n">
        <f aca="false">IF(IFERROR(INDEX(tsk_Name,(ROW()-ROW(MSPTasks[[#Headers],[ID]])))="",TRUE()),"",IF(N(INDEX(tsk_Deadline,(ROW()-ROW(MSPTasks[[#Headers],[ID]]))))=0,"",INDEX(tsk_Deadline,(ROW()-ROW(MSPTasks[[#Headers],[ID]])))))</f>
        <v>46374</v>
      </c>
      <c r="X26" s="24" t="str">
        <f aca="false">IF(IFERROR(INDEX(tsk_Name,(ROW()-ROW(MSPTasks[[#Headers],[ID]])))="",TRUE()),"",IF(INDEX(tsk_IsSummary,(ROW()-ROW(MSPTasks[[#Headers],[ID]]))),"",INDEX(tsk_Sprint,(ROW()-ROW(MSPTasks[[#Headers],[ID]])))&amp;""))</f>
        <v>Sprint 8</v>
      </c>
      <c r="Y26" s="24" t="str">
        <f aca="false">IF(IFERROR(INDEX(tsk_Name,(ROW()-ROW(MSPTasks[[#Headers],[ID]])))="",TRUE()),"",IF(INDEX(tsk_IsSummary,(ROW()-ROW(MSPTasks[[#Headers],[ID]]))),"",IF(N(INDEX(tsk_StoryPoints,(ROW()-ROW(MSPTasks[[#Headers],[ID]]))))=0,"",INDEX(tsk_StoryPoints,(ROW()-ROW(MSPTasks[[#Headers],[ID]]))))))</f>
        <v/>
      </c>
      <c r="Z26" s="24" t="str">
        <f aca="false">IF(IFERROR(INDEX(tsk_Name,(ROW()-ROW(MSPTasks[[#Headers],[ID]])))="",TRUE()),"",INDEX(tsk_Notes,(ROW()-ROW(MSPTasks[[#Headers],[ID]])))&amp;"")</f>
        <v>Milestone with a deadline of 18-Dec.</v>
      </c>
    </row>
    <row r="27" customFormat="false" ht="15" hidden="false" customHeight="false" outlineLevel="0" collapsed="false">
      <c r="A27" s="24" t="n">
        <f aca="false">IF(IFERROR(INDEX(tsk_Name,(ROW()-ROW(MSPTasks[[#Headers],[ID]])))="",TRUE()),"",INDEX(tsk_ID,(ROW()-ROW(MSPTasks[[#Headers],[ID]]))))</f>
        <v>26</v>
      </c>
      <c r="B27" s="24" t="n">
        <f aca="false">IF(IFERROR(INDEX(tsk_Name,(ROW()-ROW(MSPTasks[[#Headers],[ID]])))="",TRUE()),"",INDEX(tsk_UID,(ROW()-ROW(MSPTasks[[#Headers],[ID]]))))</f>
        <v>26</v>
      </c>
      <c r="C27" s="24" t="str">
        <f aca="false">IF(IFERROR(INDEX(tsk_Name,(ROW()-ROW(MSPTasks[[#Headers],[ID]])))="",TRUE()),"",INDEX(tsk_Name,(ROW()-ROW(MSPTasks[[#Headers],[ID]]))))</f>
        <v>Hypercare support</v>
      </c>
      <c r="D27" s="24" t="n">
        <f aca="false">IF(IFERROR(INDEX(tsk_Name,(ROW()-ROW(MSPTasks[[#Headers],[ID]])))="",TRUE()),"",INDEX(tsk_Level,(ROW()-ROW(MSPTasks[[#Headers],[ID]]))))</f>
        <v>2</v>
      </c>
      <c r="E27" s="24" t="str">
        <f aca="false">IF(IFERROR(INDEX(tsk_Name,(ROW()-ROW(MSPTasks[[#Headers],[ID]])))="",TRUE()),"",IF(INDEX(tsk_Mode,(ROW()-ROW(MSPTasks[[#Headers],[ID]])))="Manual","Manually Scheduled","Auto Scheduled"))</f>
        <v>Auto Scheduled</v>
      </c>
      <c r="F27" s="24" t="str">
        <f aca="false">IF(IFERROR(INDEX(tsk_Name,(ROW()-ROW(MSPTasks[[#Headers],[ID]])))="",TRUE()),"",IF(INDEX(tsk_IsSummary,(ROW()-ROW(MSPTasks[[#Headers],[ID]]))),"",N(INDEX(tsk_Duration,(ROW()-ROW(MSPTasks[[#Headers],[ID]]))))&amp;"d"))</f>
        <v>10d</v>
      </c>
      <c r="G27" s="127" t="n">
        <f aca="false">IF(IFERROR(INDEX(tsk_Name,(ROW()-ROW(MSPTasks[[#Headers],[ID]])))="",TRUE()),"",INDEX(tsk_FcStart,(ROW()-ROW(MSPTasks[[#Headers],[ID]]))))</f>
        <v>46372</v>
      </c>
      <c r="H27" s="127" t="n">
        <f aca="false">IF(IFERROR(INDEX(tsk_Name,(ROW()-ROW(MSPTasks[[#Headers],[ID]])))="",TRUE()),"",INDEX(tsk_FcFinish,(ROW()-ROW(MSPTasks[[#Headers],[ID]]))))</f>
        <v>46391</v>
      </c>
      <c r="I27" s="24" t="str">
        <f aca="false">IF(IFERROR(INDEX(tsk_Name,(ROW()-ROW(MSPTasks[[#Headers],[ID]])))="",TRUE()),"",IF(INDEX(tsk_IsSummary,(ROW()-ROW(MSPTasks[[#Headers],[ID]]))),"",INDEX(tsk_Predecessors,(ROW()-ROW(MSPTasks[[#Headers],[ID]])))))</f>
        <v>25</v>
      </c>
      <c r="J27" s="24" t="str">
        <f aca="false">IF(IFERROR(INDEX(tsk_Name,(ROW()-ROW(MSPTasks[[#Headers],[ID]])))="",TRUE()),"",IF(INDEX(tsk_IsSummary,(ROW()-ROW(MSPTasks[[#Headers],[ID]]))),"",INDEX(tsk_UIDPredecessors,(ROW()-ROW(MSPTasks[[#Headers],[ID]])))))</f>
        <v>25</v>
      </c>
      <c r="K2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Jordan Lee[50%]</v>
      </c>
      <c r="L27" s="24" t="n">
        <f aca="false">IF(IFERROR(INDEX(tsk_Name,(ROW()-ROW(MSPTasks[[#Headers],[ID]])))="",TRUE()),"",IF(INDEX(tsk_IsSummary,(ROW()-ROW(MSPTasks[[#Headers],[ID]]))),"",ROUND(INDEX(tsk_Progress,(ROW()-ROW(MSPTasks[[#Headers],[ID]])))*100,0)))</f>
        <v>0</v>
      </c>
      <c r="M27" s="127" t="str">
        <f aca="false">IF(IFERROR(INDEX(tsk_Name,(ROW()-ROW(MSPTasks[[#Headers],[ID]])))="",TRUE()),"",IF(N(INDEX(tsk_ActStart,(ROW()-ROW(MSPTasks[[#Headers],[ID]]))))=0,"",INDEX(tsk_ActStart,(ROW()-ROW(MSPTasks[[#Headers],[ID]])))))</f>
        <v/>
      </c>
      <c r="N27" s="127" t="str">
        <f aca="false">IF(IFERROR(INDEX(tsk_Name,(ROW()-ROW(MSPTasks[[#Headers],[ID]])))="",TRUE()),"",IF(N(INDEX(tsk_ActFinish,(ROW()-ROW(MSPTasks[[#Headers],[ID]]))))=0,"",INDEX(tsk_ActFinish,(ROW()-ROW(MSPTasks[[#Headers],[ID]])))))</f>
        <v/>
      </c>
      <c r="O27" s="127" t="n">
        <f aca="false">IF(IFERROR(INDEX(tsk_Name,(ROW()-ROW(MSPTasks[[#Headers],[ID]])))="",TRUE()),"",INDEX(tsk_PlanStart,(ROW()-ROW(MSPTasks[[#Headers],[ID]]))))</f>
        <v>46372</v>
      </c>
      <c r="P27" s="127" t="n">
        <f aca="false">IF(IFERROR(INDEX(tsk_Name,(ROW()-ROW(MSPTasks[[#Headers],[ID]])))="",TRUE()),"",INDEX(tsk_PlanFinish,(ROW()-ROW(MSPTasks[[#Headers],[ID]]))))</f>
        <v>46391</v>
      </c>
      <c r="Q27" s="24" t="str">
        <f aca="false">IF(IFERROR(INDEX(tsk_Name,(ROW()-ROW(MSPTasks[[#Headers],[ID]])))="",TRUE()),"",IF(INDEX(tsk_BaseDuration,(ROW()-ROW(MSPTasks[[#Headers],[ID]])))="","",N(INDEX(tsk_BaseDuration,(ROW()-ROW(MSPTasks[[#Headers],[ID]]))))&amp;"d"))</f>
        <v/>
      </c>
      <c r="R27" s="24" t="str">
        <f aca="false">IF(IFERROR(INDEX(tsk_Name,(ROW()-ROW(MSPTasks[[#Headers],[ID]])))="",TRUE()),"",IF(INDEX(tsk_BaseWork,(ROW()-ROW(MSPTasks[[#Headers],[ID]])))="","",N(INDEX(tsk_BaseWork,(ROW()-ROW(MSPTasks[[#Headers],[ID]]))))&amp;"h"))</f>
        <v/>
      </c>
      <c r="S27" s="24" t="str">
        <f aca="false">IF(IFERROR(INDEX(tsk_Name,(ROW()-ROW(MSPTasks[[#Headers],[ID]])))="",TRUE()),"",IF(INDEX(tsk_BaseCost,(ROW()-ROW(MSPTasks[[#Headers],[ID]])))="","",N(INDEX(tsk_BaseCost,(ROW()-ROW(MSPTasks[[#Headers],[ID]]))))))</f>
        <v/>
      </c>
      <c r="T27" s="24" t="str">
        <f aca="false">IF(IFERROR(INDEX(tsk_Name,(ROW()-ROW(MSPTasks[[#Headers],[ID]])))="",TRUE()),"",IF(INDEX(tsk_IsSummary,(ROW()-ROW(MSPTasks[[#Headers],[ID]]))),"",IF(N(INDEX(tsk_ActCostInput,(ROW()-ROW(MSPTasks[[#Headers],[ID]]))))=0,"",INDEX(tsk_ActCostInput,(ROW()-ROW(MSPTasks[[#Headers],[ID]]))))))</f>
        <v/>
      </c>
      <c r="U27" s="24" t="str">
        <f aca="false">IF(IFERROR(INDEX(tsk_Name,(ROW()-ROW(MSPTasks[[#Headers],[ID]])))="",TRUE()),"",IF(INDEX(tsk_IsSummary,(ROW()-ROW(MSPTasks[[#Headers],[ID]]))),"",IF(AND(INDEX(tsk_Mode,(ROW()-ROW(MSPTasks[[#Headers],[ID]])))&lt;&gt;"Manual",N(INDEX(tsk_Constraint,(ROW()-ROW(MSPTasks[[#Headers],[ID]]))))&gt;0),"Start No Earlier Than","As Soon As Possible")))</f>
        <v>As Soon As Possible</v>
      </c>
      <c r="V27" s="127" t="str">
        <f aca="false">IF(IFERROR(INDEX(tsk_Name,(ROW()-ROW(MSPTasks[[#Headers],[ID]])))="",TRUE()),"",IF(OR(INDEX(tsk_IsSummary,(ROW()-ROW(MSPTasks[[#Headers],[ID]]))),INDEX(tsk_Mode,(ROW()-ROW(MSPTasks[[#Headers],[ID]])))="Manual"),"",IF(N(INDEX(tsk_Constraint,(ROW()-ROW(MSPTasks[[#Headers],[ID]]))))=0,"",INDEX(tsk_Constraint,(ROW()-ROW(MSPTasks[[#Headers],[ID]]))))))</f>
        <v/>
      </c>
      <c r="W27" s="127" t="str">
        <f aca="false">IF(IFERROR(INDEX(tsk_Name,(ROW()-ROW(MSPTasks[[#Headers],[ID]])))="",TRUE()),"",IF(N(INDEX(tsk_Deadline,(ROW()-ROW(MSPTasks[[#Headers],[ID]]))))=0,"",INDEX(tsk_Deadline,(ROW()-ROW(MSPTasks[[#Headers],[ID]])))))</f>
        <v/>
      </c>
      <c r="X27" s="24" t="str">
        <f aca="false">IF(IFERROR(INDEX(tsk_Name,(ROW()-ROW(MSPTasks[[#Headers],[ID]])))="",TRUE()),"",IF(INDEX(tsk_IsSummary,(ROW()-ROW(MSPTasks[[#Headers],[ID]]))),"",INDEX(tsk_Sprint,(ROW()-ROW(MSPTasks[[#Headers],[ID]])))&amp;""))</f>
        <v>Sprint 8</v>
      </c>
      <c r="Y27" s="70" t="n">
        <f aca="false">IF(IFERROR(INDEX(tsk_Name,(ROW()-ROW(MSPTasks[[#Headers],[ID]])))="",TRUE()),"",IF(INDEX(tsk_IsSummary,(ROW()-ROW(MSPTasks[[#Headers],[ID]]))),"",IF(N(INDEX(tsk_StoryPoints,(ROW()-ROW(MSPTasks[[#Headers],[ID]]))))=0,"",INDEX(tsk_StoryPoints,(ROW()-ROW(MSPTasks[[#Headers],[ID]]))))))</f>
        <v>5</v>
      </c>
      <c r="Z27" s="24" t="str">
        <f aca="false">IF(IFERROR(INDEX(tsk_Name,(ROW()-ROW(MSPTasks[[#Headers],[ID]])))="",TRUE()),"",INDEX(tsk_Notes,(ROW()-ROW(MSPTasks[[#Headers],[ID]])))&amp;"")</f>
        <v/>
      </c>
    </row>
    <row r="28" customFormat="false" ht="15" hidden="false" customHeight="false" outlineLevel="0" collapsed="false">
      <c r="A28" s="24" t="n">
        <f aca="false">IF(IFERROR(INDEX(tsk_Name,(ROW()-ROW(MSPTasks[[#Headers],[ID]])))="",TRUE()),"",INDEX(tsk_ID,(ROW()-ROW(MSPTasks[[#Headers],[ID]]))))</f>
        <v>27</v>
      </c>
      <c r="B28" s="24" t="n">
        <f aca="false">IF(IFERROR(INDEX(tsk_Name,(ROW()-ROW(MSPTasks[[#Headers],[ID]])))="",TRUE()),"",INDEX(tsk_UID,(ROW()-ROW(MSPTasks[[#Headers],[ID]]))))</f>
        <v>27</v>
      </c>
      <c r="C28" s="24" t="str">
        <f aca="false">IF(IFERROR(INDEX(tsk_Name,(ROW()-ROW(MSPTasks[[#Headers],[ID]])))="",TRUE()),"",INDEX(tsk_Name,(ROW()-ROW(MSPTasks[[#Headers],[ID]]))))</f>
        <v>Project Close</v>
      </c>
      <c r="D28" s="24" t="n">
        <f aca="false">IF(IFERROR(INDEX(tsk_Name,(ROW()-ROW(MSPTasks[[#Headers],[ID]])))="",TRUE()),"",INDEX(tsk_Level,(ROW()-ROW(MSPTasks[[#Headers],[ID]]))))</f>
        <v>1</v>
      </c>
      <c r="E28" s="24" t="str">
        <f aca="false">IF(IFERROR(INDEX(tsk_Name,(ROW()-ROW(MSPTasks[[#Headers],[ID]])))="",TRUE()),"",IF(INDEX(tsk_Mode,(ROW()-ROW(MSPTasks[[#Headers],[ID]])))="Manual","Manually Scheduled","Auto Scheduled"))</f>
        <v>Auto Scheduled</v>
      </c>
      <c r="F28" s="24" t="str">
        <f aca="false">IF(IFERROR(INDEX(tsk_Name,(ROW()-ROW(MSPTasks[[#Headers],[ID]])))="",TRUE()),"",IF(INDEX(tsk_IsSummary,(ROW()-ROW(MSPTasks[[#Headers],[ID]]))),"",N(INDEX(tsk_Duration,(ROW()-ROW(MSPTasks[[#Headers],[ID]]))))&amp;"d"))</f>
        <v/>
      </c>
      <c r="G28" s="127" t="n">
        <f aca="false">IF(IFERROR(INDEX(tsk_Name,(ROW()-ROW(MSPTasks[[#Headers],[ID]])))="",TRUE()),"",INDEX(tsk_FcStart,(ROW()-ROW(MSPTasks[[#Headers],[ID]]))))</f>
        <v>46342</v>
      </c>
      <c r="H28" s="127" t="n">
        <f aca="false">IF(IFERROR(INDEX(tsk_Name,(ROW()-ROW(MSPTasks[[#Headers],[ID]])))="",TRUE()),"",INDEX(tsk_FcFinish,(ROW()-ROW(MSPTasks[[#Headers],[ID]]))))</f>
        <v>46393</v>
      </c>
      <c r="I28" s="24" t="str">
        <f aca="false">IF(IFERROR(INDEX(tsk_Name,(ROW()-ROW(MSPTasks[[#Headers],[ID]])))="",TRUE()),"",IF(INDEX(tsk_IsSummary,(ROW()-ROW(MSPTasks[[#Headers],[ID]]))),"",INDEX(tsk_Predecessors,(ROW()-ROW(MSPTasks[[#Headers],[ID]])))))</f>
        <v/>
      </c>
      <c r="J28" s="24" t="str">
        <f aca="false">IF(IFERROR(INDEX(tsk_Name,(ROW()-ROW(MSPTasks[[#Headers],[ID]])))="",TRUE()),"",IF(INDEX(tsk_IsSummary,(ROW()-ROW(MSPTasks[[#Headers],[ID]]))),"",INDEX(tsk_UIDPredecessors,(ROW()-ROW(MSPTasks[[#Headers],[ID]])))))</f>
        <v/>
      </c>
      <c r="K2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8" s="24" t="str">
        <f aca="false">IF(IFERROR(INDEX(tsk_Name,(ROW()-ROW(MSPTasks[[#Headers],[ID]])))="",TRUE()),"",IF(INDEX(tsk_IsSummary,(ROW()-ROW(MSPTasks[[#Headers],[ID]]))),"",ROUND(INDEX(tsk_Progress,(ROW()-ROW(MSPTasks[[#Headers],[ID]])))*100,0)))</f>
        <v/>
      </c>
      <c r="M28" s="127" t="str">
        <f aca="false">IF(IFERROR(INDEX(tsk_Name,(ROW()-ROW(MSPTasks[[#Headers],[ID]])))="",TRUE()),"",IF(N(INDEX(tsk_ActStart,(ROW()-ROW(MSPTasks[[#Headers],[ID]]))))=0,"",INDEX(tsk_ActStart,(ROW()-ROW(MSPTasks[[#Headers],[ID]])))))</f>
        <v/>
      </c>
      <c r="N28" s="127" t="str">
        <f aca="false">IF(IFERROR(INDEX(tsk_Name,(ROW()-ROW(MSPTasks[[#Headers],[ID]])))="",TRUE()),"",IF(N(INDEX(tsk_ActFinish,(ROW()-ROW(MSPTasks[[#Headers],[ID]]))))=0,"",INDEX(tsk_ActFinish,(ROW()-ROW(MSPTasks[[#Headers],[ID]])))))</f>
        <v/>
      </c>
      <c r="O28" s="127" t="n">
        <f aca="false">IF(IFERROR(INDEX(tsk_Name,(ROW()-ROW(MSPTasks[[#Headers],[ID]])))="",TRUE()),"",INDEX(tsk_PlanStart,(ROW()-ROW(MSPTasks[[#Headers],[ID]]))))</f>
        <v>46342</v>
      </c>
      <c r="P28" s="127" t="n">
        <f aca="false">IF(IFERROR(INDEX(tsk_Name,(ROW()-ROW(MSPTasks[[#Headers],[ID]])))="",TRUE()),"",INDEX(tsk_PlanFinish,(ROW()-ROW(MSPTasks[[#Headers],[ID]]))))</f>
        <v>46393</v>
      </c>
      <c r="Q28" s="24" t="str">
        <f aca="false">IF(IFERROR(INDEX(tsk_Name,(ROW()-ROW(MSPTasks[[#Headers],[ID]])))="",TRUE()),"",IF(INDEX(tsk_BaseDuration,(ROW()-ROW(MSPTasks[[#Headers],[ID]])))="","",N(INDEX(tsk_BaseDuration,(ROW()-ROW(MSPTasks[[#Headers],[ID]]))))&amp;"d"))</f>
        <v/>
      </c>
      <c r="R28" s="24" t="str">
        <f aca="false">IF(IFERROR(INDEX(tsk_Name,(ROW()-ROW(MSPTasks[[#Headers],[ID]])))="",TRUE()),"",IF(INDEX(tsk_BaseWork,(ROW()-ROW(MSPTasks[[#Headers],[ID]])))="","",N(INDEX(tsk_BaseWork,(ROW()-ROW(MSPTasks[[#Headers],[ID]]))))&amp;"h"))</f>
        <v/>
      </c>
      <c r="S28" s="24" t="str">
        <f aca="false">IF(IFERROR(INDEX(tsk_Name,(ROW()-ROW(MSPTasks[[#Headers],[ID]])))="",TRUE()),"",IF(INDEX(tsk_BaseCost,(ROW()-ROW(MSPTasks[[#Headers],[ID]])))="","",N(INDEX(tsk_BaseCost,(ROW()-ROW(MSPTasks[[#Headers],[ID]]))))))</f>
        <v/>
      </c>
      <c r="T28" s="24" t="str">
        <f aca="false">IF(IFERROR(INDEX(tsk_Name,(ROW()-ROW(MSPTasks[[#Headers],[ID]])))="",TRUE()),"",IF(INDEX(tsk_IsSummary,(ROW()-ROW(MSPTasks[[#Headers],[ID]]))),"",IF(N(INDEX(tsk_ActCostInput,(ROW()-ROW(MSPTasks[[#Headers],[ID]]))))=0,"",INDEX(tsk_ActCostInput,(ROW()-ROW(MSPTasks[[#Headers],[ID]]))))))</f>
        <v/>
      </c>
      <c r="U28" s="24" t="str">
        <f aca="false">IF(IFERROR(INDEX(tsk_Name,(ROW()-ROW(MSPTasks[[#Headers],[ID]])))="",TRUE()),"",IF(INDEX(tsk_IsSummary,(ROW()-ROW(MSPTasks[[#Headers],[ID]]))),"",IF(AND(INDEX(tsk_Mode,(ROW()-ROW(MSPTasks[[#Headers],[ID]])))&lt;&gt;"Manual",N(INDEX(tsk_Constraint,(ROW()-ROW(MSPTasks[[#Headers],[ID]]))))&gt;0),"Start No Earlier Than","As Soon As Possible")))</f>
        <v/>
      </c>
      <c r="V28" s="127" t="str">
        <f aca="false">IF(IFERROR(INDEX(tsk_Name,(ROW()-ROW(MSPTasks[[#Headers],[ID]])))="",TRUE()),"",IF(OR(INDEX(tsk_IsSummary,(ROW()-ROW(MSPTasks[[#Headers],[ID]]))),INDEX(tsk_Mode,(ROW()-ROW(MSPTasks[[#Headers],[ID]])))="Manual"),"",IF(N(INDEX(tsk_Constraint,(ROW()-ROW(MSPTasks[[#Headers],[ID]]))))=0,"",INDEX(tsk_Constraint,(ROW()-ROW(MSPTasks[[#Headers],[ID]]))))))</f>
        <v/>
      </c>
      <c r="W28" s="127" t="str">
        <f aca="false">IF(IFERROR(INDEX(tsk_Name,(ROW()-ROW(MSPTasks[[#Headers],[ID]])))="",TRUE()),"",IF(N(INDEX(tsk_Deadline,(ROW()-ROW(MSPTasks[[#Headers],[ID]]))))=0,"",INDEX(tsk_Deadline,(ROW()-ROW(MSPTasks[[#Headers],[ID]])))))</f>
        <v/>
      </c>
      <c r="X28" s="24" t="str">
        <f aca="false">IF(IFERROR(INDEX(tsk_Name,(ROW()-ROW(MSPTasks[[#Headers],[ID]])))="",TRUE()),"",IF(INDEX(tsk_IsSummary,(ROW()-ROW(MSPTasks[[#Headers],[ID]]))),"",INDEX(tsk_Sprint,(ROW()-ROW(MSPTasks[[#Headers],[ID]])))&amp;""))</f>
        <v/>
      </c>
      <c r="Y28" s="24" t="str">
        <f aca="false">IF(IFERROR(INDEX(tsk_Name,(ROW()-ROW(MSPTasks[[#Headers],[ID]])))="",TRUE()),"",IF(INDEX(tsk_IsSummary,(ROW()-ROW(MSPTasks[[#Headers],[ID]]))),"",IF(N(INDEX(tsk_StoryPoints,(ROW()-ROW(MSPTasks[[#Headers],[ID]]))))=0,"",INDEX(tsk_StoryPoints,(ROW()-ROW(MSPTasks[[#Headers],[ID]]))))))</f>
        <v/>
      </c>
      <c r="Z28" s="24" t="str">
        <f aca="false">IF(IFERROR(INDEX(tsk_Name,(ROW()-ROW(MSPTasks[[#Headers],[ID]])))="",TRUE()),"",INDEX(tsk_Notes,(ROW()-ROW(MSPTasks[[#Headers],[ID]])))&amp;"")</f>
        <v/>
      </c>
    </row>
    <row r="29" customFormat="false" ht="15" hidden="false" customHeight="false" outlineLevel="0" collapsed="false">
      <c r="A29" s="24" t="n">
        <f aca="false">IF(IFERROR(INDEX(tsk_Name,(ROW()-ROW(MSPTasks[[#Headers],[ID]])))="",TRUE()),"",INDEX(tsk_ID,(ROW()-ROW(MSPTasks[[#Headers],[ID]]))))</f>
        <v>28</v>
      </c>
      <c r="B29" s="24" t="n">
        <f aca="false">IF(IFERROR(INDEX(tsk_Name,(ROW()-ROW(MSPTasks[[#Headers],[ID]])))="",TRUE()),"",INDEX(tsk_UID,(ROW()-ROW(MSPTasks[[#Headers],[ID]]))))</f>
        <v>28</v>
      </c>
      <c r="C29" s="24" t="str">
        <f aca="false">IF(IFERROR(INDEX(tsk_Name,(ROW()-ROW(MSPTasks[[#Headers],[ID]])))="",TRUE()),"",INDEX(tsk_Name,(ROW()-ROW(MSPTasks[[#Headers],[ID]]))))</f>
        <v>Steering committee update</v>
      </c>
      <c r="D29" s="24" t="n">
        <f aca="false">IF(IFERROR(INDEX(tsk_Name,(ROW()-ROW(MSPTasks[[#Headers],[ID]])))="",TRUE()),"",INDEX(tsk_Level,(ROW()-ROW(MSPTasks[[#Headers],[ID]]))))</f>
        <v>2</v>
      </c>
      <c r="E29" s="24" t="str">
        <f aca="false">IF(IFERROR(INDEX(tsk_Name,(ROW()-ROW(MSPTasks[[#Headers],[ID]])))="",TRUE()),"",IF(INDEX(tsk_Mode,(ROW()-ROW(MSPTasks[[#Headers],[ID]])))="Manual","Manually Scheduled","Auto Scheduled"))</f>
        <v>Manually Scheduled</v>
      </c>
      <c r="F29" s="24" t="str">
        <f aca="false">IF(IFERROR(INDEX(tsk_Name,(ROW()-ROW(MSPTasks[[#Headers],[ID]])))="",TRUE()),"",IF(INDEX(tsk_IsSummary,(ROW()-ROW(MSPTasks[[#Headers],[ID]]))),"",N(INDEX(tsk_Duration,(ROW()-ROW(MSPTasks[[#Headers],[ID]]))))&amp;"d"))</f>
        <v>1d</v>
      </c>
      <c r="G29" s="127" t="n">
        <f aca="false">IF(IFERROR(INDEX(tsk_Name,(ROW()-ROW(MSPTasks[[#Headers],[ID]])))="",TRUE()),"",INDEX(tsk_FcStart,(ROW()-ROW(MSPTasks[[#Headers],[ID]]))))</f>
        <v>46342</v>
      </c>
      <c r="H29" s="127" t="n">
        <f aca="false">IF(IFERROR(INDEX(tsk_Name,(ROW()-ROW(MSPTasks[[#Headers],[ID]])))="",TRUE()),"",INDEX(tsk_FcFinish,(ROW()-ROW(MSPTasks[[#Headers],[ID]]))))</f>
        <v>46342</v>
      </c>
      <c r="I29" s="24" t="str">
        <f aca="false">IF(IFERROR(INDEX(tsk_Name,(ROW()-ROW(MSPTasks[[#Headers],[ID]])))="",TRUE()),"",IF(INDEX(tsk_IsSummary,(ROW()-ROW(MSPTasks[[#Headers],[ID]]))),"",INDEX(tsk_Predecessors,(ROW()-ROW(MSPTasks[[#Headers],[ID]])))))</f>
        <v/>
      </c>
      <c r="J29" s="24" t="str">
        <f aca="false">IF(IFERROR(INDEX(tsk_Name,(ROW()-ROW(MSPTasks[[#Headers],[ID]])))="",TRUE()),"",IF(INDEX(tsk_IsSummary,(ROW()-ROW(MSPTasks[[#Headers],[ID]]))),"",INDEX(tsk_UIDPredecessors,(ROW()-ROW(MSPTasks[[#Headers],[ID]])))))</f>
        <v/>
      </c>
      <c r="K2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Priya Sharma</v>
      </c>
      <c r="L29" s="24" t="n">
        <f aca="false">IF(IFERROR(INDEX(tsk_Name,(ROW()-ROW(MSPTasks[[#Headers],[ID]])))="",TRUE()),"",IF(INDEX(tsk_IsSummary,(ROW()-ROW(MSPTasks[[#Headers],[ID]]))),"",ROUND(INDEX(tsk_Progress,(ROW()-ROW(MSPTasks[[#Headers],[ID]])))*100,0)))</f>
        <v>0</v>
      </c>
      <c r="M29" s="127" t="str">
        <f aca="false">IF(IFERROR(INDEX(tsk_Name,(ROW()-ROW(MSPTasks[[#Headers],[ID]])))="",TRUE()),"",IF(N(INDEX(tsk_ActStart,(ROW()-ROW(MSPTasks[[#Headers],[ID]]))))=0,"",INDEX(tsk_ActStart,(ROW()-ROW(MSPTasks[[#Headers],[ID]])))))</f>
        <v/>
      </c>
      <c r="N29" s="127" t="str">
        <f aca="false">IF(IFERROR(INDEX(tsk_Name,(ROW()-ROW(MSPTasks[[#Headers],[ID]])))="",TRUE()),"",IF(N(INDEX(tsk_ActFinish,(ROW()-ROW(MSPTasks[[#Headers],[ID]]))))=0,"",INDEX(tsk_ActFinish,(ROW()-ROW(MSPTasks[[#Headers],[ID]])))))</f>
        <v/>
      </c>
      <c r="O29" s="127" t="n">
        <f aca="false">IF(IFERROR(INDEX(tsk_Name,(ROW()-ROW(MSPTasks[[#Headers],[ID]])))="",TRUE()),"",INDEX(tsk_PlanStart,(ROW()-ROW(MSPTasks[[#Headers],[ID]]))))</f>
        <v>46342</v>
      </c>
      <c r="P29" s="127" t="n">
        <f aca="false">IF(IFERROR(INDEX(tsk_Name,(ROW()-ROW(MSPTasks[[#Headers],[ID]])))="",TRUE()),"",INDEX(tsk_PlanFinish,(ROW()-ROW(MSPTasks[[#Headers],[ID]]))))</f>
        <v>46342</v>
      </c>
      <c r="Q29" s="24" t="str">
        <f aca="false">IF(IFERROR(INDEX(tsk_Name,(ROW()-ROW(MSPTasks[[#Headers],[ID]])))="",TRUE()),"",IF(INDEX(tsk_BaseDuration,(ROW()-ROW(MSPTasks[[#Headers],[ID]])))="","",N(INDEX(tsk_BaseDuration,(ROW()-ROW(MSPTasks[[#Headers],[ID]]))))&amp;"d"))</f>
        <v/>
      </c>
      <c r="R29" s="24" t="str">
        <f aca="false">IF(IFERROR(INDEX(tsk_Name,(ROW()-ROW(MSPTasks[[#Headers],[ID]])))="",TRUE()),"",IF(INDEX(tsk_BaseWork,(ROW()-ROW(MSPTasks[[#Headers],[ID]])))="","",N(INDEX(tsk_BaseWork,(ROW()-ROW(MSPTasks[[#Headers],[ID]]))))&amp;"h"))</f>
        <v/>
      </c>
      <c r="S29" s="24" t="str">
        <f aca="false">IF(IFERROR(INDEX(tsk_Name,(ROW()-ROW(MSPTasks[[#Headers],[ID]])))="",TRUE()),"",IF(INDEX(tsk_BaseCost,(ROW()-ROW(MSPTasks[[#Headers],[ID]])))="","",N(INDEX(tsk_BaseCost,(ROW()-ROW(MSPTasks[[#Headers],[ID]]))))))</f>
        <v/>
      </c>
      <c r="T29" s="24" t="str">
        <f aca="false">IF(IFERROR(INDEX(tsk_Name,(ROW()-ROW(MSPTasks[[#Headers],[ID]])))="",TRUE()),"",IF(INDEX(tsk_IsSummary,(ROW()-ROW(MSPTasks[[#Headers],[ID]]))),"",IF(N(INDEX(tsk_ActCostInput,(ROW()-ROW(MSPTasks[[#Headers],[ID]]))))=0,"",INDEX(tsk_ActCostInput,(ROW()-ROW(MSPTasks[[#Headers],[ID]]))))))</f>
        <v/>
      </c>
      <c r="U29" s="24" t="str">
        <f aca="false">IF(IFERROR(INDEX(tsk_Name,(ROW()-ROW(MSPTasks[[#Headers],[ID]])))="",TRUE()),"",IF(INDEX(tsk_IsSummary,(ROW()-ROW(MSPTasks[[#Headers],[ID]]))),"",IF(AND(INDEX(tsk_Mode,(ROW()-ROW(MSPTasks[[#Headers],[ID]])))&lt;&gt;"Manual",N(INDEX(tsk_Constraint,(ROW()-ROW(MSPTasks[[#Headers],[ID]]))))&gt;0),"Start No Earlier Than","As Soon As Possible")))</f>
        <v>As Soon As Possible</v>
      </c>
      <c r="V29" s="127" t="str">
        <f aca="false">IF(IFERROR(INDEX(tsk_Name,(ROW()-ROW(MSPTasks[[#Headers],[ID]])))="",TRUE()),"",IF(OR(INDEX(tsk_IsSummary,(ROW()-ROW(MSPTasks[[#Headers],[ID]]))),INDEX(tsk_Mode,(ROW()-ROW(MSPTasks[[#Headers],[ID]])))="Manual"),"",IF(N(INDEX(tsk_Constraint,(ROW()-ROW(MSPTasks[[#Headers],[ID]]))))=0,"",INDEX(tsk_Constraint,(ROW()-ROW(MSPTasks[[#Headers],[ID]]))))))</f>
        <v/>
      </c>
      <c r="W29" s="127" t="str">
        <f aca="false">IF(IFERROR(INDEX(tsk_Name,(ROW()-ROW(MSPTasks[[#Headers],[ID]])))="",TRUE()),"",IF(N(INDEX(tsk_Deadline,(ROW()-ROW(MSPTasks[[#Headers],[ID]]))))=0,"",INDEX(tsk_Deadline,(ROW()-ROW(MSPTasks[[#Headers],[ID]])))))</f>
        <v/>
      </c>
      <c r="X29" s="24" t="str">
        <f aca="false">IF(IFERROR(INDEX(tsk_Name,(ROW()-ROW(MSPTasks[[#Headers],[ID]])))="",TRUE()),"",IF(INDEX(tsk_IsSummary,(ROW()-ROW(MSPTasks[[#Headers],[ID]]))),"",INDEX(tsk_Sprint,(ROW()-ROW(MSPTasks[[#Headers],[ID]])))&amp;""))</f>
        <v>Sprint 6</v>
      </c>
      <c r="Y29" s="70" t="n">
        <f aca="false">IF(IFERROR(INDEX(tsk_Name,(ROW()-ROW(MSPTasks[[#Headers],[ID]])))="",TRUE()),"",IF(INDEX(tsk_IsSummary,(ROW()-ROW(MSPTasks[[#Headers],[ID]]))),"",IF(N(INDEX(tsk_StoryPoints,(ROW()-ROW(MSPTasks[[#Headers],[ID]]))))=0,"",INDEX(tsk_StoryPoints,(ROW()-ROW(MSPTasks[[#Headers],[ID]]))))))</f>
        <v>1</v>
      </c>
      <c r="Z29" s="24" t="str">
        <f aca="false">IF(IFERROR(INDEX(tsk_Name,(ROW()-ROW(MSPTasks[[#Headers],[ID]])))="",TRUE()),"",INDEX(tsk_Notes,(ROW()-ROW(MSPTasks[[#Headers],[ID]])))&amp;"")</f>
        <v>Manual mode example: fixed on the date in the Start No Earlier Than column.</v>
      </c>
    </row>
    <row r="30" customFormat="false" ht="15" hidden="false" customHeight="false" outlineLevel="0" collapsed="false">
      <c r="A30" s="24" t="n">
        <f aca="false">IF(IFERROR(INDEX(tsk_Name,(ROW()-ROW(MSPTasks[[#Headers],[ID]])))="",TRUE()),"",INDEX(tsk_ID,(ROW()-ROW(MSPTasks[[#Headers],[ID]]))))</f>
        <v>29</v>
      </c>
      <c r="B30" s="24" t="n">
        <f aca="false">IF(IFERROR(INDEX(tsk_Name,(ROW()-ROW(MSPTasks[[#Headers],[ID]])))="",TRUE()),"",INDEX(tsk_UID,(ROW()-ROW(MSPTasks[[#Headers],[ID]]))))</f>
        <v>29</v>
      </c>
      <c r="C30" s="24" t="str">
        <f aca="false">IF(IFERROR(INDEX(tsk_Name,(ROW()-ROW(MSPTasks[[#Headers],[ID]])))="",TRUE()),"",INDEX(tsk_Name,(ROW()-ROW(MSPTasks[[#Headers],[ID]]))))</f>
        <v>Lessons learned</v>
      </c>
      <c r="D30" s="24" t="n">
        <f aca="false">IF(IFERROR(INDEX(tsk_Name,(ROW()-ROW(MSPTasks[[#Headers],[ID]])))="",TRUE()),"",INDEX(tsk_Level,(ROW()-ROW(MSPTasks[[#Headers],[ID]]))))</f>
        <v>2</v>
      </c>
      <c r="E30" s="24" t="str">
        <f aca="false">IF(IFERROR(INDEX(tsk_Name,(ROW()-ROW(MSPTasks[[#Headers],[ID]])))="",TRUE()),"",IF(INDEX(tsk_Mode,(ROW()-ROW(MSPTasks[[#Headers],[ID]])))="Manual","Manually Scheduled","Auto Scheduled"))</f>
        <v>Auto Scheduled</v>
      </c>
      <c r="F30" s="24" t="str">
        <f aca="false">IF(IFERROR(INDEX(tsk_Name,(ROW()-ROW(MSPTasks[[#Headers],[ID]])))="",TRUE()),"",IF(INDEX(tsk_IsSummary,(ROW()-ROW(MSPTasks[[#Headers],[ID]]))),"",N(INDEX(tsk_Duration,(ROW()-ROW(MSPTasks[[#Headers],[ID]]))))&amp;"d"))</f>
        <v>2d</v>
      </c>
      <c r="G30" s="127" t="n">
        <f aca="false">IF(IFERROR(INDEX(tsk_Name,(ROW()-ROW(MSPTasks[[#Headers],[ID]])))="",TRUE()),"",INDEX(tsk_FcStart,(ROW()-ROW(MSPTasks[[#Headers],[ID]]))))</f>
        <v>46392</v>
      </c>
      <c r="H30" s="127" t="n">
        <f aca="false">IF(IFERROR(INDEX(tsk_Name,(ROW()-ROW(MSPTasks[[#Headers],[ID]])))="",TRUE()),"",INDEX(tsk_FcFinish,(ROW()-ROW(MSPTasks[[#Headers],[ID]]))))</f>
        <v>46393</v>
      </c>
      <c r="I30" s="24" t="str">
        <f aca="false">IF(IFERROR(INDEX(tsk_Name,(ROW()-ROW(MSPTasks[[#Headers],[ID]])))="",TRUE()),"",IF(INDEX(tsk_IsSummary,(ROW()-ROW(MSPTasks[[#Headers],[ID]]))),"",INDEX(tsk_Predecessors,(ROW()-ROW(MSPTasks[[#Headers],[ID]])))))</f>
        <v>26</v>
      </c>
      <c r="J30" s="24" t="str">
        <f aca="false">IF(IFERROR(INDEX(tsk_Name,(ROW()-ROW(MSPTasks[[#Headers],[ID]])))="",TRUE()),"",IF(INDEX(tsk_IsSummary,(ROW()-ROW(MSPTasks[[#Headers],[ID]]))),"",INDEX(tsk_UIDPredecessors,(ROW()-ROW(MSPTasks[[#Headers],[ID]])))))</f>
        <v>26</v>
      </c>
      <c r="K3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Priya Sharma</v>
      </c>
      <c r="L30" s="24" t="n">
        <f aca="false">IF(IFERROR(INDEX(tsk_Name,(ROW()-ROW(MSPTasks[[#Headers],[ID]])))="",TRUE()),"",IF(INDEX(tsk_IsSummary,(ROW()-ROW(MSPTasks[[#Headers],[ID]]))),"",ROUND(INDEX(tsk_Progress,(ROW()-ROW(MSPTasks[[#Headers],[ID]])))*100,0)))</f>
        <v>0</v>
      </c>
      <c r="M30" s="127" t="str">
        <f aca="false">IF(IFERROR(INDEX(tsk_Name,(ROW()-ROW(MSPTasks[[#Headers],[ID]])))="",TRUE()),"",IF(N(INDEX(tsk_ActStart,(ROW()-ROW(MSPTasks[[#Headers],[ID]]))))=0,"",INDEX(tsk_ActStart,(ROW()-ROW(MSPTasks[[#Headers],[ID]])))))</f>
        <v/>
      </c>
      <c r="N30" s="127" t="str">
        <f aca="false">IF(IFERROR(INDEX(tsk_Name,(ROW()-ROW(MSPTasks[[#Headers],[ID]])))="",TRUE()),"",IF(N(INDEX(tsk_ActFinish,(ROW()-ROW(MSPTasks[[#Headers],[ID]]))))=0,"",INDEX(tsk_ActFinish,(ROW()-ROW(MSPTasks[[#Headers],[ID]])))))</f>
        <v/>
      </c>
      <c r="O30" s="127" t="n">
        <f aca="false">IF(IFERROR(INDEX(tsk_Name,(ROW()-ROW(MSPTasks[[#Headers],[ID]])))="",TRUE()),"",INDEX(tsk_PlanStart,(ROW()-ROW(MSPTasks[[#Headers],[ID]]))))</f>
        <v>46392</v>
      </c>
      <c r="P30" s="127" t="n">
        <f aca="false">IF(IFERROR(INDEX(tsk_Name,(ROW()-ROW(MSPTasks[[#Headers],[ID]])))="",TRUE()),"",INDEX(tsk_PlanFinish,(ROW()-ROW(MSPTasks[[#Headers],[ID]]))))</f>
        <v>46393</v>
      </c>
      <c r="Q30" s="24" t="str">
        <f aca="false">IF(IFERROR(INDEX(tsk_Name,(ROW()-ROW(MSPTasks[[#Headers],[ID]])))="",TRUE()),"",IF(INDEX(tsk_BaseDuration,(ROW()-ROW(MSPTasks[[#Headers],[ID]])))="","",N(INDEX(tsk_BaseDuration,(ROW()-ROW(MSPTasks[[#Headers],[ID]]))))&amp;"d"))</f>
        <v/>
      </c>
      <c r="R30" s="24" t="str">
        <f aca="false">IF(IFERROR(INDEX(tsk_Name,(ROW()-ROW(MSPTasks[[#Headers],[ID]])))="",TRUE()),"",IF(INDEX(tsk_BaseWork,(ROW()-ROW(MSPTasks[[#Headers],[ID]])))="","",N(INDEX(tsk_BaseWork,(ROW()-ROW(MSPTasks[[#Headers],[ID]]))))&amp;"h"))</f>
        <v/>
      </c>
      <c r="S30" s="24" t="str">
        <f aca="false">IF(IFERROR(INDEX(tsk_Name,(ROW()-ROW(MSPTasks[[#Headers],[ID]])))="",TRUE()),"",IF(INDEX(tsk_BaseCost,(ROW()-ROW(MSPTasks[[#Headers],[ID]])))="","",N(INDEX(tsk_BaseCost,(ROW()-ROW(MSPTasks[[#Headers],[ID]]))))))</f>
        <v/>
      </c>
      <c r="T30" s="24" t="str">
        <f aca="false">IF(IFERROR(INDEX(tsk_Name,(ROW()-ROW(MSPTasks[[#Headers],[ID]])))="",TRUE()),"",IF(INDEX(tsk_IsSummary,(ROW()-ROW(MSPTasks[[#Headers],[ID]]))),"",IF(N(INDEX(tsk_ActCostInput,(ROW()-ROW(MSPTasks[[#Headers],[ID]]))))=0,"",INDEX(tsk_ActCostInput,(ROW()-ROW(MSPTasks[[#Headers],[ID]]))))))</f>
        <v/>
      </c>
      <c r="U30" s="24" t="str">
        <f aca="false">IF(IFERROR(INDEX(tsk_Name,(ROW()-ROW(MSPTasks[[#Headers],[ID]])))="",TRUE()),"",IF(INDEX(tsk_IsSummary,(ROW()-ROW(MSPTasks[[#Headers],[ID]]))),"",IF(AND(INDEX(tsk_Mode,(ROW()-ROW(MSPTasks[[#Headers],[ID]])))&lt;&gt;"Manual",N(INDEX(tsk_Constraint,(ROW()-ROW(MSPTasks[[#Headers],[ID]]))))&gt;0),"Start No Earlier Than","As Soon As Possible")))</f>
        <v>As Soon As Possible</v>
      </c>
      <c r="V30" s="127" t="str">
        <f aca="false">IF(IFERROR(INDEX(tsk_Name,(ROW()-ROW(MSPTasks[[#Headers],[ID]])))="",TRUE()),"",IF(OR(INDEX(tsk_IsSummary,(ROW()-ROW(MSPTasks[[#Headers],[ID]]))),INDEX(tsk_Mode,(ROW()-ROW(MSPTasks[[#Headers],[ID]])))="Manual"),"",IF(N(INDEX(tsk_Constraint,(ROW()-ROW(MSPTasks[[#Headers],[ID]]))))=0,"",INDEX(tsk_Constraint,(ROW()-ROW(MSPTasks[[#Headers],[ID]]))))))</f>
        <v/>
      </c>
      <c r="W30" s="127" t="str">
        <f aca="false">IF(IFERROR(INDEX(tsk_Name,(ROW()-ROW(MSPTasks[[#Headers],[ID]])))="",TRUE()),"",IF(N(INDEX(tsk_Deadline,(ROW()-ROW(MSPTasks[[#Headers],[ID]]))))=0,"",INDEX(tsk_Deadline,(ROW()-ROW(MSPTasks[[#Headers],[ID]])))))</f>
        <v/>
      </c>
      <c r="X30" s="24" t="str">
        <f aca="false">IF(IFERROR(INDEX(tsk_Name,(ROW()-ROW(MSPTasks[[#Headers],[ID]])))="",TRUE()),"",IF(INDEX(tsk_IsSummary,(ROW()-ROW(MSPTasks[[#Headers],[ID]]))),"",INDEX(tsk_Sprint,(ROW()-ROW(MSPTasks[[#Headers],[ID]])))&amp;""))</f>
        <v>Sprint 9</v>
      </c>
      <c r="Y30" s="70" t="n">
        <f aca="false">IF(IFERROR(INDEX(tsk_Name,(ROW()-ROW(MSPTasks[[#Headers],[ID]])))="",TRUE()),"",IF(INDEX(tsk_IsSummary,(ROW()-ROW(MSPTasks[[#Headers],[ID]]))),"",IF(N(INDEX(tsk_StoryPoints,(ROW()-ROW(MSPTasks[[#Headers],[ID]]))))=0,"",INDEX(tsk_StoryPoints,(ROW()-ROW(MSPTasks[[#Headers],[ID]]))))))</f>
        <v>2</v>
      </c>
      <c r="Z30" s="24" t="str">
        <f aca="false">IF(IFERROR(INDEX(tsk_Name,(ROW()-ROW(MSPTasks[[#Headers],[ID]])))="",TRUE()),"",INDEX(tsk_Notes,(ROW()-ROW(MSPTasks[[#Headers],[ID]])))&amp;"")</f>
        <v/>
      </c>
    </row>
    <row r="31" customFormat="false" ht="15" hidden="false" customHeight="false" outlineLevel="0" collapsed="false">
      <c r="A31" s="24" t="n">
        <f aca="false">IF(IFERROR(INDEX(tsk_Name,(ROW()-ROW(MSPTasks[[#Headers],[ID]])))="",TRUE()),"",INDEX(tsk_ID,(ROW()-ROW(MSPTasks[[#Headers],[ID]]))))</f>
        <v>30</v>
      </c>
      <c r="B31" s="24" t="n">
        <f aca="false">IF(IFERROR(INDEX(tsk_Name,(ROW()-ROW(MSPTasks[[#Headers],[ID]])))="",TRUE()),"",INDEX(tsk_UID,(ROW()-ROW(MSPTasks[[#Headers],[ID]]))))</f>
        <v>30</v>
      </c>
      <c r="C31" s="24" t="str">
        <f aca="false">IF(IFERROR(INDEX(tsk_Name,(ROW()-ROW(MSPTasks[[#Headers],[ID]])))="",TRUE()),"",INDEX(tsk_Name,(ROW()-ROW(MSPTasks[[#Headers],[ID]]))))</f>
        <v>Project closed</v>
      </c>
      <c r="D31" s="24" t="n">
        <f aca="false">IF(IFERROR(INDEX(tsk_Name,(ROW()-ROW(MSPTasks[[#Headers],[ID]])))="",TRUE()),"",INDEX(tsk_Level,(ROW()-ROW(MSPTasks[[#Headers],[ID]]))))</f>
        <v>2</v>
      </c>
      <c r="E31" s="24" t="str">
        <f aca="false">IF(IFERROR(INDEX(tsk_Name,(ROW()-ROW(MSPTasks[[#Headers],[ID]])))="",TRUE()),"",IF(INDEX(tsk_Mode,(ROW()-ROW(MSPTasks[[#Headers],[ID]])))="Manual","Manually Scheduled","Auto Scheduled"))</f>
        <v>Auto Scheduled</v>
      </c>
      <c r="F31" s="24" t="str">
        <f aca="false">IF(IFERROR(INDEX(tsk_Name,(ROW()-ROW(MSPTasks[[#Headers],[ID]])))="",TRUE()),"",IF(INDEX(tsk_IsSummary,(ROW()-ROW(MSPTasks[[#Headers],[ID]]))),"",N(INDEX(tsk_Duration,(ROW()-ROW(MSPTasks[[#Headers],[ID]]))))&amp;"d"))</f>
        <v>0d</v>
      </c>
      <c r="G31" s="127" t="n">
        <f aca="false">IF(IFERROR(INDEX(tsk_Name,(ROW()-ROW(MSPTasks[[#Headers],[ID]])))="",TRUE()),"",INDEX(tsk_FcStart,(ROW()-ROW(MSPTasks[[#Headers],[ID]]))))</f>
        <v>46393</v>
      </c>
      <c r="H31" s="127" t="n">
        <f aca="false">IF(IFERROR(INDEX(tsk_Name,(ROW()-ROW(MSPTasks[[#Headers],[ID]])))="",TRUE()),"",INDEX(tsk_FcFinish,(ROW()-ROW(MSPTasks[[#Headers],[ID]]))))</f>
        <v>46393</v>
      </c>
      <c r="I31" s="24" t="str">
        <f aca="false">IF(IFERROR(INDEX(tsk_Name,(ROW()-ROW(MSPTasks[[#Headers],[ID]])))="",TRUE()),"",IF(INDEX(tsk_IsSummary,(ROW()-ROW(MSPTasks[[#Headers],[ID]]))),"",INDEX(tsk_Predecessors,(ROW()-ROW(MSPTasks[[#Headers],[ID]])))))</f>
        <v>29</v>
      </c>
      <c r="J31" s="24" t="str">
        <f aca="false">IF(IFERROR(INDEX(tsk_Name,(ROW()-ROW(MSPTasks[[#Headers],[ID]])))="",TRUE()),"",IF(INDEX(tsk_IsSummary,(ROW()-ROW(MSPTasks[[#Headers],[ID]]))),"",INDEX(tsk_UIDPredecessors,(ROW()-ROW(MSPTasks[[#Headers],[ID]])))))</f>
        <v>29</v>
      </c>
      <c r="K3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1" s="24" t="n">
        <f aca="false">IF(IFERROR(INDEX(tsk_Name,(ROW()-ROW(MSPTasks[[#Headers],[ID]])))="",TRUE()),"",IF(INDEX(tsk_IsSummary,(ROW()-ROW(MSPTasks[[#Headers],[ID]]))),"",ROUND(INDEX(tsk_Progress,(ROW()-ROW(MSPTasks[[#Headers],[ID]])))*100,0)))</f>
        <v>0</v>
      </c>
      <c r="M31" s="127" t="str">
        <f aca="false">IF(IFERROR(INDEX(tsk_Name,(ROW()-ROW(MSPTasks[[#Headers],[ID]])))="",TRUE()),"",IF(N(INDEX(tsk_ActStart,(ROW()-ROW(MSPTasks[[#Headers],[ID]]))))=0,"",INDEX(tsk_ActStart,(ROW()-ROW(MSPTasks[[#Headers],[ID]])))))</f>
        <v/>
      </c>
      <c r="N31" s="127" t="str">
        <f aca="false">IF(IFERROR(INDEX(tsk_Name,(ROW()-ROW(MSPTasks[[#Headers],[ID]])))="",TRUE()),"",IF(N(INDEX(tsk_ActFinish,(ROW()-ROW(MSPTasks[[#Headers],[ID]]))))=0,"",INDEX(tsk_ActFinish,(ROW()-ROW(MSPTasks[[#Headers],[ID]])))))</f>
        <v/>
      </c>
      <c r="O31" s="127" t="n">
        <f aca="false">IF(IFERROR(INDEX(tsk_Name,(ROW()-ROW(MSPTasks[[#Headers],[ID]])))="",TRUE()),"",INDEX(tsk_PlanStart,(ROW()-ROW(MSPTasks[[#Headers],[ID]]))))</f>
        <v>46393</v>
      </c>
      <c r="P31" s="127" t="n">
        <f aca="false">IF(IFERROR(INDEX(tsk_Name,(ROW()-ROW(MSPTasks[[#Headers],[ID]])))="",TRUE()),"",INDEX(tsk_PlanFinish,(ROW()-ROW(MSPTasks[[#Headers],[ID]]))))</f>
        <v>46393</v>
      </c>
      <c r="Q31" s="24" t="str">
        <f aca="false">IF(IFERROR(INDEX(tsk_Name,(ROW()-ROW(MSPTasks[[#Headers],[ID]])))="",TRUE()),"",IF(INDEX(tsk_BaseDuration,(ROW()-ROW(MSPTasks[[#Headers],[ID]])))="","",N(INDEX(tsk_BaseDuration,(ROW()-ROW(MSPTasks[[#Headers],[ID]]))))&amp;"d"))</f>
        <v/>
      </c>
      <c r="R31" s="24" t="str">
        <f aca="false">IF(IFERROR(INDEX(tsk_Name,(ROW()-ROW(MSPTasks[[#Headers],[ID]])))="",TRUE()),"",IF(INDEX(tsk_BaseWork,(ROW()-ROW(MSPTasks[[#Headers],[ID]])))="","",N(INDEX(tsk_BaseWork,(ROW()-ROW(MSPTasks[[#Headers],[ID]]))))&amp;"h"))</f>
        <v/>
      </c>
      <c r="S31" s="24" t="str">
        <f aca="false">IF(IFERROR(INDEX(tsk_Name,(ROW()-ROW(MSPTasks[[#Headers],[ID]])))="",TRUE()),"",IF(INDEX(tsk_BaseCost,(ROW()-ROW(MSPTasks[[#Headers],[ID]])))="","",N(INDEX(tsk_BaseCost,(ROW()-ROW(MSPTasks[[#Headers],[ID]]))))))</f>
        <v/>
      </c>
      <c r="T31" s="24" t="str">
        <f aca="false">IF(IFERROR(INDEX(tsk_Name,(ROW()-ROW(MSPTasks[[#Headers],[ID]])))="",TRUE()),"",IF(INDEX(tsk_IsSummary,(ROW()-ROW(MSPTasks[[#Headers],[ID]]))),"",IF(N(INDEX(tsk_ActCostInput,(ROW()-ROW(MSPTasks[[#Headers],[ID]]))))=0,"",INDEX(tsk_ActCostInput,(ROW()-ROW(MSPTasks[[#Headers],[ID]]))))))</f>
        <v/>
      </c>
      <c r="U31" s="24" t="str">
        <f aca="false">IF(IFERROR(INDEX(tsk_Name,(ROW()-ROW(MSPTasks[[#Headers],[ID]])))="",TRUE()),"",IF(INDEX(tsk_IsSummary,(ROW()-ROW(MSPTasks[[#Headers],[ID]]))),"",IF(AND(INDEX(tsk_Mode,(ROW()-ROW(MSPTasks[[#Headers],[ID]])))&lt;&gt;"Manual",N(INDEX(tsk_Constraint,(ROW()-ROW(MSPTasks[[#Headers],[ID]]))))&gt;0),"Start No Earlier Than","As Soon As Possible")))</f>
        <v>As Soon As Possible</v>
      </c>
      <c r="V31" s="127" t="str">
        <f aca="false">IF(IFERROR(INDEX(tsk_Name,(ROW()-ROW(MSPTasks[[#Headers],[ID]])))="",TRUE()),"",IF(OR(INDEX(tsk_IsSummary,(ROW()-ROW(MSPTasks[[#Headers],[ID]]))),INDEX(tsk_Mode,(ROW()-ROW(MSPTasks[[#Headers],[ID]])))="Manual"),"",IF(N(INDEX(tsk_Constraint,(ROW()-ROW(MSPTasks[[#Headers],[ID]]))))=0,"",INDEX(tsk_Constraint,(ROW()-ROW(MSPTasks[[#Headers],[ID]]))))))</f>
        <v/>
      </c>
      <c r="W31" s="127" t="str">
        <f aca="false">IF(IFERROR(INDEX(tsk_Name,(ROW()-ROW(MSPTasks[[#Headers],[ID]])))="",TRUE()),"",IF(N(INDEX(tsk_Deadline,(ROW()-ROW(MSPTasks[[#Headers],[ID]]))))=0,"",INDEX(tsk_Deadline,(ROW()-ROW(MSPTasks[[#Headers],[ID]])))))</f>
        <v/>
      </c>
      <c r="X31" s="24" t="str">
        <f aca="false">IF(IFERROR(INDEX(tsk_Name,(ROW()-ROW(MSPTasks[[#Headers],[ID]])))="",TRUE()),"",IF(INDEX(tsk_IsSummary,(ROW()-ROW(MSPTasks[[#Headers],[ID]]))),"",INDEX(tsk_Sprint,(ROW()-ROW(MSPTasks[[#Headers],[ID]])))&amp;""))</f>
        <v>Sprint 9</v>
      </c>
      <c r="Y31" s="24" t="str">
        <f aca="false">IF(IFERROR(INDEX(tsk_Name,(ROW()-ROW(MSPTasks[[#Headers],[ID]])))="",TRUE()),"",IF(INDEX(tsk_IsSummary,(ROW()-ROW(MSPTasks[[#Headers],[ID]]))),"",IF(N(INDEX(tsk_StoryPoints,(ROW()-ROW(MSPTasks[[#Headers],[ID]]))))=0,"",INDEX(tsk_StoryPoints,(ROW()-ROW(MSPTasks[[#Headers],[ID]]))))))</f>
        <v/>
      </c>
      <c r="Z31" s="24" t="str">
        <f aca="false">IF(IFERROR(INDEX(tsk_Name,(ROW()-ROW(MSPTasks[[#Headers],[ID]])))="",TRUE()),"",INDEX(tsk_Notes,(ROW()-ROW(MSPTasks[[#Headers],[ID]])))&amp;"")</f>
        <v>Milestone</v>
      </c>
    </row>
    <row r="32" customFormat="false" ht="15" hidden="false" customHeight="false" outlineLevel="0" collapsed="false">
      <c r="A32" s="24" t="str">
        <f aca="false">IF(IFERROR(INDEX(tsk_Name,(ROW()-ROW(MSPTasks[[#Headers],[ID]])))="",TRUE()),"",INDEX(tsk_ID,(ROW()-ROW(MSPTasks[[#Headers],[ID]]))))</f>
        <v/>
      </c>
      <c r="B32" s="24" t="str">
        <f aca="false">IF(IFERROR(INDEX(tsk_Name,(ROW()-ROW(MSPTasks[[#Headers],[ID]])))="",TRUE()),"",INDEX(tsk_UID,(ROW()-ROW(MSPTasks[[#Headers],[ID]]))))</f>
        <v/>
      </c>
      <c r="C32" s="24" t="str">
        <f aca="false">IF(IFERROR(INDEX(tsk_Name,(ROW()-ROW(MSPTasks[[#Headers],[ID]])))="",TRUE()),"",INDEX(tsk_Name,(ROW()-ROW(MSPTasks[[#Headers],[ID]]))))</f>
        <v/>
      </c>
      <c r="D32" s="24" t="str">
        <f aca="false">IF(IFERROR(INDEX(tsk_Name,(ROW()-ROW(MSPTasks[[#Headers],[ID]])))="",TRUE()),"",INDEX(tsk_Level,(ROW()-ROW(MSPTasks[[#Headers],[ID]]))))</f>
        <v/>
      </c>
      <c r="E32" s="24" t="str">
        <f aca="false">IF(IFERROR(INDEX(tsk_Name,(ROW()-ROW(MSPTasks[[#Headers],[ID]])))="",TRUE()),"",IF(INDEX(tsk_Mode,(ROW()-ROW(MSPTasks[[#Headers],[ID]])))="Manual","Manually Scheduled","Auto Scheduled"))</f>
        <v/>
      </c>
      <c r="F32" s="24" t="str">
        <f aca="false">IF(IFERROR(INDEX(tsk_Name,(ROW()-ROW(MSPTasks[[#Headers],[ID]])))="",TRUE()),"",IF(INDEX(tsk_IsSummary,(ROW()-ROW(MSPTasks[[#Headers],[ID]]))),"",N(INDEX(tsk_Duration,(ROW()-ROW(MSPTasks[[#Headers],[ID]]))))&amp;"d"))</f>
        <v/>
      </c>
      <c r="G32" s="127" t="str">
        <f aca="false">IF(IFERROR(INDEX(tsk_Name,(ROW()-ROW(MSPTasks[[#Headers],[ID]])))="",TRUE()),"",INDEX(tsk_FcStart,(ROW()-ROW(MSPTasks[[#Headers],[ID]]))))</f>
        <v/>
      </c>
      <c r="H32" s="127" t="str">
        <f aca="false">IF(IFERROR(INDEX(tsk_Name,(ROW()-ROW(MSPTasks[[#Headers],[ID]])))="",TRUE()),"",INDEX(tsk_FcFinish,(ROW()-ROW(MSPTasks[[#Headers],[ID]]))))</f>
        <v/>
      </c>
      <c r="I32" s="24" t="str">
        <f aca="false">IF(IFERROR(INDEX(tsk_Name,(ROW()-ROW(MSPTasks[[#Headers],[ID]])))="",TRUE()),"",IF(INDEX(tsk_IsSummary,(ROW()-ROW(MSPTasks[[#Headers],[ID]]))),"",INDEX(tsk_Predecessors,(ROW()-ROW(MSPTasks[[#Headers],[ID]])))))</f>
        <v/>
      </c>
      <c r="J32" s="24" t="str">
        <f aca="false">IF(IFERROR(INDEX(tsk_Name,(ROW()-ROW(MSPTasks[[#Headers],[ID]])))="",TRUE()),"",IF(INDEX(tsk_IsSummary,(ROW()-ROW(MSPTasks[[#Headers],[ID]]))),"",INDEX(tsk_UIDPredecessors,(ROW()-ROW(MSPTasks[[#Headers],[ID]])))))</f>
        <v/>
      </c>
      <c r="K3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2" s="24" t="str">
        <f aca="false">IF(IFERROR(INDEX(tsk_Name,(ROW()-ROW(MSPTasks[[#Headers],[ID]])))="",TRUE()),"",IF(INDEX(tsk_IsSummary,(ROW()-ROW(MSPTasks[[#Headers],[ID]]))),"",ROUND(INDEX(tsk_Progress,(ROW()-ROW(MSPTasks[[#Headers],[ID]])))*100,0)))</f>
        <v/>
      </c>
      <c r="M32" s="127" t="str">
        <f aca="false">IF(IFERROR(INDEX(tsk_Name,(ROW()-ROW(MSPTasks[[#Headers],[ID]])))="",TRUE()),"",IF(N(INDEX(tsk_ActStart,(ROW()-ROW(MSPTasks[[#Headers],[ID]]))))=0,"",INDEX(tsk_ActStart,(ROW()-ROW(MSPTasks[[#Headers],[ID]])))))</f>
        <v/>
      </c>
      <c r="N32" s="127" t="str">
        <f aca="false">IF(IFERROR(INDEX(tsk_Name,(ROW()-ROW(MSPTasks[[#Headers],[ID]])))="",TRUE()),"",IF(N(INDEX(tsk_ActFinish,(ROW()-ROW(MSPTasks[[#Headers],[ID]]))))=0,"",INDEX(tsk_ActFinish,(ROW()-ROW(MSPTasks[[#Headers],[ID]])))))</f>
        <v/>
      </c>
      <c r="O32" s="127" t="str">
        <f aca="false">IF(IFERROR(INDEX(tsk_Name,(ROW()-ROW(MSPTasks[[#Headers],[ID]])))="",TRUE()),"",INDEX(tsk_PlanStart,(ROW()-ROW(MSPTasks[[#Headers],[ID]]))))</f>
        <v/>
      </c>
      <c r="P32" s="127" t="str">
        <f aca="false">IF(IFERROR(INDEX(tsk_Name,(ROW()-ROW(MSPTasks[[#Headers],[ID]])))="",TRUE()),"",INDEX(tsk_PlanFinish,(ROW()-ROW(MSPTasks[[#Headers],[ID]]))))</f>
        <v/>
      </c>
      <c r="Q32" s="24" t="str">
        <f aca="false">IF(IFERROR(INDEX(tsk_Name,(ROW()-ROW(MSPTasks[[#Headers],[ID]])))="",TRUE()),"",IF(INDEX(tsk_BaseDuration,(ROW()-ROW(MSPTasks[[#Headers],[ID]])))="","",N(INDEX(tsk_BaseDuration,(ROW()-ROW(MSPTasks[[#Headers],[ID]]))))&amp;"d"))</f>
        <v/>
      </c>
      <c r="R32" s="24" t="str">
        <f aca="false">IF(IFERROR(INDEX(tsk_Name,(ROW()-ROW(MSPTasks[[#Headers],[ID]])))="",TRUE()),"",IF(INDEX(tsk_BaseWork,(ROW()-ROW(MSPTasks[[#Headers],[ID]])))="","",N(INDEX(tsk_BaseWork,(ROW()-ROW(MSPTasks[[#Headers],[ID]]))))&amp;"h"))</f>
        <v/>
      </c>
      <c r="S32" s="24" t="str">
        <f aca="false">IF(IFERROR(INDEX(tsk_Name,(ROW()-ROW(MSPTasks[[#Headers],[ID]])))="",TRUE()),"",IF(INDEX(tsk_BaseCost,(ROW()-ROW(MSPTasks[[#Headers],[ID]])))="","",N(INDEX(tsk_BaseCost,(ROW()-ROW(MSPTasks[[#Headers],[ID]]))))))</f>
        <v/>
      </c>
      <c r="T32" s="24" t="str">
        <f aca="false">IF(IFERROR(INDEX(tsk_Name,(ROW()-ROW(MSPTasks[[#Headers],[ID]])))="",TRUE()),"",IF(INDEX(tsk_IsSummary,(ROW()-ROW(MSPTasks[[#Headers],[ID]]))),"",IF(N(INDEX(tsk_ActCostInput,(ROW()-ROW(MSPTasks[[#Headers],[ID]]))))=0,"",INDEX(tsk_ActCostInput,(ROW()-ROW(MSPTasks[[#Headers],[ID]]))))))</f>
        <v/>
      </c>
      <c r="U32" s="24" t="str">
        <f aca="false">IF(IFERROR(INDEX(tsk_Name,(ROW()-ROW(MSPTasks[[#Headers],[ID]])))="",TRUE()),"",IF(INDEX(tsk_IsSummary,(ROW()-ROW(MSPTasks[[#Headers],[ID]]))),"",IF(AND(INDEX(tsk_Mode,(ROW()-ROW(MSPTasks[[#Headers],[ID]])))&lt;&gt;"Manual",N(INDEX(tsk_Constraint,(ROW()-ROW(MSPTasks[[#Headers],[ID]]))))&gt;0),"Start No Earlier Than","As Soon As Possible")))</f>
        <v/>
      </c>
      <c r="V32" s="127" t="str">
        <f aca="false">IF(IFERROR(INDEX(tsk_Name,(ROW()-ROW(MSPTasks[[#Headers],[ID]])))="",TRUE()),"",IF(OR(INDEX(tsk_IsSummary,(ROW()-ROW(MSPTasks[[#Headers],[ID]]))),INDEX(tsk_Mode,(ROW()-ROW(MSPTasks[[#Headers],[ID]])))="Manual"),"",IF(N(INDEX(tsk_Constraint,(ROW()-ROW(MSPTasks[[#Headers],[ID]]))))=0,"",INDEX(tsk_Constraint,(ROW()-ROW(MSPTasks[[#Headers],[ID]]))))))</f>
        <v/>
      </c>
      <c r="W32" s="127" t="str">
        <f aca="false">IF(IFERROR(INDEX(tsk_Name,(ROW()-ROW(MSPTasks[[#Headers],[ID]])))="",TRUE()),"",IF(N(INDEX(tsk_Deadline,(ROW()-ROW(MSPTasks[[#Headers],[ID]]))))=0,"",INDEX(tsk_Deadline,(ROW()-ROW(MSPTasks[[#Headers],[ID]])))))</f>
        <v/>
      </c>
      <c r="X32" s="24" t="str">
        <f aca="false">IF(IFERROR(INDEX(tsk_Name,(ROW()-ROW(MSPTasks[[#Headers],[ID]])))="",TRUE()),"",IF(INDEX(tsk_IsSummary,(ROW()-ROW(MSPTasks[[#Headers],[ID]]))),"",INDEX(tsk_Sprint,(ROW()-ROW(MSPTasks[[#Headers],[ID]])))&amp;""))</f>
        <v/>
      </c>
      <c r="Y32" s="24" t="str">
        <f aca="false">IF(IFERROR(INDEX(tsk_Name,(ROW()-ROW(MSPTasks[[#Headers],[ID]])))="",TRUE()),"",IF(INDEX(tsk_IsSummary,(ROW()-ROW(MSPTasks[[#Headers],[ID]]))),"",IF(N(INDEX(tsk_StoryPoints,(ROW()-ROW(MSPTasks[[#Headers],[ID]]))))=0,"",INDEX(tsk_StoryPoints,(ROW()-ROW(MSPTasks[[#Headers],[ID]]))))))</f>
        <v/>
      </c>
      <c r="Z32" s="24" t="str">
        <f aca="false">IF(IFERROR(INDEX(tsk_Name,(ROW()-ROW(MSPTasks[[#Headers],[ID]])))="",TRUE()),"",INDEX(tsk_Notes,(ROW()-ROW(MSPTasks[[#Headers],[ID]])))&amp;"")</f>
        <v/>
      </c>
    </row>
    <row r="33" customFormat="false" ht="15" hidden="false" customHeight="false" outlineLevel="0" collapsed="false">
      <c r="A33" s="24" t="str">
        <f aca="false">IF(IFERROR(INDEX(tsk_Name,(ROW()-ROW(MSPTasks[[#Headers],[ID]])))="",TRUE()),"",INDEX(tsk_ID,(ROW()-ROW(MSPTasks[[#Headers],[ID]]))))</f>
        <v/>
      </c>
      <c r="B33" s="24" t="str">
        <f aca="false">IF(IFERROR(INDEX(tsk_Name,(ROW()-ROW(MSPTasks[[#Headers],[ID]])))="",TRUE()),"",INDEX(tsk_UID,(ROW()-ROW(MSPTasks[[#Headers],[ID]]))))</f>
        <v/>
      </c>
      <c r="C33" s="24" t="str">
        <f aca="false">IF(IFERROR(INDEX(tsk_Name,(ROW()-ROW(MSPTasks[[#Headers],[ID]])))="",TRUE()),"",INDEX(tsk_Name,(ROW()-ROW(MSPTasks[[#Headers],[ID]]))))</f>
        <v/>
      </c>
      <c r="D33" s="24" t="str">
        <f aca="false">IF(IFERROR(INDEX(tsk_Name,(ROW()-ROW(MSPTasks[[#Headers],[ID]])))="",TRUE()),"",INDEX(tsk_Level,(ROW()-ROW(MSPTasks[[#Headers],[ID]]))))</f>
        <v/>
      </c>
      <c r="E33" s="24" t="str">
        <f aca="false">IF(IFERROR(INDEX(tsk_Name,(ROW()-ROW(MSPTasks[[#Headers],[ID]])))="",TRUE()),"",IF(INDEX(tsk_Mode,(ROW()-ROW(MSPTasks[[#Headers],[ID]])))="Manual","Manually Scheduled","Auto Scheduled"))</f>
        <v/>
      </c>
      <c r="F33" s="24" t="str">
        <f aca="false">IF(IFERROR(INDEX(tsk_Name,(ROW()-ROW(MSPTasks[[#Headers],[ID]])))="",TRUE()),"",IF(INDEX(tsk_IsSummary,(ROW()-ROW(MSPTasks[[#Headers],[ID]]))),"",N(INDEX(tsk_Duration,(ROW()-ROW(MSPTasks[[#Headers],[ID]]))))&amp;"d"))</f>
        <v/>
      </c>
      <c r="G33" s="127" t="str">
        <f aca="false">IF(IFERROR(INDEX(tsk_Name,(ROW()-ROW(MSPTasks[[#Headers],[ID]])))="",TRUE()),"",INDEX(tsk_FcStart,(ROW()-ROW(MSPTasks[[#Headers],[ID]]))))</f>
        <v/>
      </c>
      <c r="H33" s="127" t="str">
        <f aca="false">IF(IFERROR(INDEX(tsk_Name,(ROW()-ROW(MSPTasks[[#Headers],[ID]])))="",TRUE()),"",INDEX(tsk_FcFinish,(ROW()-ROW(MSPTasks[[#Headers],[ID]]))))</f>
        <v/>
      </c>
      <c r="I33" s="24" t="str">
        <f aca="false">IF(IFERROR(INDEX(tsk_Name,(ROW()-ROW(MSPTasks[[#Headers],[ID]])))="",TRUE()),"",IF(INDEX(tsk_IsSummary,(ROW()-ROW(MSPTasks[[#Headers],[ID]]))),"",INDEX(tsk_Predecessors,(ROW()-ROW(MSPTasks[[#Headers],[ID]])))))</f>
        <v/>
      </c>
      <c r="J33" s="24" t="str">
        <f aca="false">IF(IFERROR(INDEX(tsk_Name,(ROW()-ROW(MSPTasks[[#Headers],[ID]])))="",TRUE()),"",IF(INDEX(tsk_IsSummary,(ROW()-ROW(MSPTasks[[#Headers],[ID]]))),"",INDEX(tsk_UIDPredecessors,(ROW()-ROW(MSPTasks[[#Headers],[ID]])))))</f>
        <v/>
      </c>
      <c r="K3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3" s="24" t="str">
        <f aca="false">IF(IFERROR(INDEX(tsk_Name,(ROW()-ROW(MSPTasks[[#Headers],[ID]])))="",TRUE()),"",IF(INDEX(tsk_IsSummary,(ROW()-ROW(MSPTasks[[#Headers],[ID]]))),"",ROUND(INDEX(tsk_Progress,(ROW()-ROW(MSPTasks[[#Headers],[ID]])))*100,0)))</f>
        <v/>
      </c>
      <c r="M33" s="127" t="str">
        <f aca="false">IF(IFERROR(INDEX(tsk_Name,(ROW()-ROW(MSPTasks[[#Headers],[ID]])))="",TRUE()),"",IF(N(INDEX(tsk_ActStart,(ROW()-ROW(MSPTasks[[#Headers],[ID]]))))=0,"",INDEX(tsk_ActStart,(ROW()-ROW(MSPTasks[[#Headers],[ID]])))))</f>
        <v/>
      </c>
      <c r="N33" s="127" t="str">
        <f aca="false">IF(IFERROR(INDEX(tsk_Name,(ROW()-ROW(MSPTasks[[#Headers],[ID]])))="",TRUE()),"",IF(N(INDEX(tsk_ActFinish,(ROW()-ROW(MSPTasks[[#Headers],[ID]]))))=0,"",INDEX(tsk_ActFinish,(ROW()-ROW(MSPTasks[[#Headers],[ID]])))))</f>
        <v/>
      </c>
      <c r="O33" s="127" t="str">
        <f aca="false">IF(IFERROR(INDEX(tsk_Name,(ROW()-ROW(MSPTasks[[#Headers],[ID]])))="",TRUE()),"",INDEX(tsk_PlanStart,(ROW()-ROW(MSPTasks[[#Headers],[ID]]))))</f>
        <v/>
      </c>
      <c r="P33" s="127" t="str">
        <f aca="false">IF(IFERROR(INDEX(tsk_Name,(ROW()-ROW(MSPTasks[[#Headers],[ID]])))="",TRUE()),"",INDEX(tsk_PlanFinish,(ROW()-ROW(MSPTasks[[#Headers],[ID]]))))</f>
        <v/>
      </c>
      <c r="Q33" s="24" t="str">
        <f aca="false">IF(IFERROR(INDEX(tsk_Name,(ROW()-ROW(MSPTasks[[#Headers],[ID]])))="",TRUE()),"",IF(INDEX(tsk_BaseDuration,(ROW()-ROW(MSPTasks[[#Headers],[ID]])))="","",N(INDEX(tsk_BaseDuration,(ROW()-ROW(MSPTasks[[#Headers],[ID]]))))&amp;"d"))</f>
        <v/>
      </c>
      <c r="R33" s="24" t="str">
        <f aca="false">IF(IFERROR(INDEX(tsk_Name,(ROW()-ROW(MSPTasks[[#Headers],[ID]])))="",TRUE()),"",IF(INDEX(tsk_BaseWork,(ROW()-ROW(MSPTasks[[#Headers],[ID]])))="","",N(INDEX(tsk_BaseWork,(ROW()-ROW(MSPTasks[[#Headers],[ID]]))))&amp;"h"))</f>
        <v/>
      </c>
      <c r="S33" s="24" t="str">
        <f aca="false">IF(IFERROR(INDEX(tsk_Name,(ROW()-ROW(MSPTasks[[#Headers],[ID]])))="",TRUE()),"",IF(INDEX(tsk_BaseCost,(ROW()-ROW(MSPTasks[[#Headers],[ID]])))="","",N(INDEX(tsk_BaseCost,(ROW()-ROW(MSPTasks[[#Headers],[ID]]))))))</f>
        <v/>
      </c>
      <c r="T33" s="24" t="str">
        <f aca="false">IF(IFERROR(INDEX(tsk_Name,(ROW()-ROW(MSPTasks[[#Headers],[ID]])))="",TRUE()),"",IF(INDEX(tsk_IsSummary,(ROW()-ROW(MSPTasks[[#Headers],[ID]]))),"",IF(N(INDEX(tsk_ActCostInput,(ROW()-ROW(MSPTasks[[#Headers],[ID]]))))=0,"",INDEX(tsk_ActCostInput,(ROW()-ROW(MSPTasks[[#Headers],[ID]]))))))</f>
        <v/>
      </c>
      <c r="U33" s="24" t="str">
        <f aca="false">IF(IFERROR(INDEX(tsk_Name,(ROW()-ROW(MSPTasks[[#Headers],[ID]])))="",TRUE()),"",IF(INDEX(tsk_IsSummary,(ROW()-ROW(MSPTasks[[#Headers],[ID]]))),"",IF(AND(INDEX(tsk_Mode,(ROW()-ROW(MSPTasks[[#Headers],[ID]])))&lt;&gt;"Manual",N(INDEX(tsk_Constraint,(ROW()-ROW(MSPTasks[[#Headers],[ID]]))))&gt;0),"Start No Earlier Than","As Soon As Possible")))</f>
        <v/>
      </c>
      <c r="V33" s="127" t="str">
        <f aca="false">IF(IFERROR(INDEX(tsk_Name,(ROW()-ROW(MSPTasks[[#Headers],[ID]])))="",TRUE()),"",IF(OR(INDEX(tsk_IsSummary,(ROW()-ROW(MSPTasks[[#Headers],[ID]]))),INDEX(tsk_Mode,(ROW()-ROW(MSPTasks[[#Headers],[ID]])))="Manual"),"",IF(N(INDEX(tsk_Constraint,(ROW()-ROW(MSPTasks[[#Headers],[ID]]))))=0,"",INDEX(tsk_Constraint,(ROW()-ROW(MSPTasks[[#Headers],[ID]]))))))</f>
        <v/>
      </c>
      <c r="W33" s="127" t="str">
        <f aca="false">IF(IFERROR(INDEX(tsk_Name,(ROW()-ROW(MSPTasks[[#Headers],[ID]])))="",TRUE()),"",IF(N(INDEX(tsk_Deadline,(ROW()-ROW(MSPTasks[[#Headers],[ID]]))))=0,"",INDEX(tsk_Deadline,(ROW()-ROW(MSPTasks[[#Headers],[ID]])))))</f>
        <v/>
      </c>
      <c r="X33" s="24" t="str">
        <f aca="false">IF(IFERROR(INDEX(tsk_Name,(ROW()-ROW(MSPTasks[[#Headers],[ID]])))="",TRUE()),"",IF(INDEX(tsk_IsSummary,(ROW()-ROW(MSPTasks[[#Headers],[ID]]))),"",INDEX(tsk_Sprint,(ROW()-ROW(MSPTasks[[#Headers],[ID]])))&amp;""))</f>
        <v/>
      </c>
      <c r="Y33" s="24" t="str">
        <f aca="false">IF(IFERROR(INDEX(tsk_Name,(ROW()-ROW(MSPTasks[[#Headers],[ID]])))="",TRUE()),"",IF(INDEX(tsk_IsSummary,(ROW()-ROW(MSPTasks[[#Headers],[ID]]))),"",IF(N(INDEX(tsk_StoryPoints,(ROW()-ROW(MSPTasks[[#Headers],[ID]]))))=0,"",INDEX(tsk_StoryPoints,(ROW()-ROW(MSPTasks[[#Headers],[ID]]))))))</f>
        <v/>
      </c>
      <c r="Z33" s="24" t="str">
        <f aca="false">IF(IFERROR(INDEX(tsk_Name,(ROW()-ROW(MSPTasks[[#Headers],[ID]])))="",TRUE()),"",INDEX(tsk_Notes,(ROW()-ROW(MSPTasks[[#Headers],[ID]])))&amp;"")</f>
        <v/>
      </c>
    </row>
    <row r="34" customFormat="false" ht="15" hidden="false" customHeight="false" outlineLevel="0" collapsed="false">
      <c r="A34" s="24" t="str">
        <f aca="false">IF(IFERROR(INDEX(tsk_Name,(ROW()-ROW(MSPTasks[[#Headers],[ID]])))="",TRUE()),"",INDEX(tsk_ID,(ROW()-ROW(MSPTasks[[#Headers],[ID]]))))</f>
        <v/>
      </c>
      <c r="B34" s="24" t="str">
        <f aca="false">IF(IFERROR(INDEX(tsk_Name,(ROW()-ROW(MSPTasks[[#Headers],[ID]])))="",TRUE()),"",INDEX(tsk_UID,(ROW()-ROW(MSPTasks[[#Headers],[ID]]))))</f>
        <v/>
      </c>
      <c r="C34" s="24" t="str">
        <f aca="false">IF(IFERROR(INDEX(tsk_Name,(ROW()-ROW(MSPTasks[[#Headers],[ID]])))="",TRUE()),"",INDEX(tsk_Name,(ROW()-ROW(MSPTasks[[#Headers],[ID]]))))</f>
        <v/>
      </c>
      <c r="D34" s="24" t="str">
        <f aca="false">IF(IFERROR(INDEX(tsk_Name,(ROW()-ROW(MSPTasks[[#Headers],[ID]])))="",TRUE()),"",INDEX(tsk_Level,(ROW()-ROW(MSPTasks[[#Headers],[ID]]))))</f>
        <v/>
      </c>
      <c r="E34" s="24" t="str">
        <f aca="false">IF(IFERROR(INDEX(tsk_Name,(ROW()-ROW(MSPTasks[[#Headers],[ID]])))="",TRUE()),"",IF(INDEX(tsk_Mode,(ROW()-ROW(MSPTasks[[#Headers],[ID]])))="Manual","Manually Scheduled","Auto Scheduled"))</f>
        <v/>
      </c>
      <c r="F34" s="24" t="str">
        <f aca="false">IF(IFERROR(INDEX(tsk_Name,(ROW()-ROW(MSPTasks[[#Headers],[ID]])))="",TRUE()),"",IF(INDEX(tsk_IsSummary,(ROW()-ROW(MSPTasks[[#Headers],[ID]]))),"",N(INDEX(tsk_Duration,(ROW()-ROW(MSPTasks[[#Headers],[ID]]))))&amp;"d"))</f>
        <v/>
      </c>
      <c r="G34" s="127" t="str">
        <f aca="false">IF(IFERROR(INDEX(tsk_Name,(ROW()-ROW(MSPTasks[[#Headers],[ID]])))="",TRUE()),"",INDEX(tsk_FcStart,(ROW()-ROW(MSPTasks[[#Headers],[ID]]))))</f>
        <v/>
      </c>
      <c r="H34" s="127" t="str">
        <f aca="false">IF(IFERROR(INDEX(tsk_Name,(ROW()-ROW(MSPTasks[[#Headers],[ID]])))="",TRUE()),"",INDEX(tsk_FcFinish,(ROW()-ROW(MSPTasks[[#Headers],[ID]]))))</f>
        <v/>
      </c>
      <c r="I34" s="24" t="str">
        <f aca="false">IF(IFERROR(INDEX(tsk_Name,(ROW()-ROW(MSPTasks[[#Headers],[ID]])))="",TRUE()),"",IF(INDEX(tsk_IsSummary,(ROW()-ROW(MSPTasks[[#Headers],[ID]]))),"",INDEX(tsk_Predecessors,(ROW()-ROW(MSPTasks[[#Headers],[ID]])))))</f>
        <v/>
      </c>
      <c r="J34" s="24" t="str">
        <f aca="false">IF(IFERROR(INDEX(tsk_Name,(ROW()-ROW(MSPTasks[[#Headers],[ID]])))="",TRUE()),"",IF(INDEX(tsk_IsSummary,(ROW()-ROW(MSPTasks[[#Headers],[ID]]))),"",INDEX(tsk_UIDPredecessors,(ROW()-ROW(MSPTasks[[#Headers],[ID]])))))</f>
        <v/>
      </c>
      <c r="K3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4" s="24" t="str">
        <f aca="false">IF(IFERROR(INDEX(tsk_Name,(ROW()-ROW(MSPTasks[[#Headers],[ID]])))="",TRUE()),"",IF(INDEX(tsk_IsSummary,(ROW()-ROW(MSPTasks[[#Headers],[ID]]))),"",ROUND(INDEX(tsk_Progress,(ROW()-ROW(MSPTasks[[#Headers],[ID]])))*100,0)))</f>
        <v/>
      </c>
      <c r="M34" s="127" t="str">
        <f aca="false">IF(IFERROR(INDEX(tsk_Name,(ROW()-ROW(MSPTasks[[#Headers],[ID]])))="",TRUE()),"",IF(N(INDEX(tsk_ActStart,(ROW()-ROW(MSPTasks[[#Headers],[ID]]))))=0,"",INDEX(tsk_ActStart,(ROW()-ROW(MSPTasks[[#Headers],[ID]])))))</f>
        <v/>
      </c>
      <c r="N34" s="127" t="str">
        <f aca="false">IF(IFERROR(INDEX(tsk_Name,(ROW()-ROW(MSPTasks[[#Headers],[ID]])))="",TRUE()),"",IF(N(INDEX(tsk_ActFinish,(ROW()-ROW(MSPTasks[[#Headers],[ID]]))))=0,"",INDEX(tsk_ActFinish,(ROW()-ROW(MSPTasks[[#Headers],[ID]])))))</f>
        <v/>
      </c>
      <c r="O34" s="127" t="str">
        <f aca="false">IF(IFERROR(INDEX(tsk_Name,(ROW()-ROW(MSPTasks[[#Headers],[ID]])))="",TRUE()),"",INDEX(tsk_PlanStart,(ROW()-ROW(MSPTasks[[#Headers],[ID]]))))</f>
        <v/>
      </c>
      <c r="P34" s="127" t="str">
        <f aca="false">IF(IFERROR(INDEX(tsk_Name,(ROW()-ROW(MSPTasks[[#Headers],[ID]])))="",TRUE()),"",INDEX(tsk_PlanFinish,(ROW()-ROW(MSPTasks[[#Headers],[ID]]))))</f>
        <v/>
      </c>
      <c r="Q34" s="24" t="str">
        <f aca="false">IF(IFERROR(INDEX(tsk_Name,(ROW()-ROW(MSPTasks[[#Headers],[ID]])))="",TRUE()),"",IF(INDEX(tsk_BaseDuration,(ROW()-ROW(MSPTasks[[#Headers],[ID]])))="","",N(INDEX(tsk_BaseDuration,(ROW()-ROW(MSPTasks[[#Headers],[ID]]))))&amp;"d"))</f>
        <v/>
      </c>
      <c r="R34" s="24" t="str">
        <f aca="false">IF(IFERROR(INDEX(tsk_Name,(ROW()-ROW(MSPTasks[[#Headers],[ID]])))="",TRUE()),"",IF(INDEX(tsk_BaseWork,(ROW()-ROW(MSPTasks[[#Headers],[ID]])))="","",N(INDEX(tsk_BaseWork,(ROW()-ROW(MSPTasks[[#Headers],[ID]]))))&amp;"h"))</f>
        <v/>
      </c>
      <c r="S34" s="24" t="str">
        <f aca="false">IF(IFERROR(INDEX(tsk_Name,(ROW()-ROW(MSPTasks[[#Headers],[ID]])))="",TRUE()),"",IF(INDEX(tsk_BaseCost,(ROW()-ROW(MSPTasks[[#Headers],[ID]])))="","",N(INDEX(tsk_BaseCost,(ROW()-ROW(MSPTasks[[#Headers],[ID]]))))))</f>
        <v/>
      </c>
      <c r="T34" s="24" t="str">
        <f aca="false">IF(IFERROR(INDEX(tsk_Name,(ROW()-ROW(MSPTasks[[#Headers],[ID]])))="",TRUE()),"",IF(INDEX(tsk_IsSummary,(ROW()-ROW(MSPTasks[[#Headers],[ID]]))),"",IF(N(INDEX(tsk_ActCostInput,(ROW()-ROW(MSPTasks[[#Headers],[ID]]))))=0,"",INDEX(tsk_ActCostInput,(ROW()-ROW(MSPTasks[[#Headers],[ID]]))))))</f>
        <v/>
      </c>
      <c r="U34" s="24" t="str">
        <f aca="false">IF(IFERROR(INDEX(tsk_Name,(ROW()-ROW(MSPTasks[[#Headers],[ID]])))="",TRUE()),"",IF(INDEX(tsk_IsSummary,(ROW()-ROW(MSPTasks[[#Headers],[ID]]))),"",IF(AND(INDEX(tsk_Mode,(ROW()-ROW(MSPTasks[[#Headers],[ID]])))&lt;&gt;"Manual",N(INDEX(tsk_Constraint,(ROW()-ROW(MSPTasks[[#Headers],[ID]]))))&gt;0),"Start No Earlier Than","As Soon As Possible")))</f>
        <v/>
      </c>
      <c r="V34" s="127" t="str">
        <f aca="false">IF(IFERROR(INDEX(tsk_Name,(ROW()-ROW(MSPTasks[[#Headers],[ID]])))="",TRUE()),"",IF(OR(INDEX(tsk_IsSummary,(ROW()-ROW(MSPTasks[[#Headers],[ID]]))),INDEX(tsk_Mode,(ROW()-ROW(MSPTasks[[#Headers],[ID]])))="Manual"),"",IF(N(INDEX(tsk_Constraint,(ROW()-ROW(MSPTasks[[#Headers],[ID]]))))=0,"",INDEX(tsk_Constraint,(ROW()-ROW(MSPTasks[[#Headers],[ID]]))))))</f>
        <v/>
      </c>
      <c r="W34" s="127" t="str">
        <f aca="false">IF(IFERROR(INDEX(tsk_Name,(ROW()-ROW(MSPTasks[[#Headers],[ID]])))="",TRUE()),"",IF(N(INDEX(tsk_Deadline,(ROW()-ROW(MSPTasks[[#Headers],[ID]]))))=0,"",INDEX(tsk_Deadline,(ROW()-ROW(MSPTasks[[#Headers],[ID]])))))</f>
        <v/>
      </c>
      <c r="X34" s="24" t="str">
        <f aca="false">IF(IFERROR(INDEX(tsk_Name,(ROW()-ROW(MSPTasks[[#Headers],[ID]])))="",TRUE()),"",IF(INDEX(tsk_IsSummary,(ROW()-ROW(MSPTasks[[#Headers],[ID]]))),"",INDEX(tsk_Sprint,(ROW()-ROW(MSPTasks[[#Headers],[ID]])))&amp;""))</f>
        <v/>
      </c>
      <c r="Y34" s="24" t="str">
        <f aca="false">IF(IFERROR(INDEX(tsk_Name,(ROW()-ROW(MSPTasks[[#Headers],[ID]])))="",TRUE()),"",IF(INDEX(tsk_IsSummary,(ROW()-ROW(MSPTasks[[#Headers],[ID]]))),"",IF(N(INDEX(tsk_StoryPoints,(ROW()-ROW(MSPTasks[[#Headers],[ID]]))))=0,"",INDEX(tsk_StoryPoints,(ROW()-ROW(MSPTasks[[#Headers],[ID]]))))))</f>
        <v/>
      </c>
      <c r="Z34" s="24" t="str">
        <f aca="false">IF(IFERROR(INDEX(tsk_Name,(ROW()-ROW(MSPTasks[[#Headers],[ID]])))="",TRUE()),"",INDEX(tsk_Notes,(ROW()-ROW(MSPTasks[[#Headers],[ID]])))&amp;"")</f>
        <v/>
      </c>
    </row>
    <row r="35" customFormat="false" ht="15" hidden="false" customHeight="false" outlineLevel="0" collapsed="false">
      <c r="A35" s="24" t="str">
        <f aca="false">IF(IFERROR(INDEX(tsk_Name,(ROW()-ROW(MSPTasks[[#Headers],[ID]])))="",TRUE()),"",INDEX(tsk_ID,(ROW()-ROW(MSPTasks[[#Headers],[ID]]))))</f>
        <v/>
      </c>
      <c r="B35" s="24" t="str">
        <f aca="false">IF(IFERROR(INDEX(tsk_Name,(ROW()-ROW(MSPTasks[[#Headers],[ID]])))="",TRUE()),"",INDEX(tsk_UID,(ROW()-ROW(MSPTasks[[#Headers],[ID]]))))</f>
        <v/>
      </c>
      <c r="C35" s="24" t="str">
        <f aca="false">IF(IFERROR(INDEX(tsk_Name,(ROW()-ROW(MSPTasks[[#Headers],[ID]])))="",TRUE()),"",INDEX(tsk_Name,(ROW()-ROW(MSPTasks[[#Headers],[ID]]))))</f>
        <v/>
      </c>
      <c r="D35" s="24" t="str">
        <f aca="false">IF(IFERROR(INDEX(tsk_Name,(ROW()-ROW(MSPTasks[[#Headers],[ID]])))="",TRUE()),"",INDEX(tsk_Level,(ROW()-ROW(MSPTasks[[#Headers],[ID]]))))</f>
        <v/>
      </c>
      <c r="E35" s="24" t="str">
        <f aca="false">IF(IFERROR(INDEX(tsk_Name,(ROW()-ROW(MSPTasks[[#Headers],[ID]])))="",TRUE()),"",IF(INDEX(tsk_Mode,(ROW()-ROW(MSPTasks[[#Headers],[ID]])))="Manual","Manually Scheduled","Auto Scheduled"))</f>
        <v/>
      </c>
      <c r="F35" s="24" t="str">
        <f aca="false">IF(IFERROR(INDEX(tsk_Name,(ROW()-ROW(MSPTasks[[#Headers],[ID]])))="",TRUE()),"",IF(INDEX(tsk_IsSummary,(ROW()-ROW(MSPTasks[[#Headers],[ID]]))),"",N(INDEX(tsk_Duration,(ROW()-ROW(MSPTasks[[#Headers],[ID]]))))&amp;"d"))</f>
        <v/>
      </c>
      <c r="G35" s="127" t="str">
        <f aca="false">IF(IFERROR(INDEX(tsk_Name,(ROW()-ROW(MSPTasks[[#Headers],[ID]])))="",TRUE()),"",INDEX(tsk_FcStart,(ROW()-ROW(MSPTasks[[#Headers],[ID]]))))</f>
        <v/>
      </c>
      <c r="H35" s="127" t="str">
        <f aca="false">IF(IFERROR(INDEX(tsk_Name,(ROW()-ROW(MSPTasks[[#Headers],[ID]])))="",TRUE()),"",INDEX(tsk_FcFinish,(ROW()-ROW(MSPTasks[[#Headers],[ID]]))))</f>
        <v/>
      </c>
      <c r="I35" s="24" t="str">
        <f aca="false">IF(IFERROR(INDEX(tsk_Name,(ROW()-ROW(MSPTasks[[#Headers],[ID]])))="",TRUE()),"",IF(INDEX(tsk_IsSummary,(ROW()-ROW(MSPTasks[[#Headers],[ID]]))),"",INDEX(tsk_Predecessors,(ROW()-ROW(MSPTasks[[#Headers],[ID]])))))</f>
        <v/>
      </c>
      <c r="J35" s="24" t="str">
        <f aca="false">IF(IFERROR(INDEX(tsk_Name,(ROW()-ROW(MSPTasks[[#Headers],[ID]])))="",TRUE()),"",IF(INDEX(tsk_IsSummary,(ROW()-ROW(MSPTasks[[#Headers],[ID]]))),"",INDEX(tsk_UIDPredecessors,(ROW()-ROW(MSPTasks[[#Headers],[ID]])))))</f>
        <v/>
      </c>
      <c r="K3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5" s="24" t="str">
        <f aca="false">IF(IFERROR(INDEX(tsk_Name,(ROW()-ROW(MSPTasks[[#Headers],[ID]])))="",TRUE()),"",IF(INDEX(tsk_IsSummary,(ROW()-ROW(MSPTasks[[#Headers],[ID]]))),"",ROUND(INDEX(tsk_Progress,(ROW()-ROW(MSPTasks[[#Headers],[ID]])))*100,0)))</f>
        <v/>
      </c>
      <c r="M35" s="127" t="str">
        <f aca="false">IF(IFERROR(INDEX(tsk_Name,(ROW()-ROW(MSPTasks[[#Headers],[ID]])))="",TRUE()),"",IF(N(INDEX(tsk_ActStart,(ROW()-ROW(MSPTasks[[#Headers],[ID]]))))=0,"",INDEX(tsk_ActStart,(ROW()-ROW(MSPTasks[[#Headers],[ID]])))))</f>
        <v/>
      </c>
      <c r="N35" s="127" t="str">
        <f aca="false">IF(IFERROR(INDEX(tsk_Name,(ROW()-ROW(MSPTasks[[#Headers],[ID]])))="",TRUE()),"",IF(N(INDEX(tsk_ActFinish,(ROW()-ROW(MSPTasks[[#Headers],[ID]]))))=0,"",INDEX(tsk_ActFinish,(ROW()-ROW(MSPTasks[[#Headers],[ID]])))))</f>
        <v/>
      </c>
      <c r="O35" s="127" t="str">
        <f aca="false">IF(IFERROR(INDEX(tsk_Name,(ROW()-ROW(MSPTasks[[#Headers],[ID]])))="",TRUE()),"",INDEX(tsk_PlanStart,(ROW()-ROW(MSPTasks[[#Headers],[ID]]))))</f>
        <v/>
      </c>
      <c r="P35" s="127" t="str">
        <f aca="false">IF(IFERROR(INDEX(tsk_Name,(ROW()-ROW(MSPTasks[[#Headers],[ID]])))="",TRUE()),"",INDEX(tsk_PlanFinish,(ROW()-ROW(MSPTasks[[#Headers],[ID]]))))</f>
        <v/>
      </c>
      <c r="Q35" s="24" t="str">
        <f aca="false">IF(IFERROR(INDEX(tsk_Name,(ROW()-ROW(MSPTasks[[#Headers],[ID]])))="",TRUE()),"",IF(INDEX(tsk_BaseDuration,(ROW()-ROW(MSPTasks[[#Headers],[ID]])))="","",N(INDEX(tsk_BaseDuration,(ROW()-ROW(MSPTasks[[#Headers],[ID]]))))&amp;"d"))</f>
        <v/>
      </c>
      <c r="R35" s="24" t="str">
        <f aca="false">IF(IFERROR(INDEX(tsk_Name,(ROW()-ROW(MSPTasks[[#Headers],[ID]])))="",TRUE()),"",IF(INDEX(tsk_BaseWork,(ROW()-ROW(MSPTasks[[#Headers],[ID]])))="","",N(INDEX(tsk_BaseWork,(ROW()-ROW(MSPTasks[[#Headers],[ID]]))))&amp;"h"))</f>
        <v/>
      </c>
      <c r="S35" s="24" t="str">
        <f aca="false">IF(IFERROR(INDEX(tsk_Name,(ROW()-ROW(MSPTasks[[#Headers],[ID]])))="",TRUE()),"",IF(INDEX(tsk_BaseCost,(ROW()-ROW(MSPTasks[[#Headers],[ID]])))="","",N(INDEX(tsk_BaseCost,(ROW()-ROW(MSPTasks[[#Headers],[ID]]))))))</f>
        <v/>
      </c>
      <c r="T35" s="24" t="str">
        <f aca="false">IF(IFERROR(INDEX(tsk_Name,(ROW()-ROW(MSPTasks[[#Headers],[ID]])))="",TRUE()),"",IF(INDEX(tsk_IsSummary,(ROW()-ROW(MSPTasks[[#Headers],[ID]]))),"",IF(N(INDEX(tsk_ActCostInput,(ROW()-ROW(MSPTasks[[#Headers],[ID]]))))=0,"",INDEX(tsk_ActCostInput,(ROW()-ROW(MSPTasks[[#Headers],[ID]]))))))</f>
        <v/>
      </c>
      <c r="U35" s="24" t="str">
        <f aca="false">IF(IFERROR(INDEX(tsk_Name,(ROW()-ROW(MSPTasks[[#Headers],[ID]])))="",TRUE()),"",IF(INDEX(tsk_IsSummary,(ROW()-ROW(MSPTasks[[#Headers],[ID]]))),"",IF(AND(INDEX(tsk_Mode,(ROW()-ROW(MSPTasks[[#Headers],[ID]])))&lt;&gt;"Manual",N(INDEX(tsk_Constraint,(ROW()-ROW(MSPTasks[[#Headers],[ID]]))))&gt;0),"Start No Earlier Than","As Soon As Possible")))</f>
        <v/>
      </c>
      <c r="V35" s="127" t="str">
        <f aca="false">IF(IFERROR(INDEX(tsk_Name,(ROW()-ROW(MSPTasks[[#Headers],[ID]])))="",TRUE()),"",IF(OR(INDEX(tsk_IsSummary,(ROW()-ROW(MSPTasks[[#Headers],[ID]]))),INDEX(tsk_Mode,(ROW()-ROW(MSPTasks[[#Headers],[ID]])))="Manual"),"",IF(N(INDEX(tsk_Constraint,(ROW()-ROW(MSPTasks[[#Headers],[ID]]))))=0,"",INDEX(tsk_Constraint,(ROW()-ROW(MSPTasks[[#Headers],[ID]]))))))</f>
        <v/>
      </c>
      <c r="W35" s="127" t="str">
        <f aca="false">IF(IFERROR(INDEX(tsk_Name,(ROW()-ROW(MSPTasks[[#Headers],[ID]])))="",TRUE()),"",IF(N(INDEX(tsk_Deadline,(ROW()-ROW(MSPTasks[[#Headers],[ID]]))))=0,"",INDEX(tsk_Deadline,(ROW()-ROW(MSPTasks[[#Headers],[ID]])))))</f>
        <v/>
      </c>
      <c r="X35" s="24" t="str">
        <f aca="false">IF(IFERROR(INDEX(tsk_Name,(ROW()-ROW(MSPTasks[[#Headers],[ID]])))="",TRUE()),"",IF(INDEX(tsk_IsSummary,(ROW()-ROW(MSPTasks[[#Headers],[ID]]))),"",INDEX(tsk_Sprint,(ROW()-ROW(MSPTasks[[#Headers],[ID]])))&amp;""))</f>
        <v/>
      </c>
      <c r="Y35" s="24" t="str">
        <f aca="false">IF(IFERROR(INDEX(tsk_Name,(ROW()-ROW(MSPTasks[[#Headers],[ID]])))="",TRUE()),"",IF(INDEX(tsk_IsSummary,(ROW()-ROW(MSPTasks[[#Headers],[ID]]))),"",IF(N(INDEX(tsk_StoryPoints,(ROW()-ROW(MSPTasks[[#Headers],[ID]]))))=0,"",INDEX(tsk_StoryPoints,(ROW()-ROW(MSPTasks[[#Headers],[ID]]))))))</f>
        <v/>
      </c>
      <c r="Z35" s="24" t="str">
        <f aca="false">IF(IFERROR(INDEX(tsk_Name,(ROW()-ROW(MSPTasks[[#Headers],[ID]])))="",TRUE()),"",INDEX(tsk_Notes,(ROW()-ROW(MSPTasks[[#Headers],[ID]])))&amp;"")</f>
        <v/>
      </c>
    </row>
    <row r="36" customFormat="false" ht="15" hidden="false" customHeight="false" outlineLevel="0" collapsed="false">
      <c r="A36" s="24" t="str">
        <f aca="false">IF(IFERROR(INDEX(tsk_Name,(ROW()-ROW(MSPTasks[[#Headers],[ID]])))="",TRUE()),"",INDEX(tsk_ID,(ROW()-ROW(MSPTasks[[#Headers],[ID]]))))</f>
        <v/>
      </c>
      <c r="B36" s="24" t="str">
        <f aca="false">IF(IFERROR(INDEX(tsk_Name,(ROW()-ROW(MSPTasks[[#Headers],[ID]])))="",TRUE()),"",INDEX(tsk_UID,(ROW()-ROW(MSPTasks[[#Headers],[ID]]))))</f>
        <v/>
      </c>
      <c r="C36" s="24" t="str">
        <f aca="false">IF(IFERROR(INDEX(tsk_Name,(ROW()-ROW(MSPTasks[[#Headers],[ID]])))="",TRUE()),"",INDEX(tsk_Name,(ROW()-ROW(MSPTasks[[#Headers],[ID]]))))</f>
        <v/>
      </c>
      <c r="D36" s="24" t="str">
        <f aca="false">IF(IFERROR(INDEX(tsk_Name,(ROW()-ROW(MSPTasks[[#Headers],[ID]])))="",TRUE()),"",INDEX(tsk_Level,(ROW()-ROW(MSPTasks[[#Headers],[ID]]))))</f>
        <v/>
      </c>
      <c r="E36" s="24" t="str">
        <f aca="false">IF(IFERROR(INDEX(tsk_Name,(ROW()-ROW(MSPTasks[[#Headers],[ID]])))="",TRUE()),"",IF(INDEX(tsk_Mode,(ROW()-ROW(MSPTasks[[#Headers],[ID]])))="Manual","Manually Scheduled","Auto Scheduled"))</f>
        <v/>
      </c>
      <c r="F36" s="24" t="str">
        <f aca="false">IF(IFERROR(INDEX(tsk_Name,(ROW()-ROW(MSPTasks[[#Headers],[ID]])))="",TRUE()),"",IF(INDEX(tsk_IsSummary,(ROW()-ROW(MSPTasks[[#Headers],[ID]]))),"",N(INDEX(tsk_Duration,(ROW()-ROW(MSPTasks[[#Headers],[ID]]))))&amp;"d"))</f>
        <v/>
      </c>
      <c r="G36" s="127" t="str">
        <f aca="false">IF(IFERROR(INDEX(tsk_Name,(ROW()-ROW(MSPTasks[[#Headers],[ID]])))="",TRUE()),"",INDEX(tsk_FcStart,(ROW()-ROW(MSPTasks[[#Headers],[ID]]))))</f>
        <v/>
      </c>
      <c r="H36" s="127" t="str">
        <f aca="false">IF(IFERROR(INDEX(tsk_Name,(ROW()-ROW(MSPTasks[[#Headers],[ID]])))="",TRUE()),"",INDEX(tsk_FcFinish,(ROW()-ROW(MSPTasks[[#Headers],[ID]]))))</f>
        <v/>
      </c>
      <c r="I36" s="24" t="str">
        <f aca="false">IF(IFERROR(INDEX(tsk_Name,(ROW()-ROW(MSPTasks[[#Headers],[ID]])))="",TRUE()),"",IF(INDEX(tsk_IsSummary,(ROW()-ROW(MSPTasks[[#Headers],[ID]]))),"",INDEX(tsk_Predecessors,(ROW()-ROW(MSPTasks[[#Headers],[ID]])))))</f>
        <v/>
      </c>
      <c r="J36" s="24" t="str">
        <f aca="false">IF(IFERROR(INDEX(tsk_Name,(ROW()-ROW(MSPTasks[[#Headers],[ID]])))="",TRUE()),"",IF(INDEX(tsk_IsSummary,(ROW()-ROW(MSPTasks[[#Headers],[ID]]))),"",INDEX(tsk_UIDPredecessors,(ROW()-ROW(MSPTasks[[#Headers],[ID]])))))</f>
        <v/>
      </c>
      <c r="K3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6" s="24" t="str">
        <f aca="false">IF(IFERROR(INDEX(tsk_Name,(ROW()-ROW(MSPTasks[[#Headers],[ID]])))="",TRUE()),"",IF(INDEX(tsk_IsSummary,(ROW()-ROW(MSPTasks[[#Headers],[ID]]))),"",ROUND(INDEX(tsk_Progress,(ROW()-ROW(MSPTasks[[#Headers],[ID]])))*100,0)))</f>
        <v/>
      </c>
      <c r="M36" s="127" t="str">
        <f aca="false">IF(IFERROR(INDEX(tsk_Name,(ROW()-ROW(MSPTasks[[#Headers],[ID]])))="",TRUE()),"",IF(N(INDEX(tsk_ActStart,(ROW()-ROW(MSPTasks[[#Headers],[ID]]))))=0,"",INDEX(tsk_ActStart,(ROW()-ROW(MSPTasks[[#Headers],[ID]])))))</f>
        <v/>
      </c>
      <c r="N36" s="127" t="str">
        <f aca="false">IF(IFERROR(INDEX(tsk_Name,(ROW()-ROW(MSPTasks[[#Headers],[ID]])))="",TRUE()),"",IF(N(INDEX(tsk_ActFinish,(ROW()-ROW(MSPTasks[[#Headers],[ID]]))))=0,"",INDEX(tsk_ActFinish,(ROW()-ROW(MSPTasks[[#Headers],[ID]])))))</f>
        <v/>
      </c>
      <c r="O36" s="127" t="str">
        <f aca="false">IF(IFERROR(INDEX(tsk_Name,(ROW()-ROW(MSPTasks[[#Headers],[ID]])))="",TRUE()),"",INDEX(tsk_PlanStart,(ROW()-ROW(MSPTasks[[#Headers],[ID]]))))</f>
        <v/>
      </c>
      <c r="P36" s="127" t="str">
        <f aca="false">IF(IFERROR(INDEX(tsk_Name,(ROW()-ROW(MSPTasks[[#Headers],[ID]])))="",TRUE()),"",INDEX(tsk_PlanFinish,(ROW()-ROW(MSPTasks[[#Headers],[ID]]))))</f>
        <v/>
      </c>
      <c r="Q36" s="24" t="str">
        <f aca="false">IF(IFERROR(INDEX(tsk_Name,(ROW()-ROW(MSPTasks[[#Headers],[ID]])))="",TRUE()),"",IF(INDEX(tsk_BaseDuration,(ROW()-ROW(MSPTasks[[#Headers],[ID]])))="","",N(INDEX(tsk_BaseDuration,(ROW()-ROW(MSPTasks[[#Headers],[ID]]))))&amp;"d"))</f>
        <v/>
      </c>
      <c r="R36" s="24" t="str">
        <f aca="false">IF(IFERROR(INDEX(tsk_Name,(ROW()-ROW(MSPTasks[[#Headers],[ID]])))="",TRUE()),"",IF(INDEX(tsk_BaseWork,(ROW()-ROW(MSPTasks[[#Headers],[ID]])))="","",N(INDEX(tsk_BaseWork,(ROW()-ROW(MSPTasks[[#Headers],[ID]]))))&amp;"h"))</f>
        <v/>
      </c>
      <c r="S36" s="24" t="str">
        <f aca="false">IF(IFERROR(INDEX(tsk_Name,(ROW()-ROW(MSPTasks[[#Headers],[ID]])))="",TRUE()),"",IF(INDEX(tsk_BaseCost,(ROW()-ROW(MSPTasks[[#Headers],[ID]])))="","",N(INDEX(tsk_BaseCost,(ROW()-ROW(MSPTasks[[#Headers],[ID]]))))))</f>
        <v/>
      </c>
      <c r="T36" s="24" t="str">
        <f aca="false">IF(IFERROR(INDEX(tsk_Name,(ROW()-ROW(MSPTasks[[#Headers],[ID]])))="",TRUE()),"",IF(INDEX(tsk_IsSummary,(ROW()-ROW(MSPTasks[[#Headers],[ID]]))),"",IF(N(INDEX(tsk_ActCostInput,(ROW()-ROW(MSPTasks[[#Headers],[ID]]))))=0,"",INDEX(tsk_ActCostInput,(ROW()-ROW(MSPTasks[[#Headers],[ID]]))))))</f>
        <v/>
      </c>
      <c r="U36" s="24" t="str">
        <f aca="false">IF(IFERROR(INDEX(tsk_Name,(ROW()-ROW(MSPTasks[[#Headers],[ID]])))="",TRUE()),"",IF(INDEX(tsk_IsSummary,(ROW()-ROW(MSPTasks[[#Headers],[ID]]))),"",IF(AND(INDEX(tsk_Mode,(ROW()-ROW(MSPTasks[[#Headers],[ID]])))&lt;&gt;"Manual",N(INDEX(tsk_Constraint,(ROW()-ROW(MSPTasks[[#Headers],[ID]]))))&gt;0),"Start No Earlier Than","As Soon As Possible")))</f>
        <v/>
      </c>
      <c r="V36" s="127" t="str">
        <f aca="false">IF(IFERROR(INDEX(tsk_Name,(ROW()-ROW(MSPTasks[[#Headers],[ID]])))="",TRUE()),"",IF(OR(INDEX(tsk_IsSummary,(ROW()-ROW(MSPTasks[[#Headers],[ID]]))),INDEX(tsk_Mode,(ROW()-ROW(MSPTasks[[#Headers],[ID]])))="Manual"),"",IF(N(INDEX(tsk_Constraint,(ROW()-ROW(MSPTasks[[#Headers],[ID]]))))=0,"",INDEX(tsk_Constraint,(ROW()-ROW(MSPTasks[[#Headers],[ID]]))))))</f>
        <v/>
      </c>
      <c r="W36" s="127" t="str">
        <f aca="false">IF(IFERROR(INDEX(tsk_Name,(ROW()-ROW(MSPTasks[[#Headers],[ID]])))="",TRUE()),"",IF(N(INDEX(tsk_Deadline,(ROW()-ROW(MSPTasks[[#Headers],[ID]]))))=0,"",INDEX(tsk_Deadline,(ROW()-ROW(MSPTasks[[#Headers],[ID]])))))</f>
        <v/>
      </c>
      <c r="X36" s="24" t="str">
        <f aca="false">IF(IFERROR(INDEX(tsk_Name,(ROW()-ROW(MSPTasks[[#Headers],[ID]])))="",TRUE()),"",IF(INDEX(tsk_IsSummary,(ROW()-ROW(MSPTasks[[#Headers],[ID]]))),"",INDEX(tsk_Sprint,(ROW()-ROW(MSPTasks[[#Headers],[ID]])))&amp;""))</f>
        <v/>
      </c>
      <c r="Y36" s="24" t="str">
        <f aca="false">IF(IFERROR(INDEX(tsk_Name,(ROW()-ROW(MSPTasks[[#Headers],[ID]])))="",TRUE()),"",IF(INDEX(tsk_IsSummary,(ROW()-ROW(MSPTasks[[#Headers],[ID]]))),"",IF(N(INDEX(tsk_StoryPoints,(ROW()-ROW(MSPTasks[[#Headers],[ID]]))))=0,"",INDEX(tsk_StoryPoints,(ROW()-ROW(MSPTasks[[#Headers],[ID]]))))))</f>
        <v/>
      </c>
      <c r="Z36" s="24" t="str">
        <f aca="false">IF(IFERROR(INDEX(tsk_Name,(ROW()-ROW(MSPTasks[[#Headers],[ID]])))="",TRUE()),"",INDEX(tsk_Notes,(ROW()-ROW(MSPTasks[[#Headers],[ID]])))&amp;"")</f>
        <v/>
      </c>
    </row>
    <row r="37" customFormat="false" ht="15" hidden="false" customHeight="false" outlineLevel="0" collapsed="false">
      <c r="A37" s="24" t="str">
        <f aca="false">IF(IFERROR(INDEX(tsk_Name,(ROW()-ROW(MSPTasks[[#Headers],[ID]])))="",TRUE()),"",INDEX(tsk_ID,(ROW()-ROW(MSPTasks[[#Headers],[ID]]))))</f>
        <v/>
      </c>
      <c r="B37" s="24" t="str">
        <f aca="false">IF(IFERROR(INDEX(tsk_Name,(ROW()-ROW(MSPTasks[[#Headers],[ID]])))="",TRUE()),"",INDEX(tsk_UID,(ROW()-ROW(MSPTasks[[#Headers],[ID]]))))</f>
        <v/>
      </c>
      <c r="C37" s="24" t="str">
        <f aca="false">IF(IFERROR(INDEX(tsk_Name,(ROW()-ROW(MSPTasks[[#Headers],[ID]])))="",TRUE()),"",INDEX(tsk_Name,(ROW()-ROW(MSPTasks[[#Headers],[ID]]))))</f>
        <v/>
      </c>
      <c r="D37" s="24" t="str">
        <f aca="false">IF(IFERROR(INDEX(tsk_Name,(ROW()-ROW(MSPTasks[[#Headers],[ID]])))="",TRUE()),"",INDEX(tsk_Level,(ROW()-ROW(MSPTasks[[#Headers],[ID]]))))</f>
        <v/>
      </c>
      <c r="E37" s="24" t="str">
        <f aca="false">IF(IFERROR(INDEX(tsk_Name,(ROW()-ROW(MSPTasks[[#Headers],[ID]])))="",TRUE()),"",IF(INDEX(tsk_Mode,(ROW()-ROW(MSPTasks[[#Headers],[ID]])))="Manual","Manually Scheduled","Auto Scheduled"))</f>
        <v/>
      </c>
      <c r="F37" s="24" t="str">
        <f aca="false">IF(IFERROR(INDEX(tsk_Name,(ROW()-ROW(MSPTasks[[#Headers],[ID]])))="",TRUE()),"",IF(INDEX(tsk_IsSummary,(ROW()-ROW(MSPTasks[[#Headers],[ID]]))),"",N(INDEX(tsk_Duration,(ROW()-ROW(MSPTasks[[#Headers],[ID]]))))&amp;"d"))</f>
        <v/>
      </c>
      <c r="G37" s="127" t="str">
        <f aca="false">IF(IFERROR(INDEX(tsk_Name,(ROW()-ROW(MSPTasks[[#Headers],[ID]])))="",TRUE()),"",INDEX(tsk_FcStart,(ROW()-ROW(MSPTasks[[#Headers],[ID]]))))</f>
        <v/>
      </c>
      <c r="H37" s="127" t="str">
        <f aca="false">IF(IFERROR(INDEX(tsk_Name,(ROW()-ROW(MSPTasks[[#Headers],[ID]])))="",TRUE()),"",INDEX(tsk_FcFinish,(ROW()-ROW(MSPTasks[[#Headers],[ID]]))))</f>
        <v/>
      </c>
      <c r="I37" s="24" t="str">
        <f aca="false">IF(IFERROR(INDEX(tsk_Name,(ROW()-ROW(MSPTasks[[#Headers],[ID]])))="",TRUE()),"",IF(INDEX(tsk_IsSummary,(ROW()-ROW(MSPTasks[[#Headers],[ID]]))),"",INDEX(tsk_Predecessors,(ROW()-ROW(MSPTasks[[#Headers],[ID]])))))</f>
        <v/>
      </c>
      <c r="J37" s="24" t="str">
        <f aca="false">IF(IFERROR(INDEX(tsk_Name,(ROW()-ROW(MSPTasks[[#Headers],[ID]])))="",TRUE()),"",IF(INDEX(tsk_IsSummary,(ROW()-ROW(MSPTasks[[#Headers],[ID]]))),"",INDEX(tsk_UIDPredecessors,(ROW()-ROW(MSPTasks[[#Headers],[ID]])))))</f>
        <v/>
      </c>
      <c r="K3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7" s="24" t="str">
        <f aca="false">IF(IFERROR(INDEX(tsk_Name,(ROW()-ROW(MSPTasks[[#Headers],[ID]])))="",TRUE()),"",IF(INDEX(tsk_IsSummary,(ROW()-ROW(MSPTasks[[#Headers],[ID]]))),"",ROUND(INDEX(tsk_Progress,(ROW()-ROW(MSPTasks[[#Headers],[ID]])))*100,0)))</f>
        <v/>
      </c>
      <c r="M37" s="127" t="str">
        <f aca="false">IF(IFERROR(INDEX(tsk_Name,(ROW()-ROW(MSPTasks[[#Headers],[ID]])))="",TRUE()),"",IF(N(INDEX(tsk_ActStart,(ROW()-ROW(MSPTasks[[#Headers],[ID]]))))=0,"",INDEX(tsk_ActStart,(ROW()-ROW(MSPTasks[[#Headers],[ID]])))))</f>
        <v/>
      </c>
      <c r="N37" s="127" t="str">
        <f aca="false">IF(IFERROR(INDEX(tsk_Name,(ROW()-ROW(MSPTasks[[#Headers],[ID]])))="",TRUE()),"",IF(N(INDEX(tsk_ActFinish,(ROW()-ROW(MSPTasks[[#Headers],[ID]]))))=0,"",INDEX(tsk_ActFinish,(ROW()-ROW(MSPTasks[[#Headers],[ID]])))))</f>
        <v/>
      </c>
      <c r="O37" s="127" t="str">
        <f aca="false">IF(IFERROR(INDEX(tsk_Name,(ROW()-ROW(MSPTasks[[#Headers],[ID]])))="",TRUE()),"",INDEX(tsk_PlanStart,(ROW()-ROW(MSPTasks[[#Headers],[ID]]))))</f>
        <v/>
      </c>
      <c r="P37" s="127" t="str">
        <f aca="false">IF(IFERROR(INDEX(tsk_Name,(ROW()-ROW(MSPTasks[[#Headers],[ID]])))="",TRUE()),"",INDEX(tsk_PlanFinish,(ROW()-ROW(MSPTasks[[#Headers],[ID]]))))</f>
        <v/>
      </c>
      <c r="Q37" s="24" t="str">
        <f aca="false">IF(IFERROR(INDEX(tsk_Name,(ROW()-ROW(MSPTasks[[#Headers],[ID]])))="",TRUE()),"",IF(INDEX(tsk_BaseDuration,(ROW()-ROW(MSPTasks[[#Headers],[ID]])))="","",N(INDEX(tsk_BaseDuration,(ROW()-ROW(MSPTasks[[#Headers],[ID]]))))&amp;"d"))</f>
        <v/>
      </c>
      <c r="R37" s="24" t="str">
        <f aca="false">IF(IFERROR(INDEX(tsk_Name,(ROW()-ROW(MSPTasks[[#Headers],[ID]])))="",TRUE()),"",IF(INDEX(tsk_BaseWork,(ROW()-ROW(MSPTasks[[#Headers],[ID]])))="","",N(INDEX(tsk_BaseWork,(ROW()-ROW(MSPTasks[[#Headers],[ID]]))))&amp;"h"))</f>
        <v/>
      </c>
      <c r="S37" s="24" t="str">
        <f aca="false">IF(IFERROR(INDEX(tsk_Name,(ROW()-ROW(MSPTasks[[#Headers],[ID]])))="",TRUE()),"",IF(INDEX(tsk_BaseCost,(ROW()-ROW(MSPTasks[[#Headers],[ID]])))="","",N(INDEX(tsk_BaseCost,(ROW()-ROW(MSPTasks[[#Headers],[ID]]))))))</f>
        <v/>
      </c>
      <c r="T37" s="24" t="str">
        <f aca="false">IF(IFERROR(INDEX(tsk_Name,(ROW()-ROW(MSPTasks[[#Headers],[ID]])))="",TRUE()),"",IF(INDEX(tsk_IsSummary,(ROW()-ROW(MSPTasks[[#Headers],[ID]]))),"",IF(N(INDEX(tsk_ActCostInput,(ROW()-ROW(MSPTasks[[#Headers],[ID]]))))=0,"",INDEX(tsk_ActCostInput,(ROW()-ROW(MSPTasks[[#Headers],[ID]]))))))</f>
        <v/>
      </c>
      <c r="U37" s="24" t="str">
        <f aca="false">IF(IFERROR(INDEX(tsk_Name,(ROW()-ROW(MSPTasks[[#Headers],[ID]])))="",TRUE()),"",IF(INDEX(tsk_IsSummary,(ROW()-ROW(MSPTasks[[#Headers],[ID]]))),"",IF(AND(INDEX(tsk_Mode,(ROW()-ROW(MSPTasks[[#Headers],[ID]])))&lt;&gt;"Manual",N(INDEX(tsk_Constraint,(ROW()-ROW(MSPTasks[[#Headers],[ID]]))))&gt;0),"Start No Earlier Than","As Soon As Possible")))</f>
        <v/>
      </c>
      <c r="V37" s="127" t="str">
        <f aca="false">IF(IFERROR(INDEX(tsk_Name,(ROW()-ROW(MSPTasks[[#Headers],[ID]])))="",TRUE()),"",IF(OR(INDEX(tsk_IsSummary,(ROW()-ROW(MSPTasks[[#Headers],[ID]]))),INDEX(tsk_Mode,(ROW()-ROW(MSPTasks[[#Headers],[ID]])))="Manual"),"",IF(N(INDEX(tsk_Constraint,(ROW()-ROW(MSPTasks[[#Headers],[ID]]))))=0,"",INDEX(tsk_Constraint,(ROW()-ROW(MSPTasks[[#Headers],[ID]]))))))</f>
        <v/>
      </c>
      <c r="W37" s="127" t="str">
        <f aca="false">IF(IFERROR(INDEX(tsk_Name,(ROW()-ROW(MSPTasks[[#Headers],[ID]])))="",TRUE()),"",IF(N(INDEX(tsk_Deadline,(ROW()-ROW(MSPTasks[[#Headers],[ID]]))))=0,"",INDEX(tsk_Deadline,(ROW()-ROW(MSPTasks[[#Headers],[ID]])))))</f>
        <v/>
      </c>
      <c r="X37" s="24" t="str">
        <f aca="false">IF(IFERROR(INDEX(tsk_Name,(ROW()-ROW(MSPTasks[[#Headers],[ID]])))="",TRUE()),"",IF(INDEX(tsk_IsSummary,(ROW()-ROW(MSPTasks[[#Headers],[ID]]))),"",INDEX(tsk_Sprint,(ROW()-ROW(MSPTasks[[#Headers],[ID]])))&amp;""))</f>
        <v/>
      </c>
      <c r="Y37" s="24" t="str">
        <f aca="false">IF(IFERROR(INDEX(tsk_Name,(ROW()-ROW(MSPTasks[[#Headers],[ID]])))="",TRUE()),"",IF(INDEX(tsk_IsSummary,(ROW()-ROW(MSPTasks[[#Headers],[ID]]))),"",IF(N(INDEX(tsk_StoryPoints,(ROW()-ROW(MSPTasks[[#Headers],[ID]]))))=0,"",INDEX(tsk_StoryPoints,(ROW()-ROW(MSPTasks[[#Headers],[ID]]))))))</f>
        <v/>
      </c>
      <c r="Z37" s="24" t="str">
        <f aca="false">IF(IFERROR(INDEX(tsk_Name,(ROW()-ROW(MSPTasks[[#Headers],[ID]])))="",TRUE()),"",INDEX(tsk_Notes,(ROW()-ROW(MSPTasks[[#Headers],[ID]])))&amp;"")</f>
        <v/>
      </c>
    </row>
    <row r="38" customFormat="false" ht="15" hidden="false" customHeight="false" outlineLevel="0" collapsed="false">
      <c r="A38" s="24" t="str">
        <f aca="false">IF(IFERROR(INDEX(tsk_Name,(ROW()-ROW(MSPTasks[[#Headers],[ID]])))="",TRUE()),"",INDEX(tsk_ID,(ROW()-ROW(MSPTasks[[#Headers],[ID]]))))</f>
        <v/>
      </c>
      <c r="B38" s="24" t="str">
        <f aca="false">IF(IFERROR(INDEX(tsk_Name,(ROW()-ROW(MSPTasks[[#Headers],[ID]])))="",TRUE()),"",INDEX(tsk_UID,(ROW()-ROW(MSPTasks[[#Headers],[ID]]))))</f>
        <v/>
      </c>
      <c r="C38" s="24" t="str">
        <f aca="false">IF(IFERROR(INDEX(tsk_Name,(ROW()-ROW(MSPTasks[[#Headers],[ID]])))="",TRUE()),"",INDEX(tsk_Name,(ROW()-ROW(MSPTasks[[#Headers],[ID]]))))</f>
        <v/>
      </c>
      <c r="D38" s="24" t="str">
        <f aca="false">IF(IFERROR(INDEX(tsk_Name,(ROW()-ROW(MSPTasks[[#Headers],[ID]])))="",TRUE()),"",INDEX(tsk_Level,(ROW()-ROW(MSPTasks[[#Headers],[ID]]))))</f>
        <v/>
      </c>
      <c r="E38" s="24" t="str">
        <f aca="false">IF(IFERROR(INDEX(tsk_Name,(ROW()-ROW(MSPTasks[[#Headers],[ID]])))="",TRUE()),"",IF(INDEX(tsk_Mode,(ROW()-ROW(MSPTasks[[#Headers],[ID]])))="Manual","Manually Scheduled","Auto Scheduled"))</f>
        <v/>
      </c>
      <c r="F38" s="24" t="str">
        <f aca="false">IF(IFERROR(INDEX(tsk_Name,(ROW()-ROW(MSPTasks[[#Headers],[ID]])))="",TRUE()),"",IF(INDEX(tsk_IsSummary,(ROW()-ROW(MSPTasks[[#Headers],[ID]]))),"",N(INDEX(tsk_Duration,(ROW()-ROW(MSPTasks[[#Headers],[ID]]))))&amp;"d"))</f>
        <v/>
      </c>
      <c r="G38" s="127" t="str">
        <f aca="false">IF(IFERROR(INDEX(tsk_Name,(ROW()-ROW(MSPTasks[[#Headers],[ID]])))="",TRUE()),"",INDEX(tsk_FcStart,(ROW()-ROW(MSPTasks[[#Headers],[ID]]))))</f>
        <v/>
      </c>
      <c r="H38" s="127" t="str">
        <f aca="false">IF(IFERROR(INDEX(tsk_Name,(ROW()-ROW(MSPTasks[[#Headers],[ID]])))="",TRUE()),"",INDEX(tsk_FcFinish,(ROW()-ROW(MSPTasks[[#Headers],[ID]]))))</f>
        <v/>
      </c>
      <c r="I38" s="24" t="str">
        <f aca="false">IF(IFERROR(INDEX(tsk_Name,(ROW()-ROW(MSPTasks[[#Headers],[ID]])))="",TRUE()),"",IF(INDEX(tsk_IsSummary,(ROW()-ROW(MSPTasks[[#Headers],[ID]]))),"",INDEX(tsk_Predecessors,(ROW()-ROW(MSPTasks[[#Headers],[ID]])))))</f>
        <v/>
      </c>
      <c r="J38" s="24" t="str">
        <f aca="false">IF(IFERROR(INDEX(tsk_Name,(ROW()-ROW(MSPTasks[[#Headers],[ID]])))="",TRUE()),"",IF(INDEX(tsk_IsSummary,(ROW()-ROW(MSPTasks[[#Headers],[ID]]))),"",INDEX(tsk_UIDPredecessors,(ROW()-ROW(MSPTasks[[#Headers],[ID]])))))</f>
        <v/>
      </c>
      <c r="K3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8" s="24" t="str">
        <f aca="false">IF(IFERROR(INDEX(tsk_Name,(ROW()-ROW(MSPTasks[[#Headers],[ID]])))="",TRUE()),"",IF(INDEX(tsk_IsSummary,(ROW()-ROW(MSPTasks[[#Headers],[ID]]))),"",ROUND(INDEX(tsk_Progress,(ROW()-ROW(MSPTasks[[#Headers],[ID]])))*100,0)))</f>
        <v/>
      </c>
      <c r="M38" s="127" t="str">
        <f aca="false">IF(IFERROR(INDEX(tsk_Name,(ROW()-ROW(MSPTasks[[#Headers],[ID]])))="",TRUE()),"",IF(N(INDEX(tsk_ActStart,(ROW()-ROW(MSPTasks[[#Headers],[ID]]))))=0,"",INDEX(tsk_ActStart,(ROW()-ROW(MSPTasks[[#Headers],[ID]])))))</f>
        <v/>
      </c>
      <c r="N38" s="127" t="str">
        <f aca="false">IF(IFERROR(INDEX(tsk_Name,(ROW()-ROW(MSPTasks[[#Headers],[ID]])))="",TRUE()),"",IF(N(INDEX(tsk_ActFinish,(ROW()-ROW(MSPTasks[[#Headers],[ID]]))))=0,"",INDEX(tsk_ActFinish,(ROW()-ROW(MSPTasks[[#Headers],[ID]])))))</f>
        <v/>
      </c>
      <c r="O38" s="127" t="str">
        <f aca="false">IF(IFERROR(INDEX(tsk_Name,(ROW()-ROW(MSPTasks[[#Headers],[ID]])))="",TRUE()),"",INDEX(tsk_PlanStart,(ROW()-ROW(MSPTasks[[#Headers],[ID]]))))</f>
        <v/>
      </c>
      <c r="P38" s="127" t="str">
        <f aca="false">IF(IFERROR(INDEX(tsk_Name,(ROW()-ROW(MSPTasks[[#Headers],[ID]])))="",TRUE()),"",INDEX(tsk_PlanFinish,(ROW()-ROW(MSPTasks[[#Headers],[ID]]))))</f>
        <v/>
      </c>
      <c r="Q38" s="24" t="str">
        <f aca="false">IF(IFERROR(INDEX(tsk_Name,(ROW()-ROW(MSPTasks[[#Headers],[ID]])))="",TRUE()),"",IF(INDEX(tsk_BaseDuration,(ROW()-ROW(MSPTasks[[#Headers],[ID]])))="","",N(INDEX(tsk_BaseDuration,(ROW()-ROW(MSPTasks[[#Headers],[ID]]))))&amp;"d"))</f>
        <v/>
      </c>
      <c r="R38" s="24" t="str">
        <f aca="false">IF(IFERROR(INDEX(tsk_Name,(ROW()-ROW(MSPTasks[[#Headers],[ID]])))="",TRUE()),"",IF(INDEX(tsk_BaseWork,(ROW()-ROW(MSPTasks[[#Headers],[ID]])))="","",N(INDEX(tsk_BaseWork,(ROW()-ROW(MSPTasks[[#Headers],[ID]]))))&amp;"h"))</f>
        <v/>
      </c>
      <c r="S38" s="24" t="str">
        <f aca="false">IF(IFERROR(INDEX(tsk_Name,(ROW()-ROW(MSPTasks[[#Headers],[ID]])))="",TRUE()),"",IF(INDEX(tsk_BaseCost,(ROW()-ROW(MSPTasks[[#Headers],[ID]])))="","",N(INDEX(tsk_BaseCost,(ROW()-ROW(MSPTasks[[#Headers],[ID]]))))))</f>
        <v/>
      </c>
      <c r="T38" s="24" t="str">
        <f aca="false">IF(IFERROR(INDEX(tsk_Name,(ROW()-ROW(MSPTasks[[#Headers],[ID]])))="",TRUE()),"",IF(INDEX(tsk_IsSummary,(ROW()-ROW(MSPTasks[[#Headers],[ID]]))),"",IF(N(INDEX(tsk_ActCostInput,(ROW()-ROW(MSPTasks[[#Headers],[ID]]))))=0,"",INDEX(tsk_ActCostInput,(ROW()-ROW(MSPTasks[[#Headers],[ID]]))))))</f>
        <v/>
      </c>
      <c r="U38" s="24" t="str">
        <f aca="false">IF(IFERROR(INDEX(tsk_Name,(ROW()-ROW(MSPTasks[[#Headers],[ID]])))="",TRUE()),"",IF(INDEX(tsk_IsSummary,(ROW()-ROW(MSPTasks[[#Headers],[ID]]))),"",IF(AND(INDEX(tsk_Mode,(ROW()-ROW(MSPTasks[[#Headers],[ID]])))&lt;&gt;"Manual",N(INDEX(tsk_Constraint,(ROW()-ROW(MSPTasks[[#Headers],[ID]]))))&gt;0),"Start No Earlier Than","As Soon As Possible")))</f>
        <v/>
      </c>
      <c r="V38" s="127" t="str">
        <f aca="false">IF(IFERROR(INDEX(tsk_Name,(ROW()-ROW(MSPTasks[[#Headers],[ID]])))="",TRUE()),"",IF(OR(INDEX(tsk_IsSummary,(ROW()-ROW(MSPTasks[[#Headers],[ID]]))),INDEX(tsk_Mode,(ROW()-ROW(MSPTasks[[#Headers],[ID]])))="Manual"),"",IF(N(INDEX(tsk_Constraint,(ROW()-ROW(MSPTasks[[#Headers],[ID]]))))=0,"",INDEX(tsk_Constraint,(ROW()-ROW(MSPTasks[[#Headers],[ID]]))))))</f>
        <v/>
      </c>
      <c r="W38" s="127" t="str">
        <f aca="false">IF(IFERROR(INDEX(tsk_Name,(ROW()-ROW(MSPTasks[[#Headers],[ID]])))="",TRUE()),"",IF(N(INDEX(tsk_Deadline,(ROW()-ROW(MSPTasks[[#Headers],[ID]]))))=0,"",INDEX(tsk_Deadline,(ROW()-ROW(MSPTasks[[#Headers],[ID]])))))</f>
        <v/>
      </c>
      <c r="X38" s="24" t="str">
        <f aca="false">IF(IFERROR(INDEX(tsk_Name,(ROW()-ROW(MSPTasks[[#Headers],[ID]])))="",TRUE()),"",IF(INDEX(tsk_IsSummary,(ROW()-ROW(MSPTasks[[#Headers],[ID]]))),"",INDEX(tsk_Sprint,(ROW()-ROW(MSPTasks[[#Headers],[ID]])))&amp;""))</f>
        <v/>
      </c>
      <c r="Y38" s="24" t="str">
        <f aca="false">IF(IFERROR(INDEX(tsk_Name,(ROW()-ROW(MSPTasks[[#Headers],[ID]])))="",TRUE()),"",IF(INDEX(tsk_IsSummary,(ROW()-ROW(MSPTasks[[#Headers],[ID]]))),"",IF(N(INDEX(tsk_StoryPoints,(ROW()-ROW(MSPTasks[[#Headers],[ID]]))))=0,"",INDEX(tsk_StoryPoints,(ROW()-ROW(MSPTasks[[#Headers],[ID]]))))))</f>
        <v/>
      </c>
      <c r="Z38" s="24" t="str">
        <f aca="false">IF(IFERROR(INDEX(tsk_Name,(ROW()-ROW(MSPTasks[[#Headers],[ID]])))="",TRUE()),"",INDEX(tsk_Notes,(ROW()-ROW(MSPTasks[[#Headers],[ID]])))&amp;"")</f>
        <v/>
      </c>
    </row>
    <row r="39" customFormat="false" ht="15" hidden="false" customHeight="false" outlineLevel="0" collapsed="false">
      <c r="A39" s="24" t="str">
        <f aca="false">IF(IFERROR(INDEX(tsk_Name,(ROW()-ROW(MSPTasks[[#Headers],[ID]])))="",TRUE()),"",INDEX(tsk_ID,(ROW()-ROW(MSPTasks[[#Headers],[ID]]))))</f>
        <v/>
      </c>
      <c r="B39" s="24" t="str">
        <f aca="false">IF(IFERROR(INDEX(tsk_Name,(ROW()-ROW(MSPTasks[[#Headers],[ID]])))="",TRUE()),"",INDEX(tsk_UID,(ROW()-ROW(MSPTasks[[#Headers],[ID]]))))</f>
        <v/>
      </c>
      <c r="C39" s="24" t="str">
        <f aca="false">IF(IFERROR(INDEX(tsk_Name,(ROW()-ROW(MSPTasks[[#Headers],[ID]])))="",TRUE()),"",INDEX(tsk_Name,(ROW()-ROW(MSPTasks[[#Headers],[ID]]))))</f>
        <v/>
      </c>
      <c r="D39" s="24" t="str">
        <f aca="false">IF(IFERROR(INDEX(tsk_Name,(ROW()-ROW(MSPTasks[[#Headers],[ID]])))="",TRUE()),"",INDEX(tsk_Level,(ROW()-ROW(MSPTasks[[#Headers],[ID]]))))</f>
        <v/>
      </c>
      <c r="E39" s="24" t="str">
        <f aca="false">IF(IFERROR(INDEX(tsk_Name,(ROW()-ROW(MSPTasks[[#Headers],[ID]])))="",TRUE()),"",IF(INDEX(tsk_Mode,(ROW()-ROW(MSPTasks[[#Headers],[ID]])))="Manual","Manually Scheduled","Auto Scheduled"))</f>
        <v/>
      </c>
      <c r="F39" s="24" t="str">
        <f aca="false">IF(IFERROR(INDEX(tsk_Name,(ROW()-ROW(MSPTasks[[#Headers],[ID]])))="",TRUE()),"",IF(INDEX(tsk_IsSummary,(ROW()-ROW(MSPTasks[[#Headers],[ID]]))),"",N(INDEX(tsk_Duration,(ROW()-ROW(MSPTasks[[#Headers],[ID]]))))&amp;"d"))</f>
        <v/>
      </c>
      <c r="G39" s="127" t="str">
        <f aca="false">IF(IFERROR(INDEX(tsk_Name,(ROW()-ROW(MSPTasks[[#Headers],[ID]])))="",TRUE()),"",INDEX(tsk_FcStart,(ROW()-ROW(MSPTasks[[#Headers],[ID]]))))</f>
        <v/>
      </c>
      <c r="H39" s="127" t="str">
        <f aca="false">IF(IFERROR(INDEX(tsk_Name,(ROW()-ROW(MSPTasks[[#Headers],[ID]])))="",TRUE()),"",INDEX(tsk_FcFinish,(ROW()-ROW(MSPTasks[[#Headers],[ID]]))))</f>
        <v/>
      </c>
      <c r="I39" s="24" t="str">
        <f aca="false">IF(IFERROR(INDEX(tsk_Name,(ROW()-ROW(MSPTasks[[#Headers],[ID]])))="",TRUE()),"",IF(INDEX(tsk_IsSummary,(ROW()-ROW(MSPTasks[[#Headers],[ID]]))),"",INDEX(tsk_Predecessors,(ROW()-ROW(MSPTasks[[#Headers],[ID]])))))</f>
        <v/>
      </c>
      <c r="J39" s="24" t="str">
        <f aca="false">IF(IFERROR(INDEX(tsk_Name,(ROW()-ROW(MSPTasks[[#Headers],[ID]])))="",TRUE()),"",IF(INDEX(tsk_IsSummary,(ROW()-ROW(MSPTasks[[#Headers],[ID]]))),"",INDEX(tsk_UIDPredecessors,(ROW()-ROW(MSPTasks[[#Headers],[ID]])))))</f>
        <v/>
      </c>
      <c r="K3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9" s="24" t="str">
        <f aca="false">IF(IFERROR(INDEX(tsk_Name,(ROW()-ROW(MSPTasks[[#Headers],[ID]])))="",TRUE()),"",IF(INDEX(tsk_IsSummary,(ROW()-ROW(MSPTasks[[#Headers],[ID]]))),"",ROUND(INDEX(tsk_Progress,(ROW()-ROW(MSPTasks[[#Headers],[ID]])))*100,0)))</f>
        <v/>
      </c>
      <c r="M39" s="127" t="str">
        <f aca="false">IF(IFERROR(INDEX(tsk_Name,(ROW()-ROW(MSPTasks[[#Headers],[ID]])))="",TRUE()),"",IF(N(INDEX(tsk_ActStart,(ROW()-ROW(MSPTasks[[#Headers],[ID]]))))=0,"",INDEX(tsk_ActStart,(ROW()-ROW(MSPTasks[[#Headers],[ID]])))))</f>
        <v/>
      </c>
      <c r="N39" s="127" t="str">
        <f aca="false">IF(IFERROR(INDEX(tsk_Name,(ROW()-ROW(MSPTasks[[#Headers],[ID]])))="",TRUE()),"",IF(N(INDEX(tsk_ActFinish,(ROW()-ROW(MSPTasks[[#Headers],[ID]]))))=0,"",INDEX(tsk_ActFinish,(ROW()-ROW(MSPTasks[[#Headers],[ID]])))))</f>
        <v/>
      </c>
      <c r="O39" s="127" t="str">
        <f aca="false">IF(IFERROR(INDEX(tsk_Name,(ROW()-ROW(MSPTasks[[#Headers],[ID]])))="",TRUE()),"",INDEX(tsk_PlanStart,(ROW()-ROW(MSPTasks[[#Headers],[ID]]))))</f>
        <v/>
      </c>
      <c r="P39" s="127" t="str">
        <f aca="false">IF(IFERROR(INDEX(tsk_Name,(ROW()-ROW(MSPTasks[[#Headers],[ID]])))="",TRUE()),"",INDEX(tsk_PlanFinish,(ROW()-ROW(MSPTasks[[#Headers],[ID]]))))</f>
        <v/>
      </c>
      <c r="Q39" s="24" t="str">
        <f aca="false">IF(IFERROR(INDEX(tsk_Name,(ROW()-ROW(MSPTasks[[#Headers],[ID]])))="",TRUE()),"",IF(INDEX(tsk_BaseDuration,(ROW()-ROW(MSPTasks[[#Headers],[ID]])))="","",N(INDEX(tsk_BaseDuration,(ROW()-ROW(MSPTasks[[#Headers],[ID]]))))&amp;"d"))</f>
        <v/>
      </c>
      <c r="R39" s="24" t="str">
        <f aca="false">IF(IFERROR(INDEX(tsk_Name,(ROW()-ROW(MSPTasks[[#Headers],[ID]])))="",TRUE()),"",IF(INDEX(tsk_BaseWork,(ROW()-ROW(MSPTasks[[#Headers],[ID]])))="","",N(INDEX(tsk_BaseWork,(ROW()-ROW(MSPTasks[[#Headers],[ID]]))))&amp;"h"))</f>
        <v/>
      </c>
      <c r="S39" s="24" t="str">
        <f aca="false">IF(IFERROR(INDEX(tsk_Name,(ROW()-ROW(MSPTasks[[#Headers],[ID]])))="",TRUE()),"",IF(INDEX(tsk_BaseCost,(ROW()-ROW(MSPTasks[[#Headers],[ID]])))="","",N(INDEX(tsk_BaseCost,(ROW()-ROW(MSPTasks[[#Headers],[ID]]))))))</f>
        <v/>
      </c>
      <c r="T39" s="24" t="str">
        <f aca="false">IF(IFERROR(INDEX(tsk_Name,(ROW()-ROW(MSPTasks[[#Headers],[ID]])))="",TRUE()),"",IF(INDEX(tsk_IsSummary,(ROW()-ROW(MSPTasks[[#Headers],[ID]]))),"",IF(N(INDEX(tsk_ActCostInput,(ROW()-ROW(MSPTasks[[#Headers],[ID]]))))=0,"",INDEX(tsk_ActCostInput,(ROW()-ROW(MSPTasks[[#Headers],[ID]]))))))</f>
        <v/>
      </c>
      <c r="U39" s="24" t="str">
        <f aca="false">IF(IFERROR(INDEX(tsk_Name,(ROW()-ROW(MSPTasks[[#Headers],[ID]])))="",TRUE()),"",IF(INDEX(tsk_IsSummary,(ROW()-ROW(MSPTasks[[#Headers],[ID]]))),"",IF(AND(INDEX(tsk_Mode,(ROW()-ROW(MSPTasks[[#Headers],[ID]])))&lt;&gt;"Manual",N(INDEX(tsk_Constraint,(ROW()-ROW(MSPTasks[[#Headers],[ID]]))))&gt;0),"Start No Earlier Than","As Soon As Possible")))</f>
        <v/>
      </c>
      <c r="V39" s="127" t="str">
        <f aca="false">IF(IFERROR(INDEX(tsk_Name,(ROW()-ROW(MSPTasks[[#Headers],[ID]])))="",TRUE()),"",IF(OR(INDEX(tsk_IsSummary,(ROW()-ROW(MSPTasks[[#Headers],[ID]]))),INDEX(tsk_Mode,(ROW()-ROW(MSPTasks[[#Headers],[ID]])))="Manual"),"",IF(N(INDEX(tsk_Constraint,(ROW()-ROW(MSPTasks[[#Headers],[ID]]))))=0,"",INDEX(tsk_Constraint,(ROW()-ROW(MSPTasks[[#Headers],[ID]]))))))</f>
        <v/>
      </c>
      <c r="W39" s="127" t="str">
        <f aca="false">IF(IFERROR(INDEX(tsk_Name,(ROW()-ROW(MSPTasks[[#Headers],[ID]])))="",TRUE()),"",IF(N(INDEX(tsk_Deadline,(ROW()-ROW(MSPTasks[[#Headers],[ID]]))))=0,"",INDEX(tsk_Deadline,(ROW()-ROW(MSPTasks[[#Headers],[ID]])))))</f>
        <v/>
      </c>
      <c r="X39" s="24" t="str">
        <f aca="false">IF(IFERROR(INDEX(tsk_Name,(ROW()-ROW(MSPTasks[[#Headers],[ID]])))="",TRUE()),"",IF(INDEX(tsk_IsSummary,(ROW()-ROW(MSPTasks[[#Headers],[ID]]))),"",INDEX(tsk_Sprint,(ROW()-ROW(MSPTasks[[#Headers],[ID]])))&amp;""))</f>
        <v/>
      </c>
      <c r="Y39" s="24" t="str">
        <f aca="false">IF(IFERROR(INDEX(tsk_Name,(ROW()-ROW(MSPTasks[[#Headers],[ID]])))="",TRUE()),"",IF(INDEX(tsk_IsSummary,(ROW()-ROW(MSPTasks[[#Headers],[ID]]))),"",IF(N(INDEX(tsk_StoryPoints,(ROW()-ROW(MSPTasks[[#Headers],[ID]]))))=0,"",INDEX(tsk_StoryPoints,(ROW()-ROW(MSPTasks[[#Headers],[ID]]))))))</f>
        <v/>
      </c>
      <c r="Z39" s="24" t="str">
        <f aca="false">IF(IFERROR(INDEX(tsk_Name,(ROW()-ROW(MSPTasks[[#Headers],[ID]])))="",TRUE()),"",INDEX(tsk_Notes,(ROW()-ROW(MSPTasks[[#Headers],[ID]])))&amp;"")</f>
        <v/>
      </c>
    </row>
    <row r="40" customFormat="false" ht="15" hidden="false" customHeight="false" outlineLevel="0" collapsed="false">
      <c r="A40" s="24" t="str">
        <f aca="false">IF(IFERROR(INDEX(tsk_Name,(ROW()-ROW(MSPTasks[[#Headers],[ID]])))="",TRUE()),"",INDEX(tsk_ID,(ROW()-ROW(MSPTasks[[#Headers],[ID]]))))</f>
        <v/>
      </c>
      <c r="B40" s="24" t="str">
        <f aca="false">IF(IFERROR(INDEX(tsk_Name,(ROW()-ROW(MSPTasks[[#Headers],[ID]])))="",TRUE()),"",INDEX(tsk_UID,(ROW()-ROW(MSPTasks[[#Headers],[ID]]))))</f>
        <v/>
      </c>
      <c r="C40" s="24" t="str">
        <f aca="false">IF(IFERROR(INDEX(tsk_Name,(ROW()-ROW(MSPTasks[[#Headers],[ID]])))="",TRUE()),"",INDEX(tsk_Name,(ROW()-ROW(MSPTasks[[#Headers],[ID]]))))</f>
        <v/>
      </c>
      <c r="D40" s="24" t="str">
        <f aca="false">IF(IFERROR(INDEX(tsk_Name,(ROW()-ROW(MSPTasks[[#Headers],[ID]])))="",TRUE()),"",INDEX(tsk_Level,(ROW()-ROW(MSPTasks[[#Headers],[ID]]))))</f>
        <v/>
      </c>
      <c r="E40" s="24" t="str">
        <f aca="false">IF(IFERROR(INDEX(tsk_Name,(ROW()-ROW(MSPTasks[[#Headers],[ID]])))="",TRUE()),"",IF(INDEX(tsk_Mode,(ROW()-ROW(MSPTasks[[#Headers],[ID]])))="Manual","Manually Scheduled","Auto Scheduled"))</f>
        <v/>
      </c>
      <c r="F40" s="24" t="str">
        <f aca="false">IF(IFERROR(INDEX(tsk_Name,(ROW()-ROW(MSPTasks[[#Headers],[ID]])))="",TRUE()),"",IF(INDEX(tsk_IsSummary,(ROW()-ROW(MSPTasks[[#Headers],[ID]]))),"",N(INDEX(tsk_Duration,(ROW()-ROW(MSPTasks[[#Headers],[ID]]))))&amp;"d"))</f>
        <v/>
      </c>
      <c r="G40" s="127" t="str">
        <f aca="false">IF(IFERROR(INDEX(tsk_Name,(ROW()-ROW(MSPTasks[[#Headers],[ID]])))="",TRUE()),"",INDEX(tsk_FcStart,(ROW()-ROW(MSPTasks[[#Headers],[ID]]))))</f>
        <v/>
      </c>
      <c r="H40" s="127" t="str">
        <f aca="false">IF(IFERROR(INDEX(tsk_Name,(ROW()-ROW(MSPTasks[[#Headers],[ID]])))="",TRUE()),"",INDEX(tsk_FcFinish,(ROW()-ROW(MSPTasks[[#Headers],[ID]]))))</f>
        <v/>
      </c>
      <c r="I40" s="24" t="str">
        <f aca="false">IF(IFERROR(INDEX(tsk_Name,(ROW()-ROW(MSPTasks[[#Headers],[ID]])))="",TRUE()),"",IF(INDEX(tsk_IsSummary,(ROW()-ROW(MSPTasks[[#Headers],[ID]]))),"",INDEX(tsk_Predecessors,(ROW()-ROW(MSPTasks[[#Headers],[ID]])))))</f>
        <v/>
      </c>
      <c r="J40" s="24" t="str">
        <f aca="false">IF(IFERROR(INDEX(tsk_Name,(ROW()-ROW(MSPTasks[[#Headers],[ID]])))="",TRUE()),"",IF(INDEX(tsk_IsSummary,(ROW()-ROW(MSPTasks[[#Headers],[ID]]))),"",INDEX(tsk_UIDPredecessors,(ROW()-ROW(MSPTasks[[#Headers],[ID]])))))</f>
        <v/>
      </c>
      <c r="K4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0" s="24" t="str">
        <f aca="false">IF(IFERROR(INDEX(tsk_Name,(ROW()-ROW(MSPTasks[[#Headers],[ID]])))="",TRUE()),"",IF(INDEX(tsk_IsSummary,(ROW()-ROW(MSPTasks[[#Headers],[ID]]))),"",ROUND(INDEX(tsk_Progress,(ROW()-ROW(MSPTasks[[#Headers],[ID]])))*100,0)))</f>
        <v/>
      </c>
      <c r="M40" s="127" t="str">
        <f aca="false">IF(IFERROR(INDEX(tsk_Name,(ROW()-ROW(MSPTasks[[#Headers],[ID]])))="",TRUE()),"",IF(N(INDEX(tsk_ActStart,(ROW()-ROW(MSPTasks[[#Headers],[ID]]))))=0,"",INDEX(tsk_ActStart,(ROW()-ROW(MSPTasks[[#Headers],[ID]])))))</f>
        <v/>
      </c>
      <c r="N40" s="127" t="str">
        <f aca="false">IF(IFERROR(INDEX(tsk_Name,(ROW()-ROW(MSPTasks[[#Headers],[ID]])))="",TRUE()),"",IF(N(INDEX(tsk_ActFinish,(ROW()-ROW(MSPTasks[[#Headers],[ID]]))))=0,"",INDEX(tsk_ActFinish,(ROW()-ROW(MSPTasks[[#Headers],[ID]])))))</f>
        <v/>
      </c>
      <c r="O40" s="127" t="str">
        <f aca="false">IF(IFERROR(INDEX(tsk_Name,(ROW()-ROW(MSPTasks[[#Headers],[ID]])))="",TRUE()),"",INDEX(tsk_PlanStart,(ROW()-ROW(MSPTasks[[#Headers],[ID]]))))</f>
        <v/>
      </c>
      <c r="P40" s="127" t="str">
        <f aca="false">IF(IFERROR(INDEX(tsk_Name,(ROW()-ROW(MSPTasks[[#Headers],[ID]])))="",TRUE()),"",INDEX(tsk_PlanFinish,(ROW()-ROW(MSPTasks[[#Headers],[ID]]))))</f>
        <v/>
      </c>
      <c r="Q40" s="24" t="str">
        <f aca="false">IF(IFERROR(INDEX(tsk_Name,(ROW()-ROW(MSPTasks[[#Headers],[ID]])))="",TRUE()),"",IF(INDEX(tsk_BaseDuration,(ROW()-ROW(MSPTasks[[#Headers],[ID]])))="","",N(INDEX(tsk_BaseDuration,(ROW()-ROW(MSPTasks[[#Headers],[ID]]))))&amp;"d"))</f>
        <v/>
      </c>
      <c r="R40" s="24" t="str">
        <f aca="false">IF(IFERROR(INDEX(tsk_Name,(ROW()-ROW(MSPTasks[[#Headers],[ID]])))="",TRUE()),"",IF(INDEX(tsk_BaseWork,(ROW()-ROW(MSPTasks[[#Headers],[ID]])))="","",N(INDEX(tsk_BaseWork,(ROW()-ROW(MSPTasks[[#Headers],[ID]]))))&amp;"h"))</f>
        <v/>
      </c>
      <c r="S40" s="24" t="str">
        <f aca="false">IF(IFERROR(INDEX(tsk_Name,(ROW()-ROW(MSPTasks[[#Headers],[ID]])))="",TRUE()),"",IF(INDEX(tsk_BaseCost,(ROW()-ROW(MSPTasks[[#Headers],[ID]])))="","",N(INDEX(tsk_BaseCost,(ROW()-ROW(MSPTasks[[#Headers],[ID]]))))))</f>
        <v/>
      </c>
      <c r="T40" s="24" t="str">
        <f aca="false">IF(IFERROR(INDEX(tsk_Name,(ROW()-ROW(MSPTasks[[#Headers],[ID]])))="",TRUE()),"",IF(INDEX(tsk_IsSummary,(ROW()-ROW(MSPTasks[[#Headers],[ID]]))),"",IF(N(INDEX(tsk_ActCostInput,(ROW()-ROW(MSPTasks[[#Headers],[ID]]))))=0,"",INDEX(tsk_ActCostInput,(ROW()-ROW(MSPTasks[[#Headers],[ID]]))))))</f>
        <v/>
      </c>
      <c r="U40" s="24" t="str">
        <f aca="false">IF(IFERROR(INDEX(tsk_Name,(ROW()-ROW(MSPTasks[[#Headers],[ID]])))="",TRUE()),"",IF(INDEX(tsk_IsSummary,(ROW()-ROW(MSPTasks[[#Headers],[ID]]))),"",IF(AND(INDEX(tsk_Mode,(ROW()-ROW(MSPTasks[[#Headers],[ID]])))&lt;&gt;"Manual",N(INDEX(tsk_Constraint,(ROW()-ROW(MSPTasks[[#Headers],[ID]]))))&gt;0),"Start No Earlier Than","As Soon As Possible")))</f>
        <v/>
      </c>
      <c r="V40" s="127" t="str">
        <f aca="false">IF(IFERROR(INDEX(tsk_Name,(ROW()-ROW(MSPTasks[[#Headers],[ID]])))="",TRUE()),"",IF(OR(INDEX(tsk_IsSummary,(ROW()-ROW(MSPTasks[[#Headers],[ID]]))),INDEX(tsk_Mode,(ROW()-ROW(MSPTasks[[#Headers],[ID]])))="Manual"),"",IF(N(INDEX(tsk_Constraint,(ROW()-ROW(MSPTasks[[#Headers],[ID]]))))=0,"",INDEX(tsk_Constraint,(ROW()-ROW(MSPTasks[[#Headers],[ID]]))))))</f>
        <v/>
      </c>
      <c r="W40" s="127" t="str">
        <f aca="false">IF(IFERROR(INDEX(tsk_Name,(ROW()-ROW(MSPTasks[[#Headers],[ID]])))="",TRUE()),"",IF(N(INDEX(tsk_Deadline,(ROW()-ROW(MSPTasks[[#Headers],[ID]]))))=0,"",INDEX(tsk_Deadline,(ROW()-ROW(MSPTasks[[#Headers],[ID]])))))</f>
        <v/>
      </c>
      <c r="X40" s="24" t="str">
        <f aca="false">IF(IFERROR(INDEX(tsk_Name,(ROW()-ROW(MSPTasks[[#Headers],[ID]])))="",TRUE()),"",IF(INDEX(tsk_IsSummary,(ROW()-ROW(MSPTasks[[#Headers],[ID]]))),"",INDEX(tsk_Sprint,(ROW()-ROW(MSPTasks[[#Headers],[ID]])))&amp;""))</f>
        <v/>
      </c>
      <c r="Y40" s="24" t="str">
        <f aca="false">IF(IFERROR(INDEX(tsk_Name,(ROW()-ROW(MSPTasks[[#Headers],[ID]])))="",TRUE()),"",IF(INDEX(tsk_IsSummary,(ROW()-ROW(MSPTasks[[#Headers],[ID]]))),"",IF(N(INDEX(tsk_StoryPoints,(ROW()-ROW(MSPTasks[[#Headers],[ID]]))))=0,"",INDEX(tsk_StoryPoints,(ROW()-ROW(MSPTasks[[#Headers],[ID]]))))))</f>
        <v/>
      </c>
      <c r="Z40" s="24" t="str">
        <f aca="false">IF(IFERROR(INDEX(tsk_Name,(ROW()-ROW(MSPTasks[[#Headers],[ID]])))="",TRUE()),"",INDEX(tsk_Notes,(ROW()-ROW(MSPTasks[[#Headers],[ID]])))&amp;"")</f>
        <v/>
      </c>
    </row>
    <row r="41" customFormat="false" ht="15" hidden="false" customHeight="false" outlineLevel="0" collapsed="false">
      <c r="A41" s="24" t="str">
        <f aca="false">IF(IFERROR(INDEX(tsk_Name,(ROW()-ROW(MSPTasks[[#Headers],[ID]])))="",TRUE()),"",INDEX(tsk_ID,(ROW()-ROW(MSPTasks[[#Headers],[ID]]))))</f>
        <v/>
      </c>
      <c r="B41" s="24" t="str">
        <f aca="false">IF(IFERROR(INDEX(tsk_Name,(ROW()-ROW(MSPTasks[[#Headers],[ID]])))="",TRUE()),"",INDEX(tsk_UID,(ROW()-ROW(MSPTasks[[#Headers],[ID]]))))</f>
        <v/>
      </c>
      <c r="C41" s="24" t="str">
        <f aca="false">IF(IFERROR(INDEX(tsk_Name,(ROW()-ROW(MSPTasks[[#Headers],[ID]])))="",TRUE()),"",INDEX(tsk_Name,(ROW()-ROW(MSPTasks[[#Headers],[ID]]))))</f>
        <v/>
      </c>
      <c r="D41" s="24" t="str">
        <f aca="false">IF(IFERROR(INDEX(tsk_Name,(ROW()-ROW(MSPTasks[[#Headers],[ID]])))="",TRUE()),"",INDEX(tsk_Level,(ROW()-ROW(MSPTasks[[#Headers],[ID]]))))</f>
        <v/>
      </c>
      <c r="E41" s="24" t="str">
        <f aca="false">IF(IFERROR(INDEX(tsk_Name,(ROW()-ROW(MSPTasks[[#Headers],[ID]])))="",TRUE()),"",IF(INDEX(tsk_Mode,(ROW()-ROW(MSPTasks[[#Headers],[ID]])))="Manual","Manually Scheduled","Auto Scheduled"))</f>
        <v/>
      </c>
      <c r="F41" s="24" t="str">
        <f aca="false">IF(IFERROR(INDEX(tsk_Name,(ROW()-ROW(MSPTasks[[#Headers],[ID]])))="",TRUE()),"",IF(INDEX(tsk_IsSummary,(ROW()-ROW(MSPTasks[[#Headers],[ID]]))),"",N(INDEX(tsk_Duration,(ROW()-ROW(MSPTasks[[#Headers],[ID]]))))&amp;"d"))</f>
        <v/>
      </c>
      <c r="G41" s="127" t="str">
        <f aca="false">IF(IFERROR(INDEX(tsk_Name,(ROW()-ROW(MSPTasks[[#Headers],[ID]])))="",TRUE()),"",INDEX(tsk_FcStart,(ROW()-ROW(MSPTasks[[#Headers],[ID]]))))</f>
        <v/>
      </c>
      <c r="H41" s="127" t="str">
        <f aca="false">IF(IFERROR(INDEX(tsk_Name,(ROW()-ROW(MSPTasks[[#Headers],[ID]])))="",TRUE()),"",INDEX(tsk_FcFinish,(ROW()-ROW(MSPTasks[[#Headers],[ID]]))))</f>
        <v/>
      </c>
      <c r="I41" s="24" t="str">
        <f aca="false">IF(IFERROR(INDEX(tsk_Name,(ROW()-ROW(MSPTasks[[#Headers],[ID]])))="",TRUE()),"",IF(INDEX(tsk_IsSummary,(ROW()-ROW(MSPTasks[[#Headers],[ID]]))),"",INDEX(tsk_Predecessors,(ROW()-ROW(MSPTasks[[#Headers],[ID]])))))</f>
        <v/>
      </c>
      <c r="J41" s="24" t="str">
        <f aca="false">IF(IFERROR(INDEX(tsk_Name,(ROW()-ROW(MSPTasks[[#Headers],[ID]])))="",TRUE()),"",IF(INDEX(tsk_IsSummary,(ROW()-ROW(MSPTasks[[#Headers],[ID]]))),"",INDEX(tsk_UIDPredecessors,(ROW()-ROW(MSPTasks[[#Headers],[ID]])))))</f>
        <v/>
      </c>
      <c r="K4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1" s="24" t="str">
        <f aca="false">IF(IFERROR(INDEX(tsk_Name,(ROW()-ROW(MSPTasks[[#Headers],[ID]])))="",TRUE()),"",IF(INDEX(tsk_IsSummary,(ROW()-ROW(MSPTasks[[#Headers],[ID]]))),"",ROUND(INDEX(tsk_Progress,(ROW()-ROW(MSPTasks[[#Headers],[ID]])))*100,0)))</f>
        <v/>
      </c>
      <c r="M41" s="127" t="str">
        <f aca="false">IF(IFERROR(INDEX(tsk_Name,(ROW()-ROW(MSPTasks[[#Headers],[ID]])))="",TRUE()),"",IF(N(INDEX(tsk_ActStart,(ROW()-ROW(MSPTasks[[#Headers],[ID]]))))=0,"",INDEX(tsk_ActStart,(ROW()-ROW(MSPTasks[[#Headers],[ID]])))))</f>
        <v/>
      </c>
      <c r="N41" s="127" t="str">
        <f aca="false">IF(IFERROR(INDEX(tsk_Name,(ROW()-ROW(MSPTasks[[#Headers],[ID]])))="",TRUE()),"",IF(N(INDEX(tsk_ActFinish,(ROW()-ROW(MSPTasks[[#Headers],[ID]]))))=0,"",INDEX(tsk_ActFinish,(ROW()-ROW(MSPTasks[[#Headers],[ID]])))))</f>
        <v/>
      </c>
      <c r="O41" s="127" t="str">
        <f aca="false">IF(IFERROR(INDEX(tsk_Name,(ROW()-ROW(MSPTasks[[#Headers],[ID]])))="",TRUE()),"",INDEX(tsk_PlanStart,(ROW()-ROW(MSPTasks[[#Headers],[ID]]))))</f>
        <v/>
      </c>
      <c r="P41" s="127" t="str">
        <f aca="false">IF(IFERROR(INDEX(tsk_Name,(ROW()-ROW(MSPTasks[[#Headers],[ID]])))="",TRUE()),"",INDEX(tsk_PlanFinish,(ROW()-ROW(MSPTasks[[#Headers],[ID]]))))</f>
        <v/>
      </c>
      <c r="Q41" s="24" t="str">
        <f aca="false">IF(IFERROR(INDEX(tsk_Name,(ROW()-ROW(MSPTasks[[#Headers],[ID]])))="",TRUE()),"",IF(INDEX(tsk_BaseDuration,(ROW()-ROW(MSPTasks[[#Headers],[ID]])))="","",N(INDEX(tsk_BaseDuration,(ROW()-ROW(MSPTasks[[#Headers],[ID]]))))&amp;"d"))</f>
        <v/>
      </c>
      <c r="R41" s="24" t="str">
        <f aca="false">IF(IFERROR(INDEX(tsk_Name,(ROW()-ROW(MSPTasks[[#Headers],[ID]])))="",TRUE()),"",IF(INDEX(tsk_BaseWork,(ROW()-ROW(MSPTasks[[#Headers],[ID]])))="","",N(INDEX(tsk_BaseWork,(ROW()-ROW(MSPTasks[[#Headers],[ID]]))))&amp;"h"))</f>
        <v/>
      </c>
      <c r="S41" s="24" t="str">
        <f aca="false">IF(IFERROR(INDEX(tsk_Name,(ROW()-ROW(MSPTasks[[#Headers],[ID]])))="",TRUE()),"",IF(INDEX(tsk_BaseCost,(ROW()-ROW(MSPTasks[[#Headers],[ID]])))="","",N(INDEX(tsk_BaseCost,(ROW()-ROW(MSPTasks[[#Headers],[ID]]))))))</f>
        <v/>
      </c>
      <c r="T41" s="24" t="str">
        <f aca="false">IF(IFERROR(INDEX(tsk_Name,(ROW()-ROW(MSPTasks[[#Headers],[ID]])))="",TRUE()),"",IF(INDEX(tsk_IsSummary,(ROW()-ROW(MSPTasks[[#Headers],[ID]]))),"",IF(N(INDEX(tsk_ActCostInput,(ROW()-ROW(MSPTasks[[#Headers],[ID]]))))=0,"",INDEX(tsk_ActCostInput,(ROW()-ROW(MSPTasks[[#Headers],[ID]]))))))</f>
        <v/>
      </c>
      <c r="U41" s="24" t="str">
        <f aca="false">IF(IFERROR(INDEX(tsk_Name,(ROW()-ROW(MSPTasks[[#Headers],[ID]])))="",TRUE()),"",IF(INDEX(tsk_IsSummary,(ROW()-ROW(MSPTasks[[#Headers],[ID]]))),"",IF(AND(INDEX(tsk_Mode,(ROW()-ROW(MSPTasks[[#Headers],[ID]])))&lt;&gt;"Manual",N(INDEX(tsk_Constraint,(ROW()-ROW(MSPTasks[[#Headers],[ID]]))))&gt;0),"Start No Earlier Than","As Soon As Possible")))</f>
        <v/>
      </c>
      <c r="V41" s="127" t="str">
        <f aca="false">IF(IFERROR(INDEX(tsk_Name,(ROW()-ROW(MSPTasks[[#Headers],[ID]])))="",TRUE()),"",IF(OR(INDEX(tsk_IsSummary,(ROW()-ROW(MSPTasks[[#Headers],[ID]]))),INDEX(tsk_Mode,(ROW()-ROW(MSPTasks[[#Headers],[ID]])))="Manual"),"",IF(N(INDEX(tsk_Constraint,(ROW()-ROW(MSPTasks[[#Headers],[ID]]))))=0,"",INDEX(tsk_Constraint,(ROW()-ROW(MSPTasks[[#Headers],[ID]]))))))</f>
        <v/>
      </c>
      <c r="W41" s="127" t="str">
        <f aca="false">IF(IFERROR(INDEX(tsk_Name,(ROW()-ROW(MSPTasks[[#Headers],[ID]])))="",TRUE()),"",IF(N(INDEX(tsk_Deadline,(ROW()-ROW(MSPTasks[[#Headers],[ID]]))))=0,"",INDEX(tsk_Deadline,(ROW()-ROW(MSPTasks[[#Headers],[ID]])))))</f>
        <v/>
      </c>
      <c r="X41" s="24" t="str">
        <f aca="false">IF(IFERROR(INDEX(tsk_Name,(ROW()-ROW(MSPTasks[[#Headers],[ID]])))="",TRUE()),"",IF(INDEX(tsk_IsSummary,(ROW()-ROW(MSPTasks[[#Headers],[ID]]))),"",INDEX(tsk_Sprint,(ROW()-ROW(MSPTasks[[#Headers],[ID]])))&amp;""))</f>
        <v/>
      </c>
      <c r="Y41" s="24" t="str">
        <f aca="false">IF(IFERROR(INDEX(tsk_Name,(ROW()-ROW(MSPTasks[[#Headers],[ID]])))="",TRUE()),"",IF(INDEX(tsk_IsSummary,(ROW()-ROW(MSPTasks[[#Headers],[ID]]))),"",IF(N(INDEX(tsk_StoryPoints,(ROW()-ROW(MSPTasks[[#Headers],[ID]]))))=0,"",INDEX(tsk_StoryPoints,(ROW()-ROW(MSPTasks[[#Headers],[ID]]))))))</f>
        <v/>
      </c>
      <c r="Z41" s="24" t="str">
        <f aca="false">IF(IFERROR(INDEX(tsk_Name,(ROW()-ROW(MSPTasks[[#Headers],[ID]])))="",TRUE()),"",INDEX(tsk_Notes,(ROW()-ROW(MSPTasks[[#Headers],[ID]])))&amp;"")</f>
        <v/>
      </c>
    </row>
    <row r="42" customFormat="false" ht="15" hidden="false" customHeight="false" outlineLevel="0" collapsed="false">
      <c r="A42" s="24" t="str">
        <f aca="false">IF(IFERROR(INDEX(tsk_Name,(ROW()-ROW(MSPTasks[[#Headers],[ID]])))="",TRUE()),"",INDEX(tsk_ID,(ROW()-ROW(MSPTasks[[#Headers],[ID]]))))</f>
        <v/>
      </c>
      <c r="B42" s="24" t="str">
        <f aca="false">IF(IFERROR(INDEX(tsk_Name,(ROW()-ROW(MSPTasks[[#Headers],[ID]])))="",TRUE()),"",INDEX(tsk_UID,(ROW()-ROW(MSPTasks[[#Headers],[ID]]))))</f>
        <v/>
      </c>
      <c r="C42" s="24" t="str">
        <f aca="false">IF(IFERROR(INDEX(tsk_Name,(ROW()-ROW(MSPTasks[[#Headers],[ID]])))="",TRUE()),"",INDEX(tsk_Name,(ROW()-ROW(MSPTasks[[#Headers],[ID]]))))</f>
        <v/>
      </c>
      <c r="D42" s="24" t="str">
        <f aca="false">IF(IFERROR(INDEX(tsk_Name,(ROW()-ROW(MSPTasks[[#Headers],[ID]])))="",TRUE()),"",INDEX(tsk_Level,(ROW()-ROW(MSPTasks[[#Headers],[ID]]))))</f>
        <v/>
      </c>
      <c r="E42" s="24" t="str">
        <f aca="false">IF(IFERROR(INDEX(tsk_Name,(ROW()-ROW(MSPTasks[[#Headers],[ID]])))="",TRUE()),"",IF(INDEX(tsk_Mode,(ROW()-ROW(MSPTasks[[#Headers],[ID]])))="Manual","Manually Scheduled","Auto Scheduled"))</f>
        <v/>
      </c>
      <c r="F42" s="24" t="str">
        <f aca="false">IF(IFERROR(INDEX(tsk_Name,(ROW()-ROW(MSPTasks[[#Headers],[ID]])))="",TRUE()),"",IF(INDEX(tsk_IsSummary,(ROW()-ROW(MSPTasks[[#Headers],[ID]]))),"",N(INDEX(tsk_Duration,(ROW()-ROW(MSPTasks[[#Headers],[ID]]))))&amp;"d"))</f>
        <v/>
      </c>
      <c r="G42" s="127" t="str">
        <f aca="false">IF(IFERROR(INDEX(tsk_Name,(ROW()-ROW(MSPTasks[[#Headers],[ID]])))="",TRUE()),"",INDEX(tsk_FcStart,(ROW()-ROW(MSPTasks[[#Headers],[ID]]))))</f>
        <v/>
      </c>
      <c r="H42" s="127" t="str">
        <f aca="false">IF(IFERROR(INDEX(tsk_Name,(ROW()-ROW(MSPTasks[[#Headers],[ID]])))="",TRUE()),"",INDEX(tsk_FcFinish,(ROW()-ROW(MSPTasks[[#Headers],[ID]]))))</f>
        <v/>
      </c>
      <c r="I42" s="24" t="str">
        <f aca="false">IF(IFERROR(INDEX(tsk_Name,(ROW()-ROW(MSPTasks[[#Headers],[ID]])))="",TRUE()),"",IF(INDEX(tsk_IsSummary,(ROW()-ROW(MSPTasks[[#Headers],[ID]]))),"",INDEX(tsk_Predecessors,(ROW()-ROW(MSPTasks[[#Headers],[ID]])))))</f>
        <v/>
      </c>
      <c r="J42" s="24" t="str">
        <f aca="false">IF(IFERROR(INDEX(tsk_Name,(ROW()-ROW(MSPTasks[[#Headers],[ID]])))="",TRUE()),"",IF(INDEX(tsk_IsSummary,(ROW()-ROW(MSPTasks[[#Headers],[ID]]))),"",INDEX(tsk_UIDPredecessors,(ROW()-ROW(MSPTasks[[#Headers],[ID]])))))</f>
        <v/>
      </c>
      <c r="K4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2" s="24" t="str">
        <f aca="false">IF(IFERROR(INDEX(tsk_Name,(ROW()-ROW(MSPTasks[[#Headers],[ID]])))="",TRUE()),"",IF(INDEX(tsk_IsSummary,(ROW()-ROW(MSPTasks[[#Headers],[ID]]))),"",ROUND(INDEX(tsk_Progress,(ROW()-ROW(MSPTasks[[#Headers],[ID]])))*100,0)))</f>
        <v/>
      </c>
      <c r="M42" s="127" t="str">
        <f aca="false">IF(IFERROR(INDEX(tsk_Name,(ROW()-ROW(MSPTasks[[#Headers],[ID]])))="",TRUE()),"",IF(N(INDEX(tsk_ActStart,(ROW()-ROW(MSPTasks[[#Headers],[ID]]))))=0,"",INDEX(tsk_ActStart,(ROW()-ROW(MSPTasks[[#Headers],[ID]])))))</f>
        <v/>
      </c>
      <c r="N42" s="127" t="str">
        <f aca="false">IF(IFERROR(INDEX(tsk_Name,(ROW()-ROW(MSPTasks[[#Headers],[ID]])))="",TRUE()),"",IF(N(INDEX(tsk_ActFinish,(ROW()-ROW(MSPTasks[[#Headers],[ID]]))))=0,"",INDEX(tsk_ActFinish,(ROW()-ROW(MSPTasks[[#Headers],[ID]])))))</f>
        <v/>
      </c>
      <c r="O42" s="127" t="str">
        <f aca="false">IF(IFERROR(INDEX(tsk_Name,(ROW()-ROW(MSPTasks[[#Headers],[ID]])))="",TRUE()),"",INDEX(tsk_PlanStart,(ROW()-ROW(MSPTasks[[#Headers],[ID]]))))</f>
        <v/>
      </c>
      <c r="P42" s="127" t="str">
        <f aca="false">IF(IFERROR(INDEX(tsk_Name,(ROW()-ROW(MSPTasks[[#Headers],[ID]])))="",TRUE()),"",INDEX(tsk_PlanFinish,(ROW()-ROW(MSPTasks[[#Headers],[ID]]))))</f>
        <v/>
      </c>
      <c r="Q42" s="24" t="str">
        <f aca="false">IF(IFERROR(INDEX(tsk_Name,(ROW()-ROW(MSPTasks[[#Headers],[ID]])))="",TRUE()),"",IF(INDEX(tsk_BaseDuration,(ROW()-ROW(MSPTasks[[#Headers],[ID]])))="","",N(INDEX(tsk_BaseDuration,(ROW()-ROW(MSPTasks[[#Headers],[ID]]))))&amp;"d"))</f>
        <v/>
      </c>
      <c r="R42" s="24" t="str">
        <f aca="false">IF(IFERROR(INDEX(tsk_Name,(ROW()-ROW(MSPTasks[[#Headers],[ID]])))="",TRUE()),"",IF(INDEX(tsk_BaseWork,(ROW()-ROW(MSPTasks[[#Headers],[ID]])))="","",N(INDEX(tsk_BaseWork,(ROW()-ROW(MSPTasks[[#Headers],[ID]]))))&amp;"h"))</f>
        <v/>
      </c>
      <c r="S42" s="24" t="str">
        <f aca="false">IF(IFERROR(INDEX(tsk_Name,(ROW()-ROW(MSPTasks[[#Headers],[ID]])))="",TRUE()),"",IF(INDEX(tsk_BaseCost,(ROW()-ROW(MSPTasks[[#Headers],[ID]])))="","",N(INDEX(tsk_BaseCost,(ROW()-ROW(MSPTasks[[#Headers],[ID]]))))))</f>
        <v/>
      </c>
      <c r="T42" s="24" t="str">
        <f aca="false">IF(IFERROR(INDEX(tsk_Name,(ROW()-ROW(MSPTasks[[#Headers],[ID]])))="",TRUE()),"",IF(INDEX(tsk_IsSummary,(ROW()-ROW(MSPTasks[[#Headers],[ID]]))),"",IF(N(INDEX(tsk_ActCostInput,(ROW()-ROW(MSPTasks[[#Headers],[ID]]))))=0,"",INDEX(tsk_ActCostInput,(ROW()-ROW(MSPTasks[[#Headers],[ID]]))))))</f>
        <v/>
      </c>
      <c r="U42" s="24" t="str">
        <f aca="false">IF(IFERROR(INDEX(tsk_Name,(ROW()-ROW(MSPTasks[[#Headers],[ID]])))="",TRUE()),"",IF(INDEX(tsk_IsSummary,(ROW()-ROW(MSPTasks[[#Headers],[ID]]))),"",IF(AND(INDEX(tsk_Mode,(ROW()-ROW(MSPTasks[[#Headers],[ID]])))&lt;&gt;"Manual",N(INDEX(tsk_Constraint,(ROW()-ROW(MSPTasks[[#Headers],[ID]]))))&gt;0),"Start No Earlier Than","As Soon As Possible")))</f>
        <v/>
      </c>
      <c r="V42" s="127" t="str">
        <f aca="false">IF(IFERROR(INDEX(tsk_Name,(ROW()-ROW(MSPTasks[[#Headers],[ID]])))="",TRUE()),"",IF(OR(INDEX(tsk_IsSummary,(ROW()-ROW(MSPTasks[[#Headers],[ID]]))),INDEX(tsk_Mode,(ROW()-ROW(MSPTasks[[#Headers],[ID]])))="Manual"),"",IF(N(INDEX(tsk_Constraint,(ROW()-ROW(MSPTasks[[#Headers],[ID]]))))=0,"",INDEX(tsk_Constraint,(ROW()-ROW(MSPTasks[[#Headers],[ID]]))))))</f>
        <v/>
      </c>
      <c r="W42" s="127" t="str">
        <f aca="false">IF(IFERROR(INDEX(tsk_Name,(ROW()-ROW(MSPTasks[[#Headers],[ID]])))="",TRUE()),"",IF(N(INDEX(tsk_Deadline,(ROW()-ROW(MSPTasks[[#Headers],[ID]]))))=0,"",INDEX(tsk_Deadline,(ROW()-ROW(MSPTasks[[#Headers],[ID]])))))</f>
        <v/>
      </c>
      <c r="X42" s="24" t="str">
        <f aca="false">IF(IFERROR(INDEX(tsk_Name,(ROW()-ROW(MSPTasks[[#Headers],[ID]])))="",TRUE()),"",IF(INDEX(tsk_IsSummary,(ROW()-ROW(MSPTasks[[#Headers],[ID]]))),"",INDEX(tsk_Sprint,(ROW()-ROW(MSPTasks[[#Headers],[ID]])))&amp;""))</f>
        <v/>
      </c>
      <c r="Y42" s="24" t="str">
        <f aca="false">IF(IFERROR(INDEX(tsk_Name,(ROW()-ROW(MSPTasks[[#Headers],[ID]])))="",TRUE()),"",IF(INDEX(tsk_IsSummary,(ROW()-ROW(MSPTasks[[#Headers],[ID]]))),"",IF(N(INDEX(tsk_StoryPoints,(ROW()-ROW(MSPTasks[[#Headers],[ID]]))))=0,"",INDEX(tsk_StoryPoints,(ROW()-ROW(MSPTasks[[#Headers],[ID]]))))))</f>
        <v/>
      </c>
      <c r="Z42" s="24" t="str">
        <f aca="false">IF(IFERROR(INDEX(tsk_Name,(ROW()-ROW(MSPTasks[[#Headers],[ID]])))="",TRUE()),"",INDEX(tsk_Notes,(ROW()-ROW(MSPTasks[[#Headers],[ID]])))&amp;"")</f>
        <v/>
      </c>
    </row>
    <row r="43" customFormat="false" ht="15" hidden="false" customHeight="false" outlineLevel="0" collapsed="false">
      <c r="A43" s="24" t="str">
        <f aca="false">IF(IFERROR(INDEX(tsk_Name,(ROW()-ROW(MSPTasks[[#Headers],[ID]])))="",TRUE()),"",INDEX(tsk_ID,(ROW()-ROW(MSPTasks[[#Headers],[ID]]))))</f>
        <v/>
      </c>
      <c r="B43" s="24" t="str">
        <f aca="false">IF(IFERROR(INDEX(tsk_Name,(ROW()-ROW(MSPTasks[[#Headers],[ID]])))="",TRUE()),"",INDEX(tsk_UID,(ROW()-ROW(MSPTasks[[#Headers],[ID]]))))</f>
        <v/>
      </c>
      <c r="C43" s="24" t="str">
        <f aca="false">IF(IFERROR(INDEX(tsk_Name,(ROW()-ROW(MSPTasks[[#Headers],[ID]])))="",TRUE()),"",INDEX(tsk_Name,(ROW()-ROW(MSPTasks[[#Headers],[ID]]))))</f>
        <v/>
      </c>
      <c r="D43" s="24" t="str">
        <f aca="false">IF(IFERROR(INDEX(tsk_Name,(ROW()-ROW(MSPTasks[[#Headers],[ID]])))="",TRUE()),"",INDEX(tsk_Level,(ROW()-ROW(MSPTasks[[#Headers],[ID]]))))</f>
        <v/>
      </c>
      <c r="E43" s="24" t="str">
        <f aca="false">IF(IFERROR(INDEX(tsk_Name,(ROW()-ROW(MSPTasks[[#Headers],[ID]])))="",TRUE()),"",IF(INDEX(tsk_Mode,(ROW()-ROW(MSPTasks[[#Headers],[ID]])))="Manual","Manually Scheduled","Auto Scheduled"))</f>
        <v/>
      </c>
      <c r="F43" s="24" t="str">
        <f aca="false">IF(IFERROR(INDEX(tsk_Name,(ROW()-ROW(MSPTasks[[#Headers],[ID]])))="",TRUE()),"",IF(INDEX(tsk_IsSummary,(ROW()-ROW(MSPTasks[[#Headers],[ID]]))),"",N(INDEX(tsk_Duration,(ROW()-ROW(MSPTasks[[#Headers],[ID]]))))&amp;"d"))</f>
        <v/>
      </c>
      <c r="G43" s="127" t="str">
        <f aca="false">IF(IFERROR(INDEX(tsk_Name,(ROW()-ROW(MSPTasks[[#Headers],[ID]])))="",TRUE()),"",INDEX(tsk_FcStart,(ROW()-ROW(MSPTasks[[#Headers],[ID]]))))</f>
        <v/>
      </c>
      <c r="H43" s="127" t="str">
        <f aca="false">IF(IFERROR(INDEX(tsk_Name,(ROW()-ROW(MSPTasks[[#Headers],[ID]])))="",TRUE()),"",INDEX(tsk_FcFinish,(ROW()-ROW(MSPTasks[[#Headers],[ID]]))))</f>
        <v/>
      </c>
      <c r="I43" s="24" t="str">
        <f aca="false">IF(IFERROR(INDEX(tsk_Name,(ROW()-ROW(MSPTasks[[#Headers],[ID]])))="",TRUE()),"",IF(INDEX(tsk_IsSummary,(ROW()-ROW(MSPTasks[[#Headers],[ID]]))),"",INDEX(tsk_Predecessors,(ROW()-ROW(MSPTasks[[#Headers],[ID]])))))</f>
        <v/>
      </c>
      <c r="J43" s="24" t="str">
        <f aca="false">IF(IFERROR(INDEX(tsk_Name,(ROW()-ROW(MSPTasks[[#Headers],[ID]])))="",TRUE()),"",IF(INDEX(tsk_IsSummary,(ROW()-ROW(MSPTasks[[#Headers],[ID]]))),"",INDEX(tsk_UIDPredecessors,(ROW()-ROW(MSPTasks[[#Headers],[ID]])))))</f>
        <v/>
      </c>
      <c r="K4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3" s="24" t="str">
        <f aca="false">IF(IFERROR(INDEX(tsk_Name,(ROW()-ROW(MSPTasks[[#Headers],[ID]])))="",TRUE()),"",IF(INDEX(tsk_IsSummary,(ROW()-ROW(MSPTasks[[#Headers],[ID]]))),"",ROUND(INDEX(tsk_Progress,(ROW()-ROW(MSPTasks[[#Headers],[ID]])))*100,0)))</f>
        <v/>
      </c>
      <c r="M43" s="127" t="str">
        <f aca="false">IF(IFERROR(INDEX(tsk_Name,(ROW()-ROW(MSPTasks[[#Headers],[ID]])))="",TRUE()),"",IF(N(INDEX(tsk_ActStart,(ROW()-ROW(MSPTasks[[#Headers],[ID]]))))=0,"",INDEX(tsk_ActStart,(ROW()-ROW(MSPTasks[[#Headers],[ID]])))))</f>
        <v/>
      </c>
      <c r="N43" s="127" t="str">
        <f aca="false">IF(IFERROR(INDEX(tsk_Name,(ROW()-ROW(MSPTasks[[#Headers],[ID]])))="",TRUE()),"",IF(N(INDEX(tsk_ActFinish,(ROW()-ROW(MSPTasks[[#Headers],[ID]]))))=0,"",INDEX(tsk_ActFinish,(ROW()-ROW(MSPTasks[[#Headers],[ID]])))))</f>
        <v/>
      </c>
      <c r="O43" s="127" t="str">
        <f aca="false">IF(IFERROR(INDEX(tsk_Name,(ROW()-ROW(MSPTasks[[#Headers],[ID]])))="",TRUE()),"",INDEX(tsk_PlanStart,(ROW()-ROW(MSPTasks[[#Headers],[ID]]))))</f>
        <v/>
      </c>
      <c r="P43" s="127" t="str">
        <f aca="false">IF(IFERROR(INDEX(tsk_Name,(ROW()-ROW(MSPTasks[[#Headers],[ID]])))="",TRUE()),"",INDEX(tsk_PlanFinish,(ROW()-ROW(MSPTasks[[#Headers],[ID]]))))</f>
        <v/>
      </c>
      <c r="Q43" s="24" t="str">
        <f aca="false">IF(IFERROR(INDEX(tsk_Name,(ROW()-ROW(MSPTasks[[#Headers],[ID]])))="",TRUE()),"",IF(INDEX(tsk_BaseDuration,(ROW()-ROW(MSPTasks[[#Headers],[ID]])))="","",N(INDEX(tsk_BaseDuration,(ROW()-ROW(MSPTasks[[#Headers],[ID]]))))&amp;"d"))</f>
        <v/>
      </c>
      <c r="R43" s="24" t="str">
        <f aca="false">IF(IFERROR(INDEX(tsk_Name,(ROW()-ROW(MSPTasks[[#Headers],[ID]])))="",TRUE()),"",IF(INDEX(tsk_BaseWork,(ROW()-ROW(MSPTasks[[#Headers],[ID]])))="","",N(INDEX(tsk_BaseWork,(ROW()-ROW(MSPTasks[[#Headers],[ID]]))))&amp;"h"))</f>
        <v/>
      </c>
      <c r="S43" s="24" t="str">
        <f aca="false">IF(IFERROR(INDEX(tsk_Name,(ROW()-ROW(MSPTasks[[#Headers],[ID]])))="",TRUE()),"",IF(INDEX(tsk_BaseCost,(ROW()-ROW(MSPTasks[[#Headers],[ID]])))="","",N(INDEX(tsk_BaseCost,(ROW()-ROW(MSPTasks[[#Headers],[ID]]))))))</f>
        <v/>
      </c>
      <c r="T43" s="24" t="str">
        <f aca="false">IF(IFERROR(INDEX(tsk_Name,(ROW()-ROW(MSPTasks[[#Headers],[ID]])))="",TRUE()),"",IF(INDEX(tsk_IsSummary,(ROW()-ROW(MSPTasks[[#Headers],[ID]]))),"",IF(N(INDEX(tsk_ActCostInput,(ROW()-ROW(MSPTasks[[#Headers],[ID]]))))=0,"",INDEX(tsk_ActCostInput,(ROW()-ROW(MSPTasks[[#Headers],[ID]]))))))</f>
        <v/>
      </c>
      <c r="U43" s="24" t="str">
        <f aca="false">IF(IFERROR(INDEX(tsk_Name,(ROW()-ROW(MSPTasks[[#Headers],[ID]])))="",TRUE()),"",IF(INDEX(tsk_IsSummary,(ROW()-ROW(MSPTasks[[#Headers],[ID]]))),"",IF(AND(INDEX(tsk_Mode,(ROW()-ROW(MSPTasks[[#Headers],[ID]])))&lt;&gt;"Manual",N(INDEX(tsk_Constraint,(ROW()-ROW(MSPTasks[[#Headers],[ID]]))))&gt;0),"Start No Earlier Than","As Soon As Possible")))</f>
        <v/>
      </c>
      <c r="V43" s="127" t="str">
        <f aca="false">IF(IFERROR(INDEX(tsk_Name,(ROW()-ROW(MSPTasks[[#Headers],[ID]])))="",TRUE()),"",IF(OR(INDEX(tsk_IsSummary,(ROW()-ROW(MSPTasks[[#Headers],[ID]]))),INDEX(tsk_Mode,(ROW()-ROW(MSPTasks[[#Headers],[ID]])))="Manual"),"",IF(N(INDEX(tsk_Constraint,(ROW()-ROW(MSPTasks[[#Headers],[ID]]))))=0,"",INDEX(tsk_Constraint,(ROW()-ROW(MSPTasks[[#Headers],[ID]]))))))</f>
        <v/>
      </c>
      <c r="W43" s="127" t="str">
        <f aca="false">IF(IFERROR(INDEX(tsk_Name,(ROW()-ROW(MSPTasks[[#Headers],[ID]])))="",TRUE()),"",IF(N(INDEX(tsk_Deadline,(ROW()-ROW(MSPTasks[[#Headers],[ID]]))))=0,"",INDEX(tsk_Deadline,(ROW()-ROW(MSPTasks[[#Headers],[ID]])))))</f>
        <v/>
      </c>
      <c r="X43" s="24" t="str">
        <f aca="false">IF(IFERROR(INDEX(tsk_Name,(ROW()-ROW(MSPTasks[[#Headers],[ID]])))="",TRUE()),"",IF(INDEX(tsk_IsSummary,(ROW()-ROW(MSPTasks[[#Headers],[ID]]))),"",INDEX(tsk_Sprint,(ROW()-ROW(MSPTasks[[#Headers],[ID]])))&amp;""))</f>
        <v/>
      </c>
      <c r="Y43" s="24" t="str">
        <f aca="false">IF(IFERROR(INDEX(tsk_Name,(ROW()-ROW(MSPTasks[[#Headers],[ID]])))="",TRUE()),"",IF(INDEX(tsk_IsSummary,(ROW()-ROW(MSPTasks[[#Headers],[ID]]))),"",IF(N(INDEX(tsk_StoryPoints,(ROW()-ROW(MSPTasks[[#Headers],[ID]]))))=0,"",INDEX(tsk_StoryPoints,(ROW()-ROW(MSPTasks[[#Headers],[ID]]))))))</f>
        <v/>
      </c>
      <c r="Z43" s="24" t="str">
        <f aca="false">IF(IFERROR(INDEX(tsk_Name,(ROW()-ROW(MSPTasks[[#Headers],[ID]])))="",TRUE()),"",INDEX(tsk_Notes,(ROW()-ROW(MSPTasks[[#Headers],[ID]])))&amp;"")</f>
        <v/>
      </c>
    </row>
    <row r="44" customFormat="false" ht="15" hidden="false" customHeight="false" outlineLevel="0" collapsed="false">
      <c r="A44" s="24" t="str">
        <f aca="false">IF(IFERROR(INDEX(tsk_Name,(ROW()-ROW(MSPTasks[[#Headers],[ID]])))="",TRUE()),"",INDEX(tsk_ID,(ROW()-ROW(MSPTasks[[#Headers],[ID]]))))</f>
        <v/>
      </c>
      <c r="B44" s="24" t="str">
        <f aca="false">IF(IFERROR(INDEX(tsk_Name,(ROW()-ROW(MSPTasks[[#Headers],[ID]])))="",TRUE()),"",INDEX(tsk_UID,(ROW()-ROW(MSPTasks[[#Headers],[ID]]))))</f>
        <v/>
      </c>
      <c r="C44" s="24" t="str">
        <f aca="false">IF(IFERROR(INDEX(tsk_Name,(ROW()-ROW(MSPTasks[[#Headers],[ID]])))="",TRUE()),"",INDEX(tsk_Name,(ROW()-ROW(MSPTasks[[#Headers],[ID]]))))</f>
        <v/>
      </c>
      <c r="D44" s="24" t="str">
        <f aca="false">IF(IFERROR(INDEX(tsk_Name,(ROW()-ROW(MSPTasks[[#Headers],[ID]])))="",TRUE()),"",INDEX(tsk_Level,(ROW()-ROW(MSPTasks[[#Headers],[ID]]))))</f>
        <v/>
      </c>
      <c r="E44" s="24" t="str">
        <f aca="false">IF(IFERROR(INDEX(tsk_Name,(ROW()-ROW(MSPTasks[[#Headers],[ID]])))="",TRUE()),"",IF(INDEX(tsk_Mode,(ROW()-ROW(MSPTasks[[#Headers],[ID]])))="Manual","Manually Scheduled","Auto Scheduled"))</f>
        <v/>
      </c>
      <c r="F44" s="24" t="str">
        <f aca="false">IF(IFERROR(INDEX(tsk_Name,(ROW()-ROW(MSPTasks[[#Headers],[ID]])))="",TRUE()),"",IF(INDEX(tsk_IsSummary,(ROW()-ROW(MSPTasks[[#Headers],[ID]]))),"",N(INDEX(tsk_Duration,(ROW()-ROW(MSPTasks[[#Headers],[ID]]))))&amp;"d"))</f>
        <v/>
      </c>
      <c r="G44" s="127" t="str">
        <f aca="false">IF(IFERROR(INDEX(tsk_Name,(ROW()-ROW(MSPTasks[[#Headers],[ID]])))="",TRUE()),"",INDEX(tsk_FcStart,(ROW()-ROW(MSPTasks[[#Headers],[ID]]))))</f>
        <v/>
      </c>
      <c r="H44" s="127" t="str">
        <f aca="false">IF(IFERROR(INDEX(tsk_Name,(ROW()-ROW(MSPTasks[[#Headers],[ID]])))="",TRUE()),"",INDEX(tsk_FcFinish,(ROW()-ROW(MSPTasks[[#Headers],[ID]]))))</f>
        <v/>
      </c>
      <c r="I44" s="24" t="str">
        <f aca="false">IF(IFERROR(INDEX(tsk_Name,(ROW()-ROW(MSPTasks[[#Headers],[ID]])))="",TRUE()),"",IF(INDEX(tsk_IsSummary,(ROW()-ROW(MSPTasks[[#Headers],[ID]]))),"",INDEX(tsk_Predecessors,(ROW()-ROW(MSPTasks[[#Headers],[ID]])))))</f>
        <v/>
      </c>
      <c r="J44" s="24" t="str">
        <f aca="false">IF(IFERROR(INDEX(tsk_Name,(ROW()-ROW(MSPTasks[[#Headers],[ID]])))="",TRUE()),"",IF(INDEX(tsk_IsSummary,(ROW()-ROW(MSPTasks[[#Headers],[ID]]))),"",INDEX(tsk_UIDPredecessors,(ROW()-ROW(MSPTasks[[#Headers],[ID]])))))</f>
        <v/>
      </c>
      <c r="K4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4" s="24" t="str">
        <f aca="false">IF(IFERROR(INDEX(tsk_Name,(ROW()-ROW(MSPTasks[[#Headers],[ID]])))="",TRUE()),"",IF(INDEX(tsk_IsSummary,(ROW()-ROW(MSPTasks[[#Headers],[ID]]))),"",ROUND(INDEX(tsk_Progress,(ROW()-ROW(MSPTasks[[#Headers],[ID]])))*100,0)))</f>
        <v/>
      </c>
      <c r="M44" s="127" t="str">
        <f aca="false">IF(IFERROR(INDEX(tsk_Name,(ROW()-ROW(MSPTasks[[#Headers],[ID]])))="",TRUE()),"",IF(N(INDEX(tsk_ActStart,(ROW()-ROW(MSPTasks[[#Headers],[ID]]))))=0,"",INDEX(tsk_ActStart,(ROW()-ROW(MSPTasks[[#Headers],[ID]])))))</f>
        <v/>
      </c>
      <c r="N44" s="127" t="str">
        <f aca="false">IF(IFERROR(INDEX(tsk_Name,(ROW()-ROW(MSPTasks[[#Headers],[ID]])))="",TRUE()),"",IF(N(INDEX(tsk_ActFinish,(ROW()-ROW(MSPTasks[[#Headers],[ID]]))))=0,"",INDEX(tsk_ActFinish,(ROW()-ROW(MSPTasks[[#Headers],[ID]])))))</f>
        <v/>
      </c>
      <c r="O44" s="127" t="str">
        <f aca="false">IF(IFERROR(INDEX(tsk_Name,(ROW()-ROW(MSPTasks[[#Headers],[ID]])))="",TRUE()),"",INDEX(tsk_PlanStart,(ROW()-ROW(MSPTasks[[#Headers],[ID]]))))</f>
        <v/>
      </c>
      <c r="P44" s="127" t="str">
        <f aca="false">IF(IFERROR(INDEX(tsk_Name,(ROW()-ROW(MSPTasks[[#Headers],[ID]])))="",TRUE()),"",INDEX(tsk_PlanFinish,(ROW()-ROW(MSPTasks[[#Headers],[ID]]))))</f>
        <v/>
      </c>
      <c r="Q44" s="24" t="str">
        <f aca="false">IF(IFERROR(INDEX(tsk_Name,(ROW()-ROW(MSPTasks[[#Headers],[ID]])))="",TRUE()),"",IF(INDEX(tsk_BaseDuration,(ROW()-ROW(MSPTasks[[#Headers],[ID]])))="","",N(INDEX(tsk_BaseDuration,(ROW()-ROW(MSPTasks[[#Headers],[ID]]))))&amp;"d"))</f>
        <v/>
      </c>
      <c r="R44" s="24" t="str">
        <f aca="false">IF(IFERROR(INDEX(tsk_Name,(ROW()-ROW(MSPTasks[[#Headers],[ID]])))="",TRUE()),"",IF(INDEX(tsk_BaseWork,(ROW()-ROW(MSPTasks[[#Headers],[ID]])))="","",N(INDEX(tsk_BaseWork,(ROW()-ROW(MSPTasks[[#Headers],[ID]]))))&amp;"h"))</f>
        <v/>
      </c>
      <c r="S44" s="24" t="str">
        <f aca="false">IF(IFERROR(INDEX(tsk_Name,(ROW()-ROW(MSPTasks[[#Headers],[ID]])))="",TRUE()),"",IF(INDEX(tsk_BaseCost,(ROW()-ROW(MSPTasks[[#Headers],[ID]])))="","",N(INDEX(tsk_BaseCost,(ROW()-ROW(MSPTasks[[#Headers],[ID]]))))))</f>
        <v/>
      </c>
      <c r="T44" s="24" t="str">
        <f aca="false">IF(IFERROR(INDEX(tsk_Name,(ROW()-ROW(MSPTasks[[#Headers],[ID]])))="",TRUE()),"",IF(INDEX(tsk_IsSummary,(ROW()-ROW(MSPTasks[[#Headers],[ID]]))),"",IF(N(INDEX(tsk_ActCostInput,(ROW()-ROW(MSPTasks[[#Headers],[ID]]))))=0,"",INDEX(tsk_ActCostInput,(ROW()-ROW(MSPTasks[[#Headers],[ID]]))))))</f>
        <v/>
      </c>
      <c r="U44" s="24" t="str">
        <f aca="false">IF(IFERROR(INDEX(tsk_Name,(ROW()-ROW(MSPTasks[[#Headers],[ID]])))="",TRUE()),"",IF(INDEX(tsk_IsSummary,(ROW()-ROW(MSPTasks[[#Headers],[ID]]))),"",IF(AND(INDEX(tsk_Mode,(ROW()-ROW(MSPTasks[[#Headers],[ID]])))&lt;&gt;"Manual",N(INDEX(tsk_Constraint,(ROW()-ROW(MSPTasks[[#Headers],[ID]]))))&gt;0),"Start No Earlier Than","As Soon As Possible")))</f>
        <v/>
      </c>
      <c r="V44" s="127" t="str">
        <f aca="false">IF(IFERROR(INDEX(tsk_Name,(ROW()-ROW(MSPTasks[[#Headers],[ID]])))="",TRUE()),"",IF(OR(INDEX(tsk_IsSummary,(ROW()-ROW(MSPTasks[[#Headers],[ID]]))),INDEX(tsk_Mode,(ROW()-ROW(MSPTasks[[#Headers],[ID]])))="Manual"),"",IF(N(INDEX(tsk_Constraint,(ROW()-ROW(MSPTasks[[#Headers],[ID]]))))=0,"",INDEX(tsk_Constraint,(ROW()-ROW(MSPTasks[[#Headers],[ID]]))))))</f>
        <v/>
      </c>
      <c r="W44" s="127" t="str">
        <f aca="false">IF(IFERROR(INDEX(tsk_Name,(ROW()-ROW(MSPTasks[[#Headers],[ID]])))="",TRUE()),"",IF(N(INDEX(tsk_Deadline,(ROW()-ROW(MSPTasks[[#Headers],[ID]]))))=0,"",INDEX(tsk_Deadline,(ROW()-ROW(MSPTasks[[#Headers],[ID]])))))</f>
        <v/>
      </c>
      <c r="X44" s="24" t="str">
        <f aca="false">IF(IFERROR(INDEX(tsk_Name,(ROW()-ROW(MSPTasks[[#Headers],[ID]])))="",TRUE()),"",IF(INDEX(tsk_IsSummary,(ROW()-ROW(MSPTasks[[#Headers],[ID]]))),"",INDEX(tsk_Sprint,(ROW()-ROW(MSPTasks[[#Headers],[ID]])))&amp;""))</f>
        <v/>
      </c>
      <c r="Y44" s="24" t="str">
        <f aca="false">IF(IFERROR(INDEX(tsk_Name,(ROW()-ROW(MSPTasks[[#Headers],[ID]])))="",TRUE()),"",IF(INDEX(tsk_IsSummary,(ROW()-ROW(MSPTasks[[#Headers],[ID]]))),"",IF(N(INDEX(tsk_StoryPoints,(ROW()-ROW(MSPTasks[[#Headers],[ID]]))))=0,"",INDEX(tsk_StoryPoints,(ROW()-ROW(MSPTasks[[#Headers],[ID]]))))))</f>
        <v/>
      </c>
      <c r="Z44" s="24" t="str">
        <f aca="false">IF(IFERROR(INDEX(tsk_Name,(ROW()-ROW(MSPTasks[[#Headers],[ID]])))="",TRUE()),"",INDEX(tsk_Notes,(ROW()-ROW(MSPTasks[[#Headers],[ID]])))&amp;"")</f>
        <v/>
      </c>
    </row>
    <row r="45" customFormat="false" ht="15" hidden="false" customHeight="false" outlineLevel="0" collapsed="false">
      <c r="A45" s="24" t="str">
        <f aca="false">IF(IFERROR(INDEX(tsk_Name,(ROW()-ROW(MSPTasks[[#Headers],[ID]])))="",TRUE()),"",INDEX(tsk_ID,(ROW()-ROW(MSPTasks[[#Headers],[ID]]))))</f>
        <v/>
      </c>
      <c r="B45" s="24" t="str">
        <f aca="false">IF(IFERROR(INDEX(tsk_Name,(ROW()-ROW(MSPTasks[[#Headers],[ID]])))="",TRUE()),"",INDEX(tsk_UID,(ROW()-ROW(MSPTasks[[#Headers],[ID]]))))</f>
        <v/>
      </c>
      <c r="C45" s="24" t="str">
        <f aca="false">IF(IFERROR(INDEX(tsk_Name,(ROW()-ROW(MSPTasks[[#Headers],[ID]])))="",TRUE()),"",INDEX(tsk_Name,(ROW()-ROW(MSPTasks[[#Headers],[ID]]))))</f>
        <v/>
      </c>
      <c r="D45" s="24" t="str">
        <f aca="false">IF(IFERROR(INDEX(tsk_Name,(ROW()-ROW(MSPTasks[[#Headers],[ID]])))="",TRUE()),"",INDEX(tsk_Level,(ROW()-ROW(MSPTasks[[#Headers],[ID]]))))</f>
        <v/>
      </c>
      <c r="E45" s="24" t="str">
        <f aca="false">IF(IFERROR(INDEX(tsk_Name,(ROW()-ROW(MSPTasks[[#Headers],[ID]])))="",TRUE()),"",IF(INDEX(tsk_Mode,(ROW()-ROW(MSPTasks[[#Headers],[ID]])))="Manual","Manually Scheduled","Auto Scheduled"))</f>
        <v/>
      </c>
      <c r="F45" s="24" t="str">
        <f aca="false">IF(IFERROR(INDEX(tsk_Name,(ROW()-ROW(MSPTasks[[#Headers],[ID]])))="",TRUE()),"",IF(INDEX(tsk_IsSummary,(ROW()-ROW(MSPTasks[[#Headers],[ID]]))),"",N(INDEX(tsk_Duration,(ROW()-ROW(MSPTasks[[#Headers],[ID]]))))&amp;"d"))</f>
        <v/>
      </c>
      <c r="G45" s="127" t="str">
        <f aca="false">IF(IFERROR(INDEX(tsk_Name,(ROW()-ROW(MSPTasks[[#Headers],[ID]])))="",TRUE()),"",INDEX(tsk_FcStart,(ROW()-ROW(MSPTasks[[#Headers],[ID]]))))</f>
        <v/>
      </c>
      <c r="H45" s="127" t="str">
        <f aca="false">IF(IFERROR(INDEX(tsk_Name,(ROW()-ROW(MSPTasks[[#Headers],[ID]])))="",TRUE()),"",INDEX(tsk_FcFinish,(ROW()-ROW(MSPTasks[[#Headers],[ID]]))))</f>
        <v/>
      </c>
      <c r="I45" s="24" t="str">
        <f aca="false">IF(IFERROR(INDEX(tsk_Name,(ROW()-ROW(MSPTasks[[#Headers],[ID]])))="",TRUE()),"",IF(INDEX(tsk_IsSummary,(ROW()-ROW(MSPTasks[[#Headers],[ID]]))),"",INDEX(tsk_Predecessors,(ROW()-ROW(MSPTasks[[#Headers],[ID]])))))</f>
        <v/>
      </c>
      <c r="J45" s="24" t="str">
        <f aca="false">IF(IFERROR(INDEX(tsk_Name,(ROW()-ROW(MSPTasks[[#Headers],[ID]])))="",TRUE()),"",IF(INDEX(tsk_IsSummary,(ROW()-ROW(MSPTasks[[#Headers],[ID]]))),"",INDEX(tsk_UIDPredecessors,(ROW()-ROW(MSPTasks[[#Headers],[ID]])))))</f>
        <v/>
      </c>
      <c r="K4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5" s="24" t="str">
        <f aca="false">IF(IFERROR(INDEX(tsk_Name,(ROW()-ROW(MSPTasks[[#Headers],[ID]])))="",TRUE()),"",IF(INDEX(tsk_IsSummary,(ROW()-ROW(MSPTasks[[#Headers],[ID]]))),"",ROUND(INDEX(tsk_Progress,(ROW()-ROW(MSPTasks[[#Headers],[ID]])))*100,0)))</f>
        <v/>
      </c>
      <c r="M45" s="127" t="str">
        <f aca="false">IF(IFERROR(INDEX(tsk_Name,(ROW()-ROW(MSPTasks[[#Headers],[ID]])))="",TRUE()),"",IF(N(INDEX(tsk_ActStart,(ROW()-ROW(MSPTasks[[#Headers],[ID]]))))=0,"",INDEX(tsk_ActStart,(ROW()-ROW(MSPTasks[[#Headers],[ID]])))))</f>
        <v/>
      </c>
      <c r="N45" s="127" t="str">
        <f aca="false">IF(IFERROR(INDEX(tsk_Name,(ROW()-ROW(MSPTasks[[#Headers],[ID]])))="",TRUE()),"",IF(N(INDEX(tsk_ActFinish,(ROW()-ROW(MSPTasks[[#Headers],[ID]]))))=0,"",INDEX(tsk_ActFinish,(ROW()-ROW(MSPTasks[[#Headers],[ID]])))))</f>
        <v/>
      </c>
      <c r="O45" s="127" t="str">
        <f aca="false">IF(IFERROR(INDEX(tsk_Name,(ROW()-ROW(MSPTasks[[#Headers],[ID]])))="",TRUE()),"",INDEX(tsk_PlanStart,(ROW()-ROW(MSPTasks[[#Headers],[ID]]))))</f>
        <v/>
      </c>
      <c r="P45" s="127" t="str">
        <f aca="false">IF(IFERROR(INDEX(tsk_Name,(ROW()-ROW(MSPTasks[[#Headers],[ID]])))="",TRUE()),"",INDEX(tsk_PlanFinish,(ROW()-ROW(MSPTasks[[#Headers],[ID]]))))</f>
        <v/>
      </c>
      <c r="Q45" s="24" t="str">
        <f aca="false">IF(IFERROR(INDEX(tsk_Name,(ROW()-ROW(MSPTasks[[#Headers],[ID]])))="",TRUE()),"",IF(INDEX(tsk_BaseDuration,(ROW()-ROW(MSPTasks[[#Headers],[ID]])))="","",N(INDEX(tsk_BaseDuration,(ROW()-ROW(MSPTasks[[#Headers],[ID]]))))&amp;"d"))</f>
        <v/>
      </c>
      <c r="R45" s="24" t="str">
        <f aca="false">IF(IFERROR(INDEX(tsk_Name,(ROW()-ROW(MSPTasks[[#Headers],[ID]])))="",TRUE()),"",IF(INDEX(tsk_BaseWork,(ROW()-ROW(MSPTasks[[#Headers],[ID]])))="","",N(INDEX(tsk_BaseWork,(ROW()-ROW(MSPTasks[[#Headers],[ID]]))))&amp;"h"))</f>
        <v/>
      </c>
      <c r="S45" s="24" t="str">
        <f aca="false">IF(IFERROR(INDEX(tsk_Name,(ROW()-ROW(MSPTasks[[#Headers],[ID]])))="",TRUE()),"",IF(INDEX(tsk_BaseCost,(ROW()-ROW(MSPTasks[[#Headers],[ID]])))="","",N(INDEX(tsk_BaseCost,(ROW()-ROW(MSPTasks[[#Headers],[ID]]))))))</f>
        <v/>
      </c>
      <c r="T45" s="24" t="str">
        <f aca="false">IF(IFERROR(INDEX(tsk_Name,(ROW()-ROW(MSPTasks[[#Headers],[ID]])))="",TRUE()),"",IF(INDEX(tsk_IsSummary,(ROW()-ROW(MSPTasks[[#Headers],[ID]]))),"",IF(N(INDEX(tsk_ActCostInput,(ROW()-ROW(MSPTasks[[#Headers],[ID]]))))=0,"",INDEX(tsk_ActCostInput,(ROW()-ROW(MSPTasks[[#Headers],[ID]]))))))</f>
        <v/>
      </c>
      <c r="U45" s="24" t="str">
        <f aca="false">IF(IFERROR(INDEX(tsk_Name,(ROW()-ROW(MSPTasks[[#Headers],[ID]])))="",TRUE()),"",IF(INDEX(tsk_IsSummary,(ROW()-ROW(MSPTasks[[#Headers],[ID]]))),"",IF(AND(INDEX(tsk_Mode,(ROW()-ROW(MSPTasks[[#Headers],[ID]])))&lt;&gt;"Manual",N(INDEX(tsk_Constraint,(ROW()-ROW(MSPTasks[[#Headers],[ID]]))))&gt;0),"Start No Earlier Than","As Soon As Possible")))</f>
        <v/>
      </c>
      <c r="V45" s="127" t="str">
        <f aca="false">IF(IFERROR(INDEX(tsk_Name,(ROW()-ROW(MSPTasks[[#Headers],[ID]])))="",TRUE()),"",IF(OR(INDEX(tsk_IsSummary,(ROW()-ROW(MSPTasks[[#Headers],[ID]]))),INDEX(tsk_Mode,(ROW()-ROW(MSPTasks[[#Headers],[ID]])))="Manual"),"",IF(N(INDEX(tsk_Constraint,(ROW()-ROW(MSPTasks[[#Headers],[ID]]))))=0,"",INDEX(tsk_Constraint,(ROW()-ROW(MSPTasks[[#Headers],[ID]]))))))</f>
        <v/>
      </c>
      <c r="W45" s="127" t="str">
        <f aca="false">IF(IFERROR(INDEX(tsk_Name,(ROW()-ROW(MSPTasks[[#Headers],[ID]])))="",TRUE()),"",IF(N(INDEX(tsk_Deadline,(ROW()-ROW(MSPTasks[[#Headers],[ID]]))))=0,"",INDEX(tsk_Deadline,(ROW()-ROW(MSPTasks[[#Headers],[ID]])))))</f>
        <v/>
      </c>
      <c r="X45" s="24" t="str">
        <f aca="false">IF(IFERROR(INDEX(tsk_Name,(ROW()-ROW(MSPTasks[[#Headers],[ID]])))="",TRUE()),"",IF(INDEX(tsk_IsSummary,(ROW()-ROW(MSPTasks[[#Headers],[ID]]))),"",INDEX(tsk_Sprint,(ROW()-ROW(MSPTasks[[#Headers],[ID]])))&amp;""))</f>
        <v/>
      </c>
      <c r="Y45" s="24" t="str">
        <f aca="false">IF(IFERROR(INDEX(tsk_Name,(ROW()-ROW(MSPTasks[[#Headers],[ID]])))="",TRUE()),"",IF(INDEX(tsk_IsSummary,(ROW()-ROW(MSPTasks[[#Headers],[ID]]))),"",IF(N(INDEX(tsk_StoryPoints,(ROW()-ROW(MSPTasks[[#Headers],[ID]]))))=0,"",INDEX(tsk_StoryPoints,(ROW()-ROW(MSPTasks[[#Headers],[ID]]))))))</f>
        <v/>
      </c>
      <c r="Z45" s="24" t="str">
        <f aca="false">IF(IFERROR(INDEX(tsk_Name,(ROW()-ROW(MSPTasks[[#Headers],[ID]])))="",TRUE()),"",INDEX(tsk_Notes,(ROW()-ROW(MSPTasks[[#Headers],[ID]])))&amp;"")</f>
        <v/>
      </c>
    </row>
    <row r="46" customFormat="false" ht="15" hidden="false" customHeight="false" outlineLevel="0" collapsed="false">
      <c r="A46" s="24" t="str">
        <f aca="false">IF(IFERROR(INDEX(tsk_Name,(ROW()-ROW(MSPTasks[[#Headers],[ID]])))="",TRUE()),"",INDEX(tsk_ID,(ROW()-ROW(MSPTasks[[#Headers],[ID]]))))</f>
        <v/>
      </c>
      <c r="B46" s="24" t="str">
        <f aca="false">IF(IFERROR(INDEX(tsk_Name,(ROW()-ROW(MSPTasks[[#Headers],[ID]])))="",TRUE()),"",INDEX(tsk_UID,(ROW()-ROW(MSPTasks[[#Headers],[ID]]))))</f>
        <v/>
      </c>
      <c r="C46" s="24" t="str">
        <f aca="false">IF(IFERROR(INDEX(tsk_Name,(ROW()-ROW(MSPTasks[[#Headers],[ID]])))="",TRUE()),"",INDEX(tsk_Name,(ROW()-ROW(MSPTasks[[#Headers],[ID]]))))</f>
        <v/>
      </c>
      <c r="D46" s="24" t="str">
        <f aca="false">IF(IFERROR(INDEX(tsk_Name,(ROW()-ROW(MSPTasks[[#Headers],[ID]])))="",TRUE()),"",INDEX(tsk_Level,(ROW()-ROW(MSPTasks[[#Headers],[ID]]))))</f>
        <v/>
      </c>
      <c r="E46" s="24" t="str">
        <f aca="false">IF(IFERROR(INDEX(tsk_Name,(ROW()-ROW(MSPTasks[[#Headers],[ID]])))="",TRUE()),"",IF(INDEX(tsk_Mode,(ROW()-ROW(MSPTasks[[#Headers],[ID]])))="Manual","Manually Scheduled","Auto Scheduled"))</f>
        <v/>
      </c>
      <c r="F46" s="24" t="str">
        <f aca="false">IF(IFERROR(INDEX(tsk_Name,(ROW()-ROW(MSPTasks[[#Headers],[ID]])))="",TRUE()),"",IF(INDEX(tsk_IsSummary,(ROW()-ROW(MSPTasks[[#Headers],[ID]]))),"",N(INDEX(tsk_Duration,(ROW()-ROW(MSPTasks[[#Headers],[ID]]))))&amp;"d"))</f>
        <v/>
      </c>
      <c r="G46" s="127" t="str">
        <f aca="false">IF(IFERROR(INDEX(tsk_Name,(ROW()-ROW(MSPTasks[[#Headers],[ID]])))="",TRUE()),"",INDEX(tsk_FcStart,(ROW()-ROW(MSPTasks[[#Headers],[ID]]))))</f>
        <v/>
      </c>
      <c r="H46" s="127" t="str">
        <f aca="false">IF(IFERROR(INDEX(tsk_Name,(ROW()-ROW(MSPTasks[[#Headers],[ID]])))="",TRUE()),"",INDEX(tsk_FcFinish,(ROW()-ROW(MSPTasks[[#Headers],[ID]]))))</f>
        <v/>
      </c>
      <c r="I46" s="24" t="str">
        <f aca="false">IF(IFERROR(INDEX(tsk_Name,(ROW()-ROW(MSPTasks[[#Headers],[ID]])))="",TRUE()),"",IF(INDEX(tsk_IsSummary,(ROW()-ROW(MSPTasks[[#Headers],[ID]]))),"",INDEX(tsk_Predecessors,(ROW()-ROW(MSPTasks[[#Headers],[ID]])))))</f>
        <v/>
      </c>
      <c r="J46" s="24" t="str">
        <f aca="false">IF(IFERROR(INDEX(tsk_Name,(ROW()-ROW(MSPTasks[[#Headers],[ID]])))="",TRUE()),"",IF(INDEX(tsk_IsSummary,(ROW()-ROW(MSPTasks[[#Headers],[ID]]))),"",INDEX(tsk_UIDPredecessors,(ROW()-ROW(MSPTasks[[#Headers],[ID]])))))</f>
        <v/>
      </c>
      <c r="K4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6" s="24" t="str">
        <f aca="false">IF(IFERROR(INDEX(tsk_Name,(ROW()-ROW(MSPTasks[[#Headers],[ID]])))="",TRUE()),"",IF(INDEX(tsk_IsSummary,(ROW()-ROW(MSPTasks[[#Headers],[ID]]))),"",ROUND(INDEX(tsk_Progress,(ROW()-ROW(MSPTasks[[#Headers],[ID]])))*100,0)))</f>
        <v/>
      </c>
      <c r="M46" s="127" t="str">
        <f aca="false">IF(IFERROR(INDEX(tsk_Name,(ROW()-ROW(MSPTasks[[#Headers],[ID]])))="",TRUE()),"",IF(N(INDEX(tsk_ActStart,(ROW()-ROW(MSPTasks[[#Headers],[ID]]))))=0,"",INDEX(tsk_ActStart,(ROW()-ROW(MSPTasks[[#Headers],[ID]])))))</f>
        <v/>
      </c>
      <c r="N46" s="127" t="str">
        <f aca="false">IF(IFERROR(INDEX(tsk_Name,(ROW()-ROW(MSPTasks[[#Headers],[ID]])))="",TRUE()),"",IF(N(INDEX(tsk_ActFinish,(ROW()-ROW(MSPTasks[[#Headers],[ID]]))))=0,"",INDEX(tsk_ActFinish,(ROW()-ROW(MSPTasks[[#Headers],[ID]])))))</f>
        <v/>
      </c>
      <c r="O46" s="127" t="str">
        <f aca="false">IF(IFERROR(INDEX(tsk_Name,(ROW()-ROW(MSPTasks[[#Headers],[ID]])))="",TRUE()),"",INDEX(tsk_PlanStart,(ROW()-ROW(MSPTasks[[#Headers],[ID]]))))</f>
        <v/>
      </c>
      <c r="P46" s="127" t="str">
        <f aca="false">IF(IFERROR(INDEX(tsk_Name,(ROW()-ROW(MSPTasks[[#Headers],[ID]])))="",TRUE()),"",INDEX(tsk_PlanFinish,(ROW()-ROW(MSPTasks[[#Headers],[ID]]))))</f>
        <v/>
      </c>
      <c r="Q46" s="24" t="str">
        <f aca="false">IF(IFERROR(INDEX(tsk_Name,(ROW()-ROW(MSPTasks[[#Headers],[ID]])))="",TRUE()),"",IF(INDEX(tsk_BaseDuration,(ROW()-ROW(MSPTasks[[#Headers],[ID]])))="","",N(INDEX(tsk_BaseDuration,(ROW()-ROW(MSPTasks[[#Headers],[ID]]))))&amp;"d"))</f>
        <v/>
      </c>
      <c r="R46" s="24" t="str">
        <f aca="false">IF(IFERROR(INDEX(tsk_Name,(ROW()-ROW(MSPTasks[[#Headers],[ID]])))="",TRUE()),"",IF(INDEX(tsk_BaseWork,(ROW()-ROW(MSPTasks[[#Headers],[ID]])))="","",N(INDEX(tsk_BaseWork,(ROW()-ROW(MSPTasks[[#Headers],[ID]]))))&amp;"h"))</f>
        <v/>
      </c>
      <c r="S46" s="24" t="str">
        <f aca="false">IF(IFERROR(INDEX(tsk_Name,(ROW()-ROW(MSPTasks[[#Headers],[ID]])))="",TRUE()),"",IF(INDEX(tsk_BaseCost,(ROW()-ROW(MSPTasks[[#Headers],[ID]])))="","",N(INDEX(tsk_BaseCost,(ROW()-ROW(MSPTasks[[#Headers],[ID]]))))))</f>
        <v/>
      </c>
      <c r="T46" s="24" t="str">
        <f aca="false">IF(IFERROR(INDEX(tsk_Name,(ROW()-ROW(MSPTasks[[#Headers],[ID]])))="",TRUE()),"",IF(INDEX(tsk_IsSummary,(ROW()-ROW(MSPTasks[[#Headers],[ID]]))),"",IF(N(INDEX(tsk_ActCostInput,(ROW()-ROW(MSPTasks[[#Headers],[ID]]))))=0,"",INDEX(tsk_ActCostInput,(ROW()-ROW(MSPTasks[[#Headers],[ID]]))))))</f>
        <v/>
      </c>
      <c r="U46" s="24" t="str">
        <f aca="false">IF(IFERROR(INDEX(tsk_Name,(ROW()-ROW(MSPTasks[[#Headers],[ID]])))="",TRUE()),"",IF(INDEX(tsk_IsSummary,(ROW()-ROW(MSPTasks[[#Headers],[ID]]))),"",IF(AND(INDEX(tsk_Mode,(ROW()-ROW(MSPTasks[[#Headers],[ID]])))&lt;&gt;"Manual",N(INDEX(tsk_Constraint,(ROW()-ROW(MSPTasks[[#Headers],[ID]]))))&gt;0),"Start No Earlier Than","As Soon As Possible")))</f>
        <v/>
      </c>
      <c r="V46" s="127" t="str">
        <f aca="false">IF(IFERROR(INDEX(tsk_Name,(ROW()-ROW(MSPTasks[[#Headers],[ID]])))="",TRUE()),"",IF(OR(INDEX(tsk_IsSummary,(ROW()-ROW(MSPTasks[[#Headers],[ID]]))),INDEX(tsk_Mode,(ROW()-ROW(MSPTasks[[#Headers],[ID]])))="Manual"),"",IF(N(INDEX(tsk_Constraint,(ROW()-ROW(MSPTasks[[#Headers],[ID]]))))=0,"",INDEX(tsk_Constraint,(ROW()-ROW(MSPTasks[[#Headers],[ID]]))))))</f>
        <v/>
      </c>
      <c r="W46" s="127" t="str">
        <f aca="false">IF(IFERROR(INDEX(tsk_Name,(ROW()-ROW(MSPTasks[[#Headers],[ID]])))="",TRUE()),"",IF(N(INDEX(tsk_Deadline,(ROW()-ROW(MSPTasks[[#Headers],[ID]]))))=0,"",INDEX(tsk_Deadline,(ROW()-ROW(MSPTasks[[#Headers],[ID]])))))</f>
        <v/>
      </c>
      <c r="X46" s="24" t="str">
        <f aca="false">IF(IFERROR(INDEX(tsk_Name,(ROW()-ROW(MSPTasks[[#Headers],[ID]])))="",TRUE()),"",IF(INDEX(tsk_IsSummary,(ROW()-ROW(MSPTasks[[#Headers],[ID]]))),"",INDEX(tsk_Sprint,(ROW()-ROW(MSPTasks[[#Headers],[ID]])))&amp;""))</f>
        <v/>
      </c>
      <c r="Y46" s="24" t="str">
        <f aca="false">IF(IFERROR(INDEX(tsk_Name,(ROW()-ROW(MSPTasks[[#Headers],[ID]])))="",TRUE()),"",IF(INDEX(tsk_IsSummary,(ROW()-ROW(MSPTasks[[#Headers],[ID]]))),"",IF(N(INDEX(tsk_StoryPoints,(ROW()-ROW(MSPTasks[[#Headers],[ID]]))))=0,"",INDEX(tsk_StoryPoints,(ROW()-ROW(MSPTasks[[#Headers],[ID]]))))))</f>
        <v/>
      </c>
      <c r="Z46" s="24" t="str">
        <f aca="false">IF(IFERROR(INDEX(tsk_Name,(ROW()-ROW(MSPTasks[[#Headers],[ID]])))="",TRUE()),"",INDEX(tsk_Notes,(ROW()-ROW(MSPTasks[[#Headers],[ID]])))&amp;"")</f>
        <v/>
      </c>
    </row>
    <row r="47" customFormat="false" ht="15" hidden="false" customHeight="false" outlineLevel="0" collapsed="false">
      <c r="A47" s="24" t="str">
        <f aca="false">IF(IFERROR(INDEX(tsk_Name,(ROW()-ROW(MSPTasks[[#Headers],[ID]])))="",TRUE()),"",INDEX(tsk_ID,(ROW()-ROW(MSPTasks[[#Headers],[ID]]))))</f>
        <v/>
      </c>
      <c r="B47" s="24" t="str">
        <f aca="false">IF(IFERROR(INDEX(tsk_Name,(ROW()-ROW(MSPTasks[[#Headers],[ID]])))="",TRUE()),"",INDEX(tsk_UID,(ROW()-ROW(MSPTasks[[#Headers],[ID]]))))</f>
        <v/>
      </c>
      <c r="C47" s="24" t="str">
        <f aca="false">IF(IFERROR(INDEX(tsk_Name,(ROW()-ROW(MSPTasks[[#Headers],[ID]])))="",TRUE()),"",INDEX(tsk_Name,(ROW()-ROW(MSPTasks[[#Headers],[ID]]))))</f>
        <v/>
      </c>
      <c r="D47" s="24" t="str">
        <f aca="false">IF(IFERROR(INDEX(tsk_Name,(ROW()-ROW(MSPTasks[[#Headers],[ID]])))="",TRUE()),"",INDEX(tsk_Level,(ROW()-ROW(MSPTasks[[#Headers],[ID]]))))</f>
        <v/>
      </c>
      <c r="E47" s="24" t="str">
        <f aca="false">IF(IFERROR(INDEX(tsk_Name,(ROW()-ROW(MSPTasks[[#Headers],[ID]])))="",TRUE()),"",IF(INDEX(tsk_Mode,(ROW()-ROW(MSPTasks[[#Headers],[ID]])))="Manual","Manually Scheduled","Auto Scheduled"))</f>
        <v/>
      </c>
      <c r="F47" s="24" t="str">
        <f aca="false">IF(IFERROR(INDEX(tsk_Name,(ROW()-ROW(MSPTasks[[#Headers],[ID]])))="",TRUE()),"",IF(INDEX(tsk_IsSummary,(ROW()-ROW(MSPTasks[[#Headers],[ID]]))),"",N(INDEX(tsk_Duration,(ROW()-ROW(MSPTasks[[#Headers],[ID]]))))&amp;"d"))</f>
        <v/>
      </c>
      <c r="G47" s="127" t="str">
        <f aca="false">IF(IFERROR(INDEX(tsk_Name,(ROW()-ROW(MSPTasks[[#Headers],[ID]])))="",TRUE()),"",INDEX(tsk_FcStart,(ROW()-ROW(MSPTasks[[#Headers],[ID]]))))</f>
        <v/>
      </c>
      <c r="H47" s="127" t="str">
        <f aca="false">IF(IFERROR(INDEX(tsk_Name,(ROW()-ROW(MSPTasks[[#Headers],[ID]])))="",TRUE()),"",INDEX(tsk_FcFinish,(ROW()-ROW(MSPTasks[[#Headers],[ID]]))))</f>
        <v/>
      </c>
      <c r="I47" s="24" t="str">
        <f aca="false">IF(IFERROR(INDEX(tsk_Name,(ROW()-ROW(MSPTasks[[#Headers],[ID]])))="",TRUE()),"",IF(INDEX(tsk_IsSummary,(ROW()-ROW(MSPTasks[[#Headers],[ID]]))),"",INDEX(tsk_Predecessors,(ROW()-ROW(MSPTasks[[#Headers],[ID]])))))</f>
        <v/>
      </c>
      <c r="J47" s="24" t="str">
        <f aca="false">IF(IFERROR(INDEX(tsk_Name,(ROW()-ROW(MSPTasks[[#Headers],[ID]])))="",TRUE()),"",IF(INDEX(tsk_IsSummary,(ROW()-ROW(MSPTasks[[#Headers],[ID]]))),"",INDEX(tsk_UIDPredecessors,(ROW()-ROW(MSPTasks[[#Headers],[ID]])))))</f>
        <v/>
      </c>
      <c r="K4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7" s="24" t="str">
        <f aca="false">IF(IFERROR(INDEX(tsk_Name,(ROW()-ROW(MSPTasks[[#Headers],[ID]])))="",TRUE()),"",IF(INDEX(tsk_IsSummary,(ROW()-ROW(MSPTasks[[#Headers],[ID]]))),"",ROUND(INDEX(tsk_Progress,(ROW()-ROW(MSPTasks[[#Headers],[ID]])))*100,0)))</f>
        <v/>
      </c>
      <c r="M47" s="127" t="str">
        <f aca="false">IF(IFERROR(INDEX(tsk_Name,(ROW()-ROW(MSPTasks[[#Headers],[ID]])))="",TRUE()),"",IF(N(INDEX(tsk_ActStart,(ROW()-ROW(MSPTasks[[#Headers],[ID]]))))=0,"",INDEX(tsk_ActStart,(ROW()-ROW(MSPTasks[[#Headers],[ID]])))))</f>
        <v/>
      </c>
      <c r="N47" s="127" t="str">
        <f aca="false">IF(IFERROR(INDEX(tsk_Name,(ROW()-ROW(MSPTasks[[#Headers],[ID]])))="",TRUE()),"",IF(N(INDEX(tsk_ActFinish,(ROW()-ROW(MSPTasks[[#Headers],[ID]]))))=0,"",INDEX(tsk_ActFinish,(ROW()-ROW(MSPTasks[[#Headers],[ID]])))))</f>
        <v/>
      </c>
      <c r="O47" s="127" t="str">
        <f aca="false">IF(IFERROR(INDEX(tsk_Name,(ROW()-ROW(MSPTasks[[#Headers],[ID]])))="",TRUE()),"",INDEX(tsk_PlanStart,(ROW()-ROW(MSPTasks[[#Headers],[ID]]))))</f>
        <v/>
      </c>
      <c r="P47" s="127" t="str">
        <f aca="false">IF(IFERROR(INDEX(tsk_Name,(ROW()-ROW(MSPTasks[[#Headers],[ID]])))="",TRUE()),"",INDEX(tsk_PlanFinish,(ROW()-ROW(MSPTasks[[#Headers],[ID]]))))</f>
        <v/>
      </c>
      <c r="Q47" s="24" t="str">
        <f aca="false">IF(IFERROR(INDEX(tsk_Name,(ROW()-ROW(MSPTasks[[#Headers],[ID]])))="",TRUE()),"",IF(INDEX(tsk_BaseDuration,(ROW()-ROW(MSPTasks[[#Headers],[ID]])))="","",N(INDEX(tsk_BaseDuration,(ROW()-ROW(MSPTasks[[#Headers],[ID]]))))&amp;"d"))</f>
        <v/>
      </c>
      <c r="R47" s="24" t="str">
        <f aca="false">IF(IFERROR(INDEX(tsk_Name,(ROW()-ROW(MSPTasks[[#Headers],[ID]])))="",TRUE()),"",IF(INDEX(tsk_BaseWork,(ROW()-ROW(MSPTasks[[#Headers],[ID]])))="","",N(INDEX(tsk_BaseWork,(ROW()-ROW(MSPTasks[[#Headers],[ID]]))))&amp;"h"))</f>
        <v/>
      </c>
      <c r="S47" s="24" t="str">
        <f aca="false">IF(IFERROR(INDEX(tsk_Name,(ROW()-ROW(MSPTasks[[#Headers],[ID]])))="",TRUE()),"",IF(INDEX(tsk_BaseCost,(ROW()-ROW(MSPTasks[[#Headers],[ID]])))="","",N(INDEX(tsk_BaseCost,(ROW()-ROW(MSPTasks[[#Headers],[ID]]))))))</f>
        <v/>
      </c>
      <c r="T47" s="24" t="str">
        <f aca="false">IF(IFERROR(INDEX(tsk_Name,(ROW()-ROW(MSPTasks[[#Headers],[ID]])))="",TRUE()),"",IF(INDEX(tsk_IsSummary,(ROW()-ROW(MSPTasks[[#Headers],[ID]]))),"",IF(N(INDEX(tsk_ActCostInput,(ROW()-ROW(MSPTasks[[#Headers],[ID]]))))=0,"",INDEX(tsk_ActCostInput,(ROW()-ROW(MSPTasks[[#Headers],[ID]]))))))</f>
        <v/>
      </c>
      <c r="U47" s="24" t="str">
        <f aca="false">IF(IFERROR(INDEX(tsk_Name,(ROW()-ROW(MSPTasks[[#Headers],[ID]])))="",TRUE()),"",IF(INDEX(tsk_IsSummary,(ROW()-ROW(MSPTasks[[#Headers],[ID]]))),"",IF(AND(INDEX(tsk_Mode,(ROW()-ROW(MSPTasks[[#Headers],[ID]])))&lt;&gt;"Manual",N(INDEX(tsk_Constraint,(ROW()-ROW(MSPTasks[[#Headers],[ID]]))))&gt;0),"Start No Earlier Than","As Soon As Possible")))</f>
        <v/>
      </c>
      <c r="V47" s="127" t="str">
        <f aca="false">IF(IFERROR(INDEX(tsk_Name,(ROW()-ROW(MSPTasks[[#Headers],[ID]])))="",TRUE()),"",IF(OR(INDEX(tsk_IsSummary,(ROW()-ROW(MSPTasks[[#Headers],[ID]]))),INDEX(tsk_Mode,(ROW()-ROW(MSPTasks[[#Headers],[ID]])))="Manual"),"",IF(N(INDEX(tsk_Constraint,(ROW()-ROW(MSPTasks[[#Headers],[ID]]))))=0,"",INDEX(tsk_Constraint,(ROW()-ROW(MSPTasks[[#Headers],[ID]]))))))</f>
        <v/>
      </c>
      <c r="W47" s="127" t="str">
        <f aca="false">IF(IFERROR(INDEX(tsk_Name,(ROW()-ROW(MSPTasks[[#Headers],[ID]])))="",TRUE()),"",IF(N(INDEX(tsk_Deadline,(ROW()-ROW(MSPTasks[[#Headers],[ID]]))))=0,"",INDEX(tsk_Deadline,(ROW()-ROW(MSPTasks[[#Headers],[ID]])))))</f>
        <v/>
      </c>
      <c r="X47" s="24" t="str">
        <f aca="false">IF(IFERROR(INDEX(tsk_Name,(ROW()-ROW(MSPTasks[[#Headers],[ID]])))="",TRUE()),"",IF(INDEX(tsk_IsSummary,(ROW()-ROW(MSPTasks[[#Headers],[ID]]))),"",INDEX(tsk_Sprint,(ROW()-ROW(MSPTasks[[#Headers],[ID]])))&amp;""))</f>
        <v/>
      </c>
      <c r="Y47" s="24" t="str">
        <f aca="false">IF(IFERROR(INDEX(tsk_Name,(ROW()-ROW(MSPTasks[[#Headers],[ID]])))="",TRUE()),"",IF(INDEX(tsk_IsSummary,(ROW()-ROW(MSPTasks[[#Headers],[ID]]))),"",IF(N(INDEX(tsk_StoryPoints,(ROW()-ROW(MSPTasks[[#Headers],[ID]]))))=0,"",INDEX(tsk_StoryPoints,(ROW()-ROW(MSPTasks[[#Headers],[ID]]))))))</f>
        <v/>
      </c>
      <c r="Z47" s="24" t="str">
        <f aca="false">IF(IFERROR(INDEX(tsk_Name,(ROW()-ROW(MSPTasks[[#Headers],[ID]])))="",TRUE()),"",INDEX(tsk_Notes,(ROW()-ROW(MSPTasks[[#Headers],[ID]])))&amp;"")</f>
        <v/>
      </c>
    </row>
    <row r="48" customFormat="false" ht="15" hidden="false" customHeight="false" outlineLevel="0" collapsed="false">
      <c r="A48" s="24" t="str">
        <f aca="false">IF(IFERROR(INDEX(tsk_Name,(ROW()-ROW(MSPTasks[[#Headers],[ID]])))="",TRUE()),"",INDEX(tsk_ID,(ROW()-ROW(MSPTasks[[#Headers],[ID]]))))</f>
        <v/>
      </c>
      <c r="B48" s="24" t="str">
        <f aca="false">IF(IFERROR(INDEX(tsk_Name,(ROW()-ROW(MSPTasks[[#Headers],[ID]])))="",TRUE()),"",INDEX(tsk_UID,(ROW()-ROW(MSPTasks[[#Headers],[ID]]))))</f>
        <v/>
      </c>
      <c r="C48" s="24" t="str">
        <f aca="false">IF(IFERROR(INDEX(tsk_Name,(ROW()-ROW(MSPTasks[[#Headers],[ID]])))="",TRUE()),"",INDEX(tsk_Name,(ROW()-ROW(MSPTasks[[#Headers],[ID]]))))</f>
        <v/>
      </c>
      <c r="D48" s="24" t="str">
        <f aca="false">IF(IFERROR(INDEX(tsk_Name,(ROW()-ROW(MSPTasks[[#Headers],[ID]])))="",TRUE()),"",INDEX(tsk_Level,(ROW()-ROW(MSPTasks[[#Headers],[ID]]))))</f>
        <v/>
      </c>
      <c r="E48" s="24" t="str">
        <f aca="false">IF(IFERROR(INDEX(tsk_Name,(ROW()-ROW(MSPTasks[[#Headers],[ID]])))="",TRUE()),"",IF(INDEX(tsk_Mode,(ROW()-ROW(MSPTasks[[#Headers],[ID]])))="Manual","Manually Scheduled","Auto Scheduled"))</f>
        <v/>
      </c>
      <c r="F48" s="24" t="str">
        <f aca="false">IF(IFERROR(INDEX(tsk_Name,(ROW()-ROW(MSPTasks[[#Headers],[ID]])))="",TRUE()),"",IF(INDEX(tsk_IsSummary,(ROW()-ROW(MSPTasks[[#Headers],[ID]]))),"",N(INDEX(tsk_Duration,(ROW()-ROW(MSPTasks[[#Headers],[ID]]))))&amp;"d"))</f>
        <v/>
      </c>
      <c r="G48" s="127" t="str">
        <f aca="false">IF(IFERROR(INDEX(tsk_Name,(ROW()-ROW(MSPTasks[[#Headers],[ID]])))="",TRUE()),"",INDEX(tsk_FcStart,(ROW()-ROW(MSPTasks[[#Headers],[ID]]))))</f>
        <v/>
      </c>
      <c r="H48" s="127" t="str">
        <f aca="false">IF(IFERROR(INDEX(tsk_Name,(ROW()-ROW(MSPTasks[[#Headers],[ID]])))="",TRUE()),"",INDEX(tsk_FcFinish,(ROW()-ROW(MSPTasks[[#Headers],[ID]]))))</f>
        <v/>
      </c>
      <c r="I48" s="24" t="str">
        <f aca="false">IF(IFERROR(INDEX(tsk_Name,(ROW()-ROW(MSPTasks[[#Headers],[ID]])))="",TRUE()),"",IF(INDEX(tsk_IsSummary,(ROW()-ROW(MSPTasks[[#Headers],[ID]]))),"",INDEX(tsk_Predecessors,(ROW()-ROW(MSPTasks[[#Headers],[ID]])))))</f>
        <v/>
      </c>
      <c r="J48" s="24" t="str">
        <f aca="false">IF(IFERROR(INDEX(tsk_Name,(ROW()-ROW(MSPTasks[[#Headers],[ID]])))="",TRUE()),"",IF(INDEX(tsk_IsSummary,(ROW()-ROW(MSPTasks[[#Headers],[ID]]))),"",INDEX(tsk_UIDPredecessors,(ROW()-ROW(MSPTasks[[#Headers],[ID]])))))</f>
        <v/>
      </c>
      <c r="K4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8" s="24" t="str">
        <f aca="false">IF(IFERROR(INDEX(tsk_Name,(ROW()-ROW(MSPTasks[[#Headers],[ID]])))="",TRUE()),"",IF(INDEX(tsk_IsSummary,(ROW()-ROW(MSPTasks[[#Headers],[ID]]))),"",ROUND(INDEX(tsk_Progress,(ROW()-ROW(MSPTasks[[#Headers],[ID]])))*100,0)))</f>
        <v/>
      </c>
      <c r="M48" s="127" t="str">
        <f aca="false">IF(IFERROR(INDEX(tsk_Name,(ROW()-ROW(MSPTasks[[#Headers],[ID]])))="",TRUE()),"",IF(N(INDEX(tsk_ActStart,(ROW()-ROW(MSPTasks[[#Headers],[ID]]))))=0,"",INDEX(tsk_ActStart,(ROW()-ROW(MSPTasks[[#Headers],[ID]])))))</f>
        <v/>
      </c>
      <c r="N48" s="127" t="str">
        <f aca="false">IF(IFERROR(INDEX(tsk_Name,(ROW()-ROW(MSPTasks[[#Headers],[ID]])))="",TRUE()),"",IF(N(INDEX(tsk_ActFinish,(ROW()-ROW(MSPTasks[[#Headers],[ID]]))))=0,"",INDEX(tsk_ActFinish,(ROW()-ROW(MSPTasks[[#Headers],[ID]])))))</f>
        <v/>
      </c>
      <c r="O48" s="127" t="str">
        <f aca="false">IF(IFERROR(INDEX(tsk_Name,(ROW()-ROW(MSPTasks[[#Headers],[ID]])))="",TRUE()),"",INDEX(tsk_PlanStart,(ROW()-ROW(MSPTasks[[#Headers],[ID]]))))</f>
        <v/>
      </c>
      <c r="P48" s="127" t="str">
        <f aca="false">IF(IFERROR(INDEX(tsk_Name,(ROW()-ROW(MSPTasks[[#Headers],[ID]])))="",TRUE()),"",INDEX(tsk_PlanFinish,(ROW()-ROW(MSPTasks[[#Headers],[ID]]))))</f>
        <v/>
      </c>
      <c r="Q48" s="24" t="str">
        <f aca="false">IF(IFERROR(INDEX(tsk_Name,(ROW()-ROW(MSPTasks[[#Headers],[ID]])))="",TRUE()),"",IF(INDEX(tsk_BaseDuration,(ROW()-ROW(MSPTasks[[#Headers],[ID]])))="","",N(INDEX(tsk_BaseDuration,(ROW()-ROW(MSPTasks[[#Headers],[ID]]))))&amp;"d"))</f>
        <v/>
      </c>
      <c r="R48" s="24" t="str">
        <f aca="false">IF(IFERROR(INDEX(tsk_Name,(ROW()-ROW(MSPTasks[[#Headers],[ID]])))="",TRUE()),"",IF(INDEX(tsk_BaseWork,(ROW()-ROW(MSPTasks[[#Headers],[ID]])))="","",N(INDEX(tsk_BaseWork,(ROW()-ROW(MSPTasks[[#Headers],[ID]]))))&amp;"h"))</f>
        <v/>
      </c>
      <c r="S48" s="24" t="str">
        <f aca="false">IF(IFERROR(INDEX(tsk_Name,(ROW()-ROW(MSPTasks[[#Headers],[ID]])))="",TRUE()),"",IF(INDEX(tsk_BaseCost,(ROW()-ROW(MSPTasks[[#Headers],[ID]])))="","",N(INDEX(tsk_BaseCost,(ROW()-ROW(MSPTasks[[#Headers],[ID]]))))))</f>
        <v/>
      </c>
      <c r="T48" s="24" t="str">
        <f aca="false">IF(IFERROR(INDEX(tsk_Name,(ROW()-ROW(MSPTasks[[#Headers],[ID]])))="",TRUE()),"",IF(INDEX(tsk_IsSummary,(ROW()-ROW(MSPTasks[[#Headers],[ID]]))),"",IF(N(INDEX(tsk_ActCostInput,(ROW()-ROW(MSPTasks[[#Headers],[ID]]))))=0,"",INDEX(tsk_ActCostInput,(ROW()-ROW(MSPTasks[[#Headers],[ID]]))))))</f>
        <v/>
      </c>
      <c r="U48" s="24" t="str">
        <f aca="false">IF(IFERROR(INDEX(tsk_Name,(ROW()-ROW(MSPTasks[[#Headers],[ID]])))="",TRUE()),"",IF(INDEX(tsk_IsSummary,(ROW()-ROW(MSPTasks[[#Headers],[ID]]))),"",IF(AND(INDEX(tsk_Mode,(ROW()-ROW(MSPTasks[[#Headers],[ID]])))&lt;&gt;"Manual",N(INDEX(tsk_Constraint,(ROW()-ROW(MSPTasks[[#Headers],[ID]]))))&gt;0),"Start No Earlier Than","As Soon As Possible")))</f>
        <v/>
      </c>
      <c r="V48" s="127" t="str">
        <f aca="false">IF(IFERROR(INDEX(tsk_Name,(ROW()-ROW(MSPTasks[[#Headers],[ID]])))="",TRUE()),"",IF(OR(INDEX(tsk_IsSummary,(ROW()-ROW(MSPTasks[[#Headers],[ID]]))),INDEX(tsk_Mode,(ROW()-ROW(MSPTasks[[#Headers],[ID]])))="Manual"),"",IF(N(INDEX(tsk_Constraint,(ROW()-ROW(MSPTasks[[#Headers],[ID]]))))=0,"",INDEX(tsk_Constraint,(ROW()-ROW(MSPTasks[[#Headers],[ID]]))))))</f>
        <v/>
      </c>
      <c r="W48" s="127" t="str">
        <f aca="false">IF(IFERROR(INDEX(tsk_Name,(ROW()-ROW(MSPTasks[[#Headers],[ID]])))="",TRUE()),"",IF(N(INDEX(tsk_Deadline,(ROW()-ROW(MSPTasks[[#Headers],[ID]]))))=0,"",INDEX(tsk_Deadline,(ROW()-ROW(MSPTasks[[#Headers],[ID]])))))</f>
        <v/>
      </c>
      <c r="X48" s="24" t="str">
        <f aca="false">IF(IFERROR(INDEX(tsk_Name,(ROW()-ROW(MSPTasks[[#Headers],[ID]])))="",TRUE()),"",IF(INDEX(tsk_IsSummary,(ROW()-ROW(MSPTasks[[#Headers],[ID]]))),"",INDEX(tsk_Sprint,(ROW()-ROW(MSPTasks[[#Headers],[ID]])))&amp;""))</f>
        <v/>
      </c>
      <c r="Y48" s="24" t="str">
        <f aca="false">IF(IFERROR(INDEX(tsk_Name,(ROW()-ROW(MSPTasks[[#Headers],[ID]])))="",TRUE()),"",IF(INDEX(tsk_IsSummary,(ROW()-ROW(MSPTasks[[#Headers],[ID]]))),"",IF(N(INDEX(tsk_StoryPoints,(ROW()-ROW(MSPTasks[[#Headers],[ID]]))))=0,"",INDEX(tsk_StoryPoints,(ROW()-ROW(MSPTasks[[#Headers],[ID]]))))))</f>
        <v/>
      </c>
      <c r="Z48" s="24" t="str">
        <f aca="false">IF(IFERROR(INDEX(tsk_Name,(ROW()-ROW(MSPTasks[[#Headers],[ID]])))="",TRUE()),"",INDEX(tsk_Notes,(ROW()-ROW(MSPTasks[[#Headers],[ID]])))&amp;"")</f>
        <v/>
      </c>
    </row>
    <row r="49" customFormat="false" ht="15" hidden="false" customHeight="false" outlineLevel="0" collapsed="false">
      <c r="A49" s="24" t="str">
        <f aca="false">IF(IFERROR(INDEX(tsk_Name,(ROW()-ROW(MSPTasks[[#Headers],[ID]])))="",TRUE()),"",INDEX(tsk_ID,(ROW()-ROW(MSPTasks[[#Headers],[ID]]))))</f>
        <v/>
      </c>
      <c r="B49" s="24" t="str">
        <f aca="false">IF(IFERROR(INDEX(tsk_Name,(ROW()-ROW(MSPTasks[[#Headers],[ID]])))="",TRUE()),"",INDEX(tsk_UID,(ROW()-ROW(MSPTasks[[#Headers],[ID]]))))</f>
        <v/>
      </c>
      <c r="C49" s="24" t="str">
        <f aca="false">IF(IFERROR(INDEX(tsk_Name,(ROW()-ROW(MSPTasks[[#Headers],[ID]])))="",TRUE()),"",INDEX(tsk_Name,(ROW()-ROW(MSPTasks[[#Headers],[ID]]))))</f>
        <v/>
      </c>
      <c r="D49" s="24" t="str">
        <f aca="false">IF(IFERROR(INDEX(tsk_Name,(ROW()-ROW(MSPTasks[[#Headers],[ID]])))="",TRUE()),"",INDEX(tsk_Level,(ROW()-ROW(MSPTasks[[#Headers],[ID]]))))</f>
        <v/>
      </c>
      <c r="E49" s="24" t="str">
        <f aca="false">IF(IFERROR(INDEX(tsk_Name,(ROW()-ROW(MSPTasks[[#Headers],[ID]])))="",TRUE()),"",IF(INDEX(tsk_Mode,(ROW()-ROW(MSPTasks[[#Headers],[ID]])))="Manual","Manually Scheduled","Auto Scheduled"))</f>
        <v/>
      </c>
      <c r="F49" s="24" t="str">
        <f aca="false">IF(IFERROR(INDEX(tsk_Name,(ROW()-ROW(MSPTasks[[#Headers],[ID]])))="",TRUE()),"",IF(INDEX(tsk_IsSummary,(ROW()-ROW(MSPTasks[[#Headers],[ID]]))),"",N(INDEX(tsk_Duration,(ROW()-ROW(MSPTasks[[#Headers],[ID]]))))&amp;"d"))</f>
        <v/>
      </c>
      <c r="G49" s="127" t="str">
        <f aca="false">IF(IFERROR(INDEX(tsk_Name,(ROW()-ROW(MSPTasks[[#Headers],[ID]])))="",TRUE()),"",INDEX(tsk_FcStart,(ROW()-ROW(MSPTasks[[#Headers],[ID]]))))</f>
        <v/>
      </c>
      <c r="H49" s="127" t="str">
        <f aca="false">IF(IFERROR(INDEX(tsk_Name,(ROW()-ROW(MSPTasks[[#Headers],[ID]])))="",TRUE()),"",INDEX(tsk_FcFinish,(ROW()-ROW(MSPTasks[[#Headers],[ID]]))))</f>
        <v/>
      </c>
      <c r="I49" s="24" t="str">
        <f aca="false">IF(IFERROR(INDEX(tsk_Name,(ROW()-ROW(MSPTasks[[#Headers],[ID]])))="",TRUE()),"",IF(INDEX(tsk_IsSummary,(ROW()-ROW(MSPTasks[[#Headers],[ID]]))),"",INDEX(tsk_Predecessors,(ROW()-ROW(MSPTasks[[#Headers],[ID]])))))</f>
        <v/>
      </c>
      <c r="J49" s="24" t="str">
        <f aca="false">IF(IFERROR(INDEX(tsk_Name,(ROW()-ROW(MSPTasks[[#Headers],[ID]])))="",TRUE()),"",IF(INDEX(tsk_IsSummary,(ROW()-ROW(MSPTasks[[#Headers],[ID]]))),"",INDEX(tsk_UIDPredecessors,(ROW()-ROW(MSPTasks[[#Headers],[ID]])))))</f>
        <v/>
      </c>
      <c r="K4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9" s="24" t="str">
        <f aca="false">IF(IFERROR(INDEX(tsk_Name,(ROW()-ROW(MSPTasks[[#Headers],[ID]])))="",TRUE()),"",IF(INDEX(tsk_IsSummary,(ROW()-ROW(MSPTasks[[#Headers],[ID]]))),"",ROUND(INDEX(tsk_Progress,(ROW()-ROW(MSPTasks[[#Headers],[ID]])))*100,0)))</f>
        <v/>
      </c>
      <c r="M49" s="127" t="str">
        <f aca="false">IF(IFERROR(INDEX(tsk_Name,(ROW()-ROW(MSPTasks[[#Headers],[ID]])))="",TRUE()),"",IF(N(INDEX(tsk_ActStart,(ROW()-ROW(MSPTasks[[#Headers],[ID]]))))=0,"",INDEX(tsk_ActStart,(ROW()-ROW(MSPTasks[[#Headers],[ID]])))))</f>
        <v/>
      </c>
      <c r="N49" s="127" t="str">
        <f aca="false">IF(IFERROR(INDEX(tsk_Name,(ROW()-ROW(MSPTasks[[#Headers],[ID]])))="",TRUE()),"",IF(N(INDEX(tsk_ActFinish,(ROW()-ROW(MSPTasks[[#Headers],[ID]]))))=0,"",INDEX(tsk_ActFinish,(ROW()-ROW(MSPTasks[[#Headers],[ID]])))))</f>
        <v/>
      </c>
      <c r="O49" s="127" t="str">
        <f aca="false">IF(IFERROR(INDEX(tsk_Name,(ROW()-ROW(MSPTasks[[#Headers],[ID]])))="",TRUE()),"",INDEX(tsk_PlanStart,(ROW()-ROW(MSPTasks[[#Headers],[ID]]))))</f>
        <v/>
      </c>
      <c r="P49" s="127" t="str">
        <f aca="false">IF(IFERROR(INDEX(tsk_Name,(ROW()-ROW(MSPTasks[[#Headers],[ID]])))="",TRUE()),"",INDEX(tsk_PlanFinish,(ROW()-ROW(MSPTasks[[#Headers],[ID]]))))</f>
        <v/>
      </c>
      <c r="Q49" s="24" t="str">
        <f aca="false">IF(IFERROR(INDEX(tsk_Name,(ROW()-ROW(MSPTasks[[#Headers],[ID]])))="",TRUE()),"",IF(INDEX(tsk_BaseDuration,(ROW()-ROW(MSPTasks[[#Headers],[ID]])))="","",N(INDEX(tsk_BaseDuration,(ROW()-ROW(MSPTasks[[#Headers],[ID]]))))&amp;"d"))</f>
        <v/>
      </c>
      <c r="R49" s="24" t="str">
        <f aca="false">IF(IFERROR(INDEX(tsk_Name,(ROW()-ROW(MSPTasks[[#Headers],[ID]])))="",TRUE()),"",IF(INDEX(tsk_BaseWork,(ROW()-ROW(MSPTasks[[#Headers],[ID]])))="","",N(INDEX(tsk_BaseWork,(ROW()-ROW(MSPTasks[[#Headers],[ID]]))))&amp;"h"))</f>
        <v/>
      </c>
      <c r="S49" s="24" t="str">
        <f aca="false">IF(IFERROR(INDEX(tsk_Name,(ROW()-ROW(MSPTasks[[#Headers],[ID]])))="",TRUE()),"",IF(INDEX(tsk_BaseCost,(ROW()-ROW(MSPTasks[[#Headers],[ID]])))="","",N(INDEX(tsk_BaseCost,(ROW()-ROW(MSPTasks[[#Headers],[ID]]))))))</f>
        <v/>
      </c>
      <c r="T49" s="24" t="str">
        <f aca="false">IF(IFERROR(INDEX(tsk_Name,(ROW()-ROW(MSPTasks[[#Headers],[ID]])))="",TRUE()),"",IF(INDEX(tsk_IsSummary,(ROW()-ROW(MSPTasks[[#Headers],[ID]]))),"",IF(N(INDEX(tsk_ActCostInput,(ROW()-ROW(MSPTasks[[#Headers],[ID]]))))=0,"",INDEX(tsk_ActCostInput,(ROW()-ROW(MSPTasks[[#Headers],[ID]]))))))</f>
        <v/>
      </c>
      <c r="U49" s="24" t="str">
        <f aca="false">IF(IFERROR(INDEX(tsk_Name,(ROW()-ROW(MSPTasks[[#Headers],[ID]])))="",TRUE()),"",IF(INDEX(tsk_IsSummary,(ROW()-ROW(MSPTasks[[#Headers],[ID]]))),"",IF(AND(INDEX(tsk_Mode,(ROW()-ROW(MSPTasks[[#Headers],[ID]])))&lt;&gt;"Manual",N(INDEX(tsk_Constraint,(ROW()-ROW(MSPTasks[[#Headers],[ID]]))))&gt;0),"Start No Earlier Than","As Soon As Possible")))</f>
        <v/>
      </c>
      <c r="V49" s="127" t="str">
        <f aca="false">IF(IFERROR(INDEX(tsk_Name,(ROW()-ROW(MSPTasks[[#Headers],[ID]])))="",TRUE()),"",IF(OR(INDEX(tsk_IsSummary,(ROW()-ROW(MSPTasks[[#Headers],[ID]]))),INDEX(tsk_Mode,(ROW()-ROW(MSPTasks[[#Headers],[ID]])))="Manual"),"",IF(N(INDEX(tsk_Constraint,(ROW()-ROW(MSPTasks[[#Headers],[ID]]))))=0,"",INDEX(tsk_Constraint,(ROW()-ROW(MSPTasks[[#Headers],[ID]]))))))</f>
        <v/>
      </c>
      <c r="W49" s="127" t="str">
        <f aca="false">IF(IFERROR(INDEX(tsk_Name,(ROW()-ROW(MSPTasks[[#Headers],[ID]])))="",TRUE()),"",IF(N(INDEX(tsk_Deadline,(ROW()-ROW(MSPTasks[[#Headers],[ID]]))))=0,"",INDEX(tsk_Deadline,(ROW()-ROW(MSPTasks[[#Headers],[ID]])))))</f>
        <v/>
      </c>
      <c r="X49" s="24" t="str">
        <f aca="false">IF(IFERROR(INDEX(tsk_Name,(ROW()-ROW(MSPTasks[[#Headers],[ID]])))="",TRUE()),"",IF(INDEX(tsk_IsSummary,(ROW()-ROW(MSPTasks[[#Headers],[ID]]))),"",INDEX(tsk_Sprint,(ROW()-ROW(MSPTasks[[#Headers],[ID]])))&amp;""))</f>
        <v/>
      </c>
      <c r="Y49" s="24" t="str">
        <f aca="false">IF(IFERROR(INDEX(tsk_Name,(ROW()-ROW(MSPTasks[[#Headers],[ID]])))="",TRUE()),"",IF(INDEX(tsk_IsSummary,(ROW()-ROW(MSPTasks[[#Headers],[ID]]))),"",IF(N(INDEX(tsk_StoryPoints,(ROW()-ROW(MSPTasks[[#Headers],[ID]]))))=0,"",INDEX(tsk_StoryPoints,(ROW()-ROW(MSPTasks[[#Headers],[ID]]))))))</f>
        <v/>
      </c>
      <c r="Z49" s="24" t="str">
        <f aca="false">IF(IFERROR(INDEX(tsk_Name,(ROW()-ROW(MSPTasks[[#Headers],[ID]])))="",TRUE()),"",INDEX(tsk_Notes,(ROW()-ROW(MSPTasks[[#Headers],[ID]])))&amp;"")</f>
        <v/>
      </c>
    </row>
    <row r="50" customFormat="false" ht="15" hidden="false" customHeight="false" outlineLevel="0" collapsed="false">
      <c r="A50" s="24" t="str">
        <f aca="false">IF(IFERROR(INDEX(tsk_Name,(ROW()-ROW(MSPTasks[[#Headers],[ID]])))="",TRUE()),"",INDEX(tsk_ID,(ROW()-ROW(MSPTasks[[#Headers],[ID]]))))</f>
        <v/>
      </c>
      <c r="B50" s="24" t="str">
        <f aca="false">IF(IFERROR(INDEX(tsk_Name,(ROW()-ROW(MSPTasks[[#Headers],[ID]])))="",TRUE()),"",INDEX(tsk_UID,(ROW()-ROW(MSPTasks[[#Headers],[ID]]))))</f>
        <v/>
      </c>
      <c r="C50" s="24" t="str">
        <f aca="false">IF(IFERROR(INDEX(tsk_Name,(ROW()-ROW(MSPTasks[[#Headers],[ID]])))="",TRUE()),"",INDEX(tsk_Name,(ROW()-ROW(MSPTasks[[#Headers],[ID]]))))</f>
        <v/>
      </c>
      <c r="D50" s="24" t="str">
        <f aca="false">IF(IFERROR(INDEX(tsk_Name,(ROW()-ROW(MSPTasks[[#Headers],[ID]])))="",TRUE()),"",INDEX(tsk_Level,(ROW()-ROW(MSPTasks[[#Headers],[ID]]))))</f>
        <v/>
      </c>
      <c r="E50" s="24" t="str">
        <f aca="false">IF(IFERROR(INDEX(tsk_Name,(ROW()-ROW(MSPTasks[[#Headers],[ID]])))="",TRUE()),"",IF(INDEX(tsk_Mode,(ROW()-ROW(MSPTasks[[#Headers],[ID]])))="Manual","Manually Scheduled","Auto Scheduled"))</f>
        <v/>
      </c>
      <c r="F50" s="24" t="str">
        <f aca="false">IF(IFERROR(INDEX(tsk_Name,(ROW()-ROW(MSPTasks[[#Headers],[ID]])))="",TRUE()),"",IF(INDEX(tsk_IsSummary,(ROW()-ROW(MSPTasks[[#Headers],[ID]]))),"",N(INDEX(tsk_Duration,(ROW()-ROW(MSPTasks[[#Headers],[ID]]))))&amp;"d"))</f>
        <v/>
      </c>
      <c r="G50" s="127" t="str">
        <f aca="false">IF(IFERROR(INDEX(tsk_Name,(ROW()-ROW(MSPTasks[[#Headers],[ID]])))="",TRUE()),"",INDEX(tsk_FcStart,(ROW()-ROW(MSPTasks[[#Headers],[ID]]))))</f>
        <v/>
      </c>
      <c r="H50" s="127" t="str">
        <f aca="false">IF(IFERROR(INDEX(tsk_Name,(ROW()-ROW(MSPTasks[[#Headers],[ID]])))="",TRUE()),"",INDEX(tsk_FcFinish,(ROW()-ROW(MSPTasks[[#Headers],[ID]]))))</f>
        <v/>
      </c>
      <c r="I50" s="24" t="str">
        <f aca="false">IF(IFERROR(INDEX(tsk_Name,(ROW()-ROW(MSPTasks[[#Headers],[ID]])))="",TRUE()),"",IF(INDEX(tsk_IsSummary,(ROW()-ROW(MSPTasks[[#Headers],[ID]]))),"",INDEX(tsk_Predecessors,(ROW()-ROW(MSPTasks[[#Headers],[ID]])))))</f>
        <v/>
      </c>
      <c r="J50" s="24" t="str">
        <f aca="false">IF(IFERROR(INDEX(tsk_Name,(ROW()-ROW(MSPTasks[[#Headers],[ID]])))="",TRUE()),"",IF(INDEX(tsk_IsSummary,(ROW()-ROW(MSPTasks[[#Headers],[ID]]))),"",INDEX(tsk_UIDPredecessors,(ROW()-ROW(MSPTasks[[#Headers],[ID]])))))</f>
        <v/>
      </c>
      <c r="K5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0" s="24" t="str">
        <f aca="false">IF(IFERROR(INDEX(tsk_Name,(ROW()-ROW(MSPTasks[[#Headers],[ID]])))="",TRUE()),"",IF(INDEX(tsk_IsSummary,(ROW()-ROW(MSPTasks[[#Headers],[ID]]))),"",ROUND(INDEX(tsk_Progress,(ROW()-ROW(MSPTasks[[#Headers],[ID]])))*100,0)))</f>
        <v/>
      </c>
      <c r="M50" s="127" t="str">
        <f aca="false">IF(IFERROR(INDEX(tsk_Name,(ROW()-ROW(MSPTasks[[#Headers],[ID]])))="",TRUE()),"",IF(N(INDEX(tsk_ActStart,(ROW()-ROW(MSPTasks[[#Headers],[ID]]))))=0,"",INDEX(tsk_ActStart,(ROW()-ROW(MSPTasks[[#Headers],[ID]])))))</f>
        <v/>
      </c>
      <c r="N50" s="127" t="str">
        <f aca="false">IF(IFERROR(INDEX(tsk_Name,(ROW()-ROW(MSPTasks[[#Headers],[ID]])))="",TRUE()),"",IF(N(INDEX(tsk_ActFinish,(ROW()-ROW(MSPTasks[[#Headers],[ID]]))))=0,"",INDEX(tsk_ActFinish,(ROW()-ROW(MSPTasks[[#Headers],[ID]])))))</f>
        <v/>
      </c>
      <c r="O50" s="127" t="str">
        <f aca="false">IF(IFERROR(INDEX(tsk_Name,(ROW()-ROW(MSPTasks[[#Headers],[ID]])))="",TRUE()),"",INDEX(tsk_PlanStart,(ROW()-ROW(MSPTasks[[#Headers],[ID]]))))</f>
        <v/>
      </c>
      <c r="P50" s="127" t="str">
        <f aca="false">IF(IFERROR(INDEX(tsk_Name,(ROW()-ROW(MSPTasks[[#Headers],[ID]])))="",TRUE()),"",INDEX(tsk_PlanFinish,(ROW()-ROW(MSPTasks[[#Headers],[ID]]))))</f>
        <v/>
      </c>
      <c r="Q50" s="24" t="str">
        <f aca="false">IF(IFERROR(INDEX(tsk_Name,(ROW()-ROW(MSPTasks[[#Headers],[ID]])))="",TRUE()),"",IF(INDEX(tsk_BaseDuration,(ROW()-ROW(MSPTasks[[#Headers],[ID]])))="","",N(INDEX(tsk_BaseDuration,(ROW()-ROW(MSPTasks[[#Headers],[ID]]))))&amp;"d"))</f>
        <v/>
      </c>
      <c r="R50" s="24" t="str">
        <f aca="false">IF(IFERROR(INDEX(tsk_Name,(ROW()-ROW(MSPTasks[[#Headers],[ID]])))="",TRUE()),"",IF(INDEX(tsk_BaseWork,(ROW()-ROW(MSPTasks[[#Headers],[ID]])))="","",N(INDEX(tsk_BaseWork,(ROW()-ROW(MSPTasks[[#Headers],[ID]]))))&amp;"h"))</f>
        <v/>
      </c>
      <c r="S50" s="24" t="str">
        <f aca="false">IF(IFERROR(INDEX(tsk_Name,(ROW()-ROW(MSPTasks[[#Headers],[ID]])))="",TRUE()),"",IF(INDEX(tsk_BaseCost,(ROW()-ROW(MSPTasks[[#Headers],[ID]])))="","",N(INDEX(tsk_BaseCost,(ROW()-ROW(MSPTasks[[#Headers],[ID]]))))))</f>
        <v/>
      </c>
      <c r="T50" s="24" t="str">
        <f aca="false">IF(IFERROR(INDEX(tsk_Name,(ROW()-ROW(MSPTasks[[#Headers],[ID]])))="",TRUE()),"",IF(INDEX(tsk_IsSummary,(ROW()-ROW(MSPTasks[[#Headers],[ID]]))),"",IF(N(INDEX(tsk_ActCostInput,(ROW()-ROW(MSPTasks[[#Headers],[ID]]))))=0,"",INDEX(tsk_ActCostInput,(ROW()-ROW(MSPTasks[[#Headers],[ID]]))))))</f>
        <v/>
      </c>
      <c r="U50" s="24" t="str">
        <f aca="false">IF(IFERROR(INDEX(tsk_Name,(ROW()-ROW(MSPTasks[[#Headers],[ID]])))="",TRUE()),"",IF(INDEX(tsk_IsSummary,(ROW()-ROW(MSPTasks[[#Headers],[ID]]))),"",IF(AND(INDEX(tsk_Mode,(ROW()-ROW(MSPTasks[[#Headers],[ID]])))&lt;&gt;"Manual",N(INDEX(tsk_Constraint,(ROW()-ROW(MSPTasks[[#Headers],[ID]]))))&gt;0),"Start No Earlier Than","As Soon As Possible")))</f>
        <v/>
      </c>
      <c r="V50" s="127" t="str">
        <f aca="false">IF(IFERROR(INDEX(tsk_Name,(ROW()-ROW(MSPTasks[[#Headers],[ID]])))="",TRUE()),"",IF(OR(INDEX(tsk_IsSummary,(ROW()-ROW(MSPTasks[[#Headers],[ID]]))),INDEX(tsk_Mode,(ROW()-ROW(MSPTasks[[#Headers],[ID]])))="Manual"),"",IF(N(INDEX(tsk_Constraint,(ROW()-ROW(MSPTasks[[#Headers],[ID]]))))=0,"",INDEX(tsk_Constraint,(ROW()-ROW(MSPTasks[[#Headers],[ID]]))))))</f>
        <v/>
      </c>
      <c r="W50" s="127" t="str">
        <f aca="false">IF(IFERROR(INDEX(tsk_Name,(ROW()-ROW(MSPTasks[[#Headers],[ID]])))="",TRUE()),"",IF(N(INDEX(tsk_Deadline,(ROW()-ROW(MSPTasks[[#Headers],[ID]]))))=0,"",INDEX(tsk_Deadline,(ROW()-ROW(MSPTasks[[#Headers],[ID]])))))</f>
        <v/>
      </c>
      <c r="X50" s="24" t="str">
        <f aca="false">IF(IFERROR(INDEX(tsk_Name,(ROW()-ROW(MSPTasks[[#Headers],[ID]])))="",TRUE()),"",IF(INDEX(tsk_IsSummary,(ROW()-ROW(MSPTasks[[#Headers],[ID]]))),"",INDEX(tsk_Sprint,(ROW()-ROW(MSPTasks[[#Headers],[ID]])))&amp;""))</f>
        <v/>
      </c>
      <c r="Y50" s="24" t="str">
        <f aca="false">IF(IFERROR(INDEX(tsk_Name,(ROW()-ROW(MSPTasks[[#Headers],[ID]])))="",TRUE()),"",IF(INDEX(tsk_IsSummary,(ROW()-ROW(MSPTasks[[#Headers],[ID]]))),"",IF(N(INDEX(tsk_StoryPoints,(ROW()-ROW(MSPTasks[[#Headers],[ID]]))))=0,"",INDEX(tsk_StoryPoints,(ROW()-ROW(MSPTasks[[#Headers],[ID]]))))))</f>
        <v/>
      </c>
      <c r="Z50" s="24" t="str">
        <f aca="false">IF(IFERROR(INDEX(tsk_Name,(ROW()-ROW(MSPTasks[[#Headers],[ID]])))="",TRUE()),"",INDEX(tsk_Notes,(ROW()-ROW(MSPTasks[[#Headers],[ID]])))&amp;"")</f>
        <v/>
      </c>
    </row>
    <row r="51" customFormat="false" ht="15" hidden="false" customHeight="false" outlineLevel="0" collapsed="false">
      <c r="A51" s="24" t="str">
        <f aca="false">IF(IFERROR(INDEX(tsk_Name,(ROW()-ROW(MSPTasks[[#Headers],[ID]])))="",TRUE()),"",INDEX(tsk_ID,(ROW()-ROW(MSPTasks[[#Headers],[ID]]))))</f>
        <v/>
      </c>
      <c r="B51" s="24" t="str">
        <f aca="false">IF(IFERROR(INDEX(tsk_Name,(ROW()-ROW(MSPTasks[[#Headers],[ID]])))="",TRUE()),"",INDEX(tsk_UID,(ROW()-ROW(MSPTasks[[#Headers],[ID]]))))</f>
        <v/>
      </c>
      <c r="C51" s="24" t="str">
        <f aca="false">IF(IFERROR(INDEX(tsk_Name,(ROW()-ROW(MSPTasks[[#Headers],[ID]])))="",TRUE()),"",INDEX(tsk_Name,(ROW()-ROW(MSPTasks[[#Headers],[ID]]))))</f>
        <v/>
      </c>
      <c r="D51" s="24" t="str">
        <f aca="false">IF(IFERROR(INDEX(tsk_Name,(ROW()-ROW(MSPTasks[[#Headers],[ID]])))="",TRUE()),"",INDEX(tsk_Level,(ROW()-ROW(MSPTasks[[#Headers],[ID]]))))</f>
        <v/>
      </c>
      <c r="E51" s="24" t="str">
        <f aca="false">IF(IFERROR(INDEX(tsk_Name,(ROW()-ROW(MSPTasks[[#Headers],[ID]])))="",TRUE()),"",IF(INDEX(tsk_Mode,(ROW()-ROW(MSPTasks[[#Headers],[ID]])))="Manual","Manually Scheduled","Auto Scheduled"))</f>
        <v/>
      </c>
      <c r="F51" s="24" t="str">
        <f aca="false">IF(IFERROR(INDEX(tsk_Name,(ROW()-ROW(MSPTasks[[#Headers],[ID]])))="",TRUE()),"",IF(INDEX(tsk_IsSummary,(ROW()-ROW(MSPTasks[[#Headers],[ID]]))),"",N(INDEX(tsk_Duration,(ROW()-ROW(MSPTasks[[#Headers],[ID]]))))&amp;"d"))</f>
        <v/>
      </c>
      <c r="G51" s="127" t="str">
        <f aca="false">IF(IFERROR(INDEX(tsk_Name,(ROW()-ROW(MSPTasks[[#Headers],[ID]])))="",TRUE()),"",INDEX(tsk_FcStart,(ROW()-ROW(MSPTasks[[#Headers],[ID]]))))</f>
        <v/>
      </c>
      <c r="H51" s="127" t="str">
        <f aca="false">IF(IFERROR(INDEX(tsk_Name,(ROW()-ROW(MSPTasks[[#Headers],[ID]])))="",TRUE()),"",INDEX(tsk_FcFinish,(ROW()-ROW(MSPTasks[[#Headers],[ID]]))))</f>
        <v/>
      </c>
      <c r="I51" s="24" t="str">
        <f aca="false">IF(IFERROR(INDEX(tsk_Name,(ROW()-ROW(MSPTasks[[#Headers],[ID]])))="",TRUE()),"",IF(INDEX(tsk_IsSummary,(ROW()-ROW(MSPTasks[[#Headers],[ID]]))),"",INDEX(tsk_Predecessors,(ROW()-ROW(MSPTasks[[#Headers],[ID]])))))</f>
        <v/>
      </c>
      <c r="J51" s="24" t="str">
        <f aca="false">IF(IFERROR(INDEX(tsk_Name,(ROW()-ROW(MSPTasks[[#Headers],[ID]])))="",TRUE()),"",IF(INDEX(tsk_IsSummary,(ROW()-ROW(MSPTasks[[#Headers],[ID]]))),"",INDEX(tsk_UIDPredecessors,(ROW()-ROW(MSPTasks[[#Headers],[ID]])))))</f>
        <v/>
      </c>
      <c r="K5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1" s="24" t="str">
        <f aca="false">IF(IFERROR(INDEX(tsk_Name,(ROW()-ROW(MSPTasks[[#Headers],[ID]])))="",TRUE()),"",IF(INDEX(tsk_IsSummary,(ROW()-ROW(MSPTasks[[#Headers],[ID]]))),"",ROUND(INDEX(tsk_Progress,(ROW()-ROW(MSPTasks[[#Headers],[ID]])))*100,0)))</f>
        <v/>
      </c>
      <c r="M51" s="127" t="str">
        <f aca="false">IF(IFERROR(INDEX(tsk_Name,(ROW()-ROW(MSPTasks[[#Headers],[ID]])))="",TRUE()),"",IF(N(INDEX(tsk_ActStart,(ROW()-ROW(MSPTasks[[#Headers],[ID]]))))=0,"",INDEX(tsk_ActStart,(ROW()-ROW(MSPTasks[[#Headers],[ID]])))))</f>
        <v/>
      </c>
      <c r="N51" s="127" t="str">
        <f aca="false">IF(IFERROR(INDEX(tsk_Name,(ROW()-ROW(MSPTasks[[#Headers],[ID]])))="",TRUE()),"",IF(N(INDEX(tsk_ActFinish,(ROW()-ROW(MSPTasks[[#Headers],[ID]]))))=0,"",INDEX(tsk_ActFinish,(ROW()-ROW(MSPTasks[[#Headers],[ID]])))))</f>
        <v/>
      </c>
      <c r="O51" s="127" t="str">
        <f aca="false">IF(IFERROR(INDEX(tsk_Name,(ROW()-ROW(MSPTasks[[#Headers],[ID]])))="",TRUE()),"",INDEX(tsk_PlanStart,(ROW()-ROW(MSPTasks[[#Headers],[ID]]))))</f>
        <v/>
      </c>
      <c r="P51" s="127" t="str">
        <f aca="false">IF(IFERROR(INDEX(tsk_Name,(ROW()-ROW(MSPTasks[[#Headers],[ID]])))="",TRUE()),"",INDEX(tsk_PlanFinish,(ROW()-ROW(MSPTasks[[#Headers],[ID]]))))</f>
        <v/>
      </c>
      <c r="Q51" s="24" t="str">
        <f aca="false">IF(IFERROR(INDEX(tsk_Name,(ROW()-ROW(MSPTasks[[#Headers],[ID]])))="",TRUE()),"",IF(INDEX(tsk_BaseDuration,(ROW()-ROW(MSPTasks[[#Headers],[ID]])))="","",N(INDEX(tsk_BaseDuration,(ROW()-ROW(MSPTasks[[#Headers],[ID]]))))&amp;"d"))</f>
        <v/>
      </c>
      <c r="R51" s="24" t="str">
        <f aca="false">IF(IFERROR(INDEX(tsk_Name,(ROW()-ROW(MSPTasks[[#Headers],[ID]])))="",TRUE()),"",IF(INDEX(tsk_BaseWork,(ROW()-ROW(MSPTasks[[#Headers],[ID]])))="","",N(INDEX(tsk_BaseWork,(ROW()-ROW(MSPTasks[[#Headers],[ID]]))))&amp;"h"))</f>
        <v/>
      </c>
      <c r="S51" s="24" t="str">
        <f aca="false">IF(IFERROR(INDEX(tsk_Name,(ROW()-ROW(MSPTasks[[#Headers],[ID]])))="",TRUE()),"",IF(INDEX(tsk_BaseCost,(ROW()-ROW(MSPTasks[[#Headers],[ID]])))="","",N(INDEX(tsk_BaseCost,(ROW()-ROW(MSPTasks[[#Headers],[ID]]))))))</f>
        <v/>
      </c>
      <c r="T51" s="24" t="str">
        <f aca="false">IF(IFERROR(INDEX(tsk_Name,(ROW()-ROW(MSPTasks[[#Headers],[ID]])))="",TRUE()),"",IF(INDEX(tsk_IsSummary,(ROW()-ROW(MSPTasks[[#Headers],[ID]]))),"",IF(N(INDEX(tsk_ActCostInput,(ROW()-ROW(MSPTasks[[#Headers],[ID]]))))=0,"",INDEX(tsk_ActCostInput,(ROW()-ROW(MSPTasks[[#Headers],[ID]]))))))</f>
        <v/>
      </c>
      <c r="U51" s="24" t="str">
        <f aca="false">IF(IFERROR(INDEX(tsk_Name,(ROW()-ROW(MSPTasks[[#Headers],[ID]])))="",TRUE()),"",IF(INDEX(tsk_IsSummary,(ROW()-ROW(MSPTasks[[#Headers],[ID]]))),"",IF(AND(INDEX(tsk_Mode,(ROW()-ROW(MSPTasks[[#Headers],[ID]])))&lt;&gt;"Manual",N(INDEX(tsk_Constraint,(ROW()-ROW(MSPTasks[[#Headers],[ID]]))))&gt;0),"Start No Earlier Than","As Soon As Possible")))</f>
        <v/>
      </c>
      <c r="V51" s="127" t="str">
        <f aca="false">IF(IFERROR(INDEX(tsk_Name,(ROW()-ROW(MSPTasks[[#Headers],[ID]])))="",TRUE()),"",IF(OR(INDEX(tsk_IsSummary,(ROW()-ROW(MSPTasks[[#Headers],[ID]]))),INDEX(tsk_Mode,(ROW()-ROW(MSPTasks[[#Headers],[ID]])))="Manual"),"",IF(N(INDEX(tsk_Constraint,(ROW()-ROW(MSPTasks[[#Headers],[ID]]))))=0,"",INDEX(tsk_Constraint,(ROW()-ROW(MSPTasks[[#Headers],[ID]]))))))</f>
        <v/>
      </c>
      <c r="W51" s="127" t="str">
        <f aca="false">IF(IFERROR(INDEX(tsk_Name,(ROW()-ROW(MSPTasks[[#Headers],[ID]])))="",TRUE()),"",IF(N(INDEX(tsk_Deadline,(ROW()-ROW(MSPTasks[[#Headers],[ID]]))))=0,"",INDEX(tsk_Deadline,(ROW()-ROW(MSPTasks[[#Headers],[ID]])))))</f>
        <v/>
      </c>
      <c r="X51" s="24" t="str">
        <f aca="false">IF(IFERROR(INDEX(tsk_Name,(ROW()-ROW(MSPTasks[[#Headers],[ID]])))="",TRUE()),"",IF(INDEX(tsk_IsSummary,(ROW()-ROW(MSPTasks[[#Headers],[ID]]))),"",INDEX(tsk_Sprint,(ROW()-ROW(MSPTasks[[#Headers],[ID]])))&amp;""))</f>
        <v/>
      </c>
      <c r="Y51" s="24" t="str">
        <f aca="false">IF(IFERROR(INDEX(tsk_Name,(ROW()-ROW(MSPTasks[[#Headers],[ID]])))="",TRUE()),"",IF(INDEX(tsk_IsSummary,(ROW()-ROW(MSPTasks[[#Headers],[ID]]))),"",IF(N(INDEX(tsk_StoryPoints,(ROW()-ROW(MSPTasks[[#Headers],[ID]]))))=0,"",INDEX(tsk_StoryPoints,(ROW()-ROW(MSPTasks[[#Headers],[ID]]))))))</f>
        <v/>
      </c>
      <c r="Z51" s="24" t="str">
        <f aca="false">IF(IFERROR(INDEX(tsk_Name,(ROW()-ROW(MSPTasks[[#Headers],[ID]])))="",TRUE()),"",INDEX(tsk_Notes,(ROW()-ROW(MSPTasks[[#Headers],[ID]])))&amp;"")</f>
        <v/>
      </c>
    </row>
    <row r="52" customFormat="false" ht="15" hidden="false" customHeight="false" outlineLevel="0" collapsed="false">
      <c r="A52" s="24" t="str">
        <f aca="false">IF(IFERROR(INDEX(tsk_Name,(ROW()-ROW(MSPTasks[[#Headers],[ID]])))="",TRUE()),"",INDEX(tsk_ID,(ROW()-ROW(MSPTasks[[#Headers],[ID]]))))</f>
        <v/>
      </c>
      <c r="B52" s="24" t="str">
        <f aca="false">IF(IFERROR(INDEX(tsk_Name,(ROW()-ROW(MSPTasks[[#Headers],[ID]])))="",TRUE()),"",INDEX(tsk_UID,(ROW()-ROW(MSPTasks[[#Headers],[ID]]))))</f>
        <v/>
      </c>
      <c r="C52" s="24" t="str">
        <f aca="false">IF(IFERROR(INDEX(tsk_Name,(ROW()-ROW(MSPTasks[[#Headers],[ID]])))="",TRUE()),"",INDEX(tsk_Name,(ROW()-ROW(MSPTasks[[#Headers],[ID]]))))</f>
        <v/>
      </c>
      <c r="D52" s="24" t="str">
        <f aca="false">IF(IFERROR(INDEX(tsk_Name,(ROW()-ROW(MSPTasks[[#Headers],[ID]])))="",TRUE()),"",INDEX(tsk_Level,(ROW()-ROW(MSPTasks[[#Headers],[ID]]))))</f>
        <v/>
      </c>
      <c r="E52" s="24" t="str">
        <f aca="false">IF(IFERROR(INDEX(tsk_Name,(ROW()-ROW(MSPTasks[[#Headers],[ID]])))="",TRUE()),"",IF(INDEX(tsk_Mode,(ROW()-ROW(MSPTasks[[#Headers],[ID]])))="Manual","Manually Scheduled","Auto Scheduled"))</f>
        <v/>
      </c>
      <c r="F52" s="24" t="str">
        <f aca="false">IF(IFERROR(INDEX(tsk_Name,(ROW()-ROW(MSPTasks[[#Headers],[ID]])))="",TRUE()),"",IF(INDEX(tsk_IsSummary,(ROW()-ROW(MSPTasks[[#Headers],[ID]]))),"",N(INDEX(tsk_Duration,(ROW()-ROW(MSPTasks[[#Headers],[ID]]))))&amp;"d"))</f>
        <v/>
      </c>
      <c r="G52" s="127" t="str">
        <f aca="false">IF(IFERROR(INDEX(tsk_Name,(ROW()-ROW(MSPTasks[[#Headers],[ID]])))="",TRUE()),"",INDEX(tsk_FcStart,(ROW()-ROW(MSPTasks[[#Headers],[ID]]))))</f>
        <v/>
      </c>
      <c r="H52" s="127" t="str">
        <f aca="false">IF(IFERROR(INDEX(tsk_Name,(ROW()-ROW(MSPTasks[[#Headers],[ID]])))="",TRUE()),"",INDEX(tsk_FcFinish,(ROW()-ROW(MSPTasks[[#Headers],[ID]]))))</f>
        <v/>
      </c>
      <c r="I52" s="24" t="str">
        <f aca="false">IF(IFERROR(INDEX(tsk_Name,(ROW()-ROW(MSPTasks[[#Headers],[ID]])))="",TRUE()),"",IF(INDEX(tsk_IsSummary,(ROW()-ROW(MSPTasks[[#Headers],[ID]]))),"",INDEX(tsk_Predecessors,(ROW()-ROW(MSPTasks[[#Headers],[ID]])))))</f>
        <v/>
      </c>
      <c r="J52" s="24" t="str">
        <f aca="false">IF(IFERROR(INDEX(tsk_Name,(ROW()-ROW(MSPTasks[[#Headers],[ID]])))="",TRUE()),"",IF(INDEX(tsk_IsSummary,(ROW()-ROW(MSPTasks[[#Headers],[ID]]))),"",INDEX(tsk_UIDPredecessors,(ROW()-ROW(MSPTasks[[#Headers],[ID]])))))</f>
        <v/>
      </c>
      <c r="K5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2" s="24" t="str">
        <f aca="false">IF(IFERROR(INDEX(tsk_Name,(ROW()-ROW(MSPTasks[[#Headers],[ID]])))="",TRUE()),"",IF(INDEX(tsk_IsSummary,(ROW()-ROW(MSPTasks[[#Headers],[ID]]))),"",ROUND(INDEX(tsk_Progress,(ROW()-ROW(MSPTasks[[#Headers],[ID]])))*100,0)))</f>
        <v/>
      </c>
      <c r="M52" s="127" t="str">
        <f aca="false">IF(IFERROR(INDEX(tsk_Name,(ROW()-ROW(MSPTasks[[#Headers],[ID]])))="",TRUE()),"",IF(N(INDEX(tsk_ActStart,(ROW()-ROW(MSPTasks[[#Headers],[ID]]))))=0,"",INDEX(tsk_ActStart,(ROW()-ROW(MSPTasks[[#Headers],[ID]])))))</f>
        <v/>
      </c>
      <c r="N52" s="127" t="str">
        <f aca="false">IF(IFERROR(INDEX(tsk_Name,(ROW()-ROW(MSPTasks[[#Headers],[ID]])))="",TRUE()),"",IF(N(INDEX(tsk_ActFinish,(ROW()-ROW(MSPTasks[[#Headers],[ID]]))))=0,"",INDEX(tsk_ActFinish,(ROW()-ROW(MSPTasks[[#Headers],[ID]])))))</f>
        <v/>
      </c>
      <c r="O52" s="127" t="str">
        <f aca="false">IF(IFERROR(INDEX(tsk_Name,(ROW()-ROW(MSPTasks[[#Headers],[ID]])))="",TRUE()),"",INDEX(tsk_PlanStart,(ROW()-ROW(MSPTasks[[#Headers],[ID]]))))</f>
        <v/>
      </c>
      <c r="P52" s="127" t="str">
        <f aca="false">IF(IFERROR(INDEX(tsk_Name,(ROW()-ROW(MSPTasks[[#Headers],[ID]])))="",TRUE()),"",INDEX(tsk_PlanFinish,(ROW()-ROW(MSPTasks[[#Headers],[ID]]))))</f>
        <v/>
      </c>
      <c r="Q52" s="24" t="str">
        <f aca="false">IF(IFERROR(INDEX(tsk_Name,(ROW()-ROW(MSPTasks[[#Headers],[ID]])))="",TRUE()),"",IF(INDEX(tsk_BaseDuration,(ROW()-ROW(MSPTasks[[#Headers],[ID]])))="","",N(INDEX(tsk_BaseDuration,(ROW()-ROW(MSPTasks[[#Headers],[ID]]))))&amp;"d"))</f>
        <v/>
      </c>
      <c r="R52" s="24" t="str">
        <f aca="false">IF(IFERROR(INDEX(tsk_Name,(ROW()-ROW(MSPTasks[[#Headers],[ID]])))="",TRUE()),"",IF(INDEX(tsk_BaseWork,(ROW()-ROW(MSPTasks[[#Headers],[ID]])))="","",N(INDEX(tsk_BaseWork,(ROW()-ROW(MSPTasks[[#Headers],[ID]]))))&amp;"h"))</f>
        <v/>
      </c>
      <c r="S52" s="24" t="str">
        <f aca="false">IF(IFERROR(INDEX(tsk_Name,(ROW()-ROW(MSPTasks[[#Headers],[ID]])))="",TRUE()),"",IF(INDEX(tsk_BaseCost,(ROW()-ROW(MSPTasks[[#Headers],[ID]])))="","",N(INDEX(tsk_BaseCost,(ROW()-ROW(MSPTasks[[#Headers],[ID]]))))))</f>
        <v/>
      </c>
      <c r="T52" s="24" t="str">
        <f aca="false">IF(IFERROR(INDEX(tsk_Name,(ROW()-ROW(MSPTasks[[#Headers],[ID]])))="",TRUE()),"",IF(INDEX(tsk_IsSummary,(ROW()-ROW(MSPTasks[[#Headers],[ID]]))),"",IF(N(INDEX(tsk_ActCostInput,(ROW()-ROW(MSPTasks[[#Headers],[ID]]))))=0,"",INDEX(tsk_ActCostInput,(ROW()-ROW(MSPTasks[[#Headers],[ID]]))))))</f>
        <v/>
      </c>
      <c r="U52" s="24" t="str">
        <f aca="false">IF(IFERROR(INDEX(tsk_Name,(ROW()-ROW(MSPTasks[[#Headers],[ID]])))="",TRUE()),"",IF(INDEX(tsk_IsSummary,(ROW()-ROW(MSPTasks[[#Headers],[ID]]))),"",IF(AND(INDEX(tsk_Mode,(ROW()-ROW(MSPTasks[[#Headers],[ID]])))&lt;&gt;"Manual",N(INDEX(tsk_Constraint,(ROW()-ROW(MSPTasks[[#Headers],[ID]]))))&gt;0),"Start No Earlier Than","As Soon As Possible")))</f>
        <v/>
      </c>
      <c r="V52" s="127" t="str">
        <f aca="false">IF(IFERROR(INDEX(tsk_Name,(ROW()-ROW(MSPTasks[[#Headers],[ID]])))="",TRUE()),"",IF(OR(INDEX(tsk_IsSummary,(ROW()-ROW(MSPTasks[[#Headers],[ID]]))),INDEX(tsk_Mode,(ROW()-ROW(MSPTasks[[#Headers],[ID]])))="Manual"),"",IF(N(INDEX(tsk_Constraint,(ROW()-ROW(MSPTasks[[#Headers],[ID]]))))=0,"",INDEX(tsk_Constraint,(ROW()-ROW(MSPTasks[[#Headers],[ID]]))))))</f>
        <v/>
      </c>
      <c r="W52" s="127" t="str">
        <f aca="false">IF(IFERROR(INDEX(tsk_Name,(ROW()-ROW(MSPTasks[[#Headers],[ID]])))="",TRUE()),"",IF(N(INDEX(tsk_Deadline,(ROW()-ROW(MSPTasks[[#Headers],[ID]]))))=0,"",INDEX(tsk_Deadline,(ROW()-ROW(MSPTasks[[#Headers],[ID]])))))</f>
        <v/>
      </c>
      <c r="X52" s="24" t="str">
        <f aca="false">IF(IFERROR(INDEX(tsk_Name,(ROW()-ROW(MSPTasks[[#Headers],[ID]])))="",TRUE()),"",IF(INDEX(tsk_IsSummary,(ROW()-ROW(MSPTasks[[#Headers],[ID]]))),"",INDEX(tsk_Sprint,(ROW()-ROW(MSPTasks[[#Headers],[ID]])))&amp;""))</f>
        <v/>
      </c>
      <c r="Y52" s="24" t="str">
        <f aca="false">IF(IFERROR(INDEX(tsk_Name,(ROW()-ROW(MSPTasks[[#Headers],[ID]])))="",TRUE()),"",IF(INDEX(tsk_IsSummary,(ROW()-ROW(MSPTasks[[#Headers],[ID]]))),"",IF(N(INDEX(tsk_StoryPoints,(ROW()-ROW(MSPTasks[[#Headers],[ID]]))))=0,"",INDEX(tsk_StoryPoints,(ROW()-ROW(MSPTasks[[#Headers],[ID]]))))))</f>
        <v/>
      </c>
      <c r="Z52" s="24" t="str">
        <f aca="false">IF(IFERROR(INDEX(tsk_Name,(ROW()-ROW(MSPTasks[[#Headers],[ID]])))="",TRUE()),"",INDEX(tsk_Notes,(ROW()-ROW(MSPTasks[[#Headers],[ID]])))&amp;"")</f>
        <v/>
      </c>
    </row>
    <row r="53" customFormat="false" ht="15" hidden="false" customHeight="false" outlineLevel="0" collapsed="false">
      <c r="A53" s="24" t="str">
        <f aca="false">IF(IFERROR(INDEX(tsk_Name,(ROW()-ROW(MSPTasks[[#Headers],[ID]])))="",TRUE()),"",INDEX(tsk_ID,(ROW()-ROW(MSPTasks[[#Headers],[ID]]))))</f>
        <v/>
      </c>
      <c r="B53" s="24" t="str">
        <f aca="false">IF(IFERROR(INDEX(tsk_Name,(ROW()-ROW(MSPTasks[[#Headers],[ID]])))="",TRUE()),"",INDEX(tsk_UID,(ROW()-ROW(MSPTasks[[#Headers],[ID]]))))</f>
        <v/>
      </c>
      <c r="C53" s="24" t="str">
        <f aca="false">IF(IFERROR(INDEX(tsk_Name,(ROW()-ROW(MSPTasks[[#Headers],[ID]])))="",TRUE()),"",INDEX(tsk_Name,(ROW()-ROW(MSPTasks[[#Headers],[ID]]))))</f>
        <v/>
      </c>
      <c r="D53" s="24" t="str">
        <f aca="false">IF(IFERROR(INDEX(tsk_Name,(ROW()-ROW(MSPTasks[[#Headers],[ID]])))="",TRUE()),"",INDEX(tsk_Level,(ROW()-ROW(MSPTasks[[#Headers],[ID]]))))</f>
        <v/>
      </c>
      <c r="E53" s="24" t="str">
        <f aca="false">IF(IFERROR(INDEX(tsk_Name,(ROW()-ROW(MSPTasks[[#Headers],[ID]])))="",TRUE()),"",IF(INDEX(tsk_Mode,(ROW()-ROW(MSPTasks[[#Headers],[ID]])))="Manual","Manually Scheduled","Auto Scheduled"))</f>
        <v/>
      </c>
      <c r="F53" s="24" t="str">
        <f aca="false">IF(IFERROR(INDEX(tsk_Name,(ROW()-ROW(MSPTasks[[#Headers],[ID]])))="",TRUE()),"",IF(INDEX(tsk_IsSummary,(ROW()-ROW(MSPTasks[[#Headers],[ID]]))),"",N(INDEX(tsk_Duration,(ROW()-ROW(MSPTasks[[#Headers],[ID]]))))&amp;"d"))</f>
        <v/>
      </c>
      <c r="G53" s="127" t="str">
        <f aca="false">IF(IFERROR(INDEX(tsk_Name,(ROW()-ROW(MSPTasks[[#Headers],[ID]])))="",TRUE()),"",INDEX(tsk_FcStart,(ROW()-ROW(MSPTasks[[#Headers],[ID]]))))</f>
        <v/>
      </c>
      <c r="H53" s="127" t="str">
        <f aca="false">IF(IFERROR(INDEX(tsk_Name,(ROW()-ROW(MSPTasks[[#Headers],[ID]])))="",TRUE()),"",INDEX(tsk_FcFinish,(ROW()-ROW(MSPTasks[[#Headers],[ID]]))))</f>
        <v/>
      </c>
      <c r="I53" s="24" t="str">
        <f aca="false">IF(IFERROR(INDEX(tsk_Name,(ROW()-ROW(MSPTasks[[#Headers],[ID]])))="",TRUE()),"",IF(INDEX(tsk_IsSummary,(ROW()-ROW(MSPTasks[[#Headers],[ID]]))),"",INDEX(tsk_Predecessors,(ROW()-ROW(MSPTasks[[#Headers],[ID]])))))</f>
        <v/>
      </c>
      <c r="J53" s="24" t="str">
        <f aca="false">IF(IFERROR(INDEX(tsk_Name,(ROW()-ROW(MSPTasks[[#Headers],[ID]])))="",TRUE()),"",IF(INDEX(tsk_IsSummary,(ROW()-ROW(MSPTasks[[#Headers],[ID]]))),"",INDEX(tsk_UIDPredecessors,(ROW()-ROW(MSPTasks[[#Headers],[ID]])))))</f>
        <v/>
      </c>
      <c r="K5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3" s="24" t="str">
        <f aca="false">IF(IFERROR(INDEX(tsk_Name,(ROW()-ROW(MSPTasks[[#Headers],[ID]])))="",TRUE()),"",IF(INDEX(tsk_IsSummary,(ROW()-ROW(MSPTasks[[#Headers],[ID]]))),"",ROUND(INDEX(tsk_Progress,(ROW()-ROW(MSPTasks[[#Headers],[ID]])))*100,0)))</f>
        <v/>
      </c>
      <c r="M53" s="127" t="str">
        <f aca="false">IF(IFERROR(INDEX(tsk_Name,(ROW()-ROW(MSPTasks[[#Headers],[ID]])))="",TRUE()),"",IF(N(INDEX(tsk_ActStart,(ROW()-ROW(MSPTasks[[#Headers],[ID]]))))=0,"",INDEX(tsk_ActStart,(ROW()-ROW(MSPTasks[[#Headers],[ID]])))))</f>
        <v/>
      </c>
      <c r="N53" s="127" t="str">
        <f aca="false">IF(IFERROR(INDEX(tsk_Name,(ROW()-ROW(MSPTasks[[#Headers],[ID]])))="",TRUE()),"",IF(N(INDEX(tsk_ActFinish,(ROW()-ROW(MSPTasks[[#Headers],[ID]]))))=0,"",INDEX(tsk_ActFinish,(ROW()-ROW(MSPTasks[[#Headers],[ID]])))))</f>
        <v/>
      </c>
      <c r="O53" s="127" t="str">
        <f aca="false">IF(IFERROR(INDEX(tsk_Name,(ROW()-ROW(MSPTasks[[#Headers],[ID]])))="",TRUE()),"",INDEX(tsk_PlanStart,(ROW()-ROW(MSPTasks[[#Headers],[ID]]))))</f>
        <v/>
      </c>
      <c r="P53" s="127" t="str">
        <f aca="false">IF(IFERROR(INDEX(tsk_Name,(ROW()-ROW(MSPTasks[[#Headers],[ID]])))="",TRUE()),"",INDEX(tsk_PlanFinish,(ROW()-ROW(MSPTasks[[#Headers],[ID]]))))</f>
        <v/>
      </c>
      <c r="Q53" s="24" t="str">
        <f aca="false">IF(IFERROR(INDEX(tsk_Name,(ROW()-ROW(MSPTasks[[#Headers],[ID]])))="",TRUE()),"",IF(INDEX(tsk_BaseDuration,(ROW()-ROW(MSPTasks[[#Headers],[ID]])))="","",N(INDEX(tsk_BaseDuration,(ROW()-ROW(MSPTasks[[#Headers],[ID]]))))&amp;"d"))</f>
        <v/>
      </c>
      <c r="R53" s="24" t="str">
        <f aca="false">IF(IFERROR(INDEX(tsk_Name,(ROW()-ROW(MSPTasks[[#Headers],[ID]])))="",TRUE()),"",IF(INDEX(tsk_BaseWork,(ROW()-ROW(MSPTasks[[#Headers],[ID]])))="","",N(INDEX(tsk_BaseWork,(ROW()-ROW(MSPTasks[[#Headers],[ID]]))))&amp;"h"))</f>
        <v/>
      </c>
      <c r="S53" s="24" t="str">
        <f aca="false">IF(IFERROR(INDEX(tsk_Name,(ROW()-ROW(MSPTasks[[#Headers],[ID]])))="",TRUE()),"",IF(INDEX(tsk_BaseCost,(ROW()-ROW(MSPTasks[[#Headers],[ID]])))="","",N(INDEX(tsk_BaseCost,(ROW()-ROW(MSPTasks[[#Headers],[ID]]))))))</f>
        <v/>
      </c>
      <c r="T53" s="24" t="str">
        <f aca="false">IF(IFERROR(INDEX(tsk_Name,(ROW()-ROW(MSPTasks[[#Headers],[ID]])))="",TRUE()),"",IF(INDEX(tsk_IsSummary,(ROW()-ROW(MSPTasks[[#Headers],[ID]]))),"",IF(N(INDEX(tsk_ActCostInput,(ROW()-ROW(MSPTasks[[#Headers],[ID]]))))=0,"",INDEX(tsk_ActCostInput,(ROW()-ROW(MSPTasks[[#Headers],[ID]]))))))</f>
        <v/>
      </c>
      <c r="U53" s="24" t="str">
        <f aca="false">IF(IFERROR(INDEX(tsk_Name,(ROW()-ROW(MSPTasks[[#Headers],[ID]])))="",TRUE()),"",IF(INDEX(tsk_IsSummary,(ROW()-ROW(MSPTasks[[#Headers],[ID]]))),"",IF(AND(INDEX(tsk_Mode,(ROW()-ROW(MSPTasks[[#Headers],[ID]])))&lt;&gt;"Manual",N(INDEX(tsk_Constraint,(ROW()-ROW(MSPTasks[[#Headers],[ID]]))))&gt;0),"Start No Earlier Than","As Soon As Possible")))</f>
        <v/>
      </c>
      <c r="V53" s="127" t="str">
        <f aca="false">IF(IFERROR(INDEX(tsk_Name,(ROW()-ROW(MSPTasks[[#Headers],[ID]])))="",TRUE()),"",IF(OR(INDEX(tsk_IsSummary,(ROW()-ROW(MSPTasks[[#Headers],[ID]]))),INDEX(tsk_Mode,(ROW()-ROW(MSPTasks[[#Headers],[ID]])))="Manual"),"",IF(N(INDEX(tsk_Constraint,(ROW()-ROW(MSPTasks[[#Headers],[ID]]))))=0,"",INDEX(tsk_Constraint,(ROW()-ROW(MSPTasks[[#Headers],[ID]]))))))</f>
        <v/>
      </c>
      <c r="W53" s="127" t="str">
        <f aca="false">IF(IFERROR(INDEX(tsk_Name,(ROW()-ROW(MSPTasks[[#Headers],[ID]])))="",TRUE()),"",IF(N(INDEX(tsk_Deadline,(ROW()-ROW(MSPTasks[[#Headers],[ID]]))))=0,"",INDEX(tsk_Deadline,(ROW()-ROW(MSPTasks[[#Headers],[ID]])))))</f>
        <v/>
      </c>
      <c r="X53" s="24" t="str">
        <f aca="false">IF(IFERROR(INDEX(tsk_Name,(ROW()-ROW(MSPTasks[[#Headers],[ID]])))="",TRUE()),"",IF(INDEX(tsk_IsSummary,(ROW()-ROW(MSPTasks[[#Headers],[ID]]))),"",INDEX(tsk_Sprint,(ROW()-ROW(MSPTasks[[#Headers],[ID]])))&amp;""))</f>
        <v/>
      </c>
      <c r="Y53" s="24" t="str">
        <f aca="false">IF(IFERROR(INDEX(tsk_Name,(ROW()-ROW(MSPTasks[[#Headers],[ID]])))="",TRUE()),"",IF(INDEX(tsk_IsSummary,(ROW()-ROW(MSPTasks[[#Headers],[ID]]))),"",IF(N(INDEX(tsk_StoryPoints,(ROW()-ROW(MSPTasks[[#Headers],[ID]]))))=0,"",INDEX(tsk_StoryPoints,(ROW()-ROW(MSPTasks[[#Headers],[ID]]))))))</f>
        <v/>
      </c>
      <c r="Z53" s="24" t="str">
        <f aca="false">IF(IFERROR(INDEX(tsk_Name,(ROW()-ROW(MSPTasks[[#Headers],[ID]])))="",TRUE()),"",INDEX(tsk_Notes,(ROW()-ROW(MSPTasks[[#Headers],[ID]])))&amp;"")</f>
        <v/>
      </c>
    </row>
    <row r="54" customFormat="false" ht="15" hidden="false" customHeight="false" outlineLevel="0" collapsed="false">
      <c r="A54" s="24" t="str">
        <f aca="false">IF(IFERROR(INDEX(tsk_Name,(ROW()-ROW(MSPTasks[[#Headers],[ID]])))="",TRUE()),"",INDEX(tsk_ID,(ROW()-ROW(MSPTasks[[#Headers],[ID]]))))</f>
        <v/>
      </c>
      <c r="B54" s="24" t="str">
        <f aca="false">IF(IFERROR(INDEX(tsk_Name,(ROW()-ROW(MSPTasks[[#Headers],[ID]])))="",TRUE()),"",INDEX(tsk_UID,(ROW()-ROW(MSPTasks[[#Headers],[ID]]))))</f>
        <v/>
      </c>
      <c r="C54" s="24" t="str">
        <f aca="false">IF(IFERROR(INDEX(tsk_Name,(ROW()-ROW(MSPTasks[[#Headers],[ID]])))="",TRUE()),"",INDEX(tsk_Name,(ROW()-ROW(MSPTasks[[#Headers],[ID]]))))</f>
        <v/>
      </c>
      <c r="D54" s="24" t="str">
        <f aca="false">IF(IFERROR(INDEX(tsk_Name,(ROW()-ROW(MSPTasks[[#Headers],[ID]])))="",TRUE()),"",INDEX(tsk_Level,(ROW()-ROW(MSPTasks[[#Headers],[ID]]))))</f>
        <v/>
      </c>
      <c r="E54" s="24" t="str">
        <f aca="false">IF(IFERROR(INDEX(tsk_Name,(ROW()-ROW(MSPTasks[[#Headers],[ID]])))="",TRUE()),"",IF(INDEX(tsk_Mode,(ROW()-ROW(MSPTasks[[#Headers],[ID]])))="Manual","Manually Scheduled","Auto Scheduled"))</f>
        <v/>
      </c>
      <c r="F54" s="24" t="str">
        <f aca="false">IF(IFERROR(INDEX(tsk_Name,(ROW()-ROW(MSPTasks[[#Headers],[ID]])))="",TRUE()),"",IF(INDEX(tsk_IsSummary,(ROW()-ROW(MSPTasks[[#Headers],[ID]]))),"",N(INDEX(tsk_Duration,(ROW()-ROW(MSPTasks[[#Headers],[ID]]))))&amp;"d"))</f>
        <v/>
      </c>
      <c r="G54" s="127" t="str">
        <f aca="false">IF(IFERROR(INDEX(tsk_Name,(ROW()-ROW(MSPTasks[[#Headers],[ID]])))="",TRUE()),"",INDEX(tsk_FcStart,(ROW()-ROW(MSPTasks[[#Headers],[ID]]))))</f>
        <v/>
      </c>
      <c r="H54" s="127" t="str">
        <f aca="false">IF(IFERROR(INDEX(tsk_Name,(ROW()-ROW(MSPTasks[[#Headers],[ID]])))="",TRUE()),"",INDEX(tsk_FcFinish,(ROW()-ROW(MSPTasks[[#Headers],[ID]]))))</f>
        <v/>
      </c>
      <c r="I54" s="24" t="str">
        <f aca="false">IF(IFERROR(INDEX(tsk_Name,(ROW()-ROW(MSPTasks[[#Headers],[ID]])))="",TRUE()),"",IF(INDEX(tsk_IsSummary,(ROW()-ROW(MSPTasks[[#Headers],[ID]]))),"",INDEX(tsk_Predecessors,(ROW()-ROW(MSPTasks[[#Headers],[ID]])))))</f>
        <v/>
      </c>
      <c r="J54" s="24" t="str">
        <f aca="false">IF(IFERROR(INDEX(tsk_Name,(ROW()-ROW(MSPTasks[[#Headers],[ID]])))="",TRUE()),"",IF(INDEX(tsk_IsSummary,(ROW()-ROW(MSPTasks[[#Headers],[ID]]))),"",INDEX(tsk_UIDPredecessors,(ROW()-ROW(MSPTasks[[#Headers],[ID]])))))</f>
        <v/>
      </c>
      <c r="K5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4" s="24" t="str">
        <f aca="false">IF(IFERROR(INDEX(tsk_Name,(ROW()-ROW(MSPTasks[[#Headers],[ID]])))="",TRUE()),"",IF(INDEX(tsk_IsSummary,(ROW()-ROW(MSPTasks[[#Headers],[ID]]))),"",ROUND(INDEX(tsk_Progress,(ROW()-ROW(MSPTasks[[#Headers],[ID]])))*100,0)))</f>
        <v/>
      </c>
      <c r="M54" s="127" t="str">
        <f aca="false">IF(IFERROR(INDEX(tsk_Name,(ROW()-ROW(MSPTasks[[#Headers],[ID]])))="",TRUE()),"",IF(N(INDEX(tsk_ActStart,(ROW()-ROW(MSPTasks[[#Headers],[ID]]))))=0,"",INDEX(tsk_ActStart,(ROW()-ROW(MSPTasks[[#Headers],[ID]])))))</f>
        <v/>
      </c>
      <c r="N54" s="127" t="str">
        <f aca="false">IF(IFERROR(INDEX(tsk_Name,(ROW()-ROW(MSPTasks[[#Headers],[ID]])))="",TRUE()),"",IF(N(INDEX(tsk_ActFinish,(ROW()-ROW(MSPTasks[[#Headers],[ID]]))))=0,"",INDEX(tsk_ActFinish,(ROW()-ROW(MSPTasks[[#Headers],[ID]])))))</f>
        <v/>
      </c>
      <c r="O54" s="127" t="str">
        <f aca="false">IF(IFERROR(INDEX(tsk_Name,(ROW()-ROW(MSPTasks[[#Headers],[ID]])))="",TRUE()),"",INDEX(tsk_PlanStart,(ROW()-ROW(MSPTasks[[#Headers],[ID]]))))</f>
        <v/>
      </c>
      <c r="P54" s="127" t="str">
        <f aca="false">IF(IFERROR(INDEX(tsk_Name,(ROW()-ROW(MSPTasks[[#Headers],[ID]])))="",TRUE()),"",INDEX(tsk_PlanFinish,(ROW()-ROW(MSPTasks[[#Headers],[ID]]))))</f>
        <v/>
      </c>
      <c r="Q54" s="24" t="str">
        <f aca="false">IF(IFERROR(INDEX(tsk_Name,(ROW()-ROW(MSPTasks[[#Headers],[ID]])))="",TRUE()),"",IF(INDEX(tsk_BaseDuration,(ROW()-ROW(MSPTasks[[#Headers],[ID]])))="","",N(INDEX(tsk_BaseDuration,(ROW()-ROW(MSPTasks[[#Headers],[ID]]))))&amp;"d"))</f>
        <v/>
      </c>
      <c r="R54" s="24" t="str">
        <f aca="false">IF(IFERROR(INDEX(tsk_Name,(ROW()-ROW(MSPTasks[[#Headers],[ID]])))="",TRUE()),"",IF(INDEX(tsk_BaseWork,(ROW()-ROW(MSPTasks[[#Headers],[ID]])))="","",N(INDEX(tsk_BaseWork,(ROW()-ROW(MSPTasks[[#Headers],[ID]]))))&amp;"h"))</f>
        <v/>
      </c>
      <c r="S54" s="24" t="str">
        <f aca="false">IF(IFERROR(INDEX(tsk_Name,(ROW()-ROW(MSPTasks[[#Headers],[ID]])))="",TRUE()),"",IF(INDEX(tsk_BaseCost,(ROW()-ROW(MSPTasks[[#Headers],[ID]])))="","",N(INDEX(tsk_BaseCost,(ROW()-ROW(MSPTasks[[#Headers],[ID]]))))))</f>
        <v/>
      </c>
      <c r="T54" s="24" t="str">
        <f aca="false">IF(IFERROR(INDEX(tsk_Name,(ROW()-ROW(MSPTasks[[#Headers],[ID]])))="",TRUE()),"",IF(INDEX(tsk_IsSummary,(ROW()-ROW(MSPTasks[[#Headers],[ID]]))),"",IF(N(INDEX(tsk_ActCostInput,(ROW()-ROW(MSPTasks[[#Headers],[ID]]))))=0,"",INDEX(tsk_ActCostInput,(ROW()-ROW(MSPTasks[[#Headers],[ID]]))))))</f>
        <v/>
      </c>
      <c r="U54" s="24" t="str">
        <f aca="false">IF(IFERROR(INDEX(tsk_Name,(ROW()-ROW(MSPTasks[[#Headers],[ID]])))="",TRUE()),"",IF(INDEX(tsk_IsSummary,(ROW()-ROW(MSPTasks[[#Headers],[ID]]))),"",IF(AND(INDEX(tsk_Mode,(ROW()-ROW(MSPTasks[[#Headers],[ID]])))&lt;&gt;"Manual",N(INDEX(tsk_Constraint,(ROW()-ROW(MSPTasks[[#Headers],[ID]]))))&gt;0),"Start No Earlier Than","As Soon As Possible")))</f>
        <v/>
      </c>
      <c r="V54" s="127" t="str">
        <f aca="false">IF(IFERROR(INDEX(tsk_Name,(ROW()-ROW(MSPTasks[[#Headers],[ID]])))="",TRUE()),"",IF(OR(INDEX(tsk_IsSummary,(ROW()-ROW(MSPTasks[[#Headers],[ID]]))),INDEX(tsk_Mode,(ROW()-ROW(MSPTasks[[#Headers],[ID]])))="Manual"),"",IF(N(INDEX(tsk_Constraint,(ROW()-ROW(MSPTasks[[#Headers],[ID]]))))=0,"",INDEX(tsk_Constraint,(ROW()-ROW(MSPTasks[[#Headers],[ID]]))))))</f>
        <v/>
      </c>
      <c r="W54" s="127" t="str">
        <f aca="false">IF(IFERROR(INDEX(tsk_Name,(ROW()-ROW(MSPTasks[[#Headers],[ID]])))="",TRUE()),"",IF(N(INDEX(tsk_Deadline,(ROW()-ROW(MSPTasks[[#Headers],[ID]]))))=0,"",INDEX(tsk_Deadline,(ROW()-ROW(MSPTasks[[#Headers],[ID]])))))</f>
        <v/>
      </c>
      <c r="X54" s="24" t="str">
        <f aca="false">IF(IFERROR(INDEX(tsk_Name,(ROW()-ROW(MSPTasks[[#Headers],[ID]])))="",TRUE()),"",IF(INDEX(tsk_IsSummary,(ROW()-ROW(MSPTasks[[#Headers],[ID]]))),"",INDEX(tsk_Sprint,(ROW()-ROW(MSPTasks[[#Headers],[ID]])))&amp;""))</f>
        <v/>
      </c>
      <c r="Y54" s="24" t="str">
        <f aca="false">IF(IFERROR(INDEX(tsk_Name,(ROW()-ROW(MSPTasks[[#Headers],[ID]])))="",TRUE()),"",IF(INDEX(tsk_IsSummary,(ROW()-ROW(MSPTasks[[#Headers],[ID]]))),"",IF(N(INDEX(tsk_StoryPoints,(ROW()-ROW(MSPTasks[[#Headers],[ID]]))))=0,"",INDEX(tsk_StoryPoints,(ROW()-ROW(MSPTasks[[#Headers],[ID]]))))))</f>
        <v/>
      </c>
      <c r="Z54" s="24" t="str">
        <f aca="false">IF(IFERROR(INDEX(tsk_Name,(ROW()-ROW(MSPTasks[[#Headers],[ID]])))="",TRUE()),"",INDEX(tsk_Notes,(ROW()-ROW(MSPTasks[[#Headers],[ID]])))&amp;"")</f>
        <v/>
      </c>
    </row>
    <row r="55" customFormat="false" ht="15" hidden="false" customHeight="false" outlineLevel="0" collapsed="false">
      <c r="A55" s="24" t="str">
        <f aca="false">IF(IFERROR(INDEX(tsk_Name,(ROW()-ROW(MSPTasks[[#Headers],[ID]])))="",TRUE()),"",INDEX(tsk_ID,(ROW()-ROW(MSPTasks[[#Headers],[ID]]))))</f>
        <v/>
      </c>
      <c r="B55" s="24" t="str">
        <f aca="false">IF(IFERROR(INDEX(tsk_Name,(ROW()-ROW(MSPTasks[[#Headers],[ID]])))="",TRUE()),"",INDEX(tsk_UID,(ROW()-ROW(MSPTasks[[#Headers],[ID]]))))</f>
        <v/>
      </c>
      <c r="C55" s="24" t="str">
        <f aca="false">IF(IFERROR(INDEX(tsk_Name,(ROW()-ROW(MSPTasks[[#Headers],[ID]])))="",TRUE()),"",INDEX(tsk_Name,(ROW()-ROW(MSPTasks[[#Headers],[ID]]))))</f>
        <v/>
      </c>
      <c r="D55" s="24" t="str">
        <f aca="false">IF(IFERROR(INDEX(tsk_Name,(ROW()-ROW(MSPTasks[[#Headers],[ID]])))="",TRUE()),"",INDEX(tsk_Level,(ROW()-ROW(MSPTasks[[#Headers],[ID]]))))</f>
        <v/>
      </c>
      <c r="E55" s="24" t="str">
        <f aca="false">IF(IFERROR(INDEX(tsk_Name,(ROW()-ROW(MSPTasks[[#Headers],[ID]])))="",TRUE()),"",IF(INDEX(tsk_Mode,(ROW()-ROW(MSPTasks[[#Headers],[ID]])))="Manual","Manually Scheduled","Auto Scheduled"))</f>
        <v/>
      </c>
      <c r="F55" s="24" t="str">
        <f aca="false">IF(IFERROR(INDEX(tsk_Name,(ROW()-ROW(MSPTasks[[#Headers],[ID]])))="",TRUE()),"",IF(INDEX(tsk_IsSummary,(ROW()-ROW(MSPTasks[[#Headers],[ID]]))),"",N(INDEX(tsk_Duration,(ROW()-ROW(MSPTasks[[#Headers],[ID]]))))&amp;"d"))</f>
        <v/>
      </c>
      <c r="G55" s="127" t="str">
        <f aca="false">IF(IFERROR(INDEX(tsk_Name,(ROW()-ROW(MSPTasks[[#Headers],[ID]])))="",TRUE()),"",INDEX(tsk_FcStart,(ROW()-ROW(MSPTasks[[#Headers],[ID]]))))</f>
        <v/>
      </c>
      <c r="H55" s="127" t="str">
        <f aca="false">IF(IFERROR(INDEX(tsk_Name,(ROW()-ROW(MSPTasks[[#Headers],[ID]])))="",TRUE()),"",INDEX(tsk_FcFinish,(ROW()-ROW(MSPTasks[[#Headers],[ID]]))))</f>
        <v/>
      </c>
      <c r="I55" s="24" t="str">
        <f aca="false">IF(IFERROR(INDEX(tsk_Name,(ROW()-ROW(MSPTasks[[#Headers],[ID]])))="",TRUE()),"",IF(INDEX(tsk_IsSummary,(ROW()-ROW(MSPTasks[[#Headers],[ID]]))),"",INDEX(tsk_Predecessors,(ROW()-ROW(MSPTasks[[#Headers],[ID]])))))</f>
        <v/>
      </c>
      <c r="J55" s="24" t="str">
        <f aca="false">IF(IFERROR(INDEX(tsk_Name,(ROW()-ROW(MSPTasks[[#Headers],[ID]])))="",TRUE()),"",IF(INDEX(tsk_IsSummary,(ROW()-ROW(MSPTasks[[#Headers],[ID]]))),"",INDEX(tsk_UIDPredecessors,(ROW()-ROW(MSPTasks[[#Headers],[ID]])))))</f>
        <v/>
      </c>
      <c r="K5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5" s="24" t="str">
        <f aca="false">IF(IFERROR(INDEX(tsk_Name,(ROW()-ROW(MSPTasks[[#Headers],[ID]])))="",TRUE()),"",IF(INDEX(tsk_IsSummary,(ROW()-ROW(MSPTasks[[#Headers],[ID]]))),"",ROUND(INDEX(tsk_Progress,(ROW()-ROW(MSPTasks[[#Headers],[ID]])))*100,0)))</f>
        <v/>
      </c>
      <c r="M55" s="127" t="str">
        <f aca="false">IF(IFERROR(INDEX(tsk_Name,(ROW()-ROW(MSPTasks[[#Headers],[ID]])))="",TRUE()),"",IF(N(INDEX(tsk_ActStart,(ROW()-ROW(MSPTasks[[#Headers],[ID]]))))=0,"",INDEX(tsk_ActStart,(ROW()-ROW(MSPTasks[[#Headers],[ID]])))))</f>
        <v/>
      </c>
      <c r="N55" s="127" t="str">
        <f aca="false">IF(IFERROR(INDEX(tsk_Name,(ROW()-ROW(MSPTasks[[#Headers],[ID]])))="",TRUE()),"",IF(N(INDEX(tsk_ActFinish,(ROW()-ROW(MSPTasks[[#Headers],[ID]]))))=0,"",INDEX(tsk_ActFinish,(ROW()-ROW(MSPTasks[[#Headers],[ID]])))))</f>
        <v/>
      </c>
      <c r="O55" s="127" t="str">
        <f aca="false">IF(IFERROR(INDEX(tsk_Name,(ROW()-ROW(MSPTasks[[#Headers],[ID]])))="",TRUE()),"",INDEX(tsk_PlanStart,(ROW()-ROW(MSPTasks[[#Headers],[ID]]))))</f>
        <v/>
      </c>
      <c r="P55" s="127" t="str">
        <f aca="false">IF(IFERROR(INDEX(tsk_Name,(ROW()-ROW(MSPTasks[[#Headers],[ID]])))="",TRUE()),"",INDEX(tsk_PlanFinish,(ROW()-ROW(MSPTasks[[#Headers],[ID]]))))</f>
        <v/>
      </c>
      <c r="Q55" s="24" t="str">
        <f aca="false">IF(IFERROR(INDEX(tsk_Name,(ROW()-ROW(MSPTasks[[#Headers],[ID]])))="",TRUE()),"",IF(INDEX(tsk_BaseDuration,(ROW()-ROW(MSPTasks[[#Headers],[ID]])))="","",N(INDEX(tsk_BaseDuration,(ROW()-ROW(MSPTasks[[#Headers],[ID]]))))&amp;"d"))</f>
        <v/>
      </c>
      <c r="R55" s="24" t="str">
        <f aca="false">IF(IFERROR(INDEX(tsk_Name,(ROW()-ROW(MSPTasks[[#Headers],[ID]])))="",TRUE()),"",IF(INDEX(tsk_BaseWork,(ROW()-ROW(MSPTasks[[#Headers],[ID]])))="","",N(INDEX(tsk_BaseWork,(ROW()-ROW(MSPTasks[[#Headers],[ID]]))))&amp;"h"))</f>
        <v/>
      </c>
      <c r="S55" s="24" t="str">
        <f aca="false">IF(IFERROR(INDEX(tsk_Name,(ROW()-ROW(MSPTasks[[#Headers],[ID]])))="",TRUE()),"",IF(INDEX(tsk_BaseCost,(ROW()-ROW(MSPTasks[[#Headers],[ID]])))="","",N(INDEX(tsk_BaseCost,(ROW()-ROW(MSPTasks[[#Headers],[ID]]))))))</f>
        <v/>
      </c>
      <c r="T55" s="24" t="str">
        <f aca="false">IF(IFERROR(INDEX(tsk_Name,(ROW()-ROW(MSPTasks[[#Headers],[ID]])))="",TRUE()),"",IF(INDEX(tsk_IsSummary,(ROW()-ROW(MSPTasks[[#Headers],[ID]]))),"",IF(N(INDEX(tsk_ActCostInput,(ROW()-ROW(MSPTasks[[#Headers],[ID]]))))=0,"",INDEX(tsk_ActCostInput,(ROW()-ROW(MSPTasks[[#Headers],[ID]]))))))</f>
        <v/>
      </c>
      <c r="U55" s="24" t="str">
        <f aca="false">IF(IFERROR(INDEX(tsk_Name,(ROW()-ROW(MSPTasks[[#Headers],[ID]])))="",TRUE()),"",IF(INDEX(tsk_IsSummary,(ROW()-ROW(MSPTasks[[#Headers],[ID]]))),"",IF(AND(INDEX(tsk_Mode,(ROW()-ROW(MSPTasks[[#Headers],[ID]])))&lt;&gt;"Manual",N(INDEX(tsk_Constraint,(ROW()-ROW(MSPTasks[[#Headers],[ID]]))))&gt;0),"Start No Earlier Than","As Soon As Possible")))</f>
        <v/>
      </c>
      <c r="V55" s="127" t="str">
        <f aca="false">IF(IFERROR(INDEX(tsk_Name,(ROW()-ROW(MSPTasks[[#Headers],[ID]])))="",TRUE()),"",IF(OR(INDEX(tsk_IsSummary,(ROW()-ROW(MSPTasks[[#Headers],[ID]]))),INDEX(tsk_Mode,(ROW()-ROW(MSPTasks[[#Headers],[ID]])))="Manual"),"",IF(N(INDEX(tsk_Constraint,(ROW()-ROW(MSPTasks[[#Headers],[ID]]))))=0,"",INDEX(tsk_Constraint,(ROW()-ROW(MSPTasks[[#Headers],[ID]]))))))</f>
        <v/>
      </c>
      <c r="W55" s="127" t="str">
        <f aca="false">IF(IFERROR(INDEX(tsk_Name,(ROW()-ROW(MSPTasks[[#Headers],[ID]])))="",TRUE()),"",IF(N(INDEX(tsk_Deadline,(ROW()-ROW(MSPTasks[[#Headers],[ID]]))))=0,"",INDEX(tsk_Deadline,(ROW()-ROW(MSPTasks[[#Headers],[ID]])))))</f>
        <v/>
      </c>
      <c r="X55" s="24" t="str">
        <f aca="false">IF(IFERROR(INDEX(tsk_Name,(ROW()-ROW(MSPTasks[[#Headers],[ID]])))="",TRUE()),"",IF(INDEX(tsk_IsSummary,(ROW()-ROW(MSPTasks[[#Headers],[ID]]))),"",INDEX(tsk_Sprint,(ROW()-ROW(MSPTasks[[#Headers],[ID]])))&amp;""))</f>
        <v/>
      </c>
      <c r="Y55" s="24" t="str">
        <f aca="false">IF(IFERROR(INDEX(tsk_Name,(ROW()-ROW(MSPTasks[[#Headers],[ID]])))="",TRUE()),"",IF(INDEX(tsk_IsSummary,(ROW()-ROW(MSPTasks[[#Headers],[ID]]))),"",IF(N(INDEX(tsk_StoryPoints,(ROW()-ROW(MSPTasks[[#Headers],[ID]]))))=0,"",INDEX(tsk_StoryPoints,(ROW()-ROW(MSPTasks[[#Headers],[ID]]))))))</f>
        <v/>
      </c>
      <c r="Z55" s="24" t="str">
        <f aca="false">IF(IFERROR(INDEX(tsk_Name,(ROW()-ROW(MSPTasks[[#Headers],[ID]])))="",TRUE()),"",INDEX(tsk_Notes,(ROW()-ROW(MSPTasks[[#Headers],[ID]])))&amp;"")</f>
        <v/>
      </c>
    </row>
    <row r="56" customFormat="false" ht="15" hidden="false" customHeight="false" outlineLevel="0" collapsed="false">
      <c r="A56" s="24" t="str">
        <f aca="false">IF(IFERROR(INDEX(tsk_Name,(ROW()-ROW(MSPTasks[[#Headers],[ID]])))="",TRUE()),"",INDEX(tsk_ID,(ROW()-ROW(MSPTasks[[#Headers],[ID]]))))</f>
        <v/>
      </c>
      <c r="B56" s="24" t="str">
        <f aca="false">IF(IFERROR(INDEX(tsk_Name,(ROW()-ROW(MSPTasks[[#Headers],[ID]])))="",TRUE()),"",INDEX(tsk_UID,(ROW()-ROW(MSPTasks[[#Headers],[ID]]))))</f>
        <v/>
      </c>
      <c r="C56" s="24" t="str">
        <f aca="false">IF(IFERROR(INDEX(tsk_Name,(ROW()-ROW(MSPTasks[[#Headers],[ID]])))="",TRUE()),"",INDEX(tsk_Name,(ROW()-ROW(MSPTasks[[#Headers],[ID]]))))</f>
        <v/>
      </c>
      <c r="D56" s="24" t="str">
        <f aca="false">IF(IFERROR(INDEX(tsk_Name,(ROW()-ROW(MSPTasks[[#Headers],[ID]])))="",TRUE()),"",INDEX(tsk_Level,(ROW()-ROW(MSPTasks[[#Headers],[ID]]))))</f>
        <v/>
      </c>
      <c r="E56" s="24" t="str">
        <f aca="false">IF(IFERROR(INDEX(tsk_Name,(ROW()-ROW(MSPTasks[[#Headers],[ID]])))="",TRUE()),"",IF(INDEX(tsk_Mode,(ROW()-ROW(MSPTasks[[#Headers],[ID]])))="Manual","Manually Scheduled","Auto Scheduled"))</f>
        <v/>
      </c>
      <c r="F56" s="24" t="str">
        <f aca="false">IF(IFERROR(INDEX(tsk_Name,(ROW()-ROW(MSPTasks[[#Headers],[ID]])))="",TRUE()),"",IF(INDEX(tsk_IsSummary,(ROW()-ROW(MSPTasks[[#Headers],[ID]]))),"",N(INDEX(tsk_Duration,(ROW()-ROW(MSPTasks[[#Headers],[ID]]))))&amp;"d"))</f>
        <v/>
      </c>
      <c r="G56" s="127" t="str">
        <f aca="false">IF(IFERROR(INDEX(tsk_Name,(ROW()-ROW(MSPTasks[[#Headers],[ID]])))="",TRUE()),"",INDEX(tsk_FcStart,(ROW()-ROW(MSPTasks[[#Headers],[ID]]))))</f>
        <v/>
      </c>
      <c r="H56" s="127" t="str">
        <f aca="false">IF(IFERROR(INDEX(tsk_Name,(ROW()-ROW(MSPTasks[[#Headers],[ID]])))="",TRUE()),"",INDEX(tsk_FcFinish,(ROW()-ROW(MSPTasks[[#Headers],[ID]]))))</f>
        <v/>
      </c>
      <c r="I56" s="24" t="str">
        <f aca="false">IF(IFERROR(INDEX(tsk_Name,(ROW()-ROW(MSPTasks[[#Headers],[ID]])))="",TRUE()),"",IF(INDEX(tsk_IsSummary,(ROW()-ROW(MSPTasks[[#Headers],[ID]]))),"",INDEX(tsk_Predecessors,(ROW()-ROW(MSPTasks[[#Headers],[ID]])))))</f>
        <v/>
      </c>
      <c r="J56" s="24" t="str">
        <f aca="false">IF(IFERROR(INDEX(tsk_Name,(ROW()-ROW(MSPTasks[[#Headers],[ID]])))="",TRUE()),"",IF(INDEX(tsk_IsSummary,(ROW()-ROW(MSPTasks[[#Headers],[ID]]))),"",INDEX(tsk_UIDPredecessors,(ROW()-ROW(MSPTasks[[#Headers],[ID]])))))</f>
        <v/>
      </c>
      <c r="K5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6" s="24" t="str">
        <f aca="false">IF(IFERROR(INDEX(tsk_Name,(ROW()-ROW(MSPTasks[[#Headers],[ID]])))="",TRUE()),"",IF(INDEX(tsk_IsSummary,(ROW()-ROW(MSPTasks[[#Headers],[ID]]))),"",ROUND(INDEX(tsk_Progress,(ROW()-ROW(MSPTasks[[#Headers],[ID]])))*100,0)))</f>
        <v/>
      </c>
      <c r="M56" s="127" t="str">
        <f aca="false">IF(IFERROR(INDEX(tsk_Name,(ROW()-ROW(MSPTasks[[#Headers],[ID]])))="",TRUE()),"",IF(N(INDEX(tsk_ActStart,(ROW()-ROW(MSPTasks[[#Headers],[ID]]))))=0,"",INDEX(tsk_ActStart,(ROW()-ROW(MSPTasks[[#Headers],[ID]])))))</f>
        <v/>
      </c>
      <c r="N56" s="127" t="str">
        <f aca="false">IF(IFERROR(INDEX(tsk_Name,(ROW()-ROW(MSPTasks[[#Headers],[ID]])))="",TRUE()),"",IF(N(INDEX(tsk_ActFinish,(ROW()-ROW(MSPTasks[[#Headers],[ID]]))))=0,"",INDEX(tsk_ActFinish,(ROW()-ROW(MSPTasks[[#Headers],[ID]])))))</f>
        <v/>
      </c>
      <c r="O56" s="127" t="str">
        <f aca="false">IF(IFERROR(INDEX(tsk_Name,(ROW()-ROW(MSPTasks[[#Headers],[ID]])))="",TRUE()),"",INDEX(tsk_PlanStart,(ROW()-ROW(MSPTasks[[#Headers],[ID]]))))</f>
        <v/>
      </c>
      <c r="P56" s="127" t="str">
        <f aca="false">IF(IFERROR(INDEX(tsk_Name,(ROW()-ROW(MSPTasks[[#Headers],[ID]])))="",TRUE()),"",INDEX(tsk_PlanFinish,(ROW()-ROW(MSPTasks[[#Headers],[ID]]))))</f>
        <v/>
      </c>
      <c r="Q56" s="24" t="str">
        <f aca="false">IF(IFERROR(INDEX(tsk_Name,(ROW()-ROW(MSPTasks[[#Headers],[ID]])))="",TRUE()),"",IF(INDEX(tsk_BaseDuration,(ROW()-ROW(MSPTasks[[#Headers],[ID]])))="","",N(INDEX(tsk_BaseDuration,(ROW()-ROW(MSPTasks[[#Headers],[ID]]))))&amp;"d"))</f>
        <v/>
      </c>
      <c r="R56" s="24" t="str">
        <f aca="false">IF(IFERROR(INDEX(tsk_Name,(ROW()-ROW(MSPTasks[[#Headers],[ID]])))="",TRUE()),"",IF(INDEX(tsk_BaseWork,(ROW()-ROW(MSPTasks[[#Headers],[ID]])))="","",N(INDEX(tsk_BaseWork,(ROW()-ROW(MSPTasks[[#Headers],[ID]]))))&amp;"h"))</f>
        <v/>
      </c>
      <c r="S56" s="24" t="str">
        <f aca="false">IF(IFERROR(INDEX(tsk_Name,(ROW()-ROW(MSPTasks[[#Headers],[ID]])))="",TRUE()),"",IF(INDEX(tsk_BaseCost,(ROW()-ROW(MSPTasks[[#Headers],[ID]])))="","",N(INDEX(tsk_BaseCost,(ROW()-ROW(MSPTasks[[#Headers],[ID]]))))))</f>
        <v/>
      </c>
      <c r="T56" s="24" t="str">
        <f aca="false">IF(IFERROR(INDEX(tsk_Name,(ROW()-ROW(MSPTasks[[#Headers],[ID]])))="",TRUE()),"",IF(INDEX(tsk_IsSummary,(ROW()-ROW(MSPTasks[[#Headers],[ID]]))),"",IF(N(INDEX(tsk_ActCostInput,(ROW()-ROW(MSPTasks[[#Headers],[ID]]))))=0,"",INDEX(tsk_ActCostInput,(ROW()-ROW(MSPTasks[[#Headers],[ID]]))))))</f>
        <v/>
      </c>
      <c r="U56" s="24" t="str">
        <f aca="false">IF(IFERROR(INDEX(tsk_Name,(ROW()-ROW(MSPTasks[[#Headers],[ID]])))="",TRUE()),"",IF(INDEX(tsk_IsSummary,(ROW()-ROW(MSPTasks[[#Headers],[ID]]))),"",IF(AND(INDEX(tsk_Mode,(ROW()-ROW(MSPTasks[[#Headers],[ID]])))&lt;&gt;"Manual",N(INDEX(tsk_Constraint,(ROW()-ROW(MSPTasks[[#Headers],[ID]]))))&gt;0),"Start No Earlier Than","As Soon As Possible")))</f>
        <v/>
      </c>
      <c r="V56" s="127" t="str">
        <f aca="false">IF(IFERROR(INDEX(tsk_Name,(ROW()-ROW(MSPTasks[[#Headers],[ID]])))="",TRUE()),"",IF(OR(INDEX(tsk_IsSummary,(ROW()-ROW(MSPTasks[[#Headers],[ID]]))),INDEX(tsk_Mode,(ROW()-ROW(MSPTasks[[#Headers],[ID]])))="Manual"),"",IF(N(INDEX(tsk_Constraint,(ROW()-ROW(MSPTasks[[#Headers],[ID]]))))=0,"",INDEX(tsk_Constraint,(ROW()-ROW(MSPTasks[[#Headers],[ID]]))))))</f>
        <v/>
      </c>
      <c r="W56" s="127" t="str">
        <f aca="false">IF(IFERROR(INDEX(tsk_Name,(ROW()-ROW(MSPTasks[[#Headers],[ID]])))="",TRUE()),"",IF(N(INDEX(tsk_Deadline,(ROW()-ROW(MSPTasks[[#Headers],[ID]]))))=0,"",INDEX(tsk_Deadline,(ROW()-ROW(MSPTasks[[#Headers],[ID]])))))</f>
        <v/>
      </c>
      <c r="X56" s="24" t="str">
        <f aca="false">IF(IFERROR(INDEX(tsk_Name,(ROW()-ROW(MSPTasks[[#Headers],[ID]])))="",TRUE()),"",IF(INDEX(tsk_IsSummary,(ROW()-ROW(MSPTasks[[#Headers],[ID]]))),"",INDEX(tsk_Sprint,(ROW()-ROW(MSPTasks[[#Headers],[ID]])))&amp;""))</f>
        <v/>
      </c>
      <c r="Y56" s="24" t="str">
        <f aca="false">IF(IFERROR(INDEX(tsk_Name,(ROW()-ROW(MSPTasks[[#Headers],[ID]])))="",TRUE()),"",IF(INDEX(tsk_IsSummary,(ROW()-ROW(MSPTasks[[#Headers],[ID]]))),"",IF(N(INDEX(tsk_StoryPoints,(ROW()-ROW(MSPTasks[[#Headers],[ID]]))))=0,"",INDEX(tsk_StoryPoints,(ROW()-ROW(MSPTasks[[#Headers],[ID]]))))))</f>
        <v/>
      </c>
      <c r="Z56" s="24" t="str">
        <f aca="false">IF(IFERROR(INDEX(tsk_Name,(ROW()-ROW(MSPTasks[[#Headers],[ID]])))="",TRUE()),"",INDEX(tsk_Notes,(ROW()-ROW(MSPTasks[[#Headers],[ID]])))&amp;"")</f>
        <v/>
      </c>
    </row>
    <row r="57" customFormat="false" ht="15" hidden="false" customHeight="false" outlineLevel="0" collapsed="false">
      <c r="A57" s="24" t="str">
        <f aca="false">IF(IFERROR(INDEX(tsk_Name,(ROW()-ROW(MSPTasks[[#Headers],[ID]])))="",TRUE()),"",INDEX(tsk_ID,(ROW()-ROW(MSPTasks[[#Headers],[ID]]))))</f>
        <v/>
      </c>
      <c r="B57" s="24" t="str">
        <f aca="false">IF(IFERROR(INDEX(tsk_Name,(ROW()-ROW(MSPTasks[[#Headers],[ID]])))="",TRUE()),"",INDEX(tsk_UID,(ROW()-ROW(MSPTasks[[#Headers],[ID]]))))</f>
        <v/>
      </c>
      <c r="C57" s="24" t="str">
        <f aca="false">IF(IFERROR(INDEX(tsk_Name,(ROW()-ROW(MSPTasks[[#Headers],[ID]])))="",TRUE()),"",INDEX(tsk_Name,(ROW()-ROW(MSPTasks[[#Headers],[ID]]))))</f>
        <v/>
      </c>
      <c r="D57" s="24" t="str">
        <f aca="false">IF(IFERROR(INDEX(tsk_Name,(ROW()-ROW(MSPTasks[[#Headers],[ID]])))="",TRUE()),"",INDEX(tsk_Level,(ROW()-ROW(MSPTasks[[#Headers],[ID]]))))</f>
        <v/>
      </c>
      <c r="E57" s="24" t="str">
        <f aca="false">IF(IFERROR(INDEX(tsk_Name,(ROW()-ROW(MSPTasks[[#Headers],[ID]])))="",TRUE()),"",IF(INDEX(tsk_Mode,(ROW()-ROW(MSPTasks[[#Headers],[ID]])))="Manual","Manually Scheduled","Auto Scheduled"))</f>
        <v/>
      </c>
      <c r="F57" s="24" t="str">
        <f aca="false">IF(IFERROR(INDEX(tsk_Name,(ROW()-ROW(MSPTasks[[#Headers],[ID]])))="",TRUE()),"",IF(INDEX(tsk_IsSummary,(ROW()-ROW(MSPTasks[[#Headers],[ID]]))),"",N(INDEX(tsk_Duration,(ROW()-ROW(MSPTasks[[#Headers],[ID]]))))&amp;"d"))</f>
        <v/>
      </c>
      <c r="G57" s="127" t="str">
        <f aca="false">IF(IFERROR(INDEX(tsk_Name,(ROW()-ROW(MSPTasks[[#Headers],[ID]])))="",TRUE()),"",INDEX(tsk_FcStart,(ROW()-ROW(MSPTasks[[#Headers],[ID]]))))</f>
        <v/>
      </c>
      <c r="H57" s="127" t="str">
        <f aca="false">IF(IFERROR(INDEX(tsk_Name,(ROW()-ROW(MSPTasks[[#Headers],[ID]])))="",TRUE()),"",INDEX(tsk_FcFinish,(ROW()-ROW(MSPTasks[[#Headers],[ID]]))))</f>
        <v/>
      </c>
      <c r="I57" s="24" t="str">
        <f aca="false">IF(IFERROR(INDEX(tsk_Name,(ROW()-ROW(MSPTasks[[#Headers],[ID]])))="",TRUE()),"",IF(INDEX(tsk_IsSummary,(ROW()-ROW(MSPTasks[[#Headers],[ID]]))),"",INDEX(tsk_Predecessors,(ROW()-ROW(MSPTasks[[#Headers],[ID]])))))</f>
        <v/>
      </c>
      <c r="J57" s="24" t="str">
        <f aca="false">IF(IFERROR(INDEX(tsk_Name,(ROW()-ROW(MSPTasks[[#Headers],[ID]])))="",TRUE()),"",IF(INDEX(tsk_IsSummary,(ROW()-ROW(MSPTasks[[#Headers],[ID]]))),"",INDEX(tsk_UIDPredecessors,(ROW()-ROW(MSPTasks[[#Headers],[ID]])))))</f>
        <v/>
      </c>
      <c r="K5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7" s="24" t="str">
        <f aca="false">IF(IFERROR(INDEX(tsk_Name,(ROW()-ROW(MSPTasks[[#Headers],[ID]])))="",TRUE()),"",IF(INDEX(tsk_IsSummary,(ROW()-ROW(MSPTasks[[#Headers],[ID]]))),"",ROUND(INDEX(tsk_Progress,(ROW()-ROW(MSPTasks[[#Headers],[ID]])))*100,0)))</f>
        <v/>
      </c>
      <c r="M57" s="127" t="str">
        <f aca="false">IF(IFERROR(INDEX(tsk_Name,(ROW()-ROW(MSPTasks[[#Headers],[ID]])))="",TRUE()),"",IF(N(INDEX(tsk_ActStart,(ROW()-ROW(MSPTasks[[#Headers],[ID]]))))=0,"",INDEX(tsk_ActStart,(ROW()-ROW(MSPTasks[[#Headers],[ID]])))))</f>
        <v/>
      </c>
      <c r="N57" s="127" t="str">
        <f aca="false">IF(IFERROR(INDEX(tsk_Name,(ROW()-ROW(MSPTasks[[#Headers],[ID]])))="",TRUE()),"",IF(N(INDEX(tsk_ActFinish,(ROW()-ROW(MSPTasks[[#Headers],[ID]]))))=0,"",INDEX(tsk_ActFinish,(ROW()-ROW(MSPTasks[[#Headers],[ID]])))))</f>
        <v/>
      </c>
      <c r="O57" s="127" t="str">
        <f aca="false">IF(IFERROR(INDEX(tsk_Name,(ROW()-ROW(MSPTasks[[#Headers],[ID]])))="",TRUE()),"",INDEX(tsk_PlanStart,(ROW()-ROW(MSPTasks[[#Headers],[ID]]))))</f>
        <v/>
      </c>
      <c r="P57" s="127" t="str">
        <f aca="false">IF(IFERROR(INDEX(tsk_Name,(ROW()-ROW(MSPTasks[[#Headers],[ID]])))="",TRUE()),"",INDEX(tsk_PlanFinish,(ROW()-ROW(MSPTasks[[#Headers],[ID]]))))</f>
        <v/>
      </c>
      <c r="Q57" s="24" t="str">
        <f aca="false">IF(IFERROR(INDEX(tsk_Name,(ROW()-ROW(MSPTasks[[#Headers],[ID]])))="",TRUE()),"",IF(INDEX(tsk_BaseDuration,(ROW()-ROW(MSPTasks[[#Headers],[ID]])))="","",N(INDEX(tsk_BaseDuration,(ROW()-ROW(MSPTasks[[#Headers],[ID]]))))&amp;"d"))</f>
        <v/>
      </c>
      <c r="R57" s="24" t="str">
        <f aca="false">IF(IFERROR(INDEX(tsk_Name,(ROW()-ROW(MSPTasks[[#Headers],[ID]])))="",TRUE()),"",IF(INDEX(tsk_BaseWork,(ROW()-ROW(MSPTasks[[#Headers],[ID]])))="","",N(INDEX(tsk_BaseWork,(ROW()-ROW(MSPTasks[[#Headers],[ID]]))))&amp;"h"))</f>
        <v/>
      </c>
      <c r="S57" s="24" t="str">
        <f aca="false">IF(IFERROR(INDEX(tsk_Name,(ROW()-ROW(MSPTasks[[#Headers],[ID]])))="",TRUE()),"",IF(INDEX(tsk_BaseCost,(ROW()-ROW(MSPTasks[[#Headers],[ID]])))="","",N(INDEX(tsk_BaseCost,(ROW()-ROW(MSPTasks[[#Headers],[ID]]))))))</f>
        <v/>
      </c>
      <c r="T57" s="24" t="str">
        <f aca="false">IF(IFERROR(INDEX(tsk_Name,(ROW()-ROW(MSPTasks[[#Headers],[ID]])))="",TRUE()),"",IF(INDEX(tsk_IsSummary,(ROW()-ROW(MSPTasks[[#Headers],[ID]]))),"",IF(N(INDEX(tsk_ActCostInput,(ROW()-ROW(MSPTasks[[#Headers],[ID]]))))=0,"",INDEX(tsk_ActCostInput,(ROW()-ROW(MSPTasks[[#Headers],[ID]]))))))</f>
        <v/>
      </c>
      <c r="U57" s="24" t="str">
        <f aca="false">IF(IFERROR(INDEX(tsk_Name,(ROW()-ROW(MSPTasks[[#Headers],[ID]])))="",TRUE()),"",IF(INDEX(tsk_IsSummary,(ROW()-ROW(MSPTasks[[#Headers],[ID]]))),"",IF(AND(INDEX(tsk_Mode,(ROW()-ROW(MSPTasks[[#Headers],[ID]])))&lt;&gt;"Manual",N(INDEX(tsk_Constraint,(ROW()-ROW(MSPTasks[[#Headers],[ID]]))))&gt;0),"Start No Earlier Than","As Soon As Possible")))</f>
        <v/>
      </c>
      <c r="V57" s="127" t="str">
        <f aca="false">IF(IFERROR(INDEX(tsk_Name,(ROW()-ROW(MSPTasks[[#Headers],[ID]])))="",TRUE()),"",IF(OR(INDEX(tsk_IsSummary,(ROW()-ROW(MSPTasks[[#Headers],[ID]]))),INDEX(tsk_Mode,(ROW()-ROW(MSPTasks[[#Headers],[ID]])))="Manual"),"",IF(N(INDEX(tsk_Constraint,(ROW()-ROW(MSPTasks[[#Headers],[ID]]))))=0,"",INDEX(tsk_Constraint,(ROW()-ROW(MSPTasks[[#Headers],[ID]]))))))</f>
        <v/>
      </c>
      <c r="W57" s="127" t="str">
        <f aca="false">IF(IFERROR(INDEX(tsk_Name,(ROW()-ROW(MSPTasks[[#Headers],[ID]])))="",TRUE()),"",IF(N(INDEX(tsk_Deadline,(ROW()-ROW(MSPTasks[[#Headers],[ID]]))))=0,"",INDEX(tsk_Deadline,(ROW()-ROW(MSPTasks[[#Headers],[ID]])))))</f>
        <v/>
      </c>
      <c r="X57" s="24" t="str">
        <f aca="false">IF(IFERROR(INDEX(tsk_Name,(ROW()-ROW(MSPTasks[[#Headers],[ID]])))="",TRUE()),"",IF(INDEX(tsk_IsSummary,(ROW()-ROW(MSPTasks[[#Headers],[ID]]))),"",INDEX(tsk_Sprint,(ROW()-ROW(MSPTasks[[#Headers],[ID]])))&amp;""))</f>
        <v/>
      </c>
      <c r="Y57" s="24" t="str">
        <f aca="false">IF(IFERROR(INDEX(tsk_Name,(ROW()-ROW(MSPTasks[[#Headers],[ID]])))="",TRUE()),"",IF(INDEX(tsk_IsSummary,(ROW()-ROW(MSPTasks[[#Headers],[ID]]))),"",IF(N(INDEX(tsk_StoryPoints,(ROW()-ROW(MSPTasks[[#Headers],[ID]]))))=0,"",INDEX(tsk_StoryPoints,(ROW()-ROW(MSPTasks[[#Headers],[ID]]))))))</f>
        <v/>
      </c>
      <c r="Z57" s="24" t="str">
        <f aca="false">IF(IFERROR(INDEX(tsk_Name,(ROW()-ROW(MSPTasks[[#Headers],[ID]])))="",TRUE()),"",INDEX(tsk_Notes,(ROW()-ROW(MSPTasks[[#Headers],[ID]])))&amp;"")</f>
        <v/>
      </c>
    </row>
    <row r="58" customFormat="false" ht="15" hidden="false" customHeight="false" outlineLevel="0" collapsed="false">
      <c r="A58" s="24" t="str">
        <f aca="false">IF(IFERROR(INDEX(tsk_Name,(ROW()-ROW(MSPTasks[[#Headers],[ID]])))="",TRUE()),"",INDEX(tsk_ID,(ROW()-ROW(MSPTasks[[#Headers],[ID]]))))</f>
        <v/>
      </c>
      <c r="B58" s="24" t="str">
        <f aca="false">IF(IFERROR(INDEX(tsk_Name,(ROW()-ROW(MSPTasks[[#Headers],[ID]])))="",TRUE()),"",INDEX(tsk_UID,(ROW()-ROW(MSPTasks[[#Headers],[ID]]))))</f>
        <v/>
      </c>
      <c r="C58" s="24" t="str">
        <f aca="false">IF(IFERROR(INDEX(tsk_Name,(ROW()-ROW(MSPTasks[[#Headers],[ID]])))="",TRUE()),"",INDEX(tsk_Name,(ROW()-ROW(MSPTasks[[#Headers],[ID]]))))</f>
        <v/>
      </c>
      <c r="D58" s="24" t="str">
        <f aca="false">IF(IFERROR(INDEX(tsk_Name,(ROW()-ROW(MSPTasks[[#Headers],[ID]])))="",TRUE()),"",INDEX(tsk_Level,(ROW()-ROW(MSPTasks[[#Headers],[ID]]))))</f>
        <v/>
      </c>
      <c r="E58" s="24" t="str">
        <f aca="false">IF(IFERROR(INDEX(tsk_Name,(ROW()-ROW(MSPTasks[[#Headers],[ID]])))="",TRUE()),"",IF(INDEX(tsk_Mode,(ROW()-ROW(MSPTasks[[#Headers],[ID]])))="Manual","Manually Scheduled","Auto Scheduled"))</f>
        <v/>
      </c>
      <c r="F58" s="24" t="str">
        <f aca="false">IF(IFERROR(INDEX(tsk_Name,(ROW()-ROW(MSPTasks[[#Headers],[ID]])))="",TRUE()),"",IF(INDEX(tsk_IsSummary,(ROW()-ROW(MSPTasks[[#Headers],[ID]]))),"",N(INDEX(tsk_Duration,(ROW()-ROW(MSPTasks[[#Headers],[ID]]))))&amp;"d"))</f>
        <v/>
      </c>
      <c r="G58" s="127" t="str">
        <f aca="false">IF(IFERROR(INDEX(tsk_Name,(ROW()-ROW(MSPTasks[[#Headers],[ID]])))="",TRUE()),"",INDEX(tsk_FcStart,(ROW()-ROW(MSPTasks[[#Headers],[ID]]))))</f>
        <v/>
      </c>
      <c r="H58" s="127" t="str">
        <f aca="false">IF(IFERROR(INDEX(tsk_Name,(ROW()-ROW(MSPTasks[[#Headers],[ID]])))="",TRUE()),"",INDEX(tsk_FcFinish,(ROW()-ROW(MSPTasks[[#Headers],[ID]]))))</f>
        <v/>
      </c>
      <c r="I58" s="24" t="str">
        <f aca="false">IF(IFERROR(INDEX(tsk_Name,(ROW()-ROW(MSPTasks[[#Headers],[ID]])))="",TRUE()),"",IF(INDEX(tsk_IsSummary,(ROW()-ROW(MSPTasks[[#Headers],[ID]]))),"",INDEX(tsk_Predecessors,(ROW()-ROW(MSPTasks[[#Headers],[ID]])))))</f>
        <v/>
      </c>
      <c r="J58" s="24" t="str">
        <f aca="false">IF(IFERROR(INDEX(tsk_Name,(ROW()-ROW(MSPTasks[[#Headers],[ID]])))="",TRUE()),"",IF(INDEX(tsk_IsSummary,(ROW()-ROW(MSPTasks[[#Headers],[ID]]))),"",INDEX(tsk_UIDPredecessors,(ROW()-ROW(MSPTasks[[#Headers],[ID]])))))</f>
        <v/>
      </c>
      <c r="K5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8" s="24" t="str">
        <f aca="false">IF(IFERROR(INDEX(tsk_Name,(ROW()-ROW(MSPTasks[[#Headers],[ID]])))="",TRUE()),"",IF(INDEX(tsk_IsSummary,(ROW()-ROW(MSPTasks[[#Headers],[ID]]))),"",ROUND(INDEX(tsk_Progress,(ROW()-ROW(MSPTasks[[#Headers],[ID]])))*100,0)))</f>
        <v/>
      </c>
      <c r="M58" s="127" t="str">
        <f aca="false">IF(IFERROR(INDEX(tsk_Name,(ROW()-ROW(MSPTasks[[#Headers],[ID]])))="",TRUE()),"",IF(N(INDEX(tsk_ActStart,(ROW()-ROW(MSPTasks[[#Headers],[ID]]))))=0,"",INDEX(tsk_ActStart,(ROW()-ROW(MSPTasks[[#Headers],[ID]])))))</f>
        <v/>
      </c>
      <c r="N58" s="127" t="str">
        <f aca="false">IF(IFERROR(INDEX(tsk_Name,(ROW()-ROW(MSPTasks[[#Headers],[ID]])))="",TRUE()),"",IF(N(INDEX(tsk_ActFinish,(ROW()-ROW(MSPTasks[[#Headers],[ID]]))))=0,"",INDEX(tsk_ActFinish,(ROW()-ROW(MSPTasks[[#Headers],[ID]])))))</f>
        <v/>
      </c>
      <c r="O58" s="127" t="str">
        <f aca="false">IF(IFERROR(INDEX(tsk_Name,(ROW()-ROW(MSPTasks[[#Headers],[ID]])))="",TRUE()),"",INDEX(tsk_PlanStart,(ROW()-ROW(MSPTasks[[#Headers],[ID]]))))</f>
        <v/>
      </c>
      <c r="P58" s="127" t="str">
        <f aca="false">IF(IFERROR(INDEX(tsk_Name,(ROW()-ROW(MSPTasks[[#Headers],[ID]])))="",TRUE()),"",INDEX(tsk_PlanFinish,(ROW()-ROW(MSPTasks[[#Headers],[ID]]))))</f>
        <v/>
      </c>
      <c r="Q58" s="24" t="str">
        <f aca="false">IF(IFERROR(INDEX(tsk_Name,(ROW()-ROW(MSPTasks[[#Headers],[ID]])))="",TRUE()),"",IF(INDEX(tsk_BaseDuration,(ROW()-ROW(MSPTasks[[#Headers],[ID]])))="","",N(INDEX(tsk_BaseDuration,(ROW()-ROW(MSPTasks[[#Headers],[ID]]))))&amp;"d"))</f>
        <v/>
      </c>
      <c r="R58" s="24" t="str">
        <f aca="false">IF(IFERROR(INDEX(tsk_Name,(ROW()-ROW(MSPTasks[[#Headers],[ID]])))="",TRUE()),"",IF(INDEX(tsk_BaseWork,(ROW()-ROW(MSPTasks[[#Headers],[ID]])))="","",N(INDEX(tsk_BaseWork,(ROW()-ROW(MSPTasks[[#Headers],[ID]]))))&amp;"h"))</f>
        <v/>
      </c>
      <c r="S58" s="24" t="str">
        <f aca="false">IF(IFERROR(INDEX(tsk_Name,(ROW()-ROW(MSPTasks[[#Headers],[ID]])))="",TRUE()),"",IF(INDEX(tsk_BaseCost,(ROW()-ROW(MSPTasks[[#Headers],[ID]])))="","",N(INDEX(tsk_BaseCost,(ROW()-ROW(MSPTasks[[#Headers],[ID]]))))))</f>
        <v/>
      </c>
      <c r="T58" s="24" t="str">
        <f aca="false">IF(IFERROR(INDEX(tsk_Name,(ROW()-ROW(MSPTasks[[#Headers],[ID]])))="",TRUE()),"",IF(INDEX(tsk_IsSummary,(ROW()-ROW(MSPTasks[[#Headers],[ID]]))),"",IF(N(INDEX(tsk_ActCostInput,(ROW()-ROW(MSPTasks[[#Headers],[ID]]))))=0,"",INDEX(tsk_ActCostInput,(ROW()-ROW(MSPTasks[[#Headers],[ID]]))))))</f>
        <v/>
      </c>
      <c r="U58" s="24" t="str">
        <f aca="false">IF(IFERROR(INDEX(tsk_Name,(ROW()-ROW(MSPTasks[[#Headers],[ID]])))="",TRUE()),"",IF(INDEX(tsk_IsSummary,(ROW()-ROW(MSPTasks[[#Headers],[ID]]))),"",IF(AND(INDEX(tsk_Mode,(ROW()-ROW(MSPTasks[[#Headers],[ID]])))&lt;&gt;"Manual",N(INDEX(tsk_Constraint,(ROW()-ROW(MSPTasks[[#Headers],[ID]]))))&gt;0),"Start No Earlier Than","As Soon As Possible")))</f>
        <v/>
      </c>
      <c r="V58" s="127" t="str">
        <f aca="false">IF(IFERROR(INDEX(tsk_Name,(ROW()-ROW(MSPTasks[[#Headers],[ID]])))="",TRUE()),"",IF(OR(INDEX(tsk_IsSummary,(ROW()-ROW(MSPTasks[[#Headers],[ID]]))),INDEX(tsk_Mode,(ROW()-ROW(MSPTasks[[#Headers],[ID]])))="Manual"),"",IF(N(INDEX(tsk_Constraint,(ROW()-ROW(MSPTasks[[#Headers],[ID]]))))=0,"",INDEX(tsk_Constraint,(ROW()-ROW(MSPTasks[[#Headers],[ID]]))))))</f>
        <v/>
      </c>
      <c r="W58" s="127" t="str">
        <f aca="false">IF(IFERROR(INDEX(tsk_Name,(ROW()-ROW(MSPTasks[[#Headers],[ID]])))="",TRUE()),"",IF(N(INDEX(tsk_Deadline,(ROW()-ROW(MSPTasks[[#Headers],[ID]]))))=0,"",INDEX(tsk_Deadline,(ROW()-ROW(MSPTasks[[#Headers],[ID]])))))</f>
        <v/>
      </c>
      <c r="X58" s="24" t="str">
        <f aca="false">IF(IFERROR(INDEX(tsk_Name,(ROW()-ROW(MSPTasks[[#Headers],[ID]])))="",TRUE()),"",IF(INDEX(tsk_IsSummary,(ROW()-ROW(MSPTasks[[#Headers],[ID]]))),"",INDEX(tsk_Sprint,(ROW()-ROW(MSPTasks[[#Headers],[ID]])))&amp;""))</f>
        <v/>
      </c>
      <c r="Y58" s="24" t="str">
        <f aca="false">IF(IFERROR(INDEX(tsk_Name,(ROW()-ROW(MSPTasks[[#Headers],[ID]])))="",TRUE()),"",IF(INDEX(tsk_IsSummary,(ROW()-ROW(MSPTasks[[#Headers],[ID]]))),"",IF(N(INDEX(tsk_StoryPoints,(ROW()-ROW(MSPTasks[[#Headers],[ID]]))))=0,"",INDEX(tsk_StoryPoints,(ROW()-ROW(MSPTasks[[#Headers],[ID]]))))))</f>
        <v/>
      </c>
      <c r="Z58" s="24" t="str">
        <f aca="false">IF(IFERROR(INDEX(tsk_Name,(ROW()-ROW(MSPTasks[[#Headers],[ID]])))="",TRUE()),"",INDEX(tsk_Notes,(ROW()-ROW(MSPTasks[[#Headers],[ID]])))&amp;"")</f>
        <v/>
      </c>
    </row>
    <row r="59" customFormat="false" ht="15" hidden="false" customHeight="false" outlineLevel="0" collapsed="false">
      <c r="A59" s="24" t="str">
        <f aca="false">IF(IFERROR(INDEX(tsk_Name,(ROW()-ROW(MSPTasks[[#Headers],[ID]])))="",TRUE()),"",INDEX(tsk_ID,(ROW()-ROW(MSPTasks[[#Headers],[ID]]))))</f>
        <v/>
      </c>
      <c r="B59" s="24" t="str">
        <f aca="false">IF(IFERROR(INDEX(tsk_Name,(ROW()-ROW(MSPTasks[[#Headers],[ID]])))="",TRUE()),"",INDEX(tsk_UID,(ROW()-ROW(MSPTasks[[#Headers],[ID]]))))</f>
        <v/>
      </c>
      <c r="C59" s="24" t="str">
        <f aca="false">IF(IFERROR(INDEX(tsk_Name,(ROW()-ROW(MSPTasks[[#Headers],[ID]])))="",TRUE()),"",INDEX(tsk_Name,(ROW()-ROW(MSPTasks[[#Headers],[ID]]))))</f>
        <v/>
      </c>
      <c r="D59" s="24" t="str">
        <f aca="false">IF(IFERROR(INDEX(tsk_Name,(ROW()-ROW(MSPTasks[[#Headers],[ID]])))="",TRUE()),"",INDEX(tsk_Level,(ROW()-ROW(MSPTasks[[#Headers],[ID]]))))</f>
        <v/>
      </c>
      <c r="E59" s="24" t="str">
        <f aca="false">IF(IFERROR(INDEX(tsk_Name,(ROW()-ROW(MSPTasks[[#Headers],[ID]])))="",TRUE()),"",IF(INDEX(tsk_Mode,(ROW()-ROW(MSPTasks[[#Headers],[ID]])))="Manual","Manually Scheduled","Auto Scheduled"))</f>
        <v/>
      </c>
      <c r="F59" s="24" t="str">
        <f aca="false">IF(IFERROR(INDEX(tsk_Name,(ROW()-ROW(MSPTasks[[#Headers],[ID]])))="",TRUE()),"",IF(INDEX(tsk_IsSummary,(ROW()-ROW(MSPTasks[[#Headers],[ID]]))),"",N(INDEX(tsk_Duration,(ROW()-ROW(MSPTasks[[#Headers],[ID]]))))&amp;"d"))</f>
        <v/>
      </c>
      <c r="G59" s="127" t="str">
        <f aca="false">IF(IFERROR(INDEX(tsk_Name,(ROW()-ROW(MSPTasks[[#Headers],[ID]])))="",TRUE()),"",INDEX(tsk_FcStart,(ROW()-ROW(MSPTasks[[#Headers],[ID]]))))</f>
        <v/>
      </c>
      <c r="H59" s="127" t="str">
        <f aca="false">IF(IFERROR(INDEX(tsk_Name,(ROW()-ROW(MSPTasks[[#Headers],[ID]])))="",TRUE()),"",INDEX(tsk_FcFinish,(ROW()-ROW(MSPTasks[[#Headers],[ID]]))))</f>
        <v/>
      </c>
      <c r="I59" s="24" t="str">
        <f aca="false">IF(IFERROR(INDEX(tsk_Name,(ROW()-ROW(MSPTasks[[#Headers],[ID]])))="",TRUE()),"",IF(INDEX(tsk_IsSummary,(ROW()-ROW(MSPTasks[[#Headers],[ID]]))),"",INDEX(tsk_Predecessors,(ROW()-ROW(MSPTasks[[#Headers],[ID]])))))</f>
        <v/>
      </c>
      <c r="J59" s="24" t="str">
        <f aca="false">IF(IFERROR(INDEX(tsk_Name,(ROW()-ROW(MSPTasks[[#Headers],[ID]])))="",TRUE()),"",IF(INDEX(tsk_IsSummary,(ROW()-ROW(MSPTasks[[#Headers],[ID]]))),"",INDEX(tsk_UIDPredecessors,(ROW()-ROW(MSPTasks[[#Headers],[ID]])))))</f>
        <v/>
      </c>
      <c r="K5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9" s="24" t="str">
        <f aca="false">IF(IFERROR(INDEX(tsk_Name,(ROW()-ROW(MSPTasks[[#Headers],[ID]])))="",TRUE()),"",IF(INDEX(tsk_IsSummary,(ROW()-ROW(MSPTasks[[#Headers],[ID]]))),"",ROUND(INDEX(tsk_Progress,(ROW()-ROW(MSPTasks[[#Headers],[ID]])))*100,0)))</f>
        <v/>
      </c>
      <c r="M59" s="127" t="str">
        <f aca="false">IF(IFERROR(INDEX(tsk_Name,(ROW()-ROW(MSPTasks[[#Headers],[ID]])))="",TRUE()),"",IF(N(INDEX(tsk_ActStart,(ROW()-ROW(MSPTasks[[#Headers],[ID]]))))=0,"",INDEX(tsk_ActStart,(ROW()-ROW(MSPTasks[[#Headers],[ID]])))))</f>
        <v/>
      </c>
      <c r="N59" s="127" t="str">
        <f aca="false">IF(IFERROR(INDEX(tsk_Name,(ROW()-ROW(MSPTasks[[#Headers],[ID]])))="",TRUE()),"",IF(N(INDEX(tsk_ActFinish,(ROW()-ROW(MSPTasks[[#Headers],[ID]]))))=0,"",INDEX(tsk_ActFinish,(ROW()-ROW(MSPTasks[[#Headers],[ID]])))))</f>
        <v/>
      </c>
      <c r="O59" s="127" t="str">
        <f aca="false">IF(IFERROR(INDEX(tsk_Name,(ROW()-ROW(MSPTasks[[#Headers],[ID]])))="",TRUE()),"",INDEX(tsk_PlanStart,(ROW()-ROW(MSPTasks[[#Headers],[ID]]))))</f>
        <v/>
      </c>
      <c r="P59" s="127" t="str">
        <f aca="false">IF(IFERROR(INDEX(tsk_Name,(ROW()-ROW(MSPTasks[[#Headers],[ID]])))="",TRUE()),"",INDEX(tsk_PlanFinish,(ROW()-ROW(MSPTasks[[#Headers],[ID]]))))</f>
        <v/>
      </c>
      <c r="Q59" s="24" t="str">
        <f aca="false">IF(IFERROR(INDEX(tsk_Name,(ROW()-ROW(MSPTasks[[#Headers],[ID]])))="",TRUE()),"",IF(INDEX(tsk_BaseDuration,(ROW()-ROW(MSPTasks[[#Headers],[ID]])))="","",N(INDEX(tsk_BaseDuration,(ROW()-ROW(MSPTasks[[#Headers],[ID]]))))&amp;"d"))</f>
        <v/>
      </c>
      <c r="R59" s="24" t="str">
        <f aca="false">IF(IFERROR(INDEX(tsk_Name,(ROW()-ROW(MSPTasks[[#Headers],[ID]])))="",TRUE()),"",IF(INDEX(tsk_BaseWork,(ROW()-ROW(MSPTasks[[#Headers],[ID]])))="","",N(INDEX(tsk_BaseWork,(ROW()-ROW(MSPTasks[[#Headers],[ID]]))))&amp;"h"))</f>
        <v/>
      </c>
      <c r="S59" s="24" t="str">
        <f aca="false">IF(IFERROR(INDEX(tsk_Name,(ROW()-ROW(MSPTasks[[#Headers],[ID]])))="",TRUE()),"",IF(INDEX(tsk_BaseCost,(ROW()-ROW(MSPTasks[[#Headers],[ID]])))="","",N(INDEX(tsk_BaseCost,(ROW()-ROW(MSPTasks[[#Headers],[ID]]))))))</f>
        <v/>
      </c>
      <c r="T59" s="24" t="str">
        <f aca="false">IF(IFERROR(INDEX(tsk_Name,(ROW()-ROW(MSPTasks[[#Headers],[ID]])))="",TRUE()),"",IF(INDEX(tsk_IsSummary,(ROW()-ROW(MSPTasks[[#Headers],[ID]]))),"",IF(N(INDEX(tsk_ActCostInput,(ROW()-ROW(MSPTasks[[#Headers],[ID]]))))=0,"",INDEX(tsk_ActCostInput,(ROW()-ROW(MSPTasks[[#Headers],[ID]]))))))</f>
        <v/>
      </c>
      <c r="U59" s="24" t="str">
        <f aca="false">IF(IFERROR(INDEX(tsk_Name,(ROW()-ROW(MSPTasks[[#Headers],[ID]])))="",TRUE()),"",IF(INDEX(tsk_IsSummary,(ROW()-ROW(MSPTasks[[#Headers],[ID]]))),"",IF(AND(INDEX(tsk_Mode,(ROW()-ROW(MSPTasks[[#Headers],[ID]])))&lt;&gt;"Manual",N(INDEX(tsk_Constraint,(ROW()-ROW(MSPTasks[[#Headers],[ID]]))))&gt;0),"Start No Earlier Than","As Soon As Possible")))</f>
        <v/>
      </c>
      <c r="V59" s="127" t="str">
        <f aca="false">IF(IFERROR(INDEX(tsk_Name,(ROW()-ROW(MSPTasks[[#Headers],[ID]])))="",TRUE()),"",IF(OR(INDEX(tsk_IsSummary,(ROW()-ROW(MSPTasks[[#Headers],[ID]]))),INDEX(tsk_Mode,(ROW()-ROW(MSPTasks[[#Headers],[ID]])))="Manual"),"",IF(N(INDEX(tsk_Constraint,(ROW()-ROW(MSPTasks[[#Headers],[ID]]))))=0,"",INDEX(tsk_Constraint,(ROW()-ROW(MSPTasks[[#Headers],[ID]]))))))</f>
        <v/>
      </c>
      <c r="W59" s="127" t="str">
        <f aca="false">IF(IFERROR(INDEX(tsk_Name,(ROW()-ROW(MSPTasks[[#Headers],[ID]])))="",TRUE()),"",IF(N(INDEX(tsk_Deadline,(ROW()-ROW(MSPTasks[[#Headers],[ID]]))))=0,"",INDEX(tsk_Deadline,(ROW()-ROW(MSPTasks[[#Headers],[ID]])))))</f>
        <v/>
      </c>
      <c r="X59" s="24" t="str">
        <f aca="false">IF(IFERROR(INDEX(tsk_Name,(ROW()-ROW(MSPTasks[[#Headers],[ID]])))="",TRUE()),"",IF(INDEX(tsk_IsSummary,(ROW()-ROW(MSPTasks[[#Headers],[ID]]))),"",INDEX(tsk_Sprint,(ROW()-ROW(MSPTasks[[#Headers],[ID]])))&amp;""))</f>
        <v/>
      </c>
      <c r="Y59" s="24" t="str">
        <f aca="false">IF(IFERROR(INDEX(tsk_Name,(ROW()-ROW(MSPTasks[[#Headers],[ID]])))="",TRUE()),"",IF(INDEX(tsk_IsSummary,(ROW()-ROW(MSPTasks[[#Headers],[ID]]))),"",IF(N(INDEX(tsk_StoryPoints,(ROW()-ROW(MSPTasks[[#Headers],[ID]]))))=0,"",INDEX(tsk_StoryPoints,(ROW()-ROW(MSPTasks[[#Headers],[ID]]))))))</f>
        <v/>
      </c>
      <c r="Z59" s="24" t="str">
        <f aca="false">IF(IFERROR(INDEX(tsk_Name,(ROW()-ROW(MSPTasks[[#Headers],[ID]])))="",TRUE()),"",INDEX(tsk_Notes,(ROW()-ROW(MSPTasks[[#Headers],[ID]])))&amp;"")</f>
        <v/>
      </c>
    </row>
    <row r="60" customFormat="false" ht="15" hidden="false" customHeight="false" outlineLevel="0" collapsed="false">
      <c r="A60" s="24" t="str">
        <f aca="false">IF(IFERROR(INDEX(tsk_Name,(ROW()-ROW(MSPTasks[[#Headers],[ID]])))="",TRUE()),"",INDEX(tsk_ID,(ROW()-ROW(MSPTasks[[#Headers],[ID]]))))</f>
        <v/>
      </c>
      <c r="B60" s="24" t="str">
        <f aca="false">IF(IFERROR(INDEX(tsk_Name,(ROW()-ROW(MSPTasks[[#Headers],[ID]])))="",TRUE()),"",INDEX(tsk_UID,(ROW()-ROW(MSPTasks[[#Headers],[ID]]))))</f>
        <v/>
      </c>
      <c r="C60" s="24" t="str">
        <f aca="false">IF(IFERROR(INDEX(tsk_Name,(ROW()-ROW(MSPTasks[[#Headers],[ID]])))="",TRUE()),"",INDEX(tsk_Name,(ROW()-ROW(MSPTasks[[#Headers],[ID]]))))</f>
        <v/>
      </c>
      <c r="D60" s="24" t="str">
        <f aca="false">IF(IFERROR(INDEX(tsk_Name,(ROW()-ROW(MSPTasks[[#Headers],[ID]])))="",TRUE()),"",INDEX(tsk_Level,(ROW()-ROW(MSPTasks[[#Headers],[ID]]))))</f>
        <v/>
      </c>
      <c r="E60" s="24" t="str">
        <f aca="false">IF(IFERROR(INDEX(tsk_Name,(ROW()-ROW(MSPTasks[[#Headers],[ID]])))="",TRUE()),"",IF(INDEX(tsk_Mode,(ROW()-ROW(MSPTasks[[#Headers],[ID]])))="Manual","Manually Scheduled","Auto Scheduled"))</f>
        <v/>
      </c>
      <c r="F60" s="24" t="str">
        <f aca="false">IF(IFERROR(INDEX(tsk_Name,(ROW()-ROW(MSPTasks[[#Headers],[ID]])))="",TRUE()),"",IF(INDEX(tsk_IsSummary,(ROW()-ROW(MSPTasks[[#Headers],[ID]]))),"",N(INDEX(tsk_Duration,(ROW()-ROW(MSPTasks[[#Headers],[ID]]))))&amp;"d"))</f>
        <v/>
      </c>
      <c r="G60" s="127" t="str">
        <f aca="false">IF(IFERROR(INDEX(tsk_Name,(ROW()-ROW(MSPTasks[[#Headers],[ID]])))="",TRUE()),"",INDEX(tsk_FcStart,(ROW()-ROW(MSPTasks[[#Headers],[ID]]))))</f>
        <v/>
      </c>
      <c r="H60" s="127" t="str">
        <f aca="false">IF(IFERROR(INDEX(tsk_Name,(ROW()-ROW(MSPTasks[[#Headers],[ID]])))="",TRUE()),"",INDEX(tsk_FcFinish,(ROW()-ROW(MSPTasks[[#Headers],[ID]]))))</f>
        <v/>
      </c>
      <c r="I60" s="24" t="str">
        <f aca="false">IF(IFERROR(INDEX(tsk_Name,(ROW()-ROW(MSPTasks[[#Headers],[ID]])))="",TRUE()),"",IF(INDEX(tsk_IsSummary,(ROW()-ROW(MSPTasks[[#Headers],[ID]]))),"",INDEX(tsk_Predecessors,(ROW()-ROW(MSPTasks[[#Headers],[ID]])))))</f>
        <v/>
      </c>
      <c r="J60" s="24" t="str">
        <f aca="false">IF(IFERROR(INDEX(tsk_Name,(ROW()-ROW(MSPTasks[[#Headers],[ID]])))="",TRUE()),"",IF(INDEX(tsk_IsSummary,(ROW()-ROW(MSPTasks[[#Headers],[ID]]))),"",INDEX(tsk_UIDPredecessors,(ROW()-ROW(MSPTasks[[#Headers],[ID]])))))</f>
        <v/>
      </c>
      <c r="K6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0" s="24" t="str">
        <f aca="false">IF(IFERROR(INDEX(tsk_Name,(ROW()-ROW(MSPTasks[[#Headers],[ID]])))="",TRUE()),"",IF(INDEX(tsk_IsSummary,(ROW()-ROW(MSPTasks[[#Headers],[ID]]))),"",ROUND(INDEX(tsk_Progress,(ROW()-ROW(MSPTasks[[#Headers],[ID]])))*100,0)))</f>
        <v/>
      </c>
      <c r="M60" s="127" t="str">
        <f aca="false">IF(IFERROR(INDEX(tsk_Name,(ROW()-ROW(MSPTasks[[#Headers],[ID]])))="",TRUE()),"",IF(N(INDEX(tsk_ActStart,(ROW()-ROW(MSPTasks[[#Headers],[ID]]))))=0,"",INDEX(tsk_ActStart,(ROW()-ROW(MSPTasks[[#Headers],[ID]])))))</f>
        <v/>
      </c>
      <c r="N60" s="127" t="str">
        <f aca="false">IF(IFERROR(INDEX(tsk_Name,(ROW()-ROW(MSPTasks[[#Headers],[ID]])))="",TRUE()),"",IF(N(INDEX(tsk_ActFinish,(ROW()-ROW(MSPTasks[[#Headers],[ID]]))))=0,"",INDEX(tsk_ActFinish,(ROW()-ROW(MSPTasks[[#Headers],[ID]])))))</f>
        <v/>
      </c>
      <c r="O60" s="127" t="str">
        <f aca="false">IF(IFERROR(INDEX(tsk_Name,(ROW()-ROW(MSPTasks[[#Headers],[ID]])))="",TRUE()),"",INDEX(tsk_PlanStart,(ROW()-ROW(MSPTasks[[#Headers],[ID]]))))</f>
        <v/>
      </c>
      <c r="P60" s="127" t="str">
        <f aca="false">IF(IFERROR(INDEX(tsk_Name,(ROW()-ROW(MSPTasks[[#Headers],[ID]])))="",TRUE()),"",INDEX(tsk_PlanFinish,(ROW()-ROW(MSPTasks[[#Headers],[ID]]))))</f>
        <v/>
      </c>
      <c r="Q60" s="24" t="str">
        <f aca="false">IF(IFERROR(INDEX(tsk_Name,(ROW()-ROW(MSPTasks[[#Headers],[ID]])))="",TRUE()),"",IF(INDEX(tsk_BaseDuration,(ROW()-ROW(MSPTasks[[#Headers],[ID]])))="","",N(INDEX(tsk_BaseDuration,(ROW()-ROW(MSPTasks[[#Headers],[ID]]))))&amp;"d"))</f>
        <v/>
      </c>
      <c r="R60" s="24" t="str">
        <f aca="false">IF(IFERROR(INDEX(tsk_Name,(ROW()-ROW(MSPTasks[[#Headers],[ID]])))="",TRUE()),"",IF(INDEX(tsk_BaseWork,(ROW()-ROW(MSPTasks[[#Headers],[ID]])))="","",N(INDEX(tsk_BaseWork,(ROW()-ROW(MSPTasks[[#Headers],[ID]]))))&amp;"h"))</f>
        <v/>
      </c>
      <c r="S60" s="24" t="str">
        <f aca="false">IF(IFERROR(INDEX(tsk_Name,(ROW()-ROW(MSPTasks[[#Headers],[ID]])))="",TRUE()),"",IF(INDEX(tsk_BaseCost,(ROW()-ROW(MSPTasks[[#Headers],[ID]])))="","",N(INDEX(tsk_BaseCost,(ROW()-ROW(MSPTasks[[#Headers],[ID]]))))))</f>
        <v/>
      </c>
      <c r="T60" s="24" t="str">
        <f aca="false">IF(IFERROR(INDEX(tsk_Name,(ROW()-ROW(MSPTasks[[#Headers],[ID]])))="",TRUE()),"",IF(INDEX(tsk_IsSummary,(ROW()-ROW(MSPTasks[[#Headers],[ID]]))),"",IF(N(INDEX(tsk_ActCostInput,(ROW()-ROW(MSPTasks[[#Headers],[ID]]))))=0,"",INDEX(tsk_ActCostInput,(ROW()-ROW(MSPTasks[[#Headers],[ID]]))))))</f>
        <v/>
      </c>
      <c r="U60" s="24" t="str">
        <f aca="false">IF(IFERROR(INDEX(tsk_Name,(ROW()-ROW(MSPTasks[[#Headers],[ID]])))="",TRUE()),"",IF(INDEX(tsk_IsSummary,(ROW()-ROW(MSPTasks[[#Headers],[ID]]))),"",IF(AND(INDEX(tsk_Mode,(ROW()-ROW(MSPTasks[[#Headers],[ID]])))&lt;&gt;"Manual",N(INDEX(tsk_Constraint,(ROW()-ROW(MSPTasks[[#Headers],[ID]]))))&gt;0),"Start No Earlier Than","As Soon As Possible")))</f>
        <v/>
      </c>
      <c r="V60" s="127" t="str">
        <f aca="false">IF(IFERROR(INDEX(tsk_Name,(ROW()-ROW(MSPTasks[[#Headers],[ID]])))="",TRUE()),"",IF(OR(INDEX(tsk_IsSummary,(ROW()-ROW(MSPTasks[[#Headers],[ID]]))),INDEX(tsk_Mode,(ROW()-ROW(MSPTasks[[#Headers],[ID]])))="Manual"),"",IF(N(INDEX(tsk_Constraint,(ROW()-ROW(MSPTasks[[#Headers],[ID]]))))=0,"",INDEX(tsk_Constraint,(ROW()-ROW(MSPTasks[[#Headers],[ID]]))))))</f>
        <v/>
      </c>
      <c r="W60" s="127" t="str">
        <f aca="false">IF(IFERROR(INDEX(tsk_Name,(ROW()-ROW(MSPTasks[[#Headers],[ID]])))="",TRUE()),"",IF(N(INDEX(tsk_Deadline,(ROW()-ROW(MSPTasks[[#Headers],[ID]]))))=0,"",INDEX(tsk_Deadline,(ROW()-ROW(MSPTasks[[#Headers],[ID]])))))</f>
        <v/>
      </c>
      <c r="X60" s="24" t="str">
        <f aca="false">IF(IFERROR(INDEX(tsk_Name,(ROW()-ROW(MSPTasks[[#Headers],[ID]])))="",TRUE()),"",IF(INDEX(tsk_IsSummary,(ROW()-ROW(MSPTasks[[#Headers],[ID]]))),"",INDEX(tsk_Sprint,(ROW()-ROW(MSPTasks[[#Headers],[ID]])))&amp;""))</f>
        <v/>
      </c>
      <c r="Y60" s="24" t="str">
        <f aca="false">IF(IFERROR(INDEX(tsk_Name,(ROW()-ROW(MSPTasks[[#Headers],[ID]])))="",TRUE()),"",IF(INDEX(tsk_IsSummary,(ROW()-ROW(MSPTasks[[#Headers],[ID]]))),"",IF(N(INDEX(tsk_StoryPoints,(ROW()-ROW(MSPTasks[[#Headers],[ID]]))))=0,"",INDEX(tsk_StoryPoints,(ROW()-ROW(MSPTasks[[#Headers],[ID]]))))))</f>
        <v/>
      </c>
      <c r="Z60" s="24" t="str">
        <f aca="false">IF(IFERROR(INDEX(tsk_Name,(ROW()-ROW(MSPTasks[[#Headers],[ID]])))="",TRUE()),"",INDEX(tsk_Notes,(ROW()-ROW(MSPTasks[[#Headers],[ID]])))&amp;"")</f>
        <v/>
      </c>
    </row>
    <row r="61" customFormat="false" ht="15" hidden="false" customHeight="false" outlineLevel="0" collapsed="false">
      <c r="A61" s="24" t="str">
        <f aca="false">IF(IFERROR(INDEX(tsk_Name,(ROW()-ROW(MSPTasks[[#Headers],[ID]])))="",TRUE()),"",INDEX(tsk_ID,(ROW()-ROW(MSPTasks[[#Headers],[ID]]))))</f>
        <v/>
      </c>
      <c r="B61" s="24" t="str">
        <f aca="false">IF(IFERROR(INDEX(tsk_Name,(ROW()-ROW(MSPTasks[[#Headers],[ID]])))="",TRUE()),"",INDEX(tsk_UID,(ROW()-ROW(MSPTasks[[#Headers],[ID]]))))</f>
        <v/>
      </c>
      <c r="C61" s="24" t="str">
        <f aca="false">IF(IFERROR(INDEX(tsk_Name,(ROW()-ROW(MSPTasks[[#Headers],[ID]])))="",TRUE()),"",INDEX(tsk_Name,(ROW()-ROW(MSPTasks[[#Headers],[ID]]))))</f>
        <v/>
      </c>
      <c r="D61" s="24" t="str">
        <f aca="false">IF(IFERROR(INDEX(tsk_Name,(ROW()-ROW(MSPTasks[[#Headers],[ID]])))="",TRUE()),"",INDEX(tsk_Level,(ROW()-ROW(MSPTasks[[#Headers],[ID]]))))</f>
        <v/>
      </c>
      <c r="E61" s="24" t="str">
        <f aca="false">IF(IFERROR(INDEX(tsk_Name,(ROW()-ROW(MSPTasks[[#Headers],[ID]])))="",TRUE()),"",IF(INDEX(tsk_Mode,(ROW()-ROW(MSPTasks[[#Headers],[ID]])))="Manual","Manually Scheduled","Auto Scheduled"))</f>
        <v/>
      </c>
      <c r="F61" s="24" t="str">
        <f aca="false">IF(IFERROR(INDEX(tsk_Name,(ROW()-ROW(MSPTasks[[#Headers],[ID]])))="",TRUE()),"",IF(INDEX(tsk_IsSummary,(ROW()-ROW(MSPTasks[[#Headers],[ID]]))),"",N(INDEX(tsk_Duration,(ROW()-ROW(MSPTasks[[#Headers],[ID]]))))&amp;"d"))</f>
        <v/>
      </c>
      <c r="G61" s="127" t="str">
        <f aca="false">IF(IFERROR(INDEX(tsk_Name,(ROW()-ROW(MSPTasks[[#Headers],[ID]])))="",TRUE()),"",INDEX(tsk_FcStart,(ROW()-ROW(MSPTasks[[#Headers],[ID]]))))</f>
        <v/>
      </c>
      <c r="H61" s="127" t="str">
        <f aca="false">IF(IFERROR(INDEX(tsk_Name,(ROW()-ROW(MSPTasks[[#Headers],[ID]])))="",TRUE()),"",INDEX(tsk_FcFinish,(ROW()-ROW(MSPTasks[[#Headers],[ID]]))))</f>
        <v/>
      </c>
      <c r="I61" s="24" t="str">
        <f aca="false">IF(IFERROR(INDEX(tsk_Name,(ROW()-ROW(MSPTasks[[#Headers],[ID]])))="",TRUE()),"",IF(INDEX(tsk_IsSummary,(ROW()-ROW(MSPTasks[[#Headers],[ID]]))),"",INDEX(tsk_Predecessors,(ROW()-ROW(MSPTasks[[#Headers],[ID]])))))</f>
        <v/>
      </c>
      <c r="J61" s="24" t="str">
        <f aca="false">IF(IFERROR(INDEX(tsk_Name,(ROW()-ROW(MSPTasks[[#Headers],[ID]])))="",TRUE()),"",IF(INDEX(tsk_IsSummary,(ROW()-ROW(MSPTasks[[#Headers],[ID]]))),"",INDEX(tsk_UIDPredecessors,(ROW()-ROW(MSPTasks[[#Headers],[ID]])))))</f>
        <v/>
      </c>
      <c r="K6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1" s="24" t="str">
        <f aca="false">IF(IFERROR(INDEX(tsk_Name,(ROW()-ROW(MSPTasks[[#Headers],[ID]])))="",TRUE()),"",IF(INDEX(tsk_IsSummary,(ROW()-ROW(MSPTasks[[#Headers],[ID]]))),"",ROUND(INDEX(tsk_Progress,(ROW()-ROW(MSPTasks[[#Headers],[ID]])))*100,0)))</f>
        <v/>
      </c>
      <c r="M61" s="127" t="str">
        <f aca="false">IF(IFERROR(INDEX(tsk_Name,(ROW()-ROW(MSPTasks[[#Headers],[ID]])))="",TRUE()),"",IF(N(INDEX(tsk_ActStart,(ROW()-ROW(MSPTasks[[#Headers],[ID]]))))=0,"",INDEX(tsk_ActStart,(ROW()-ROW(MSPTasks[[#Headers],[ID]])))))</f>
        <v/>
      </c>
      <c r="N61" s="127" t="str">
        <f aca="false">IF(IFERROR(INDEX(tsk_Name,(ROW()-ROW(MSPTasks[[#Headers],[ID]])))="",TRUE()),"",IF(N(INDEX(tsk_ActFinish,(ROW()-ROW(MSPTasks[[#Headers],[ID]]))))=0,"",INDEX(tsk_ActFinish,(ROW()-ROW(MSPTasks[[#Headers],[ID]])))))</f>
        <v/>
      </c>
      <c r="O61" s="127" t="str">
        <f aca="false">IF(IFERROR(INDEX(tsk_Name,(ROW()-ROW(MSPTasks[[#Headers],[ID]])))="",TRUE()),"",INDEX(tsk_PlanStart,(ROW()-ROW(MSPTasks[[#Headers],[ID]]))))</f>
        <v/>
      </c>
      <c r="P61" s="127" t="str">
        <f aca="false">IF(IFERROR(INDEX(tsk_Name,(ROW()-ROW(MSPTasks[[#Headers],[ID]])))="",TRUE()),"",INDEX(tsk_PlanFinish,(ROW()-ROW(MSPTasks[[#Headers],[ID]]))))</f>
        <v/>
      </c>
      <c r="Q61" s="24" t="str">
        <f aca="false">IF(IFERROR(INDEX(tsk_Name,(ROW()-ROW(MSPTasks[[#Headers],[ID]])))="",TRUE()),"",IF(INDEX(tsk_BaseDuration,(ROW()-ROW(MSPTasks[[#Headers],[ID]])))="","",N(INDEX(tsk_BaseDuration,(ROW()-ROW(MSPTasks[[#Headers],[ID]]))))&amp;"d"))</f>
        <v/>
      </c>
      <c r="R61" s="24" t="str">
        <f aca="false">IF(IFERROR(INDEX(tsk_Name,(ROW()-ROW(MSPTasks[[#Headers],[ID]])))="",TRUE()),"",IF(INDEX(tsk_BaseWork,(ROW()-ROW(MSPTasks[[#Headers],[ID]])))="","",N(INDEX(tsk_BaseWork,(ROW()-ROW(MSPTasks[[#Headers],[ID]]))))&amp;"h"))</f>
        <v/>
      </c>
      <c r="S61" s="24" t="str">
        <f aca="false">IF(IFERROR(INDEX(tsk_Name,(ROW()-ROW(MSPTasks[[#Headers],[ID]])))="",TRUE()),"",IF(INDEX(tsk_BaseCost,(ROW()-ROW(MSPTasks[[#Headers],[ID]])))="","",N(INDEX(tsk_BaseCost,(ROW()-ROW(MSPTasks[[#Headers],[ID]]))))))</f>
        <v/>
      </c>
      <c r="T61" s="24" t="str">
        <f aca="false">IF(IFERROR(INDEX(tsk_Name,(ROW()-ROW(MSPTasks[[#Headers],[ID]])))="",TRUE()),"",IF(INDEX(tsk_IsSummary,(ROW()-ROW(MSPTasks[[#Headers],[ID]]))),"",IF(N(INDEX(tsk_ActCostInput,(ROW()-ROW(MSPTasks[[#Headers],[ID]]))))=0,"",INDEX(tsk_ActCostInput,(ROW()-ROW(MSPTasks[[#Headers],[ID]]))))))</f>
        <v/>
      </c>
      <c r="U61" s="24" t="str">
        <f aca="false">IF(IFERROR(INDEX(tsk_Name,(ROW()-ROW(MSPTasks[[#Headers],[ID]])))="",TRUE()),"",IF(INDEX(tsk_IsSummary,(ROW()-ROW(MSPTasks[[#Headers],[ID]]))),"",IF(AND(INDEX(tsk_Mode,(ROW()-ROW(MSPTasks[[#Headers],[ID]])))&lt;&gt;"Manual",N(INDEX(tsk_Constraint,(ROW()-ROW(MSPTasks[[#Headers],[ID]]))))&gt;0),"Start No Earlier Than","As Soon As Possible")))</f>
        <v/>
      </c>
      <c r="V61" s="127" t="str">
        <f aca="false">IF(IFERROR(INDEX(tsk_Name,(ROW()-ROW(MSPTasks[[#Headers],[ID]])))="",TRUE()),"",IF(OR(INDEX(tsk_IsSummary,(ROW()-ROW(MSPTasks[[#Headers],[ID]]))),INDEX(tsk_Mode,(ROW()-ROW(MSPTasks[[#Headers],[ID]])))="Manual"),"",IF(N(INDEX(tsk_Constraint,(ROW()-ROW(MSPTasks[[#Headers],[ID]]))))=0,"",INDEX(tsk_Constraint,(ROW()-ROW(MSPTasks[[#Headers],[ID]]))))))</f>
        <v/>
      </c>
      <c r="W61" s="127" t="str">
        <f aca="false">IF(IFERROR(INDEX(tsk_Name,(ROW()-ROW(MSPTasks[[#Headers],[ID]])))="",TRUE()),"",IF(N(INDEX(tsk_Deadline,(ROW()-ROW(MSPTasks[[#Headers],[ID]]))))=0,"",INDEX(tsk_Deadline,(ROW()-ROW(MSPTasks[[#Headers],[ID]])))))</f>
        <v/>
      </c>
      <c r="X61" s="24" t="str">
        <f aca="false">IF(IFERROR(INDEX(tsk_Name,(ROW()-ROW(MSPTasks[[#Headers],[ID]])))="",TRUE()),"",IF(INDEX(tsk_IsSummary,(ROW()-ROW(MSPTasks[[#Headers],[ID]]))),"",INDEX(tsk_Sprint,(ROW()-ROW(MSPTasks[[#Headers],[ID]])))&amp;""))</f>
        <v/>
      </c>
      <c r="Y61" s="24" t="str">
        <f aca="false">IF(IFERROR(INDEX(tsk_Name,(ROW()-ROW(MSPTasks[[#Headers],[ID]])))="",TRUE()),"",IF(INDEX(tsk_IsSummary,(ROW()-ROW(MSPTasks[[#Headers],[ID]]))),"",IF(N(INDEX(tsk_StoryPoints,(ROW()-ROW(MSPTasks[[#Headers],[ID]]))))=0,"",INDEX(tsk_StoryPoints,(ROW()-ROW(MSPTasks[[#Headers],[ID]]))))))</f>
        <v/>
      </c>
      <c r="Z61" s="24" t="str">
        <f aca="false">IF(IFERROR(INDEX(tsk_Name,(ROW()-ROW(MSPTasks[[#Headers],[ID]])))="",TRUE()),"",INDEX(tsk_Notes,(ROW()-ROW(MSPTasks[[#Headers],[ID]])))&amp;"")</f>
        <v/>
      </c>
    </row>
    <row r="62" customFormat="false" ht="15" hidden="false" customHeight="false" outlineLevel="0" collapsed="false">
      <c r="A62" s="24" t="str">
        <f aca="false">IF(IFERROR(INDEX(tsk_Name,(ROW()-ROW(MSPTasks[[#Headers],[ID]])))="",TRUE()),"",INDEX(tsk_ID,(ROW()-ROW(MSPTasks[[#Headers],[ID]]))))</f>
        <v/>
      </c>
      <c r="B62" s="24" t="str">
        <f aca="false">IF(IFERROR(INDEX(tsk_Name,(ROW()-ROW(MSPTasks[[#Headers],[ID]])))="",TRUE()),"",INDEX(tsk_UID,(ROW()-ROW(MSPTasks[[#Headers],[ID]]))))</f>
        <v/>
      </c>
      <c r="C62" s="24" t="str">
        <f aca="false">IF(IFERROR(INDEX(tsk_Name,(ROW()-ROW(MSPTasks[[#Headers],[ID]])))="",TRUE()),"",INDEX(tsk_Name,(ROW()-ROW(MSPTasks[[#Headers],[ID]]))))</f>
        <v/>
      </c>
      <c r="D62" s="24" t="str">
        <f aca="false">IF(IFERROR(INDEX(tsk_Name,(ROW()-ROW(MSPTasks[[#Headers],[ID]])))="",TRUE()),"",INDEX(tsk_Level,(ROW()-ROW(MSPTasks[[#Headers],[ID]]))))</f>
        <v/>
      </c>
      <c r="E62" s="24" t="str">
        <f aca="false">IF(IFERROR(INDEX(tsk_Name,(ROW()-ROW(MSPTasks[[#Headers],[ID]])))="",TRUE()),"",IF(INDEX(tsk_Mode,(ROW()-ROW(MSPTasks[[#Headers],[ID]])))="Manual","Manually Scheduled","Auto Scheduled"))</f>
        <v/>
      </c>
      <c r="F62" s="24" t="str">
        <f aca="false">IF(IFERROR(INDEX(tsk_Name,(ROW()-ROW(MSPTasks[[#Headers],[ID]])))="",TRUE()),"",IF(INDEX(tsk_IsSummary,(ROW()-ROW(MSPTasks[[#Headers],[ID]]))),"",N(INDEX(tsk_Duration,(ROW()-ROW(MSPTasks[[#Headers],[ID]]))))&amp;"d"))</f>
        <v/>
      </c>
      <c r="G62" s="127" t="str">
        <f aca="false">IF(IFERROR(INDEX(tsk_Name,(ROW()-ROW(MSPTasks[[#Headers],[ID]])))="",TRUE()),"",INDEX(tsk_FcStart,(ROW()-ROW(MSPTasks[[#Headers],[ID]]))))</f>
        <v/>
      </c>
      <c r="H62" s="127" t="str">
        <f aca="false">IF(IFERROR(INDEX(tsk_Name,(ROW()-ROW(MSPTasks[[#Headers],[ID]])))="",TRUE()),"",INDEX(tsk_FcFinish,(ROW()-ROW(MSPTasks[[#Headers],[ID]]))))</f>
        <v/>
      </c>
      <c r="I62" s="24" t="str">
        <f aca="false">IF(IFERROR(INDEX(tsk_Name,(ROW()-ROW(MSPTasks[[#Headers],[ID]])))="",TRUE()),"",IF(INDEX(tsk_IsSummary,(ROW()-ROW(MSPTasks[[#Headers],[ID]]))),"",INDEX(tsk_Predecessors,(ROW()-ROW(MSPTasks[[#Headers],[ID]])))))</f>
        <v/>
      </c>
      <c r="J62" s="24" t="str">
        <f aca="false">IF(IFERROR(INDEX(tsk_Name,(ROW()-ROW(MSPTasks[[#Headers],[ID]])))="",TRUE()),"",IF(INDEX(tsk_IsSummary,(ROW()-ROW(MSPTasks[[#Headers],[ID]]))),"",INDEX(tsk_UIDPredecessors,(ROW()-ROW(MSPTasks[[#Headers],[ID]])))))</f>
        <v/>
      </c>
      <c r="K6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2" s="24" t="str">
        <f aca="false">IF(IFERROR(INDEX(tsk_Name,(ROW()-ROW(MSPTasks[[#Headers],[ID]])))="",TRUE()),"",IF(INDEX(tsk_IsSummary,(ROW()-ROW(MSPTasks[[#Headers],[ID]]))),"",ROUND(INDEX(tsk_Progress,(ROW()-ROW(MSPTasks[[#Headers],[ID]])))*100,0)))</f>
        <v/>
      </c>
      <c r="M62" s="127" t="str">
        <f aca="false">IF(IFERROR(INDEX(tsk_Name,(ROW()-ROW(MSPTasks[[#Headers],[ID]])))="",TRUE()),"",IF(N(INDEX(tsk_ActStart,(ROW()-ROW(MSPTasks[[#Headers],[ID]]))))=0,"",INDEX(tsk_ActStart,(ROW()-ROW(MSPTasks[[#Headers],[ID]])))))</f>
        <v/>
      </c>
      <c r="N62" s="127" t="str">
        <f aca="false">IF(IFERROR(INDEX(tsk_Name,(ROW()-ROW(MSPTasks[[#Headers],[ID]])))="",TRUE()),"",IF(N(INDEX(tsk_ActFinish,(ROW()-ROW(MSPTasks[[#Headers],[ID]]))))=0,"",INDEX(tsk_ActFinish,(ROW()-ROW(MSPTasks[[#Headers],[ID]])))))</f>
        <v/>
      </c>
      <c r="O62" s="127" t="str">
        <f aca="false">IF(IFERROR(INDEX(tsk_Name,(ROW()-ROW(MSPTasks[[#Headers],[ID]])))="",TRUE()),"",INDEX(tsk_PlanStart,(ROW()-ROW(MSPTasks[[#Headers],[ID]]))))</f>
        <v/>
      </c>
      <c r="P62" s="127" t="str">
        <f aca="false">IF(IFERROR(INDEX(tsk_Name,(ROW()-ROW(MSPTasks[[#Headers],[ID]])))="",TRUE()),"",INDEX(tsk_PlanFinish,(ROW()-ROW(MSPTasks[[#Headers],[ID]]))))</f>
        <v/>
      </c>
      <c r="Q62" s="24" t="str">
        <f aca="false">IF(IFERROR(INDEX(tsk_Name,(ROW()-ROW(MSPTasks[[#Headers],[ID]])))="",TRUE()),"",IF(INDEX(tsk_BaseDuration,(ROW()-ROW(MSPTasks[[#Headers],[ID]])))="","",N(INDEX(tsk_BaseDuration,(ROW()-ROW(MSPTasks[[#Headers],[ID]]))))&amp;"d"))</f>
        <v/>
      </c>
      <c r="R62" s="24" t="str">
        <f aca="false">IF(IFERROR(INDEX(tsk_Name,(ROW()-ROW(MSPTasks[[#Headers],[ID]])))="",TRUE()),"",IF(INDEX(tsk_BaseWork,(ROW()-ROW(MSPTasks[[#Headers],[ID]])))="","",N(INDEX(tsk_BaseWork,(ROW()-ROW(MSPTasks[[#Headers],[ID]]))))&amp;"h"))</f>
        <v/>
      </c>
      <c r="S62" s="24" t="str">
        <f aca="false">IF(IFERROR(INDEX(tsk_Name,(ROW()-ROW(MSPTasks[[#Headers],[ID]])))="",TRUE()),"",IF(INDEX(tsk_BaseCost,(ROW()-ROW(MSPTasks[[#Headers],[ID]])))="","",N(INDEX(tsk_BaseCost,(ROW()-ROW(MSPTasks[[#Headers],[ID]]))))))</f>
        <v/>
      </c>
      <c r="T62" s="24" t="str">
        <f aca="false">IF(IFERROR(INDEX(tsk_Name,(ROW()-ROW(MSPTasks[[#Headers],[ID]])))="",TRUE()),"",IF(INDEX(tsk_IsSummary,(ROW()-ROW(MSPTasks[[#Headers],[ID]]))),"",IF(N(INDEX(tsk_ActCostInput,(ROW()-ROW(MSPTasks[[#Headers],[ID]]))))=0,"",INDEX(tsk_ActCostInput,(ROW()-ROW(MSPTasks[[#Headers],[ID]]))))))</f>
        <v/>
      </c>
      <c r="U62" s="24" t="str">
        <f aca="false">IF(IFERROR(INDEX(tsk_Name,(ROW()-ROW(MSPTasks[[#Headers],[ID]])))="",TRUE()),"",IF(INDEX(tsk_IsSummary,(ROW()-ROW(MSPTasks[[#Headers],[ID]]))),"",IF(AND(INDEX(tsk_Mode,(ROW()-ROW(MSPTasks[[#Headers],[ID]])))&lt;&gt;"Manual",N(INDEX(tsk_Constraint,(ROW()-ROW(MSPTasks[[#Headers],[ID]]))))&gt;0),"Start No Earlier Than","As Soon As Possible")))</f>
        <v/>
      </c>
      <c r="V62" s="127" t="str">
        <f aca="false">IF(IFERROR(INDEX(tsk_Name,(ROW()-ROW(MSPTasks[[#Headers],[ID]])))="",TRUE()),"",IF(OR(INDEX(tsk_IsSummary,(ROW()-ROW(MSPTasks[[#Headers],[ID]]))),INDEX(tsk_Mode,(ROW()-ROW(MSPTasks[[#Headers],[ID]])))="Manual"),"",IF(N(INDEX(tsk_Constraint,(ROW()-ROW(MSPTasks[[#Headers],[ID]]))))=0,"",INDEX(tsk_Constraint,(ROW()-ROW(MSPTasks[[#Headers],[ID]]))))))</f>
        <v/>
      </c>
      <c r="W62" s="127" t="str">
        <f aca="false">IF(IFERROR(INDEX(tsk_Name,(ROW()-ROW(MSPTasks[[#Headers],[ID]])))="",TRUE()),"",IF(N(INDEX(tsk_Deadline,(ROW()-ROW(MSPTasks[[#Headers],[ID]]))))=0,"",INDEX(tsk_Deadline,(ROW()-ROW(MSPTasks[[#Headers],[ID]])))))</f>
        <v/>
      </c>
      <c r="X62" s="24" t="str">
        <f aca="false">IF(IFERROR(INDEX(tsk_Name,(ROW()-ROW(MSPTasks[[#Headers],[ID]])))="",TRUE()),"",IF(INDEX(tsk_IsSummary,(ROW()-ROW(MSPTasks[[#Headers],[ID]]))),"",INDEX(tsk_Sprint,(ROW()-ROW(MSPTasks[[#Headers],[ID]])))&amp;""))</f>
        <v/>
      </c>
      <c r="Y62" s="24" t="str">
        <f aca="false">IF(IFERROR(INDEX(tsk_Name,(ROW()-ROW(MSPTasks[[#Headers],[ID]])))="",TRUE()),"",IF(INDEX(tsk_IsSummary,(ROW()-ROW(MSPTasks[[#Headers],[ID]]))),"",IF(N(INDEX(tsk_StoryPoints,(ROW()-ROW(MSPTasks[[#Headers],[ID]]))))=0,"",INDEX(tsk_StoryPoints,(ROW()-ROW(MSPTasks[[#Headers],[ID]]))))))</f>
        <v/>
      </c>
      <c r="Z62" s="24" t="str">
        <f aca="false">IF(IFERROR(INDEX(tsk_Name,(ROW()-ROW(MSPTasks[[#Headers],[ID]])))="",TRUE()),"",INDEX(tsk_Notes,(ROW()-ROW(MSPTasks[[#Headers],[ID]])))&amp;"")</f>
        <v/>
      </c>
    </row>
    <row r="63" customFormat="false" ht="15" hidden="false" customHeight="false" outlineLevel="0" collapsed="false">
      <c r="A63" s="24" t="str">
        <f aca="false">IF(IFERROR(INDEX(tsk_Name,(ROW()-ROW(MSPTasks[[#Headers],[ID]])))="",TRUE()),"",INDEX(tsk_ID,(ROW()-ROW(MSPTasks[[#Headers],[ID]]))))</f>
        <v/>
      </c>
      <c r="B63" s="24" t="str">
        <f aca="false">IF(IFERROR(INDEX(tsk_Name,(ROW()-ROW(MSPTasks[[#Headers],[ID]])))="",TRUE()),"",INDEX(tsk_UID,(ROW()-ROW(MSPTasks[[#Headers],[ID]]))))</f>
        <v/>
      </c>
      <c r="C63" s="24" t="str">
        <f aca="false">IF(IFERROR(INDEX(tsk_Name,(ROW()-ROW(MSPTasks[[#Headers],[ID]])))="",TRUE()),"",INDEX(tsk_Name,(ROW()-ROW(MSPTasks[[#Headers],[ID]]))))</f>
        <v/>
      </c>
      <c r="D63" s="24" t="str">
        <f aca="false">IF(IFERROR(INDEX(tsk_Name,(ROW()-ROW(MSPTasks[[#Headers],[ID]])))="",TRUE()),"",INDEX(tsk_Level,(ROW()-ROW(MSPTasks[[#Headers],[ID]]))))</f>
        <v/>
      </c>
      <c r="E63" s="24" t="str">
        <f aca="false">IF(IFERROR(INDEX(tsk_Name,(ROW()-ROW(MSPTasks[[#Headers],[ID]])))="",TRUE()),"",IF(INDEX(tsk_Mode,(ROW()-ROW(MSPTasks[[#Headers],[ID]])))="Manual","Manually Scheduled","Auto Scheduled"))</f>
        <v/>
      </c>
      <c r="F63" s="24" t="str">
        <f aca="false">IF(IFERROR(INDEX(tsk_Name,(ROW()-ROW(MSPTasks[[#Headers],[ID]])))="",TRUE()),"",IF(INDEX(tsk_IsSummary,(ROW()-ROW(MSPTasks[[#Headers],[ID]]))),"",N(INDEX(tsk_Duration,(ROW()-ROW(MSPTasks[[#Headers],[ID]]))))&amp;"d"))</f>
        <v/>
      </c>
      <c r="G63" s="127" t="str">
        <f aca="false">IF(IFERROR(INDEX(tsk_Name,(ROW()-ROW(MSPTasks[[#Headers],[ID]])))="",TRUE()),"",INDEX(tsk_FcStart,(ROW()-ROW(MSPTasks[[#Headers],[ID]]))))</f>
        <v/>
      </c>
      <c r="H63" s="127" t="str">
        <f aca="false">IF(IFERROR(INDEX(tsk_Name,(ROW()-ROW(MSPTasks[[#Headers],[ID]])))="",TRUE()),"",INDEX(tsk_FcFinish,(ROW()-ROW(MSPTasks[[#Headers],[ID]]))))</f>
        <v/>
      </c>
      <c r="I63" s="24" t="str">
        <f aca="false">IF(IFERROR(INDEX(tsk_Name,(ROW()-ROW(MSPTasks[[#Headers],[ID]])))="",TRUE()),"",IF(INDEX(tsk_IsSummary,(ROW()-ROW(MSPTasks[[#Headers],[ID]]))),"",INDEX(tsk_Predecessors,(ROW()-ROW(MSPTasks[[#Headers],[ID]])))))</f>
        <v/>
      </c>
      <c r="J63" s="24" t="str">
        <f aca="false">IF(IFERROR(INDEX(tsk_Name,(ROW()-ROW(MSPTasks[[#Headers],[ID]])))="",TRUE()),"",IF(INDEX(tsk_IsSummary,(ROW()-ROW(MSPTasks[[#Headers],[ID]]))),"",INDEX(tsk_UIDPredecessors,(ROW()-ROW(MSPTasks[[#Headers],[ID]])))))</f>
        <v/>
      </c>
      <c r="K6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3" s="24" t="str">
        <f aca="false">IF(IFERROR(INDEX(tsk_Name,(ROW()-ROW(MSPTasks[[#Headers],[ID]])))="",TRUE()),"",IF(INDEX(tsk_IsSummary,(ROW()-ROW(MSPTasks[[#Headers],[ID]]))),"",ROUND(INDEX(tsk_Progress,(ROW()-ROW(MSPTasks[[#Headers],[ID]])))*100,0)))</f>
        <v/>
      </c>
      <c r="M63" s="127" t="str">
        <f aca="false">IF(IFERROR(INDEX(tsk_Name,(ROW()-ROW(MSPTasks[[#Headers],[ID]])))="",TRUE()),"",IF(N(INDEX(tsk_ActStart,(ROW()-ROW(MSPTasks[[#Headers],[ID]]))))=0,"",INDEX(tsk_ActStart,(ROW()-ROW(MSPTasks[[#Headers],[ID]])))))</f>
        <v/>
      </c>
      <c r="N63" s="127" t="str">
        <f aca="false">IF(IFERROR(INDEX(tsk_Name,(ROW()-ROW(MSPTasks[[#Headers],[ID]])))="",TRUE()),"",IF(N(INDEX(tsk_ActFinish,(ROW()-ROW(MSPTasks[[#Headers],[ID]]))))=0,"",INDEX(tsk_ActFinish,(ROW()-ROW(MSPTasks[[#Headers],[ID]])))))</f>
        <v/>
      </c>
      <c r="O63" s="127" t="str">
        <f aca="false">IF(IFERROR(INDEX(tsk_Name,(ROW()-ROW(MSPTasks[[#Headers],[ID]])))="",TRUE()),"",INDEX(tsk_PlanStart,(ROW()-ROW(MSPTasks[[#Headers],[ID]]))))</f>
        <v/>
      </c>
      <c r="P63" s="127" t="str">
        <f aca="false">IF(IFERROR(INDEX(tsk_Name,(ROW()-ROW(MSPTasks[[#Headers],[ID]])))="",TRUE()),"",INDEX(tsk_PlanFinish,(ROW()-ROW(MSPTasks[[#Headers],[ID]]))))</f>
        <v/>
      </c>
      <c r="Q63" s="24" t="str">
        <f aca="false">IF(IFERROR(INDEX(tsk_Name,(ROW()-ROW(MSPTasks[[#Headers],[ID]])))="",TRUE()),"",IF(INDEX(tsk_BaseDuration,(ROW()-ROW(MSPTasks[[#Headers],[ID]])))="","",N(INDEX(tsk_BaseDuration,(ROW()-ROW(MSPTasks[[#Headers],[ID]]))))&amp;"d"))</f>
        <v/>
      </c>
      <c r="R63" s="24" t="str">
        <f aca="false">IF(IFERROR(INDEX(tsk_Name,(ROW()-ROW(MSPTasks[[#Headers],[ID]])))="",TRUE()),"",IF(INDEX(tsk_BaseWork,(ROW()-ROW(MSPTasks[[#Headers],[ID]])))="","",N(INDEX(tsk_BaseWork,(ROW()-ROW(MSPTasks[[#Headers],[ID]]))))&amp;"h"))</f>
        <v/>
      </c>
      <c r="S63" s="24" t="str">
        <f aca="false">IF(IFERROR(INDEX(tsk_Name,(ROW()-ROW(MSPTasks[[#Headers],[ID]])))="",TRUE()),"",IF(INDEX(tsk_BaseCost,(ROW()-ROW(MSPTasks[[#Headers],[ID]])))="","",N(INDEX(tsk_BaseCost,(ROW()-ROW(MSPTasks[[#Headers],[ID]]))))))</f>
        <v/>
      </c>
      <c r="T63" s="24" t="str">
        <f aca="false">IF(IFERROR(INDEX(tsk_Name,(ROW()-ROW(MSPTasks[[#Headers],[ID]])))="",TRUE()),"",IF(INDEX(tsk_IsSummary,(ROW()-ROW(MSPTasks[[#Headers],[ID]]))),"",IF(N(INDEX(tsk_ActCostInput,(ROW()-ROW(MSPTasks[[#Headers],[ID]]))))=0,"",INDEX(tsk_ActCostInput,(ROW()-ROW(MSPTasks[[#Headers],[ID]]))))))</f>
        <v/>
      </c>
      <c r="U63" s="24" t="str">
        <f aca="false">IF(IFERROR(INDEX(tsk_Name,(ROW()-ROW(MSPTasks[[#Headers],[ID]])))="",TRUE()),"",IF(INDEX(tsk_IsSummary,(ROW()-ROW(MSPTasks[[#Headers],[ID]]))),"",IF(AND(INDEX(tsk_Mode,(ROW()-ROW(MSPTasks[[#Headers],[ID]])))&lt;&gt;"Manual",N(INDEX(tsk_Constraint,(ROW()-ROW(MSPTasks[[#Headers],[ID]]))))&gt;0),"Start No Earlier Than","As Soon As Possible")))</f>
        <v/>
      </c>
      <c r="V63" s="127" t="str">
        <f aca="false">IF(IFERROR(INDEX(tsk_Name,(ROW()-ROW(MSPTasks[[#Headers],[ID]])))="",TRUE()),"",IF(OR(INDEX(tsk_IsSummary,(ROW()-ROW(MSPTasks[[#Headers],[ID]]))),INDEX(tsk_Mode,(ROW()-ROW(MSPTasks[[#Headers],[ID]])))="Manual"),"",IF(N(INDEX(tsk_Constraint,(ROW()-ROW(MSPTasks[[#Headers],[ID]]))))=0,"",INDEX(tsk_Constraint,(ROW()-ROW(MSPTasks[[#Headers],[ID]]))))))</f>
        <v/>
      </c>
      <c r="W63" s="127" t="str">
        <f aca="false">IF(IFERROR(INDEX(tsk_Name,(ROW()-ROW(MSPTasks[[#Headers],[ID]])))="",TRUE()),"",IF(N(INDEX(tsk_Deadline,(ROW()-ROW(MSPTasks[[#Headers],[ID]]))))=0,"",INDEX(tsk_Deadline,(ROW()-ROW(MSPTasks[[#Headers],[ID]])))))</f>
        <v/>
      </c>
      <c r="X63" s="24" t="str">
        <f aca="false">IF(IFERROR(INDEX(tsk_Name,(ROW()-ROW(MSPTasks[[#Headers],[ID]])))="",TRUE()),"",IF(INDEX(tsk_IsSummary,(ROW()-ROW(MSPTasks[[#Headers],[ID]]))),"",INDEX(tsk_Sprint,(ROW()-ROW(MSPTasks[[#Headers],[ID]])))&amp;""))</f>
        <v/>
      </c>
      <c r="Y63" s="24" t="str">
        <f aca="false">IF(IFERROR(INDEX(tsk_Name,(ROW()-ROW(MSPTasks[[#Headers],[ID]])))="",TRUE()),"",IF(INDEX(tsk_IsSummary,(ROW()-ROW(MSPTasks[[#Headers],[ID]]))),"",IF(N(INDEX(tsk_StoryPoints,(ROW()-ROW(MSPTasks[[#Headers],[ID]]))))=0,"",INDEX(tsk_StoryPoints,(ROW()-ROW(MSPTasks[[#Headers],[ID]]))))))</f>
        <v/>
      </c>
      <c r="Z63" s="24" t="str">
        <f aca="false">IF(IFERROR(INDEX(tsk_Name,(ROW()-ROW(MSPTasks[[#Headers],[ID]])))="",TRUE()),"",INDEX(tsk_Notes,(ROW()-ROW(MSPTasks[[#Headers],[ID]])))&amp;"")</f>
        <v/>
      </c>
    </row>
    <row r="64" customFormat="false" ht="15" hidden="false" customHeight="false" outlineLevel="0" collapsed="false">
      <c r="A64" s="24" t="str">
        <f aca="false">IF(IFERROR(INDEX(tsk_Name,(ROW()-ROW(MSPTasks[[#Headers],[ID]])))="",TRUE()),"",INDEX(tsk_ID,(ROW()-ROW(MSPTasks[[#Headers],[ID]]))))</f>
        <v/>
      </c>
      <c r="B64" s="24" t="str">
        <f aca="false">IF(IFERROR(INDEX(tsk_Name,(ROW()-ROW(MSPTasks[[#Headers],[ID]])))="",TRUE()),"",INDEX(tsk_UID,(ROW()-ROW(MSPTasks[[#Headers],[ID]]))))</f>
        <v/>
      </c>
      <c r="C64" s="24" t="str">
        <f aca="false">IF(IFERROR(INDEX(tsk_Name,(ROW()-ROW(MSPTasks[[#Headers],[ID]])))="",TRUE()),"",INDEX(tsk_Name,(ROW()-ROW(MSPTasks[[#Headers],[ID]]))))</f>
        <v/>
      </c>
      <c r="D64" s="24" t="str">
        <f aca="false">IF(IFERROR(INDEX(tsk_Name,(ROW()-ROW(MSPTasks[[#Headers],[ID]])))="",TRUE()),"",INDEX(tsk_Level,(ROW()-ROW(MSPTasks[[#Headers],[ID]]))))</f>
        <v/>
      </c>
      <c r="E64" s="24" t="str">
        <f aca="false">IF(IFERROR(INDEX(tsk_Name,(ROW()-ROW(MSPTasks[[#Headers],[ID]])))="",TRUE()),"",IF(INDEX(tsk_Mode,(ROW()-ROW(MSPTasks[[#Headers],[ID]])))="Manual","Manually Scheduled","Auto Scheduled"))</f>
        <v/>
      </c>
      <c r="F64" s="24" t="str">
        <f aca="false">IF(IFERROR(INDEX(tsk_Name,(ROW()-ROW(MSPTasks[[#Headers],[ID]])))="",TRUE()),"",IF(INDEX(tsk_IsSummary,(ROW()-ROW(MSPTasks[[#Headers],[ID]]))),"",N(INDEX(tsk_Duration,(ROW()-ROW(MSPTasks[[#Headers],[ID]]))))&amp;"d"))</f>
        <v/>
      </c>
      <c r="G64" s="127" t="str">
        <f aca="false">IF(IFERROR(INDEX(tsk_Name,(ROW()-ROW(MSPTasks[[#Headers],[ID]])))="",TRUE()),"",INDEX(tsk_FcStart,(ROW()-ROW(MSPTasks[[#Headers],[ID]]))))</f>
        <v/>
      </c>
      <c r="H64" s="127" t="str">
        <f aca="false">IF(IFERROR(INDEX(tsk_Name,(ROW()-ROW(MSPTasks[[#Headers],[ID]])))="",TRUE()),"",INDEX(tsk_FcFinish,(ROW()-ROW(MSPTasks[[#Headers],[ID]]))))</f>
        <v/>
      </c>
      <c r="I64" s="24" t="str">
        <f aca="false">IF(IFERROR(INDEX(tsk_Name,(ROW()-ROW(MSPTasks[[#Headers],[ID]])))="",TRUE()),"",IF(INDEX(tsk_IsSummary,(ROW()-ROW(MSPTasks[[#Headers],[ID]]))),"",INDEX(tsk_Predecessors,(ROW()-ROW(MSPTasks[[#Headers],[ID]])))))</f>
        <v/>
      </c>
      <c r="J64" s="24" t="str">
        <f aca="false">IF(IFERROR(INDEX(tsk_Name,(ROW()-ROW(MSPTasks[[#Headers],[ID]])))="",TRUE()),"",IF(INDEX(tsk_IsSummary,(ROW()-ROW(MSPTasks[[#Headers],[ID]]))),"",INDEX(tsk_UIDPredecessors,(ROW()-ROW(MSPTasks[[#Headers],[ID]])))))</f>
        <v/>
      </c>
      <c r="K6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4" s="24" t="str">
        <f aca="false">IF(IFERROR(INDEX(tsk_Name,(ROW()-ROW(MSPTasks[[#Headers],[ID]])))="",TRUE()),"",IF(INDEX(tsk_IsSummary,(ROW()-ROW(MSPTasks[[#Headers],[ID]]))),"",ROUND(INDEX(tsk_Progress,(ROW()-ROW(MSPTasks[[#Headers],[ID]])))*100,0)))</f>
        <v/>
      </c>
      <c r="M64" s="127" t="str">
        <f aca="false">IF(IFERROR(INDEX(tsk_Name,(ROW()-ROW(MSPTasks[[#Headers],[ID]])))="",TRUE()),"",IF(N(INDEX(tsk_ActStart,(ROW()-ROW(MSPTasks[[#Headers],[ID]]))))=0,"",INDEX(tsk_ActStart,(ROW()-ROW(MSPTasks[[#Headers],[ID]])))))</f>
        <v/>
      </c>
      <c r="N64" s="127" t="str">
        <f aca="false">IF(IFERROR(INDEX(tsk_Name,(ROW()-ROW(MSPTasks[[#Headers],[ID]])))="",TRUE()),"",IF(N(INDEX(tsk_ActFinish,(ROW()-ROW(MSPTasks[[#Headers],[ID]]))))=0,"",INDEX(tsk_ActFinish,(ROW()-ROW(MSPTasks[[#Headers],[ID]])))))</f>
        <v/>
      </c>
      <c r="O64" s="127" t="str">
        <f aca="false">IF(IFERROR(INDEX(tsk_Name,(ROW()-ROW(MSPTasks[[#Headers],[ID]])))="",TRUE()),"",INDEX(tsk_PlanStart,(ROW()-ROW(MSPTasks[[#Headers],[ID]]))))</f>
        <v/>
      </c>
      <c r="P64" s="127" t="str">
        <f aca="false">IF(IFERROR(INDEX(tsk_Name,(ROW()-ROW(MSPTasks[[#Headers],[ID]])))="",TRUE()),"",INDEX(tsk_PlanFinish,(ROW()-ROW(MSPTasks[[#Headers],[ID]]))))</f>
        <v/>
      </c>
      <c r="Q64" s="24" t="str">
        <f aca="false">IF(IFERROR(INDEX(tsk_Name,(ROW()-ROW(MSPTasks[[#Headers],[ID]])))="",TRUE()),"",IF(INDEX(tsk_BaseDuration,(ROW()-ROW(MSPTasks[[#Headers],[ID]])))="","",N(INDEX(tsk_BaseDuration,(ROW()-ROW(MSPTasks[[#Headers],[ID]]))))&amp;"d"))</f>
        <v/>
      </c>
      <c r="R64" s="24" t="str">
        <f aca="false">IF(IFERROR(INDEX(tsk_Name,(ROW()-ROW(MSPTasks[[#Headers],[ID]])))="",TRUE()),"",IF(INDEX(tsk_BaseWork,(ROW()-ROW(MSPTasks[[#Headers],[ID]])))="","",N(INDEX(tsk_BaseWork,(ROW()-ROW(MSPTasks[[#Headers],[ID]]))))&amp;"h"))</f>
        <v/>
      </c>
      <c r="S64" s="24" t="str">
        <f aca="false">IF(IFERROR(INDEX(tsk_Name,(ROW()-ROW(MSPTasks[[#Headers],[ID]])))="",TRUE()),"",IF(INDEX(tsk_BaseCost,(ROW()-ROW(MSPTasks[[#Headers],[ID]])))="","",N(INDEX(tsk_BaseCost,(ROW()-ROW(MSPTasks[[#Headers],[ID]]))))))</f>
        <v/>
      </c>
      <c r="T64" s="24" t="str">
        <f aca="false">IF(IFERROR(INDEX(tsk_Name,(ROW()-ROW(MSPTasks[[#Headers],[ID]])))="",TRUE()),"",IF(INDEX(tsk_IsSummary,(ROW()-ROW(MSPTasks[[#Headers],[ID]]))),"",IF(N(INDEX(tsk_ActCostInput,(ROW()-ROW(MSPTasks[[#Headers],[ID]]))))=0,"",INDEX(tsk_ActCostInput,(ROW()-ROW(MSPTasks[[#Headers],[ID]]))))))</f>
        <v/>
      </c>
      <c r="U64" s="24" t="str">
        <f aca="false">IF(IFERROR(INDEX(tsk_Name,(ROW()-ROW(MSPTasks[[#Headers],[ID]])))="",TRUE()),"",IF(INDEX(tsk_IsSummary,(ROW()-ROW(MSPTasks[[#Headers],[ID]]))),"",IF(AND(INDEX(tsk_Mode,(ROW()-ROW(MSPTasks[[#Headers],[ID]])))&lt;&gt;"Manual",N(INDEX(tsk_Constraint,(ROW()-ROW(MSPTasks[[#Headers],[ID]]))))&gt;0),"Start No Earlier Than","As Soon As Possible")))</f>
        <v/>
      </c>
      <c r="V64" s="127" t="str">
        <f aca="false">IF(IFERROR(INDEX(tsk_Name,(ROW()-ROW(MSPTasks[[#Headers],[ID]])))="",TRUE()),"",IF(OR(INDEX(tsk_IsSummary,(ROW()-ROW(MSPTasks[[#Headers],[ID]]))),INDEX(tsk_Mode,(ROW()-ROW(MSPTasks[[#Headers],[ID]])))="Manual"),"",IF(N(INDEX(tsk_Constraint,(ROW()-ROW(MSPTasks[[#Headers],[ID]]))))=0,"",INDEX(tsk_Constraint,(ROW()-ROW(MSPTasks[[#Headers],[ID]]))))))</f>
        <v/>
      </c>
      <c r="W64" s="127" t="str">
        <f aca="false">IF(IFERROR(INDEX(tsk_Name,(ROW()-ROW(MSPTasks[[#Headers],[ID]])))="",TRUE()),"",IF(N(INDEX(tsk_Deadline,(ROW()-ROW(MSPTasks[[#Headers],[ID]]))))=0,"",INDEX(tsk_Deadline,(ROW()-ROW(MSPTasks[[#Headers],[ID]])))))</f>
        <v/>
      </c>
      <c r="X64" s="24" t="str">
        <f aca="false">IF(IFERROR(INDEX(tsk_Name,(ROW()-ROW(MSPTasks[[#Headers],[ID]])))="",TRUE()),"",IF(INDEX(tsk_IsSummary,(ROW()-ROW(MSPTasks[[#Headers],[ID]]))),"",INDEX(tsk_Sprint,(ROW()-ROW(MSPTasks[[#Headers],[ID]])))&amp;""))</f>
        <v/>
      </c>
      <c r="Y64" s="24" t="str">
        <f aca="false">IF(IFERROR(INDEX(tsk_Name,(ROW()-ROW(MSPTasks[[#Headers],[ID]])))="",TRUE()),"",IF(INDEX(tsk_IsSummary,(ROW()-ROW(MSPTasks[[#Headers],[ID]]))),"",IF(N(INDEX(tsk_StoryPoints,(ROW()-ROW(MSPTasks[[#Headers],[ID]]))))=0,"",INDEX(tsk_StoryPoints,(ROW()-ROW(MSPTasks[[#Headers],[ID]]))))))</f>
        <v/>
      </c>
      <c r="Z64" s="24" t="str">
        <f aca="false">IF(IFERROR(INDEX(tsk_Name,(ROW()-ROW(MSPTasks[[#Headers],[ID]])))="",TRUE()),"",INDEX(tsk_Notes,(ROW()-ROW(MSPTasks[[#Headers],[ID]])))&amp;"")</f>
        <v/>
      </c>
    </row>
    <row r="65" customFormat="false" ht="15" hidden="false" customHeight="false" outlineLevel="0" collapsed="false">
      <c r="A65" s="24" t="str">
        <f aca="false">IF(IFERROR(INDEX(tsk_Name,(ROW()-ROW(MSPTasks[[#Headers],[ID]])))="",TRUE()),"",INDEX(tsk_ID,(ROW()-ROW(MSPTasks[[#Headers],[ID]]))))</f>
        <v/>
      </c>
      <c r="B65" s="24" t="str">
        <f aca="false">IF(IFERROR(INDEX(tsk_Name,(ROW()-ROW(MSPTasks[[#Headers],[ID]])))="",TRUE()),"",INDEX(tsk_UID,(ROW()-ROW(MSPTasks[[#Headers],[ID]]))))</f>
        <v/>
      </c>
      <c r="C65" s="24" t="str">
        <f aca="false">IF(IFERROR(INDEX(tsk_Name,(ROW()-ROW(MSPTasks[[#Headers],[ID]])))="",TRUE()),"",INDEX(tsk_Name,(ROW()-ROW(MSPTasks[[#Headers],[ID]]))))</f>
        <v/>
      </c>
      <c r="D65" s="24" t="str">
        <f aca="false">IF(IFERROR(INDEX(tsk_Name,(ROW()-ROW(MSPTasks[[#Headers],[ID]])))="",TRUE()),"",INDEX(tsk_Level,(ROW()-ROW(MSPTasks[[#Headers],[ID]]))))</f>
        <v/>
      </c>
      <c r="E65" s="24" t="str">
        <f aca="false">IF(IFERROR(INDEX(tsk_Name,(ROW()-ROW(MSPTasks[[#Headers],[ID]])))="",TRUE()),"",IF(INDEX(tsk_Mode,(ROW()-ROW(MSPTasks[[#Headers],[ID]])))="Manual","Manually Scheduled","Auto Scheduled"))</f>
        <v/>
      </c>
      <c r="F65" s="24" t="str">
        <f aca="false">IF(IFERROR(INDEX(tsk_Name,(ROW()-ROW(MSPTasks[[#Headers],[ID]])))="",TRUE()),"",IF(INDEX(tsk_IsSummary,(ROW()-ROW(MSPTasks[[#Headers],[ID]]))),"",N(INDEX(tsk_Duration,(ROW()-ROW(MSPTasks[[#Headers],[ID]]))))&amp;"d"))</f>
        <v/>
      </c>
      <c r="G65" s="127" t="str">
        <f aca="false">IF(IFERROR(INDEX(tsk_Name,(ROW()-ROW(MSPTasks[[#Headers],[ID]])))="",TRUE()),"",INDEX(tsk_FcStart,(ROW()-ROW(MSPTasks[[#Headers],[ID]]))))</f>
        <v/>
      </c>
      <c r="H65" s="127" t="str">
        <f aca="false">IF(IFERROR(INDEX(tsk_Name,(ROW()-ROW(MSPTasks[[#Headers],[ID]])))="",TRUE()),"",INDEX(tsk_FcFinish,(ROW()-ROW(MSPTasks[[#Headers],[ID]]))))</f>
        <v/>
      </c>
      <c r="I65" s="24" t="str">
        <f aca="false">IF(IFERROR(INDEX(tsk_Name,(ROW()-ROW(MSPTasks[[#Headers],[ID]])))="",TRUE()),"",IF(INDEX(tsk_IsSummary,(ROW()-ROW(MSPTasks[[#Headers],[ID]]))),"",INDEX(tsk_Predecessors,(ROW()-ROW(MSPTasks[[#Headers],[ID]])))))</f>
        <v/>
      </c>
      <c r="J65" s="24" t="str">
        <f aca="false">IF(IFERROR(INDEX(tsk_Name,(ROW()-ROW(MSPTasks[[#Headers],[ID]])))="",TRUE()),"",IF(INDEX(tsk_IsSummary,(ROW()-ROW(MSPTasks[[#Headers],[ID]]))),"",INDEX(tsk_UIDPredecessors,(ROW()-ROW(MSPTasks[[#Headers],[ID]])))))</f>
        <v/>
      </c>
      <c r="K6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5" s="24" t="str">
        <f aca="false">IF(IFERROR(INDEX(tsk_Name,(ROW()-ROW(MSPTasks[[#Headers],[ID]])))="",TRUE()),"",IF(INDEX(tsk_IsSummary,(ROW()-ROW(MSPTasks[[#Headers],[ID]]))),"",ROUND(INDEX(tsk_Progress,(ROW()-ROW(MSPTasks[[#Headers],[ID]])))*100,0)))</f>
        <v/>
      </c>
      <c r="M65" s="127" t="str">
        <f aca="false">IF(IFERROR(INDEX(tsk_Name,(ROW()-ROW(MSPTasks[[#Headers],[ID]])))="",TRUE()),"",IF(N(INDEX(tsk_ActStart,(ROW()-ROW(MSPTasks[[#Headers],[ID]]))))=0,"",INDEX(tsk_ActStart,(ROW()-ROW(MSPTasks[[#Headers],[ID]])))))</f>
        <v/>
      </c>
      <c r="N65" s="127" t="str">
        <f aca="false">IF(IFERROR(INDEX(tsk_Name,(ROW()-ROW(MSPTasks[[#Headers],[ID]])))="",TRUE()),"",IF(N(INDEX(tsk_ActFinish,(ROW()-ROW(MSPTasks[[#Headers],[ID]]))))=0,"",INDEX(tsk_ActFinish,(ROW()-ROW(MSPTasks[[#Headers],[ID]])))))</f>
        <v/>
      </c>
      <c r="O65" s="127" t="str">
        <f aca="false">IF(IFERROR(INDEX(tsk_Name,(ROW()-ROW(MSPTasks[[#Headers],[ID]])))="",TRUE()),"",INDEX(tsk_PlanStart,(ROW()-ROW(MSPTasks[[#Headers],[ID]]))))</f>
        <v/>
      </c>
      <c r="P65" s="127" t="str">
        <f aca="false">IF(IFERROR(INDEX(tsk_Name,(ROW()-ROW(MSPTasks[[#Headers],[ID]])))="",TRUE()),"",INDEX(tsk_PlanFinish,(ROW()-ROW(MSPTasks[[#Headers],[ID]]))))</f>
        <v/>
      </c>
      <c r="Q65" s="24" t="str">
        <f aca="false">IF(IFERROR(INDEX(tsk_Name,(ROW()-ROW(MSPTasks[[#Headers],[ID]])))="",TRUE()),"",IF(INDEX(tsk_BaseDuration,(ROW()-ROW(MSPTasks[[#Headers],[ID]])))="","",N(INDEX(tsk_BaseDuration,(ROW()-ROW(MSPTasks[[#Headers],[ID]]))))&amp;"d"))</f>
        <v/>
      </c>
      <c r="R65" s="24" t="str">
        <f aca="false">IF(IFERROR(INDEX(tsk_Name,(ROW()-ROW(MSPTasks[[#Headers],[ID]])))="",TRUE()),"",IF(INDEX(tsk_BaseWork,(ROW()-ROW(MSPTasks[[#Headers],[ID]])))="","",N(INDEX(tsk_BaseWork,(ROW()-ROW(MSPTasks[[#Headers],[ID]]))))&amp;"h"))</f>
        <v/>
      </c>
      <c r="S65" s="24" t="str">
        <f aca="false">IF(IFERROR(INDEX(tsk_Name,(ROW()-ROW(MSPTasks[[#Headers],[ID]])))="",TRUE()),"",IF(INDEX(tsk_BaseCost,(ROW()-ROW(MSPTasks[[#Headers],[ID]])))="","",N(INDEX(tsk_BaseCost,(ROW()-ROW(MSPTasks[[#Headers],[ID]]))))))</f>
        <v/>
      </c>
      <c r="T65" s="24" t="str">
        <f aca="false">IF(IFERROR(INDEX(tsk_Name,(ROW()-ROW(MSPTasks[[#Headers],[ID]])))="",TRUE()),"",IF(INDEX(tsk_IsSummary,(ROW()-ROW(MSPTasks[[#Headers],[ID]]))),"",IF(N(INDEX(tsk_ActCostInput,(ROW()-ROW(MSPTasks[[#Headers],[ID]]))))=0,"",INDEX(tsk_ActCostInput,(ROW()-ROW(MSPTasks[[#Headers],[ID]]))))))</f>
        <v/>
      </c>
      <c r="U65" s="24" t="str">
        <f aca="false">IF(IFERROR(INDEX(tsk_Name,(ROW()-ROW(MSPTasks[[#Headers],[ID]])))="",TRUE()),"",IF(INDEX(tsk_IsSummary,(ROW()-ROW(MSPTasks[[#Headers],[ID]]))),"",IF(AND(INDEX(tsk_Mode,(ROW()-ROW(MSPTasks[[#Headers],[ID]])))&lt;&gt;"Manual",N(INDEX(tsk_Constraint,(ROW()-ROW(MSPTasks[[#Headers],[ID]]))))&gt;0),"Start No Earlier Than","As Soon As Possible")))</f>
        <v/>
      </c>
      <c r="V65" s="127" t="str">
        <f aca="false">IF(IFERROR(INDEX(tsk_Name,(ROW()-ROW(MSPTasks[[#Headers],[ID]])))="",TRUE()),"",IF(OR(INDEX(tsk_IsSummary,(ROW()-ROW(MSPTasks[[#Headers],[ID]]))),INDEX(tsk_Mode,(ROW()-ROW(MSPTasks[[#Headers],[ID]])))="Manual"),"",IF(N(INDEX(tsk_Constraint,(ROW()-ROW(MSPTasks[[#Headers],[ID]]))))=0,"",INDEX(tsk_Constraint,(ROW()-ROW(MSPTasks[[#Headers],[ID]]))))))</f>
        <v/>
      </c>
      <c r="W65" s="127" t="str">
        <f aca="false">IF(IFERROR(INDEX(tsk_Name,(ROW()-ROW(MSPTasks[[#Headers],[ID]])))="",TRUE()),"",IF(N(INDEX(tsk_Deadline,(ROW()-ROW(MSPTasks[[#Headers],[ID]]))))=0,"",INDEX(tsk_Deadline,(ROW()-ROW(MSPTasks[[#Headers],[ID]])))))</f>
        <v/>
      </c>
      <c r="X65" s="24" t="str">
        <f aca="false">IF(IFERROR(INDEX(tsk_Name,(ROW()-ROW(MSPTasks[[#Headers],[ID]])))="",TRUE()),"",IF(INDEX(tsk_IsSummary,(ROW()-ROW(MSPTasks[[#Headers],[ID]]))),"",INDEX(tsk_Sprint,(ROW()-ROW(MSPTasks[[#Headers],[ID]])))&amp;""))</f>
        <v/>
      </c>
      <c r="Y65" s="24" t="str">
        <f aca="false">IF(IFERROR(INDEX(tsk_Name,(ROW()-ROW(MSPTasks[[#Headers],[ID]])))="",TRUE()),"",IF(INDEX(tsk_IsSummary,(ROW()-ROW(MSPTasks[[#Headers],[ID]]))),"",IF(N(INDEX(tsk_StoryPoints,(ROW()-ROW(MSPTasks[[#Headers],[ID]]))))=0,"",INDEX(tsk_StoryPoints,(ROW()-ROW(MSPTasks[[#Headers],[ID]]))))))</f>
        <v/>
      </c>
      <c r="Z65" s="24" t="str">
        <f aca="false">IF(IFERROR(INDEX(tsk_Name,(ROW()-ROW(MSPTasks[[#Headers],[ID]])))="",TRUE()),"",INDEX(tsk_Notes,(ROW()-ROW(MSPTasks[[#Headers],[ID]])))&amp;"")</f>
        <v/>
      </c>
    </row>
    <row r="66" customFormat="false" ht="15" hidden="false" customHeight="false" outlineLevel="0" collapsed="false">
      <c r="A66" s="24" t="str">
        <f aca="false">IF(IFERROR(INDEX(tsk_Name,(ROW()-ROW(MSPTasks[[#Headers],[ID]])))="",TRUE()),"",INDEX(tsk_ID,(ROW()-ROW(MSPTasks[[#Headers],[ID]]))))</f>
        <v/>
      </c>
      <c r="B66" s="24" t="str">
        <f aca="false">IF(IFERROR(INDEX(tsk_Name,(ROW()-ROW(MSPTasks[[#Headers],[ID]])))="",TRUE()),"",INDEX(tsk_UID,(ROW()-ROW(MSPTasks[[#Headers],[ID]]))))</f>
        <v/>
      </c>
      <c r="C66" s="24" t="str">
        <f aca="false">IF(IFERROR(INDEX(tsk_Name,(ROW()-ROW(MSPTasks[[#Headers],[ID]])))="",TRUE()),"",INDEX(tsk_Name,(ROW()-ROW(MSPTasks[[#Headers],[ID]]))))</f>
        <v/>
      </c>
      <c r="D66" s="24" t="str">
        <f aca="false">IF(IFERROR(INDEX(tsk_Name,(ROW()-ROW(MSPTasks[[#Headers],[ID]])))="",TRUE()),"",INDEX(tsk_Level,(ROW()-ROW(MSPTasks[[#Headers],[ID]]))))</f>
        <v/>
      </c>
      <c r="E66" s="24" t="str">
        <f aca="false">IF(IFERROR(INDEX(tsk_Name,(ROW()-ROW(MSPTasks[[#Headers],[ID]])))="",TRUE()),"",IF(INDEX(tsk_Mode,(ROW()-ROW(MSPTasks[[#Headers],[ID]])))="Manual","Manually Scheduled","Auto Scheduled"))</f>
        <v/>
      </c>
      <c r="F66" s="24" t="str">
        <f aca="false">IF(IFERROR(INDEX(tsk_Name,(ROW()-ROW(MSPTasks[[#Headers],[ID]])))="",TRUE()),"",IF(INDEX(tsk_IsSummary,(ROW()-ROW(MSPTasks[[#Headers],[ID]]))),"",N(INDEX(tsk_Duration,(ROW()-ROW(MSPTasks[[#Headers],[ID]]))))&amp;"d"))</f>
        <v/>
      </c>
      <c r="G66" s="127" t="str">
        <f aca="false">IF(IFERROR(INDEX(tsk_Name,(ROW()-ROW(MSPTasks[[#Headers],[ID]])))="",TRUE()),"",INDEX(tsk_FcStart,(ROW()-ROW(MSPTasks[[#Headers],[ID]]))))</f>
        <v/>
      </c>
      <c r="H66" s="127" t="str">
        <f aca="false">IF(IFERROR(INDEX(tsk_Name,(ROW()-ROW(MSPTasks[[#Headers],[ID]])))="",TRUE()),"",INDEX(tsk_FcFinish,(ROW()-ROW(MSPTasks[[#Headers],[ID]]))))</f>
        <v/>
      </c>
      <c r="I66" s="24" t="str">
        <f aca="false">IF(IFERROR(INDEX(tsk_Name,(ROW()-ROW(MSPTasks[[#Headers],[ID]])))="",TRUE()),"",IF(INDEX(tsk_IsSummary,(ROW()-ROW(MSPTasks[[#Headers],[ID]]))),"",INDEX(tsk_Predecessors,(ROW()-ROW(MSPTasks[[#Headers],[ID]])))))</f>
        <v/>
      </c>
      <c r="J66" s="24" t="str">
        <f aca="false">IF(IFERROR(INDEX(tsk_Name,(ROW()-ROW(MSPTasks[[#Headers],[ID]])))="",TRUE()),"",IF(INDEX(tsk_IsSummary,(ROW()-ROW(MSPTasks[[#Headers],[ID]]))),"",INDEX(tsk_UIDPredecessors,(ROW()-ROW(MSPTasks[[#Headers],[ID]])))))</f>
        <v/>
      </c>
      <c r="K6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6" s="24" t="str">
        <f aca="false">IF(IFERROR(INDEX(tsk_Name,(ROW()-ROW(MSPTasks[[#Headers],[ID]])))="",TRUE()),"",IF(INDEX(tsk_IsSummary,(ROW()-ROW(MSPTasks[[#Headers],[ID]]))),"",ROUND(INDEX(tsk_Progress,(ROW()-ROW(MSPTasks[[#Headers],[ID]])))*100,0)))</f>
        <v/>
      </c>
      <c r="M66" s="127" t="str">
        <f aca="false">IF(IFERROR(INDEX(tsk_Name,(ROW()-ROW(MSPTasks[[#Headers],[ID]])))="",TRUE()),"",IF(N(INDEX(tsk_ActStart,(ROW()-ROW(MSPTasks[[#Headers],[ID]]))))=0,"",INDEX(tsk_ActStart,(ROW()-ROW(MSPTasks[[#Headers],[ID]])))))</f>
        <v/>
      </c>
      <c r="N66" s="127" t="str">
        <f aca="false">IF(IFERROR(INDEX(tsk_Name,(ROW()-ROW(MSPTasks[[#Headers],[ID]])))="",TRUE()),"",IF(N(INDEX(tsk_ActFinish,(ROW()-ROW(MSPTasks[[#Headers],[ID]]))))=0,"",INDEX(tsk_ActFinish,(ROW()-ROW(MSPTasks[[#Headers],[ID]])))))</f>
        <v/>
      </c>
      <c r="O66" s="127" t="str">
        <f aca="false">IF(IFERROR(INDEX(tsk_Name,(ROW()-ROW(MSPTasks[[#Headers],[ID]])))="",TRUE()),"",INDEX(tsk_PlanStart,(ROW()-ROW(MSPTasks[[#Headers],[ID]]))))</f>
        <v/>
      </c>
      <c r="P66" s="127" t="str">
        <f aca="false">IF(IFERROR(INDEX(tsk_Name,(ROW()-ROW(MSPTasks[[#Headers],[ID]])))="",TRUE()),"",INDEX(tsk_PlanFinish,(ROW()-ROW(MSPTasks[[#Headers],[ID]]))))</f>
        <v/>
      </c>
      <c r="Q66" s="24" t="str">
        <f aca="false">IF(IFERROR(INDEX(tsk_Name,(ROW()-ROW(MSPTasks[[#Headers],[ID]])))="",TRUE()),"",IF(INDEX(tsk_BaseDuration,(ROW()-ROW(MSPTasks[[#Headers],[ID]])))="","",N(INDEX(tsk_BaseDuration,(ROW()-ROW(MSPTasks[[#Headers],[ID]]))))&amp;"d"))</f>
        <v/>
      </c>
      <c r="R66" s="24" t="str">
        <f aca="false">IF(IFERROR(INDEX(tsk_Name,(ROW()-ROW(MSPTasks[[#Headers],[ID]])))="",TRUE()),"",IF(INDEX(tsk_BaseWork,(ROW()-ROW(MSPTasks[[#Headers],[ID]])))="","",N(INDEX(tsk_BaseWork,(ROW()-ROW(MSPTasks[[#Headers],[ID]]))))&amp;"h"))</f>
        <v/>
      </c>
      <c r="S66" s="24" t="str">
        <f aca="false">IF(IFERROR(INDEX(tsk_Name,(ROW()-ROW(MSPTasks[[#Headers],[ID]])))="",TRUE()),"",IF(INDEX(tsk_BaseCost,(ROW()-ROW(MSPTasks[[#Headers],[ID]])))="","",N(INDEX(tsk_BaseCost,(ROW()-ROW(MSPTasks[[#Headers],[ID]]))))))</f>
        <v/>
      </c>
      <c r="T66" s="24" t="str">
        <f aca="false">IF(IFERROR(INDEX(tsk_Name,(ROW()-ROW(MSPTasks[[#Headers],[ID]])))="",TRUE()),"",IF(INDEX(tsk_IsSummary,(ROW()-ROW(MSPTasks[[#Headers],[ID]]))),"",IF(N(INDEX(tsk_ActCostInput,(ROW()-ROW(MSPTasks[[#Headers],[ID]]))))=0,"",INDEX(tsk_ActCostInput,(ROW()-ROW(MSPTasks[[#Headers],[ID]]))))))</f>
        <v/>
      </c>
      <c r="U66" s="24" t="str">
        <f aca="false">IF(IFERROR(INDEX(tsk_Name,(ROW()-ROW(MSPTasks[[#Headers],[ID]])))="",TRUE()),"",IF(INDEX(tsk_IsSummary,(ROW()-ROW(MSPTasks[[#Headers],[ID]]))),"",IF(AND(INDEX(tsk_Mode,(ROW()-ROW(MSPTasks[[#Headers],[ID]])))&lt;&gt;"Manual",N(INDEX(tsk_Constraint,(ROW()-ROW(MSPTasks[[#Headers],[ID]]))))&gt;0),"Start No Earlier Than","As Soon As Possible")))</f>
        <v/>
      </c>
      <c r="V66" s="127" t="str">
        <f aca="false">IF(IFERROR(INDEX(tsk_Name,(ROW()-ROW(MSPTasks[[#Headers],[ID]])))="",TRUE()),"",IF(OR(INDEX(tsk_IsSummary,(ROW()-ROW(MSPTasks[[#Headers],[ID]]))),INDEX(tsk_Mode,(ROW()-ROW(MSPTasks[[#Headers],[ID]])))="Manual"),"",IF(N(INDEX(tsk_Constraint,(ROW()-ROW(MSPTasks[[#Headers],[ID]]))))=0,"",INDEX(tsk_Constraint,(ROW()-ROW(MSPTasks[[#Headers],[ID]]))))))</f>
        <v/>
      </c>
      <c r="W66" s="127" t="str">
        <f aca="false">IF(IFERROR(INDEX(tsk_Name,(ROW()-ROW(MSPTasks[[#Headers],[ID]])))="",TRUE()),"",IF(N(INDEX(tsk_Deadline,(ROW()-ROW(MSPTasks[[#Headers],[ID]]))))=0,"",INDEX(tsk_Deadline,(ROW()-ROW(MSPTasks[[#Headers],[ID]])))))</f>
        <v/>
      </c>
      <c r="X66" s="24" t="str">
        <f aca="false">IF(IFERROR(INDEX(tsk_Name,(ROW()-ROW(MSPTasks[[#Headers],[ID]])))="",TRUE()),"",IF(INDEX(tsk_IsSummary,(ROW()-ROW(MSPTasks[[#Headers],[ID]]))),"",INDEX(tsk_Sprint,(ROW()-ROW(MSPTasks[[#Headers],[ID]])))&amp;""))</f>
        <v/>
      </c>
      <c r="Y66" s="24" t="str">
        <f aca="false">IF(IFERROR(INDEX(tsk_Name,(ROW()-ROW(MSPTasks[[#Headers],[ID]])))="",TRUE()),"",IF(INDEX(tsk_IsSummary,(ROW()-ROW(MSPTasks[[#Headers],[ID]]))),"",IF(N(INDEX(tsk_StoryPoints,(ROW()-ROW(MSPTasks[[#Headers],[ID]]))))=0,"",INDEX(tsk_StoryPoints,(ROW()-ROW(MSPTasks[[#Headers],[ID]]))))))</f>
        <v/>
      </c>
      <c r="Z66" s="24" t="str">
        <f aca="false">IF(IFERROR(INDEX(tsk_Name,(ROW()-ROW(MSPTasks[[#Headers],[ID]])))="",TRUE()),"",INDEX(tsk_Notes,(ROW()-ROW(MSPTasks[[#Headers],[ID]])))&amp;"")</f>
        <v/>
      </c>
    </row>
    <row r="67" customFormat="false" ht="15" hidden="false" customHeight="false" outlineLevel="0" collapsed="false">
      <c r="A67" s="24" t="str">
        <f aca="false">IF(IFERROR(INDEX(tsk_Name,(ROW()-ROW(MSPTasks[[#Headers],[ID]])))="",TRUE()),"",INDEX(tsk_ID,(ROW()-ROW(MSPTasks[[#Headers],[ID]]))))</f>
        <v/>
      </c>
      <c r="B67" s="24" t="str">
        <f aca="false">IF(IFERROR(INDEX(tsk_Name,(ROW()-ROW(MSPTasks[[#Headers],[ID]])))="",TRUE()),"",INDEX(tsk_UID,(ROW()-ROW(MSPTasks[[#Headers],[ID]]))))</f>
        <v/>
      </c>
      <c r="C67" s="24" t="str">
        <f aca="false">IF(IFERROR(INDEX(tsk_Name,(ROW()-ROW(MSPTasks[[#Headers],[ID]])))="",TRUE()),"",INDEX(tsk_Name,(ROW()-ROW(MSPTasks[[#Headers],[ID]]))))</f>
        <v/>
      </c>
      <c r="D67" s="24" t="str">
        <f aca="false">IF(IFERROR(INDEX(tsk_Name,(ROW()-ROW(MSPTasks[[#Headers],[ID]])))="",TRUE()),"",INDEX(tsk_Level,(ROW()-ROW(MSPTasks[[#Headers],[ID]]))))</f>
        <v/>
      </c>
      <c r="E67" s="24" t="str">
        <f aca="false">IF(IFERROR(INDEX(tsk_Name,(ROW()-ROW(MSPTasks[[#Headers],[ID]])))="",TRUE()),"",IF(INDEX(tsk_Mode,(ROW()-ROW(MSPTasks[[#Headers],[ID]])))="Manual","Manually Scheduled","Auto Scheduled"))</f>
        <v/>
      </c>
      <c r="F67" s="24" t="str">
        <f aca="false">IF(IFERROR(INDEX(tsk_Name,(ROW()-ROW(MSPTasks[[#Headers],[ID]])))="",TRUE()),"",IF(INDEX(tsk_IsSummary,(ROW()-ROW(MSPTasks[[#Headers],[ID]]))),"",N(INDEX(tsk_Duration,(ROW()-ROW(MSPTasks[[#Headers],[ID]]))))&amp;"d"))</f>
        <v/>
      </c>
      <c r="G67" s="127" t="str">
        <f aca="false">IF(IFERROR(INDEX(tsk_Name,(ROW()-ROW(MSPTasks[[#Headers],[ID]])))="",TRUE()),"",INDEX(tsk_FcStart,(ROW()-ROW(MSPTasks[[#Headers],[ID]]))))</f>
        <v/>
      </c>
      <c r="H67" s="127" t="str">
        <f aca="false">IF(IFERROR(INDEX(tsk_Name,(ROW()-ROW(MSPTasks[[#Headers],[ID]])))="",TRUE()),"",INDEX(tsk_FcFinish,(ROW()-ROW(MSPTasks[[#Headers],[ID]]))))</f>
        <v/>
      </c>
      <c r="I67" s="24" t="str">
        <f aca="false">IF(IFERROR(INDEX(tsk_Name,(ROW()-ROW(MSPTasks[[#Headers],[ID]])))="",TRUE()),"",IF(INDEX(tsk_IsSummary,(ROW()-ROW(MSPTasks[[#Headers],[ID]]))),"",INDEX(tsk_Predecessors,(ROW()-ROW(MSPTasks[[#Headers],[ID]])))))</f>
        <v/>
      </c>
      <c r="J67" s="24" t="str">
        <f aca="false">IF(IFERROR(INDEX(tsk_Name,(ROW()-ROW(MSPTasks[[#Headers],[ID]])))="",TRUE()),"",IF(INDEX(tsk_IsSummary,(ROW()-ROW(MSPTasks[[#Headers],[ID]]))),"",INDEX(tsk_UIDPredecessors,(ROW()-ROW(MSPTasks[[#Headers],[ID]])))))</f>
        <v/>
      </c>
      <c r="K6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7" s="24" t="str">
        <f aca="false">IF(IFERROR(INDEX(tsk_Name,(ROW()-ROW(MSPTasks[[#Headers],[ID]])))="",TRUE()),"",IF(INDEX(tsk_IsSummary,(ROW()-ROW(MSPTasks[[#Headers],[ID]]))),"",ROUND(INDEX(tsk_Progress,(ROW()-ROW(MSPTasks[[#Headers],[ID]])))*100,0)))</f>
        <v/>
      </c>
      <c r="M67" s="127" t="str">
        <f aca="false">IF(IFERROR(INDEX(tsk_Name,(ROW()-ROW(MSPTasks[[#Headers],[ID]])))="",TRUE()),"",IF(N(INDEX(tsk_ActStart,(ROW()-ROW(MSPTasks[[#Headers],[ID]]))))=0,"",INDEX(tsk_ActStart,(ROW()-ROW(MSPTasks[[#Headers],[ID]])))))</f>
        <v/>
      </c>
      <c r="N67" s="127" t="str">
        <f aca="false">IF(IFERROR(INDEX(tsk_Name,(ROW()-ROW(MSPTasks[[#Headers],[ID]])))="",TRUE()),"",IF(N(INDEX(tsk_ActFinish,(ROW()-ROW(MSPTasks[[#Headers],[ID]]))))=0,"",INDEX(tsk_ActFinish,(ROW()-ROW(MSPTasks[[#Headers],[ID]])))))</f>
        <v/>
      </c>
      <c r="O67" s="127" t="str">
        <f aca="false">IF(IFERROR(INDEX(tsk_Name,(ROW()-ROW(MSPTasks[[#Headers],[ID]])))="",TRUE()),"",INDEX(tsk_PlanStart,(ROW()-ROW(MSPTasks[[#Headers],[ID]]))))</f>
        <v/>
      </c>
      <c r="P67" s="127" t="str">
        <f aca="false">IF(IFERROR(INDEX(tsk_Name,(ROW()-ROW(MSPTasks[[#Headers],[ID]])))="",TRUE()),"",INDEX(tsk_PlanFinish,(ROW()-ROW(MSPTasks[[#Headers],[ID]]))))</f>
        <v/>
      </c>
      <c r="Q67" s="24" t="str">
        <f aca="false">IF(IFERROR(INDEX(tsk_Name,(ROW()-ROW(MSPTasks[[#Headers],[ID]])))="",TRUE()),"",IF(INDEX(tsk_BaseDuration,(ROW()-ROW(MSPTasks[[#Headers],[ID]])))="","",N(INDEX(tsk_BaseDuration,(ROW()-ROW(MSPTasks[[#Headers],[ID]]))))&amp;"d"))</f>
        <v/>
      </c>
      <c r="R67" s="24" t="str">
        <f aca="false">IF(IFERROR(INDEX(tsk_Name,(ROW()-ROW(MSPTasks[[#Headers],[ID]])))="",TRUE()),"",IF(INDEX(tsk_BaseWork,(ROW()-ROW(MSPTasks[[#Headers],[ID]])))="","",N(INDEX(tsk_BaseWork,(ROW()-ROW(MSPTasks[[#Headers],[ID]]))))&amp;"h"))</f>
        <v/>
      </c>
      <c r="S67" s="24" t="str">
        <f aca="false">IF(IFERROR(INDEX(tsk_Name,(ROW()-ROW(MSPTasks[[#Headers],[ID]])))="",TRUE()),"",IF(INDEX(tsk_BaseCost,(ROW()-ROW(MSPTasks[[#Headers],[ID]])))="","",N(INDEX(tsk_BaseCost,(ROW()-ROW(MSPTasks[[#Headers],[ID]]))))))</f>
        <v/>
      </c>
      <c r="T67" s="24" t="str">
        <f aca="false">IF(IFERROR(INDEX(tsk_Name,(ROW()-ROW(MSPTasks[[#Headers],[ID]])))="",TRUE()),"",IF(INDEX(tsk_IsSummary,(ROW()-ROW(MSPTasks[[#Headers],[ID]]))),"",IF(N(INDEX(tsk_ActCostInput,(ROW()-ROW(MSPTasks[[#Headers],[ID]]))))=0,"",INDEX(tsk_ActCostInput,(ROW()-ROW(MSPTasks[[#Headers],[ID]]))))))</f>
        <v/>
      </c>
      <c r="U67" s="24" t="str">
        <f aca="false">IF(IFERROR(INDEX(tsk_Name,(ROW()-ROW(MSPTasks[[#Headers],[ID]])))="",TRUE()),"",IF(INDEX(tsk_IsSummary,(ROW()-ROW(MSPTasks[[#Headers],[ID]]))),"",IF(AND(INDEX(tsk_Mode,(ROW()-ROW(MSPTasks[[#Headers],[ID]])))&lt;&gt;"Manual",N(INDEX(tsk_Constraint,(ROW()-ROW(MSPTasks[[#Headers],[ID]]))))&gt;0),"Start No Earlier Than","As Soon As Possible")))</f>
        <v/>
      </c>
      <c r="V67" s="127" t="str">
        <f aca="false">IF(IFERROR(INDEX(tsk_Name,(ROW()-ROW(MSPTasks[[#Headers],[ID]])))="",TRUE()),"",IF(OR(INDEX(tsk_IsSummary,(ROW()-ROW(MSPTasks[[#Headers],[ID]]))),INDEX(tsk_Mode,(ROW()-ROW(MSPTasks[[#Headers],[ID]])))="Manual"),"",IF(N(INDEX(tsk_Constraint,(ROW()-ROW(MSPTasks[[#Headers],[ID]]))))=0,"",INDEX(tsk_Constraint,(ROW()-ROW(MSPTasks[[#Headers],[ID]]))))))</f>
        <v/>
      </c>
      <c r="W67" s="127" t="str">
        <f aca="false">IF(IFERROR(INDEX(tsk_Name,(ROW()-ROW(MSPTasks[[#Headers],[ID]])))="",TRUE()),"",IF(N(INDEX(tsk_Deadline,(ROW()-ROW(MSPTasks[[#Headers],[ID]]))))=0,"",INDEX(tsk_Deadline,(ROW()-ROW(MSPTasks[[#Headers],[ID]])))))</f>
        <v/>
      </c>
      <c r="X67" s="24" t="str">
        <f aca="false">IF(IFERROR(INDEX(tsk_Name,(ROW()-ROW(MSPTasks[[#Headers],[ID]])))="",TRUE()),"",IF(INDEX(tsk_IsSummary,(ROW()-ROW(MSPTasks[[#Headers],[ID]]))),"",INDEX(tsk_Sprint,(ROW()-ROW(MSPTasks[[#Headers],[ID]])))&amp;""))</f>
        <v/>
      </c>
      <c r="Y67" s="24" t="str">
        <f aca="false">IF(IFERROR(INDEX(tsk_Name,(ROW()-ROW(MSPTasks[[#Headers],[ID]])))="",TRUE()),"",IF(INDEX(tsk_IsSummary,(ROW()-ROW(MSPTasks[[#Headers],[ID]]))),"",IF(N(INDEX(tsk_StoryPoints,(ROW()-ROW(MSPTasks[[#Headers],[ID]]))))=0,"",INDEX(tsk_StoryPoints,(ROW()-ROW(MSPTasks[[#Headers],[ID]]))))))</f>
        <v/>
      </c>
      <c r="Z67" s="24" t="str">
        <f aca="false">IF(IFERROR(INDEX(tsk_Name,(ROW()-ROW(MSPTasks[[#Headers],[ID]])))="",TRUE()),"",INDEX(tsk_Notes,(ROW()-ROW(MSPTasks[[#Headers],[ID]])))&amp;"")</f>
        <v/>
      </c>
    </row>
    <row r="68" customFormat="false" ht="15" hidden="false" customHeight="false" outlineLevel="0" collapsed="false">
      <c r="A68" s="24" t="str">
        <f aca="false">IF(IFERROR(INDEX(tsk_Name,(ROW()-ROW(MSPTasks[[#Headers],[ID]])))="",TRUE()),"",INDEX(tsk_ID,(ROW()-ROW(MSPTasks[[#Headers],[ID]]))))</f>
        <v/>
      </c>
      <c r="B68" s="24" t="str">
        <f aca="false">IF(IFERROR(INDEX(tsk_Name,(ROW()-ROW(MSPTasks[[#Headers],[ID]])))="",TRUE()),"",INDEX(tsk_UID,(ROW()-ROW(MSPTasks[[#Headers],[ID]]))))</f>
        <v/>
      </c>
      <c r="C68" s="24" t="str">
        <f aca="false">IF(IFERROR(INDEX(tsk_Name,(ROW()-ROW(MSPTasks[[#Headers],[ID]])))="",TRUE()),"",INDEX(tsk_Name,(ROW()-ROW(MSPTasks[[#Headers],[ID]]))))</f>
        <v/>
      </c>
      <c r="D68" s="24" t="str">
        <f aca="false">IF(IFERROR(INDEX(tsk_Name,(ROW()-ROW(MSPTasks[[#Headers],[ID]])))="",TRUE()),"",INDEX(tsk_Level,(ROW()-ROW(MSPTasks[[#Headers],[ID]]))))</f>
        <v/>
      </c>
      <c r="E68" s="24" t="str">
        <f aca="false">IF(IFERROR(INDEX(tsk_Name,(ROW()-ROW(MSPTasks[[#Headers],[ID]])))="",TRUE()),"",IF(INDEX(tsk_Mode,(ROW()-ROW(MSPTasks[[#Headers],[ID]])))="Manual","Manually Scheduled","Auto Scheduled"))</f>
        <v/>
      </c>
      <c r="F68" s="24" t="str">
        <f aca="false">IF(IFERROR(INDEX(tsk_Name,(ROW()-ROW(MSPTasks[[#Headers],[ID]])))="",TRUE()),"",IF(INDEX(tsk_IsSummary,(ROW()-ROW(MSPTasks[[#Headers],[ID]]))),"",N(INDEX(tsk_Duration,(ROW()-ROW(MSPTasks[[#Headers],[ID]]))))&amp;"d"))</f>
        <v/>
      </c>
      <c r="G68" s="127" t="str">
        <f aca="false">IF(IFERROR(INDEX(tsk_Name,(ROW()-ROW(MSPTasks[[#Headers],[ID]])))="",TRUE()),"",INDEX(tsk_FcStart,(ROW()-ROW(MSPTasks[[#Headers],[ID]]))))</f>
        <v/>
      </c>
      <c r="H68" s="127" t="str">
        <f aca="false">IF(IFERROR(INDEX(tsk_Name,(ROW()-ROW(MSPTasks[[#Headers],[ID]])))="",TRUE()),"",INDEX(tsk_FcFinish,(ROW()-ROW(MSPTasks[[#Headers],[ID]]))))</f>
        <v/>
      </c>
      <c r="I68" s="24" t="str">
        <f aca="false">IF(IFERROR(INDEX(tsk_Name,(ROW()-ROW(MSPTasks[[#Headers],[ID]])))="",TRUE()),"",IF(INDEX(tsk_IsSummary,(ROW()-ROW(MSPTasks[[#Headers],[ID]]))),"",INDEX(tsk_Predecessors,(ROW()-ROW(MSPTasks[[#Headers],[ID]])))))</f>
        <v/>
      </c>
      <c r="J68" s="24" t="str">
        <f aca="false">IF(IFERROR(INDEX(tsk_Name,(ROW()-ROW(MSPTasks[[#Headers],[ID]])))="",TRUE()),"",IF(INDEX(tsk_IsSummary,(ROW()-ROW(MSPTasks[[#Headers],[ID]]))),"",INDEX(tsk_UIDPredecessors,(ROW()-ROW(MSPTasks[[#Headers],[ID]])))))</f>
        <v/>
      </c>
      <c r="K6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8" s="24" t="str">
        <f aca="false">IF(IFERROR(INDEX(tsk_Name,(ROW()-ROW(MSPTasks[[#Headers],[ID]])))="",TRUE()),"",IF(INDEX(tsk_IsSummary,(ROW()-ROW(MSPTasks[[#Headers],[ID]]))),"",ROUND(INDEX(tsk_Progress,(ROW()-ROW(MSPTasks[[#Headers],[ID]])))*100,0)))</f>
        <v/>
      </c>
      <c r="M68" s="127" t="str">
        <f aca="false">IF(IFERROR(INDEX(tsk_Name,(ROW()-ROW(MSPTasks[[#Headers],[ID]])))="",TRUE()),"",IF(N(INDEX(tsk_ActStart,(ROW()-ROW(MSPTasks[[#Headers],[ID]]))))=0,"",INDEX(tsk_ActStart,(ROW()-ROW(MSPTasks[[#Headers],[ID]])))))</f>
        <v/>
      </c>
      <c r="N68" s="127" t="str">
        <f aca="false">IF(IFERROR(INDEX(tsk_Name,(ROW()-ROW(MSPTasks[[#Headers],[ID]])))="",TRUE()),"",IF(N(INDEX(tsk_ActFinish,(ROW()-ROW(MSPTasks[[#Headers],[ID]]))))=0,"",INDEX(tsk_ActFinish,(ROW()-ROW(MSPTasks[[#Headers],[ID]])))))</f>
        <v/>
      </c>
      <c r="O68" s="127" t="str">
        <f aca="false">IF(IFERROR(INDEX(tsk_Name,(ROW()-ROW(MSPTasks[[#Headers],[ID]])))="",TRUE()),"",INDEX(tsk_PlanStart,(ROW()-ROW(MSPTasks[[#Headers],[ID]]))))</f>
        <v/>
      </c>
      <c r="P68" s="127" t="str">
        <f aca="false">IF(IFERROR(INDEX(tsk_Name,(ROW()-ROW(MSPTasks[[#Headers],[ID]])))="",TRUE()),"",INDEX(tsk_PlanFinish,(ROW()-ROW(MSPTasks[[#Headers],[ID]]))))</f>
        <v/>
      </c>
      <c r="Q68" s="24" t="str">
        <f aca="false">IF(IFERROR(INDEX(tsk_Name,(ROW()-ROW(MSPTasks[[#Headers],[ID]])))="",TRUE()),"",IF(INDEX(tsk_BaseDuration,(ROW()-ROW(MSPTasks[[#Headers],[ID]])))="","",N(INDEX(tsk_BaseDuration,(ROW()-ROW(MSPTasks[[#Headers],[ID]]))))&amp;"d"))</f>
        <v/>
      </c>
      <c r="R68" s="24" t="str">
        <f aca="false">IF(IFERROR(INDEX(tsk_Name,(ROW()-ROW(MSPTasks[[#Headers],[ID]])))="",TRUE()),"",IF(INDEX(tsk_BaseWork,(ROW()-ROW(MSPTasks[[#Headers],[ID]])))="","",N(INDEX(tsk_BaseWork,(ROW()-ROW(MSPTasks[[#Headers],[ID]]))))&amp;"h"))</f>
        <v/>
      </c>
      <c r="S68" s="24" t="str">
        <f aca="false">IF(IFERROR(INDEX(tsk_Name,(ROW()-ROW(MSPTasks[[#Headers],[ID]])))="",TRUE()),"",IF(INDEX(tsk_BaseCost,(ROW()-ROW(MSPTasks[[#Headers],[ID]])))="","",N(INDEX(tsk_BaseCost,(ROW()-ROW(MSPTasks[[#Headers],[ID]]))))))</f>
        <v/>
      </c>
      <c r="T68" s="24" t="str">
        <f aca="false">IF(IFERROR(INDEX(tsk_Name,(ROW()-ROW(MSPTasks[[#Headers],[ID]])))="",TRUE()),"",IF(INDEX(tsk_IsSummary,(ROW()-ROW(MSPTasks[[#Headers],[ID]]))),"",IF(N(INDEX(tsk_ActCostInput,(ROW()-ROW(MSPTasks[[#Headers],[ID]]))))=0,"",INDEX(tsk_ActCostInput,(ROW()-ROW(MSPTasks[[#Headers],[ID]]))))))</f>
        <v/>
      </c>
      <c r="U68" s="24" t="str">
        <f aca="false">IF(IFERROR(INDEX(tsk_Name,(ROW()-ROW(MSPTasks[[#Headers],[ID]])))="",TRUE()),"",IF(INDEX(tsk_IsSummary,(ROW()-ROW(MSPTasks[[#Headers],[ID]]))),"",IF(AND(INDEX(tsk_Mode,(ROW()-ROW(MSPTasks[[#Headers],[ID]])))&lt;&gt;"Manual",N(INDEX(tsk_Constraint,(ROW()-ROW(MSPTasks[[#Headers],[ID]]))))&gt;0),"Start No Earlier Than","As Soon As Possible")))</f>
        <v/>
      </c>
      <c r="V68" s="127" t="str">
        <f aca="false">IF(IFERROR(INDEX(tsk_Name,(ROW()-ROW(MSPTasks[[#Headers],[ID]])))="",TRUE()),"",IF(OR(INDEX(tsk_IsSummary,(ROW()-ROW(MSPTasks[[#Headers],[ID]]))),INDEX(tsk_Mode,(ROW()-ROW(MSPTasks[[#Headers],[ID]])))="Manual"),"",IF(N(INDEX(tsk_Constraint,(ROW()-ROW(MSPTasks[[#Headers],[ID]]))))=0,"",INDEX(tsk_Constraint,(ROW()-ROW(MSPTasks[[#Headers],[ID]]))))))</f>
        <v/>
      </c>
      <c r="W68" s="127" t="str">
        <f aca="false">IF(IFERROR(INDEX(tsk_Name,(ROW()-ROW(MSPTasks[[#Headers],[ID]])))="",TRUE()),"",IF(N(INDEX(tsk_Deadline,(ROW()-ROW(MSPTasks[[#Headers],[ID]]))))=0,"",INDEX(tsk_Deadline,(ROW()-ROW(MSPTasks[[#Headers],[ID]])))))</f>
        <v/>
      </c>
      <c r="X68" s="24" t="str">
        <f aca="false">IF(IFERROR(INDEX(tsk_Name,(ROW()-ROW(MSPTasks[[#Headers],[ID]])))="",TRUE()),"",IF(INDEX(tsk_IsSummary,(ROW()-ROW(MSPTasks[[#Headers],[ID]]))),"",INDEX(tsk_Sprint,(ROW()-ROW(MSPTasks[[#Headers],[ID]])))&amp;""))</f>
        <v/>
      </c>
      <c r="Y68" s="24" t="str">
        <f aca="false">IF(IFERROR(INDEX(tsk_Name,(ROW()-ROW(MSPTasks[[#Headers],[ID]])))="",TRUE()),"",IF(INDEX(tsk_IsSummary,(ROW()-ROW(MSPTasks[[#Headers],[ID]]))),"",IF(N(INDEX(tsk_StoryPoints,(ROW()-ROW(MSPTasks[[#Headers],[ID]]))))=0,"",INDEX(tsk_StoryPoints,(ROW()-ROW(MSPTasks[[#Headers],[ID]]))))))</f>
        <v/>
      </c>
      <c r="Z68" s="24" t="str">
        <f aca="false">IF(IFERROR(INDEX(tsk_Name,(ROW()-ROW(MSPTasks[[#Headers],[ID]])))="",TRUE()),"",INDEX(tsk_Notes,(ROW()-ROW(MSPTasks[[#Headers],[ID]])))&amp;"")</f>
        <v/>
      </c>
    </row>
    <row r="69" customFormat="false" ht="15" hidden="false" customHeight="false" outlineLevel="0" collapsed="false">
      <c r="A69" s="24" t="str">
        <f aca="false">IF(IFERROR(INDEX(tsk_Name,(ROW()-ROW(MSPTasks[[#Headers],[ID]])))="",TRUE()),"",INDEX(tsk_ID,(ROW()-ROW(MSPTasks[[#Headers],[ID]]))))</f>
        <v/>
      </c>
      <c r="B69" s="24" t="str">
        <f aca="false">IF(IFERROR(INDEX(tsk_Name,(ROW()-ROW(MSPTasks[[#Headers],[ID]])))="",TRUE()),"",INDEX(tsk_UID,(ROW()-ROW(MSPTasks[[#Headers],[ID]]))))</f>
        <v/>
      </c>
      <c r="C69" s="24" t="str">
        <f aca="false">IF(IFERROR(INDEX(tsk_Name,(ROW()-ROW(MSPTasks[[#Headers],[ID]])))="",TRUE()),"",INDEX(tsk_Name,(ROW()-ROW(MSPTasks[[#Headers],[ID]]))))</f>
        <v/>
      </c>
      <c r="D69" s="24" t="str">
        <f aca="false">IF(IFERROR(INDEX(tsk_Name,(ROW()-ROW(MSPTasks[[#Headers],[ID]])))="",TRUE()),"",INDEX(tsk_Level,(ROW()-ROW(MSPTasks[[#Headers],[ID]]))))</f>
        <v/>
      </c>
      <c r="E69" s="24" t="str">
        <f aca="false">IF(IFERROR(INDEX(tsk_Name,(ROW()-ROW(MSPTasks[[#Headers],[ID]])))="",TRUE()),"",IF(INDEX(tsk_Mode,(ROW()-ROW(MSPTasks[[#Headers],[ID]])))="Manual","Manually Scheduled","Auto Scheduled"))</f>
        <v/>
      </c>
      <c r="F69" s="24" t="str">
        <f aca="false">IF(IFERROR(INDEX(tsk_Name,(ROW()-ROW(MSPTasks[[#Headers],[ID]])))="",TRUE()),"",IF(INDEX(tsk_IsSummary,(ROW()-ROW(MSPTasks[[#Headers],[ID]]))),"",N(INDEX(tsk_Duration,(ROW()-ROW(MSPTasks[[#Headers],[ID]]))))&amp;"d"))</f>
        <v/>
      </c>
      <c r="G69" s="127" t="str">
        <f aca="false">IF(IFERROR(INDEX(tsk_Name,(ROW()-ROW(MSPTasks[[#Headers],[ID]])))="",TRUE()),"",INDEX(tsk_FcStart,(ROW()-ROW(MSPTasks[[#Headers],[ID]]))))</f>
        <v/>
      </c>
      <c r="H69" s="127" t="str">
        <f aca="false">IF(IFERROR(INDEX(tsk_Name,(ROW()-ROW(MSPTasks[[#Headers],[ID]])))="",TRUE()),"",INDEX(tsk_FcFinish,(ROW()-ROW(MSPTasks[[#Headers],[ID]]))))</f>
        <v/>
      </c>
      <c r="I69" s="24" t="str">
        <f aca="false">IF(IFERROR(INDEX(tsk_Name,(ROW()-ROW(MSPTasks[[#Headers],[ID]])))="",TRUE()),"",IF(INDEX(tsk_IsSummary,(ROW()-ROW(MSPTasks[[#Headers],[ID]]))),"",INDEX(tsk_Predecessors,(ROW()-ROW(MSPTasks[[#Headers],[ID]])))))</f>
        <v/>
      </c>
      <c r="J69" s="24" t="str">
        <f aca="false">IF(IFERROR(INDEX(tsk_Name,(ROW()-ROW(MSPTasks[[#Headers],[ID]])))="",TRUE()),"",IF(INDEX(tsk_IsSummary,(ROW()-ROW(MSPTasks[[#Headers],[ID]]))),"",INDEX(tsk_UIDPredecessors,(ROW()-ROW(MSPTasks[[#Headers],[ID]])))))</f>
        <v/>
      </c>
      <c r="K6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9" s="24" t="str">
        <f aca="false">IF(IFERROR(INDEX(tsk_Name,(ROW()-ROW(MSPTasks[[#Headers],[ID]])))="",TRUE()),"",IF(INDEX(tsk_IsSummary,(ROW()-ROW(MSPTasks[[#Headers],[ID]]))),"",ROUND(INDEX(tsk_Progress,(ROW()-ROW(MSPTasks[[#Headers],[ID]])))*100,0)))</f>
        <v/>
      </c>
      <c r="M69" s="127" t="str">
        <f aca="false">IF(IFERROR(INDEX(tsk_Name,(ROW()-ROW(MSPTasks[[#Headers],[ID]])))="",TRUE()),"",IF(N(INDEX(tsk_ActStart,(ROW()-ROW(MSPTasks[[#Headers],[ID]]))))=0,"",INDEX(tsk_ActStart,(ROW()-ROW(MSPTasks[[#Headers],[ID]])))))</f>
        <v/>
      </c>
      <c r="N69" s="127" t="str">
        <f aca="false">IF(IFERROR(INDEX(tsk_Name,(ROW()-ROW(MSPTasks[[#Headers],[ID]])))="",TRUE()),"",IF(N(INDEX(tsk_ActFinish,(ROW()-ROW(MSPTasks[[#Headers],[ID]]))))=0,"",INDEX(tsk_ActFinish,(ROW()-ROW(MSPTasks[[#Headers],[ID]])))))</f>
        <v/>
      </c>
      <c r="O69" s="127" t="str">
        <f aca="false">IF(IFERROR(INDEX(tsk_Name,(ROW()-ROW(MSPTasks[[#Headers],[ID]])))="",TRUE()),"",INDEX(tsk_PlanStart,(ROW()-ROW(MSPTasks[[#Headers],[ID]]))))</f>
        <v/>
      </c>
      <c r="P69" s="127" t="str">
        <f aca="false">IF(IFERROR(INDEX(tsk_Name,(ROW()-ROW(MSPTasks[[#Headers],[ID]])))="",TRUE()),"",INDEX(tsk_PlanFinish,(ROW()-ROW(MSPTasks[[#Headers],[ID]]))))</f>
        <v/>
      </c>
      <c r="Q69" s="24" t="str">
        <f aca="false">IF(IFERROR(INDEX(tsk_Name,(ROW()-ROW(MSPTasks[[#Headers],[ID]])))="",TRUE()),"",IF(INDEX(tsk_BaseDuration,(ROW()-ROW(MSPTasks[[#Headers],[ID]])))="","",N(INDEX(tsk_BaseDuration,(ROW()-ROW(MSPTasks[[#Headers],[ID]]))))&amp;"d"))</f>
        <v/>
      </c>
      <c r="R69" s="24" t="str">
        <f aca="false">IF(IFERROR(INDEX(tsk_Name,(ROW()-ROW(MSPTasks[[#Headers],[ID]])))="",TRUE()),"",IF(INDEX(tsk_BaseWork,(ROW()-ROW(MSPTasks[[#Headers],[ID]])))="","",N(INDEX(tsk_BaseWork,(ROW()-ROW(MSPTasks[[#Headers],[ID]]))))&amp;"h"))</f>
        <v/>
      </c>
      <c r="S69" s="24" t="str">
        <f aca="false">IF(IFERROR(INDEX(tsk_Name,(ROW()-ROW(MSPTasks[[#Headers],[ID]])))="",TRUE()),"",IF(INDEX(tsk_BaseCost,(ROW()-ROW(MSPTasks[[#Headers],[ID]])))="","",N(INDEX(tsk_BaseCost,(ROW()-ROW(MSPTasks[[#Headers],[ID]]))))))</f>
        <v/>
      </c>
      <c r="T69" s="24" t="str">
        <f aca="false">IF(IFERROR(INDEX(tsk_Name,(ROW()-ROW(MSPTasks[[#Headers],[ID]])))="",TRUE()),"",IF(INDEX(tsk_IsSummary,(ROW()-ROW(MSPTasks[[#Headers],[ID]]))),"",IF(N(INDEX(tsk_ActCostInput,(ROW()-ROW(MSPTasks[[#Headers],[ID]]))))=0,"",INDEX(tsk_ActCostInput,(ROW()-ROW(MSPTasks[[#Headers],[ID]]))))))</f>
        <v/>
      </c>
      <c r="U69" s="24" t="str">
        <f aca="false">IF(IFERROR(INDEX(tsk_Name,(ROW()-ROW(MSPTasks[[#Headers],[ID]])))="",TRUE()),"",IF(INDEX(tsk_IsSummary,(ROW()-ROW(MSPTasks[[#Headers],[ID]]))),"",IF(AND(INDEX(tsk_Mode,(ROW()-ROW(MSPTasks[[#Headers],[ID]])))&lt;&gt;"Manual",N(INDEX(tsk_Constraint,(ROW()-ROW(MSPTasks[[#Headers],[ID]]))))&gt;0),"Start No Earlier Than","As Soon As Possible")))</f>
        <v/>
      </c>
      <c r="V69" s="127" t="str">
        <f aca="false">IF(IFERROR(INDEX(tsk_Name,(ROW()-ROW(MSPTasks[[#Headers],[ID]])))="",TRUE()),"",IF(OR(INDEX(tsk_IsSummary,(ROW()-ROW(MSPTasks[[#Headers],[ID]]))),INDEX(tsk_Mode,(ROW()-ROW(MSPTasks[[#Headers],[ID]])))="Manual"),"",IF(N(INDEX(tsk_Constraint,(ROW()-ROW(MSPTasks[[#Headers],[ID]]))))=0,"",INDEX(tsk_Constraint,(ROW()-ROW(MSPTasks[[#Headers],[ID]]))))))</f>
        <v/>
      </c>
      <c r="W69" s="127" t="str">
        <f aca="false">IF(IFERROR(INDEX(tsk_Name,(ROW()-ROW(MSPTasks[[#Headers],[ID]])))="",TRUE()),"",IF(N(INDEX(tsk_Deadline,(ROW()-ROW(MSPTasks[[#Headers],[ID]]))))=0,"",INDEX(tsk_Deadline,(ROW()-ROW(MSPTasks[[#Headers],[ID]])))))</f>
        <v/>
      </c>
      <c r="X69" s="24" t="str">
        <f aca="false">IF(IFERROR(INDEX(tsk_Name,(ROW()-ROW(MSPTasks[[#Headers],[ID]])))="",TRUE()),"",IF(INDEX(tsk_IsSummary,(ROW()-ROW(MSPTasks[[#Headers],[ID]]))),"",INDEX(tsk_Sprint,(ROW()-ROW(MSPTasks[[#Headers],[ID]])))&amp;""))</f>
        <v/>
      </c>
      <c r="Y69" s="24" t="str">
        <f aca="false">IF(IFERROR(INDEX(tsk_Name,(ROW()-ROW(MSPTasks[[#Headers],[ID]])))="",TRUE()),"",IF(INDEX(tsk_IsSummary,(ROW()-ROW(MSPTasks[[#Headers],[ID]]))),"",IF(N(INDEX(tsk_StoryPoints,(ROW()-ROW(MSPTasks[[#Headers],[ID]]))))=0,"",INDEX(tsk_StoryPoints,(ROW()-ROW(MSPTasks[[#Headers],[ID]]))))))</f>
        <v/>
      </c>
      <c r="Z69" s="24" t="str">
        <f aca="false">IF(IFERROR(INDEX(tsk_Name,(ROW()-ROW(MSPTasks[[#Headers],[ID]])))="",TRUE()),"",INDEX(tsk_Notes,(ROW()-ROW(MSPTasks[[#Headers],[ID]])))&amp;"")</f>
        <v/>
      </c>
    </row>
    <row r="70" customFormat="false" ht="15" hidden="false" customHeight="false" outlineLevel="0" collapsed="false">
      <c r="A70" s="24" t="str">
        <f aca="false">IF(IFERROR(INDEX(tsk_Name,(ROW()-ROW(MSPTasks[[#Headers],[ID]])))="",TRUE()),"",INDEX(tsk_ID,(ROW()-ROW(MSPTasks[[#Headers],[ID]]))))</f>
        <v/>
      </c>
      <c r="B70" s="24" t="str">
        <f aca="false">IF(IFERROR(INDEX(tsk_Name,(ROW()-ROW(MSPTasks[[#Headers],[ID]])))="",TRUE()),"",INDEX(tsk_UID,(ROW()-ROW(MSPTasks[[#Headers],[ID]]))))</f>
        <v/>
      </c>
      <c r="C70" s="24" t="str">
        <f aca="false">IF(IFERROR(INDEX(tsk_Name,(ROW()-ROW(MSPTasks[[#Headers],[ID]])))="",TRUE()),"",INDEX(tsk_Name,(ROW()-ROW(MSPTasks[[#Headers],[ID]]))))</f>
        <v/>
      </c>
      <c r="D70" s="24" t="str">
        <f aca="false">IF(IFERROR(INDEX(tsk_Name,(ROW()-ROW(MSPTasks[[#Headers],[ID]])))="",TRUE()),"",INDEX(tsk_Level,(ROW()-ROW(MSPTasks[[#Headers],[ID]]))))</f>
        <v/>
      </c>
      <c r="E70" s="24" t="str">
        <f aca="false">IF(IFERROR(INDEX(tsk_Name,(ROW()-ROW(MSPTasks[[#Headers],[ID]])))="",TRUE()),"",IF(INDEX(tsk_Mode,(ROW()-ROW(MSPTasks[[#Headers],[ID]])))="Manual","Manually Scheduled","Auto Scheduled"))</f>
        <v/>
      </c>
      <c r="F70" s="24" t="str">
        <f aca="false">IF(IFERROR(INDEX(tsk_Name,(ROW()-ROW(MSPTasks[[#Headers],[ID]])))="",TRUE()),"",IF(INDEX(tsk_IsSummary,(ROW()-ROW(MSPTasks[[#Headers],[ID]]))),"",N(INDEX(tsk_Duration,(ROW()-ROW(MSPTasks[[#Headers],[ID]]))))&amp;"d"))</f>
        <v/>
      </c>
      <c r="G70" s="127" t="str">
        <f aca="false">IF(IFERROR(INDEX(tsk_Name,(ROW()-ROW(MSPTasks[[#Headers],[ID]])))="",TRUE()),"",INDEX(tsk_FcStart,(ROW()-ROW(MSPTasks[[#Headers],[ID]]))))</f>
        <v/>
      </c>
      <c r="H70" s="127" t="str">
        <f aca="false">IF(IFERROR(INDEX(tsk_Name,(ROW()-ROW(MSPTasks[[#Headers],[ID]])))="",TRUE()),"",INDEX(tsk_FcFinish,(ROW()-ROW(MSPTasks[[#Headers],[ID]]))))</f>
        <v/>
      </c>
      <c r="I70" s="24" t="str">
        <f aca="false">IF(IFERROR(INDEX(tsk_Name,(ROW()-ROW(MSPTasks[[#Headers],[ID]])))="",TRUE()),"",IF(INDEX(tsk_IsSummary,(ROW()-ROW(MSPTasks[[#Headers],[ID]]))),"",INDEX(tsk_Predecessors,(ROW()-ROW(MSPTasks[[#Headers],[ID]])))))</f>
        <v/>
      </c>
      <c r="J70" s="24" t="str">
        <f aca="false">IF(IFERROR(INDEX(tsk_Name,(ROW()-ROW(MSPTasks[[#Headers],[ID]])))="",TRUE()),"",IF(INDEX(tsk_IsSummary,(ROW()-ROW(MSPTasks[[#Headers],[ID]]))),"",INDEX(tsk_UIDPredecessors,(ROW()-ROW(MSPTasks[[#Headers],[ID]])))))</f>
        <v/>
      </c>
      <c r="K7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0" s="24" t="str">
        <f aca="false">IF(IFERROR(INDEX(tsk_Name,(ROW()-ROW(MSPTasks[[#Headers],[ID]])))="",TRUE()),"",IF(INDEX(tsk_IsSummary,(ROW()-ROW(MSPTasks[[#Headers],[ID]]))),"",ROUND(INDEX(tsk_Progress,(ROW()-ROW(MSPTasks[[#Headers],[ID]])))*100,0)))</f>
        <v/>
      </c>
      <c r="M70" s="127" t="str">
        <f aca="false">IF(IFERROR(INDEX(tsk_Name,(ROW()-ROW(MSPTasks[[#Headers],[ID]])))="",TRUE()),"",IF(N(INDEX(tsk_ActStart,(ROW()-ROW(MSPTasks[[#Headers],[ID]]))))=0,"",INDEX(tsk_ActStart,(ROW()-ROW(MSPTasks[[#Headers],[ID]])))))</f>
        <v/>
      </c>
      <c r="N70" s="127" t="str">
        <f aca="false">IF(IFERROR(INDEX(tsk_Name,(ROW()-ROW(MSPTasks[[#Headers],[ID]])))="",TRUE()),"",IF(N(INDEX(tsk_ActFinish,(ROW()-ROW(MSPTasks[[#Headers],[ID]]))))=0,"",INDEX(tsk_ActFinish,(ROW()-ROW(MSPTasks[[#Headers],[ID]])))))</f>
        <v/>
      </c>
      <c r="O70" s="127" t="str">
        <f aca="false">IF(IFERROR(INDEX(tsk_Name,(ROW()-ROW(MSPTasks[[#Headers],[ID]])))="",TRUE()),"",INDEX(tsk_PlanStart,(ROW()-ROW(MSPTasks[[#Headers],[ID]]))))</f>
        <v/>
      </c>
      <c r="P70" s="127" t="str">
        <f aca="false">IF(IFERROR(INDEX(tsk_Name,(ROW()-ROW(MSPTasks[[#Headers],[ID]])))="",TRUE()),"",INDEX(tsk_PlanFinish,(ROW()-ROW(MSPTasks[[#Headers],[ID]]))))</f>
        <v/>
      </c>
      <c r="Q70" s="24" t="str">
        <f aca="false">IF(IFERROR(INDEX(tsk_Name,(ROW()-ROW(MSPTasks[[#Headers],[ID]])))="",TRUE()),"",IF(INDEX(tsk_BaseDuration,(ROW()-ROW(MSPTasks[[#Headers],[ID]])))="","",N(INDEX(tsk_BaseDuration,(ROW()-ROW(MSPTasks[[#Headers],[ID]]))))&amp;"d"))</f>
        <v/>
      </c>
      <c r="R70" s="24" t="str">
        <f aca="false">IF(IFERROR(INDEX(tsk_Name,(ROW()-ROW(MSPTasks[[#Headers],[ID]])))="",TRUE()),"",IF(INDEX(tsk_BaseWork,(ROW()-ROW(MSPTasks[[#Headers],[ID]])))="","",N(INDEX(tsk_BaseWork,(ROW()-ROW(MSPTasks[[#Headers],[ID]]))))&amp;"h"))</f>
        <v/>
      </c>
      <c r="S70" s="24" t="str">
        <f aca="false">IF(IFERROR(INDEX(tsk_Name,(ROW()-ROW(MSPTasks[[#Headers],[ID]])))="",TRUE()),"",IF(INDEX(tsk_BaseCost,(ROW()-ROW(MSPTasks[[#Headers],[ID]])))="","",N(INDEX(tsk_BaseCost,(ROW()-ROW(MSPTasks[[#Headers],[ID]]))))))</f>
        <v/>
      </c>
      <c r="T70" s="24" t="str">
        <f aca="false">IF(IFERROR(INDEX(tsk_Name,(ROW()-ROW(MSPTasks[[#Headers],[ID]])))="",TRUE()),"",IF(INDEX(tsk_IsSummary,(ROW()-ROW(MSPTasks[[#Headers],[ID]]))),"",IF(N(INDEX(tsk_ActCostInput,(ROW()-ROW(MSPTasks[[#Headers],[ID]]))))=0,"",INDEX(tsk_ActCostInput,(ROW()-ROW(MSPTasks[[#Headers],[ID]]))))))</f>
        <v/>
      </c>
      <c r="U70" s="24" t="str">
        <f aca="false">IF(IFERROR(INDEX(tsk_Name,(ROW()-ROW(MSPTasks[[#Headers],[ID]])))="",TRUE()),"",IF(INDEX(tsk_IsSummary,(ROW()-ROW(MSPTasks[[#Headers],[ID]]))),"",IF(AND(INDEX(tsk_Mode,(ROW()-ROW(MSPTasks[[#Headers],[ID]])))&lt;&gt;"Manual",N(INDEX(tsk_Constraint,(ROW()-ROW(MSPTasks[[#Headers],[ID]]))))&gt;0),"Start No Earlier Than","As Soon As Possible")))</f>
        <v/>
      </c>
      <c r="V70" s="127" t="str">
        <f aca="false">IF(IFERROR(INDEX(tsk_Name,(ROW()-ROW(MSPTasks[[#Headers],[ID]])))="",TRUE()),"",IF(OR(INDEX(tsk_IsSummary,(ROW()-ROW(MSPTasks[[#Headers],[ID]]))),INDEX(tsk_Mode,(ROW()-ROW(MSPTasks[[#Headers],[ID]])))="Manual"),"",IF(N(INDEX(tsk_Constraint,(ROW()-ROW(MSPTasks[[#Headers],[ID]]))))=0,"",INDEX(tsk_Constraint,(ROW()-ROW(MSPTasks[[#Headers],[ID]]))))))</f>
        <v/>
      </c>
      <c r="W70" s="127" t="str">
        <f aca="false">IF(IFERROR(INDEX(tsk_Name,(ROW()-ROW(MSPTasks[[#Headers],[ID]])))="",TRUE()),"",IF(N(INDEX(tsk_Deadline,(ROW()-ROW(MSPTasks[[#Headers],[ID]]))))=0,"",INDEX(tsk_Deadline,(ROW()-ROW(MSPTasks[[#Headers],[ID]])))))</f>
        <v/>
      </c>
      <c r="X70" s="24" t="str">
        <f aca="false">IF(IFERROR(INDEX(tsk_Name,(ROW()-ROW(MSPTasks[[#Headers],[ID]])))="",TRUE()),"",IF(INDEX(tsk_IsSummary,(ROW()-ROW(MSPTasks[[#Headers],[ID]]))),"",INDEX(tsk_Sprint,(ROW()-ROW(MSPTasks[[#Headers],[ID]])))&amp;""))</f>
        <v/>
      </c>
      <c r="Y70" s="24" t="str">
        <f aca="false">IF(IFERROR(INDEX(tsk_Name,(ROW()-ROW(MSPTasks[[#Headers],[ID]])))="",TRUE()),"",IF(INDEX(tsk_IsSummary,(ROW()-ROW(MSPTasks[[#Headers],[ID]]))),"",IF(N(INDEX(tsk_StoryPoints,(ROW()-ROW(MSPTasks[[#Headers],[ID]]))))=0,"",INDEX(tsk_StoryPoints,(ROW()-ROW(MSPTasks[[#Headers],[ID]]))))))</f>
        <v/>
      </c>
      <c r="Z70" s="24" t="str">
        <f aca="false">IF(IFERROR(INDEX(tsk_Name,(ROW()-ROW(MSPTasks[[#Headers],[ID]])))="",TRUE()),"",INDEX(tsk_Notes,(ROW()-ROW(MSPTasks[[#Headers],[ID]])))&amp;"")</f>
        <v/>
      </c>
    </row>
    <row r="71" customFormat="false" ht="15" hidden="false" customHeight="false" outlineLevel="0" collapsed="false">
      <c r="A71" s="24" t="str">
        <f aca="false">IF(IFERROR(INDEX(tsk_Name,(ROW()-ROW(MSPTasks[[#Headers],[ID]])))="",TRUE()),"",INDEX(tsk_ID,(ROW()-ROW(MSPTasks[[#Headers],[ID]]))))</f>
        <v/>
      </c>
      <c r="B71" s="24" t="str">
        <f aca="false">IF(IFERROR(INDEX(tsk_Name,(ROW()-ROW(MSPTasks[[#Headers],[ID]])))="",TRUE()),"",INDEX(tsk_UID,(ROW()-ROW(MSPTasks[[#Headers],[ID]]))))</f>
        <v/>
      </c>
      <c r="C71" s="24" t="str">
        <f aca="false">IF(IFERROR(INDEX(tsk_Name,(ROW()-ROW(MSPTasks[[#Headers],[ID]])))="",TRUE()),"",INDEX(tsk_Name,(ROW()-ROW(MSPTasks[[#Headers],[ID]]))))</f>
        <v/>
      </c>
      <c r="D71" s="24" t="str">
        <f aca="false">IF(IFERROR(INDEX(tsk_Name,(ROW()-ROW(MSPTasks[[#Headers],[ID]])))="",TRUE()),"",INDEX(tsk_Level,(ROW()-ROW(MSPTasks[[#Headers],[ID]]))))</f>
        <v/>
      </c>
      <c r="E71" s="24" t="str">
        <f aca="false">IF(IFERROR(INDEX(tsk_Name,(ROW()-ROW(MSPTasks[[#Headers],[ID]])))="",TRUE()),"",IF(INDEX(tsk_Mode,(ROW()-ROW(MSPTasks[[#Headers],[ID]])))="Manual","Manually Scheduled","Auto Scheduled"))</f>
        <v/>
      </c>
      <c r="F71" s="24" t="str">
        <f aca="false">IF(IFERROR(INDEX(tsk_Name,(ROW()-ROW(MSPTasks[[#Headers],[ID]])))="",TRUE()),"",IF(INDEX(tsk_IsSummary,(ROW()-ROW(MSPTasks[[#Headers],[ID]]))),"",N(INDEX(tsk_Duration,(ROW()-ROW(MSPTasks[[#Headers],[ID]]))))&amp;"d"))</f>
        <v/>
      </c>
      <c r="G71" s="127" t="str">
        <f aca="false">IF(IFERROR(INDEX(tsk_Name,(ROW()-ROW(MSPTasks[[#Headers],[ID]])))="",TRUE()),"",INDEX(tsk_FcStart,(ROW()-ROW(MSPTasks[[#Headers],[ID]]))))</f>
        <v/>
      </c>
      <c r="H71" s="127" t="str">
        <f aca="false">IF(IFERROR(INDEX(tsk_Name,(ROW()-ROW(MSPTasks[[#Headers],[ID]])))="",TRUE()),"",INDEX(tsk_FcFinish,(ROW()-ROW(MSPTasks[[#Headers],[ID]]))))</f>
        <v/>
      </c>
      <c r="I71" s="24" t="str">
        <f aca="false">IF(IFERROR(INDEX(tsk_Name,(ROW()-ROW(MSPTasks[[#Headers],[ID]])))="",TRUE()),"",IF(INDEX(tsk_IsSummary,(ROW()-ROW(MSPTasks[[#Headers],[ID]]))),"",INDEX(tsk_Predecessors,(ROW()-ROW(MSPTasks[[#Headers],[ID]])))))</f>
        <v/>
      </c>
      <c r="J71" s="24" t="str">
        <f aca="false">IF(IFERROR(INDEX(tsk_Name,(ROW()-ROW(MSPTasks[[#Headers],[ID]])))="",TRUE()),"",IF(INDEX(tsk_IsSummary,(ROW()-ROW(MSPTasks[[#Headers],[ID]]))),"",INDEX(tsk_UIDPredecessors,(ROW()-ROW(MSPTasks[[#Headers],[ID]])))))</f>
        <v/>
      </c>
      <c r="K7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1" s="24" t="str">
        <f aca="false">IF(IFERROR(INDEX(tsk_Name,(ROW()-ROW(MSPTasks[[#Headers],[ID]])))="",TRUE()),"",IF(INDEX(tsk_IsSummary,(ROW()-ROW(MSPTasks[[#Headers],[ID]]))),"",ROUND(INDEX(tsk_Progress,(ROW()-ROW(MSPTasks[[#Headers],[ID]])))*100,0)))</f>
        <v/>
      </c>
      <c r="M71" s="127" t="str">
        <f aca="false">IF(IFERROR(INDEX(tsk_Name,(ROW()-ROW(MSPTasks[[#Headers],[ID]])))="",TRUE()),"",IF(N(INDEX(tsk_ActStart,(ROW()-ROW(MSPTasks[[#Headers],[ID]]))))=0,"",INDEX(tsk_ActStart,(ROW()-ROW(MSPTasks[[#Headers],[ID]])))))</f>
        <v/>
      </c>
      <c r="N71" s="127" t="str">
        <f aca="false">IF(IFERROR(INDEX(tsk_Name,(ROW()-ROW(MSPTasks[[#Headers],[ID]])))="",TRUE()),"",IF(N(INDEX(tsk_ActFinish,(ROW()-ROW(MSPTasks[[#Headers],[ID]]))))=0,"",INDEX(tsk_ActFinish,(ROW()-ROW(MSPTasks[[#Headers],[ID]])))))</f>
        <v/>
      </c>
      <c r="O71" s="127" t="str">
        <f aca="false">IF(IFERROR(INDEX(tsk_Name,(ROW()-ROW(MSPTasks[[#Headers],[ID]])))="",TRUE()),"",INDEX(tsk_PlanStart,(ROW()-ROW(MSPTasks[[#Headers],[ID]]))))</f>
        <v/>
      </c>
      <c r="P71" s="127" t="str">
        <f aca="false">IF(IFERROR(INDEX(tsk_Name,(ROW()-ROW(MSPTasks[[#Headers],[ID]])))="",TRUE()),"",INDEX(tsk_PlanFinish,(ROW()-ROW(MSPTasks[[#Headers],[ID]]))))</f>
        <v/>
      </c>
      <c r="Q71" s="24" t="str">
        <f aca="false">IF(IFERROR(INDEX(tsk_Name,(ROW()-ROW(MSPTasks[[#Headers],[ID]])))="",TRUE()),"",IF(INDEX(tsk_BaseDuration,(ROW()-ROW(MSPTasks[[#Headers],[ID]])))="","",N(INDEX(tsk_BaseDuration,(ROW()-ROW(MSPTasks[[#Headers],[ID]]))))&amp;"d"))</f>
        <v/>
      </c>
      <c r="R71" s="24" t="str">
        <f aca="false">IF(IFERROR(INDEX(tsk_Name,(ROW()-ROW(MSPTasks[[#Headers],[ID]])))="",TRUE()),"",IF(INDEX(tsk_BaseWork,(ROW()-ROW(MSPTasks[[#Headers],[ID]])))="","",N(INDEX(tsk_BaseWork,(ROW()-ROW(MSPTasks[[#Headers],[ID]]))))&amp;"h"))</f>
        <v/>
      </c>
      <c r="S71" s="24" t="str">
        <f aca="false">IF(IFERROR(INDEX(tsk_Name,(ROW()-ROW(MSPTasks[[#Headers],[ID]])))="",TRUE()),"",IF(INDEX(tsk_BaseCost,(ROW()-ROW(MSPTasks[[#Headers],[ID]])))="","",N(INDEX(tsk_BaseCost,(ROW()-ROW(MSPTasks[[#Headers],[ID]]))))))</f>
        <v/>
      </c>
      <c r="T71" s="24" t="str">
        <f aca="false">IF(IFERROR(INDEX(tsk_Name,(ROW()-ROW(MSPTasks[[#Headers],[ID]])))="",TRUE()),"",IF(INDEX(tsk_IsSummary,(ROW()-ROW(MSPTasks[[#Headers],[ID]]))),"",IF(N(INDEX(tsk_ActCostInput,(ROW()-ROW(MSPTasks[[#Headers],[ID]]))))=0,"",INDEX(tsk_ActCostInput,(ROW()-ROW(MSPTasks[[#Headers],[ID]]))))))</f>
        <v/>
      </c>
      <c r="U71" s="24" t="str">
        <f aca="false">IF(IFERROR(INDEX(tsk_Name,(ROW()-ROW(MSPTasks[[#Headers],[ID]])))="",TRUE()),"",IF(INDEX(tsk_IsSummary,(ROW()-ROW(MSPTasks[[#Headers],[ID]]))),"",IF(AND(INDEX(tsk_Mode,(ROW()-ROW(MSPTasks[[#Headers],[ID]])))&lt;&gt;"Manual",N(INDEX(tsk_Constraint,(ROW()-ROW(MSPTasks[[#Headers],[ID]]))))&gt;0),"Start No Earlier Than","As Soon As Possible")))</f>
        <v/>
      </c>
      <c r="V71" s="127" t="str">
        <f aca="false">IF(IFERROR(INDEX(tsk_Name,(ROW()-ROW(MSPTasks[[#Headers],[ID]])))="",TRUE()),"",IF(OR(INDEX(tsk_IsSummary,(ROW()-ROW(MSPTasks[[#Headers],[ID]]))),INDEX(tsk_Mode,(ROW()-ROW(MSPTasks[[#Headers],[ID]])))="Manual"),"",IF(N(INDEX(tsk_Constraint,(ROW()-ROW(MSPTasks[[#Headers],[ID]]))))=0,"",INDEX(tsk_Constraint,(ROW()-ROW(MSPTasks[[#Headers],[ID]]))))))</f>
        <v/>
      </c>
      <c r="W71" s="127" t="str">
        <f aca="false">IF(IFERROR(INDEX(tsk_Name,(ROW()-ROW(MSPTasks[[#Headers],[ID]])))="",TRUE()),"",IF(N(INDEX(tsk_Deadline,(ROW()-ROW(MSPTasks[[#Headers],[ID]]))))=0,"",INDEX(tsk_Deadline,(ROW()-ROW(MSPTasks[[#Headers],[ID]])))))</f>
        <v/>
      </c>
      <c r="X71" s="24" t="str">
        <f aca="false">IF(IFERROR(INDEX(tsk_Name,(ROW()-ROW(MSPTasks[[#Headers],[ID]])))="",TRUE()),"",IF(INDEX(tsk_IsSummary,(ROW()-ROW(MSPTasks[[#Headers],[ID]]))),"",INDEX(tsk_Sprint,(ROW()-ROW(MSPTasks[[#Headers],[ID]])))&amp;""))</f>
        <v/>
      </c>
      <c r="Y71" s="24" t="str">
        <f aca="false">IF(IFERROR(INDEX(tsk_Name,(ROW()-ROW(MSPTasks[[#Headers],[ID]])))="",TRUE()),"",IF(INDEX(tsk_IsSummary,(ROW()-ROW(MSPTasks[[#Headers],[ID]]))),"",IF(N(INDEX(tsk_StoryPoints,(ROW()-ROW(MSPTasks[[#Headers],[ID]]))))=0,"",INDEX(tsk_StoryPoints,(ROW()-ROW(MSPTasks[[#Headers],[ID]]))))))</f>
        <v/>
      </c>
      <c r="Z71" s="24" t="str">
        <f aca="false">IF(IFERROR(INDEX(tsk_Name,(ROW()-ROW(MSPTasks[[#Headers],[ID]])))="",TRUE()),"",INDEX(tsk_Notes,(ROW()-ROW(MSPTasks[[#Headers],[ID]])))&amp;"")</f>
        <v/>
      </c>
    </row>
    <row r="72" customFormat="false" ht="15" hidden="false" customHeight="false" outlineLevel="0" collapsed="false">
      <c r="A72" s="24" t="str">
        <f aca="false">IF(IFERROR(INDEX(tsk_Name,(ROW()-ROW(MSPTasks[[#Headers],[ID]])))="",TRUE()),"",INDEX(tsk_ID,(ROW()-ROW(MSPTasks[[#Headers],[ID]]))))</f>
        <v/>
      </c>
      <c r="B72" s="24" t="str">
        <f aca="false">IF(IFERROR(INDEX(tsk_Name,(ROW()-ROW(MSPTasks[[#Headers],[ID]])))="",TRUE()),"",INDEX(tsk_UID,(ROW()-ROW(MSPTasks[[#Headers],[ID]]))))</f>
        <v/>
      </c>
      <c r="C72" s="24" t="str">
        <f aca="false">IF(IFERROR(INDEX(tsk_Name,(ROW()-ROW(MSPTasks[[#Headers],[ID]])))="",TRUE()),"",INDEX(tsk_Name,(ROW()-ROW(MSPTasks[[#Headers],[ID]]))))</f>
        <v/>
      </c>
      <c r="D72" s="24" t="str">
        <f aca="false">IF(IFERROR(INDEX(tsk_Name,(ROW()-ROW(MSPTasks[[#Headers],[ID]])))="",TRUE()),"",INDEX(tsk_Level,(ROW()-ROW(MSPTasks[[#Headers],[ID]]))))</f>
        <v/>
      </c>
      <c r="E72" s="24" t="str">
        <f aca="false">IF(IFERROR(INDEX(tsk_Name,(ROW()-ROW(MSPTasks[[#Headers],[ID]])))="",TRUE()),"",IF(INDEX(tsk_Mode,(ROW()-ROW(MSPTasks[[#Headers],[ID]])))="Manual","Manually Scheduled","Auto Scheduled"))</f>
        <v/>
      </c>
      <c r="F72" s="24" t="str">
        <f aca="false">IF(IFERROR(INDEX(tsk_Name,(ROW()-ROW(MSPTasks[[#Headers],[ID]])))="",TRUE()),"",IF(INDEX(tsk_IsSummary,(ROW()-ROW(MSPTasks[[#Headers],[ID]]))),"",N(INDEX(tsk_Duration,(ROW()-ROW(MSPTasks[[#Headers],[ID]]))))&amp;"d"))</f>
        <v/>
      </c>
      <c r="G72" s="127" t="str">
        <f aca="false">IF(IFERROR(INDEX(tsk_Name,(ROW()-ROW(MSPTasks[[#Headers],[ID]])))="",TRUE()),"",INDEX(tsk_FcStart,(ROW()-ROW(MSPTasks[[#Headers],[ID]]))))</f>
        <v/>
      </c>
      <c r="H72" s="127" t="str">
        <f aca="false">IF(IFERROR(INDEX(tsk_Name,(ROW()-ROW(MSPTasks[[#Headers],[ID]])))="",TRUE()),"",INDEX(tsk_FcFinish,(ROW()-ROW(MSPTasks[[#Headers],[ID]]))))</f>
        <v/>
      </c>
      <c r="I72" s="24" t="str">
        <f aca="false">IF(IFERROR(INDEX(tsk_Name,(ROW()-ROW(MSPTasks[[#Headers],[ID]])))="",TRUE()),"",IF(INDEX(tsk_IsSummary,(ROW()-ROW(MSPTasks[[#Headers],[ID]]))),"",INDEX(tsk_Predecessors,(ROW()-ROW(MSPTasks[[#Headers],[ID]])))))</f>
        <v/>
      </c>
      <c r="J72" s="24" t="str">
        <f aca="false">IF(IFERROR(INDEX(tsk_Name,(ROW()-ROW(MSPTasks[[#Headers],[ID]])))="",TRUE()),"",IF(INDEX(tsk_IsSummary,(ROW()-ROW(MSPTasks[[#Headers],[ID]]))),"",INDEX(tsk_UIDPredecessors,(ROW()-ROW(MSPTasks[[#Headers],[ID]])))))</f>
        <v/>
      </c>
      <c r="K7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2" s="24" t="str">
        <f aca="false">IF(IFERROR(INDEX(tsk_Name,(ROW()-ROW(MSPTasks[[#Headers],[ID]])))="",TRUE()),"",IF(INDEX(tsk_IsSummary,(ROW()-ROW(MSPTasks[[#Headers],[ID]]))),"",ROUND(INDEX(tsk_Progress,(ROW()-ROW(MSPTasks[[#Headers],[ID]])))*100,0)))</f>
        <v/>
      </c>
      <c r="M72" s="127" t="str">
        <f aca="false">IF(IFERROR(INDEX(tsk_Name,(ROW()-ROW(MSPTasks[[#Headers],[ID]])))="",TRUE()),"",IF(N(INDEX(tsk_ActStart,(ROW()-ROW(MSPTasks[[#Headers],[ID]]))))=0,"",INDEX(tsk_ActStart,(ROW()-ROW(MSPTasks[[#Headers],[ID]])))))</f>
        <v/>
      </c>
      <c r="N72" s="127" t="str">
        <f aca="false">IF(IFERROR(INDEX(tsk_Name,(ROW()-ROW(MSPTasks[[#Headers],[ID]])))="",TRUE()),"",IF(N(INDEX(tsk_ActFinish,(ROW()-ROW(MSPTasks[[#Headers],[ID]]))))=0,"",INDEX(tsk_ActFinish,(ROW()-ROW(MSPTasks[[#Headers],[ID]])))))</f>
        <v/>
      </c>
      <c r="O72" s="127" t="str">
        <f aca="false">IF(IFERROR(INDEX(tsk_Name,(ROW()-ROW(MSPTasks[[#Headers],[ID]])))="",TRUE()),"",INDEX(tsk_PlanStart,(ROW()-ROW(MSPTasks[[#Headers],[ID]]))))</f>
        <v/>
      </c>
      <c r="P72" s="127" t="str">
        <f aca="false">IF(IFERROR(INDEX(tsk_Name,(ROW()-ROW(MSPTasks[[#Headers],[ID]])))="",TRUE()),"",INDEX(tsk_PlanFinish,(ROW()-ROW(MSPTasks[[#Headers],[ID]]))))</f>
        <v/>
      </c>
      <c r="Q72" s="24" t="str">
        <f aca="false">IF(IFERROR(INDEX(tsk_Name,(ROW()-ROW(MSPTasks[[#Headers],[ID]])))="",TRUE()),"",IF(INDEX(tsk_BaseDuration,(ROW()-ROW(MSPTasks[[#Headers],[ID]])))="","",N(INDEX(tsk_BaseDuration,(ROW()-ROW(MSPTasks[[#Headers],[ID]]))))&amp;"d"))</f>
        <v/>
      </c>
      <c r="R72" s="24" t="str">
        <f aca="false">IF(IFERROR(INDEX(tsk_Name,(ROW()-ROW(MSPTasks[[#Headers],[ID]])))="",TRUE()),"",IF(INDEX(tsk_BaseWork,(ROW()-ROW(MSPTasks[[#Headers],[ID]])))="","",N(INDEX(tsk_BaseWork,(ROW()-ROW(MSPTasks[[#Headers],[ID]]))))&amp;"h"))</f>
        <v/>
      </c>
      <c r="S72" s="24" t="str">
        <f aca="false">IF(IFERROR(INDEX(tsk_Name,(ROW()-ROW(MSPTasks[[#Headers],[ID]])))="",TRUE()),"",IF(INDEX(tsk_BaseCost,(ROW()-ROW(MSPTasks[[#Headers],[ID]])))="","",N(INDEX(tsk_BaseCost,(ROW()-ROW(MSPTasks[[#Headers],[ID]]))))))</f>
        <v/>
      </c>
      <c r="T72" s="24" t="str">
        <f aca="false">IF(IFERROR(INDEX(tsk_Name,(ROW()-ROW(MSPTasks[[#Headers],[ID]])))="",TRUE()),"",IF(INDEX(tsk_IsSummary,(ROW()-ROW(MSPTasks[[#Headers],[ID]]))),"",IF(N(INDEX(tsk_ActCostInput,(ROW()-ROW(MSPTasks[[#Headers],[ID]]))))=0,"",INDEX(tsk_ActCostInput,(ROW()-ROW(MSPTasks[[#Headers],[ID]]))))))</f>
        <v/>
      </c>
      <c r="U72" s="24" t="str">
        <f aca="false">IF(IFERROR(INDEX(tsk_Name,(ROW()-ROW(MSPTasks[[#Headers],[ID]])))="",TRUE()),"",IF(INDEX(tsk_IsSummary,(ROW()-ROW(MSPTasks[[#Headers],[ID]]))),"",IF(AND(INDEX(tsk_Mode,(ROW()-ROW(MSPTasks[[#Headers],[ID]])))&lt;&gt;"Manual",N(INDEX(tsk_Constraint,(ROW()-ROW(MSPTasks[[#Headers],[ID]]))))&gt;0),"Start No Earlier Than","As Soon As Possible")))</f>
        <v/>
      </c>
      <c r="V72" s="127" t="str">
        <f aca="false">IF(IFERROR(INDEX(tsk_Name,(ROW()-ROW(MSPTasks[[#Headers],[ID]])))="",TRUE()),"",IF(OR(INDEX(tsk_IsSummary,(ROW()-ROW(MSPTasks[[#Headers],[ID]]))),INDEX(tsk_Mode,(ROW()-ROW(MSPTasks[[#Headers],[ID]])))="Manual"),"",IF(N(INDEX(tsk_Constraint,(ROW()-ROW(MSPTasks[[#Headers],[ID]]))))=0,"",INDEX(tsk_Constraint,(ROW()-ROW(MSPTasks[[#Headers],[ID]]))))))</f>
        <v/>
      </c>
      <c r="W72" s="127" t="str">
        <f aca="false">IF(IFERROR(INDEX(tsk_Name,(ROW()-ROW(MSPTasks[[#Headers],[ID]])))="",TRUE()),"",IF(N(INDEX(tsk_Deadline,(ROW()-ROW(MSPTasks[[#Headers],[ID]]))))=0,"",INDEX(tsk_Deadline,(ROW()-ROW(MSPTasks[[#Headers],[ID]])))))</f>
        <v/>
      </c>
      <c r="X72" s="24" t="str">
        <f aca="false">IF(IFERROR(INDEX(tsk_Name,(ROW()-ROW(MSPTasks[[#Headers],[ID]])))="",TRUE()),"",IF(INDEX(tsk_IsSummary,(ROW()-ROW(MSPTasks[[#Headers],[ID]]))),"",INDEX(tsk_Sprint,(ROW()-ROW(MSPTasks[[#Headers],[ID]])))&amp;""))</f>
        <v/>
      </c>
      <c r="Y72" s="24" t="str">
        <f aca="false">IF(IFERROR(INDEX(tsk_Name,(ROW()-ROW(MSPTasks[[#Headers],[ID]])))="",TRUE()),"",IF(INDEX(tsk_IsSummary,(ROW()-ROW(MSPTasks[[#Headers],[ID]]))),"",IF(N(INDEX(tsk_StoryPoints,(ROW()-ROW(MSPTasks[[#Headers],[ID]]))))=0,"",INDEX(tsk_StoryPoints,(ROW()-ROW(MSPTasks[[#Headers],[ID]]))))))</f>
        <v/>
      </c>
      <c r="Z72" s="24" t="str">
        <f aca="false">IF(IFERROR(INDEX(tsk_Name,(ROW()-ROW(MSPTasks[[#Headers],[ID]])))="",TRUE()),"",INDEX(tsk_Notes,(ROW()-ROW(MSPTasks[[#Headers],[ID]])))&amp;"")</f>
        <v/>
      </c>
    </row>
    <row r="73" customFormat="false" ht="15" hidden="false" customHeight="false" outlineLevel="0" collapsed="false">
      <c r="A73" s="24" t="str">
        <f aca="false">IF(IFERROR(INDEX(tsk_Name,(ROW()-ROW(MSPTasks[[#Headers],[ID]])))="",TRUE()),"",INDEX(tsk_ID,(ROW()-ROW(MSPTasks[[#Headers],[ID]]))))</f>
        <v/>
      </c>
      <c r="B73" s="24" t="str">
        <f aca="false">IF(IFERROR(INDEX(tsk_Name,(ROW()-ROW(MSPTasks[[#Headers],[ID]])))="",TRUE()),"",INDEX(tsk_UID,(ROW()-ROW(MSPTasks[[#Headers],[ID]]))))</f>
        <v/>
      </c>
      <c r="C73" s="24" t="str">
        <f aca="false">IF(IFERROR(INDEX(tsk_Name,(ROW()-ROW(MSPTasks[[#Headers],[ID]])))="",TRUE()),"",INDEX(tsk_Name,(ROW()-ROW(MSPTasks[[#Headers],[ID]]))))</f>
        <v/>
      </c>
      <c r="D73" s="24" t="str">
        <f aca="false">IF(IFERROR(INDEX(tsk_Name,(ROW()-ROW(MSPTasks[[#Headers],[ID]])))="",TRUE()),"",INDEX(tsk_Level,(ROW()-ROW(MSPTasks[[#Headers],[ID]]))))</f>
        <v/>
      </c>
      <c r="E73" s="24" t="str">
        <f aca="false">IF(IFERROR(INDEX(tsk_Name,(ROW()-ROW(MSPTasks[[#Headers],[ID]])))="",TRUE()),"",IF(INDEX(tsk_Mode,(ROW()-ROW(MSPTasks[[#Headers],[ID]])))="Manual","Manually Scheduled","Auto Scheduled"))</f>
        <v/>
      </c>
      <c r="F73" s="24" t="str">
        <f aca="false">IF(IFERROR(INDEX(tsk_Name,(ROW()-ROW(MSPTasks[[#Headers],[ID]])))="",TRUE()),"",IF(INDEX(tsk_IsSummary,(ROW()-ROW(MSPTasks[[#Headers],[ID]]))),"",N(INDEX(tsk_Duration,(ROW()-ROW(MSPTasks[[#Headers],[ID]]))))&amp;"d"))</f>
        <v/>
      </c>
      <c r="G73" s="127" t="str">
        <f aca="false">IF(IFERROR(INDEX(tsk_Name,(ROW()-ROW(MSPTasks[[#Headers],[ID]])))="",TRUE()),"",INDEX(tsk_FcStart,(ROW()-ROW(MSPTasks[[#Headers],[ID]]))))</f>
        <v/>
      </c>
      <c r="H73" s="127" t="str">
        <f aca="false">IF(IFERROR(INDEX(tsk_Name,(ROW()-ROW(MSPTasks[[#Headers],[ID]])))="",TRUE()),"",INDEX(tsk_FcFinish,(ROW()-ROW(MSPTasks[[#Headers],[ID]]))))</f>
        <v/>
      </c>
      <c r="I73" s="24" t="str">
        <f aca="false">IF(IFERROR(INDEX(tsk_Name,(ROW()-ROW(MSPTasks[[#Headers],[ID]])))="",TRUE()),"",IF(INDEX(tsk_IsSummary,(ROW()-ROW(MSPTasks[[#Headers],[ID]]))),"",INDEX(tsk_Predecessors,(ROW()-ROW(MSPTasks[[#Headers],[ID]])))))</f>
        <v/>
      </c>
      <c r="J73" s="24" t="str">
        <f aca="false">IF(IFERROR(INDEX(tsk_Name,(ROW()-ROW(MSPTasks[[#Headers],[ID]])))="",TRUE()),"",IF(INDEX(tsk_IsSummary,(ROW()-ROW(MSPTasks[[#Headers],[ID]]))),"",INDEX(tsk_UIDPredecessors,(ROW()-ROW(MSPTasks[[#Headers],[ID]])))))</f>
        <v/>
      </c>
      <c r="K7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3" s="24" t="str">
        <f aca="false">IF(IFERROR(INDEX(tsk_Name,(ROW()-ROW(MSPTasks[[#Headers],[ID]])))="",TRUE()),"",IF(INDEX(tsk_IsSummary,(ROW()-ROW(MSPTasks[[#Headers],[ID]]))),"",ROUND(INDEX(tsk_Progress,(ROW()-ROW(MSPTasks[[#Headers],[ID]])))*100,0)))</f>
        <v/>
      </c>
      <c r="M73" s="127" t="str">
        <f aca="false">IF(IFERROR(INDEX(tsk_Name,(ROW()-ROW(MSPTasks[[#Headers],[ID]])))="",TRUE()),"",IF(N(INDEX(tsk_ActStart,(ROW()-ROW(MSPTasks[[#Headers],[ID]]))))=0,"",INDEX(tsk_ActStart,(ROW()-ROW(MSPTasks[[#Headers],[ID]])))))</f>
        <v/>
      </c>
      <c r="N73" s="127" t="str">
        <f aca="false">IF(IFERROR(INDEX(tsk_Name,(ROW()-ROW(MSPTasks[[#Headers],[ID]])))="",TRUE()),"",IF(N(INDEX(tsk_ActFinish,(ROW()-ROW(MSPTasks[[#Headers],[ID]]))))=0,"",INDEX(tsk_ActFinish,(ROW()-ROW(MSPTasks[[#Headers],[ID]])))))</f>
        <v/>
      </c>
      <c r="O73" s="127" t="str">
        <f aca="false">IF(IFERROR(INDEX(tsk_Name,(ROW()-ROW(MSPTasks[[#Headers],[ID]])))="",TRUE()),"",INDEX(tsk_PlanStart,(ROW()-ROW(MSPTasks[[#Headers],[ID]]))))</f>
        <v/>
      </c>
      <c r="P73" s="127" t="str">
        <f aca="false">IF(IFERROR(INDEX(tsk_Name,(ROW()-ROW(MSPTasks[[#Headers],[ID]])))="",TRUE()),"",INDEX(tsk_PlanFinish,(ROW()-ROW(MSPTasks[[#Headers],[ID]]))))</f>
        <v/>
      </c>
      <c r="Q73" s="24" t="str">
        <f aca="false">IF(IFERROR(INDEX(tsk_Name,(ROW()-ROW(MSPTasks[[#Headers],[ID]])))="",TRUE()),"",IF(INDEX(tsk_BaseDuration,(ROW()-ROW(MSPTasks[[#Headers],[ID]])))="","",N(INDEX(tsk_BaseDuration,(ROW()-ROW(MSPTasks[[#Headers],[ID]]))))&amp;"d"))</f>
        <v/>
      </c>
      <c r="R73" s="24" t="str">
        <f aca="false">IF(IFERROR(INDEX(tsk_Name,(ROW()-ROW(MSPTasks[[#Headers],[ID]])))="",TRUE()),"",IF(INDEX(tsk_BaseWork,(ROW()-ROW(MSPTasks[[#Headers],[ID]])))="","",N(INDEX(tsk_BaseWork,(ROW()-ROW(MSPTasks[[#Headers],[ID]]))))&amp;"h"))</f>
        <v/>
      </c>
      <c r="S73" s="24" t="str">
        <f aca="false">IF(IFERROR(INDEX(tsk_Name,(ROW()-ROW(MSPTasks[[#Headers],[ID]])))="",TRUE()),"",IF(INDEX(tsk_BaseCost,(ROW()-ROW(MSPTasks[[#Headers],[ID]])))="","",N(INDEX(tsk_BaseCost,(ROW()-ROW(MSPTasks[[#Headers],[ID]]))))))</f>
        <v/>
      </c>
      <c r="T73" s="24" t="str">
        <f aca="false">IF(IFERROR(INDEX(tsk_Name,(ROW()-ROW(MSPTasks[[#Headers],[ID]])))="",TRUE()),"",IF(INDEX(tsk_IsSummary,(ROW()-ROW(MSPTasks[[#Headers],[ID]]))),"",IF(N(INDEX(tsk_ActCostInput,(ROW()-ROW(MSPTasks[[#Headers],[ID]]))))=0,"",INDEX(tsk_ActCostInput,(ROW()-ROW(MSPTasks[[#Headers],[ID]]))))))</f>
        <v/>
      </c>
      <c r="U73" s="24" t="str">
        <f aca="false">IF(IFERROR(INDEX(tsk_Name,(ROW()-ROW(MSPTasks[[#Headers],[ID]])))="",TRUE()),"",IF(INDEX(tsk_IsSummary,(ROW()-ROW(MSPTasks[[#Headers],[ID]]))),"",IF(AND(INDEX(tsk_Mode,(ROW()-ROW(MSPTasks[[#Headers],[ID]])))&lt;&gt;"Manual",N(INDEX(tsk_Constraint,(ROW()-ROW(MSPTasks[[#Headers],[ID]]))))&gt;0),"Start No Earlier Than","As Soon As Possible")))</f>
        <v/>
      </c>
      <c r="V73" s="127" t="str">
        <f aca="false">IF(IFERROR(INDEX(tsk_Name,(ROW()-ROW(MSPTasks[[#Headers],[ID]])))="",TRUE()),"",IF(OR(INDEX(tsk_IsSummary,(ROW()-ROW(MSPTasks[[#Headers],[ID]]))),INDEX(tsk_Mode,(ROW()-ROW(MSPTasks[[#Headers],[ID]])))="Manual"),"",IF(N(INDEX(tsk_Constraint,(ROW()-ROW(MSPTasks[[#Headers],[ID]]))))=0,"",INDEX(tsk_Constraint,(ROW()-ROW(MSPTasks[[#Headers],[ID]]))))))</f>
        <v/>
      </c>
      <c r="W73" s="127" t="str">
        <f aca="false">IF(IFERROR(INDEX(tsk_Name,(ROW()-ROW(MSPTasks[[#Headers],[ID]])))="",TRUE()),"",IF(N(INDEX(tsk_Deadline,(ROW()-ROW(MSPTasks[[#Headers],[ID]]))))=0,"",INDEX(tsk_Deadline,(ROW()-ROW(MSPTasks[[#Headers],[ID]])))))</f>
        <v/>
      </c>
      <c r="X73" s="24" t="str">
        <f aca="false">IF(IFERROR(INDEX(tsk_Name,(ROW()-ROW(MSPTasks[[#Headers],[ID]])))="",TRUE()),"",IF(INDEX(tsk_IsSummary,(ROW()-ROW(MSPTasks[[#Headers],[ID]]))),"",INDEX(tsk_Sprint,(ROW()-ROW(MSPTasks[[#Headers],[ID]])))&amp;""))</f>
        <v/>
      </c>
      <c r="Y73" s="24" t="str">
        <f aca="false">IF(IFERROR(INDEX(tsk_Name,(ROW()-ROW(MSPTasks[[#Headers],[ID]])))="",TRUE()),"",IF(INDEX(tsk_IsSummary,(ROW()-ROW(MSPTasks[[#Headers],[ID]]))),"",IF(N(INDEX(tsk_StoryPoints,(ROW()-ROW(MSPTasks[[#Headers],[ID]]))))=0,"",INDEX(tsk_StoryPoints,(ROW()-ROW(MSPTasks[[#Headers],[ID]]))))))</f>
        <v/>
      </c>
      <c r="Z73" s="24" t="str">
        <f aca="false">IF(IFERROR(INDEX(tsk_Name,(ROW()-ROW(MSPTasks[[#Headers],[ID]])))="",TRUE()),"",INDEX(tsk_Notes,(ROW()-ROW(MSPTasks[[#Headers],[ID]])))&amp;"")</f>
        <v/>
      </c>
    </row>
    <row r="74" customFormat="false" ht="15" hidden="false" customHeight="false" outlineLevel="0" collapsed="false">
      <c r="A74" s="24" t="str">
        <f aca="false">IF(IFERROR(INDEX(tsk_Name,(ROW()-ROW(MSPTasks[[#Headers],[ID]])))="",TRUE()),"",INDEX(tsk_ID,(ROW()-ROW(MSPTasks[[#Headers],[ID]]))))</f>
        <v/>
      </c>
      <c r="B74" s="24" t="str">
        <f aca="false">IF(IFERROR(INDEX(tsk_Name,(ROW()-ROW(MSPTasks[[#Headers],[ID]])))="",TRUE()),"",INDEX(tsk_UID,(ROW()-ROW(MSPTasks[[#Headers],[ID]]))))</f>
        <v/>
      </c>
      <c r="C74" s="24" t="str">
        <f aca="false">IF(IFERROR(INDEX(tsk_Name,(ROW()-ROW(MSPTasks[[#Headers],[ID]])))="",TRUE()),"",INDEX(tsk_Name,(ROW()-ROW(MSPTasks[[#Headers],[ID]]))))</f>
        <v/>
      </c>
      <c r="D74" s="24" t="str">
        <f aca="false">IF(IFERROR(INDEX(tsk_Name,(ROW()-ROW(MSPTasks[[#Headers],[ID]])))="",TRUE()),"",INDEX(tsk_Level,(ROW()-ROW(MSPTasks[[#Headers],[ID]]))))</f>
        <v/>
      </c>
      <c r="E74" s="24" t="str">
        <f aca="false">IF(IFERROR(INDEX(tsk_Name,(ROW()-ROW(MSPTasks[[#Headers],[ID]])))="",TRUE()),"",IF(INDEX(tsk_Mode,(ROW()-ROW(MSPTasks[[#Headers],[ID]])))="Manual","Manually Scheduled","Auto Scheduled"))</f>
        <v/>
      </c>
      <c r="F74" s="24" t="str">
        <f aca="false">IF(IFERROR(INDEX(tsk_Name,(ROW()-ROW(MSPTasks[[#Headers],[ID]])))="",TRUE()),"",IF(INDEX(tsk_IsSummary,(ROW()-ROW(MSPTasks[[#Headers],[ID]]))),"",N(INDEX(tsk_Duration,(ROW()-ROW(MSPTasks[[#Headers],[ID]]))))&amp;"d"))</f>
        <v/>
      </c>
      <c r="G74" s="127" t="str">
        <f aca="false">IF(IFERROR(INDEX(tsk_Name,(ROW()-ROW(MSPTasks[[#Headers],[ID]])))="",TRUE()),"",INDEX(tsk_FcStart,(ROW()-ROW(MSPTasks[[#Headers],[ID]]))))</f>
        <v/>
      </c>
      <c r="H74" s="127" t="str">
        <f aca="false">IF(IFERROR(INDEX(tsk_Name,(ROW()-ROW(MSPTasks[[#Headers],[ID]])))="",TRUE()),"",INDEX(tsk_FcFinish,(ROW()-ROW(MSPTasks[[#Headers],[ID]]))))</f>
        <v/>
      </c>
      <c r="I74" s="24" t="str">
        <f aca="false">IF(IFERROR(INDEX(tsk_Name,(ROW()-ROW(MSPTasks[[#Headers],[ID]])))="",TRUE()),"",IF(INDEX(tsk_IsSummary,(ROW()-ROW(MSPTasks[[#Headers],[ID]]))),"",INDEX(tsk_Predecessors,(ROW()-ROW(MSPTasks[[#Headers],[ID]])))))</f>
        <v/>
      </c>
      <c r="J74" s="24" t="str">
        <f aca="false">IF(IFERROR(INDEX(tsk_Name,(ROW()-ROW(MSPTasks[[#Headers],[ID]])))="",TRUE()),"",IF(INDEX(tsk_IsSummary,(ROW()-ROW(MSPTasks[[#Headers],[ID]]))),"",INDEX(tsk_UIDPredecessors,(ROW()-ROW(MSPTasks[[#Headers],[ID]])))))</f>
        <v/>
      </c>
      <c r="K7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4" s="24" t="str">
        <f aca="false">IF(IFERROR(INDEX(tsk_Name,(ROW()-ROW(MSPTasks[[#Headers],[ID]])))="",TRUE()),"",IF(INDEX(tsk_IsSummary,(ROW()-ROW(MSPTasks[[#Headers],[ID]]))),"",ROUND(INDEX(tsk_Progress,(ROW()-ROW(MSPTasks[[#Headers],[ID]])))*100,0)))</f>
        <v/>
      </c>
      <c r="M74" s="127" t="str">
        <f aca="false">IF(IFERROR(INDEX(tsk_Name,(ROW()-ROW(MSPTasks[[#Headers],[ID]])))="",TRUE()),"",IF(N(INDEX(tsk_ActStart,(ROW()-ROW(MSPTasks[[#Headers],[ID]]))))=0,"",INDEX(tsk_ActStart,(ROW()-ROW(MSPTasks[[#Headers],[ID]])))))</f>
        <v/>
      </c>
      <c r="N74" s="127" t="str">
        <f aca="false">IF(IFERROR(INDEX(tsk_Name,(ROW()-ROW(MSPTasks[[#Headers],[ID]])))="",TRUE()),"",IF(N(INDEX(tsk_ActFinish,(ROW()-ROW(MSPTasks[[#Headers],[ID]]))))=0,"",INDEX(tsk_ActFinish,(ROW()-ROW(MSPTasks[[#Headers],[ID]])))))</f>
        <v/>
      </c>
      <c r="O74" s="127" t="str">
        <f aca="false">IF(IFERROR(INDEX(tsk_Name,(ROW()-ROW(MSPTasks[[#Headers],[ID]])))="",TRUE()),"",INDEX(tsk_PlanStart,(ROW()-ROW(MSPTasks[[#Headers],[ID]]))))</f>
        <v/>
      </c>
      <c r="P74" s="127" t="str">
        <f aca="false">IF(IFERROR(INDEX(tsk_Name,(ROW()-ROW(MSPTasks[[#Headers],[ID]])))="",TRUE()),"",INDEX(tsk_PlanFinish,(ROW()-ROW(MSPTasks[[#Headers],[ID]]))))</f>
        <v/>
      </c>
      <c r="Q74" s="24" t="str">
        <f aca="false">IF(IFERROR(INDEX(tsk_Name,(ROW()-ROW(MSPTasks[[#Headers],[ID]])))="",TRUE()),"",IF(INDEX(tsk_BaseDuration,(ROW()-ROW(MSPTasks[[#Headers],[ID]])))="","",N(INDEX(tsk_BaseDuration,(ROW()-ROW(MSPTasks[[#Headers],[ID]]))))&amp;"d"))</f>
        <v/>
      </c>
      <c r="R74" s="24" t="str">
        <f aca="false">IF(IFERROR(INDEX(tsk_Name,(ROW()-ROW(MSPTasks[[#Headers],[ID]])))="",TRUE()),"",IF(INDEX(tsk_BaseWork,(ROW()-ROW(MSPTasks[[#Headers],[ID]])))="","",N(INDEX(tsk_BaseWork,(ROW()-ROW(MSPTasks[[#Headers],[ID]]))))&amp;"h"))</f>
        <v/>
      </c>
      <c r="S74" s="24" t="str">
        <f aca="false">IF(IFERROR(INDEX(tsk_Name,(ROW()-ROW(MSPTasks[[#Headers],[ID]])))="",TRUE()),"",IF(INDEX(tsk_BaseCost,(ROW()-ROW(MSPTasks[[#Headers],[ID]])))="","",N(INDEX(tsk_BaseCost,(ROW()-ROW(MSPTasks[[#Headers],[ID]]))))))</f>
        <v/>
      </c>
      <c r="T74" s="24" t="str">
        <f aca="false">IF(IFERROR(INDEX(tsk_Name,(ROW()-ROW(MSPTasks[[#Headers],[ID]])))="",TRUE()),"",IF(INDEX(tsk_IsSummary,(ROW()-ROW(MSPTasks[[#Headers],[ID]]))),"",IF(N(INDEX(tsk_ActCostInput,(ROW()-ROW(MSPTasks[[#Headers],[ID]]))))=0,"",INDEX(tsk_ActCostInput,(ROW()-ROW(MSPTasks[[#Headers],[ID]]))))))</f>
        <v/>
      </c>
      <c r="U74" s="24" t="str">
        <f aca="false">IF(IFERROR(INDEX(tsk_Name,(ROW()-ROW(MSPTasks[[#Headers],[ID]])))="",TRUE()),"",IF(INDEX(tsk_IsSummary,(ROW()-ROW(MSPTasks[[#Headers],[ID]]))),"",IF(AND(INDEX(tsk_Mode,(ROW()-ROW(MSPTasks[[#Headers],[ID]])))&lt;&gt;"Manual",N(INDEX(tsk_Constraint,(ROW()-ROW(MSPTasks[[#Headers],[ID]]))))&gt;0),"Start No Earlier Than","As Soon As Possible")))</f>
        <v/>
      </c>
      <c r="V74" s="127" t="str">
        <f aca="false">IF(IFERROR(INDEX(tsk_Name,(ROW()-ROW(MSPTasks[[#Headers],[ID]])))="",TRUE()),"",IF(OR(INDEX(tsk_IsSummary,(ROW()-ROW(MSPTasks[[#Headers],[ID]]))),INDEX(tsk_Mode,(ROW()-ROW(MSPTasks[[#Headers],[ID]])))="Manual"),"",IF(N(INDEX(tsk_Constraint,(ROW()-ROW(MSPTasks[[#Headers],[ID]]))))=0,"",INDEX(tsk_Constraint,(ROW()-ROW(MSPTasks[[#Headers],[ID]]))))))</f>
        <v/>
      </c>
      <c r="W74" s="127" t="str">
        <f aca="false">IF(IFERROR(INDEX(tsk_Name,(ROW()-ROW(MSPTasks[[#Headers],[ID]])))="",TRUE()),"",IF(N(INDEX(tsk_Deadline,(ROW()-ROW(MSPTasks[[#Headers],[ID]]))))=0,"",INDEX(tsk_Deadline,(ROW()-ROW(MSPTasks[[#Headers],[ID]])))))</f>
        <v/>
      </c>
      <c r="X74" s="24" t="str">
        <f aca="false">IF(IFERROR(INDEX(tsk_Name,(ROW()-ROW(MSPTasks[[#Headers],[ID]])))="",TRUE()),"",IF(INDEX(tsk_IsSummary,(ROW()-ROW(MSPTasks[[#Headers],[ID]]))),"",INDEX(tsk_Sprint,(ROW()-ROW(MSPTasks[[#Headers],[ID]])))&amp;""))</f>
        <v/>
      </c>
      <c r="Y74" s="24" t="str">
        <f aca="false">IF(IFERROR(INDEX(tsk_Name,(ROW()-ROW(MSPTasks[[#Headers],[ID]])))="",TRUE()),"",IF(INDEX(tsk_IsSummary,(ROW()-ROW(MSPTasks[[#Headers],[ID]]))),"",IF(N(INDEX(tsk_StoryPoints,(ROW()-ROW(MSPTasks[[#Headers],[ID]]))))=0,"",INDEX(tsk_StoryPoints,(ROW()-ROW(MSPTasks[[#Headers],[ID]]))))))</f>
        <v/>
      </c>
      <c r="Z74" s="24" t="str">
        <f aca="false">IF(IFERROR(INDEX(tsk_Name,(ROW()-ROW(MSPTasks[[#Headers],[ID]])))="",TRUE()),"",INDEX(tsk_Notes,(ROW()-ROW(MSPTasks[[#Headers],[ID]])))&amp;"")</f>
        <v/>
      </c>
    </row>
    <row r="75" customFormat="false" ht="15" hidden="false" customHeight="false" outlineLevel="0" collapsed="false">
      <c r="A75" s="24" t="str">
        <f aca="false">IF(IFERROR(INDEX(tsk_Name,(ROW()-ROW(MSPTasks[[#Headers],[ID]])))="",TRUE()),"",INDEX(tsk_ID,(ROW()-ROW(MSPTasks[[#Headers],[ID]]))))</f>
        <v/>
      </c>
      <c r="B75" s="24" t="str">
        <f aca="false">IF(IFERROR(INDEX(tsk_Name,(ROW()-ROW(MSPTasks[[#Headers],[ID]])))="",TRUE()),"",INDEX(tsk_UID,(ROW()-ROW(MSPTasks[[#Headers],[ID]]))))</f>
        <v/>
      </c>
      <c r="C75" s="24" t="str">
        <f aca="false">IF(IFERROR(INDEX(tsk_Name,(ROW()-ROW(MSPTasks[[#Headers],[ID]])))="",TRUE()),"",INDEX(tsk_Name,(ROW()-ROW(MSPTasks[[#Headers],[ID]]))))</f>
        <v/>
      </c>
      <c r="D75" s="24" t="str">
        <f aca="false">IF(IFERROR(INDEX(tsk_Name,(ROW()-ROW(MSPTasks[[#Headers],[ID]])))="",TRUE()),"",INDEX(tsk_Level,(ROW()-ROW(MSPTasks[[#Headers],[ID]]))))</f>
        <v/>
      </c>
      <c r="E75" s="24" t="str">
        <f aca="false">IF(IFERROR(INDEX(tsk_Name,(ROW()-ROW(MSPTasks[[#Headers],[ID]])))="",TRUE()),"",IF(INDEX(tsk_Mode,(ROW()-ROW(MSPTasks[[#Headers],[ID]])))="Manual","Manually Scheduled","Auto Scheduled"))</f>
        <v/>
      </c>
      <c r="F75" s="24" t="str">
        <f aca="false">IF(IFERROR(INDEX(tsk_Name,(ROW()-ROW(MSPTasks[[#Headers],[ID]])))="",TRUE()),"",IF(INDEX(tsk_IsSummary,(ROW()-ROW(MSPTasks[[#Headers],[ID]]))),"",N(INDEX(tsk_Duration,(ROW()-ROW(MSPTasks[[#Headers],[ID]]))))&amp;"d"))</f>
        <v/>
      </c>
      <c r="G75" s="127" t="str">
        <f aca="false">IF(IFERROR(INDEX(tsk_Name,(ROW()-ROW(MSPTasks[[#Headers],[ID]])))="",TRUE()),"",INDEX(tsk_FcStart,(ROW()-ROW(MSPTasks[[#Headers],[ID]]))))</f>
        <v/>
      </c>
      <c r="H75" s="127" t="str">
        <f aca="false">IF(IFERROR(INDEX(tsk_Name,(ROW()-ROW(MSPTasks[[#Headers],[ID]])))="",TRUE()),"",INDEX(tsk_FcFinish,(ROW()-ROW(MSPTasks[[#Headers],[ID]]))))</f>
        <v/>
      </c>
      <c r="I75" s="24" t="str">
        <f aca="false">IF(IFERROR(INDEX(tsk_Name,(ROW()-ROW(MSPTasks[[#Headers],[ID]])))="",TRUE()),"",IF(INDEX(tsk_IsSummary,(ROW()-ROW(MSPTasks[[#Headers],[ID]]))),"",INDEX(tsk_Predecessors,(ROW()-ROW(MSPTasks[[#Headers],[ID]])))))</f>
        <v/>
      </c>
      <c r="J75" s="24" t="str">
        <f aca="false">IF(IFERROR(INDEX(tsk_Name,(ROW()-ROW(MSPTasks[[#Headers],[ID]])))="",TRUE()),"",IF(INDEX(tsk_IsSummary,(ROW()-ROW(MSPTasks[[#Headers],[ID]]))),"",INDEX(tsk_UIDPredecessors,(ROW()-ROW(MSPTasks[[#Headers],[ID]])))))</f>
        <v/>
      </c>
      <c r="K7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5" s="24" t="str">
        <f aca="false">IF(IFERROR(INDEX(tsk_Name,(ROW()-ROW(MSPTasks[[#Headers],[ID]])))="",TRUE()),"",IF(INDEX(tsk_IsSummary,(ROW()-ROW(MSPTasks[[#Headers],[ID]]))),"",ROUND(INDEX(tsk_Progress,(ROW()-ROW(MSPTasks[[#Headers],[ID]])))*100,0)))</f>
        <v/>
      </c>
      <c r="M75" s="127" t="str">
        <f aca="false">IF(IFERROR(INDEX(tsk_Name,(ROW()-ROW(MSPTasks[[#Headers],[ID]])))="",TRUE()),"",IF(N(INDEX(tsk_ActStart,(ROW()-ROW(MSPTasks[[#Headers],[ID]]))))=0,"",INDEX(tsk_ActStart,(ROW()-ROW(MSPTasks[[#Headers],[ID]])))))</f>
        <v/>
      </c>
      <c r="N75" s="127" t="str">
        <f aca="false">IF(IFERROR(INDEX(tsk_Name,(ROW()-ROW(MSPTasks[[#Headers],[ID]])))="",TRUE()),"",IF(N(INDEX(tsk_ActFinish,(ROW()-ROW(MSPTasks[[#Headers],[ID]]))))=0,"",INDEX(tsk_ActFinish,(ROW()-ROW(MSPTasks[[#Headers],[ID]])))))</f>
        <v/>
      </c>
      <c r="O75" s="127" t="str">
        <f aca="false">IF(IFERROR(INDEX(tsk_Name,(ROW()-ROW(MSPTasks[[#Headers],[ID]])))="",TRUE()),"",INDEX(tsk_PlanStart,(ROW()-ROW(MSPTasks[[#Headers],[ID]]))))</f>
        <v/>
      </c>
      <c r="P75" s="127" t="str">
        <f aca="false">IF(IFERROR(INDEX(tsk_Name,(ROW()-ROW(MSPTasks[[#Headers],[ID]])))="",TRUE()),"",INDEX(tsk_PlanFinish,(ROW()-ROW(MSPTasks[[#Headers],[ID]]))))</f>
        <v/>
      </c>
      <c r="Q75" s="24" t="str">
        <f aca="false">IF(IFERROR(INDEX(tsk_Name,(ROW()-ROW(MSPTasks[[#Headers],[ID]])))="",TRUE()),"",IF(INDEX(tsk_BaseDuration,(ROW()-ROW(MSPTasks[[#Headers],[ID]])))="","",N(INDEX(tsk_BaseDuration,(ROW()-ROW(MSPTasks[[#Headers],[ID]]))))&amp;"d"))</f>
        <v/>
      </c>
      <c r="R75" s="24" t="str">
        <f aca="false">IF(IFERROR(INDEX(tsk_Name,(ROW()-ROW(MSPTasks[[#Headers],[ID]])))="",TRUE()),"",IF(INDEX(tsk_BaseWork,(ROW()-ROW(MSPTasks[[#Headers],[ID]])))="","",N(INDEX(tsk_BaseWork,(ROW()-ROW(MSPTasks[[#Headers],[ID]]))))&amp;"h"))</f>
        <v/>
      </c>
      <c r="S75" s="24" t="str">
        <f aca="false">IF(IFERROR(INDEX(tsk_Name,(ROW()-ROW(MSPTasks[[#Headers],[ID]])))="",TRUE()),"",IF(INDEX(tsk_BaseCost,(ROW()-ROW(MSPTasks[[#Headers],[ID]])))="","",N(INDEX(tsk_BaseCost,(ROW()-ROW(MSPTasks[[#Headers],[ID]]))))))</f>
        <v/>
      </c>
      <c r="T75" s="24" t="str">
        <f aca="false">IF(IFERROR(INDEX(tsk_Name,(ROW()-ROW(MSPTasks[[#Headers],[ID]])))="",TRUE()),"",IF(INDEX(tsk_IsSummary,(ROW()-ROW(MSPTasks[[#Headers],[ID]]))),"",IF(N(INDEX(tsk_ActCostInput,(ROW()-ROW(MSPTasks[[#Headers],[ID]]))))=0,"",INDEX(tsk_ActCostInput,(ROW()-ROW(MSPTasks[[#Headers],[ID]]))))))</f>
        <v/>
      </c>
      <c r="U75" s="24" t="str">
        <f aca="false">IF(IFERROR(INDEX(tsk_Name,(ROW()-ROW(MSPTasks[[#Headers],[ID]])))="",TRUE()),"",IF(INDEX(tsk_IsSummary,(ROW()-ROW(MSPTasks[[#Headers],[ID]]))),"",IF(AND(INDEX(tsk_Mode,(ROW()-ROW(MSPTasks[[#Headers],[ID]])))&lt;&gt;"Manual",N(INDEX(tsk_Constraint,(ROW()-ROW(MSPTasks[[#Headers],[ID]]))))&gt;0),"Start No Earlier Than","As Soon As Possible")))</f>
        <v/>
      </c>
      <c r="V75" s="127" t="str">
        <f aca="false">IF(IFERROR(INDEX(tsk_Name,(ROW()-ROW(MSPTasks[[#Headers],[ID]])))="",TRUE()),"",IF(OR(INDEX(tsk_IsSummary,(ROW()-ROW(MSPTasks[[#Headers],[ID]]))),INDEX(tsk_Mode,(ROW()-ROW(MSPTasks[[#Headers],[ID]])))="Manual"),"",IF(N(INDEX(tsk_Constraint,(ROW()-ROW(MSPTasks[[#Headers],[ID]]))))=0,"",INDEX(tsk_Constraint,(ROW()-ROW(MSPTasks[[#Headers],[ID]]))))))</f>
        <v/>
      </c>
      <c r="W75" s="127" t="str">
        <f aca="false">IF(IFERROR(INDEX(tsk_Name,(ROW()-ROW(MSPTasks[[#Headers],[ID]])))="",TRUE()),"",IF(N(INDEX(tsk_Deadline,(ROW()-ROW(MSPTasks[[#Headers],[ID]]))))=0,"",INDEX(tsk_Deadline,(ROW()-ROW(MSPTasks[[#Headers],[ID]])))))</f>
        <v/>
      </c>
      <c r="X75" s="24" t="str">
        <f aca="false">IF(IFERROR(INDEX(tsk_Name,(ROW()-ROW(MSPTasks[[#Headers],[ID]])))="",TRUE()),"",IF(INDEX(tsk_IsSummary,(ROW()-ROW(MSPTasks[[#Headers],[ID]]))),"",INDEX(tsk_Sprint,(ROW()-ROW(MSPTasks[[#Headers],[ID]])))&amp;""))</f>
        <v/>
      </c>
      <c r="Y75" s="24" t="str">
        <f aca="false">IF(IFERROR(INDEX(tsk_Name,(ROW()-ROW(MSPTasks[[#Headers],[ID]])))="",TRUE()),"",IF(INDEX(tsk_IsSummary,(ROW()-ROW(MSPTasks[[#Headers],[ID]]))),"",IF(N(INDEX(tsk_StoryPoints,(ROW()-ROW(MSPTasks[[#Headers],[ID]]))))=0,"",INDEX(tsk_StoryPoints,(ROW()-ROW(MSPTasks[[#Headers],[ID]]))))))</f>
        <v/>
      </c>
      <c r="Z75" s="24" t="str">
        <f aca="false">IF(IFERROR(INDEX(tsk_Name,(ROW()-ROW(MSPTasks[[#Headers],[ID]])))="",TRUE()),"",INDEX(tsk_Notes,(ROW()-ROW(MSPTasks[[#Headers],[ID]])))&amp;"")</f>
        <v/>
      </c>
    </row>
    <row r="76" customFormat="false" ht="15" hidden="false" customHeight="false" outlineLevel="0" collapsed="false">
      <c r="A76" s="24" t="str">
        <f aca="false">IF(IFERROR(INDEX(tsk_Name,(ROW()-ROW(MSPTasks[[#Headers],[ID]])))="",TRUE()),"",INDEX(tsk_ID,(ROW()-ROW(MSPTasks[[#Headers],[ID]]))))</f>
        <v/>
      </c>
      <c r="B76" s="24" t="str">
        <f aca="false">IF(IFERROR(INDEX(tsk_Name,(ROW()-ROW(MSPTasks[[#Headers],[ID]])))="",TRUE()),"",INDEX(tsk_UID,(ROW()-ROW(MSPTasks[[#Headers],[ID]]))))</f>
        <v/>
      </c>
      <c r="C76" s="24" t="str">
        <f aca="false">IF(IFERROR(INDEX(tsk_Name,(ROW()-ROW(MSPTasks[[#Headers],[ID]])))="",TRUE()),"",INDEX(tsk_Name,(ROW()-ROW(MSPTasks[[#Headers],[ID]]))))</f>
        <v/>
      </c>
      <c r="D76" s="24" t="str">
        <f aca="false">IF(IFERROR(INDEX(tsk_Name,(ROW()-ROW(MSPTasks[[#Headers],[ID]])))="",TRUE()),"",INDEX(tsk_Level,(ROW()-ROW(MSPTasks[[#Headers],[ID]]))))</f>
        <v/>
      </c>
      <c r="E76" s="24" t="str">
        <f aca="false">IF(IFERROR(INDEX(tsk_Name,(ROW()-ROW(MSPTasks[[#Headers],[ID]])))="",TRUE()),"",IF(INDEX(tsk_Mode,(ROW()-ROW(MSPTasks[[#Headers],[ID]])))="Manual","Manually Scheduled","Auto Scheduled"))</f>
        <v/>
      </c>
      <c r="F76" s="24" t="str">
        <f aca="false">IF(IFERROR(INDEX(tsk_Name,(ROW()-ROW(MSPTasks[[#Headers],[ID]])))="",TRUE()),"",IF(INDEX(tsk_IsSummary,(ROW()-ROW(MSPTasks[[#Headers],[ID]]))),"",N(INDEX(tsk_Duration,(ROW()-ROW(MSPTasks[[#Headers],[ID]]))))&amp;"d"))</f>
        <v/>
      </c>
      <c r="G76" s="127" t="str">
        <f aca="false">IF(IFERROR(INDEX(tsk_Name,(ROW()-ROW(MSPTasks[[#Headers],[ID]])))="",TRUE()),"",INDEX(tsk_FcStart,(ROW()-ROW(MSPTasks[[#Headers],[ID]]))))</f>
        <v/>
      </c>
      <c r="H76" s="127" t="str">
        <f aca="false">IF(IFERROR(INDEX(tsk_Name,(ROW()-ROW(MSPTasks[[#Headers],[ID]])))="",TRUE()),"",INDEX(tsk_FcFinish,(ROW()-ROW(MSPTasks[[#Headers],[ID]]))))</f>
        <v/>
      </c>
      <c r="I76" s="24" t="str">
        <f aca="false">IF(IFERROR(INDEX(tsk_Name,(ROW()-ROW(MSPTasks[[#Headers],[ID]])))="",TRUE()),"",IF(INDEX(tsk_IsSummary,(ROW()-ROW(MSPTasks[[#Headers],[ID]]))),"",INDEX(tsk_Predecessors,(ROW()-ROW(MSPTasks[[#Headers],[ID]])))))</f>
        <v/>
      </c>
      <c r="J76" s="24" t="str">
        <f aca="false">IF(IFERROR(INDEX(tsk_Name,(ROW()-ROW(MSPTasks[[#Headers],[ID]])))="",TRUE()),"",IF(INDEX(tsk_IsSummary,(ROW()-ROW(MSPTasks[[#Headers],[ID]]))),"",INDEX(tsk_UIDPredecessors,(ROW()-ROW(MSPTasks[[#Headers],[ID]])))))</f>
        <v/>
      </c>
      <c r="K7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6" s="24" t="str">
        <f aca="false">IF(IFERROR(INDEX(tsk_Name,(ROW()-ROW(MSPTasks[[#Headers],[ID]])))="",TRUE()),"",IF(INDEX(tsk_IsSummary,(ROW()-ROW(MSPTasks[[#Headers],[ID]]))),"",ROUND(INDEX(tsk_Progress,(ROW()-ROW(MSPTasks[[#Headers],[ID]])))*100,0)))</f>
        <v/>
      </c>
      <c r="M76" s="127" t="str">
        <f aca="false">IF(IFERROR(INDEX(tsk_Name,(ROW()-ROW(MSPTasks[[#Headers],[ID]])))="",TRUE()),"",IF(N(INDEX(tsk_ActStart,(ROW()-ROW(MSPTasks[[#Headers],[ID]]))))=0,"",INDEX(tsk_ActStart,(ROW()-ROW(MSPTasks[[#Headers],[ID]])))))</f>
        <v/>
      </c>
      <c r="N76" s="127" t="str">
        <f aca="false">IF(IFERROR(INDEX(tsk_Name,(ROW()-ROW(MSPTasks[[#Headers],[ID]])))="",TRUE()),"",IF(N(INDEX(tsk_ActFinish,(ROW()-ROW(MSPTasks[[#Headers],[ID]]))))=0,"",INDEX(tsk_ActFinish,(ROW()-ROW(MSPTasks[[#Headers],[ID]])))))</f>
        <v/>
      </c>
      <c r="O76" s="127" t="str">
        <f aca="false">IF(IFERROR(INDEX(tsk_Name,(ROW()-ROW(MSPTasks[[#Headers],[ID]])))="",TRUE()),"",INDEX(tsk_PlanStart,(ROW()-ROW(MSPTasks[[#Headers],[ID]]))))</f>
        <v/>
      </c>
      <c r="P76" s="127" t="str">
        <f aca="false">IF(IFERROR(INDEX(tsk_Name,(ROW()-ROW(MSPTasks[[#Headers],[ID]])))="",TRUE()),"",INDEX(tsk_PlanFinish,(ROW()-ROW(MSPTasks[[#Headers],[ID]]))))</f>
        <v/>
      </c>
      <c r="Q76" s="24" t="str">
        <f aca="false">IF(IFERROR(INDEX(tsk_Name,(ROW()-ROW(MSPTasks[[#Headers],[ID]])))="",TRUE()),"",IF(INDEX(tsk_BaseDuration,(ROW()-ROW(MSPTasks[[#Headers],[ID]])))="","",N(INDEX(tsk_BaseDuration,(ROW()-ROW(MSPTasks[[#Headers],[ID]]))))&amp;"d"))</f>
        <v/>
      </c>
      <c r="R76" s="24" t="str">
        <f aca="false">IF(IFERROR(INDEX(tsk_Name,(ROW()-ROW(MSPTasks[[#Headers],[ID]])))="",TRUE()),"",IF(INDEX(tsk_BaseWork,(ROW()-ROW(MSPTasks[[#Headers],[ID]])))="","",N(INDEX(tsk_BaseWork,(ROW()-ROW(MSPTasks[[#Headers],[ID]]))))&amp;"h"))</f>
        <v/>
      </c>
      <c r="S76" s="24" t="str">
        <f aca="false">IF(IFERROR(INDEX(tsk_Name,(ROW()-ROW(MSPTasks[[#Headers],[ID]])))="",TRUE()),"",IF(INDEX(tsk_BaseCost,(ROW()-ROW(MSPTasks[[#Headers],[ID]])))="","",N(INDEX(tsk_BaseCost,(ROW()-ROW(MSPTasks[[#Headers],[ID]]))))))</f>
        <v/>
      </c>
      <c r="T76" s="24" t="str">
        <f aca="false">IF(IFERROR(INDEX(tsk_Name,(ROW()-ROW(MSPTasks[[#Headers],[ID]])))="",TRUE()),"",IF(INDEX(tsk_IsSummary,(ROW()-ROW(MSPTasks[[#Headers],[ID]]))),"",IF(N(INDEX(tsk_ActCostInput,(ROW()-ROW(MSPTasks[[#Headers],[ID]]))))=0,"",INDEX(tsk_ActCostInput,(ROW()-ROW(MSPTasks[[#Headers],[ID]]))))))</f>
        <v/>
      </c>
      <c r="U76" s="24" t="str">
        <f aca="false">IF(IFERROR(INDEX(tsk_Name,(ROW()-ROW(MSPTasks[[#Headers],[ID]])))="",TRUE()),"",IF(INDEX(tsk_IsSummary,(ROW()-ROW(MSPTasks[[#Headers],[ID]]))),"",IF(AND(INDEX(tsk_Mode,(ROW()-ROW(MSPTasks[[#Headers],[ID]])))&lt;&gt;"Manual",N(INDEX(tsk_Constraint,(ROW()-ROW(MSPTasks[[#Headers],[ID]]))))&gt;0),"Start No Earlier Than","As Soon As Possible")))</f>
        <v/>
      </c>
      <c r="V76" s="127" t="str">
        <f aca="false">IF(IFERROR(INDEX(tsk_Name,(ROW()-ROW(MSPTasks[[#Headers],[ID]])))="",TRUE()),"",IF(OR(INDEX(tsk_IsSummary,(ROW()-ROW(MSPTasks[[#Headers],[ID]]))),INDEX(tsk_Mode,(ROW()-ROW(MSPTasks[[#Headers],[ID]])))="Manual"),"",IF(N(INDEX(tsk_Constraint,(ROW()-ROW(MSPTasks[[#Headers],[ID]]))))=0,"",INDEX(tsk_Constraint,(ROW()-ROW(MSPTasks[[#Headers],[ID]]))))))</f>
        <v/>
      </c>
      <c r="W76" s="127" t="str">
        <f aca="false">IF(IFERROR(INDEX(tsk_Name,(ROW()-ROW(MSPTasks[[#Headers],[ID]])))="",TRUE()),"",IF(N(INDEX(tsk_Deadline,(ROW()-ROW(MSPTasks[[#Headers],[ID]]))))=0,"",INDEX(tsk_Deadline,(ROW()-ROW(MSPTasks[[#Headers],[ID]])))))</f>
        <v/>
      </c>
      <c r="X76" s="24" t="str">
        <f aca="false">IF(IFERROR(INDEX(tsk_Name,(ROW()-ROW(MSPTasks[[#Headers],[ID]])))="",TRUE()),"",IF(INDEX(tsk_IsSummary,(ROW()-ROW(MSPTasks[[#Headers],[ID]]))),"",INDEX(tsk_Sprint,(ROW()-ROW(MSPTasks[[#Headers],[ID]])))&amp;""))</f>
        <v/>
      </c>
      <c r="Y76" s="24" t="str">
        <f aca="false">IF(IFERROR(INDEX(tsk_Name,(ROW()-ROW(MSPTasks[[#Headers],[ID]])))="",TRUE()),"",IF(INDEX(tsk_IsSummary,(ROW()-ROW(MSPTasks[[#Headers],[ID]]))),"",IF(N(INDEX(tsk_StoryPoints,(ROW()-ROW(MSPTasks[[#Headers],[ID]]))))=0,"",INDEX(tsk_StoryPoints,(ROW()-ROW(MSPTasks[[#Headers],[ID]]))))))</f>
        <v/>
      </c>
      <c r="Z76" s="24" t="str">
        <f aca="false">IF(IFERROR(INDEX(tsk_Name,(ROW()-ROW(MSPTasks[[#Headers],[ID]])))="",TRUE()),"",INDEX(tsk_Notes,(ROW()-ROW(MSPTasks[[#Headers],[ID]])))&amp;"")</f>
        <v/>
      </c>
    </row>
    <row r="77" customFormat="false" ht="15" hidden="false" customHeight="false" outlineLevel="0" collapsed="false">
      <c r="A77" s="24" t="str">
        <f aca="false">IF(IFERROR(INDEX(tsk_Name,(ROW()-ROW(MSPTasks[[#Headers],[ID]])))="",TRUE()),"",INDEX(tsk_ID,(ROW()-ROW(MSPTasks[[#Headers],[ID]]))))</f>
        <v/>
      </c>
      <c r="B77" s="24" t="str">
        <f aca="false">IF(IFERROR(INDEX(tsk_Name,(ROW()-ROW(MSPTasks[[#Headers],[ID]])))="",TRUE()),"",INDEX(tsk_UID,(ROW()-ROW(MSPTasks[[#Headers],[ID]]))))</f>
        <v/>
      </c>
      <c r="C77" s="24" t="str">
        <f aca="false">IF(IFERROR(INDEX(tsk_Name,(ROW()-ROW(MSPTasks[[#Headers],[ID]])))="",TRUE()),"",INDEX(tsk_Name,(ROW()-ROW(MSPTasks[[#Headers],[ID]]))))</f>
        <v/>
      </c>
      <c r="D77" s="24" t="str">
        <f aca="false">IF(IFERROR(INDEX(tsk_Name,(ROW()-ROW(MSPTasks[[#Headers],[ID]])))="",TRUE()),"",INDEX(tsk_Level,(ROW()-ROW(MSPTasks[[#Headers],[ID]]))))</f>
        <v/>
      </c>
      <c r="E77" s="24" t="str">
        <f aca="false">IF(IFERROR(INDEX(tsk_Name,(ROW()-ROW(MSPTasks[[#Headers],[ID]])))="",TRUE()),"",IF(INDEX(tsk_Mode,(ROW()-ROW(MSPTasks[[#Headers],[ID]])))="Manual","Manually Scheduled","Auto Scheduled"))</f>
        <v/>
      </c>
      <c r="F77" s="24" t="str">
        <f aca="false">IF(IFERROR(INDEX(tsk_Name,(ROW()-ROW(MSPTasks[[#Headers],[ID]])))="",TRUE()),"",IF(INDEX(tsk_IsSummary,(ROW()-ROW(MSPTasks[[#Headers],[ID]]))),"",N(INDEX(tsk_Duration,(ROW()-ROW(MSPTasks[[#Headers],[ID]]))))&amp;"d"))</f>
        <v/>
      </c>
      <c r="G77" s="127" t="str">
        <f aca="false">IF(IFERROR(INDEX(tsk_Name,(ROW()-ROW(MSPTasks[[#Headers],[ID]])))="",TRUE()),"",INDEX(tsk_FcStart,(ROW()-ROW(MSPTasks[[#Headers],[ID]]))))</f>
        <v/>
      </c>
      <c r="H77" s="127" t="str">
        <f aca="false">IF(IFERROR(INDEX(tsk_Name,(ROW()-ROW(MSPTasks[[#Headers],[ID]])))="",TRUE()),"",INDEX(tsk_FcFinish,(ROW()-ROW(MSPTasks[[#Headers],[ID]]))))</f>
        <v/>
      </c>
      <c r="I77" s="24" t="str">
        <f aca="false">IF(IFERROR(INDEX(tsk_Name,(ROW()-ROW(MSPTasks[[#Headers],[ID]])))="",TRUE()),"",IF(INDEX(tsk_IsSummary,(ROW()-ROW(MSPTasks[[#Headers],[ID]]))),"",INDEX(tsk_Predecessors,(ROW()-ROW(MSPTasks[[#Headers],[ID]])))))</f>
        <v/>
      </c>
      <c r="J77" s="24" t="str">
        <f aca="false">IF(IFERROR(INDEX(tsk_Name,(ROW()-ROW(MSPTasks[[#Headers],[ID]])))="",TRUE()),"",IF(INDEX(tsk_IsSummary,(ROW()-ROW(MSPTasks[[#Headers],[ID]]))),"",INDEX(tsk_UIDPredecessors,(ROW()-ROW(MSPTasks[[#Headers],[ID]])))))</f>
        <v/>
      </c>
      <c r="K7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7" s="24" t="str">
        <f aca="false">IF(IFERROR(INDEX(tsk_Name,(ROW()-ROW(MSPTasks[[#Headers],[ID]])))="",TRUE()),"",IF(INDEX(tsk_IsSummary,(ROW()-ROW(MSPTasks[[#Headers],[ID]]))),"",ROUND(INDEX(tsk_Progress,(ROW()-ROW(MSPTasks[[#Headers],[ID]])))*100,0)))</f>
        <v/>
      </c>
      <c r="M77" s="127" t="str">
        <f aca="false">IF(IFERROR(INDEX(tsk_Name,(ROW()-ROW(MSPTasks[[#Headers],[ID]])))="",TRUE()),"",IF(N(INDEX(tsk_ActStart,(ROW()-ROW(MSPTasks[[#Headers],[ID]]))))=0,"",INDEX(tsk_ActStart,(ROW()-ROW(MSPTasks[[#Headers],[ID]])))))</f>
        <v/>
      </c>
      <c r="N77" s="127" t="str">
        <f aca="false">IF(IFERROR(INDEX(tsk_Name,(ROW()-ROW(MSPTasks[[#Headers],[ID]])))="",TRUE()),"",IF(N(INDEX(tsk_ActFinish,(ROW()-ROW(MSPTasks[[#Headers],[ID]]))))=0,"",INDEX(tsk_ActFinish,(ROW()-ROW(MSPTasks[[#Headers],[ID]])))))</f>
        <v/>
      </c>
      <c r="O77" s="127" t="str">
        <f aca="false">IF(IFERROR(INDEX(tsk_Name,(ROW()-ROW(MSPTasks[[#Headers],[ID]])))="",TRUE()),"",INDEX(tsk_PlanStart,(ROW()-ROW(MSPTasks[[#Headers],[ID]]))))</f>
        <v/>
      </c>
      <c r="P77" s="127" t="str">
        <f aca="false">IF(IFERROR(INDEX(tsk_Name,(ROW()-ROW(MSPTasks[[#Headers],[ID]])))="",TRUE()),"",INDEX(tsk_PlanFinish,(ROW()-ROW(MSPTasks[[#Headers],[ID]]))))</f>
        <v/>
      </c>
      <c r="Q77" s="24" t="str">
        <f aca="false">IF(IFERROR(INDEX(tsk_Name,(ROW()-ROW(MSPTasks[[#Headers],[ID]])))="",TRUE()),"",IF(INDEX(tsk_BaseDuration,(ROW()-ROW(MSPTasks[[#Headers],[ID]])))="","",N(INDEX(tsk_BaseDuration,(ROW()-ROW(MSPTasks[[#Headers],[ID]]))))&amp;"d"))</f>
        <v/>
      </c>
      <c r="R77" s="24" t="str">
        <f aca="false">IF(IFERROR(INDEX(tsk_Name,(ROW()-ROW(MSPTasks[[#Headers],[ID]])))="",TRUE()),"",IF(INDEX(tsk_BaseWork,(ROW()-ROW(MSPTasks[[#Headers],[ID]])))="","",N(INDEX(tsk_BaseWork,(ROW()-ROW(MSPTasks[[#Headers],[ID]]))))&amp;"h"))</f>
        <v/>
      </c>
      <c r="S77" s="24" t="str">
        <f aca="false">IF(IFERROR(INDEX(tsk_Name,(ROW()-ROW(MSPTasks[[#Headers],[ID]])))="",TRUE()),"",IF(INDEX(tsk_BaseCost,(ROW()-ROW(MSPTasks[[#Headers],[ID]])))="","",N(INDEX(tsk_BaseCost,(ROW()-ROW(MSPTasks[[#Headers],[ID]]))))))</f>
        <v/>
      </c>
      <c r="T77" s="24" t="str">
        <f aca="false">IF(IFERROR(INDEX(tsk_Name,(ROW()-ROW(MSPTasks[[#Headers],[ID]])))="",TRUE()),"",IF(INDEX(tsk_IsSummary,(ROW()-ROW(MSPTasks[[#Headers],[ID]]))),"",IF(N(INDEX(tsk_ActCostInput,(ROW()-ROW(MSPTasks[[#Headers],[ID]]))))=0,"",INDEX(tsk_ActCostInput,(ROW()-ROW(MSPTasks[[#Headers],[ID]]))))))</f>
        <v/>
      </c>
      <c r="U77" s="24" t="str">
        <f aca="false">IF(IFERROR(INDEX(tsk_Name,(ROW()-ROW(MSPTasks[[#Headers],[ID]])))="",TRUE()),"",IF(INDEX(tsk_IsSummary,(ROW()-ROW(MSPTasks[[#Headers],[ID]]))),"",IF(AND(INDEX(tsk_Mode,(ROW()-ROW(MSPTasks[[#Headers],[ID]])))&lt;&gt;"Manual",N(INDEX(tsk_Constraint,(ROW()-ROW(MSPTasks[[#Headers],[ID]]))))&gt;0),"Start No Earlier Than","As Soon As Possible")))</f>
        <v/>
      </c>
      <c r="V77" s="127" t="str">
        <f aca="false">IF(IFERROR(INDEX(tsk_Name,(ROW()-ROW(MSPTasks[[#Headers],[ID]])))="",TRUE()),"",IF(OR(INDEX(tsk_IsSummary,(ROW()-ROW(MSPTasks[[#Headers],[ID]]))),INDEX(tsk_Mode,(ROW()-ROW(MSPTasks[[#Headers],[ID]])))="Manual"),"",IF(N(INDEX(tsk_Constraint,(ROW()-ROW(MSPTasks[[#Headers],[ID]]))))=0,"",INDEX(tsk_Constraint,(ROW()-ROW(MSPTasks[[#Headers],[ID]]))))))</f>
        <v/>
      </c>
      <c r="W77" s="127" t="str">
        <f aca="false">IF(IFERROR(INDEX(tsk_Name,(ROW()-ROW(MSPTasks[[#Headers],[ID]])))="",TRUE()),"",IF(N(INDEX(tsk_Deadline,(ROW()-ROW(MSPTasks[[#Headers],[ID]]))))=0,"",INDEX(tsk_Deadline,(ROW()-ROW(MSPTasks[[#Headers],[ID]])))))</f>
        <v/>
      </c>
      <c r="X77" s="24" t="str">
        <f aca="false">IF(IFERROR(INDEX(tsk_Name,(ROW()-ROW(MSPTasks[[#Headers],[ID]])))="",TRUE()),"",IF(INDEX(tsk_IsSummary,(ROW()-ROW(MSPTasks[[#Headers],[ID]]))),"",INDEX(tsk_Sprint,(ROW()-ROW(MSPTasks[[#Headers],[ID]])))&amp;""))</f>
        <v/>
      </c>
      <c r="Y77" s="24" t="str">
        <f aca="false">IF(IFERROR(INDEX(tsk_Name,(ROW()-ROW(MSPTasks[[#Headers],[ID]])))="",TRUE()),"",IF(INDEX(tsk_IsSummary,(ROW()-ROW(MSPTasks[[#Headers],[ID]]))),"",IF(N(INDEX(tsk_StoryPoints,(ROW()-ROW(MSPTasks[[#Headers],[ID]]))))=0,"",INDEX(tsk_StoryPoints,(ROW()-ROW(MSPTasks[[#Headers],[ID]]))))))</f>
        <v/>
      </c>
      <c r="Z77" s="24" t="str">
        <f aca="false">IF(IFERROR(INDEX(tsk_Name,(ROW()-ROW(MSPTasks[[#Headers],[ID]])))="",TRUE()),"",INDEX(tsk_Notes,(ROW()-ROW(MSPTasks[[#Headers],[ID]])))&amp;"")</f>
        <v/>
      </c>
    </row>
    <row r="78" customFormat="false" ht="15" hidden="false" customHeight="false" outlineLevel="0" collapsed="false">
      <c r="A78" s="24" t="str">
        <f aca="false">IF(IFERROR(INDEX(tsk_Name,(ROW()-ROW(MSPTasks[[#Headers],[ID]])))="",TRUE()),"",INDEX(tsk_ID,(ROW()-ROW(MSPTasks[[#Headers],[ID]]))))</f>
        <v/>
      </c>
      <c r="B78" s="24" t="str">
        <f aca="false">IF(IFERROR(INDEX(tsk_Name,(ROW()-ROW(MSPTasks[[#Headers],[ID]])))="",TRUE()),"",INDEX(tsk_UID,(ROW()-ROW(MSPTasks[[#Headers],[ID]]))))</f>
        <v/>
      </c>
      <c r="C78" s="24" t="str">
        <f aca="false">IF(IFERROR(INDEX(tsk_Name,(ROW()-ROW(MSPTasks[[#Headers],[ID]])))="",TRUE()),"",INDEX(tsk_Name,(ROW()-ROW(MSPTasks[[#Headers],[ID]]))))</f>
        <v/>
      </c>
      <c r="D78" s="24" t="str">
        <f aca="false">IF(IFERROR(INDEX(tsk_Name,(ROW()-ROW(MSPTasks[[#Headers],[ID]])))="",TRUE()),"",INDEX(tsk_Level,(ROW()-ROW(MSPTasks[[#Headers],[ID]]))))</f>
        <v/>
      </c>
      <c r="E78" s="24" t="str">
        <f aca="false">IF(IFERROR(INDEX(tsk_Name,(ROW()-ROW(MSPTasks[[#Headers],[ID]])))="",TRUE()),"",IF(INDEX(tsk_Mode,(ROW()-ROW(MSPTasks[[#Headers],[ID]])))="Manual","Manually Scheduled","Auto Scheduled"))</f>
        <v/>
      </c>
      <c r="F78" s="24" t="str">
        <f aca="false">IF(IFERROR(INDEX(tsk_Name,(ROW()-ROW(MSPTasks[[#Headers],[ID]])))="",TRUE()),"",IF(INDEX(tsk_IsSummary,(ROW()-ROW(MSPTasks[[#Headers],[ID]]))),"",N(INDEX(tsk_Duration,(ROW()-ROW(MSPTasks[[#Headers],[ID]]))))&amp;"d"))</f>
        <v/>
      </c>
      <c r="G78" s="127" t="str">
        <f aca="false">IF(IFERROR(INDEX(tsk_Name,(ROW()-ROW(MSPTasks[[#Headers],[ID]])))="",TRUE()),"",INDEX(tsk_FcStart,(ROW()-ROW(MSPTasks[[#Headers],[ID]]))))</f>
        <v/>
      </c>
      <c r="H78" s="127" t="str">
        <f aca="false">IF(IFERROR(INDEX(tsk_Name,(ROW()-ROW(MSPTasks[[#Headers],[ID]])))="",TRUE()),"",INDEX(tsk_FcFinish,(ROW()-ROW(MSPTasks[[#Headers],[ID]]))))</f>
        <v/>
      </c>
      <c r="I78" s="24" t="str">
        <f aca="false">IF(IFERROR(INDEX(tsk_Name,(ROW()-ROW(MSPTasks[[#Headers],[ID]])))="",TRUE()),"",IF(INDEX(tsk_IsSummary,(ROW()-ROW(MSPTasks[[#Headers],[ID]]))),"",INDEX(tsk_Predecessors,(ROW()-ROW(MSPTasks[[#Headers],[ID]])))))</f>
        <v/>
      </c>
      <c r="J78" s="24" t="str">
        <f aca="false">IF(IFERROR(INDEX(tsk_Name,(ROW()-ROW(MSPTasks[[#Headers],[ID]])))="",TRUE()),"",IF(INDEX(tsk_IsSummary,(ROW()-ROW(MSPTasks[[#Headers],[ID]]))),"",INDEX(tsk_UIDPredecessors,(ROW()-ROW(MSPTasks[[#Headers],[ID]])))))</f>
        <v/>
      </c>
      <c r="K7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8" s="24" t="str">
        <f aca="false">IF(IFERROR(INDEX(tsk_Name,(ROW()-ROW(MSPTasks[[#Headers],[ID]])))="",TRUE()),"",IF(INDEX(tsk_IsSummary,(ROW()-ROW(MSPTasks[[#Headers],[ID]]))),"",ROUND(INDEX(tsk_Progress,(ROW()-ROW(MSPTasks[[#Headers],[ID]])))*100,0)))</f>
        <v/>
      </c>
      <c r="M78" s="127" t="str">
        <f aca="false">IF(IFERROR(INDEX(tsk_Name,(ROW()-ROW(MSPTasks[[#Headers],[ID]])))="",TRUE()),"",IF(N(INDEX(tsk_ActStart,(ROW()-ROW(MSPTasks[[#Headers],[ID]]))))=0,"",INDEX(tsk_ActStart,(ROW()-ROW(MSPTasks[[#Headers],[ID]])))))</f>
        <v/>
      </c>
      <c r="N78" s="127" t="str">
        <f aca="false">IF(IFERROR(INDEX(tsk_Name,(ROW()-ROW(MSPTasks[[#Headers],[ID]])))="",TRUE()),"",IF(N(INDEX(tsk_ActFinish,(ROW()-ROW(MSPTasks[[#Headers],[ID]]))))=0,"",INDEX(tsk_ActFinish,(ROW()-ROW(MSPTasks[[#Headers],[ID]])))))</f>
        <v/>
      </c>
      <c r="O78" s="127" t="str">
        <f aca="false">IF(IFERROR(INDEX(tsk_Name,(ROW()-ROW(MSPTasks[[#Headers],[ID]])))="",TRUE()),"",INDEX(tsk_PlanStart,(ROW()-ROW(MSPTasks[[#Headers],[ID]]))))</f>
        <v/>
      </c>
      <c r="P78" s="127" t="str">
        <f aca="false">IF(IFERROR(INDEX(tsk_Name,(ROW()-ROW(MSPTasks[[#Headers],[ID]])))="",TRUE()),"",INDEX(tsk_PlanFinish,(ROW()-ROW(MSPTasks[[#Headers],[ID]]))))</f>
        <v/>
      </c>
      <c r="Q78" s="24" t="str">
        <f aca="false">IF(IFERROR(INDEX(tsk_Name,(ROW()-ROW(MSPTasks[[#Headers],[ID]])))="",TRUE()),"",IF(INDEX(tsk_BaseDuration,(ROW()-ROW(MSPTasks[[#Headers],[ID]])))="","",N(INDEX(tsk_BaseDuration,(ROW()-ROW(MSPTasks[[#Headers],[ID]]))))&amp;"d"))</f>
        <v/>
      </c>
      <c r="R78" s="24" t="str">
        <f aca="false">IF(IFERROR(INDEX(tsk_Name,(ROW()-ROW(MSPTasks[[#Headers],[ID]])))="",TRUE()),"",IF(INDEX(tsk_BaseWork,(ROW()-ROW(MSPTasks[[#Headers],[ID]])))="","",N(INDEX(tsk_BaseWork,(ROW()-ROW(MSPTasks[[#Headers],[ID]]))))&amp;"h"))</f>
        <v/>
      </c>
      <c r="S78" s="24" t="str">
        <f aca="false">IF(IFERROR(INDEX(tsk_Name,(ROW()-ROW(MSPTasks[[#Headers],[ID]])))="",TRUE()),"",IF(INDEX(tsk_BaseCost,(ROW()-ROW(MSPTasks[[#Headers],[ID]])))="","",N(INDEX(tsk_BaseCost,(ROW()-ROW(MSPTasks[[#Headers],[ID]]))))))</f>
        <v/>
      </c>
      <c r="T78" s="24" t="str">
        <f aca="false">IF(IFERROR(INDEX(tsk_Name,(ROW()-ROW(MSPTasks[[#Headers],[ID]])))="",TRUE()),"",IF(INDEX(tsk_IsSummary,(ROW()-ROW(MSPTasks[[#Headers],[ID]]))),"",IF(N(INDEX(tsk_ActCostInput,(ROW()-ROW(MSPTasks[[#Headers],[ID]]))))=0,"",INDEX(tsk_ActCostInput,(ROW()-ROW(MSPTasks[[#Headers],[ID]]))))))</f>
        <v/>
      </c>
      <c r="U78" s="24" t="str">
        <f aca="false">IF(IFERROR(INDEX(tsk_Name,(ROW()-ROW(MSPTasks[[#Headers],[ID]])))="",TRUE()),"",IF(INDEX(tsk_IsSummary,(ROW()-ROW(MSPTasks[[#Headers],[ID]]))),"",IF(AND(INDEX(tsk_Mode,(ROW()-ROW(MSPTasks[[#Headers],[ID]])))&lt;&gt;"Manual",N(INDEX(tsk_Constraint,(ROW()-ROW(MSPTasks[[#Headers],[ID]]))))&gt;0),"Start No Earlier Than","As Soon As Possible")))</f>
        <v/>
      </c>
      <c r="V78" s="127" t="str">
        <f aca="false">IF(IFERROR(INDEX(tsk_Name,(ROW()-ROW(MSPTasks[[#Headers],[ID]])))="",TRUE()),"",IF(OR(INDEX(tsk_IsSummary,(ROW()-ROW(MSPTasks[[#Headers],[ID]]))),INDEX(tsk_Mode,(ROW()-ROW(MSPTasks[[#Headers],[ID]])))="Manual"),"",IF(N(INDEX(tsk_Constraint,(ROW()-ROW(MSPTasks[[#Headers],[ID]]))))=0,"",INDEX(tsk_Constraint,(ROW()-ROW(MSPTasks[[#Headers],[ID]]))))))</f>
        <v/>
      </c>
      <c r="W78" s="127" t="str">
        <f aca="false">IF(IFERROR(INDEX(tsk_Name,(ROW()-ROW(MSPTasks[[#Headers],[ID]])))="",TRUE()),"",IF(N(INDEX(tsk_Deadline,(ROW()-ROW(MSPTasks[[#Headers],[ID]]))))=0,"",INDEX(tsk_Deadline,(ROW()-ROW(MSPTasks[[#Headers],[ID]])))))</f>
        <v/>
      </c>
      <c r="X78" s="24" t="str">
        <f aca="false">IF(IFERROR(INDEX(tsk_Name,(ROW()-ROW(MSPTasks[[#Headers],[ID]])))="",TRUE()),"",IF(INDEX(tsk_IsSummary,(ROW()-ROW(MSPTasks[[#Headers],[ID]]))),"",INDEX(tsk_Sprint,(ROW()-ROW(MSPTasks[[#Headers],[ID]])))&amp;""))</f>
        <v/>
      </c>
      <c r="Y78" s="24" t="str">
        <f aca="false">IF(IFERROR(INDEX(tsk_Name,(ROW()-ROW(MSPTasks[[#Headers],[ID]])))="",TRUE()),"",IF(INDEX(tsk_IsSummary,(ROW()-ROW(MSPTasks[[#Headers],[ID]]))),"",IF(N(INDEX(tsk_StoryPoints,(ROW()-ROW(MSPTasks[[#Headers],[ID]]))))=0,"",INDEX(tsk_StoryPoints,(ROW()-ROW(MSPTasks[[#Headers],[ID]]))))))</f>
        <v/>
      </c>
      <c r="Z78" s="24" t="str">
        <f aca="false">IF(IFERROR(INDEX(tsk_Name,(ROW()-ROW(MSPTasks[[#Headers],[ID]])))="",TRUE()),"",INDEX(tsk_Notes,(ROW()-ROW(MSPTasks[[#Headers],[ID]])))&amp;"")</f>
        <v/>
      </c>
    </row>
    <row r="79" customFormat="false" ht="15" hidden="false" customHeight="false" outlineLevel="0" collapsed="false">
      <c r="A79" s="24" t="str">
        <f aca="false">IF(IFERROR(INDEX(tsk_Name,(ROW()-ROW(MSPTasks[[#Headers],[ID]])))="",TRUE()),"",INDEX(tsk_ID,(ROW()-ROW(MSPTasks[[#Headers],[ID]]))))</f>
        <v/>
      </c>
      <c r="B79" s="24" t="str">
        <f aca="false">IF(IFERROR(INDEX(tsk_Name,(ROW()-ROW(MSPTasks[[#Headers],[ID]])))="",TRUE()),"",INDEX(tsk_UID,(ROW()-ROW(MSPTasks[[#Headers],[ID]]))))</f>
        <v/>
      </c>
      <c r="C79" s="24" t="str">
        <f aca="false">IF(IFERROR(INDEX(tsk_Name,(ROW()-ROW(MSPTasks[[#Headers],[ID]])))="",TRUE()),"",INDEX(tsk_Name,(ROW()-ROW(MSPTasks[[#Headers],[ID]]))))</f>
        <v/>
      </c>
      <c r="D79" s="24" t="str">
        <f aca="false">IF(IFERROR(INDEX(tsk_Name,(ROW()-ROW(MSPTasks[[#Headers],[ID]])))="",TRUE()),"",INDEX(tsk_Level,(ROW()-ROW(MSPTasks[[#Headers],[ID]]))))</f>
        <v/>
      </c>
      <c r="E79" s="24" t="str">
        <f aca="false">IF(IFERROR(INDEX(tsk_Name,(ROW()-ROW(MSPTasks[[#Headers],[ID]])))="",TRUE()),"",IF(INDEX(tsk_Mode,(ROW()-ROW(MSPTasks[[#Headers],[ID]])))="Manual","Manually Scheduled","Auto Scheduled"))</f>
        <v/>
      </c>
      <c r="F79" s="24" t="str">
        <f aca="false">IF(IFERROR(INDEX(tsk_Name,(ROW()-ROW(MSPTasks[[#Headers],[ID]])))="",TRUE()),"",IF(INDEX(tsk_IsSummary,(ROW()-ROW(MSPTasks[[#Headers],[ID]]))),"",N(INDEX(tsk_Duration,(ROW()-ROW(MSPTasks[[#Headers],[ID]]))))&amp;"d"))</f>
        <v/>
      </c>
      <c r="G79" s="127" t="str">
        <f aca="false">IF(IFERROR(INDEX(tsk_Name,(ROW()-ROW(MSPTasks[[#Headers],[ID]])))="",TRUE()),"",INDEX(tsk_FcStart,(ROW()-ROW(MSPTasks[[#Headers],[ID]]))))</f>
        <v/>
      </c>
      <c r="H79" s="127" t="str">
        <f aca="false">IF(IFERROR(INDEX(tsk_Name,(ROW()-ROW(MSPTasks[[#Headers],[ID]])))="",TRUE()),"",INDEX(tsk_FcFinish,(ROW()-ROW(MSPTasks[[#Headers],[ID]]))))</f>
        <v/>
      </c>
      <c r="I79" s="24" t="str">
        <f aca="false">IF(IFERROR(INDEX(tsk_Name,(ROW()-ROW(MSPTasks[[#Headers],[ID]])))="",TRUE()),"",IF(INDEX(tsk_IsSummary,(ROW()-ROW(MSPTasks[[#Headers],[ID]]))),"",INDEX(tsk_Predecessors,(ROW()-ROW(MSPTasks[[#Headers],[ID]])))))</f>
        <v/>
      </c>
      <c r="J79" s="24" t="str">
        <f aca="false">IF(IFERROR(INDEX(tsk_Name,(ROW()-ROW(MSPTasks[[#Headers],[ID]])))="",TRUE()),"",IF(INDEX(tsk_IsSummary,(ROW()-ROW(MSPTasks[[#Headers],[ID]]))),"",INDEX(tsk_UIDPredecessors,(ROW()-ROW(MSPTasks[[#Headers],[ID]])))))</f>
        <v/>
      </c>
      <c r="K7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9" s="24" t="str">
        <f aca="false">IF(IFERROR(INDEX(tsk_Name,(ROW()-ROW(MSPTasks[[#Headers],[ID]])))="",TRUE()),"",IF(INDEX(tsk_IsSummary,(ROW()-ROW(MSPTasks[[#Headers],[ID]]))),"",ROUND(INDEX(tsk_Progress,(ROW()-ROW(MSPTasks[[#Headers],[ID]])))*100,0)))</f>
        <v/>
      </c>
      <c r="M79" s="127" t="str">
        <f aca="false">IF(IFERROR(INDEX(tsk_Name,(ROW()-ROW(MSPTasks[[#Headers],[ID]])))="",TRUE()),"",IF(N(INDEX(tsk_ActStart,(ROW()-ROW(MSPTasks[[#Headers],[ID]]))))=0,"",INDEX(tsk_ActStart,(ROW()-ROW(MSPTasks[[#Headers],[ID]])))))</f>
        <v/>
      </c>
      <c r="N79" s="127" t="str">
        <f aca="false">IF(IFERROR(INDEX(tsk_Name,(ROW()-ROW(MSPTasks[[#Headers],[ID]])))="",TRUE()),"",IF(N(INDEX(tsk_ActFinish,(ROW()-ROW(MSPTasks[[#Headers],[ID]]))))=0,"",INDEX(tsk_ActFinish,(ROW()-ROW(MSPTasks[[#Headers],[ID]])))))</f>
        <v/>
      </c>
      <c r="O79" s="127" t="str">
        <f aca="false">IF(IFERROR(INDEX(tsk_Name,(ROW()-ROW(MSPTasks[[#Headers],[ID]])))="",TRUE()),"",INDEX(tsk_PlanStart,(ROW()-ROW(MSPTasks[[#Headers],[ID]]))))</f>
        <v/>
      </c>
      <c r="P79" s="127" t="str">
        <f aca="false">IF(IFERROR(INDEX(tsk_Name,(ROW()-ROW(MSPTasks[[#Headers],[ID]])))="",TRUE()),"",INDEX(tsk_PlanFinish,(ROW()-ROW(MSPTasks[[#Headers],[ID]]))))</f>
        <v/>
      </c>
      <c r="Q79" s="24" t="str">
        <f aca="false">IF(IFERROR(INDEX(tsk_Name,(ROW()-ROW(MSPTasks[[#Headers],[ID]])))="",TRUE()),"",IF(INDEX(tsk_BaseDuration,(ROW()-ROW(MSPTasks[[#Headers],[ID]])))="","",N(INDEX(tsk_BaseDuration,(ROW()-ROW(MSPTasks[[#Headers],[ID]]))))&amp;"d"))</f>
        <v/>
      </c>
      <c r="R79" s="24" t="str">
        <f aca="false">IF(IFERROR(INDEX(tsk_Name,(ROW()-ROW(MSPTasks[[#Headers],[ID]])))="",TRUE()),"",IF(INDEX(tsk_BaseWork,(ROW()-ROW(MSPTasks[[#Headers],[ID]])))="","",N(INDEX(tsk_BaseWork,(ROW()-ROW(MSPTasks[[#Headers],[ID]]))))&amp;"h"))</f>
        <v/>
      </c>
      <c r="S79" s="24" t="str">
        <f aca="false">IF(IFERROR(INDEX(tsk_Name,(ROW()-ROW(MSPTasks[[#Headers],[ID]])))="",TRUE()),"",IF(INDEX(tsk_BaseCost,(ROW()-ROW(MSPTasks[[#Headers],[ID]])))="","",N(INDEX(tsk_BaseCost,(ROW()-ROW(MSPTasks[[#Headers],[ID]]))))))</f>
        <v/>
      </c>
      <c r="T79" s="24" t="str">
        <f aca="false">IF(IFERROR(INDEX(tsk_Name,(ROW()-ROW(MSPTasks[[#Headers],[ID]])))="",TRUE()),"",IF(INDEX(tsk_IsSummary,(ROW()-ROW(MSPTasks[[#Headers],[ID]]))),"",IF(N(INDEX(tsk_ActCostInput,(ROW()-ROW(MSPTasks[[#Headers],[ID]]))))=0,"",INDEX(tsk_ActCostInput,(ROW()-ROW(MSPTasks[[#Headers],[ID]]))))))</f>
        <v/>
      </c>
      <c r="U79" s="24" t="str">
        <f aca="false">IF(IFERROR(INDEX(tsk_Name,(ROW()-ROW(MSPTasks[[#Headers],[ID]])))="",TRUE()),"",IF(INDEX(tsk_IsSummary,(ROW()-ROW(MSPTasks[[#Headers],[ID]]))),"",IF(AND(INDEX(tsk_Mode,(ROW()-ROW(MSPTasks[[#Headers],[ID]])))&lt;&gt;"Manual",N(INDEX(tsk_Constraint,(ROW()-ROW(MSPTasks[[#Headers],[ID]]))))&gt;0),"Start No Earlier Than","As Soon As Possible")))</f>
        <v/>
      </c>
      <c r="V79" s="127" t="str">
        <f aca="false">IF(IFERROR(INDEX(tsk_Name,(ROW()-ROW(MSPTasks[[#Headers],[ID]])))="",TRUE()),"",IF(OR(INDEX(tsk_IsSummary,(ROW()-ROW(MSPTasks[[#Headers],[ID]]))),INDEX(tsk_Mode,(ROW()-ROW(MSPTasks[[#Headers],[ID]])))="Manual"),"",IF(N(INDEX(tsk_Constraint,(ROW()-ROW(MSPTasks[[#Headers],[ID]]))))=0,"",INDEX(tsk_Constraint,(ROW()-ROW(MSPTasks[[#Headers],[ID]]))))))</f>
        <v/>
      </c>
      <c r="W79" s="127" t="str">
        <f aca="false">IF(IFERROR(INDEX(tsk_Name,(ROW()-ROW(MSPTasks[[#Headers],[ID]])))="",TRUE()),"",IF(N(INDEX(tsk_Deadline,(ROW()-ROW(MSPTasks[[#Headers],[ID]]))))=0,"",INDEX(tsk_Deadline,(ROW()-ROW(MSPTasks[[#Headers],[ID]])))))</f>
        <v/>
      </c>
      <c r="X79" s="24" t="str">
        <f aca="false">IF(IFERROR(INDEX(tsk_Name,(ROW()-ROW(MSPTasks[[#Headers],[ID]])))="",TRUE()),"",IF(INDEX(tsk_IsSummary,(ROW()-ROW(MSPTasks[[#Headers],[ID]]))),"",INDEX(tsk_Sprint,(ROW()-ROW(MSPTasks[[#Headers],[ID]])))&amp;""))</f>
        <v/>
      </c>
      <c r="Y79" s="24" t="str">
        <f aca="false">IF(IFERROR(INDEX(tsk_Name,(ROW()-ROW(MSPTasks[[#Headers],[ID]])))="",TRUE()),"",IF(INDEX(tsk_IsSummary,(ROW()-ROW(MSPTasks[[#Headers],[ID]]))),"",IF(N(INDEX(tsk_StoryPoints,(ROW()-ROW(MSPTasks[[#Headers],[ID]]))))=0,"",INDEX(tsk_StoryPoints,(ROW()-ROW(MSPTasks[[#Headers],[ID]]))))))</f>
        <v/>
      </c>
      <c r="Z79" s="24" t="str">
        <f aca="false">IF(IFERROR(INDEX(tsk_Name,(ROW()-ROW(MSPTasks[[#Headers],[ID]])))="",TRUE()),"",INDEX(tsk_Notes,(ROW()-ROW(MSPTasks[[#Headers],[ID]])))&amp;"")</f>
        <v/>
      </c>
    </row>
    <row r="80" customFormat="false" ht="15" hidden="false" customHeight="false" outlineLevel="0" collapsed="false">
      <c r="A80" s="24" t="str">
        <f aca="false">IF(IFERROR(INDEX(tsk_Name,(ROW()-ROW(MSPTasks[[#Headers],[ID]])))="",TRUE()),"",INDEX(tsk_ID,(ROW()-ROW(MSPTasks[[#Headers],[ID]]))))</f>
        <v/>
      </c>
      <c r="B80" s="24" t="str">
        <f aca="false">IF(IFERROR(INDEX(tsk_Name,(ROW()-ROW(MSPTasks[[#Headers],[ID]])))="",TRUE()),"",INDEX(tsk_UID,(ROW()-ROW(MSPTasks[[#Headers],[ID]]))))</f>
        <v/>
      </c>
      <c r="C80" s="24" t="str">
        <f aca="false">IF(IFERROR(INDEX(tsk_Name,(ROW()-ROW(MSPTasks[[#Headers],[ID]])))="",TRUE()),"",INDEX(tsk_Name,(ROW()-ROW(MSPTasks[[#Headers],[ID]]))))</f>
        <v/>
      </c>
      <c r="D80" s="24" t="str">
        <f aca="false">IF(IFERROR(INDEX(tsk_Name,(ROW()-ROW(MSPTasks[[#Headers],[ID]])))="",TRUE()),"",INDEX(tsk_Level,(ROW()-ROW(MSPTasks[[#Headers],[ID]]))))</f>
        <v/>
      </c>
      <c r="E80" s="24" t="str">
        <f aca="false">IF(IFERROR(INDEX(tsk_Name,(ROW()-ROW(MSPTasks[[#Headers],[ID]])))="",TRUE()),"",IF(INDEX(tsk_Mode,(ROW()-ROW(MSPTasks[[#Headers],[ID]])))="Manual","Manually Scheduled","Auto Scheduled"))</f>
        <v/>
      </c>
      <c r="F80" s="24" t="str">
        <f aca="false">IF(IFERROR(INDEX(tsk_Name,(ROW()-ROW(MSPTasks[[#Headers],[ID]])))="",TRUE()),"",IF(INDEX(tsk_IsSummary,(ROW()-ROW(MSPTasks[[#Headers],[ID]]))),"",N(INDEX(tsk_Duration,(ROW()-ROW(MSPTasks[[#Headers],[ID]]))))&amp;"d"))</f>
        <v/>
      </c>
      <c r="G80" s="127" t="str">
        <f aca="false">IF(IFERROR(INDEX(tsk_Name,(ROW()-ROW(MSPTasks[[#Headers],[ID]])))="",TRUE()),"",INDEX(tsk_FcStart,(ROW()-ROW(MSPTasks[[#Headers],[ID]]))))</f>
        <v/>
      </c>
      <c r="H80" s="127" t="str">
        <f aca="false">IF(IFERROR(INDEX(tsk_Name,(ROW()-ROW(MSPTasks[[#Headers],[ID]])))="",TRUE()),"",INDEX(tsk_FcFinish,(ROW()-ROW(MSPTasks[[#Headers],[ID]]))))</f>
        <v/>
      </c>
      <c r="I80" s="24" t="str">
        <f aca="false">IF(IFERROR(INDEX(tsk_Name,(ROW()-ROW(MSPTasks[[#Headers],[ID]])))="",TRUE()),"",IF(INDEX(tsk_IsSummary,(ROW()-ROW(MSPTasks[[#Headers],[ID]]))),"",INDEX(tsk_Predecessors,(ROW()-ROW(MSPTasks[[#Headers],[ID]])))))</f>
        <v/>
      </c>
      <c r="J80" s="24" t="str">
        <f aca="false">IF(IFERROR(INDEX(tsk_Name,(ROW()-ROW(MSPTasks[[#Headers],[ID]])))="",TRUE()),"",IF(INDEX(tsk_IsSummary,(ROW()-ROW(MSPTasks[[#Headers],[ID]]))),"",INDEX(tsk_UIDPredecessors,(ROW()-ROW(MSPTasks[[#Headers],[ID]])))))</f>
        <v/>
      </c>
      <c r="K8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0" s="24" t="str">
        <f aca="false">IF(IFERROR(INDEX(tsk_Name,(ROW()-ROW(MSPTasks[[#Headers],[ID]])))="",TRUE()),"",IF(INDEX(tsk_IsSummary,(ROW()-ROW(MSPTasks[[#Headers],[ID]]))),"",ROUND(INDEX(tsk_Progress,(ROW()-ROW(MSPTasks[[#Headers],[ID]])))*100,0)))</f>
        <v/>
      </c>
      <c r="M80" s="127" t="str">
        <f aca="false">IF(IFERROR(INDEX(tsk_Name,(ROW()-ROW(MSPTasks[[#Headers],[ID]])))="",TRUE()),"",IF(N(INDEX(tsk_ActStart,(ROW()-ROW(MSPTasks[[#Headers],[ID]]))))=0,"",INDEX(tsk_ActStart,(ROW()-ROW(MSPTasks[[#Headers],[ID]])))))</f>
        <v/>
      </c>
      <c r="N80" s="127" t="str">
        <f aca="false">IF(IFERROR(INDEX(tsk_Name,(ROW()-ROW(MSPTasks[[#Headers],[ID]])))="",TRUE()),"",IF(N(INDEX(tsk_ActFinish,(ROW()-ROW(MSPTasks[[#Headers],[ID]]))))=0,"",INDEX(tsk_ActFinish,(ROW()-ROW(MSPTasks[[#Headers],[ID]])))))</f>
        <v/>
      </c>
      <c r="O80" s="127" t="str">
        <f aca="false">IF(IFERROR(INDEX(tsk_Name,(ROW()-ROW(MSPTasks[[#Headers],[ID]])))="",TRUE()),"",INDEX(tsk_PlanStart,(ROW()-ROW(MSPTasks[[#Headers],[ID]]))))</f>
        <v/>
      </c>
      <c r="P80" s="127" t="str">
        <f aca="false">IF(IFERROR(INDEX(tsk_Name,(ROW()-ROW(MSPTasks[[#Headers],[ID]])))="",TRUE()),"",INDEX(tsk_PlanFinish,(ROW()-ROW(MSPTasks[[#Headers],[ID]]))))</f>
        <v/>
      </c>
      <c r="Q80" s="24" t="str">
        <f aca="false">IF(IFERROR(INDEX(tsk_Name,(ROW()-ROW(MSPTasks[[#Headers],[ID]])))="",TRUE()),"",IF(INDEX(tsk_BaseDuration,(ROW()-ROW(MSPTasks[[#Headers],[ID]])))="","",N(INDEX(tsk_BaseDuration,(ROW()-ROW(MSPTasks[[#Headers],[ID]]))))&amp;"d"))</f>
        <v/>
      </c>
      <c r="R80" s="24" t="str">
        <f aca="false">IF(IFERROR(INDEX(tsk_Name,(ROW()-ROW(MSPTasks[[#Headers],[ID]])))="",TRUE()),"",IF(INDEX(tsk_BaseWork,(ROW()-ROW(MSPTasks[[#Headers],[ID]])))="","",N(INDEX(tsk_BaseWork,(ROW()-ROW(MSPTasks[[#Headers],[ID]]))))&amp;"h"))</f>
        <v/>
      </c>
      <c r="S80" s="24" t="str">
        <f aca="false">IF(IFERROR(INDEX(tsk_Name,(ROW()-ROW(MSPTasks[[#Headers],[ID]])))="",TRUE()),"",IF(INDEX(tsk_BaseCost,(ROW()-ROW(MSPTasks[[#Headers],[ID]])))="","",N(INDEX(tsk_BaseCost,(ROW()-ROW(MSPTasks[[#Headers],[ID]]))))))</f>
        <v/>
      </c>
      <c r="T80" s="24" t="str">
        <f aca="false">IF(IFERROR(INDEX(tsk_Name,(ROW()-ROW(MSPTasks[[#Headers],[ID]])))="",TRUE()),"",IF(INDEX(tsk_IsSummary,(ROW()-ROW(MSPTasks[[#Headers],[ID]]))),"",IF(N(INDEX(tsk_ActCostInput,(ROW()-ROW(MSPTasks[[#Headers],[ID]]))))=0,"",INDEX(tsk_ActCostInput,(ROW()-ROW(MSPTasks[[#Headers],[ID]]))))))</f>
        <v/>
      </c>
      <c r="U80" s="24" t="str">
        <f aca="false">IF(IFERROR(INDEX(tsk_Name,(ROW()-ROW(MSPTasks[[#Headers],[ID]])))="",TRUE()),"",IF(INDEX(tsk_IsSummary,(ROW()-ROW(MSPTasks[[#Headers],[ID]]))),"",IF(AND(INDEX(tsk_Mode,(ROW()-ROW(MSPTasks[[#Headers],[ID]])))&lt;&gt;"Manual",N(INDEX(tsk_Constraint,(ROW()-ROW(MSPTasks[[#Headers],[ID]]))))&gt;0),"Start No Earlier Than","As Soon As Possible")))</f>
        <v/>
      </c>
      <c r="V80" s="127" t="str">
        <f aca="false">IF(IFERROR(INDEX(tsk_Name,(ROW()-ROW(MSPTasks[[#Headers],[ID]])))="",TRUE()),"",IF(OR(INDEX(tsk_IsSummary,(ROW()-ROW(MSPTasks[[#Headers],[ID]]))),INDEX(tsk_Mode,(ROW()-ROW(MSPTasks[[#Headers],[ID]])))="Manual"),"",IF(N(INDEX(tsk_Constraint,(ROW()-ROW(MSPTasks[[#Headers],[ID]]))))=0,"",INDEX(tsk_Constraint,(ROW()-ROW(MSPTasks[[#Headers],[ID]]))))))</f>
        <v/>
      </c>
      <c r="W80" s="127" t="str">
        <f aca="false">IF(IFERROR(INDEX(tsk_Name,(ROW()-ROW(MSPTasks[[#Headers],[ID]])))="",TRUE()),"",IF(N(INDEX(tsk_Deadline,(ROW()-ROW(MSPTasks[[#Headers],[ID]]))))=0,"",INDEX(tsk_Deadline,(ROW()-ROW(MSPTasks[[#Headers],[ID]])))))</f>
        <v/>
      </c>
      <c r="X80" s="24" t="str">
        <f aca="false">IF(IFERROR(INDEX(tsk_Name,(ROW()-ROW(MSPTasks[[#Headers],[ID]])))="",TRUE()),"",IF(INDEX(tsk_IsSummary,(ROW()-ROW(MSPTasks[[#Headers],[ID]]))),"",INDEX(tsk_Sprint,(ROW()-ROW(MSPTasks[[#Headers],[ID]])))&amp;""))</f>
        <v/>
      </c>
      <c r="Y80" s="24" t="str">
        <f aca="false">IF(IFERROR(INDEX(tsk_Name,(ROW()-ROW(MSPTasks[[#Headers],[ID]])))="",TRUE()),"",IF(INDEX(tsk_IsSummary,(ROW()-ROW(MSPTasks[[#Headers],[ID]]))),"",IF(N(INDEX(tsk_StoryPoints,(ROW()-ROW(MSPTasks[[#Headers],[ID]]))))=0,"",INDEX(tsk_StoryPoints,(ROW()-ROW(MSPTasks[[#Headers],[ID]]))))))</f>
        <v/>
      </c>
      <c r="Z80" s="24" t="str">
        <f aca="false">IF(IFERROR(INDEX(tsk_Name,(ROW()-ROW(MSPTasks[[#Headers],[ID]])))="",TRUE()),"",INDEX(tsk_Notes,(ROW()-ROW(MSPTasks[[#Headers],[ID]])))&amp;"")</f>
        <v/>
      </c>
    </row>
    <row r="81" customFormat="false" ht="15" hidden="false" customHeight="false" outlineLevel="0" collapsed="false">
      <c r="A81" s="24" t="str">
        <f aca="false">IF(IFERROR(INDEX(tsk_Name,(ROW()-ROW(MSPTasks[[#Headers],[ID]])))="",TRUE()),"",INDEX(tsk_ID,(ROW()-ROW(MSPTasks[[#Headers],[ID]]))))</f>
        <v/>
      </c>
      <c r="B81" s="24" t="str">
        <f aca="false">IF(IFERROR(INDEX(tsk_Name,(ROW()-ROW(MSPTasks[[#Headers],[ID]])))="",TRUE()),"",INDEX(tsk_UID,(ROW()-ROW(MSPTasks[[#Headers],[ID]]))))</f>
        <v/>
      </c>
      <c r="C81" s="24" t="str">
        <f aca="false">IF(IFERROR(INDEX(tsk_Name,(ROW()-ROW(MSPTasks[[#Headers],[ID]])))="",TRUE()),"",INDEX(tsk_Name,(ROW()-ROW(MSPTasks[[#Headers],[ID]]))))</f>
        <v/>
      </c>
      <c r="D81" s="24" t="str">
        <f aca="false">IF(IFERROR(INDEX(tsk_Name,(ROW()-ROW(MSPTasks[[#Headers],[ID]])))="",TRUE()),"",INDEX(tsk_Level,(ROW()-ROW(MSPTasks[[#Headers],[ID]]))))</f>
        <v/>
      </c>
      <c r="E81" s="24" t="str">
        <f aca="false">IF(IFERROR(INDEX(tsk_Name,(ROW()-ROW(MSPTasks[[#Headers],[ID]])))="",TRUE()),"",IF(INDEX(tsk_Mode,(ROW()-ROW(MSPTasks[[#Headers],[ID]])))="Manual","Manually Scheduled","Auto Scheduled"))</f>
        <v/>
      </c>
      <c r="F81" s="24" t="str">
        <f aca="false">IF(IFERROR(INDEX(tsk_Name,(ROW()-ROW(MSPTasks[[#Headers],[ID]])))="",TRUE()),"",IF(INDEX(tsk_IsSummary,(ROW()-ROW(MSPTasks[[#Headers],[ID]]))),"",N(INDEX(tsk_Duration,(ROW()-ROW(MSPTasks[[#Headers],[ID]]))))&amp;"d"))</f>
        <v/>
      </c>
      <c r="G81" s="127" t="str">
        <f aca="false">IF(IFERROR(INDEX(tsk_Name,(ROW()-ROW(MSPTasks[[#Headers],[ID]])))="",TRUE()),"",INDEX(tsk_FcStart,(ROW()-ROW(MSPTasks[[#Headers],[ID]]))))</f>
        <v/>
      </c>
      <c r="H81" s="127" t="str">
        <f aca="false">IF(IFERROR(INDEX(tsk_Name,(ROW()-ROW(MSPTasks[[#Headers],[ID]])))="",TRUE()),"",INDEX(tsk_FcFinish,(ROW()-ROW(MSPTasks[[#Headers],[ID]]))))</f>
        <v/>
      </c>
      <c r="I81" s="24" t="str">
        <f aca="false">IF(IFERROR(INDEX(tsk_Name,(ROW()-ROW(MSPTasks[[#Headers],[ID]])))="",TRUE()),"",IF(INDEX(tsk_IsSummary,(ROW()-ROW(MSPTasks[[#Headers],[ID]]))),"",INDEX(tsk_Predecessors,(ROW()-ROW(MSPTasks[[#Headers],[ID]])))))</f>
        <v/>
      </c>
      <c r="J81" s="24" t="str">
        <f aca="false">IF(IFERROR(INDEX(tsk_Name,(ROW()-ROW(MSPTasks[[#Headers],[ID]])))="",TRUE()),"",IF(INDEX(tsk_IsSummary,(ROW()-ROW(MSPTasks[[#Headers],[ID]]))),"",INDEX(tsk_UIDPredecessors,(ROW()-ROW(MSPTasks[[#Headers],[ID]])))))</f>
        <v/>
      </c>
      <c r="K8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1" s="24" t="str">
        <f aca="false">IF(IFERROR(INDEX(tsk_Name,(ROW()-ROW(MSPTasks[[#Headers],[ID]])))="",TRUE()),"",IF(INDEX(tsk_IsSummary,(ROW()-ROW(MSPTasks[[#Headers],[ID]]))),"",ROUND(INDEX(tsk_Progress,(ROW()-ROW(MSPTasks[[#Headers],[ID]])))*100,0)))</f>
        <v/>
      </c>
      <c r="M81" s="127" t="str">
        <f aca="false">IF(IFERROR(INDEX(tsk_Name,(ROW()-ROW(MSPTasks[[#Headers],[ID]])))="",TRUE()),"",IF(N(INDEX(tsk_ActStart,(ROW()-ROW(MSPTasks[[#Headers],[ID]]))))=0,"",INDEX(tsk_ActStart,(ROW()-ROW(MSPTasks[[#Headers],[ID]])))))</f>
        <v/>
      </c>
      <c r="N81" s="127" t="str">
        <f aca="false">IF(IFERROR(INDEX(tsk_Name,(ROW()-ROW(MSPTasks[[#Headers],[ID]])))="",TRUE()),"",IF(N(INDEX(tsk_ActFinish,(ROW()-ROW(MSPTasks[[#Headers],[ID]]))))=0,"",INDEX(tsk_ActFinish,(ROW()-ROW(MSPTasks[[#Headers],[ID]])))))</f>
        <v/>
      </c>
      <c r="O81" s="127" t="str">
        <f aca="false">IF(IFERROR(INDEX(tsk_Name,(ROW()-ROW(MSPTasks[[#Headers],[ID]])))="",TRUE()),"",INDEX(tsk_PlanStart,(ROW()-ROW(MSPTasks[[#Headers],[ID]]))))</f>
        <v/>
      </c>
      <c r="P81" s="127" t="str">
        <f aca="false">IF(IFERROR(INDEX(tsk_Name,(ROW()-ROW(MSPTasks[[#Headers],[ID]])))="",TRUE()),"",INDEX(tsk_PlanFinish,(ROW()-ROW(MSPTasks[[#Headers],[ID]]))))</f>
        <v/>
      </c>
      <c r="Q81" s="24" t="str">
        <f aca="false">IF(IFERROR(INDEX(tsk_Name,(ROW()-ROW(MSPTasks[[#Headers],[ID]])))="",TRUE()),"",IF(INDEX(tsk_BaseDuration,(ROW()-ROW(MSPTasks[[#Headers],[ID]])))="","",N(INDEX(tsk_BaseDuration,(ROW()-ROW(MSPTasks[[#Headers],[ID]]))))&amp;"d"))</f>
        <v/>
      </c>
      <c r="R81" s="24" t="str">
        <f aca="false">IF(IFERROR(INDEX(tsk_Name,(ROW()-ROW(MSPTasks[[#Headers],[ID]])))="",TRUE()),"",IF(INDEX(tsk_BaseWork,(ROW()-ROW(MSPTasks[[#Headers],[ID]])))="","",N(INDEX(tsk_BaseWork,(ROW()-ROW(MSPTasks[[#Headers],[ID]]))))&amp;"h"))</f>
        <v/>
      </c>
      <c r="S81" s="24" t="str">
        <f aca="false">IF(IFERROR(INDEX(tsk_Name,(ROW()-ROW(MSPTasks[[#Headers],[ID]])))="",TRUE()),"",IF(INDEX(tsk_BaseCost,(ROW()-ROW(MSPTasks[[#Headers],[ID]])))="","",N(INDEX(tsk_BaseCost,(ROW()-ROW(MSPTasks[[#Headers],[ID]]))))))</f>
        <v/>
      </c>
      <c r="T81" s="24" t="str">
        <f aca="false">IF(IFERROR(INDEX(tsk_Name,(ROW()-ROW(MSPTasks[[#Headers],[ID]])))="",TRUE()),"",IF(INDEX(tsk_IsSummary,(ROW()-ROW(MSPTasks[[#Headers],[ID]]))),"",IF(N(INDEX(tsk_ActCostInput,(ROW()-ROW(MSPTasks[[#Headers],[ID]]))))=0,"",INDEX(tsk_ActCostInput,(ROW()-ROW(MSPTasks[[#Headers],[ID]]))))))</f>
        <v/>
      </c>
      <c r="U81" s="24" t="str">
        <f aca="false">IF(IFERROR(INDEX(tsk_Name,(ROW()-ROW(MSPTasks[[#Headers],[ID]])))="",TRUE()),"",IF(INDEX(tsk_IsSummary,(ROW()-ROW(MSPTasks[[#Headers],[ID]]))),"",IF(AND(INDEX(tsk_Mode,(ROW()-ROW(MSPTasks[[#Headers],[ID]])))&lt;&gt;"Manual",N(INDEX(tsk_Constraint,(ROW()-ROW(MSPTasks[[#Headers],[ID]]))))&gt;0),"Start No Earlier Than","As Soon As Possible")))</f>
        <v/>
      </c>
      <c r="V81" s="127" t="str">
        <f aca="false">IF(IFERROR(INDEX(tsk_Name,(ROW()-ROW(MSPTasks[[#Headers],[ID]])))="",TRUE()),"",IF(OR(INDEX(tsk_IsSummary,(ROW()-ROW(MSPTasks[[#Headers],[ID]]))),INDEX(tsk_Mode,(ROW()-ROW(MSPTasks[[#Headers],[ID]])))="Manual"),"",IF(N(INDEX(tsk_Constraint,(ROW()-ROW(MSPTasks[[#Headers],[ID]]))))=0,"",INDEX(tsk_Constraint,(ROW()-ROW(MSPTasks[[#Headers],[ID]]))))))</f>
        <v/>
      </c>
      <c r="W81" s="127" t="str">
        <f aca="false">IF(IFERROR(INDEX(tsk_Name,(ROW()-ROW(MSPTasks[[#Headers],[ID]])))="",TRUE()),"",IF(N(INDEX(tsk_Deadline,(ROW()-ROW(MSPTasks[[#Headers],[ID]]))))=0,"",INDEX(tsk_Deadline,(ROW()-ROW(MSPTasks[[#Headers],[ID]])))))</f>
        <v/>
      </c>
      <c r="X81" s="24" t="str">
        <f aca="false">IF(IFERROR(INDEX(tsk_Name,(ROW()-ROW(MSPTasks[[#Headers],[ID]])))="",TRUE()),"",IF(INDEX(tsk_IsSummary,(ROW()-ROW(MSPTasks[[#Headers],[ID]]))),"",INDEX(tsk_Sprint,(ROW()-ROW(MSPTasks[[#Headers],[ID]])))&amp;""))</f>
        <v/>
      </c>
      <c r="Y81" s="24" t="str">
        <f aca="false">IF(IFERROR(INDEX(tsk_Name,(ROW()-ROW(MSPTasks[[#Headers],[ID]])))="",TRUE()),"",IF(INDEX(tsk_IsSummary,(ROW()-ROW(MSPTasks[[#Headers],[ID]]))),"",IF(N(INDEX(tsk_StoryPoints,(ROW()-ROW(MSPTasks[[#Headers],[ID]]))))=0,"",INDEX(tsk_StoryPoints,(ROW()-ROW(MSPTasks[[#Headers],[ID]]))))))</f>
        <v/>
      </c>
      <c r="Z81" s="24" t="str">
        <f aca="false">IF(IFERROR(INDEX(tsk_Name,(ROW()-ROW(MSPTasks[[#Headers],[ID]])))="",TRUE()),"",INDEX(tsk_Notes,(ROW()-ROW(MSPTasks[[#Headers],[ID]])))&amp;"")</f>
        <v/>
      </c>
    </row>
    <row r="82" customFormat="false" ht="15" hidden="false" customHeight="false" outlineLevel="0" collapsed="false">
      <c r="A82" s="24" t="str">
        <f aca="false">IF(IFERROR(INDEX(tsk_Name,(ROW()-ROW(MSPTasks[[#Headers],[ID]])))="",TRUE()),"",INDEX(tsk_ID,(ROW()-ROW(MSPTasks[[#Headers],[ID]]))))</f>
        <v/>
      </c>
      <c r="B82" s="24" t="str">
        <f aca="false">IF(IFERROR(INDEX(tsk_Name,(ROW()-ROW(MSPTasks[[#Headers],[ID]])))="",TRUE()),"",INDEX(tsk_UID,(ROW()-ROW(MSPTasks[[#Headers],[ID]]))))</f>
        <v/>
      </c>
      <c r="C82" s="24" t="str">
        <f aca="false">IF(IFERROR(INDEX(tsk_Name,(ROW()-ROW(MSPTasks[[#Headers],[ID]])))="",TRUE()),"",INDEX(tsk_Name,(ROW()-ROW(MSPTasks[[#Headers],[ID]]))))</f>
        <v/>
      </c>
      <c r="D82" s="24" t="str">
        <f aca="false">IF(IFERROR(INDEX(tsk_Name,(ROW()-ROW(MSPTasks[[#Headers],[ID]])))="",TRUE()),"",INDEX(tsk_Level,(ROW()-ROW(MSPTasks[[#Headers],[ID]]))))</f>
        <v/>
      </c>
      <c r="E82" s="24" t="str">
        <f aca="false">IF(IFERROR(INDEX(tsk_Name,(ROW()-ROW(MSPTasks[[#Headers],[ID]])))="",TRUE()),"",IF(INDEX(tsk_Mode,(ROW()-ROW(MSPTasks[[#Headers],[ID]])))="Manual","Manually Scheduled","Auto Scheduled"))</f>
        <v/>
      </c>
      <c r="F82" s="24" t="str">
        <f aca="false">IF(IFERROR(INDEX(tsk_Name,(ROW()-ROW(MSPTasks[[#Headers],[ID]])))="",TRUE()),"",IF(INDEX(tsk_IsSummary,(ROW()-ROW(MSPTasks[[#Headers],[ID]]))),"",N(INDEX(tsk_Duration,(ROW()-ROW(MSPTasks[[#Headers],[ID]]))))&amp;"d"))</f>
        <v/>
      </c>
      <c r="G82" s="127" t="str">
        <f aca="false">IF(IFERROR(INDEX(tsk_Name,(ROW()-ROW(MSPTasks[[#Headers],[ID]])))="",TRUE()),"",INDEX(tsk_FcStart,(ROW()-ROW(MSPTasks[[#Headers],[ID]]))))</f>
        <v/>
      </c>
      <c r="H82" s="127" t="str">
        <f aca="false">IF(IFERROR(INDEX(tsk_Name,(ROW()-ROW(MSPTasks[[#Headers],[ID]])))="",TRUE()),"",INDEX(tsk_FcFinish,(ROW()-ROW(MSPTasks[[#Headers],[ID]]))))</f>
        <v/>
      </c>
      <c r="I82" s="24" t="str">
        <f aca="false">IF(IFERROR(INDEX(tsk_Name,(ROW()-ROW(MSPTasks[[#Headers],[ID]])))="",TRUE()),"",IF(INDEX(tsk_IsSummary,(ROW()-ROW(MSPTasks[[#Headers],[ID]]))),"",INDEX(tsk_Predecessors,(ROW()-ROW(MSPTasks[[#Headers],[ID]])))))</f>
        <v/>
      </c>
      <c r="J82" s="24" t="str">
        <f aca="false">IF(IFERROR(INDEX(tsk_Name,(ROW()-ROW(MSPTasks[[#Headers],[ID]])))="",TRUE()),"",IF(INDEX(tsk_IsSummary,(ROW()-ROW(MSPTasks[[#Headers],[ID]]))),"",INDEX(tsk_UIDPredecessors,(ROW()-ROW(MSPTasks[[#Headers],[ID]])))))</f>
        <v/>
      </c>
      <c r="K8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2" s="24" t="str">
        <f aca="false">IF(IFERROR(INDEX(tsk_Name,(ROW()-ROW(MSPTasks[[#Headers],[ID]])))="",TRUE()),"",IF(INDEX(tsk_IsSummary,(ROW()-ROW(MSPTasks[[#Headers],[ID]]))),"",ROUND(INDEX(tsk_Progress,(ROW()-ROW(MSPTasks[[#Headers],[ID]])))*100,0)))</f>
        <v/>
      </c>
      <c r="M82" s="127" t="str">
        <f aca="false">IF(IFERROR(INDEX(tsk_Name,(ROW()-ROW(MSPTasks[[#Headers],[ID]])))="",TRUE()),"",IF(N(INDEX(tsk_ActStart,(ROW()-ROW(MSPTasks[[#Headers],[ID]]))))=0,"",INDEX(tsk_ActStart,(ROW()-ROW(MSPTasks[[#Headers],[ID]])))))</f>
        <v/>
      </c>
      <c r="N82" s="127" t="str">
        <f aca="false">IF(IFERROR(INDEX(tsk_Name,(ROW()-ROW(MSPTasks[[#Headers],[ID]])))="",TRUE()),"",IF(N(INDEX(tsk_ActFinish,(ROW()-ROW(MSPTasks[[#Headers],[ID]]))))=0,"",INDEX(tsk_ActFinish,(ROW()-ROW(MSPTasks[[#Headers],[ID]])))))</f>
        <v/>
      </c>
      <c r="O82" s="127" t="str">
        <f aca="false">IF(IFERROR(INDEX(tsk_Name,(ROW()-ROW(MSPTasks[[#Headers],[ID]])))="",TRUE()),"",INDEX(tsk_PlanStart,(ROW()-ROW(MSPTasks[[#Headers],[ID]]))))</f>
        <v/>
      </c>
      <c r="P82" s="127" t="str">
        <f aca="false">IF(IFERROR(INDEX(tsk_Name,(ROW()-ROW(MSPTasks[[#Headers],[ID]])))="",TRUE()),"",INDEX(tsk_PlanFinish,(ROW()-ROW(MSPTasks[[#Headers],[ID]]))))</f>
        <v/>
      </c>
      <c r="Q82" s="24" t="str">
        <f aca="false">IF(IFERROR(INDEX(tsk_Name,(ROW()-ROW(MSPTasks[[#Headers],[ID]])))="",TRUE()),"",IF(INDEX(tsk_BaseDuration,(ROW()-ROW(MSPTasks[[#Headers],[ID]])))="","",N(INDEX(tsk_BaseDuration,(ROW()-ROW(MSPTasks[[#Headers],[ID]]))))&amp;"d"))</f>
        <v/>
      </c>
      <c r="R82" s="24" t="str">
        <f aca="false">IF(IFERROR(INDEX(tsk_Name,(ROW()-ROW(MSPTasks[[#Headers],[ID]])))="",TRUE()),"",IF(INDEX(tsk_BaseWork,(ROW()-ROW(MSPTasks[[#Headers],[ID]])))="","",N(INDEX(tsk_BaseWork,(ROW()-ROW(MSPTasks[[#Headers],[ID]]))))&amp;"h"))</f>
        <v/>
      </c>
      <c r="S82" s="24" t="str">
        <f aca="false">IF(IFERROR(INDEX(tsk_Name,(ROW()-ROW(MSPTasks[[#Headers],[ID]])))="",TRUE()),"",IF(INDEX(tsk_BaseCost,(ROW()-ROW(MSPTasks[[#Headers],[ID]])))="","",N(INDEX(tsk_BaseCost,(ROW()-ROW(MSPTasks[[#Headers],[ID]]))))))</f>
        <v/>
      </c>
      <c r="T82" s="24" t="str">
        <f aca="false">IF(IFERROR(INDEX(tsk_Name,(ROW()-ROW(MSPTasks[[#Headers],[ID]])))="",TRUE()),"",IF(INDEX(tsk_IsSummary,(ROW()-ROW(MSPTasks[[#Headers],[ID]]))),"",IF(N(INDEX(tsk_ActCostInput,(ROW()-ROW(MSPTasks[[#Headers],[ID]]))))=0,"",INDEX(tsk_ActCostInput,(ROW()-ROW(MSPTasks[[#Headers],[ID]]))))))</f>
        <v/>
      </c>
      <c r="U82" s="24" t="str">
        <f aca="false">IF(IFERROR(INDEX(tsk_Name,(ROW()-ROW(MSPTasks[[#Headers],[ID]])))="",TRUE()),"",IF(INDEX(tsk_IsSummary,(ROW()-ROW(MSPTasks[[#Headers],[ID]]))),"",IF(AND(INDEX(tsk_Mode,(ROW()-ROW(MSPTasks[[#Headers],[ID]])))&lt;&gt;"Manual",N(INDEX(tsk_Constraint,(ROW()-ROW(MSPTasks[[#Headers],[ID]]))))&gt;0),"Start No Earlier Than","As Soon As Possible")))</f>
        <v/>
      </c>
      <c r="V82" s="127" t="str">
        <f aca="false">IF(IFERROR(INDEX(tsk_Name,(ROW()-ROW(MSPTasks[[#Headers],[ID]])))="",TRUE()),"",IF(OR(INDEX(tsk_IsSummary,(ROW()-ROW(MSPTasks[[#Headers],[ID]]))),INDEX(tsk_Mode,(ROW()-ROW(MSPTasks[[#Headers],[ID]])))="Manual"),"",IF(N(INDEX(tsk_Constraint,(ROW()-ROW(MSPTasks[[#Headers],[ID]]))))=0,"",INDEX(tsk_Constraint,(ROW()-ROW(MSPTasks[[#Headers],[ID]]))))))</f>
        <v/>
      </c>
      <c r="W82" s="127" t="str">
        <f aca="false">IF(IFERROR(INDEX(tsk_Name,(ROW()-ROW(MSPTasks[[#Headers],[ID]])))="",TRUE()),"",IF(N(INDEX(tsk_Deadline,(ROW()-ROW(MSPTasks[[#Headers],[ID]]))))=0,"",INDEX(tsk_Deadline,(ROW()-ROW(MSPTasks[[#Headers],[ID]])))))</f>
        <v/>
      </c>
      <c r="X82" s="24" t="str">
        <f aca="false">IF(IFERROR(INDEX(tsk_Name,(ROW()-ROW(MSPTasks[[#Headers],[ID]])))="",TRUE()),"",IF(INDEX(tsk_IsSummary,(ROW()-ROW(MSPTasks[[#Headers],[ID]]))),"",INDEX(tsk_Sprint,(ROW()-ROW(MSPTasks[[#Headers],[ID]])))&amp;""))</f>
        <v/>
      </c>
      <c r="Y82" s="24" t="str">
        <f aca="false">IF(IFERROR(INDEX(tsk_Name,(ROW()-ROW(MSPTasks[[#Headers],[ID]])))="",TRUE()),"",IF(INDEX(tsk_IsSummary,(ROW()-ROW(MSPTasks[[#Headers],[ID]]))),"",IF(N(INDEX(tsk_StoryPoints,(ROW()-ROW(MSPTasks[[#Headers],[ID]]))))=0,"",INDEX(tsk_StoryPoints,(ROW()-ROW(MSPTasks[[#Headers],[ID]]))))))</f>
        <v/>
      </c>
      <c r="Z82" s="24" t="str">
        <f aca="false">IF(IFERROR(INDEX(tsk_Name,(ROW()-ROW(MSPTasks[[#Headers],[ID]])))="",TRUE()),"",INDEX(tsk_Notes,(ROW()-ROW(MSPTasks[[#Headers],[ID]])))&amp;"")</f>
        <v/>
      </c>
    </row>
    <row r="83" customFormat="false" ht="15" hidden="false" customHeight="false" outlineLevel="0" collapsed="false">
      <c r="A83" s="24" t="str">
        <f aca="false">IF(IFERROR(INDEX(tsk_Name,(ROW()-ROW(MSPTasks[[#Headers],[ID]])))="",TRUE()),"",INDEX(tsk_ID,(ROW()-ROW(MSPTasks[[#Headers],[ID]]))))</f>
        <v/>
      </c>
      <c r="B83" s="24" t="str">
        <f aca="false">IF(IFERROR(INDEX(tsk_Name,(ROW()-ROW(MSPTasks[[#Headers],[ID]])))="",TRUE()),"",INDEX(tsk_UID,(ROW()-ROW(MSPTasks[[#Headers],[ID]]))))</f>
        <v/>
      </c>
      <c r="C83" s="24" t="str">
        <f aca="false">IF(IFERROR(INDEX(tsk_Name,(ROW()-ROW(MSPTasks[[#Headers],[ID]])))="",TRUE()),"",INDEX(tsk_Name,(ROW()-ROW(MSPTasks[[#Headers],[ID]]))))</f>
        <v/>
      </c>
      <c r="D83" s="24" t="str">
        <f aca="false">IF(IFERROR(INDEX(tsk_Name,(ROW()-ROW(MSPTasks[[#Headers],[ID]])))="",TRUE()),"",INDEX(tsk_Level,(ROW()-ROW(MSPTasks[[#Headers],[ID]]))))</f>
        <v/>
      </c>
      <c r="E83" s="24" t="str">
        <f aca="false">IF(IFERROR(INDEX(tsk_Name,(ROW()-ROW(MSPTasks[[#Headers],[ID]])))="",TRUE()),"",IF(INDEX(tsk_Mode,(ROW()-ROW(MSPTasks[[#Headers],[ID]])))="Manual","Manually Scheduled","Auto Scheduled"))</f>
        <v/>
      </c>
      <c r="F83" s="24" t="str">
        <f aca="false">IF(IFERROR(INDEX(tsk_Name,(ROW()-ROW(MSPTasks[[#Headers],[ID]])))="",TRUE()),"",IF(INDEX(tsk_IsSummary,(ROW()-ROW(MSPTasks[[#Headers],[ID]]))),"",N(INDEX(tsk_Duration,(ROW()-ROW(MSPTasks[[#Headers],[ID]]))))&amp;"d"))</f>
        <v/>
      </c>
      <c r="G83" s="127" t="str">
        <f aca="false">IF(IFERROR(INDEX(tsk_Name,(ROW()-ROW(MSPTasks[[#Headers],[ID]])))="",TRUE()),"",INDEX(tsk_FcStart,(ROW()-ROW(MSPTasks[[#Headers],[ID]]))))</f>
        <v/>
      </c>
      <c r="H83" s="127" t="str">
        <f aca="false">IF(IFERROR(INDEX(tsk_Name,(ROW()-ROW(MSPTasks[[#Headers],[ID]])))="",TRUE()),"",INDEX(tsk_FcFinish,(ROW()-ROW(MSPTasks[[#Headers],[ID]]))))</f>
        <v/>
      </c>
      <c r="I83" s="24" t="str">
        <f aca="false">IF(IFERROR(INDEX(tsk_Name,(ROW()-ROW(MSPTasks[[#Headers],[ID]])))="",TRUE()),"",IF(INDEX(tsk_IsSummary,(ROW()-ROW(MSPTasks[[#Headers],[ID]]))),"",INDEX(tsk_Predecessors,(ROW()-ROW(MSPTasks[[#Headers],[ID]])))))</f>
        <v/>
      </c>
      <c r="J83" s="24" t="str">
        <f aca="false">IF(IFERROR(INDEX(tsk_Name,(ROW()-ROW(MSPTasks[[#Headers],[ID]])))="",TRUE()),"",IF(INDEX(tsk_IsSummary,(ROW()-ROW(MSPTasks[[#Headers],[ID]]))),"",INDEX(tsk_UIDPredecessors,(ROW()-ROW(MSPTasks[[#Headers],[ID]])))))</f>
        <v/>
      </c>
      <c r="K8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3" s="24" t="str">
        <f aca="false">IF(IFERROR(INDEX(tsk_Name,(ROW()-ROW(MSPTasks[[#Headers],[ID]])))="",TRUE()),"",IF(INDEX(tsk_IsSummary,(ROW()-ROW(MSPTasks[[#Headers],[ID]]))),"",ROUND(INDEX(tsk_Progress,(ROW()-ROW(MSPTasks[[#Headers],[ID]])))*100,0)))</f>
        <v/>
      </c>
      <c r="M83" s="127" t="str">
        <f aca="false">IF(IFERROR(INDEX(tsk_Name,(ROW()-ROW(MSPTasks[[#Headers],[ID]])))="",TRUE()),"",IF(N(INDEX(tsk_ActStart,(ROW()-ROW(MSPTasks[[#Headers],[ID]]))))=0,"",INDEX(tsk_ActStart,(ROW()-ROW(MSPTasks[[#Headers],[ID]])))))</f>
        <v/>
      </c>
      <c r="N83" s="127" t="str">
        <f aca="false">IF(IFERROR(INDEX(tsk_Name,(ROW()-ROW(MSPTasks[[#Headers],[ID]])))="",TRUE()),"",IF(N(INDEX(tsk_ActFinish,(ROW()-ROW(MSPTasks[[#Headers],[ID]]))))=0,"",INDEX(tsk_ActFinish,(ROW()-ROW(MSPTasks[[#Headers],[ID]])))))</f>
        <v/>
      </c>
      <c r="O83" s="127" t="str">
        <f aca="false">IF(IFERROR(INDEX(tsk_Name,(ROW()-ROW(MSPTasks[[#Headers],[ID]])))="",TRUE()),"",INDEX(tsk_PlanStart,(ROW()-ROW(MSPTasks[[#Headers],[ID]]))))</f>
        <v/>
      </c>
      <c r="P83" s="127" t="str">
        <f aca="false">IF(IFERROR(INDEX(tsk_Name,(ROW()-ROW(MSPTasks[[#Headers],[ID]])))="",TRUE()),"",INDEX(tsk_PlanFinish,(ROW()-ROW(MSPTasks[[#Headers],[ID]]))))</f>
        <v/>
      </c>
      <c r="Q83" s="24" t="str">
        <f aca="false">IF(IFERROR(INDEX(tsk_Name,(ROW()-ROW(MSPTasks[[#Headers],[ID]])))="",TRUE()),"",IF(INDEX(tsk_BaseDuration,(ROW()-ROW(MSPTasks[[#Headers],[ID]])))="","",N(INDEX(tsk_BaseDuration,(ROW()-ROW(MSPTasks[[#Headers],[ID]]))))&amp;"d"))</f>
        <v/>
      </c>
      <c r="R83" s="24" t="str">
        <f aca="false">IF(IFERROR(INDEX(tsk_Name,(ROW()-ROW(MSPTasks[[#Headers],[ID]])))="",TRUE()),"",IF(INDEX(tsk_BaseWork,(ROW()-ROW(MSPTasks[[#Headers],[ID]])))="","",N(INDEX(tsk_BaseWork,(ROW()-ROW(MSPTasks[[#Headers],[ID]]))))&amp;"h"))</f>
        <v/>
      </c>
      <c r="S83" s="24" t="str">
        <f aca="false">IF(IFERROR(INDEX(tsk_Name,(ROW()-ROW(MSPTasks[[#Headers],[ID]])))="",TRUE()),"",IF(INDEX(tsk_BaseCost,(ROW()-ROW(MSPTasks[[#Headers],[ID]])))="","",N(INDEX(tsk_BaseCost,(ROW()-ROW(MSPTasks[[#Headers],[ID]]))))))</f>
        <v/>
      </c>
      <c r="T83" s="24" t="str">
        <f aca="false">IF(IFERROR(INDEX(tsk_Name,(ROW()-ROW(MSPTasks[[#Headers],[ID]])))="",TRUE()),"",IF(INDEX(tsk_IsSummary,(ROW()-ROW(MSPTasks[[#Headers],[ID]]))),"",IF(N(INDEX(tsk_ActCostInput,(ROW()-ROW(MSPTasks[[#Headers],[ID]]))))=0,"",INDEX(tsk_ActCostInput,(ROW()-ROW(MSPTasks[[#Headers],[ID]]))))))</f>
        <v/>
      </c>
      <c r="U83" s="24" t="str">
        <f aca="false">IF(IFERROR(INDEX(tsk_Name,(ROW()-ROW(MSPTasks[[#Headers],[ID]])))="",TRUE()),"",IF(INDEX(tsk_IsSummary,(ROW()-ROW(MSPTasks[[#Headers],[ID]]))),"",IF(AND(INDEX(tsk_Mode,(ROW()-ROW(MSPTasks[[#Headers],[ID]])))&lt;&gt;"Manual",N(INDEX(tsk_Constraint,(ROW()-ROW(MSPTasks[[#Headers],[ID]]))))&gt;0),"Start No Earlier Than","As Soon As Possible")))</f>
        <v/>
      </c>
      <c r="V83" s="127" t="str">
        <f aca="false">IF(IFERROR(INDEX(tsk_Name,(ROW()-ROW(MSPTasks[[#Headers],[ID]])))="",TRUE()),"",IF(OR(INDEX(tsk_IsSummary,(ROW()-ROW(MSPTasks[[#Headers],[ID]]))),INDEX(tsk_Mode,(ROW()-ROW(MSPTasks[[#Headers],[ID]])))="Manual"),"",IF(N(INDEX(tsk_Constraint,(ROW()-ROW(MSPTasks[[#Headers],[ID]]))))=0,"",INDEX(tsk_Constraint,(ROW()-ROW(MSPTasks[[#Headers],[ID]]))))))</f>
        <v/>
      </c>
      <c r="W83" s="127" t="str">
        <f aca="false">IF(IFERROR(INDEX(tsk_Name,(ROW()-ROW(MSPTasks[[#Headers],[ID]])))="",TRUE()),"",IF(N(INDEX(tsk_Deadline,(ROW()-ROW(MSPTasks[[#Headers],[ID]]))))=0,"",INDEX(tsk_Deadline,(ROW()-ROW(MSPTasks[[#Headers],[ID]])))))</f>
        <v/>
      </c>
      <c r="X83" s="24" t="str">
        <f aca="false">IF(IFERROR(INDEX(tsk_Name,(ROW()-ROW(MSPTasks[[#Headers],[ID]])))="",TRUE()),"",IF(INDEX(tsk_IsSummary,(ROW()-ROW(MSPTasks[[#Headers],[ID]]))),"",INDEX(tsk_Sprint,(ROW()-ROW(MSPTasks[[#Headers],[ID]])))&amp;""))</f>
        <v/>
      </c>
      <c r="Y83" s="24" t="str">
        <f aca="false">IF(IFERROR(INDEX(tsk_Name,(ROW()-ROW(MSPTasks[[#Headers],[ID]])))="",TRUE()),"",IF(INDEX(tsk_IsSummary,(ROW()-ROW(MSPTasks[[#Headers],[ID]]))),"",IF(N(INDEX(tsk_StoryPoints,(ROW()-ROW(MSPTasks[[#Headers],[ID]]))))=0,"",INDEX(tsk_StoryPoints,(ROW()-ROW(MSPTasks[[#Headers],[ID]]))))))</f>
        <v/>
      </c>
      <c r="Z83" s="24" t="str">
        <f aca="false">IF(IFERROR(INDEX(tsk_Name,(ROW()-ROW(MSPTasks[[#Headers],[ID]])))="",TRUE()),"",INDEX(tsk_Notes,(ROW()-ROW(MSPTasks[[#Headers],[ID]])))&amp;"")</f>
        <v/>
      </c>
    </row>
    <row r="84" customFormat="false" ht="15" hidden="false" customHeight="false" outlineLevel="0" collapsed="false">
      <c r="A84" s="24" t="str">
        <f aca="false">IF(IFERROR(INDEX(tsk_Name,(ROW()-ROW(MSPTasks[[#Headers],[ID]])))="",TRUE()),"",INDEX(tsk_ID,(ROW()-ROW(MSPTasks[[#Headers],[ID]]))))</f>
        <v/>
      </c>
      <c r="B84" s="24" t="str">
        <f aca="false">IF(IFERROR(INDEX(tsk_Name,(ROW()-ROW(MSPTasks[[#Headers],[ID]])))="",TRUE()),"",INDEX(tsk_UID,(ROW()-ROW(MSPTasks[[#Headers],[ID]]))))</f>
        <v/>
      </c>
      <c r="C84" s="24" t="str">
        <f aca="false">IF(IFERROR(INDEX(tsk_Name,(ROW()-ROW(MSPTasks[[#Headers],[ID]])))="",TRUE()),"",INDEX(tsk_Name,(ROW()-ROW(MSPTasks[[#Headers],[ID]]))))</f>
        <v/>
      </c>
      <c r="D84" s="24" t="str">
        <f aca="false">IF(IFERROR(INDEX(tsk_Name,(ROW()-ROW(MSPTasks[[#Headers],[ID]])))="",TRUE()),"",INDEX(tsk_Level,(ROW()-ROW(MSPTasks[[#Headers],[ID]]))))</f>
        <v/>
      </c>
      <c r="E84" s="24" t="str">
        <f aca="false">IF(IFERROR(INDEX(tsk_Name,(ROW()-ROW(MSPTasks[[#Headers],[ID]])))="",TRUE()),"",IF(INDEX(tsk_Mode,(ROW()-ROW(MSPTasks[[#Headers],[ID]])))="Manual","Manually Scheduled","Auto Scheduled"))</f>
        <v/>
      </c>
      <c r="F84" s="24" t="str">
        <f aca="false">IF(IFERROR(INDEX(tsk_Name,(ROW()-ROW(MSPTasks[[#Headers],[ID]])))="",TRUE()),"",IF(INDEX(tsk_IsSummary,(ROW()-ROW(MSPTasks[[#Headers],[ID]]))),"",N(INDEX(tsk_Duration,(ROW()-ROW(MSPTasks[[#Headers],[ID]]))))&amp;"d"))</f>
        <v/>
      </c>
      <c r="G84" s="127" t="str">
        <f aca="false">IF(IFERROR(INDEX(tsk_Name,(ROW()-ROW(MSPTasks[[#Headers],[ID]])))="",TRUE()),"",INDEX(tsk_FcStart,(ROW()-ROW(MSPTasks[[#Headers],[ID]]))))</f>
        <v/>
      </c>
      <c r="H84" s="127" t="str">
        <f aca="false">IF(IFERROR(INDEX(tsk_Name,(ROW()-ROW(MSPTasks[[#Headers],[ID]])))="",TRUE()),"",INDEX(tsk_FcFinish,(ROW()-ROW(MSPTasks[[#Headers],[ID]]))))</f>
        <v/>
      </c>
      <c r="I84" s="24" t="str">
        <f aca="false">IF(IFERROR(INDEX(tsk_Name,(ROW()-ROW(MSPTasks[[#Headers],[ID]])))="",TRUE()),"",IF(INDEX(tsk_IsSummary,(ROW()-ROW(MSPTasks[[#Headers],[ID]]))),"",INDEX(tsk_Predecessors,(ROW()-ROW(MSPTasks[[#Headers],[ID]])))))</f>
        <v/>
      </c>
      <c r="J84" s="24" t="str">
        <f aca="false">IF(IFERROR(INDEX(tsk_Name,(ROW()-ROW(MSPTasks[[#Headers],[ID]])))="",TRUE()),"",IF(INDEX(tsk_IsSummary,(ROW()-ROW(MSPTasks[[#Headers],[ID]]))),"",INDEX(tsk_UIDPredecessors,(ROW()-ROW(MSPTasks[[#Headers],[ID]])))))</f>
        <v/>
      </c>
      <c r="K8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4" s="24" t="str">
        <f aca="false">IF(IFERROR(INDEX(tsk_Name,(ROW()-ROW(MSPTasks[[#Headers],[ID]])))="",TRUE()),"",IF(INDEX(tsk_IsSummary,(ROW()-ROW(MSPTasks[[#Headers],[ID]]))),"",ROUND(INDEX(tsk_Progress,(ROW()-ROW(MSPTasks[[#Headers],[ID]])))*100,0)))</f>
        <v/>
      </c>
      <c r="M84" s="127" t="str">
        <f aca="false">IF(IFERROR(INDEX(tsk_Name,(ROW()-ROW(MSPTasks[[#Headers],[ID]])))="",TRUE()),"",IF(N(INDEX(tsk_ActStart,(ROW()-ROW(MSPTasks[[#Headers],[ID]]))))=0,"",INDEX(tsk_ActStart,(ROW()-ROW(MSPTasks[[#Headers],[ID]])))))</f>
        <v/>
      </c>
      <c r="N84" s="127" t="str">
        <f aca="false">IF(IFERROR(INDEX(tsk_Name,(ROW()-ROW(MSPTasks[[#Headers],[ID]])))="",TRUE()),"",IF(N(INDEX(tsk_ActFinish,(ROW()-ROW(MSPTasks[[#Headers],[ID]]))))=0,"",INDEX(tsk_ActFinish,(ROW()-ROW(MSPTasks[[#Headers],[ID]])))))</f>
        <v/>
      </c>
      <c r="O84" s="127" t="str">
        <f aca="false">IF(IFERROR(INDEX(tsk_Name,(ROW()-ROW(MSPTasks[[#Headers],[ID]])))="",TRUE()),"",INDEX(tsk_PlanStart,(ROW()-ROW(MSPTasks[[#Headers],[ID]]))))</f>
        <v/>
      </c>
      <c r="P84" s="127" t="str">
        <f aca="false">IF(IFERROR(INDEX(tsk_Name,(ROW()-ROW(MSPTasks[[#Headers],[ID]])))="",TRUE()),"",INDEX(tsk_PlanFinish,(ROW()-ROW(MSPTasks[[#Headers],[ID]]))))</f>
        <v/>
      </c>
      <c r="Q84" s="24" t="str">
        <f aca="false">IF(IFERROR(INDEX(tsk_Name,(ROW()-ROW(MSPTasks[[#Headers],[ID]])))="",TRUE()),"",IF(INDEX(tsk_BaseDuration,(ROW()-ROW(MSPTasks[[#Headers],[ID]])))="","",N(INDEX(tsk_BaseDuration,(ROW()-ROW(MSPTasks[[#Headers],[ID]]))))&amp;"d"))</f>
        <v/>
      </c>
      <c r="R84" s="24" t="str">
        <f aca="false">IF(IFERROR(INDEX(tsk_Name,(ROW()-ROW(MSPTasks[[#Headers],[ID]])))="",TRUE()),"",IF(INDEX(tsk_BaseWork,(ROW()-ROW(MSPTasks[[#Headers],[ID]])))="","",N(INDEX(tsk_BaseWork,(ROW()-ROW(MSPTasks[[#Headers],[ID]]))))&amp;"h"))</f>
        <v/>
      </c>
      <c r="S84" s="24" t="str">
        <f aca="false">IF(IFERROR(INDEX(tsk_Name,(ROW()-ROW(MSPTasks[[#Headers],[ID]])))="",TRUE()),"",IF(INDEX(tsk_BaseCost,(ROW()-ROW(MSPTasks[[#Headers],[ID]])))="","",N(INDEX(tsk_BaseCost,(ROW()-ROW(MSPTasks[[#Headers],[ID]]))))))</f>
        <v/>
      </c>
      <c r="T84" s="24" t="str">
        <f aca="false">IF(IFERROR(INDEX(tsk_Name,(ROW()-ROW(MSPTasks[[#Headers],[ID]])))="",TRUE()),"",IF(INDEX(tsk_IsSummary,(ROW()-ROW(MSPTasks[[#Headers],[ID]]))),"",IF(N(INDEX(tsk_ActCostInput,(ROW()-ROW(MSPTasks[[#Headers],[ID]]))))=0,"",INDEX(tsk_ActCostInput,(ROW()-ROW(MSPTasks[[#Headers],[ID]]))))))</f>
        <v/>
      </c>
      <c r="U84" s="24" t="str">
        <f aca="false">IF(IFERROR(INDEX(tsk_Name,(ROW()-ROW(MSPTasks[[#Headers],[ID]])))="",TRUE()),"",IF(INDEX(tsk_IsSummary,(ROW()-ROW(MSPTasks[[#Headers],[ID]]))),"",IF(AND(INDEX(tsk_Mode,(ROW()-ROW(MSPTasks[[#Headers],[ID]])))&lt;&gt;"Manual",N(INDEX(tsk_Constraint,(ROW()-ROW(MSPTasks[[#Headers],[ID]]))))&gt;0),"Start No Earlier Than","As Soon As Possible")))</f>
        <v/>
      </c>
      <c r="V84" s="127" t="str">
        <f aca="false">IF(IFERROR(INDEX(tsk_Name,(ROW()-ROW(MSPTasks[[#Headers],[ID]])))="",TRUE()),"",IF(OR(INDEX(tsk_IsSummary,(ROW()-ROW(MSPTasks[[#Headers],[ID]]))),INDEX(tsk_Mode,(ROW()-ROW(MSPTasks[[#Headers],[ID]])))="Manual"),"",IF(N(INDEX(tsk_Constraint,(ROW()-ROW(MSPTasks[[#Headers],[ID]]))))=0,"",INDEX(tsk_Constraint,(ROW()-ROW(MSPTasks[[#Headers],[ID]]))))))</f>
        <v/>
      </c>
      <c r="W84" s="127" t="str">
        <f aca="false">IF(IFERROR(INDEX(tsk_Name,(ROW()-ROW(MSPTasks[[#Headers],[ID]])))="",TRUE()),"",IF(N(INDEX(tsk_Deadline,(ROW()-ROW(MSPTasks[[#Headers],[ID]]))))=0,"",INDEX(tsk_Deadline,(ROW()-ROW(MSPTasks[[#Headers],[ID]])))))</f>
        <v/>
      </c>
      <c r="X84" s="24" t="str">
        <f aca="false">IF(IFERROR(INDEX(tsk_Name,(ROW()-ROW(MSPTasks[[#Headers],[ID]])))="",TRUE()),"",IF(INDEX(tsk_IsSummary,(ROW()-ROW(MSPTasks[[#Headers],[ID]]))),"",INDEX(tsk_Sprint,(ROW()-ROW(MSPTasks[[#Headers],[ID]])))&amp;""))</f>
        <v/>
      </c>
      <c r="Y84" s="24" t="str">
        <f aca="false">IF(IFERROR(INDEX(tsk_Name,(ROW()-ROW(MSPTasks[[#Headers],[ID]])))="",TRUE()),"",IF(INDEX(tsk_IsSummary,(ROW()-ROW(MSPTasks[[#Headers],[ID]]))),"",IF(N(INDEX(tsk_StoryPoints,(ROW()-ROW(MSPTasks[[#Headers],[ID]]))))=0,"",INDEX(tsk_StoryPoints,(ROW()-ROW(MSPTasks[[#Headers],[ID]]))))))</f>
        <v/>
      </c>
      <c r="Z84" s="24" t="str">
        <f aca="false">IF(IFERROR(INDEX(tsk_Name,(ROW()-ROW(MSPTasks[[#Headers],[ID]])))="",TRUE()),"",INDEX(tsk_Notes,(ROW()-ROW(MSPTasks[[#Headers],[ID]])))&amp;"")</f>
        <v/>
      </c>
    </row>
    <row r="85" customFormat="false" ht="15" hidden="false" customHeight="false" outlineLevel="0" collapsed="false">
      <c r="A85" s="24" t="str">
        <f aca="false">IF(IFERROR(INDEX(tsk_Name,(ROW()-ROW(MSPTasks[[#Headers],[ID]])))="",TRUE()),"",INDEX(tsk_ID,(ROW()-ROW(MSPTasks[[#Headers],[ID]]))))</f>
        <v/>
      </c>
      <c r="B85" s="24" t="str">
        <f aca="false">IF(IFERROR(INDEX(tsk_Name,(ROW()-ROW(MSPTasks[[#Headers],[ID]])))="",TRUE()),"",INDEX(tsk_UID,(ROW()-ROW(MSPTasks[[#Headers],[ID]]))))</f>
        <v/>
      </c>
      <c r="C85" s="24" t="str">
        <f aca="false">IF(IFERROR(INDEX(tsk_Name,(ROW()-ROW(MSPTasks[[#Headers],[ID]])))="",TRUE()),"",INDEX(tsk_Name,(ROW()-ROW(MSPTasks[[#Headers],[ID]]))))</f>
        <v/>
      </c>
      <c r="D85" s="24" t="str">
        <f aca="false">IF(IFERROR(INDEX(tsk_Name,(ROW()-ROW(MSPTasks[[#Headers],[ID]])))="",TRUE()),"",INDEX(tsk_Level,(ROW()-ROW(MSPTasks[[#Headers],[ID]]))))</f>
        <v/>
      </c>
      <c r="E85" s="24" t="str">
        <f aca="false">IF(IFERROR(INDEX(tsk_Name,(ROW()-ROW(MSPTasks[[#Headers],[ID]])))="",TRUE()),"",IF(INDEX(tsk_Mode,(ROW()-ROW(MSPTasks[[#Headers],[ID]])))="Manual","Manually Scheduled","Auto Scheduled"))</f>
        <v/>
      </c>
      <c r="F85" s="24" t="str">
        <f aca="false">IF(IFERROR(INDEX(tsk_Name,(ROW()-ROW(MSPTasks[[#Headers],[ID]])))="",TRUE()),"",IF(INDEX(tsk_IsSummary,(ROW()-ROW(MSPTasks[[#Headers],[ID]]))),"",N(INDEX(tsk_Duration,(ROW()-ROW(MSPTasks[[#Headers],[ID]]))))&amp;"d"))</f>
        <v/>
      </c>
      <c r="G85" s="127" t="str">
        <f aca="false">IF(IFERROR(INDEX(tsk_Name,(ROW()-ROW(MSPTasks[[#Headers],[ID]])))="",TRUE()),"",INDEX(tsk_FcStart,(ROW()-ROW(MSPTasks[[#Headers],[ID]]))))</f>
        <v/>
      </c>
      <c r="H85" s="127" t="str">
        <f aca="false">IF(IFERROR(INDEX(tsk_Name,(ROW()-ROW(MSPTasks[[#Headers],[ID]])))="",TRUE()),"",INDEX(tsk_FcFinish,(ROW()-ROW(MSPTasks[[#Headers],[ID]]))))</f>
        <v/>
      </c>
      <c r="I85" s="24" t="str">
        <f aca="false">IF(IFERROR(INDEX(tsk_Name,(ROW()-ROW(MSPTasks[[#Headers],[ID]])))="",TRUE()),"",IF(INDEX(tsk_IsSummary,(ROW()-ROW(MSPTasks[[#Headers],[ID]]))),"",INDEX(tsk_Predecessors,(ROW()-ROW(MSPTasks[[#Headers],[ID]])))))</f>
        <v/>
      </c>
      <c r="J85" s="24" t="str">
        <f aca="false">IF(IFERROR(INDEX(tsk_Name,(ROW()-ROW(MSPTasks[[#Headers],[ID]])))="",TRUE()),"",IF(INDEX(tsk_IsSummary,(ROW()-ROW(MSPTasks[[#Headers],[ID]]))),"",INDEX(tsk_UIDPredecessors,(ROW()-ROW(MSPTasks[[#Headers],[ID]])))))</f>
        <v/>
      </c>
      <c r="K8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5" s="24" t="str">
        <f aca="false">IF(IFERROR(INDEX(tsk_Name,(ROW()-ROW(MSPTasks[[#Headers],[ID]])))="",TRUE()),"",IF(INDEX(tsk_IsSummary,(ROW()-ROW(MSPTasks[[#Headers],[ID]]))),"",ROUND(INDEX(tsk_Progress,(ROW()-ROW(MSPTasks[[#Headers],[ID]])))*100,0)))</f>
        <v/>
      </c>
      <c r="M85" s="127" t="str">
        <f aca="false">IF(IFERROR(INDEX(tsk_Name,(ROW()-ROW(MSPTasks[[#Headers],[ID]])))="",TRUE()),"",IF(N(INDEX(tsk_ActStart,(ROW()-ROW(MSPTasks[[#Headers],[ID]]))))=0,"",INDEX(tsk_ActStart,(ROW()-ROW(MSPTasks[[#Headers],[ID]])))))</f>
        <v/>
      </c>
      <c r="N85" s="127" t="str">
        <f aca="false">IF(IFERROR(INDEX(tsk_Name,(ROW()-ROW(MSPTasks[[#Headers],[ID]])))="",TRUE()),"",IF(N(INDEX(tsk_ActFinish,(ROW()-ROW(MSPTasks[[#Headers],[ID]]))))=0,"",INDEX(tsk_ActFinish,(ROW()-ROW(MSPTasks[[#Headers],[ID]])))))</f>
        <v/>
      </c>
      <c r="O85" s="127" t="str">
        <f aca="false">IF(IFERROR(INDEX(tsk_Name,(ROW()-ROW(MSPTasks[[#Headers],[ID]])))="",TRUE()),"",INDEX(tsk_PlanStart,(ROW()-ROW(MSPTasks[[#Headers],[ID]]))))</f>
        <v/>
      </c>
      <c r="P85" s="127" t="str">
        <f aca="false">IF(IFERROR(INDEX(tsk_Name,(ROW()-ROW(MSPTasks[[#Headers],[ID]])))="",TRUE()),"",INDEX(tsk_PlanFinish,(ROW()-ROW(MSPTasks[[#Headers],[ID]]))))</f>
        <v/>
      </c>
      <c r="Q85" s="24" t="str">
        <f aca="false">IF(IFERROR(INDEX(tsk_Name,(ROW()-ROW(MSPTasks[[#Headers],[ID]])))="",TRUE()),"",IF(INDEX(tsk_BaseDuration,(ROW()-ROW(MSPTasks[[#Headers],[ID]])))="","",N(INDEX(tsk_BaseDuration,(ROW()-ROW(MSPTasks[[#Headers],[ID]]))))&amp;"d"))</f>
        <v/>
      </c>
      <c r="R85" s="24" t="str">
        <f aca="false">IF(IFERROR(INDEX(tsk_Name,(ROW()-ROW(MSPTasks[[#Headers],[ID]])))="",TRUE()),"",IF(INDEX(tsk_BaseWork,(ROW()-ROW(MSPTasks[[#Headers],[ID]])))="","",N(INDEX(tsk_BaseWork,(ROW()-ROW(MSPTasks[[#Headers],[ID]]))))&amp;"h"))</f>
        <v/>
      </c>
      <c r="S85" s="24" t="str">
        <f aca="false">IF(IFERROR(INDEX(tsk_Name,(ROW()-ROW(MSPTasks[[#Headers],[ID]])))="",TRUE()),"",IF(INDEX(tsk_BaseCost,(ROW()-ROW(MSPTasks[[#Headers],[ID]])))="","",N(INDEX(tsk_BaseCost,(ROW()-ROW(MSPTasks[[#Headers],[ID]]))))))</f>
        <v/>
      </c>
      <c r="T85" s="24" t="str">
        <f aca="false">IF(IFERROR(INDEX(tsk_Name,(ROW()-ROW(MSPTasks[[#Headers],[ID]])))="",TRUE()),"",IF(INDEX(tsk_IsSummary,(ROW()-ROW(MSPTasks[[#Headers],[ID]]))),"",IF(N(INDEX(tsk_ActCostInput,(ROW()-ROW(MSPTasks[[#Headers],[ID]]))))=0,"",INDEX(tsk_ActCostInput,(ROW()-ROW(MSPTasks[[#Headers],[ID]]))))))</f>
        <v/>
      </c>
      <c r="U85" s="24" t="str">
        <f aca="false">IF(IFERROR(INDEX(tsk_Name,(ROW()-ROW(MSPTasks[[#Headers],[ID]])))="",TRUE()),"",IF(INDEX(tsk_IsSummary,(ROW()-ROW(MSPTasks[[#Headers],[ID]]))),"",IF(AND(INDEX(tsk_Mode,(ROW()-ROW(MSPTasks[[#Headers],[ID]])))&lt;&gt;"Manual",N(INDEX(tsk_Constraint,(ROW()-ROW(MSPTasks[[#Headers],[ID]]))))&gt;0),"Start No Earlier Than","As Soon As Possible")))</f>
        <v/>
      </c>
      <c r="V85" s="127" t="str">
        <f aca="false">IF(IFERROR(INDEX(tsk_Name,(ROW()-ROW(MSPTasks[[#Headers],[ID]])))="",TRUE()),"",IF(OR(INDEX(tsk_IsSummary,(ROW()-ROW(MSPTasks[[#Headers],[ID]]))),INDEX(tsk_Mode,(ROW()-ROW(MSPTasks[[#Headers],[ID]])))="Manual"),"",IF(N(INDEX(tsk_Constraint,(ROW()-ROW(MSPTasks[[#Headers],[ID]]))))=0,"",INDEX(tsk_Constraint,(ROW()-ROW(MSPTasks[[#Headers],[ID]]))))))</f>
        <v/>
      </c>
      <c r="W85" s="127" t="str">
        <f aca="false">IF(IFERROR(INDEX(tsk_Name,(ROW()-ROW(MSPTasks[[#Headers],[ID]])))="",TRUE()),"",IF(N(INDEX(tsk_Deadline,(ROW()-ROW(MSPTasks[[#Headers],[ID]]))))=0,"",INDEX(tsk_Deadline,(ROW()-ROW(MSPTasks[[#Headers],[ID]])))))</f>
        <v/>
      </c>
      <c r="X85" s="24" t="str">
        <f aca="false">IF(IFERROR(INDEX(tsk_Name,(ROW()-ROW(MSPTasks[[#Headers],[ID]])))="",TRUE()),"",IF(INDEX(tsk_IsSummary,(ROW()-ROW(MSPTasks[[#Headers],[ID]]))),"",INDEX(tsk_Sprint,(ROW()-ROW(MSPTasks[[#Headers],[ID]])))&amp;""))</f>
        <v/>
      </c>
      <c r="Y85" s="24" t="str">
        <f aca="false">IF(IFERROR(INDEX(tsk_Name,(ROW()-ROW(MSPTasks[[#Headers],[ID]])))="",TRUE()),"",IF(INDEX(tsk_IsSummary,(ROW()-ROW(MSPTasks[[#Headers],[ID]]))),"",IF(N(INDEX(tsk_StoryPoints,(ROW()-ROW(MSPTasks[[#Headers],[ID]]))))=0,"",INDEX(tsk_StoryPoints,(ROW()-ROW(MSPTasks[[#Headers],[ID]]))))))</f>
        <v/>
      </c>
      <c r="Z85" s="24" t="str">
        <f aca="false">IF(IFERROR(INDEX(tsk_Name,(ROW()-ROW(MSPTasks[[#Headers],[ID]])))="",TRUE()),"",INDEX(tsk_Notes,(ROW()-ROW(MSPTasks[[#Headers],[ID]])))&amp;"")</f>
        <v/>
      </c>
    </row>
    <row r="86" customFormat="false" ht="15" hidden="false" customHeight="false" outlineLevel="0" collapsed="false">
      <c r="A86" s="24" t="str">
        <f aca="false">IF(IFERROR(INDEX(tsk_Name,(ROW()-ROW(MSPTasks[[#Headers],[ID]])))="",TRUE()),"",INDEX(tsk_ID,(ROW()-ROW(MSPTasks[[#Headers],[ID]]))))</f>
        <v/>
      </c>
      <c r="B86" s="24" t="str">
        <f aca="false">IF(IFERROR(INDEX(tsk_Name,(ROW()-ROW(MSPTasks[[#Headers],[ID]])))="",TRUE()),"",INDEX(tsk_UID,(ROW()-ROW(MSPTasks[[#Headers],[ID]]))))</f>
        <v/>
      </c>
      <c r="C86" s="24" t="str">
        <f aca="false">IF(IFERROR(INDEX(tsk_Name,(ROW()-ROW(MSPTasks[[#Headers],[ID]])))="",TRUE()),"",INDEX(tsk_Name,(ROW()-ROW(MSPTasks[[#Headers],[ID]]))))</f>
        <v/>
      </c>
      <c r="D86" s="24" t="str">
        <f aca="false">IF(IFERROR(INDEX(tsk_Name,(ROW()-ROW(MSPTasks[[#Headers],[ID]])))="",TRUE()),"",INDEX(tsk_Level,(ROW()-ROW(MSPTasks[[#Headers],[ID]]))))</f>
        <v/>
      </c>
      <c r="E86" s="24" t="str">
        <f aca="false">IF(IFERROR(INDEX(tsk_Name,(ROW()-ROW(MSPTasks[[#Headers],[ID]])))="",TRUE()),"",IF(INDEX(tsk_Mode,(ROW()-ROW(MSPTasks[[#Headers],[ID]])))="Manual","Manually Scheduled","Auto Scheduled"))</f>
        <v/>
      </c>
      <c r="F86" s="24" t="str">
        <f aca="false">IF(IFERROR(INDEX(tsk_Name,(ROW()-ROW(MSPTasks[[#Headers],[ID]])))="",TRUE()),"",IF(INDEX(tsk_IsSummary,(ROW()-ROW(MSPTasks[[#Headers],[ID]]))),"",N(INDEX(tsk_Duration,(ROW()-ROW(MSPTasks[[#Headers],[ID]]))))&amp;"d"))</f>
        <v/>
      </c>
      <c r="G86" s="127" t="str">
        <f aca="false">IF(IFERROR(INDEX(tsk_Name,(ROW()-ROW(MSPTasks[[#Headers],[ID]])))="",TRUE()),"",INDEX(tsk_FcStart,(ROW()-ROW(MSPTasks[[#Headers],[ID]]))))</f>
        <v/>
      </c>
      <c r="H86" s="127" t="str">
        <f aca="false">IF(IFERROR(INDEX(tsk_Name,(ROW()-ROW(MSPTasks[[#Headers],[ID]])))="",TRUE()),"",INDEX(tsk_FcFinish,(ROW()-ROW(MSPTasks[[#Headers],[ID]]))))</f>
        <v/>
      </c>
      <c r="I86" s="24" t="str">
        <f aca="false">IF(IFERROR(INDEX(tsk_Name,(ROW()-ROW(MSPTasks[[#Headers],[ID]])))="",TRUE()),"",IF(INDEX(tsk_IsSummary,(ROW()-ROW(MSPTasks[[#Headers],[ID]]))),"",INDEX(tsk_Predecessors,(ROW()-ROW(MSPTasks[[#Headers],[ID]])))))</f>
        <v/>
      </c>
      <c r="J86" s="24" t="str">
        <f aca="false">IF(IFERROR(INDEX(tsk_Name,(ROW()-ROW(MSPTasks[[#Headers],[ID]])))="",TRUE()),"",IF(INDEX(tsk_IsSummary,(ROW()-ROW(MSPTasks[[#Headers],[ID]]))),"",INDEX(tsk_UIDPredecessors,(ROW()-ROW(MSPTasks[[#Headers],[ID]])))))</f>
        <v/>
      </c>
      <c r="K8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6" s="24" t="str">
        <f aca="false">IF(IFERROR(INDEX(tsk_Name,(ROW()-ROW(MSPTasks[[#Headers],[ID]])))="",TRUE()),"",IF(INDEX(tsk_IsSummary,(ROW()-ROW(MSPTasks[[#Headers],[ID]]))),"",ROUND(INDEX(tsk_Progress,(ROW()-ROW(MSPTasks[[#Headers],[ID]])))*100,0)))</f>
        <v/>
      </c>
      <c r="M86" s="127" t="str">
        <f aca="false">IF(IFERROR(INDEX(tsk_Name,(ROW()-ROW(MSPTasks[[#Headers],[ID]])))="",TRUE()),"",IF(N(INDEX(tsk_ActStart,(ROW()-ROW(MSPTasks[[#Headers],[ID]]))))=0,"",INDEX(tsk_ActStart,(ROW()-ROW(MSPTasks[[#Headers],[ID]])))))</f>
        <v/>
      </c>
      <c r="N86" s="127" t="str">
        <f aca="false">IF(IFERROR(INDEX(tsk_Name,(ROW()-ROW(MSPTasks[[#Headers],[ID]])))="",TRUE()),"",IF(N(INDEX(tsk_ActFinish,(ROW()-ROW(MSPTasks[[#Headers],[ID]]))))=0,"",INDEX(tsk_ActFinish,(ROW()-ROW(MSPTasks[[#Headers],[ID]])))))</f>
        <v/>
      </c>
      <c r="O86" s="127" t="str">
        <f aca="false">IF(IFERROR(INDEX(tsk_Name,(ROW()-ROW(MSPTasks[[#Headers],[ID]])))="",TRUE()),"",INDEX(tsk_PlanStart,(ROW()-ROW(MSPTasks[[#Headers],[ID]]))))</f>
        <v/>
      </c>
      <c r="P86" s="127" t="str">
        <f aca="false">IF(IFERROR(INDEX(tsk_Name,(ROW()-ROW(MSPTasks[[#Headers],[ID]])))="",TRUE()),"",INDEX(tsk_PlanFinish,(ROW()-ROW(MSPTasks[[#Headers],[ID]]))))</f>
        <v/>
      </c>
      <c r="Q86" s="24" t="str">
        <f aca="false">IF(IFERROR(INDEX(tsk_Name,(ROW()-ROW(MSPTasks[[#Headers],[ID]])))="",TRUE()),"",IF(INDEX(tsk_BaseDuration,(ROW()-ROW(MSPTasks[[#Headers],[ID]])))="","",N(INDEX(tsk_BaseDuration,(ROW()-ROW(MSPTasks[[#Headers],[ID]]))))&amp;"d"))</f>
        <v/>
      </c>
      <c r="R86" s="24" t="str">
        <f aca="false">IF(IFERROR(INDEX(tsk_Name,(ROW()-ROW(MSPTasks[[#Headers],[ID]])))="",TRUE()),"",IF(INDEX(tsk_BaseWork,(ROW()-ROW(MSPTasks[[#Headers],[ID]])))="","",N(INDEX(tsk_BaseWork,(ROW()-ROW(MSPTasks[[#Headers],[ID]]))))&amp;"h"))</f>
        <v/>
      </c>
      <c r="S86" s="24" t="str">
        <f aca="false">IF(IFERROR(INDEX(tsk_Name,(ROW()-ROW(MSPTasks[[#Headers],[ID]])))="",TRUE()),"",IF(INDEX(tsk_BaseCost,(ROW()-ROW(MSPTasks[[#Headers],[ID]])))="","",N(INDEX(tsk_BaseCost,(ROW()-ROW(MSPTasks[[#Headers],[ID]]))))))</f>
        <v/>
      </c>
      <c r="T86" s="24" t="str">
        <f aca="false">IF(IFERROR(INDEX(tsk_Name,(ROW()-ROW(MSPTasks[[#Headers],[ID]])))="",TRUE()),"",IF(INDEX(tsk_IsSummary,(ROW()-ROW(MSPTasks[[#Headers],[ID]]))),"",IF(N(INDEX(tsk_ActCostInput,(ROW()-ROW(MSPTasks[[#Headers],[ID]]))))=0,"",INDEX(tsk_ActCostInput,(ROW()-ROW(MSPTasks[[#Headers],[ID]]))))))</f>
        <v/>
      </c>
      <c r="U86" s="24" t="str">
        <f aca="false">IF(IFERROR(INDEX(tsk_Name,(ROW()-ROW(MSPTasks[[#Headers],[ID]])))="",TRUE()),"",IF(INDEX(tsk_IsSummary,(ROW()-ROW(MSPTasks[[#Headers],[ID]]))),"",IF(AND(INDEX(tsk_Mode,(ROW()-ROW(MSPTasks[[#Headers],[ID]])))&lt;&gt;"Manual",N(INDEX(tsk_Constraint,(ROW()-ROW(MSPTasks[[#Headers],[ID]]))))&gt;0),"Start No Earlier Than","As Soon As Possible")))</f>
        <v/>
      </c>
      <c r="V86" s="127" t="str">
        <f aca="false">IF(IFERROR(INDEX(tsk_Name,(ROW()-ROW(MSPTasks[[#Headers],[ID]])))="",TRUE()),"",IF(OR(INDEX(tsk_IsSummary,(ROW()-ROW(MSPTasks[[#Headers],[ID]]))),INDEX(tsk_Mode,(ROW()-ROW(MSPTasks[[#Headers],[ID]])))="Manual"),"",IF(N(INDEX(tsk_Constraint,(ROW()-ROW(MSPTasks[[#Headers],[ID]]))))=0,"",INDEX(tsk_Constraint,(ROW()-ROW(MSPTasks[[#Headers],[ID]]))))))</f>
        <v/>
      </c>
      <c r="W86" s="127" t="str">
        <f aca="false">IF(IFERROR(INDEX(tsk_Name,(ROW()-ROW(MSPTasks[[#Headers],[ID]])))="",TRUE()),"",IF(N(INDEX(tsk_Deadline,(ROW()-ROW(MSPTasks[[#Headers],[ID]]))))=0,"",INDEX(tsk_Deadline,(ROW()-ROW(MSPTasks[[#Headers],[ID]])))))</f>
        <v/>
      </c>
      <c r="X86" s="24" t="str">
        <f aca="false">IF(IFERROR(INDEX(tsk_Name,(ROW()-ROW(MSPTasks[[#Headers],[ID]])))="",TRUE()),"",IF(INDEX(tsk_IsSummary,(ROW()-ROW(MSPTasks[[#Headers],[ID]]))),"",INDEX(tsk_Sprint,(ROW()-ROW(MSPTasks[[#Headers],[ID]])))&amp;""))</f>
        <v/>
      </c>
      <c r="Y86" s="24" t="str">
        <f aca="false">IF(IFERROR(INDEX(tsk_Name,(ROW()-ROW(MSPTasks[[#Headers],[ID]])))="",TRUE()),"",IF(INDEX(tsk_IsSummary,(ROW()-ROW(MSPTasks[[#Headers],[ID]]))),"",IF(N(INDEX(tsk_StoryPoints,(ROW()-ROW(MSPTasks[[#Headers],[ID]]))))=0,"",INDEX(tsk_StoryPoints,(ROW()-ROW(MSPTasks[[#Headers],[ID]]))))))</f>
        <v/>
      </c>
      <c r="Z86" s="24" t="str">
        <f aca="false">IF(IFERROR(INDEX(tsk_Name,(ROW()-ROW(MSPTasks[[#Headers],[ID]])))="",TRUE()),"",INDEX(tsk_Notes,(ROW()-ROW(MSPTasks[[#Headers],[ID]])))&amp;"")</f>
        <v/>
      </c>
    </row>
    <row r="87" customFormat="false" ht="15" hidden="false" customHeight="false" outlineLevel="0" collapsed="false">
      <c r="A87" s="24" t="str">
        <f aca="false">IF(IFERROR(INDEX(tsk_Name,(ROW()-ROW(MSPTasks[[#Headers],[ID]])))="",TRUE()),"",INDEX(tsk_ID,(ROW()-ROW(MSPTasks[[#Headers],[ID]]))))</f>
        <v/>
      </c>
      <c r="B87" s="24" t="str">
        <f aca="false">IF(IFERROR(INDEX(tsk_Name,(ROW()-ROW(MSPTasks[[#Headers],[ID]])))="",TRUE()),"",INDEX(tsk_UID,(ROW()-ROW(MSPTasks[[#Headers],[ID]]))))</f>
        <v/>
      </c>
      <c r="C87" s="24" t="str">
        <f aca="false">IF(IFERROR(INDEX(tsk_Name,(ROW()-ROW(MSPTasks[[#Headers],[ID]])))="",TRUE()),"",INDEX(tsk_Name,(ROW()-ROW(MSPTasks[[#Headers],[ID]]))))</f>
        <v/>
      </c>
      <c r="D87" s="24" t="str">
        <f aca="false">IF(IFERROR(INDEX(tsk_Name,(ROW()-ROW(MSPTasks[[#Headers],[ID]])))="",TRUE()),"",INDEX(tsk_Level,(ROW()-ROW(MSPTasks[[#Headers],[ID]]))))</f>
        <v/>
      </c>
      <c r="E87" s="24" t="str">
        <f aca="false">IF(IFERROR(INDEX(tsk_Name,(ROW()-ROW(MSPTasks[[#Headers],[ID]])))="",TRUE()),"",IF(INDEX(tsk_Mode,(ROW()-ROW(MSPTasks[[#Headers],[ID]])))="Manual","Manually Scheduled","Auto Scheduled"))</f>
        <v/>
      </c>
      <c r="F87" s="24" t="str">
        <f aca="false">IF(IFERROR(INDEX(tsk_Name,(ROW()-ROW(MSPTasks[[#Headers],[ID]])))="",TRUE()),"",IF(INDEX(tsk_IsSummary,(ROW()-ROW(MSPTasks[[#Headers],[ID]]))),"",N(INDEX(tsk_Duration,(ROW()-ROW(MSPTasks[[#Headers],[ID]]))))&amp;"d"))</f>
        <v/>
      </c>
      <c r="G87" s="127" t="str">
        <f aca="false">IF(IFERROR(INDEX(tsk_Name,(ROW()-ROW(MSPTasks[[#Headers],[ID]])))="",TRUE()),"",INDEX(tsk_FcStart,(ROW()-ROW(MSPTasks[[#Headers],[ID]]))))</f>
        <v/>
      </c>
      <c r="H87" s="127" t="str">
        <f aca="false">IF(IFERROR(INDEX(tsk_Name,(ROW()-ROW(MSPTasks[[#Headers],[ID]])))="",TRUE()),"",INDEX(tsk_FcFinish,(ROW()-ROW(MSPTasks[[#Headers],[ID]]))))</f>
        <v/>
      </c>
      <c r="I87" s="24" t="str">
        <f aca="false">IF(IFERROR(INDEX(tsk_Name,(ROW()-ROW(MSPTasks[[#Headers],[ID]])))="",TRUE()),"",IF(INDEX(tsk_IsSummary,(ROW()-ROW(MSPTasks[[#Headers],[ID]]))),"",INDEX(tsk_Predecessors,(ROW()-ROW(MSPTasks[[#Headers],[ID]])))))</f>
        <v/>
      </c>
      <c r="J87" s="24" t="str">
        <f aca="false">IF(IFERROR(INDEX(tsk_Name,(ROW()-ROW(MSPTasks[[#Headers],[ID]])))="",TRUE()),"",IF(INDEX(tsk_IsSummary,(ROW()-ROW(MSPTasks[[#Headers],[ID]]))),"",INDEX(tsk_UIDPredecessors,(ROW()-ROW(MSPTasks[[#Headers],[ID]])))))</f>
        <v/>
      </c>
      <c r="K8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7" s="24" t="str">
        <f aca="false">IF(IFERROR(INDEX(tsk_Name,(ROW()-ROW(MSPTasks[[#Headers],[ID]])))="",TRUE()),"",IF(INDEX(tsk_IsSummary,(ROW()-ROW(MSPTasks[[#Headers],[ID]]))),"",ROUND(INDEX(tsk_Progress,(ROW()-ROW(MSPTasks[[#Headers],[ID]])))*100,0)))</f>
        <v/>
      </c>
      <c r="M87" s="127" t="str">
        <f aca="false">IF(IFERROR(INDEX(tsk_Name,(ROW()-ROW(MSPTasks[[#Headers],[ID]])))="",TRUE()),"",IF(N(INDEX(tsk_ActStart,(ROW()-ROW(MSPTasks[[#Headers],[ID]]))))=0,"",INDEX(tsk_ActStart,(ROW()-ROW(MSPTasks[[#Headers],[ID]])))))</f>
        <v/>
      </c>
      <c r="N87" s="127" t="str">
        <f aca="false">IF(IFERROR(INDEX(tsk_Name,(ROW()-ROW(MSPTasks[[#Headers],[ID]])))="",TRUE()),"",IF(N(INDEX(tsk_ActFinish,(ROW()-ROW(MSPTasks[[#Headers],[ID]]))))=0,"",INDEX(tsk_ActFinish,(ROW()-ROW(MSPTasks[[#Headers],[ID]])))))</f>
        <v/>
      </c>
      <c r="O87" s="127" t="str">
        <f aca="false">IF(IFERROR(INDEX(tsk_Name,(ROW()-ROW(MSPTasks[[#Headers],[ID]])))="",TRUE()),"",INDEX(tsk_PlanStart,(ROW()-ROW(MSPTasks[[#Headers],[ID]]))))</f>
        <v/>
      </c>
      <c r="P87" s="127" t="str">
        <f aca="false">IF(IFERROR(INDEX(tsk_Name,(ROW()-ROW(MSPTasks[[#Headers],[ID]])))="",TRUE()),"",INDEX(tsk_PlanFinish,(ROW()-ROW(MSPTasks[[#Headers],[ID]]))))</f>
        <v/>
      </c>
      <c r="Q87" s="24" t="str">
        <f aca="false">IF(IFERROR(INDEX(tsk_Name,(ROW()-ROW(MSPTasks[[#Headers],[ID]])))="",TRUE()),"",IF(INDEX(tsk_BaseDuration,(ROW()-ROW(MSPTasks[[#Headers],[ID]])))="","",N(INDEX(tsk_BaseDuration,(ROW()-ROW(MSPTasks[[#Headers],[ID]]))))&amp;"d"))</f>
        <v/>
      </c>
      <c r="R87" s="24" t="str">
        <f aca="false">IF(IFERROR(INDEX(tsk_Name,(ROW()-ROW(MSPTasks[[#Headers],[ID]])))="",TRUE()),"",IF(INDEX(tsk_BaseWork,(ROW()-ROW(MSPTasks[[#Headers],[ID]])))="","",N(INDEX(tsk_BaseWork,(ROW()-ROW(MSPTasks[[#Headers],[ID]]))))&amp;"h"))</f>
        <v/>
      </c>
      <c r="S87" s="24" t="str">
        <f aca="false">IF(IFERROR(INDEX(tsk_Name,(ROW()-ROW(MSPTasks[[#Headers],[ID]])))="",TRUE()),"",IF(INDEX(tsk_BaseCost,(ROW()-ROW(MSPTasks[[#Headers],[ID]])))="","",N(INDEX(tsk_BaseCost,(ROW()-ROW(MSPTasks[[#Headers],[ID]]))))))</f>
        <v/>
      </c>
      <c r="T87" s="24" t="str">
        <f aca="false">IF(IFERROR(INDEX(tsk_Name,(ROW()-ROW(MSPTasks[[#Headers],[ID]])))="",TRUE()),"",IF(INDEX(tsk_IsSummary,(ROW()-ROW(MSPTasks[[#Headers],[ID]]))),"",IF(N(INDEX(tsk_ActCostInput,(ROW()-ROW(MSPTasks[[#Headers],[ID]]))))=0,"",INDEX(tsk_ActCostInput,(ROW()-ROW(MSPTasks[[#Headers],[ID]]))))))</f>
        <v/>
      </c>
      <c r="U87" s="24" t="str">
        <f aca="false">IF(IFERROR(INDEX(tsk_Name,(ROW()-ROW(MSPTasks[[#Headers],[ID]])))="",TRUE()),"",IF(INDEX(tsk_IsSummary,(ROW()-ROW(MSPTasks[[#Headers],[ID]]))),"",IF(AND(INDEX(tsk_Mode,(ROW()-ROW(MSPTasks[[#Headers],[ID]])))&lt;&gt;"Manual",N(INDEX(tsk_Constraint,(ROW()-ROW(MSPTasks[[#Headers],[ID]]))))&gt;0),"Start No Earlier Than","As Soon As Possible")))</f>
        <v/>
      </c>
      <c r="V87" s="127" t="str">
        <f aca="false">IF(IFERROR(INDEX(tsk_Name,(ROW()-ROW(MSPTasks[[#Headers],[ID]])))="",TRUE()),"",IF(OR(INDEX(tsk_IsSummary,(ROW()-ROW(MSPTasks[[#Headers],[ID]]))),INDEX(tsk_Mode,(ROW()-ROW(MSPTasks[[#Headers],[ID]])))="Manual"),"",IF(N(INDEX(tsk_Constraint,(ROW()-ROW(MSPTasks[[#Headers],[ID]]))))=0,"",INDEX(tsk_Constraint,(ROW()-ROW(MSPTasks[[#Headers],[ID]]))))))</f>
        <v/>
      </c>
      <c r="W87" s="127" t="str">
        <f aca="false">IF(IFERROR(INDEX(tsk_Name,(ROW()-ROW(MSPTasks[[#Headers],[ID]])))="",TRUE()),"",IF(N(INDEX(tsk_Deadline,(ROW()-ROW(MSPTasks[[#Headers],[ID]]))))=0,"",INDEX(tsk_Deadline,(ROW()-ROW(MSPTasks[[#Headers],[ID]])))))</f>
        <v/>
      </c>
      <c r="X87" s="24" t="str">
        <f aca="false">IF(IFERROR(INDEX(tsk_Name,(ROW()-ROW(MSPTasks[[#Headers],[ID]])))="",TRUE()),"",IF(INDEX(tsk_IsSummary,(ROW()-ROW(MSPTasks[[#Headers],[ID]]))),"",INDEX(tsk_Sprint,(ROW()-ROW(MSPTasks[[#Headers],[ID]])))&amp;""))</f>
        <v/>
      </c>
      <c r="Y87" s="24" t="str">
        <f aca="false">IF(IFERROR(INDEX(tsk_Name,(ROW()-ROW(MSPTasks[[#Headers],[ID]])))="",TRUE()),"",IF(INDEX(tsk_IsSummary,(ROW()-ROW(MSPTasks[[#Headers],[ID]]))),"",IF(N(INDEX(tsk_StoryPoints,(ROW()-ROW(MSPTasks[[#Headers],[ID]]))))=0,"",INDEX(tsk_StoryPoints,(ROW()-ROW(MSPTasks[[#Headers],[ID]]))))))</f>
        <v/>
      </c>
      <c r="Z87" s="24" t="str">
        <f aca="false">IF(IFERROR(INDEX(tsk_Name,(ROW()-ROW(MSPTasks[[#Headers],[ID]])))="",TRUE()),"",INDEX(tsk_Notes,(ROW()-ROW(MSPTasks[[#Headers],[ID]])))&amp;"")</f>
        <v/>
      </c>
    </row>
    <row r="88" customFormat="false" ht="15" hidden="false" customHeight="false" outlineLevel="0" collapsed="false">
      <c r="A88" s="24" t="str">
        <f aca="false">IF(IFERROR(INDEX(tsk_Name,(ROW()-ROW(MSPTasks[[#Headers],[ID]])))="",TRUE()),"",INDEX(tsk_ID,(ROW()-ROW(MSPTasks[[#Headers],[ID]]))))</f>
        <v/>
      </c>
      <c r="B88" s="24" t="str">
        <f aca="false">IF(IFERROR(INDEX(tsk_Name,(ROW()-ROW(MSPTasks[[#Headers],[ID]])))="",TRUE()),"",INDEX(tsk_UID,(ROW()-ROW(MSPTasks[[#Headers],[ID]]))))</f>
        <v/>
      </c>
      <c r="C88" s="24" t="str">
        <f aca="false">IF(IFERROR(INDEX(tsk_Name,(ROW()-ROW(MSPTasks[[#Headers],[ID]])))="",TRUE()),"",INDEX(tsk_Name,(ROW()-ROW(MSPTasks[[#Headers],[ID]]))))</f>
        <v/>
      </c>
      <c r="D88" s="24" t="str">
        <f aca="false">IF(IFERROR(INDEX(tsk_Name,(ROW()-ROW(MSPTasks[[#Headers],[ID]])))="",TRUE()),"",INDEX(tsk_Level,(ROW()-ROW(MSPTasks[[#Headers],[ID]]))))</f>
        <v/>
      </c>
      <c r="E88" s="24" t="str">
        <f aca="false">IF(IFERROR(INDEX(tsk_Name,(ROW()-ROW(MSPTasks[[#Headers],[ID]])))="",TRUE()),"",IF(INDEX(tsk_Mode,(ROW()-ROW(MSPTasks[[#Headers],[ID]])))="Manual","Manually Scheduled","Auto Scheduled"))</f>
        <v/>
      </c>
      <c r="F88" s="24" t="str">
        <f aca="false">IF(IFERROR(INDEX(tsk_Name,(ROW()-ROW(MSPTasks[[#Headers],[ID]])))="",TRUE()),"",IF(INDEX(tsk_IsSummary,(ROW()-ROW(MSPTasks[[#Headers],[ID]]))),"",N(INDEX(tsk_Duration,(ROW()-ROW(MSPTasks[[#Headers],[ID]]))))&amp;"d"))</f>
        <v/>
      </c>
      <c r="G88" s="127" t="str">
        <f aca="false">IF(IFERROR(INDEX(tsk_Name,(ROW()-ROW(MSPTasks[[#Headers],[ID]])))="",TRUE()),"",INDEX(tsk_FcStart,(ROW()-ROW(MSPTasks[[#Headers],[ID]]))))</f>
        <v/>
      </c>
      <c r="H88" s="127" t="str">
        <f aca="false">IF(IFERROR(INDEX(tsk_Name,(ROW()-ROW(MSPTasks[[#Headers],[ID]])))="",TRUE()),"",INDEX(tsk_FcFinish,(ROW()-ROW(MSPTasks[[#Headers],[ID]]))))</f>
        <v/>
      </c>
      <c r="I88" s="24" t="str">
        <f aca="false">IF(IFERROR(INDEX(tsk_Name,(ROW()-ROW(MSPTasks[[#Headers],[ID]])))="",TRUE()),"",IF(INDEX(tsk_IsSummary,(ROW()-ROW(MSPTasks[[#Headers],[ID]]))),"",INDEX(tsk_Predecessors,(ROW()-ROW(MSPTasks[[#Headers],[ID]])))))</f>
        <v/>
      </c>
      <c r="J88" s="24" t="str">
        <f aca="false">IF(IFERROR(INDEX(tsk_Name,(ROW()-ROW(MSPTasks[[#Headers],[ID]])))="",TRUE()),"",IF(INDEX(tsk_IsSummary,(ROW()-ROW(MSPTasks[[#Headers],[ID]]))),"",INDEX(tsk_UIDPredecessors,(ROW()-ROW(MSPTasks[[#Headers],[ID]])))))</f>
        <v/>
      </c>
      <c r="K8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8" s="24" t="str">
        <f aca="false">IF(IFERROR(INDEX(tsk_Name,(ROW()-ROW(MSPTasks[[#Headers],[ID]])))="",TRUE()),"",IF(INDEX(tsk_IsSummary,(ROW()-ROW(MSPTasks[[#Headers],[ID]]))),"",ROUND(INDEX(tsk_Progress,(ROW()-ROW(MSPTasks[[#Headers],[ID]])))*100,0)))</f>
        <v/>
      </c>
      <c r="M88" s="127" t="str">
        <f aca="false">IF(IFERROR(INDEX(tsk_Name,(ROW()-ROW(MSPTasks[[#Headers],[ID]])))="",TRUE()),"",IF(N(INDEX(tsk_ActStart,(ROW()-ROW(MSPTasks[[#Headers],[ID]]))))=0,"",INDEX(tsk_ActStart,(ROW()-ROW(MSPTasks[[#Headers],[ID]])))))</f>
        <v/>
      </c>
      <c r="N88" s="127" t="str">
        <f aca="false">IF(IFERROR(INDEX(tsk_Name,(ROW()-ROW(MSPTasks[[#Headers],[ID]])))="",TRUE()),"",IF(N(INDEX(tsk_ActFinish,(ROW()-ROW(MSPTasks[[#Headers],[ID]]))))=0,"",INDEX(tsk_ActFinish,(ROW()-ROW(MSPTasks[[#Headers],[ID]])))))</f>
        <v/>
      </c>
      <c r="O88" s="127" t="str">
        <f aca="false">IF(IFERROR(INDEX(tsk_Name,(ROW()-ROW(MSPTasks[[#Headers],[ID]])))="",TRUE()),"",INDEX(tsk_PlanStart,(ROW()-ROW(MSPTasks[[#Headers],[ID]]))))</f>
        <v/>
      </c>
      <c r="P88" s="127" t="str">
        <f aca="false">IF(IFERROR(INDEX(tsk_Name,(ROW()-ROW(MSPTasks[[#Headers],[ID]])))="",TRUE()),"",INDEX(tsk_PlanFinish,(ROW()-ROW(MSPTasks[[#Headers],[ID]]))))</f>
        <v/>
      </c>
      <c r="Q88" s="24" t="str">
        <f aca="false">IF(IFERROR(INDEX(tsk_Name,(ROW()-ROW(MSPTasks[[#Headers],[ID]])))="",TRUE()),"",IF(INDEX(tsk_BaseDuration,(ROW()-ROW(MSPTasks[[#Headers],[ID]])))="","",N(INDEX(tsk_BaseDuration,(ROW()-ROW(MSPTasks[[#Headers],[ID]]))))&amp;"d"))</f>
        <v/>
      </c>
      <c r="R88" s="24" t="str">
        <f aca="false">IF(IFERROR(INDEX(tsk_Name,(ROW()-ROW(MSPTasks[[#Headers],[ID]])))="",TRUE()),"",IF(INDEX(tsk_BaseWork,(ROW()-ROW(MSPTasks[[#Headers],[ID]])))="","",N(INDEX(tsk_BaseWork,(ROW()-ROW(MSPTasks[[#Headers],[ID]]))))&amp;"h"))</f>
        <v/>
      </c>
      <c r="S88" s="24" t="str">
        <f aca="false">IF(IFERROR(INDEX(tsk_Name,(ROW()-ROW(MSPTasks[[#Headers],[ID]])))="",TRUE()),"",IF(INDEX(tsk_BaseCost,(ROW()-ROW(MSPTasks[[#Headers],[ID]])))="","",N(INDEX(tsk_BaseCost,(ROW()-ROW(MSPTasks[[#Headers],[ID]]))))))</f>
        <v/>
      </c>
      <c r="T88" s="24" t="str">
        <f aca="false">IF(IFERROR(INDEX(tsk_Name,(ROW()-ROW(MSPTasks[[#Headers],[ID]])))="",TRUE()),"",IF(INDEX(tsk_IsSummary,(ROW()-ROW(MSPTasks[[#Headers],[ID]]))),"",IF(N(INDEX(tsk_ActCostInput,(ROW()-ROW(MSPTasks[[#Headers],[ID]]))))=0,"",INDEX(tsk_ActCostInput,(ROW()-ROW(MSPTasks[[#Headers],[ID]]))))))</f>
        <v/>
      </c>
      <c r="U88" s="24" t="str">
        <f aca="false">IF(IFERROR(INDEX(tsk_Name,(ROW()-ROW(MSPTasks[[#Headers],[ID]])))="",TRUE()),"",IF(INDEX(tsk_IsSummary,(ROW()-ROW(MSPTasks[[#Headers],[ID]]))),"",IF(AND(INDEX(tsk_Mode,(ROW()-ROW(MSPTasks[[#Headers],[ID]])))&lt;&gt;"Manual",N(INDEX(tsk_Constraint,(ROW()-ROW(MSPTasks[[#Headers],[ID]]))))&gt;0),"Start No Earlier Than","As Soon As Possible")))</f>
        <v/>
      </c>
      <c r="V88" s="127" t="str">
        <f aca="false">IF(IFERROR(INDEX(tsk_Name,(ROW()-ROW(MSPTasks[[#Headers],[ID]])))="",TRUE()),"",IF(OR(INDEX(tsk_IsSummary,(ROW()-ROW(MSPTasks[[#Headers],[ID]]))),INDEX(tsk_Mode,(ROW()-ROW(MSPTasks[[#Headers],[ID]])))="Manual"),"",IF(N(INDEX(tsk_Constraint,(ROW()-ROW(MSPTasks[[#Headers],[ID]]))))=0,"",INDEX(tsk_Constraint,(ROW()-ROW(MSPTasks[[#Headers],[ID]]))))))</f>
        <v/>
      </c>
      <c r="W88" s="127" t="str">
        <f aca="false">IF(IFERROR(INDEX(tsk_Name,(ROW()-ROW(MSPTasks[[#Headers],[ID]])))="",TRUE()),"",IF(N(INDEX(tsk_Deadline,(ROW()-ROW(MSPTasks[[#Headers],[ID]]))))=0,"",INDEX(tsk_Deadline,(ROW()-ROW(MSPTasks[[#Headers],[ID]])))))</f>
        <v/>
      </c>
      <c r="X88" s="24" t="str">
        <f aca="false">IF(IFERROR(INDEX(tsk_Name,(ROW()-ROW(MSPTasks[[#Headers],[ID]])))="",TRUE()),"",IF(INDEX(tsk_IsSummary,(ROW()-ROW(MSPTasks[[#Headers],[ID]]))),"",INDEX(tsk_Sprint,(ROW()-ROW(MSPTasks[[#Headers],[ID]])))&amp;""))</f>
        <v/>
      </c>
      <c r="Y88" s="24" t="str">
        <f aca="false">IF(IFERROR(INDEX(tsk_Name,(ROW()-ROW(MSPTasks[[#Headers],[ID]])))="",TRUE()),"",IF(INDEX(tsk_IsSummary,(ROW()-ROW(MSPTasks[[#Headers],[ID]]))),"",IF(N(INDEX(tsk_StoryPoints,(ROW()-ROW(MSPTasks[[#Headers],[ID]]))))=0,"",INDEX(tsk_StoryPoints,(ROW()-ROW(MSPTasks[[#Headers],[ID]]))))))</f>
        <v/>
      </c>
      <c r="Z88" s="24" t="str">
        <f aca="false">IF(IFERROR(INDEX(tsk_Name,(ROW()-ROW(MSPTasks[[#Headers],[ID]])))="",TRUE()),"",INDEX(tsk_Notes,(ROW()-ROW(MSPTasks[[#Headers],[ID]])))&amp;"")</f>
        <v/>
      </c>
    </row>
    <row r="89" customFormat="false" ht="15" hidden="false" customHeight="false" outlineLevel="0" collapsed="false">
      <c r="A89" s="24" t="str">
        <f aca="false">IF(IFERROR(INDEX(tsk_Name,(ROW()-ROW(MSPTasks[[#Headers],[ID]])))="",TRUE()),"",INDEX(tsk_ID,(ROW()-ROW(MSPTasks[[#Headers],[ID]]))))</f>
        <v/>
      </c>
      <c r="B89" s="24" t="str">
        <f aca="false">IF(IFERROR(INDEX(tsk_Name,(ROW()-ROW(MSPTasks[[#Headers],[ID]])))="",TRUE()),"",INDEX(tsk_UID,(ROW()-ROW(MSPTasks[[#Headers],[ID]]))))</f>
        <v/>
      </c>
      <c r="C89" s="24" t="str">
        <f aca="false">IF(IFERROR(INDEX(tsk_Name,(ROW()-ROW(MSPTasks[[#Headers],[ID]])))="",TRUE()),"",INDEX(tsk_Name,(ROW()-ROW(MSPTasks[[#Headers],[ID]]))))</f>
        <v/>
      </c>
      <c r="D89" s="24" t="str">
        <f aca="false">IF(IFERROR(INDEX(tsk_Name,(ROW()-ROW(MSPTasks[[#Headers],[ID]])))="",TRUE()),"",INDEX(tsk_Level,(ROW()-ROW(MSPTasks[[#Headers],[ID]]))))</f>
        <v/>
      </c>
      <c r="E89" s="24" t="str">
        <f aca="false">IF(IFERROR(INDEX(tsk_Name,(ROW()-ROW(MSPTasks[[#Headers],[ID]])))="",TRUE()),"",IF(INDEX(tsk_Mode,(ROW()-ROW(MSPTasks[[#Headers],[ID]])))="Manual","Manually Scheduled","Auto Scheduled"))</f>
        <v/>
      </c>
      <c r="F89" s="24" t="str">
        <f aca="false">IF(IFERROR(INDEX(tsk_Name,(ROW()-ROW(MSPTasks[[#Headers],[ID]])))="",TRUE()),"",IF(INDEX(tsk_IsSummary,(ROW()-ROW(MSPTasks[[#Headers],[ID]]))),"",N(INDEX(tsk_Duration,(ROW()-ROW(MSPTasks[[#Headers],[ID]]))))&amp;"d"))</f>
        <v/>
      </c>
      <c r="G89" s="127" t="str">
        <f aca="false">IF(IFERROR(INDEX(tsk_Name,(ROW()-ROW(MSPTasks[[#Headers],[ID]])))="",TRUE()),"",INDEX(tsk_FcStart,(ROW()-ROW(MSPTasks[[#Headers],[ID]]))))</f>
        <v/>
      </c>
      <c r="H89" s="127" t="str">
        <f aca="false">IF(IFERROR(INDEX(tsk_Name,(ROW()-ROW(MSPTasks[[#Headers],[ID]])))="",TRUE()),"",INDEX(tsk_FcFinish,(ROW()-ROW(MSPTasks[[#Headers],[ID]]))))</f>
        <v/>
      </c>
      <c r="I89" s="24" t="str">
        <f aca="false">IF(IFERROR(INDEX(tsk_Name,(ROW()-ROW(MSPTasks[[#Headers],[ID]])))="",TRUE()),"",IF(INDEX(tsk_IsSummary,(ROW()-ROW(MSPTasks[[#Headers],[ID]]))),"",INDEX(tsk_Predecessors,(ROW()-ROW(MSPTasks[[#Headers],[ID]])))))</f>
        <v/>
      </c>
      <c r="J89" s="24" t="str">
        <f aca="false">IF(IFERROR(INDEX(tsk_Name,(ROW()-ROW(MSPTasks[[#Headers],[ID]])))="",TRUE()),"",IF(INDEX(tsk_IsSummary,(ROW()-ROW(MSPTasks[[#Headers],[ID]]))),"",INDEX(tsk_UIDPredecessors,(ROW()-ROW(MSPTasks[[#Headers],[ID]])))))</f>
        <v/>
      </c>
      <c r="K8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9" s="24" t="str">
        <f aca="false">IF(IFERROR(INDEX(tsk_Name,(ROW()-ROW(MSPTasks[[#Headers],[ID]])))="",TRUE()),"",IF(INDEX(tsk_IsSummary,(ROW()-ROW(MSPTasks[[#Headers],[ID]]))),"",ROUND(INDEX(tsk_Progress,(ROW()-ROW(MSPTasks[[#Headers],[ID]])))*100,0)))</f>
        <v/>
      </c>
      <c r="M89" s="127" t="str">
        <f aca="false">IF(IFERROR(INDEX(tsk_Name,(ROW()-ROW(MSPTasks[[#Headers],[ID]])))="",TRUE()),"",IF(N(INDEX(tsk_ActStart,(ROW()-ROW(MSPTasks[[#Headers],[ID]]))))=0,"",INDEX(tsk_ActStart,(ROW()-ROW(MSPTasks[[#Headers],[ID]])))))</f>
        <v/>
      </c>
      <c r="N89" s="127" t="str">
        <f aca="false">IF(IFERROR(INDEX(tsk_Name,(ROW()-ROW(MSPTasks[[#Headers],[ID]])))="",TRUE()),"",IF(N(INDEX(tsk_ActFinish,(ROW()-ROW(MSPTasks[[#Headers],[ID]]))))=0,"",INDEX(tsk_ActFinish,(ROW()-ROW(MSPTasks[[#Headers],[ID]])))))</f>
        <v/>
      </c>
      <c r="O89" s="127" t="str">
        <f aca="false">IF(IFERROR(INDEX(tsk_Name,(ROW()-ROW(MSPTasks[[#Headers],[ID]])))="",TRUE()),"",INDEX(tsk_PlanStart,(ROW()-ROW(MSPTasks[[#Headers],[ID]]))))</f>
        <v/>
      </c>
      <c r="P89" s="127" t="str">
        <f aca="false">IF(IFERROR(INDEX(tsk_Name,(ROW()-ROW(MSPTasks[[#Headers],[ID]])))="",TRUE()),"",INDEX(tsk_PlanFinish,(ROW()-ROW(MSPTasks[[#Headers],[ID]]))))</f>
        <v/>
      </c>
      <c r="Q89" s="24" t="str">
        <f aca="false">IF(IFERROR(INDEX(tsk_Name,(ROW()-ROW(MSPTasks[[#Headers],[ID]])))="",TRUE()),"",IF(INDEX(tsk_BaseDuration,(ROW()-ROW(MSPTasks[[#Headers],[ID]])))="","",N(INDEX(tsk_BaseDuration,(ROW()-ROW(MSPTasks[[#Headers],[ID]]))))&amp;"d"))</f>
        <v/>
      </c>
      <c r="R89" s="24" t="str">
        <f aca="false">IF(IFERROR(INDEX(tsk_Name,(ROW()-ROW(MSPTasks[[#Headers],[ID]])))="",TRUE()),"",IF(INDEX(tsk_BaseWork,(ROW()-ROW(MSPTasks[[#Headers],[ID]])))="","",N(INDEX(tsk_BaseWork,(ROW()-ROW(MSPTasks[[#Headers],[ID]]))))&amp;"h"))</f>
        <v/>
      </c>
      <c r="S89" s="24" t="str">
        <f aca="false">IF(IFERROR(INDEX(tsk_Name,(ROW()-ROW(MSPTasks[[#Headers],[ID]])))="",TRUE()),"",IF(INDEX(tsk_BaseCost,(ROW()-ROW(MSPTasks[[#Headers],[ID]])))="","",N(INDEX(tsk_BaseCost,(ROW()-ROW(MSPTasks[[#Headers],[ID]]))))))</f>
        <v/>
      </c>
      <c r="T89" s="24" t="str">
        <f aca="false">IF(IFERROR(INDEX(tsk_Name,(ROW()-ROW(MSPTasks[[#Headers],[ID]])))="",TRUE()),"",IF(INDEX(tsk_IsSummary,(ROW()-ROW(MSPTasks[[#Headers],[ID]]))),"",IF(N(INDEX(tsk_ActCostInput,(ROW()-ROW(MSPTasks[[#Headers],[ID]]))))=0,"",INDEX(tsk_ActCostInput,(ROW()-ROW(MSPTasks[[#Headers],[ID]]))))))</f>
        <v/>
      </c>
      <c r="U89" s="24" t="str">
        <f aca="false">IF(IFERROR(INDEX(tsk_Name,(ROW()-ROW(MSPTasks[[#Headers],[ID]])))="",TRUE()),"",IF(INDEX(tsk_IsSummary,(ROW()-ROW(MSPTasks[[#Headers],[ID]]))),"",IF(AND(INDEX(tsk_Mode,(ROW()-ROW(MSPTasks[[#Headers],[ID]])))&lt;&gt;"Manual",N(INDEX(tsk_Constraint,(ROW()-ROW(MSPTasks[[#Headers],[ID]]))))&gt;0),"Start No Earlier Than","As Soon As Possible")))</f>
        <v/>
      </c>
      <c r="V89" s="127" t="str">
        <f aca="false">IF(IFERROR(INDEX(tsk_Name,(ROW()-ROW(MSPTasks[[#Headers],[ID]])))="",TRUE()),"",IF(OR(INDEX(tsk_IsSummary,(ROW()-ROW(MSPTasks[[#Headers],[ID]]))),INDEX(tsk_Mode,(ROW()-ROW(MSPTasks[[#Headers],[ID]])))="Manual"),"",IF(N(INDEX(tsk_Constraint,(ROW()-ROW(MSPTasks[[#Headers],[ID]]))))=0,"",INDEX(tsk_Constraint,(ROW()-ROW(MSPTasks[[#Headers],[ID]]))))))</f>
        <v/>
      </c>
      <c r="W89" s="127" t="str">
        <f aca="false">IF(IFERROR(INDEX(tsk_Name,(ROW()-ROW(MSPTasks[[#Headers],[ID]])))="",TRUE()),"",IF(N(INDEX(tsk_Deadline,(ROW()-ROW(MSPTasks[[#Headers],[ID]]))))=0,"",INDEX(tsk_Deadline,(ROW()-ROW(MSPTasks[[#Headers],[ID]])))))</f>
        <v/>
      </c>
      <c r="X89" s="24" t="str">
        <f aca="false">IF(IFERROR(INDEX(tsk_Name,(ROW()-ROW(MSPTasks[[#Headers],[ID]])))="",TRUE()),"",IF(INDEX(tsk_IsSummary,(ROW()-ROW(MSPTasks[[#Headers],[ID]]))),"",INDEX(tsk_Sprint,(ROW()-ROW(MSPTasks[[#Headers],[ID]])))&amp;""))</f>
        <v/>
      </c>
      <c r="Y89" s="24" t="str">
        <f aca="false">IF(IFERROR(INDEX(tsk_Name,(ROW()-ROW(MSPTasks[[#Headers],[ID]])))="",TRUE()),"",IF(INDEX(tsk_IsSummary,(ROW()-ROW(MSPTasks[[#Headers],[ID]]))),"",IF(N(INDEX(tsk_StoryPoints,(ROW()-ROW(MSPTasks[[#Headers],[ID]]))))=0,"",INDEX(tsk_StoryPoints,(ROW()-ROW(MSPTasks[[#Headers],[ID]]))))))</f>
        <v/>
      </c>
      <c r="Z89" s="24" t="str">
        <f aca="false">IF(IFERROR(INDEX(tsk_Name,(ROW()-ROW(MSPTasks[[#Headers],[ID]])))="",TRUE()),"",INDEX(tsk_Notes,(ROW()-ROW(MSPTasks[[#Headers],[ID]])))&amp;"")</f>
        <v/>
      </c>
    </row>
    <row r="90" customFormat="false" ht="15" hidden="false" customHeight="false" outlineLevel="0" collapsed="false">
      <c r="A90" s="24" t="str">
        <f aca="false">IF(IFERROR(INDEX(tsk_Name,(ROW()-ROW(MSPTasks[[#Headers],[ID]])))="",TRUE()),"",INDEX(tsk_ID,(ROW()-ROW(MSPTasks[[#Headers],[ID]]))))</f>
        <v/>
      </c>
      <c r="B90" s="24" t="str">
        <f aca="false">IF(IFERROR(INDEX(tsk_Name,(ROW()-ROW(MSPTasks[[#Headers],[ID]])))="",TRUE()),"",INDEX(tsk_UID,(ROW()-ROW(MSPTasks[[#Headers],[ID]]))))</f>
        <v/>
      </c>
      <c r="C90" s="24" t="str">
        <f aca="false">IF(IFERROR(INDEX(tsk_Name,(ROW()-ROW(MSPTasks[[#Headers],[ID]])))="",TRUE()),"",INDEX(tsk_Name,(ROW()-ROW(MSPTasks[[#Headers],[ID]]))))</f>
        <v/>
      </c>
      <c r="D90" s="24" t="str">
        <f aca="false">IF(IFERROR(INDEX(tsk_Name,(ROW()-ROW(MSPTasks[[#Headers],[ID]])))="",TRUE()),"",INDEX(tsk_Level,(ROW()-ROW(MSPTasks[[#Headers],[ID]]))))</f>
        <v/>
      </c>
      <c r="E90" s="24" t="str">
        <f aca="false">IF(IFERROR(INDEX(tsk_Name,(ROW()-ROW(MSPTasks[[#Headers],[ID]])))="",TRUE()),"",IF(INDEX(tsk_Mode,(ROW()-ROW(MSPTasks[[#Headers],[ID]])))="Manual","Manually Scheduled","Auto Scheduled"))</f>
        <v/>
      </c>
      <c r="F90" s="24" t="str">
        <f aca="false">IF(IFERROR(INDEX(tsk_Name,(ROW()-ROW(MSPTasks[[#Headers],[ID]])))="",TRUE()),"",IF(INDEX(tsk_IsSummary,(ROW()-ROW(MSPTasks[[#Headers],[ID]]))),"",N(INDEX(tsk_Duration,(ROW()-ROW(MSPTasks[[#Headers],[ID]]))))&amp;"d"))</f>
        <v/>
      </c>
      <c r="G90" s="127" t="str">
        <f aca="false">IF(IFERROR(INDEX(tsk_Name,(ROW()-ROW(MSPTasks[[#Headers],[ID]])))="",TRUE()),"",INDEX(tsk_FcStart,(ROW()-ROW(MSPTasks[[#Headers],[ID]]))))</f>
        <v/>
      </c>
      <c r="H90" s="127" t="str">
        <f aca="false">IF(IFERROR(INDEX(tsk_Name,(ROW()-ROW(MSPTasks[[#Headers],[ID]])))="",TRUE()),"",INDEX(tsk_FcFinish,(ROW()-ROW(MSPTasks[[#Headers],[ID]]))))</f>
        <v/>
      </c>
      <c r="I90" s="24" t="str">
        <f aca="false">IF(IFERROR(INDEX(tsk_Name,(ROW()-ROW(MSPTasks[[#Headers],[ID]])))="",TRUE()),"",IF(INDEX(tsk_IsSummary,(ROW()-ROW(MSPTasks[[#Headers],[ID]]))),"",INDEX(tsk_Predecessors,(ROW()-ROW(MSPTasks[[#Headers],[ID]])))))</f>
        <v/>
      </c>
      <c r="J90" s="24" t="str">
        <f aca="false">IF(IFERROR(INDEX(tsk_Name,(ROW()-ROW(MSPTasks[[#Headers],[ID]])))="",TRUE()),"",IF(INDEX(tsk_IsSummary,(ROW()-ROW(MSPTasks[[#Headers],[ID]]))),"",INDEX(tsk_UIDPredecessors,(ROW()-ROW(MSPTasks[[#Headers],[ID]])))))</f>
        <v/>
      </c>
      <c r="K9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0" s="24" t="str">
        <f aca="false">IF(IFERROR(INDEX(tsk_Name,(ROW()-ROW(MSPTasks[[#Headers],[ID]])))="",TRUE()),"",IF(INDEX(tsk_IsSummary,(ROW()-ROW(MSPTasks[[#Headers],[ID]]))),"",ROUND(INDEX(tsk_Progress,(ROW()-ROW(MSPTasks[[#Headers],[ID]])))*100,0)))</f>
        <v/>
      </c>
      <c r="M90" s="127" t="str">
        <f aca="false">IF(IFERROR(INDEX(tsk_Name,(ROW()-ROW(MSPTasks[[#Headers],[ID]])))="",TRUE()),"",IF(N(INDEX(tsk_ActStart,(ROW()-ROW(MSPTasks[[#Headers],[ID]]))))=0,"",INDEX(tsk_ActStart,(ROW()-ROW(MSPTasks[[#Headers],[ID]])))))</f>
        <v/>
      </c>
      <c r="N90" s="127" t="str">
        <f aca="false">IF(IFERROR(INDEX(tsk_Name,(ROW()-ROW(MSPTasks[[#Headers],[ID]])))="",TRUE()),"",IF(N(INDEX(tsk_ActFinish,(ROW()-ROW(MSPTasks[[#Headers],[ID]]))))=0,"",INDEX(tsk_ActFinish,(ROW()-ROW(MSPTasks[[#Headers],[ID]])))))</f>
        <v/>
      </c>
      <c r="O90" s="127" t="str">
        <f aca="false">IF(IFERROR(INDEX(tsk_Name,(ROW()-ROW(MSPTasks[[#Headers],[ID]])))="",TRUE()),"",INDEX(tsk_PlanStart,(ROW()-ROW(MSPTasks[[#Headers],[ID]]))))</f>
        <v/>
      </c>
      <c r="P90" s="127" t="str">
        <f aca="false">IF(IFERROR(INDEX(tsk_Name,(ROW()-ROW(MSPTasks[[#Headers],[ID]])))="",TRUE()),"",INDEX(tsk_PlanFinish,(ROW()-ROW(MSPTasks[[#Headers],[ID]]))))</f>
        <v/>
      </c>
      <c r="Q90" s="24" t="str">
        <f aca="false">IF(IFERROR(INDEX(tsk_Name,(ROW()-ROW(MSPTasks[[#Headers],[ID]])))="",TRUE()),"",IF(INDEX(tsk_BaseDuration,(ROW()-ROW(MSPTasks[[#Headers],[ID]])))="","",N(INDEX(tsk_BaseDuration,(ROW()-ROW(MSPTasks[[#Headers],[ID]]))))&amp;"d"))</f>
        <v/>
      </c>
      <c r="R90" s="24" t="str">
        <f aca="false">IF(IFERROR(INDEX(tsk_Name,(ROW()-ROW(MSPTasks[[#Headers],[ID]])))="",TRUE()),"",IF(INDEX(tsk_BaseWork,(ROW()-ROW(MSPTasks[[#Headers],[ID]])))="","",N(INDEX(tsk_BaseWork,(ROW()-ROW(MSPTasks[[#Headers],[ID]]))))&amp;"h"))</f>
        <v/>
      </c>
      <c r="S90" s="24" t="str">
        <f aca="false">IF(IFERROR(INDEX(tsk_Name,(ROW()-ROW(MSPTasks[[#Headers],[ID]])))="",TRUE()),"",IF(INDEX(tsk_BaseCost,(ROW()-ROW(MSPTasks[[#Headers],[ID]])))="","",N(INDEX(tsk_BaseCost,(ROW()-ROW(MSPTasks[[#Headers],[ID]]))))))</f>
        <v/>
      </c>
      <c r="T90" s="24" t="str">
        <f aca="false">IF(IFERROR(INDEX(tsk_Name,(ROW()-ROW(MSPTasks[[#Headers],[ID]])))="",TRUE()),"",IF(INDEX(tsk_IsSummary,(ROW()-ROW(MSPTasks[[#Headers],[ID]]))),"",IF(N(INDEX(tsk_ActCostInput,(ROW()-ROW(MSPTasks[[#Headers],[ID]]))))=0,"",INDEX(tsk_ActCostInput,(ROW()-ROW(MSPTasks[[#Headers],[ID]]))))))</f>
        <v/>
      </c>
      <c r="U90" s="24" t="str">
        <f aca="false">IF(IFERROR(INDEX(tsk_Name,(ROW()-ROW(MSPTasks[[#Headers],[ID]])))="",TRUE()),"",IF(INDEX(tsk_IsSummary,(ROW()-ROW(MSPTasks[[#Headers],[ID]]))),"",IF(AND(INDEX(tsk_Mode,(ROW()-ROW(MSPTasks[[#Headers],[ID]])))&lt;&gt;"Manual",N(INDEX(tsk_Constraint,(ROW()-ROW(MSPTasks[[#Headers],[ID]]))))&gt;0),"Start No Earlier Than","As Soon As Possible")))</f>
        <v/>
      </c>
      <c r="V90" s="127" t="str">
        <f aca="false">IF(IFERROR(INDEX(tsk_Name,(ROW()-ROW(MSPTasks[[#Headers],[ID]])))="",TRUE()),"",IF(OR(INDEX(tsk_IsSummary,(ROW()-ROW(MSPTasks[[#Headers],[ID]]))),INDEX(tsk_Mode,(ROW()-ROW(MSPTasks[[#Headers],[ID]])))="Manual"),"",IF(N(INDEX(tsk_Constraint,(ROW()-ROW(MSPTasks[[#Headers],[ID]]))))=0,"",INDEX(tsk_Constraint,(ROW()-ROW(MSPTasks[[#Headers],[ID]]))))))</f>
        <v/>
      </c>
      <c r="W90" s="127" t="str">
        <f aca="false">IF(IFERROR(INDEX(tsk_Name,(ROW()-ROW(MSPTasks[[#Headers],[ID]])))="",TRUE()),"",IF(N(INDEX(tsk_Deadline,(ROW()-ROW(MSPTasks[[#Headers],[ID]]))))=0,"",INDEX(tsk_Deadline,(ROW()-ROW(MSPTasks[[#Headers],[ID]])))))</f>
        <v/>
      </c>
      <c r="X90" s="24" t="str">
        <f aca="false">IF(IFERROR(INDEX(tsk_Name,(ROW()-ROW(MSPTasks[[#Headers],[ID]])))="",TRUE()),"",IF(INDEX(tsk_IsSummary,(ROW()-ROW(MSPTasks[[#Headers],[ID]]))),"",INDEX(tsk_Sprint,(ROW()-ROW(MSPTasks[[#Headers],[ID]])))&amp;""))</f>
        <v/>
      </c>
      <c r="Y90" s="24" t="str">
        <f aca="false">IF(IFERROR(INDEX(tsk_Name,(ROW()-ROW(MSPTasks[[#Headers],[ID]])))="",TRUE()),"",IF(INDEX(tsk_IsSummary,(ROW()-ROW(MSPTasks[[#Headers],[ID]]))),"",IF(N(INDEX(tsk_StoryPoints,(ROW()-ROW(MSPTasks[[#Headers],[ID]]))))=0,"",INDEX(tsk_StoryPoints,(ROW()-ROW(MSPTasks[[#Headers],[ID]]))))))</f>
        <v/>
      </c>
      <c r="Z90" s="24" t="str">
        <f aca="false">IF(IFERROR(INDEX(tsk_Name,(ROW()-ROW(MSPTasks[[#Headers],[ID]])))="",TRUE()),"",INDEX(tsk_Notes,(ROW()-ROW(MSPTasks[[#Headers],[ID]])))&amp;"")</f>
        <v/>
      </c>
    </row>
    <row r="91" customFormat="false" ht="15" hidden="false" customHeight="false" outlineLevel="0" collapsed="false">
      <c r="A91" s="24" t="str">
        <f aca="false">IF(IFERROR(INDEX(tsk_Name,(ROW()-ROW(MSPTasks[[#Headers],[ID]])))="",TRUE()),"",INDEX(tsk_ID,(ROW()-ROW(MSPTasks[[#Headers],[ID]]))))</f>
        <v/>
      </c>
      <c r="B91" s="24" t="str">
        <f aca="false">IF(IFERROR(INDEX(tsk_Name,(ROW()-ROW(MSPTasks[[#Headers],[ID]])))="",TRUE()),"",INDEX(tsk_UID,(ROW()-ROW(MSPTasks[[#Headers],[ID]]))))</f>
        <v/>
      </c>
      <c r="C91" s="24" t="str">
        <f aca="false">IF(IFERROR(INDEX(tsk_Name,(ROW()-ROW(MSPTasks[[#Headers],[ID]])))="",TRUE()),"",INDEX(tsk_Name,(ROW()-ROW(MSPTasks[[#Headers],[ID]]))))</f>
        <v/>
      </c>
      <c r="D91" s="24" t="str">
        <f aca="false">IF(IFERROR(INDEX(tsk_Name,(ROW()-ROW(MSPTasks[[#Headers],[ID]])))="",TRUE()),"",INDEX(tsk_Level,(ROW()-ROW(MSPTasks[[#Headers],[ID]]))))</f>
        <v/>
      </c>
      <c r="E91" s="24" t="str">
        <f aca="false">IF(IFERROR(INDEX(tsk_Name,(ROW()-ROW(MSPTasks[[#Headers],[ID]])))="",TRUE()),"",IF(INDEX(tsk_Mode,(ROW()-ROW(MSPTasks[[#Headers],[ID]])))="Manual","Manually Scheduled","Auto Scheduled"))</f>
        <v/>
      </c>
      <c r="F91" s="24" t="str">
        <f aca="false">IF(IFERROR(INDEX(tsk_Name,(ROW()-ROW(MSPTasks[[#Headers],[ID]])))="",TRUE()),"",IF(INDEX(tsk_IsSummary,(ROW()-ROW(MSPTasks[[#Headers],[ID]]))),"",N(INDEX(tsk_Duration,(ROW()-ROW(MSPTasks[[#Headers],[ID]]))))&amp;"d"))</f>
        <v/>
      </c>
      <c r="G91" s="127" t="str">
        <f aca="false">IF(IFERROR(INDEX(tsk_Name,(ROW()-ROW(MSPTasks[[#Headers],[ID]])))="",TRUE()),"",INDEX(tsk_FcStart,(ROW()-ROW(MSPTasks[[#Headers],[ID]]))))</f>
        <v/>
      </c>
      <c r="H91" s="127" t="str">
        <f aca="false">IF(IFERROR(INDEX(tsk_Name,(ROW()-ROW(MSPTasks[[#Headers],[ID]])))="",TRUE()),"",INDEX(tsk_FcFinish,(ROW()-ROW(MSPTasks[[#Headers],[ID]]))))</f>
        <v/>
      </c>
      <c r="I91" s="24" t="str">
        <f aca="false">IF(IFERROR(INDEX(tsk_Name,(ROW()-ROW(MSPTasks[[#Headers],[ID]])))="",TRUE()),"",IF(INDEX(tsk_IsSummary,(ROW()-ROW(MSPTasks[[#Headers],[ID]]))),"",INDEX(tsk_Predecessors,(ROW()-ROW(MSPTasks[[#Headers],[ID]])))))</f>
        <v/>
      </c>
      <c r="J91" s="24" t="str">
        <f aca="false">IF(IFERROR(INDEX(tsk_Name,(ROW()-ROW(MSPTasks[[#Headers],[ID]])))="",TRUE()),"",IF(INDEX(tsk_IsSummary,(ROW()-ROW(MSPTasks[[#Headers],[ID]]))),"",INDEX(tsk_UIDPredecessors,(ROW()-ROW(MSPTasks[[#Headers],[ID]])))))</f>
        <v/>
      </c>
      <c r="K9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1" s="24" t="str">
        <f aca="false">IF(IFERROR(INDEX(tsk_Name,(ROW()-ROW(MSPTasks[[#Headers],[ID]])))="",TRUE()),"",IF(INDEX(tsk_IsSummary,(ROW()-ROW(MSPTasks[[#Headers],[ID]]))),"",ROUND(INDEX(tsk_Progress,(ROW()-ROW(MSPTasks[[#Headers],[ID]])))*100,0)))</f>
        <v/>
      </c>
      <c r="M91" s="127" t="str">
        <f aca="false">IF(IFERROR(INDEX(tsk_Name,(ROW()-ROW(MSPTasks[[#Headers],[ID]])))="",TRUE()),"",IF(N(INDEX(tsk_ActStart,(ROW()-ROW(MSPTasks[[#Headers],[ID]]))))=0,"",INDEX(tsk_ActStart,(ROW()-ROW(MSPTasks[[#Headers],[ID]])))))</f>
        <v/>
      </c>
      <c r="N91" s="127" t="str">
        <f aca="false">IF(IFERROR(INDEX(tsk_Name,(ROW()-ROW(MSPTasks[[#Headers],[ID]])))="",TRUE()),"",IF(N(INDEX(tsk_ActFinish,(ROW()-ROW(MSPTasks[[#Headers],[ID]]))))=0,"",INDEX(tsk_ActFinish,(ROW()-ROW(MSPTasks[[#Headers],[ID]])))))</f>
        <v/>
      </c>
      <c r="O91" s="127" t="str">
        <f aca="false">IF(IFERROR(INDEX(tsk_Name,(ROW()-ROW(MSPTasks[[#Headers],[ID]])))="",TRUE()),"",INDEX(tsk_PlanStart,(ROW()-ROW(MSPTasks[[#Headers],[ID]]))))</f>
        <v/>
      </c>
      <c r="P91" s="127" t="str">
        <f aca="false">IF(IFERROR(INDEX(tsk_Name,(ROW()-ROW(MSPTasks[[#Headers],[ID]])))="",TRUE()),"",INDEX(tsk_PlanFinish,(ROW()-ROW(MSPTasks[[#Headers],[ID]]))))</f>
        <v/>
      </c>
      <c r="Q91" s="24" t="str">
        <f aca="false">IF(IFERROR(INDEX(tsk_Name,(ROW()-ROW(MSPTasks[[#Headers],[ID]])))="",TRUE()),"",IF(INDEX(tsk_BaseDuration,(ROW()-ROW(MSPTasks[[#Headers],[ID]])))="","",N(INDEX(tsk_BaseDuration,(ROW()-ROW(MSPTasks[[#Headers],[ID]]))))&amp;"d"))</f>
        <v/>
      </c>
      <c r="R91" s="24" t="str">
        <f aca="false">IF(IFERROR(INDEX(tsk_Name,(ROW()-ROW(MSPTasks[[#Headers],[ID]])))="",TRUE()),"",IF(INDEX(tsk_BaseWork,(ROW()-ROW(MSPTasks[[#Headers],[ID]])))="","",N(INDEX(tsk_BaseWork,(ROW()-ROW(MSPTasks[[#Headers],[ID]]))))&amp;"h"))</f>
        <v/>
      </c>
      <c r="S91" s="24" t="str">
        <f aca="false">IF(IFERROR(INDEX(tsk_Name,(ROW()-ROW(MSPTasks[[#Headers],[ID]])))="",TRUE()),"",IF(INDEX(tsk_BaseCost,(ROW()-ROW(MSPTasks[[#Headers],[ID]])))="","",N(INDEX(tsk_BaseCost,(ROW()-ROW(MSPTasks[[#Headers],[ID]]))))))</f>
        <v/>
      </c>
      <c r="T91" s="24" t="str">
        <f aca="false">IF(IFERROR(INDEX(tsk_Name,(ROW()-ROW(MSPTasks[[#Headers],[ID]])))="",TRUE()),"",IF(INDEX(tsk_IsSummary,(ROW()-ROW(MSPTasks[[#Headers],[ID]]))),"",IF(N(INDEX(tsk_ActCostInput,(ROW()-ROW(MSPTasks[[#Headers],[ID]]))))=0,"",INDEX(tsk_ActCostInput,(ROW()-ROW(MSPTasks[[#Headers],[ID]]))))))</f>
        <v/>
      </c>
      <c r="U91" s="24" t="str">
        <f aca="false">IF(IFERROR(INDEX(tsk_Name,(ROW()-ROW(MSPTasks[[#Headers],[ID]])))="",TRUE()),"",IF(INDEX(tsk_IsSummary,(ROW()-ROW(MSPTasks[[#Headers],[ID]]))),"",IF(AND(INDEX(tsk_Mode,(ROW()-ROW(MSPTasks[[#Headers],[ID]])))&lt;&gt;"Manual",N(INDEX(tsk_Constraint,(ROW()-ROW(MSPTasks[[#Headers],[ID]]))))&gt;0),"Start No Earlier Than","As Soon As Possible")))</f>
        <v/>
      </c>
      <c r="V91" s="127" t="str">
        <f aca="false">IF(IFERROR(INDEX(tsk_Name,(ROW()-ROW(MSPTasks[[#Headers],[ID]])))="",TRUE()),"",IF(OR(INDEX(tsk_IsSummary,(ROW()-ROW(MSPTasks[[#Headers],[ID]]))),INDEX(tsk_Mode,(ROW()-ROW(MSPTasks[[#Headers],[ID]])))="Manual"),"",IF(N(INDEX(tsk_Constraint,(ROW()-ROW(MSPTasks[[#Headers],[ID]]))))=0,"",INDEX(tsk_Constraint,(ROW()-ROW(MSPTasks[[#Headers],[ID]]))))))</f>
        <v/>
      </c>
      <c r="W91" s="127" t="str">
        <f aca="false">IF(IFERROR(INDEX(tsk_Name,(ROW()-ROW(MSPTasks[[#Headers],[ID]])))="",TRUE()),"",IF(N(INDEX(tsk_Deadline,(ROW()-ROW(MSPTasks[[#Headers],[ID]]))))=0,"",INDEX(tsk_Deadline,(ROW()-ROW(MSPTasks[[#Headers],[ID]])))))</f>
        <v/>
      </c>
      <c r="X91" s="24" t="str">
        <f aca="false">IF(IFERROR(INDEX(tsk_Name,(ROW()-ROW(MSPTasks[[#Headers],[ID]])))="",TRUE()),"",IF(INDEX(tsk_IsSummary,(ROW()-ROW(MSPTasks[[#Headers],[ID]]))),"",INDEX(tsk_Sprint,(ROW()-ROW(MSPTasks[[#Headers],[ID]])))&amp;""))</f>
        <v/>
      </c>
      <c r="Y91" s="24" t="str">
        <f aca="false">IF(IFERROR(INDEX(tsk_Name,(ROW()-ROW(MSPTasks[[#Headers],[ID]])))="",TRUE()),"",IF(INDEX(tsk_IsSummary,(ROW()-ROW(MSPTasks[[#Headers],[ID]]))),"",IF(N(INDEX(tsk_StoryPoints,(ROW()-ROW(MSPTasks[[#Headers],[ID]]))))=0,"",INDEX(tsk_StoryPoints,(ROW()-ROW(MSPTasks[[#Headers],[ID]]))))))</f>
        <v/>
      </c>
      <c r="Z91" s="24" t="str">
        <f aca="false">IF(IFERROR(INDEX(tsk_Name,(ROW()-ROW(MSPTasks[[#Headers],[ID]])))="",TRUE()),"",INDEX(tsk_Notes,(ROW()-ROW(MSPTasks[[#Headers],[ID]])))&amp;"")</f>
        <v/>
      </c>
    </row>
    <row r="92" customFormat="false" ht="15" hidden="false" customHeight="false" outlineLevel="0" collapsed="false">
      <c r="A92" s="24" t="str">
        <f aca="false">IF(IFERROR(INDEX(tsk_Name,(ROW()-ROW(MSPTasks[[#Headers],[ID]])))="",TRUE()),"",INDEX(tsk_ID,(ROW()-ROW(MSPTasks[[#Headers],[ID]]))))</f>
        <v/>
      </c>
      <c r="B92" s="24" t="str">
        <f aca="false">IF(IFERROR(INDEX(tsk_Name,(ROW()-ROW(MSPTasks[[#Headers],[ID]])))="",TRUE()),"",INDEX(tsk_UID,(ROW()-ROW(MSPTasks[[#Headers],[ID]]))))</f>
        <v/>
      </c>
      <c r="C92" s="24" t="str">
        <f aca="false">IF(IFERROR(INDEX(tsk_Name,(ROW()-ROW(MSPTasks[[#Headers],[ID]])))="",TRUE()),"",INDEX(tsk_Name,(ROW()-ROW(MSPTasks[[#Headers],[ID]]))))</f>
        <v/>
      </c>
      <c r="D92" s="24" t="str">
        <f aca="false">IF(IFERROR(INDEX(tsk_Name,(ROW()-ROW(MSPTasks[[#Headers],[ID]])))="",TRUE()),"",INDEX(tsk_Level,(ROW()-ROW(MSPTasks[[#Headers],[ID]]))))</f>
        <v/>
      </c>
      <c r="E92" s="24" t="str">
        <f aca="false">IF(IFERROR(INDEX(tsk_Name,(ROW()-ROW(MSPTasks[[#Headers],[ID]])))="",TRUE()),"",IF(INDEX(tsk_Mode,(ROW()-ROW(MSPTasks[[#Headers],[ID]])))="Manual","Manually Scheduled","Auto Scheduled"))</f>
        <v/>
      </c>
      <c r="F92" s="24" t="str">
        <f aca="false">IF(IFERROR(INDEX(tsk_Name,(ROW()-ROW(MSPTasks[[#Headers],[ID]])))="",TRUE()),"",IF(INDEX(tsk_IsSummary,(ROW()-ROW(MSPTasks[[#Headers],[ID]]))),"",N(INDEX(tsk_Duration,(ROW()-ROW(MSPTasks[[#Headers],[ID]]))))&amp;"d"))</f>
        <v/>
      </c>
      <c r="G92" s="127" t="str">
        <f aca="false">IF(IFERROR(INDEX(tsk_Name,(ROW()-ROW(MSPTasks[[#Headers],[ID]])))="",TRUE()),"",INDEX(tsk_FcStart,(ROW()-ROW(MSPTasks[[#Headers],[ID]]))))</f>
        <v/>
      </c>
      <c r="H92" s="127" t="str">
        <f aca="false">IF(IFERROR(INDEX(tsk_Name,(ROW()-ROW(MSPTasks[[#Headers],[ID]])))="",TRUE()),"",INDEX(tsk_FcFinish,(ROW()-ROW(MSPTasks[[#Headers],[ID]]))))</f>
        <v/>
      </c>
      <c r="I92" s="24" t="str">
        <f aca="false">IF(IFERROR(INDEX(tsk_Name,(ROW()-ROW(MSPTasks[[#Headers],[ID]])))="",TRUE()),"",IF(INDEX(tsk_IsSummary,(ROW()-ROW(MSPTasks[[#Headers],[ID]]))),"",INDEX(tsk_Predecessors,(ROW()-ROW(MSPTasks[[#Headers],[ID]])))))</f>
        <v/>
      </c>
      <c r="J92" s="24" t="str">
        <f aca="false">IF(IFERROR(INDEX(tsk_Name,(ROW()-ROW(MSPTasks[[#Headers],[ID]])))="",TRUE()),"",IF(INDEX(tsk_IsSummary,(ROW()-ROW(MSPTasks[[#Headers],[ID]]))),"",INDEX(tsk_UIDPredecessors,(ROW()-ROW(MSPTasks[[#Headers],[ID]])))))</f>
        <v/>
      </c>
      <c r="K9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2" s="24" t="str">
        <f aca="false">IF(IFERROR(INDEX(tsk_Name,(ROW()-ROW(MSPTasks[[#Headers],[ID]])))="",TRUE()),"",IF(INDEX(tsk_IsSummary,(ROW()-ROW(MSPTasks[[#Headers],[ID]]))),"",ROUND(INDEX(tsk_Progress,(ROW()-ROW(MSPTasks[[#Headers],[ID]])))*100,0)))</f>
        <v/>
      </c>
      <c r="M92" s="127" t="str">
        <f aca="false">IF(IFERROR(INDEX(tsk_Name,(ROW()-ROW(MSPTasks[[#Headers],[ID]])))="",TRUE()),"",IF(N(INDEX(tsk_ActStart,(ROW()-ROW(MSPTasks[[#Headers],[ID]]))))=0,"",INDEX(tsk_ActStart,(ROW()-ROW(MSPTasks[[#Headers],[ID]])))))</f>
        <v/>
      </c>
      <c r="N92" s="127" t="str">
        <f aca="false">IF(IFERROR(INDEX(tsk_Name,(ROW()-ROW(MSPTasks[[#Headers],[ID]])))="",TRUE()),"",IF(N(INDEX(tsk_ActFinish,(ROW()-ROW(MSPTasks[[#Headers],[ID]]))))=0,"",INDEX(tsk_ActFinish,(ROW()-ROW(MSPTasks[[#Headers],[ID]])))))</f>
        <v/>
      </c>
      <c r="O92" s="127" t="str">
        <f aca="false">IF(IFERROR(INDEX(tsk_Name,(ROW()-ROW(MSPTasks[[#Headers],[ID]])))="",TRUE()),"",INDEX(tsk_PlanStart,(ROW()-ROW(MSPTasks[[#Headers],[ID]]))))</f>
        <v/>
      </c>
      <c r="P92" s="127" t="str">
        <f aca="false">IF(IFERROR(INDEX(tsk_Name,(ROW()-ROW(MSPTasks[[#Headers],[ID]])))="",TRUE()),"",INDEX(tsk_PlanFinish,(ROW()-ROW(MSPTasks[[#Headers],[ID]]))))</f>
        <v/>
      </c>
      <c r="Q92" s="24" t="str">
        <f aca="false">IF(IFERROR(INDEX(tsk_Name,(ROW()-ROW(MSPTasks[[#Headers],[ID]])))="",TRUE()),"",IF(INDEX(tsk_BaseDuration,(ROW()-ROW(MSPTasks[[#Headers],[ID]])))="","",N(INDEX(tsk_BaseDuration,(ROW()-ROW(MSPTasks[[#Headers],[ID]]))))&amp;"d"))</f>
        <v/>
      </c>
      <c r="R92" s="24" t="str">
        <f aca="false">IF(IFERROR(INDEX(tsk_Name,(ROW()-ROW(MSPTasks[[#Headers],[ID]])))="",TRUE()),"",IF(INDEX(tsk_BaseWork,(ROW()-ROW(MSPTasks[[#Headers],[ID]])))="","",N(INDEX(tsk_BaseWork,(ROW()-ROW(MSPTasks[[#Headers],[ID]]))))&amp;"h"))</f>
        <v/>
      </c>
      <c r="S92" s="24" t="str">
        <f aca="false">IF(IFERROR(INDEX(tsk_Name,(ROW()-ROW(MSPTasks[[#Headers],[ID]])))="",TRUE()),"",IF(INDEX(tsk_BaseCost,(ROW()-ROW(MSPTasks[[#Headers],[ID]])))="","",N(INDEX(tsk_BaseCost,(ROW()-ROW(MSPTasks[[#Headers],[ID]]))))))</f>
        <v/>
      </c>
      <c r="T92" s="24" t="str">
        <f aca="false">IF(IFERROR(INDEX(tsk_Name,(ROW()-ROW(MSPTasks[[#Headers],[ID]])))="",TRUE()),"",IF(INDEX(tsk_IsSummary,(ROW()-ROW(MSPTasks[[#Headers],[ID]]))),"",IF(N(INDEX(tsk_ActCostInput,(ROW()-ROW(MSPTasks[[#Headers],[ID]]))))=0,"",INDEX(tsk_ActCostInput,(ROW()-ROW(MSPTasks[[#Headers],[ID]]))))))</f>
        <v/>
      </c>
      <c r="U92" s="24" t="str">
        <f aca="false">IF(IFERROR(INDEX(tsk_Name,(ROW()-ROW(MSPTasks[[#Headers],[ID]])))="",TRUE()),"",IF(INDEX(tsk_IsSummary,(ROW()-ROW(MSPTasks[[#Headers],[ID]]))),"",IF(AND(INDEX(tsk_Mode,(ROW()-ROW(MSPTasks[[#Headers],[ID]])))&lt;&gt;"Manual",N(INDEX(tsk_Constraint,(ROW()-ROW(MSPTasks[[#Headers],[ID]]))))&gt;0),"Start No Earlier Than","As Soon As Possible")))</f>
        <v/>
      </c>
      <c r="V92" s="127" t="str">
        <f aca="false">IF(IFERROR(INDEX(tsk_Name,(ROW()-ROW(MSPTasks[[#Headers],[ID]])))="",TRUE()),"",IF(OR(INDEX(tsk_IsSummary,(ROW()-ROW(MSPTasks[[#Headers],[ID]]))),INDEX(tsk_Mode,(ROW()-ROW(MSPTasks[[#Headers],[ID]])))="Manual"),"",IF(N(INDEX(tsk_Constraint,(ROW()-ROW(MSPTasks[[#Headers],[ID]]))))=0,"",INDEX(tsk_Constraint,(ROW()-ROW(MSPTasks[[#Headers],[ID]]))))))</f>
        <v/>
      </c>
      <c r="W92" s="127" t="str">
        <f aca="false">IF(IFERROR(INDEX(tsk_Name,(ROW()-ROW(MSPTasks[[#Headers],[ID]])))="",TRUE()),"",IF(N(INDEX(tsk_Deadline,(ROW()-ROW(MSPTasks[[#Headers],[ID]]))))=0,"",INDEX(tsk_Deadline,(ROW()-ROW(MSPTasks[[#Headers],[ID]])))))</f>
        <v/>
      </c>
      <c r="X92" s="24" t="str">
        <f aca="false">IF(IFERROR(INDEX(tsk_Name,(ROW()-ROW(MSPTasks[[#Headers],[ID]])))="",TRUE()),"",IF(INDEX(tsk_IsSummary,(ROW()-ROW(MSPTasks[[#Headers],[ID]]))),"",INDEX(tsk_Sprint,(ROW()-ROW(MSPTasks[[#Headers],[ID]])))&amp;""))</f>
        <v/>
      </c>
      <c r="Y92" s="24" t="str">
        <f aca="false">IF(IFERROR(INDEX(tsk_Name,(ROW()-ROW(MSPTasks[[#Headers],[ID]])))="",TRUE()),"",IF(INDEX(tsk_IsSummary,(ROW()-ROW(MSPTasks[[#Headers],[ID]]))),"",IF(N(INDEX(tsk_StoryPoints,(ROW()-ROW(MSPTasks[[#Headers],[ID]]))))=0,"",INDEX(tsk_StoryPoints,(ROW()-ROW(MSPTasks[[#Headers],[ID]]))))))</f>
        <v/>
      </c>
      <c r="Z92" s="24" t="str">
        <f aca="false">IF(IFERROR(INDEX(tsk_Name,(ROW()-ROW(MSPTasks[[#Headers],[ID]])))="",TRUE()),"",INDEX(tsk_Notes,(ROW()-ROW(MSPTasks[[#Headers],[ID]])))&amp;"")</f>
        <v/>
      </c>
    </row>
    <row r="93" customFormat="false" ht="15" hidden="false" customHeight="false" outlineLevel="0" collapsed="false">
      <c r="A93" s="24" t="str">
        <f aca="false">IF(IFERROR(INDEX(tsk_Name,(ROW()-ROW(MSPTasks[[#Headers],[ID]])))="",TRUE()),"",INDEX(tsk_ID,(ROW()-ROW(MSPTasks[[#Headers],[ID]]))))</f>
        <v/>
      </c>
      <c r="B93" s="24" t="str">
        <f aca="false">IF(IFERROR(INDEX(tsk_Name,(ROW()-ROW(MSPTasks[[#Headers],[ID]])))="",TRUE()),"",INDEX(tsk_UID,(ROW()-ROW(MSPTasks[[#Headers],[ID]]))))</f>
        <v/>
      </c>
      <c r="C93" s="24" t="str">
        <f aca="false">IF(IFERROR(INDEX(tsk_Name,(ROW()-ROW(MSPTasks[[#Headers],[ID]])))="",TRUE()),"",INDEX(tsk_Name,(ROW()-ROW(MSPTasks[[#Headers],[ID]]))))</f>
        <v/>
      </c>
      <c r="D93" s="24" t="str">
        <f aca="false">IF(IFERROR(INDEX(tsk_Name,(ROW()-ROW(MSPTasks[[#Headers],[ID]])))="",TRUE()),"",INDEX(tsk_Level,(ROW()-ROW(MSPTasks[[#Headers],[ID]]))))</f>
        <v/>
      </c>
      <c r="E93" s="24" t="str">
        <f aca="false">IF(IFERROR(INDEX(tsk_Name,(ROW()-ROW(MSPTasks[[#Headers],[ID]])))="",TRUE()),"",IF(INDEX(tsk_Mode,(ROW()-ROW(MSPTasks[[#Headers],[ID]])))="Manual","Manually Scheduled","Auto Scheduled"))</f>
        <v/>
      </c>
      <c r="F93" s="24" t="str">
        <f aca="false">IF(IFERROR(INDEX(tsk_Name,(ROW()-ROW(MSPTasks[[#Headers],[ID]])))="",TRUE()),"",IF(INDEX(tsk_IsSummary,(ROW()-ROW(MSPTasks[[#Headers],[ID]]))),"",N(INDEX(tsk_Duration,(ROW()-ROW(MSPTasks[[#Headers],[ID]]))))&amp;"d"))</f>
        <v/>
      </c>
      <c r="G93" s="127" t="str">
        <f aca="false">IF(IFERROR(INDEX(tsk_Name,(ROW()-ROW(MSPTasks[[#Headers],[ID]])))="",TRUE()),"",INDEX(tsk_FcStart,(ROW()-ROW(MSPTasks[[#Headers],[ID]]))))</f>
        <v/>
      </c>
      <c r="H93" s="127" t="str">
        <f aca="false">IF(IFERROR(INDEX(tsk_Name,(ROW()-ROW(MSPTasks[[#Headers],[ID]])))="",TRUE()),"",INDEX(tsk_FcFinish,(ROW()-ROW(MSPTasks[[#Headers],[ID]]))))</f>
        <v/>
      </c>
      <c r="I93" s="24" t="str">
        <f aca="false">IF(IFERROR(INDEX(tsk_Name,(ROW()-ROW(MSPTasks[[#Headers],[ID]])))="",TRUE()),"",IF(INDEX(tsk_IsSummary,(ROW()-ROW(MSPTasks[[#Headers],[ID]]))),"",INDEX(tsk_Predecessors,(ROW()-ROW(MSPTasks[[#Headers],[ID]])))))</f>
        <v/>
      </c>
      <c r="J93" s="24" t="str">
        <f aca="false">IF(IFERROR(INDEX(tsk_Name,(ROW()-ROW(MSPTasks[[#Headers],[ID]])))="",TRUE()),"",IF(INDEX(tsk_IsSummary,(ROW()-ROW(MSPTasks[[#Headers],[ID]]))),"",INDEX(tsk_UIDPredecessors,(ROW()-ROW(MSPTasks[[#Headers],[ID]])))))</f>
        <v/>
      </c>
      <c r="K9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3" s="24" t="str">
        <f aca="false">IF(IFERROR(INDEX(tsk_Name,(ROW()-ROW(MSPTasks[[#Headers],[ID]])))="",TRUE()),"",IF(INDEX(tsk_IsSummary,(ROW()-ROW(MSPTasks[[#Headers],[ID]]))),"",ROUND(INDEX(tsk_Progress,(ROW()-ROW(MSPTasks[[#Headers],[ID]])))*100,0)))</f>
        <v/>
      </c>
      <c r="M93" s="127" t="str">
        <f aca="false">IF(IFERROR(INDEX(tsk_Name,(ROW()-ROW(MSPTasks[[#Headers],[ID]])))="",TRUE()),"",IF(N(INDEX(tsk_ActStart,(ROW()-ROW(MSPTasks[[#Headers],[ID]]))))=0,"",INDEX(tsk_ActStart,(ROW()-ROW(MSPTasks[[#Headers],[ID]])))))</f>
        <v/>
      </c>
      <c r="N93" s="127" t="str">
        <f aca="false">IF(IFERROR(INDEX(tsk_Name,(ROW()-ROW(MSPTasks[[#Headers],[ID]])))="",TRUE()),"",IF(N(INDEX(tsk_ActFinish,(ROW()-ROW(MSPTasks[[#Headers],[ID]]))))=0,"",INDEX(tsk_ActFinish,(ROW()-ROW(MSPTasks[[#Headers],[ID]])))))</f>
        <v/>
      </c>
      <c r="O93" s="127" t="str">
        <f aca="false">IF(IFERROR(INDEX(tsk_Name,(ROW()-ROW(MSPTasks[[#Headers],[ID]])))="",TRUE()),"",INDEX(tsk_PlanStart,(ROW()-ROW(MSPTasks[[#Headers],[ID]]))))</f>
        <v/>
      </c>
      <c r="P93" s="127" t="str">
        <f aca="false">IF(IFERROR(INDEX(tsk_Name,(ROW()-ROW(MSPTasks[[#Headers],[ID]])))="",TRUE()),"",INDEX(tsk_PlanFinish,(ROW()-ROW(MSPTasks[[#Headers],[ID]]))))</f>
        <v/>
      </c>
      <c r="Q93" s="24" t="str">
        <f aca="false">IF(IFERROR(INDEX(tsk_Name,(ROW()-ROW(MSPTasks[[#Headers],[ID]])))="",TRUE()),"",IF(INDEX(tsk_BaseDuration,(ROW()-ROW(MSPTasks[[#Headers],[ID]])))="","",N(INDEX(tsk_BaseDuration,(ROW()-ROW(MSPTasks[[#Headers],[ID]]))))&amp;"d"))</f>
        <v/>
      </c>
      <c r="R93" s="24" t="str">
        <f aca="false">IF(IFERROR(INDEX(tsk_Name,(ROW()-ROW(MSPTasks[[#Headers],[ID]])))="",TRUE()),"",IF(INDEX(tsk_BaseWork,(ROW()-ROW(MSPTasks[[#Headers],[ID]])))="","",N(INDEX(tsk_BaseWork,(ROW()-ROW(MSPTasks[[#Headers],[ID]]))))&amp;"h"))</f>
        <v/>
      </c>
      <c r="S93" s="24" t="str">
        <f aca="false">IF(IFERROR(INDEX(tsk_Name,(ROW()-ROW(MSPTasks[[#Headers],[ID]])))="",TRUE()),"",IF(INDEX(tsk_BaseCost,(ROW()-ROW(MSPTasks[[#Headers],[ID]])))="","",N(INDEX(tsk_BaseCost,(ROW()-ROW(MSPTasks[[#Headers],[ID]]))))))</f>
        <v/>
      </c>
      <c r="T93" s="24" t="str">
        <f aca="false">IF(IFERROR(INDEX(tsk_Name,(ROW()-ROW(MSPTasks[[#Headers],[ID]])))="",TRUE()),"",IF(INDEX(tsk_IsSummary,(ROW()-ROW(MSPTasks[[#Headers],[ID]]))),"",IF(N(INDEX(tsk_ActCostInput,(ROW()-ROW(MSPTasks[[#Headers],[ID]]))))=0,"",INDEX(tsk_ActCostInput,(ROW()-ROW(MSPTasks[[#Headers],[ID]]))))))</f>
        <v/>
      </c>
      <c r="U93" s="24" t="str">
        <f aca="false">IF(IFERROR(INDEX(tsk_Name,(ROW()-ROW(MSPTasks[[#Headers],[ID]])))="",TRUE()),"",IF(INDEX(tsk_IsSummary,(ROW()-ROW(MSPTasks[[#Headers],[ID]]))),"",IF(AND(INDEX(tsk_Mode,(ROW()-ROW(MSPTasks[[#Headers],[ID]])))&lt;&gt;"Manual",N(INDEX(tsk_Constraint,(ROW()-ROW(MSPTasks[[#Headers],[ID]]))))&gt;0),"Start No Earlier Than","As Soon As Possible")))</f>
        <v/>
      </c>
      <c r="V93" s="127" t="str">
        <f aca="false">IF(IFERROR(INDEX(tsk_Name,(ROW()-ROW(MSPTasks[[#Headers],[ID]])))="",TRUE()),"",IF(OR(INDEX(tsk_IsSummary,(ROW()-ROW(MSPTasks[[#Headers],[ID]]))),INDEX(tsk_Mode,(ROW()-ROW(MSPTasks[[#Headers],[ID]])))="Manual"),"",IF(N(INDEX(tsk_Constraint,(ROW()-ROW(MSPTasks[[#Headers],[ID]]))))=0,"",INDEX(tsk_Constraint,(ROW()-ROW(MSPTasks[[#Headers],[ID]]))))))</f>
        <v/>
      </c>
      <c r="W93" s="127" t="str">
        <f aca="false">IF(IFERROR(INDEX(tsk_Name,(ROW()-ROW(MSPTasks[[#Headers],[ID]])))="",TRUE()),"",IF(N(INDEX(tsk_Deadline,(ROW()-ROW(MSPTasks[[#Headers],[ID]]))))=0,"",INDEX(tsk_Deadline,(ROW()-ROW(MSPTasks[[#Headers],[ID]])))))</f>
        <v/>
      </c>
      <c r="X93" s="24" t="str">
        <f aca="false">IF(IFERROR(INDEX(tsk_Name,(ROW()-ROW(MSPTasks[[#Headers],[ID]])))="",TRUE()),"",IF(INDEX(tsk_IsSummary,(ROW()-ROW(MSPTasks[[#Headers],[ID]]))),"",INDEX(tsk_Sprint,(ROW()-ROW(MSPTasks[[#Headers],[ID]])))&amp;""))</f>
        <v/>
      </c>
      <c r="Y93" s="24" t="str">
        <f aca="false">IF(IFERROR(INDEX(tsk_Name,(ROW()-ROW(MSPTasks[[#Headers],[ID]])))="",TRUE()),"",IF(INDEX(tsk_IsSummary,(ROW()-ROW(MSPTasks[[#Headers],[ID]]))),"",IF(N(INDEX(tsk_StoryPoints,(ROW()-ROW(MSPTasks[[#Headers],[ID]]))))=0,"",INDEX(tsk_StoryPoints,(ROW()-ROW(MSPTasks[[#Headers],[ID]]))))))</f>
        <v/>
      </c>
      <c r="Z93" s="24" t="str">
        <f aca="false">IF(IFERROR(INDEX(tsk_Name,(ROW()-ROW(MSPTasks[[#Headers],[ID]])))="",TRUE()),"",INDEX(tsk_Notes,(ROW()-ROW(MSPTasks[[#Headers],[ID]])))&amp;"")</f>
        <v/>
      </c>
    </row>
    <row r="94" customFormat="false" ht="15" hidden="false" customHeight="false" outlineLevel="0" collapsed="false">
      <c r="A94" s="24" t="str">
        <f aca="false">IF(IFERROR(INDEX(tsk_Name,(ROW()-ROW(MSPTasks[[#Headers],[ID]])))="",TRUE()),"",INDEX(tsk_ID,(ROW()-ROW(MSPTasks[[#Headers],[ID]]))))</f>
        <v/>
      </c>
      <c r="B94" s="24" t="str">
        <f aca="false">IF(IFERROR(INDEX(tsk_Name,(ROW()-ROW(MSPTasks[[#Headers],[ID]])))="",TRUE()),"",INDEX(tsk_UID,(ROW()-ROW(MSPTasks[[#Headers],[ID]]))))</f>
        <v/>
      </c>
      <c r="C94" s="24" t="str">
        <f aca="false">IF(IFERROR(INDEX(tsk_Name,(ROW()-ROW(MSPTasks[[#Headers],[ID]])))="",TRUE()),"",INDEX(tsk_Name,(ROW()-ROW(MSPTasks[[#Headers],[ID]]))))</f>
        <v/>
      </c>
      <c r="D94" s="24" t="str">
        <f aca="false">IF(IFERROR(INDEX(tsk_Name,(ROW()-ROW(MSPTasks[[#Headers],[ID]])))="",TRUE()),"",INDEX(tsk_Level,(ROW()-ROW(MSPTasks[[#Headers],[ID]]))))</f>
        <v/>
      </c>
      <c r="E94" s="24" t="str">
        <f aca="false">IF(IFERROR(INDEX(tsk_Name,(ROW()-ROW(MSPTasks[[#Headers],[ID]])))="",TRUE()),"",IF(INDEX(tsk_Mode,(ROW()-ROW(MSPTasks[[#Headers],[ID]])))="Manual","Manually Scheduled","Auto Scheduled"))</f>
        <v/>
      </c>
      <c r="F94" s="24" t="str">
        <f aca="false">IF(IFERROR(INDEX(tsk_Name,(ROW()-ROW(MSPTasks[[#Headers],[ID]])))="",TRUE()),"",IF(INDEX(tsk_IsSummary,(ROW()-ROW(MSPTasks[[#Headers],[ID]]))),"",N(INDEX(tsk_Duration,(ROW()-ROW(MSPTasks[[#Headers],[ID]]))))&amp;"d"))</f>
        <v/>
      </c>
      <c r="G94" s="127" t="str">
        <f aca="false">IF(IFERROR(INDEX(tsk_Name,(ROW()-ROW(MSPTasks[[#Headers],[ID]])))="",TRUE()),"",INDEX(tsk_FcStart,(ROW()-ROW(MSPTasks[[#Headers],[ID]]))))</f>
        <v/>
      </c>
      <c r="H94" s="127" t="str">
        <f aca="false">IF(IFERROR(INDEX(tsk_Name,(ROW()-ROW(MSPTasks[[#Headers],[ID]])))="",TRUE()),"",INDEX(tsk_FcFinish,(ROW()-ROW(MSPTasks[[#Headers],[ID]]))))</f>
        <v/>
      </c>
      <c r="I94" s="24" t="str">
        <f aca="false">IF(IFERROR(INDEX(tsk_Name,(ROW()-ROW(MSPTasks[[#Headers],[ID]])))="",TRUE()),"",IF(INDEX(tsk_IsSummary,(ROW()-ROW(MSPTasks[[#Headers],[ID]]))),"",INDEX(tsk_Predecessors,(ROW()-ROW(MSPTasks[[#Headers],[ID]])))))</f>
        <v/>
      </c>
      <c r="J94" s="24" t="str">
        <f aca="false">IF(IFERROR(INDEX(tsk_Name,(ROW()-ROW(MSPTasks[[#Headers],[ID]])))="",TRUE()),"",IF(INDEX(tsk_IsSummary,(ROW()-ROW(MSPTasks[[#Headers],[ID]]))),"",INDEX(tsk_UIDPredecessors,(ROW()-ROW(MSPTasks[[#Headers],[ID]])))))</f>
        <v/>
      </c>
      <c r="K9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4" s="24" t="str">
        <f aca="false">IF(IFERROR(INDEX(tsk_Name,(ROW()-ROW(MSPTasks[[#Headers],[ID]])))="",TRUE()),"",IF(INDEX(tsk_IsSummary,(ROW()-ROW(MSPTasks[[#Headers],[ID]]))),"",ROUND(INDEX(tsk_Progress,(ROW()-ROW(MSPTasks[[#Headers],[ID]])))*100,0)))</f>
        <v/>
      </c>
      <c r="M94" s="127" t="str">
        <f aca="false">IF(IFERROR(INDEX(tsk_Name,(ROW()-ROW(MSPTasks[[#Headers],[ID]])))="",TRUE()),"",IF(N(INDEX(tsk_ActStart,(ROW()-ROW(MSPTasks[[#Headers],[ID]]))))=0,"",INDEX(tsk_ActStart,(ROW()-ROW(MSPTasks[[#Headers],[ID]])))))</f>
        <v/>
      </c>
      <c r="N94" s="127" t="str">
        <f aca="false">IF(IFERROR(INDEX(tsk_Name,(ROW()-ROW(MSPTasks[[#Headers],[ID]])))="",TRUE()),"",IF(N(INDEX(tsk_ActFinish,(ROW()-ROW(MSPTasks[[#Headers],[ID]]))))=0,"",INDEX(tsk_ActFinish,(ROW()-ROW(MSPTasks[[#Headers],[ID]])))))</f>
        <v/>
      </c>
      <c r="O94" s="127" t="str">
        <f aca="false">IF(IFERROR(INDEX(tsk_Name,(ROW()-ROW(MSPTasks[[#Headers],[ID]])))="",TRUE()),"",INDEX(tsk_PlanStart,(ROW()-ROW(MSPTasks[[#Headers],[ID]]))))</f>
        <v/>
      </c>
      <c r="P94" s="127" t="str">
        <f aca="false">IF(IFERROR(INDEX(tsk_Name,(ROW()-ROW(MSPTasks[[#Headers],[ID]])))="",TRUE()),"",INDEX(tsk_PlanFinish,(ROW()-ROW(MSPTasks[[#Headers],[ID]]))))</f>
        <v/>
      </c>
      <c r="Q94" s="24" t="str">
        <f aca="false">IF(IFERROR(INDEX(tsk_Name,(ROW()-ROW(MSPTasks[[#Headers],[ID]])))="",TRUE()),"",IF(INDEX(tsk_BaseDuration,(ROW()-ROW(MSPTasks[[#Headers],[ID]])))="","",N(INDEX(tsk_BaseDuration,(ROW()-ROW(MSPTasks[[#Headers],[ID]]))))&amp;"d"))</f>
        <v/>
      </c>
      <c r="R94" s="24" t="str">
        <f aca="false">IF(IFERROR(INDEX(tsk_Name,(ROW()-ROW(MSPTasks[[#Headers],[ID]])))="",TRUE()),"",IF(INDEX(tsk_BaseWork,(ROW()-ROW(MSPTasks[[#Headers],[ID]])))="","",N(INDEX(tsk_BaseWork,(ROW()-ROW(MSPTasks[[#Headers],[ID]]))))&amp;"h"))</f>
        <v/>
      </c>
      <c r="S94" s="24" t="str">
        <f aca="false">IF(IFERROR(INDEX(tsk_Name,(ROW()-ROW(MSPTasks[[#Headers],[ID]])))="",TRUE()),"",IF(INDEX(tsk_BaseCost,(ROW()-ROW(MSPTasks[[#Headers],[ID]])))="","",N(INDEX(tsk_BaseCost,(ROW()-ROW(MSPTasks[[#Headers],[ID]]))))))</f>
        <v/>
      </c>
      <c r="T94" s="24" t="str">
        <f aca="false">IF(IFERROR(INDEX(tsk_Name,(ROW()-ROW(MSPTasks[[#Headers],[ID]])))="",TRUE()),"",IF(INDEX(tsk_IsSummary,(ROW()-ROW(MSPTasks[[#Headers],[ID]]))),"",IF(N(INDEX(tsk_ActCostInput,(ROW()-ROW(MSPTasks[[#Headers],[ID]]))))=0,"",INDEX(tsk_ActCostInput,(ROW()-ROW(MSPTasks[[#Headers],[ID]]))))))</f>
        <v/>
      </c>
      <c r="U94" s="24" t="str">
        <f aca="false">IF(IFERROR(INDEX(tsk_Name,(ROW()-ROW(MSPTasks[[#Headers],[ID]])))="",TRUE()),"",IF(INDEX(tsk_IsSummary,(ROW()-ROW(MSPTasks[[#Headers],[ID]]))),"",IF(AND(INDEX(tsk_Mode,(ROW()-ROW(MSPTasks[[#Headers],[ID]])))&lt;&gt;"Manual",N(INDEX(tsk_Constraint,(ROW()-ROW(MSPTasks[[#Headers],[ID]]))))&gt;0),"Start No Earlier Than","As Soon As Possible")))</f>
        <v/>
      </c>
      <c r="V94" s="127" t="str">
        <f aca="false">IF(IFERROR(INDEX(tsk_Name,(ROW()-ROW(MSPTasks[[#Headers],[ID]])))="",TRUE()),"",IF(OR(INDEX(tsk_IsSummary,(ROW()-ROW(MSPTasks[[#Headers],[ID]]))),INDEX(tsk_Mode,(ROW()-ROW(MSPTasks[[#Headers],[ID]])))="Manual"),"",IF(N(INDEX(tsk_Constraint,(ROW()-ROW(MSPTasks[[#Headers],[ID]]))))=0,"",INDEX(tsk_Constraint,(ROW()-ROW(MSPTasks[[#Headers],[ID]]))))))</f>
        <v/>
      </c>
      <c r="W94" s="127" t="str">
        <f aca="false">IF(IFERROR(INDEX(tsk_Name,(ROW()-ROW(MSPTasks[[#Headers],[ID]])))="",TRUE()),"",IF(N(INDEX(tsk_Deadline,(ROW()-ROW(MSPTasks[[#Headers],[ID]]))))=0,"",INDEX(tsk_Deadline,(ROW()-ROW(MSPTasks[[#Headers],[ID]])))))</f>
        <v/>
      </c>
      <c r="X94" s="24" t="str">
        <f aca="false">IF(IFERROR(INDEX(tsk_Name,(ROW()-ROW(MSPTasks[[#Headers],[ID]])))="",TRUE()),"",IF(INDEX(tsk_IsSummary,(ROW()-ROW(MSPTasks[[#Headers],[ID]]))),"",INDEX(tsk_Sprint,(ROW()-ROW(MSPTasks[[#Headers],[ID]])))&amp;""))</f>
        <v/>
      </c>
      <c r="Y94" s="24" t="str">
        <f aca="false">IF(IFERROR(INDEX(tsk_Name,(ROW()-ROW(MSPTasks[[#Headers],[ID]])))="",TRUE()),"",IF(INDEX(tsk_IsSummary,(ROW()-ROW(MSPTasks[[#Headers],[ID]]))),"",IF(N(INDEX(tsk_StoryPoints,(ROW()-ROW(MSPTasks[[#Headers],[ID]]))))=0,"",INDEX(tsk_StoryPoints,(ROW()-ROW(MSPTasks[[#Headers],[ID]]))))))</f>
        <v/>
      </c>
      <c r="Z94" s="24" t="str">
        <f aca="false">IF(IFERROR(INDEX(tsk_Name,(ROW()-ROW(MSPTasks[[#Headers],[ID]])))="",TRUE()),"",INDEX(tsk_Notes,(ROW()-ROW(MSPTasks[[#Headers],[ID]])))&amp;"")</f>
        <v/>
      </c>
    </row>
    <row r="95" customFormat="false" ht="15" hidden="false" customHeight="false" outlineLevel="0" collapsed="false">
      <c r="A95" s="24" t="str">
        <f aca="false">IF(IFERROR(INDEX(tsk_Name,(ROW()-ROW(MSPTasks[[#Headers],[ID]])))="",TRUE()),"",INDEX(tsk_ID,(ROW()-ROW(MSPTasks[[#Headers],[ID]]))))</f>
        <v/>
      </c>
      <c r="B95" s="24" t="str">
        <f aca="false">IF(IFERROR(INDEX(tsk_Name,(ROW()-ROW(MSPTasks[[#Headers],[ID]])))="",TRUE()),"",INDEX(tsk_UID,(ROW()-ROW(MSPTasks[[#Headers],[ID]]))))</f>
        <v/>
      </c>
      <c r="C95" s="24" t="str">
        <f aca="false">IF(IFERROR(INDEX(tsk_Name,(ROW()-ROW(MSPTasks[[#Headers],[ID]])))="",TRUE()),"",INDEX(tsk_Name,(ROW()-ROW(MSPTasks[[#Headers],[ID]]))))</f>
        <v/>
      </c>
      <c r="D95" s="24" t="str">
        <f aca="false">IF(IFERROR(INDEX(tsk_Name,(ROW()-ROW(MSPTasks[[#Headers],[ID]])))="",TRUE()),"",INDEX(tsk_Level,(ROW()-ROW(MSPTasks[[#Headers],[ID]]))))</f>
        <v/>
      </c>
      <c r="E95" s="24" t="str">
        <f aca="false">IF(IFERROR(INDEX(tsk_Name,(ROW()-ROW(MSPTasks[[#Headers],[ID]])))="",TRUE()),"",IF(INDEX(tsk_Mode,(ROW()-ROW(MSPTasks[[#Headers],[ID]])))="Manual","Manually Scheduled","Auto Scheduled"))</f>
        <v/>
      </c>
      <c r="F95" s="24" t="str">
        <f aca="false">IF(IFERROR(INDEX(tsk_Name,(ROW()-ROW(MSPTasks[[#Headers],[ID]])))="",TRUE()),"",IF(INDEX(tsk_IsSummary,(ROW()-ROW(MSPTasks[[#Headers],[ID]]))),"",N(INDEX(tsk_Duration,(ROW()-ROW(MSPTasks[[#Headers],[ID]]))))&amp;"d"))</f>
        <v/>
      </c>
      <c r="G95" s="127" t="str">
        <f aca="false">IF(IFERROR(INDEX(tsk_Name,(ROW()-ROW(MSPTasks[[#Headers],[ID]])))="",TRUE()),"",INDEX(tsk_FcStart,(ROW()-ROW(MSPTasks[[#Headers],[ID]]))))</f>
        <v/>
      </c>
      <c r="H95" s="127" t="str">
        <f aca="false">IF(IFERROR(INDEX(tsk_Name,(ROW()-ROW(MSPTasks[[#Headers],[ID]])))="",TRUE()),"",INDEX(tsk_FcFinish,(ROW()-ROW(MSPTasks[[#Headers],[ID]]))))</f>
        <v/>
      </c>
      <c r="I95" s="24" t="str">
        <f aca="false">IF(IFERROR(INDEX(tsk_Name,(ROW()-ROW(MSPTasks[[#Headers],[ID]])))="",TRUE()),"",IF(INDEX(tsk_IsSummary,(ROW()-ROW(MSPTasks[[#Headers],[ID]]))),"",INDEX(tsk_Predecessors,(ROW()-ROW(MSPTasks[[#Headers],[ID]])))))</f>
        <v/>
      </c>
      <c r="J95" s="24" t="str">
        <f aca="false">IF(IFERROR(INDEX(tsk_Name,(ROW()-ROW(MSPTasks[[#Headers],[ID]])))="",TRUE()),"",IF(INDEX(tsk_IsSummary,(ROW()-ROW(MSPTasks[[#Headers],[ID]]))),"",INDEX(tsk_UIDPredecessors,(ROW()-ROW(MSPTasks[[#Headers],[ID]])))))</f>
        <v/>
      </c>
      <c r="K9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5" s="24" t="str">
        <f aca="false">IF(IFERROR(INDEX(tsk_Name,(ROW()-ROW(MSPTasks[[#Headers],[ID]])))="",TRUE()),"",IF(INDEX(tsk_IsSummary,(ROW()-ROW(MSPTasks[[#Headers],[ID]]))),"",ROUND(INDEX(tsk_Progress,(ROW()-ROW(MSPTasks[[#Headers],[ID]])))*100,0)))</f>
        <v/>
      </c>
      <c r="M95" s="127" t="str">
        <f aca="false">IF(IFERROR(INDEX(tsk_Name,(ROW()-ROW(MSPTasks[[#Headers],[ID]])))="",TRUE()),"",IF(N(INDEX(tsk_ActStart,(ROW()-ROW(MSPTasks[[#Headers],[ID]]))))=0,"",INDEX(tsk_ActStart,(ROW()-ROW(MSPTasks[[#Headers],[ID]])))))</f>
        <v/>
      </c>
      <c r="N95" s="127" t="str">
        <f aca="false">IF(IFERROR(INDEX(tsk_Name,(ROW()-ROW(MSPTasks[[#Headers],[ID]])))="",TRUE()),"",IF(N(INDEX(tsk_ActFinish,(ROW()-ROW(MSPTasks[[#Headers],[ID]]))))=0,"",INDEX(tsk_ActFinish,(ROW()-ROW(MSPTasks[[#Headers],[ID]])))))</f>
        <v/>
      </c>
      <c r="O95" s="127" t="str">
        <f aca="false">IF(IFERROR(INDEX(tsk_Name,(ROW()-ROW(MSPTasks[[#Headers],[ID]])))="",TRUE()),"",INDEX(tsk_PlanStart,(ROW()-ROW(MSPTasks[[#Headers],[ID]]))))</f>
        <v/>
      </c>
      <c r="P95" s="127" t="str">
        <f aca="false">IF(IFERROR(INDEX(tsk_Name,(ROW()-ROW(MSPTasks[[#Headers],[ID]])))="",TRUE()),"",INDEX(tsk_PlanFinish,(ROW()-ROW(MSPTasks[[#Headers],[ID]]))))</f>
        <v/>
      </c>
      <c r="Q95" s="24" t="str">
        <f aca="false">IF(IFERROR(INDEX(tsk_Name,(ROW()-ROW(MSPTasks[[#Headers],[ID]])))="",TRUE()),"",IF(INDEX(tsk_BaseDuration,(ROW()-ROW(MSPTasks[[#Headers],[ID]])))="","",N(INDEX(tsk_BaseDuration,(ROW()-ROW(MSPTasks[[#Headers],[ID]]))))&amp;"d"))</f>
        <v/>
      </c>
      <c r="R95" s="24" t="str">
        <f aca="false">IF(IFERROR(INDEX(tsk_Name,(ROW()-ROW(MSPTasks[[#Headers],[ID]])))="",TRUE()),"",IF(INDEX(tsk_BaseWork,(ROW()-ROW(MSPTasks[[#Headers],[ID]])))="","",N(INDEX(tsk_BaseWork,(ROW()-ROW(MSPTasks[[#Headers],[ID]]))))&amp;"h"))</f>
        <v/>
      </c>
      <c r="S95" s="24" t="str">
        <f aca="false">IF(IFERROR(INDEX(tsk_Name,(ROW()-ROW(MSPTasks[[#Headers],[ID]])))="",TRUE()),"",IF(INDEX(tsk_BaseCost,(ROW()-ROW(MSPTasks[[#Headers],[ID]])))="","",N(INDEX(tsk_BaseCost,(ROW()-ROW(MSPTasks[[#Headers],[ID]]))))))</f>
        <v/>
      </c>
      <c r="T95" s="24" t="str">
        <f aca="false">IF(IFERROR(INDEX(tsk_Name,(ROW()-ROW(MSPTasks[[#Headers],[ID]])))="",TRUE()),"",IF(INDEX(tsk_IsSummary,(ROW()-ROW(MSPTasks[[#Headers],[ID]]))),"",IF(N(INDEX(tsk_ActCostInput,(ROW()-ROW(MSPTasks[[#Headers],[ID]]))))=0,"",INDEX(tsk_ActCostInput,(ROW()-ROW(MSPTasks[[#Headers],[ID]]))))))</f>
        <v/>
      </c>
      <c r="U95" s="24" t="str">
        <f aca="false">IF(IFERROR(INDEX(tsk_Name,(ROW()-ROW(MSPTasks[[#Headers],[ID]])))="",TRUE()),"",IF(INDEX(tsk_IsSummary,(ROW()-ROW(MSPTasks[[#Headers],[ID]]))),"",IF(AND(INDEX(tsk_Mode,(ROW()-ROW(MSPTasks[[#Headers],[ID]])))&lt;&gt;"Manual",N(INDEX(tsk_Constraint,(ROW()-ROW(MSPTasks[[#Headers],[ID]]))))&gt;0),"Start No Earlier Than","As Soon As Possible")))</f>
        <v/>
      </c>
      <c r="V95" s="127" t="str">
        <f aca="false">IF(IFERROR(INDEX(tsk_Name,(ROW()-ROW(MSPTasks[[#Headers],[ID]])))="",TRUE()),"",IF(OR(INDEX(tsk_IsSummary,(ROW()-ROW(MSPTasks[[#Headers],[ID]]))),INDEX(tsk_Mode,(ROW()-ROW(MSPTasks[[#Headers],[ID]])))="Manual"),"",IF(N(INDEX(tsk_Constraint,(ROW()-ROW(MSPTasks[[#Headers],[ID]]))))=0,"",INDEX(tsk_Constraint,(ROW()-ROW(MSPTasks[[#Headers],[ID]]))))))</f>
        <v/>
      </c>
      <c r="W95" s="127" t="str">
        <f aca="false">IF(IFERROR(INDEX(tsk_Name,(ROW()-ROW(MSPTasks[[#Headers],[ID]])))="",TRUE()),"",IF(N(INDEX(tsk_Deadline,(ROW()-ROW(MSPTasks[[#Headers],[ID]]))))=0,"",INDEX(tsk_Deadline,(ROW()-ROW(MSPTasks[[#Headers],[ID]])))))</f>
        <v/>
      </c>
      <c r="X95" s="24" t="str">
        <f aca="false">IF(IFERROR(INDEX(tsk_Name,(ROW()-ROW(MSPTasks[[#Headers],[ID]])))="",TRUE()),"",IF(INDEX(tsk_IsSummary,(ROW()-ROW(MSPTasks[[#Headers],[ID]]))),"",INDEX(tsk_Sprint,(ROW()-ROW(MSPTasks[[#Headers],[ID]])))&amp;""))</f>
        <v/>
      </c>
      <c r="Y95" s="24" t="str">
        <f aca="false">IF(IFERROR(INDEX(tsk_Name,(ROW()-ROW(MSPTasks[[#Headers],[ID]])))="",TRUE()),"",IF(INDEX(tsk_IsSummary,(ROW()-ROW(MSPTasks[[#Headers],[ID]]))),"",IF(N(INDEX(tsk_StoryPoints,(ROW()-ROW(MSPTasks[[#Headers],[ID]]))))=0,"",INDEX(tsk_StoryPoints,(ROW()-ROW(MSPTasks[[#Headers],[ID]]))))))</f>
        <v/>
      </c>
      <c r="Z95" s="24" t="str">
        <f aca="false">IF(IFERROR(INDEX(tsk_Name,(ROW()-ROW(MSPTasks[[#Headers],[ID]])))="",TRUE()),"",INDEX(tsk_Notes,(ROW()-ROW(MSPTasks[[#Headers],[ID]])))&amp;"")</f>
        <v/>
      </c>
    </row>
    <row r="96" customFormat="false" ht="15" hidden="false" customHeight="false" outlineLevel="0" collapsed="false">
      <c r="A96" s="24" t="str">
        <f aca="false">IF(IFERROR(INDEX(tsk_Name,(ROW()-ROW(MSPTasks[[#Headers],[ID]])))="",TRUE()),"",INDEX(tsk_ID,(ROW()-ROW(MSPTasks[[#Headers],[ID]]))))</f>
        <v/>
      </c>
      <c r="B96" s="24" t="str">
        <f aca="false">IF(IFERROR(INDEX(tsk_Name,(ROW()-ROW(MSPTasks[[#Headers],[ID]])))="",TRUE()),"",INDEX(tsk_UID,(ROW()-ROW(MSPTasks[[#Headers],[ID]]))))</f>
        <v/>
      </c>
      <c r="C96" s="24" t="str">
        <f aca="false">IF(IFERROR(INDEX(tsk_Name,(ROW()-ROW(MSPTasks[[#Headers],[ID]])))="",TRUE()),"",INDEX(tsk_Name,(ROW()-ROW(MSPTasks[[#Headers],[ID]]))))</f>
        <v/>
      </c>
      <c r="D96" s="24" t="str">
        <f aca="false">IF(IFERROR(INDEX(tsk_Name,(ROW()-ROW(MSPTasks[[#Headers],[ID]])))="",TRUE()),"",INDEX(tsk_Level,(ROW()-ROW(MSPTasks[[#Headers],[ID]]))))</f>
        <v/>
      </c>
      <c r="E96" s="24" t="str">
        <f aca="false">IF(IFERROR(INDEX(tsk_Name,(ROW()-ROW(MSPTasks[[#Headers],[ID]])))="",TRUE()),"",IF(INDEX(tsk_Mode,(ROW()-ROW(MSPTasks[[#Headers],[ID]])))="Manual","Manually Scheduled","Auto Scheduled"))</f>
        <v/>
      </c>
      <c r="F96" s="24" t="str">
        <f aca="false">IF(IFERROR(INDEX(tsk_Name,(ROW()-ROW(MSPTasks[[#Headers],[ID]])))="",TRUE()),"",IF(INDEX(tsk_IsSummary,(ROW()-ROW(MSPTasks[[#Headers],[ID]]))),"",N(INDEX(tsk_Duration,(ROW()-ROW(MSPTasks[[#Headers],[ID]]))))&amp;"d"))</f>
        <v/>
      </c>
      <c r="G96" s="127" t="str">
        <f aca="false">IF(IFERROR(INDEX(tsk_Name,(ROW()-ROW(MSPTasks[[#Headers],[ID]])))="",TRUE()),"",INDEX(tsk_FcStart,(ROW()-ROW(MSPTasks[[#Headers],[ID]]))))</f>
        <v/>
      </c>
      <c r="H96" s="127" t="str">
        <f aca="false">IF(IFERROR(INDEX(tsk_Name,(ROW()-ROW(MSPTasks[[#Headers],[ID]])))="",TRUE()),"",INDEX(tsk_FcFinish,(ROW()-ROW(MSPTasks[[#Headers],[ID]]))))</f>
        <v/>
      </c>
      <c r="I96" s="24" t="str">
        <f aca="false">IF(IFERROR(INDEX(tsk_Name,(ROW()-ROW(MSPTasks[[#Headers],[ID]])))="",TRUE()),"",IF(INDEX(tsk_IsSummary,(ROW()-ROW(MSPTasks[[#Headers],[ID]]))),"",INDEX(tsk_Predecessors,(ROW()-ROW(MSPTasks[[#Headers],[ID]])))))</f>
        <v/>
      </c>
      <c r="J96" s="24" t="str">
        <f aca="false">IF(IFERROR(INDEX(tsk_Name,(ROW()-ROW(MSPTasks[[#Headers],[ID]])))="",TRUE()),"",IF(INDEX(tsk_IsSummary,(ROW()-ROW(MSPTasks[[#Headers],[ID]]))),"",INDEX(tsk_UIDPredecessors,(ROW()-ROW(MSPTasks[[#Headers],[ID]])))))</f>
        <v/>
      </c>
      <c r="K9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6" s="24" t="str">
        <f aca="false">IF(IFERROR(INDEX(tsk_Name,(ROW()-ROW(MSPTasks[[#Headers],[ID]])))="",TRUE()),"",IF(INDEX(tsk_IsSummary,(ROW()-ROW(MSPTasks[[#Headers],[ID]]))),"",ROUND(INDEX(tsk_Progress,(ROW()-ROW(MSPTasks[[#Headers],[ID]])))*100,0)))</f>
        <v/>
      </c>
      <c r="M96" s="127" t="str">
        <f aca="false">IF(IFERROR(INDEX(tsk_Name,(ROW()-ROW(MSPTasks[[#Headers],[ID]])))="",TRUE()),"",IF(N(INDEX(tsk_ActStart,(ROW()-ROW(MSPTasks[[#Headers],[ID]]))))=0,"",INDEX(tsk_ActStart,(ROW()-ROW(MSPTasks[[#Headers],[ID]])))))</f>
        <v/>
      </c>
      <c r="N96" s="127" t="str">
        <f aca="false">IF(IFERROR(INDEX(tsk_Name,(ROW()-ROW(MSPTasks[[#Headers],[ID]])))="",TRUE()),"",IF(N(INDEX(tsk_ActFinish,(ROW()-ROW(MSPTasks[[#Headers],[ID]]))))=0,"",INDEX(tsk_ActFinish,(ROW()-ROW(MSPTasks[[#Headers],[ID]])))))</f>
        <v/>
      </c>
      <c r="O96" s="127" t="str">
        <f aca="false">IF(IFERROR(INDEX(tsk_Name,(ROW()-ROW(MSPTasks[[#Headers],[ID]])))="",TRUE()),"",INDEX(tsk_PlanStart,(ROW()-ROW(MSPTasks[[#Headers],[ID]]))))</f>
        <v/>
      </c>
      <c r="P96" s="127" t="str">
        <f aca="false">IF(IFERROR(INDEX(tsk_Name,(ROW()-ROW(MSPTasks[[#Headers],[ID]])))="",TRUE()),"",INDEX(tsk_PlanFinish,(ROW()-ROW(MSPTasks[[#Headers],[ID]]))))</f>
        <v/>
      </c>
      <c r="Q96" s="24" t="str">
        <f aca="false">IF(IFERROR(INDEX(tsk_Name,(ROW()-ROW(MSPTasks[[#Headers],[ID]])))="",TRUE()),"",IF(INDEX(tsk_BaseDuration,(ROW()-ROW(MSPTasks[[#Headers],[ID]])))="","",N(INDEX(tsk_BaseDuration,(ROW()-ROW(MSPTasks[[#Headers],[ID]]))))&amp;"d"))</f>
        <v/>
      </c>
      <c r="R96" s="24" t="str">
        <f aca="false">IF(IFERROR(INDEX(tsk_Name,(ROW()-ROW(MSPTasks[[#Headers],[ID]])))="",TRUE()),"",IF(INDEX(tsk_BaseWork,(ROW()-ROW(MSPTasks[[#Headers],[ID]])))="","",N(INDEX(tsk_BaseWork,(ROW()-ROW(MSPTasks[[#Headers],[ID]]))))&amp;"h"))</f>
        <v/>
      </c>
      <c r="S96" s="24" t="str">
        <f aca="false">IF(IFERROR(INDEX(tsk_Name,(ROW()-ROW(MSPTasks[[#Headers],[ID]])))="",TRUE()),"",IF(INDEX(tsk_BaseCost,(ROW()-ROW(MSPTasks[[#Headers],[ID]])))="","",N(INDEX(tsk_BaseCost,(ROW()-ROW(MSPTasks[[#Headers],[ID]]))))))</f>
        <v/>
      </c>
      <c r="T96" s="24" t="str">
        <f aca="false">IF(IFERROR(INDEX(tsk_Name,(ROW()-ROW(MSPTasks[[#Headers],[ID]])))="",TRUE()),"",IF(INDEX(tsk_IsSummary,(ROW()-ROW(MSPTasks[[#Headers],[ID]]))),"",IF(N(INDEX(tsk_ActCostInput,(ROW()-ROW(MSPTasks[[#Headers],[ID]]))))=0,"",INDEX(tsk_ActCostInput,(ROW()-ROW(MSPTasks[[#Headers],[ID]]))))))</f>
        <v/>
      </c>
      <c r="U96" s="24" t="str">
        <f aca="false">IF(IFERROR(INDEX(tsk_Name,(ROW()-ROW(MSPTasks[[#Headers],[ID]])))="",TRUE()),"",IF(INDEX(tsk_IsSummary,(ROW()-ROW(MSPTasks[[#Headers],[ID]]))),"",IF(AND(INDEX(tsk_Mode,(ROW()-ROW(MSPTasks[[#Headers],[ID]])))&lt;&gt;"Manual",N(INDEX(tsk_Constraint,(ROW()-ROW(MSPTasks[[#Headers],[ID]]))))&gt;0),"Start No Earlier Than","As Soon As Possible")))</f>
        <v/>
      </c>
      <c r="V96" s="127" t="str">
        <f aca="false">IF(IFERROR(INDEX(tsk_Name,(ROW()-ROW(MSPTasks[[#Headers],[ID]])))="",TRUE()),"",IF(OR(INDEX(tsk_IsSummary,(ROW()-ROW(MSPTasks[[#Headers],[ID]]))),INDEX(tsk_Mode,(ROW()-ROW(MSPTasks[[#Headers],[ID]])))="Manual"),"",IF(N(INDEX(tsk_Constraint,(ROW()-ROW(MSPTasks[[#Headers],[ID]]))))=0,"",INDEX(tsk_Constraint,(ROW()-ROW(MSPTasks[[#Headers],[ID]]))))))</f>
        <v/>
      </c>
      <c r="W96" s="127" t="str">
        <f aca="false">IF(IFERROR(INDEX(tsk_Name,(ROW()-ROW(MSPTasks[[#Headers],[ID]])))="",TRUE()),"",IF(N(INDEX(tsk_Deadline,(ROW()-ROW(MSPTasks[[#Headers],[ID]]))))=0,"",INDEX(tsk_Deadline,(ROW()-ROW(MSPTasks[[#Headers],[ID]])))))</f>
        <v/>
      </c>
      <c r="X96" s="24" t="str">
        <f aca="false">IF(IFERROR(INDEX(tsk_Name,(ROW()-ROW(MSPTasks[[#Headers],[ID]])))="",TRUE()),"",IF(INDEX(tsk_IsSummary,(ROW()-ROW(MSPTasks[[#Headers],[ID]]))),"",INDEX(tsk_Sprint,(ROW()-ROW(MSPTasks[[#Headers],[ID]])))&amp;""))</f>
        <v/>
      </c>
      <c r="Y96" s="24" t="str">
        <f aca="false">IF(IFERROR(INDEX(tsk_Name,(ROW()-ROW(MSPTasks[[#Headers],[ID]])))="",TRUE()),"",IF(INDEX(tsk_IsSummary,(ROW()-ROW(MSPTasks[[#Headers],[ID]]))),"",IF(N(INDEX(tsk_StoryPoints,(ROW()-ROW(MSPTasks[[#Headers],[ID]]))))=0,"",INDEX(tsk_StoryPoints,(ROW()-ROW(MSPTasks[[#Headers],[ID]]))))))</f>
        <v/>
      </c>
      <c r="Z96" s="24" t="str">
        <f aca="false">IF(IFERROR(INDEX(tsk_Name,(ROW()-ROW(MSPTasks[[#Headers],[ID]])))="",TRUE()),"",INDEX(tsk_Notes,(ROW()-ROW(MSPTasks[[#Headers],[ID]])))&amp;"")</f>
        <v/>
      </c>
    </row>
    <row r="97" customFormat="false" ht="15" hidden="false" customHeight="false" outlineLevel="0" collapsed="false">
      <c r="A97" s="24" t="str">
        <f aca="false">IF(IFERROR(INDEX(tsk_Name,(ROW()-ROW(MSPTasks[[#Headers],[ID]])))="",TRUE()),"",INDEX(tsk_ID,(ROW()-ROW(MSPTasks[[#Headers],[ID]]))))</f>
        <v/>
      </c>
      <c r="B97" s="24" t="str">
        <f aca="false">IF(IFERROR(INDEX(tsk_Name,(ROW()-ROW(MSPTasks[[#Headers],[ID]])))="",TRUE()),"",INDEX(tsk_UID,(ROW()-ROW(MSPTasks[[#Headers],[ID]]))))</f>
        <v/>
      </c>
      <c r="C97" s="24" t="str">
        <f aca="false">IF(IFERROR(INDEX(tsk_Name,(ROW()-ROW(MSPTasks[[#Headers],[ID]])))="",TRUE()),"",INDEX(tsk_Name,(ROW()-ROW(MSPTasks[[#Headers],[ID]]))))</f>
        <v/>
      </c>
      <c r="D97" s="24" t="str">
        <f aca="false">IF(IFERROR(INDEX(tsk_Name,(ROW()-ROW(MSPTasks[[#Headers],[ID]])))="",TRUE()),"",INDEX(tsk_Level,(ROW()-ROW(MSPTasks[[#Headers],[ID]]))))</f>
        <v/>
      </c>
      <c r="E97" s="24" t="str">
        <f aca="false">IF(IFERROR(INDEX(tsk_Name,(ROW()-ROW(MSPTasks[[#Headers],[ID]])))="",TRUE()),"",IF(INDEX(tsk_Mode,(ROW()-ROW(MSPTasks[[#Headers],[ID]])))="Manual","Manually Scheduled","Auto Scheduled"))</f>
        <v/>
      </c>
      <c r="F97" s="24" t="str">
        <f aca="false">IF(IFERROR(INDEX(tsk_Name,(ROW()-ROW(MSPTasks[[#Headers],[ID]])))="",TRUE()),"",IF(INDEX(tsk_IsSummary,(ROW()-ROW(MSPTasks[[#Headers],[ID]]))),"",N(INDEX(tsk_Duration,(ROW()-ROW(MSPTasks[[#Headers],[ID]]))))&amp;"d"))</f>
        <v/>
      </c>
      <c r="G97" s="127" t="str">
        <f aca="false">IF(IFERROR(INDEX(tsk_Name,(ROW()-ROW(MSPTasks[[#Headers],[ID]])))="",TRUE()),"",INDEX(tsk_FcStart,(ROW()-ROW(MSPTasks[[#Headers],[ID]]))))</f>
        <v/>
      </c>
      <c r="H97" s="127" t="str">
        <f aca="false">IF(IFERROR(INDEX(tsk_Name,(ROW()-ROW(MSPTasks[[#Headers],[ID]])))="",TRUE()),"",INDEX(tsk_FcFinish,(ROW()-ROW(MSPTasks[[#Headers],[ID]]))))</f>
        <v/>
      </c>
      <c r="I97" s="24" t="str">
        <f aca="false">IF(IFERROR(INDEX(tsk_Name,(ROW()-ROW(MSPTasks[[#Headers],[ID]])))="",TRUE()),"",IF(INDEX(tsk_IsSummary,(ROW()-ROW(MSPTasks[[#Headers],[ID]]))),"",INDEX(tsk_Predecessors,(ROW()-ROW(MSPTasks[[#Headers],[ID]])))))</f>
        <v/>
      </c>
      <c r="J97" s="24" t="str">
        <f aca="false">IF(IFERROR(INDEX(tsk_Name,(ROW()-ROW(MSPTasks[[#Headers],[ID]])))="",TRUE()),"",IF(INDEX(tsk_IsSummary,(ROW()-ROW(MSPTasks[[#Headers],[ID]]))),"",INDEX(tsk_UIDPredecessors,(ROW()-ROW(MSPTasks[[#Headers],[ID]])))))</f>
        <v/>
      </c>
      <c r="K9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7" s="24" t="str">
        <f aca="false">IF(IFERROR(INDEX(tsk_Name,(ROW()-ROW(MSPTasks[[#Headers],[ID]])))="",TRUE()),"",IF(INDEX(tsk_IsSummary,(ROW()-ROW(MSPTasks[[#Headers],[ID]]))),"",ROUND(INDEX(tsk_Progress,(ROW()-ROW(MSPTasks[[#Headers],[ID]])))*100,0)))</f>
        <v/>
      </c>
      <c r="M97" s="127" t="str">
        <f aca="false">IF(IFERROR(INDEX(tsk_Name,(ROW()-ROW(MSPTasks[[#Headers],[ID]])))="",TRUE()),"",IF(N(INDEX(tsk_ActStart,(ROW()-ROW(MSPTasks[[#Headers],[ID]]))))=0,"",INDEX(tsk_ActStart,(ROW()-ROW(MSPTasks[[#Headers],[ID]])))))</f>
        <v/>
      </c>
      <c r="N97" s="127" t="str">
        <f aca="false">IF(IFERROR(INDEX(tsk_Name,(ROW()-ROW(MSPTasks[[#Headers],[ID]])))="",TRUE()),"",IF(N(INDEX(tsk_ActFinish,(ROW()-ROW(MSPTasks[[#Headers],[ID]]))))=0,"",INDEX(tsk_ActFinish,(ROW()-ROW(MSPTasks[[#Headers],[ID]])))))</f>
        <v/>
      </c>
      <c r="O97" s="127" t="str">
        <f aca="false">IF(IFERROR(INDEX(tsk_Name,(ROW()-ROW(MSPTasks[[#Headers],[ID]])))="",TRUE()),"",INDEX(tsk_PlanStart,(ROW()-ROW(MSPTasks[[#Headers],[ID]]))))</f>
        <v/>
      </c>
      <c r="P97" s="127" t="str">
        <f aca="false">IF(IFERROR(INDEX(tsk_Name,(ROW()-ROW(MSPTasks[[#Headers],[ID]])))="",TRUE()),"",INDEX(tsk_PlanFinish,(ROW()-ROW(MSPTasks[[#Headers],[ID]]))))</f>
        <v/>
      </c>
      <c r="Q97" s="24" t="str">
        <f aca="false">IF(IFERROR(INDEX(tsk_Name,(ROW()-ROW(MSPTasks[[#Headers],[ID]])))="",TRUE()),"",IF(INDEX(tsk_BaseDuration,(ROW()-ROW(MSPTasks[[#Headers],[ID]])))="","",N(INDEX(tsk_BaseDuration,(ROW()-ROW(MSPTasks[[#Headers],[ID]]))))&amp;"d"))</f>
        <v/>
      </c>
      <c r="R97" s="24" t="str">
        <f aca="false">IF(IFERROR(INDEX(tsk_Name,(ROW()-ROW(MSPTasks[[#Headers],[ID]])))="",TRUE()),"",IF(INDEX(tsk_BaseWork,(ROW()-ROW(MSPTasks[[#Headers],[ID]])))="","",N(INDEX(tsk_BaseWork,(ROW()-ROW(MSPTasks[[#Headers],[ID]]))))&amp;"h"))</f>
        <v/>
      </c>
      <c r="S97" s="24" t="str">
        <f aca="false">IF(IFERROR(INDEX(tsk_Name,(ROW()-ROW(MSPTasks[[#Headers],[ID]])))="",TRUE()),"",IF(INDEX(tsk_BaseCost,(ROW()-ROW(MSPTasks[[#Headers],[ID]])))="","",N(INDEX(tsk_BaseCost,(ROW()-ROW(MSPTasks[[#Headers],[ID]]))))))</f>
        <v/>
      </c>
      <c r="T97" s="24" t="str">
        <f aca="false">IF(IFERROR(INDEX(tsk_Name,(ROW()-ROW(MSPTasks[[#Headers],[ID]])))="",TRUE()),"",IF(INDEX(tsk_IsSummary,(ROW()-ROW(MSPTasks[[#Headers],[ID]]))),"",IF(N(INDEX(tsk_ActCostInput,(ROW()-ROW(MSPTasks[[#Headers],[ID]]))))=0,"",INDEX(tsk_ActCostInput,(ROW()-ROW(MSPTasks[[#Headers],[ID]]))))))</f>
        <v/>
      </c>
      <c r="U97" s="24" t="str">
        <f aca="false">IF(IFERROR(INDEX(tsk_Name,(ROW()-ROW(MSPTasks[[#Headers],[ID]])))="",TRUE()),"",IF(INDEX(tsk_IsSummary,(ROW()-ROW(MSPTasks[[#Headers],[ID]]))),"",IF(AND(INDEX(tsk_Mode,(ROW()-ROW(MSPTasks[[#Headers],[ID]])))&lt;&gt;"Manual",N(INDEX(tsk_Constraint,(ROW()-ROW(MSPTasks[[#Headers],[ID]]))))&gt;0),"Start No Earlier Than","As Soon As Possible")))</f>
        <v/>
      </c>
      <c r="V97" s="127" t="str">
        <f aca="false">IF(IFERROR(INDEX(tsk_Name,(ROW()-ROW(MSPTasks[[#Headers],[ID]])))="",TRUE()),"",IF(OR(INDEX(tsk_IsSummary,(ROW()-ROW(MSPTasks[[#Headers],[ID]]))),INDEX(tsk_Mode,(ROW()-ROW(MSPTasks[[#Headers],[ID]])))="Manual"),"",IF(N(INDEX(tsk_Constraint,(ROW()-ROW(MSPTasks[[#Headers],[ID]]))))=0,"",INDEX(tsk_Constraint,(ROW()-ROW(MSPTasks[[#Headers],[ID]]))))))</f>
        <v/>
      </c>
      <c r="W97" s="127" t="str">
        <f aca="false">IF(IFERROR(INDEX(tsk_Name,(ROW()-ROW(MSPTasks[[#Headers],[ID]])))="",TRUE()),"",IF(N(INDEX(tsk_Deadline,(ROW()-ROW(MSPTasks[[#Headers],[ID]]))))=0,"",INDEX(tsk_Deadline,(ROW()-ROW(MSPTasks[[#Headers],[ID]])))))</f>
        <v/>
      </c>
      <c r="X97" s="24" t="str">
        <f aca="false">IF(IFERROR(INDEX(tsk_Name,(ROW()-ROW(MSPTasks[[#Headers],[ID]])))="",TRUE()),"",IF(INDEX(tsk_IsSummary,(ROW()-ROW(MSPTasks[[#Headers],[ID]]))),"",INDEX(tsk_Sprint,(ROW()-ROW(MSPTasks[[#Headers],[ID]])))&amp;""))</f>
        <v/>
      </c>
      <c r="Y97" s="24" t="str">
        <f aca="false">IF(IFERROR(INDEX(tsk_Name,(ROW()-ROW(MSPTasks[[#Headers],[ID]])))="",TRUE()),"",IF(INDEX(tsk_IsSummary,(ROW()-ROW(MSPTasks[[#Headers],[ID]]))),"",IF(N(INDEX(tsk_StoryPoints,(ROW()-ROW(MSPTasks[[#Headers],[ID]]))))=0,"",INDEX(tsk_StoryPoints,(ROW()-ROW(MSPTasks[[#Headers],[ID]]))))))</f>
        <v/>
      </c>
      <c r="Z97" s="24" t="str">
        <f aca="false">IF(IFERROR(INDEX(tsk_Name,(ROW()-ROW(MSPTasks[[#Headers],[ID]])))="",TRUE()),"",INDEX(tsk_Notes,(ROW()-ROW(MSPTasks[[#Headers],[ID]])))&amp;"")</f>
        <v/>
      </c>
    </row>
    <row r="98" customFormat="false" ht="15" hidden="false" customHeight="false" outlineLevel="0" collapsed="false">
      <c r="A98" s="24" t="str">
        <f aca="false">IF(IFERROR(INDEX(tsk_Name,(ROW()-ROW(MSPTasks[[#Headers],[ID]])))="",TRUE()),"",INDEX(tsk_ID,(ROW()-ROW(MSPTasks[[#Headers],[ID]]))))</f>
        <v/>
      </c>
      <c r="B98" s="24" t="str">
        <f aca="false">IF(IFERROR(INDEX(tsk_Name,(ROW()-ROW(MSPTasks[[#Headers],[ID]])))="",TRUE()),"",INDEX(tsk_UID,(ROW()-ROW(MSPTasks[[#Headers],[ID]]))))</f>
        <v/>
      </c>
      <c r="C98" s="24" t="str">
        <f aca="false">IF(IFERROR(INDEX(tsk_Name,(ROW()-ROW(MSPTasks[[#Headers],[ID]])))="",TRUE()),"",INDEX(tsk_Name,(ROW()-ROW(MSPTasks[[#Headers],[ID]]))))</f>
        <v/>
      </c>
      <c r="D98" s="24" t="str">
        <f aca="false">IF(IFERROR(INDEX(tsk_Name,(ROW()-ROW(MSPTasks[[#Headers],[ID]])))="",TRUE()),"",INDEX(tsk_Level,(ROW()-ROW(MSPTasks[[#Headers],[ID]]))))</f>
        <v/>
      </c>
      <c r="E98" s="24" t="str">
        <f aca="false">IF(IFERROR(INDEX(tsk_Name,(ROW()-ROW(MSPTasks[[#Headers],[ID]])))="",TRUE()),"",IF(INDEX(tsk_Mode,(ROW()-ROW(MSPTasks[[#Headers],[ID]])))="Manual","Manually Scheduled","Auto Scheduled"))</f>
        <v/>
      </c>
      <c r="F98" s="24" t="str">
        <f aca="false">IF(IFERROR(INDEX(tsk_Name,(ROW()-ROW(MSPTasks[[#Headers],[ID]])))="",TRUE()),"",IF(INDEX(tsk_IsSummary,(ROW()-ROW(MSPTasks[[#Headers],[ID]]))),"",N(INDEX(tsk_Duration,(ROW()-ROW(MSPTasks[[#Headers],[ID]]))))&amp;"d"))</f>
        <v/>
      </c>
      <c r="G98" s="127" t="str">
        <f aca="false">IF(IFERROR(INDEX(tsk_Name,(ROW()-ROW(MSPTasks[[#Headers],[ID]])))="",TRUE()),"",INDEX(tsk_FcStart,(ROW()-ROW(MSPTasks[[#Headers],[ID]]))))</f>
        <v/>
      </c>
      <c r="H98" s="127" t="str">
        <f aca="false">IF(IFERROR(INDEX(tsk_Name,(ROW()-ROW(MSPTasks[[#Headers],[ID]])))="",TRUE()),"",INDEX(tsk_FcFinish,(ROW()-ROW(MSPTasks[[#Headers],[ID]]))))</f>
        <v/>
      </c>
      <c r="I98" s="24" t="str">
        <f aca="false">IF(IFERROR(INDEX(tsk_Name,(ROW()-ROW(MSPTasks[[#Headers],[ID]])))="",TRUE()),"",IF(INDEX(tsk_IsSummary,(ROW()-ROW(MSPTasks[[#Headers],[ID]]))),"",INDEX(tsk_Predecessors,(ROW()-ROW(MSPTasks[[#Headers],[ID]])))))</f>
        <v/>
      </c>
      <c r="J98" s="24" t="str">
        <f aca="false">IF(IFERROR(INDEX(tsk_Name,(ROW()-ROW(MSPTasks[[#Headers],[ID]])))="",TRUE()),"",IF(INDEX(tsk_IsSummary,(ROW()-ROW(MSPTasks[[#Headers],[ID]]))),"",INDEX(tsk_UIDPredecessors,(ROW()-ROW(MSPTasks[[#Headers],[ID]])))))</f>
        <v/>
      </c>
      <c r="K9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8" s="24" t="str">
        <f aca="false">IF(IFERROR(INDEX(tsk_Name,(ROW()-ROW(MSPTasks[[#Headers],[ID]])))="",TRUE()),"",IF(INDEX(tsk_IsSummary,(ROW()-ROW(MSPTasks[[#Headers],[ID]]))),"",ROUND(INDEX(tsk_Progress,(ROW()-ROW(MSPTasks[[#Headers],[ID]])))*100,0)))</f>
        <v/>
      </c>
      <c r="M98" s="127" t="str">
        <f aca="false">IF(IFERROR(INDEX(tsk_Name,(ROW()-ROW(MSPTasks[[#Headers],[ID]])))="",TRUE()),"",IF(N(INDEX(tsk_ActStart,(ROW()-ROW(MSPTasks[[#Headers],[ID]]))))=0,"",INDEX(tsk_ActStart,(ROW()-ROW(MSPTasks[[#Headers],[ID]])))))</f>
        <v/>
      </c>
      <c r="N98" s="127" t="str">
        <f aca="false">IF(IFERROR(INDEX(tsk_Name,(ROW()-ROW(MSPTasks[[#Headers],[ID]])))="",TRUE()),"",IF(N(INDEX(tsk_ActFinish,(ROW()-ROW(MSPTasks[[#Headers],[ID]]))))=0,"",INDEX(tsk_ActFinish,(ROW()-ROW(MSPTasks[[#Headers],[ID]])))))</f>
        <v/>
      </c>
      <c r="O98" s="127" t="str">
        <f aca="false">IF(IFERROR(INDEX(tsk_Name,(ROW()-ROW(MSPTasks[[#Headers],[ID]])))="",TRUE()),"",INDEX(tsk_PlanStart,(ROW()-ROW(MSPTasks[[#Headers],[ID]]))))</f>
        <v/>
      </c>
      <c r="P98" s="127" t="str">
        <f aca="false">IF(IFERROR(INDEX(tsk_Name,(ROW()-ROW(MSPTasks[[#Headers],[ID]])))="",TRUE()),"",INDEX(tsk_PlanFinish,(ROW()-ROW(MSPTasks[[#Headers],[ID]]))))</f>
        <v/>
      </c>
      <c r="Q98" s="24" t="str">
        <f aca="false">IF(IFERROR(INDEX(tsk_Name,(ROW()-ROW(MSPTasks[[#Headers],[ID]])))="",TRUE()),"",IF(INDEX(tsk_BaseDuration,(ROW()-ROW(MSPTasks[[#Headers],[ID]])))="","",N(INDEX(tsk_BaseDuration,(ROW()-ROW(MSPTasks[[#Headers],[ID]]))))&amp;"d"))</f>
        <v/>
      </c>
      <c r="R98" s="24" t="str">
        <f aca="false">IF(IFERROR(INDEX(tsk_Name,(ROW()-ROW(MSPTasks[[#Headers],[ID]])))="",TRUE()),"",IF(INDEX(tsk_BaseWork,(ROW()-ROW(MSPTasks[[#Headers],[ID]])))="","",N(INDEX(tsk_BaseWork,(ROW()-ROW(MSPTasks[[#Headers],[ID]]))))&amp;"h"))</f>
        <v/>
      </c>
      <c r="S98" s="24" t="str">
        <f aca="false">IF(IFERROR(INDEX(tsk_Name,(ROW()-ROW(MSPTasks[[#Headers],[ID]])))="",TRUE()),"",IF(INDEX(tsk_BaseCost,(ROW()-ROW(MSPTasks[[#Headers],[ID]])))="","",N(INDEX(tsk_BaseCost,(ROW()-ROW(MSPTasks[[#Headers],[ID]]))))))</f>
        <v/>
      </c>
      <c r="T98" s="24" t="str">
        <f aca="false">IF(IFERROR(INDEX(tsk_Name,(ROW()-ROW(MSPTasks[[#Headers],[ID]])))="",TRUE()),"",IF(INDEX(tsk_IsSummary,(ROW()-ROW(MSPTasks[[#Headers],[ID]]))),"",IF(N(INDEX(tsk_ActCostInput,(ROW()-ROW(MSPTasks[[#Headers],[ID]]))))=0,"",INDEX(tsk_ActCostInput,(ROW()-ROW(MSPTasks[[#Headers],[ID]]))))))</f>
        <v/>
      </c>
      <c r="U98" s="24" t="str">
        <f aca="false">IF(IFERROR(INDEX(tsk_Name,(ROW()-ROW(MSPTasks[[#Headers],[ID]])))="",TRUE()),"",IF(INDEX(tsk_IsSummary,(ROW()-ROW(MSPTasks[[#Headers],[ID]]))),"",IF(AND(INDEX(tsk_Mode,(ROW()-ROW(MSPTasks[[#Headers],[ID]])))&lt;&gt;"Manual",N(INDEX(tsk_Constraint,(ROW()-ROW(MSPTasks[[#Headers],[ID]]))))&gt;0),"Start No Earlier Than","As Soon As Possible")))</f>
        <v/>
      </c>
      <c r="V98" s="127" t="str">
        <f aca="false">IF(IFERROR(INDEX(tsk_Name,(ROW()-ROW(MSPTasks[[#Headers],[ID]])))="",TRUE()),"",IF(OR(INDEX(tsk_IsSummary,(ROW()-ROW(MSPTasks[[#Headers],[ID]]))),INDEX(tsk_Mode,(ROW()-ROW(MSPTasks[[#Headers],[ID]])))="Manual"),"",IF(N(INDEX(tsk_Constraint,(ROW()-ROW(MSPTasks[[#Headers],[ID]]))))=0,"",INDEX(tsk_Constraint,(ROW()-ROW(MSPTasks[[#Headers],[ID]]))))))</f>
        <v/>
      </c>
      <c r="W98" s="127" t="str">
        <f aca="false">IF(IFERROR(INDEX(tsk_Name,(ROW()-ROW(MSPTasks[[#Headers],[ID]])))="",TRUE()),"",IF(N(INDEX(tsk_Deadline,(ROW()-ROW(MSPTasks[[#Headers],[ID]]))))=0,"",INDEX(tsk_Deadline,(ROW()-ROW(MSPTasks[[#Headers],[ID]])))))</f>
        <v/>
      </c>
      <c r="X98" s="24" t="str">
        <f aca="false">IF(IFERROR(INDEX(tsk_Name,(ROW()-ROW(MSPTasks[[#Headers],[ID]])))="",TRUE()),"",IF(INDEX(tsk_IsSummary,(ROW()-ROW(MSPTasks[[#Headers],[ID]]))),"",INDEX(tsk_Sprint,(ROW()-ROW(MSPTasks[[#Headers],[ID]])))&amp;""))</f>
        <v/>
      </c>
      <c r="Y98" s="24" t="str">
        <f aca="false">IF(IFERROR(INDEX(tsk_Name,(ROW()-ROW(MSPTasks[[#Headers],[ID]])))="",TRUE()),"",IF(INDEX(tsk_IsSummary,(ROW()-ROW(MSPTasks[[#Headers],[ID]]))),"",IF(N(INDEX(tsk_StoryPoints,(ROW()-ROW(MSPTasks[[#Headers],[ID]]))))=0,"",INDEX(tsk_StoryPoints,(ROW()-ROW(MSPTasks[[#Headers],[ID]]))))))</f>
        <v/>
      </c>
      <c r="Z98" s="24" t="str">
        <f aca="false">IF(IFERROR(INDEX(tsk_Name,(ROW()-ROW(MSPTasks[[#Headers],[ID]])))="",TRUE()),"",INDEX(tsk_Notes,(ROW()-ROW(MSPTasks[[#Headers],[ID]])))&amp;"")</f>
        <v/>
      </c>
    </row>
    <row r="99" customFormat="false" ht="15" hidden="false" customHeight="false" outlineLevel="0" collapsed="false">
      <c r="A99" s="24" t="str">
        <f aca="false">IF(IFERROR(INDEX(tsk_Name,(ROW()-ROW(MSPTasks[[#Headers],[ID]])))="",TRUE()),"",INDEX(tsk_ID,(ROW()-ROW(MSPTasks[[#Headers],[ID]]))))</f>
        <v/>
      </c>
      <c r="B99" s="24" t="str">
        <f aca="false">IF(IFERROR(INDEX(tsk_Name,(ROW()-ROW(MSPTasks[[#Headers],[ID]])))="",TRUE()),"",INDEX(tsk_UID,(ROW()-ROW(MSPTasks[[#Headers],[ID]]))))</f>
        <v/>
      </c>
      <c r="C99" s="24" t="str">
        <f aca="false">IF(IFERROR(INDEX(tsk_Name,(ROW()-ROW(MSPTasks[[#Headers],[ID]])))="",TRUE()),"",INDEX(tsk_Name,(ROW()-ROW(MSPTasks[[#Headers],[ID]]))))</f>
        <v/>
      </c>
      <c r="D99" s="24" t="str">
        <f aca="false">IF(IFERROR(INDEX(tsk_Name,(ROW()-ROW(MSPTasks[[#Headers],[ID]])))="",TRUE()),"",INDEX(tsk_Level,(ROW()-ROW(MSPTasks[[#Headers],[ID]]))))</f>
        <v/>
      </c>
      <c r="E99" s="24" t="str">
        <f aca="false">IF(IFERROR(INDEX(tsk_Name,(ROW()-ROW(MSPTasks[[#Headers],[ID]])))="",TRUE()),"",IF(INDEX(tsk_Mode,(ROW()-ROW(MSPTasks[[#Headers],[ID]])))="Manual","Manually Scheduled","Auto Scheduled"))</f>
        <v/>
      </c>
      <c r="F99" s="24" t="str">
        <f aca="false">IF(IFERROR(INDEX(tsk_Name,(ROW()-ROW(MSPTasks[[#Headers],[ID]])))="",TRUE()),"",IF(INDEX(tsk_IsSummary,(ROW()-ROW(MSPTasks[[#Headers],[ID]]))),"",N(INDEX(tsk_Duration,(ROW()-ROW(MSPTasks[[#Headers],[ID]]))))&amp;"d"))</f>
        <v/>
      </c>
      <c r="G99" s="127" t="str">
        <f aca="false">IF(IFERROR(INDEX(tsk_Name,(ROW()-ROW(MSPTasks[[#Headers],[ID]])))="",TRUE()),"",INDEX(tsk_FcStart,(ROW()-ROW(MSPTasks[[#Headers],[ID]]))))</f>
        <v/>
      </c>
      <c r="H99" s="127" t="str">
        <f aca="false">IF(IFERROR(INDEX(tsk_Name,(ROW()-ROW(MSPTasks[[#Headers],[ID]])))="",TRUE()),"",INDEX(tsk_FcFinish,(ROW()-ROW(MSPTasks[[#Headers],[ID]]))))</f>
        <v/>
      </c>
      <c r="I99" s="24" t="str">
        <f aca="false">IF(IFERROR(INDEX(tsk_Name,(ROW()-ROW(MSPTasks[[#Headers],[ID]])))="",TRUE()),"",IF(INDEX(tsk_IsSummary,(ROW()-ROW(MSPTasks[[#Headers],[ID]]))),"",INDEX(tsk_Predecessors,(ROW()-ROW(MSPTasks[[#Headers],[ID]])))))</f>
        <v/>
      </c>
      <c r="J99" s="24" t="str">
        <f aca="false">IF(IFERROR(INDEX(tsk_Name,(ROW()-ROW(MSPTasks[[#Headers],[ID]])))="",TRUE()),"",IF(INDEX(tsk_IsSummary,(ROW()-ROW(MSPTasks[[#Headers],[ID]]))),"",INDEX(tsk_UIDPredecessors,(ROW()-ROW(MSPTasks[[#Headers],[ID]])))))</f>
        <v/>
      </c>
      <c r="K9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9" s="24" t="str">
        <f aca="false">IF(IFERROR(INDEX(tsk_Name,(ROW()-ROW(MSPTasks[[#Headers],[ID]])))="",TRUE()),"",IF(INDEX(tsk_IsSummary,(ROW()-ROW(MSPTasks[[#Headers],[ID]]))),"",ROUND(INDEX(tsk_Progress,(ROW()-ROW(MSPTasks[[#Headers],[ID]])))*100,0)))</f>
        <v/>
      </c>
      <c r="M99" s="127" t="str">
        <f aca="false">IF(IFERROR(INDEX(tsk_Name,(ROW()-ROW(MSPTasks[[#Headers],[ID]])))="",TRUE()),"",IF(N(INDEX(tsk_ActStart,(ROW()-ROW(MSPTasks[[#Headers],[ID]]))))=0,"",INDEX(tsk_ActStart,(ROW()-ROW(MSPTasks[[#Headers],[ID]])))))</f>
        <v/>
      </c>
      <c r="N99" s="127" t="str">
        <f aca="false">IF(IFERROR(INDEX(tsk_Name,(ROW()-ROW(MSPTasks[[#Headers],[ID]])))="",TRUE()),"",IF(N(INDEX(tsk_ActFinish,(ROW()-ROW(MSPTasks[[#Headers],[ID]]))))=0,"",INDEX(tsk_ActFinish,(ROW()-ROW(MSPTasks[[#Headers],[ID]])))))</f>
        <v/>
      </c>
      <c r="O99" s="127" t="str">
        <f aca="false">IF(IFERROR(INDEX(tsk_Name,(ROW()-ROW(MSPTasks[[#Headers],[ID]])))="",TRUE()),"",INDEX(tsk_PlanStart,(ROW()-ROW(MSPTasks[[#Headers],[ID]]))))</f>
        <v/>
      </c>
      <c r="P99" s="127" t="str">
        <f aca="false">IF(IFERROR(INDEX(tsk_Name,(ROW()-ROW(MSPTasks[[#Headers],[ID]])))="",TRUE()),"",INDEX(tsk_PlanFinish,(ROW()-ROW(MSPTasks[[#Headers],[ID]]))))</f>
        <v/>
      </c>
      <c r="Q99" s="24" t="str">
        <f aca="false">IF(IFERROR(INDEX(tsk_Name,(ROW()-ROW(MSPTasks[[#Headers],[ID]])))="",TRUE()),"",IF(INDEX(tsk_BaseDuration,(ROW()-ROW(MSPTasks[[#Headers],[ID]])))="","",N(INDEX(tsk_BaseDuration,(ROW()-ROW(MSPTasks[[#Headers],[ID]]))))&amp;"d"))</f>
        <v/>
      </c>
      <c r="R99" s="24" t="str">
        <f aca="false">IF(IFERROR(INDEX(tsk_Name,(ROW()-ROW(MSPTasks[[#Headers],[ID]])))="",TRUE()),"",IF(INDEX(tsk_BaseWork,(ROW()-ROW(MSPTasks[[#Headers],[ID]])))="","",N(INDEX(tsk_BaseWork,(ROW()-ROW(MSPTasks[[#Headers],[ID]]))))&amp;"h"))</f>
        <v/>
      </c>
      <c r="S99" s="24" t="str">
        <f aca="false">IF(IFERROR(INDEX(tsk_Name,(ROW()-ROW(MSPTasks[[#Headers],[ID]])))="",TRUE()),"",IF(INDEX(tsk_BaseCost,(ROW()-ROW(MSPTasks[[#Headers],[ID]])))="","",N(INDEX(tsk_BaseCost,(ROW()-ROW(MSPTasks[[#Headers],[ID]]))))))</f>
        <v/>
      </c>
      <c r="T99" s="24" t="str">
        <f aca="false">IF(IFERROR(INDEX(tsk_Name,(ROW()-ROW(MSPTasks[[#Headers],[ID]])))="",TRUE()),"",IF(INDEX(tsk_IsSummary,(ROW()-ROW(MSPTasks[[#Headers],[ID]]))),"",IF(N(INDEX(tsk_ActCostInput,(ROW()-ROW(MSPTasks[[#Headers],[ID]]))))=0,"",INDEX(tsk_ActCostInput,(ROW()-ROW(MSPTasks[[#Headers],[ID]]))))))</f>
        <v/>
      </c>
      <c r="U99" s="24" t="str">
        <f aca="false">IF(IFERROR(INDEX(tsk_Name,(ROW()-ROW(MSPTasks[[#Headers],[ID]])))="",TRUE()),"",IF(INDEX(tsk_IsSummary,(ROW()-ROW(MSPTasks[[#Headers],[ID]]))),"",IF(AND(INDEX(tsk_Mode,(ROW()-ROW(MSPTasks[[#Headers],[ID]])))&lt;&gt;"Manual",N(INDEX(tsk_Constraint,(ROW()-ROW(MSPTasks[[#Headers],[ID]]))))&gt;0),"Start No Earlier Than","As Soon As Possible")))</f>
        <v/>
      </c>
      <c r="V99" s="127" t="str">
        <f aca="false">IF(IFERROR(INDEX(tsk_Name,(ROW()-ROW(MSPTasks[[#Headers],[ID]])))="",TRUE()),"",IF(OR(INDEX(tsk_IsSummary,(ROW()-ROW(MSPTasks[[#Headers],[ID]]))),INDEX(tsk_Mode,(ROW()-ROW(MSPTasks[[#Headers],[ID]])))="Manual"),"",IF(N(INDEX(tsk_Constraint,(ROW()-ROW(MSPTasks[[#Headers],[ID]]))))=0,"",INDEX(tsk_Constraint,(ROW()-ROW(MSPTasks[[#Headers],[ID]]))))))</f>
        <v/>
      </c>
      <c r="W99" s="127" t="str">
        <f aca="false">IF(IFERROR(INDEX(tsk_Name,(ROW()-ROW(MSPTasks[[#Headers],[ID]])))="",TRUE()),"",IF(N(INDEX(tsk_Deadline,(ROW()-ROW(MSPTasks[[#Headers],[ID]]))))=0,"",INDEX(tsk_Deadline,(ROW()-ROW(MSPTasks[[#Headers],[ID]])))))</f>
        <v/>
      </c>
      <c r="X99" s="24" t="str">
        <f aca="false">IF(IFERROR(INDEX(tsk_Name,(ROW()-ROW(MSPTasks[[#Headers],[ID]])))="",TRUE()),"",IF(INDEX(tsk_IsSummary,(ROW()-ROW(MSPTasks[[#Headers],[ID]]))),"",INDEX(tsk_Sprint,(ROW()-ROW(MSPTasks[[#Headers],[ID]])))&amp;""))</f>
        <v/>
      </c>
      <c r="Y99" s="24" t="str">
        <f aca="false">IF(IFERROR(INDEX(tsk_Name,(ROW()-ROW(MSPTasks[[#Headers],[ID]])))="",TRUE()),"",IF(INDEX(tsk_IsSummary,(ROW()-ROW(MSPTasks[[#Headers],[ID]]))),"",IF(N(INDEX(tsk_StoryPoints,(ROW()-ROW(MSPTasks[[#Headers],[ID]]))))=0,"",INDEX(tsk_StoryPoints,(ROW()-ROW(MSPTasks[[#Headers],[ID]]))))))</f>
        <v/>
      </c>
      <c r="Z99" s="24" t="str">
        <f aca="false">IF(IFERROR(INDEX(tsk_Name,(ROW()-ROW(MSPTasks[[#Headers],[ID]])))="",TRUE()),"",INDEX(tsk_Notes,(ROW()-ROW(MSPTasks[[#Headers],[ID]])))&amp;"")</f>
        <v/>
      </c>
    </row>
    <row r="100" customFormat="false" ht="15" hidden="false" customHeight="false" outlineLevel="0" collapsed="false">
      <c r="A100" s="24" t="str">
        <f aca="false">IF(IFERROR(INDEX(tsk_Name,(ROW()-ROW(MSPTasks[[#Headers],[ID]])))="",TRUE()),"",INDEX(tsk_ID,(ROW()-ROW(MSPTasks[[#Headers],[ID]]))))</f>
        <v/>
      </c>
      <c r="B100" s="24" t="str">
        <f aca="false">IF(IFERROR(INDEX(tsk_Name,(ROW()-ROW(MSPTasks[[#Headers],[ID]])))="",TRUE()),"",INDEX(tsk_UID,(ROW()-ROW(MSPTasks[[#Headers],[ID]]))))</f>
        <v/>
      </c>
      <c r="C100" s="24" t="str">
        <f aca="false">IF(IFERROR(INDEX(tsk_Name,(ROW()-ROW(MSPTasks[[#Headers],[ID]])))="",TRUE()),"",INDEX(tsk_Name,(ROW()-ROW(MSPTasks[[#Headers],[ID]]))))</f>
        <v/>
      </c>
      <c r="D100" s="24" t="str">
        <f aca="false">IF(IFERROR(INDEX(tsk_Name,(ROW()-ROW(MSPTasks[[#Headers],[ID]])))="",TRUE()),"",INDEX(tsk_Level,(ROW()-ROW(MSPTasks[[#Headers],[ID]]))))</f>
        <v/>
      </c>
      <c r="E100" s="24" t="str">
        <f aca="false">IF(IFERROR(INDEX(tsk_Name,(ROW()-ROW(MSPTasks[[#Headers],[ID]])))="",TRUE()),"",IF(INDEX(tsk_Mode,(ROW()-ROW(MSPTasks[[#Headers],[ID]])))="Manual","Manually Scheduled","Auto Scheduled"))</f>
        <v/>
      </c>
      <c r="F100" s="24" t="str">
        <f aca="false">IF(IFERROR(INDEX(tsk_Name,(ROW()-ROW(MSPTasks[[#Headers],[ID]])))="",TRUE()),"",IF(INDEX(tsk_IsSummary,(ROW()-ROW(MSPTasks[[#Headers],[ID]]))),"",N(INDEX(tsk_Duration,(ROW()-ROW(MSPTasks[[#Headers],[ID]]))))&amp;"d"))</f>
        <v/>
      </c>
      <c r="G100" s="127" t="str">
        <f aca="false">IF(IFERROR(INDEX(tsk_Name,(ROW()-ROW(MSPTasks[[#Headers],[ID]])))="",TRUE()),"",INDEX(tsk_FcStart,(ROW()-ROW(MSPTasks[[#Headers],[ID]]))))</f>
        <v/>
      </c>
      <c r="H100" s="127" t="str">
        <f aca="false">IF(IFERROR(INDEX(tsk_Name,(ROW()-ROW(MSPTasks[[#Headers],[ID]])))="",TRUE()),"",INDEX(tsk_FcFinish,(ROW()-ROW(MSPTasks[[#Headers],[ID]]))))</f>
        <v/>
      </c>
      <c r="I100" s="24" t="str">
        <f aca="false">IF(IFERROR(INDEX(tsk_Name,(ROW()-ROW(MSPTasks[[#Headers],[ID]])))="",TRUE()),"",IF(INDEX(tsk_IsSummary,(ROW()-ROW(MSPTasks[[#Headers],[ID]]))),"",INDEX(tsk_Predecessors,(ROW()-ROW(MSPTasks[[#Headers],[ID]])))))</f>
        <v/>
      </c>
      <c r="J100" s="24" t="str">
        <f aca="false">IF(IFERROR(INDEX(tsk_Name,(ROW()-ROW(MSPTasks[[#Headers],[ID]])))="",TRUE()),"",IF(INDEX(tsk_IsSummary,(ROW()-ROW(MSPTasks[[#Headers],[ID]]))),"",INDEX(tsk_UIDPredecessors,(ROW()-ROW(MSPTasks[[#Headers],[ID]])))))</f>
        <v/>
      </c>
      <c r="K10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0" s="24" t="str">
        <f aca="false">IF(IFERROR(INDEX(tsk_Name,(ROW()-ROW(MSPTasks[[#Headers],[ID]])))="",TRUE()),"",IF(INDEX(tsk_IsSummary,(ROW()-ROW(MSPTasks[[#Headers],[ID]]))),"",ROUND(INDEX(tsk_Progress,(ROW()-ROW(MSPTasks[[#Headers],[ID]])))*100,0)))</f>
        <v/>
      </c>
      <c r="M100" s="127" t="str">
        <f aca="false">IF(IFERROR(INDEX(tsk_Name,(ROW()-ROW(MSPTasks[[#Headers],[ID]])))="",TRUE()),"",IF(N(INDEX(tsk_ActStart,(ROW()-ROW(MSPTasks[[#Headers],[ID]]))))=0,"",INDEX(tsk_ActStart,(ROW()-ROW(MSPTasks[[#Headers],[ID]])))))</f>
        <v/>
      </c>
      <c r="N100" s="127" t="str">
        <f aca="false">IF(IFERROR(INDEX(tsk_Name,(ROW()-ROW(MSPTasks[[#Headers],[ID]])))="",TRUE()),"",IF(N(INDEX(tsk_ActFinish,(ROW()-ROW(MSPTasks[[#Headers],[ID]]))))=0,"",INDEX(tsk_ActFinish,(ROW()-ROW(MSPTasks[[#Headers],[ID]])))))</f>
        <v/>
      </c>
      <c r="O100" s="127" t="str">
        <f aca="false">IF(IFERROR(INDEX(tsk_Name,(ROW()-ROW(MSPTasks[[#Headers],[ID]])))="",TRUE()),"",INDEX(tsk_PlanStart,(ROW()-ROW(MSPTasks[[#Headers],[ID]]))))</f>
        <v/>
      </c>
      <c r="P100" s="127" t="str">
        <f aca="false">IF(IFERROR(INDEX(tsk_Name,(ROW()-ROW(MSPTasks[[#Headers],[ID]])))="",TRUE()),"",INDEX(tsk_PlanFinish,(ROW()-ROW(MSPTasks[[#Headers],[ID]]))))</f>
        <v/>
      </c>
      <c r="Q100" s="24" t="str">
        <f aca="false">IF(IFERROR(INDEX(tsk_Name,(ROW()-ROW(MSPTasks[[#Headers],[ID]])))="",TRUE()),"",IF(INDEX(tsk_BaseDuration,(ROW()-ROW(MSPTasks[[#Headers],[ID]])))="","",N(INDEX(tsk_BaseDuration,(ROW()-ROW(MSPTasks[[#Headers],[ID]]))))&amp;"d"))</f>
        <v/>
      </c>
      <c r="R100" s="24" t="str">
        <f aca="false">IF(IFERROR(INDEX(tsk_Name,(ROW()-ROW(MSPTasks[[#Headers],[ID]])))="",TRUE()),"",IF(INDEX(tsk_BaseWork,(ROW()-ROW(MSPTasks[[#Headers],[ID]])))="","",N(INDEX(tsk_BaseWork,(ROW()-ROW(MSPTasks[[#Headers],[ID]]))))&amp;"h"))</f>
        <v/>
      </c>
      <c r="S100" s="24" t="str">
        <f aca="false">IF(IFERROR(INDEX(tsk_Name,(ROW()-ROW(MSPTasks[[#Headers],[ID]])))="",TRUE()),"",IF(INDEX(tsk_BaseCost,(ROW()-ROW(MSPTasks[[#Headers],[ID]])))="","",N(INDEX(tsk_BaseCost,(ROW()-ROW(MSPTasks[[#Headers],[ID]]))))))</f>
        <v/>
      </c>
      <c r="T100" s="24" t="str">
        <f aca="false">IF(IFERROR(INDEX(tsk_Name,(ROW()-ROW(MSPTasks[[#Headers],[ID]])))="",TRUE()),"",IF(INDEX(tsk_IsSummary,(ROW()-ROW(MSPTasks[[#Headers],[ID]]))),"",IF(N(INDEX(tsk_ActCostInput,(ROW()-ROW(MSPTasks[[#Headers],[ID]]))))=0,"",INDEX(tsk_ActCostInput,(ROW()-ROW(MSPTasks[[#Headers],[ID]]))))))</f>
        <v/>
      </c>
      <c r="U100" s="24" t="str">
        <f aca="false">IF(IFERROR(INDEX(tsk_Name,(ROW()-ROW(MSPTasks[[#Headers],[ID]])))="",TRUE()),"",IF(INDEX(tsk_IsSummary,(ROW()-ROW(MSPTasks[[#Headers],[ID]]))),"",IF(AND(INDEX(tsk_Mode,(ROW()-ROW(MSPTasks[[#Headers],[ID]])))&lt;&gt;"Manual",N(INDEX(tsk_Constraint,(ROW()-ROW(MSPTasks[[#Headers],[ID]]))))&gt;0),"Start No Earlier Than","As Soon As Possible")))</f>
        <v/>
      </c>
      <c r="V100" s="127" t="str">
        <f aca="false">IF(IFERROR(INDEX(tsk_Name,(ROW()-ROW(MSPTasks[[#Headers],[ID]])))="",TRUE()),"",IF(OR(INDEX(tsk_IsSummary,(ROW()-ROW(MSPTasks[[#Headers],[ID]]))),INDEX(tsk_Mode,(ROW()-ROW(MSPTasks[[#Headers],[ID]])))="Manual"),"",IF(N(INDEX(tsk_Constraint,(ROW()-ROW(MSPTasks[[#Headers],[ID]]))))=0,"",INDEX(tsk_Constraint,(ROW()-ROW(MSPTasks[[#Headers],[ID]]))))))</f>
        <v/>
      </c>
      <c r="W100" s="127" t="str">
        <f aca="false">IF(IFERROR(INDEX(tsk_Name,(ROW()-ROW(MSPTasks[[#Headers],[ID]])))="",TRUE()),"",IF(N(INDEX(tsk_Deadline,(ROW()-ROW(MSPTasks[[#Headers],[ID]]))))=0,"",INDEX(tsk_Deadline,(ROW()-ROW(MSPTasks[[#Headers],[ID]])))))</f>
        <v/>
      </c>
      <c r="X100" s="24" t="str">
        <f aca="false">IF(IFERROR(INDEX(tsk_Name,(ROW()-ROW(MSPTasks[[#Headers],[ID]])))="",TRUE()),"",IF(INDEX(tsk_IsSummary,(ROW()-ROW(MSPTasks[[#Headers],[ID]]))),"",INDEX(tsk_Sprint,(ROW()-ROW(MSPTasks[[#Headers],[ID]])))&amp;""))</f>
        <v/>
      </c>
      <c r="Y100" s="24" t="str">
        <f aca="false">IF(IFERROR(INDEX(tsk_Name,(ROW()-ROW(MSPTasks[[#Headers],[ID]])))="",TRUE()),"",IF(INDEX(tsk_IsSummary,(ROW()-ROW(MSPTasks[[#Headers],[ID]]))),"",IF(N(INDEX(tsk_StoryPoints,(ROW()-ROW(MSPTasks[[#Headers],[ID]]))))=0,"",INDEX(tsk_StoryPoints,(ROW()-ROW(MSPTasks[[#Headers],[ID]]))))))</f>
        <v/>
      </c>
      <c r="Z100" s="24" t="str">
        <f aca="false">IF(IFERROR(INDEX(tsk_Name,(ROW()-ROW(MSPTasks[[#Headers],[ID]])))="",TRUE()),"",INDEX(tsk_Notes,(ROW()-ROW(MSPTasks[[#Headers],[ID]])))&amp;"")</f>
        <v/>
      </c>
    </row>
    <row r="101" customFormat="false" ht="15" hidden="false" customHeight="false" outlineLevel="0" collapsed="false">
      <c r="A101" s="24" t="str">
        <f aca="false">IF(IFERROR(INDEX(tsk_Name,(ROW()-ROW(MSPTasks[[#Headers],[ID]])))="",TRUE()),"",INDEX(tsk_ID,(ROW()-ROW(MSPTasks[[#Headers],[ID]]))))</f>
        <v/>
      </c>
      <c r="B101" s="24" t="str">
        <f aca="false">IF(IFERROR(INDEX(tsk_Name,(ROW()-ROW(MSPTasks[[#Headers],[ID]])))="",TRUE()),"",INDEX(tsk_UID,(ROW()-ROW(MSPTasks[[#Headers],[ID]]))))</f>
        <v/>
      </c>
      <c r="C101" s="24" t="str">
        <f aca="false">IF(IFERROR(INDEX(tsk_Name,(ROW()-ROW(MSPTasks[[#Headers],[ID]])))="",TRUE()),"",INDEX(tsk_Name,(ROW()-ROW(MSPTasks[[#Headers],[ID]]))))</f>
        <v/>
      </c>
      <c r="D101" s="24" t="str">
        <f aca="false">IF(IFERROR(INDEX(tsk_Name,(ROW()-ROW(MSPTasks[[#Headers],[ID]])))="",TRUE()),"",INDEX(tsk_Level,(ROW()-ROW(MSPTasks[[#Headers],[ID]]))))</f>
        <v/>
      </c>
      <c r="E101" s="24" t="str">
        <f aca="false">IF(IFERROR(INDEX(tsk_Name,(ROW()-ROW(MSPTasks[[#Headers],[ID]])))="",TRUE()),"",IF(INDEX(tsk_Mode,(ROW()-ROW(MSPTasks[[#Headers],[ID]])))="Manual","Manually Scheduled","Auto Scheduled"))</f>
        <v/>
      </c>
      <c r="F101" s="24" t="str">
        <f aca="false">IF(IFERROR(INDEX(tsk_Name,(ROW()-ROW(MSPTasks[[#Headers],[ID]])))="",TRUE()),"",IF(INDEX(tsk_IsSummary,(ROW()-ROW(MSPTasks[[#Headers],[ID]]))),"",N(INDEX(tsk_Duration,(ROW()-ROW(MSPTasks[[#Headers],[ID]]))))&amp;"d"))</f>
        <v/>
      </c>
      <c r="G101" s="127" t="str">
        <f aca="false">IF(IFERROR(INDEX(tsk_Name,(ROW()-ROW(MSPTasks[[#Headers],[ID]])))="",TRUE()),"",INDEX(tsk_FcStart,(ROW()-ROW(MSPTasks[[#Headers],[ID]]))))</f>
        <v/>
      </c>
      <c r="H101" s="127" t="str">
        <f aca="false">IF(IFERROR(INDEX(tsk_Name,(ROW()-ROW(MSPTasks[[#Headers],[ID]])))="",TRUE()),"",INDEX(tsk_FcFinish,(ROW()-ROW(MSPTasks[[#Headers],[ID]]))))</f>
        <v/>
      </c>
      <c r="I101" s="24" t="str">
        <f aca="false">IF(IFERROR(INDEX(tsk_Name,(ROW()-ROW(MSPTasks[[#Headers],[ID]])))="",TRUE()),"",IF(INDEX(tsk_IsSummary,(ROW()-ROW(MSPTasks[[#Headers],[ID]]))),"",INDEX(tsk_Predecessors,(ROW()-ROW(MSPTasks[[#Headers],[ID]])))))</f>
        <v/>
      </c>
      <c r="J101" s="24" t="str">
        <f aca="false">IF(IFERROR(INDEX(tsk_Name,(ROW()-ROW(MSPTasks[[#Headers],[ID]])))="",TRUE()),"",IF(INDEX(tsk_IsSummary,(ROW()-ROW(MSPTasks[[#Headers],[ID]]))),"",INDEX(tsk_UIDPredecessors,(ROW()-ROW(MSPTasks[[#Headers],[ID]])))))</f>
        <v/>
      </c>
      <c r="K10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1" s="24" t="str">
        <f aca="false">IF(IFERROR(INDEX(tsk_Name,(ROW()-ROW(MSPTasks[[#Headers],[ID]])))="",TRUE()),"",IF(INDEX(tsk_IsSummary,(ROW()-ROW(MSPTasks[[#Headers],[ID]]))),"",ROUND(INDEX(tsk_Progress,(ROW()-ROW(MSPTasks[[#Headers],[ID]])))*100,0)))</f>
        <v/>
      </c>
      <c r="M101" s="127" t="str">
        <f aca="false">IF(IFERROR(INDEX(tsk_Name,(ROW()-ROW(MSPTasks[[#Headers],[ID]])))="",TRUE()),"",IF(N(INDEX(tsk_ActStart,(ROW()-ROW(MSPTasks[[#Headers],[ID]]))))=0,"",INDEX(tsk_ActStart,(ROW()-ROW(MSPTasks[[#Headers],[ID]])))))</f>
        <v/>
      </c>
      <c r="N101" s="127" t="str">
        <f aca="false">IF(IFERROR(INDEX(tsk_Name,(ROW()-ROW(MSPTasks[[#Headers],[ID]])))="",TRUE()),"",IF(N(INDEX(tsk_ActFinish,(ROW()-ROW(MSPTasks[[#Headers],[ID]]))))=0,"",INDEX(tsk_ActFinish,(ROW()-ROW(MSPTasks[[#Headers],[ID]])))))</f>
        <v/>
      </c>
      <c r="O101" s="127" t="str">
        <f aca="false">IF(IFERROR(INDEX(tsk_Name,(ROW()-ROW(MSPTasks[[#Headers],[ID]])))="",TRUE()),"",INDEX(tsk_PlanStart,(ROW()-ROW(MSPTasks[[#Headers],[ID]]))))</f>
        <v/>
      </c>
      <c r="P101" s="127" t="str">
        <f aca="false">IF(IFERROR(INDEX(tsk_Name,(ROW()-ROW(MSPTasks[[#Headers],[ID]])))="",TRUE()),"",INDEX(tsk_PlanFinish,(ROW()-ROW(MSPTasks[[#Headers],[ID]]))))</f>
        <v/>
      </c>
      <c r="Q101" s="24" t="str">
        <f aca="false">IF(IFERROR(INDEX(tsk_Name,(ROW()-ROW(MSPTasks[[#Headers],[ID]])))="",TRUE()),"",IF(INDEX(tsk_BaseDuration,(ROW()-ROW(MSPTasks[[#Headers],[ID]])))="","",N(INDEX(tsk_BaseDuration,(ROW()-ROW(MSPTasks[[#Headers],[ID]]))))&amp;"d"))</f>
        <v/>
      </c>
      <c r="R101" s="24" t="str">
        <f aca="false">IF(IFERROR(INDEX(tsk_Name,(ROW()-ROW(MSPTasks[[#Headers],[ID]])))="",TRUE()),"",IF(INDEX(tsk_BaseWork,(ROW()-ROW(MSPTasks[[#Headers],[ID]])))="","",N(INDEX(tsk_BaseWork,(ROW()-ROW(MSPTasks[[#Headers],[ID]]))))&amp;"h"))</f>
        <v/>
      </c>
      <c r="S101" s="24" t="str">
        <f aca="false">IF(IFERROR(INDEX(tsk_Name,(ROW()-ROW(MSPTasks[[#Headers],[ID]])))="",TRUE()),"",IF(INDEX(tsk_BaseCost,(ROW()-ROW(MSPTasks[[#Headers],[ID]])))="","",N(INDEX(tsk_BaseCost,(ROW()-ROW(MSPTasks[[#Headers],[ID]]))))))</f>
        <v/>
      </c>
      <c r="T101" s="24" t="str">
        <f aca="false">IF(IFERROR(INDEX(tsk_Name,(ROW()-ROW(MSPTasks[[#Headers],[ID]])))="",TRUE()),"",IF(INDEX(tsk_IsSummary,(ROW()-ROW(MSPTasks[[#Headers],[ID]]))),"",IF(N(INDEX(tsk_ActCostInput,(ROW()-ROW(MSPTasks[[#Headers],[ID]]))))=0,"",INDEX(tsk_ActCostInput,(ROW()-ROW(MSPTasks[[#Headers],[ID]]))))))</f>
        <v/>
      </c>
      <c r="U101" s="24" t="str">
        <f aca="false">IF(IFERROR(INDEX(tsk_Name,(ROW()-ROW(MSPTasks[[#Headers],[ID]])))="",TRUE()),"",IF(INDEX(tsk_IsSummary,(ROW()-ROW(MSPTasks[[#Headers],[ID]]))),"",IF(AND(INDEX(tsk_Mode,(ROW()-ROW(MSPTasks[[#Headers],[ID]])))&lt;&gt;"Manual",N(INDEX(tsk_Constraint,(ROW()-ROW(MSPTasks[[#Headers],[ID]]))))&gt;0),"Start No Earlier Than","As Soon As Possible")))</f>
        <v/>
      </c>
      <c r="V101" s="127" t="str">
        <f aca="false">IF(IFERROR(INDEX(tsk_Name,(ROW()-ROW(MSPTasks[[#Headers],[ID]])))="",TRUE()),"",IF(OR(INDEX(tsk_IsSummary,(ROW()-ROW(MSPTasks[[#Headers],[ID]]))),INDEX(tsk_Mode,(ROW()-ROW(MSPTasks[[#Headers],[ID]])))="Manual"),"",IF(N(INDEX(tsk_Constraint,(ROW()-ROW(MSPTasks[[#Headers],[ID]]))))=0,"",INDEX(tsk_Constraint,(ROW()-ROW(MSPTasks[[#Headers],[ID]]))))))</f>
        <v/>
      </c>
      <c r="W101" s="127" t="str">
        <f aca="false">IF(IFERROR(INDEX(tsk_Name,(ROW()-ROW(MSPTasks[[#Headers],[ID]])))="",TRUE()),"",IF(N(INDEX(tsk_Deadline,(ROW()-ROW(MSPTasks[[#Headers],[ID]]))))=0,"",INDEX(tsk_Deadline,(ROW()-ROW(MSPTasks[[#Headers],[ID]])))))</f>
        <v/>
      </c>
      <c r="X101" s="24" t="str">
        <f aca="false">IF(IFERROR(INDEX(tsk_Name,(ROW()-ROW(MSPTasks[[#Headers],[ID]])))="",TRUE()),"",IF(INDEX(tsk_IsSummary,(ROW()-ROW(MSPTasks[[#Headers],[ID]]))),"",INDEX(tsk_Sprint,(ROW()-ROW(MSPTasks[[#Headers],[ID]])))&amp;""))</f>
        <v/>
      </c>
      <c r="Y101" s="24" t="str">
        <f aca="false">IF(IFERROR(INDEX(tsk_Name,(ROW()-ROW(MSPTasks[[#Headers],[ID]])))="",TRUE()),"",IF(INDEX(tsk_IsSummary,(ROW()-ROW(MSPTasks[[#Headers],[ID]]))),"",IF(N(INDEX(tsk_StoryPoints,(ROW()-ROW(MSPTasks[[#Headers],[ID]]))))=0,"",INDEX(tsk_StoryPoints,(ROW()-ROW(MSPTasks[[#Headers],[ID]]))))))</f>
        <v/>
      </c>
      <c r="Z101" s="24" t="str">
        <f aca="false">IF(IFERROR(INDEX(tsk_Name,(ROW()-ROW(MSPTasks[[#Headers],[ID]])))="",TRUE()),"",INDEX(tsk_Notes,(ROW()-ROW(MSPTasks[[#Headers],[ID]])))&amp;"")</f>
        <v/>
      </c>
    </row>
    <row r="102" customFormat="false" ht="15" hidden="false" customHeight="false" outlineLevel="0" collapsed="false">
      <c r="A102" s="24" t="str">
        <f aca="false">IF(IFERROR(INDEX(tsk_Name,(ROW()-ROW(MSPTasks[[#Headers],[ID]])))="",TRUE()),"",INDEX(tsk_ID,(ROW()-ROW(MSPTasks[[#Headers],[ID]]))))</f>
        <v/>
      </c>
      <c r="B102" s="24" t="str">
        <f aca="false">IF(IFERROR(INDEX(tsk_Name,(ROW()-ROW(MSPTasks[[#Headers],[ID]])))="",TRUE()),"",INDEX(tsk_UID,(ROW()-ROW(MSPTasks[[#Headers],[ID]]))))</f>
        <v/>
      </c>
      <c r="C102" s="24" t="str">
        <f aca="false">IF(IFERROR(INDEX(tsk_Name,(ROW()-ROW(MSPTasks[[#Headers],[ID]])))="",TRUE()),"",INDEX(tsk_Name,(ROW()-ROW(MSPTasks[[#Headers],[ID]]))))</f>
        <v/>
      </c>
      <c r="D102" s="24" t="str">
        <f aca="false">IF(IFERROR(INDEX(tsk_Name,(ROW()-ROW(MSPTasks[[#Headers],[ID]])))="",TRUE()),"",INDEX(tsk_Level,(ROW()-ROW(MSPTasks[[#Headers],[ID]]))))</f>
        <v/>
      </c>
      <c r="E102" s="24" t="str">
        <f aca="false">IF(IFERROR(INDEX(tsk_Name,(ROW()-ROW(MSPTasks[[#Headers],[ID]])))="",TRUE()),"",IF(INDEX(tsk_Mode,(ROW()-ROW(MSPTasks[[#Headers],[ID]])))="Manual","Manually Scheduled","Auto Scheduled"))</f>
        <v/>
      </c>
      <c r="F102" s="24" t="str">
        <f aca="false">IF(IFERROR(INDEX(tsk_Name,(ROW()-ROW(MSPTasks[[#Headers],[ID]])))="",TRUE()),"",IF(INDEX(tsk_IsSummary,(ROW()-ROW(MSPTasks[[#Headers],[ID]]))),"",N(INDEX(tsk_Duration,(ROW()-ROW(MSPTasks[[#Headers],[ID]]))))&amp;"d"))</f>
        <v/>
      </c>
      <c r="G102" s="127" t="str">
        <f aca="false">IF(IFERROR(INDEX(tsk_Name,(ROW()-ROW(MSPTasks[[#Headers],[ID]])))="",TRUE()),"",INDEX(tsk_FcStart,(ROW()-ROW(MSPTasks[[#Headers],[ID]]))))</f>
        <v/>
      </c>
      <c r="H102" s="127" t="str">
        <f aca="false">IF(IFERROR(INDEX(tsk_Name,(ROW()-ROW(MSPTasks[[#Headers],[ID]])))="",TRUE()),"",INDEX(tsk_FcFinish,(ROW()-ROW(MSPTasks[[#Headers],[ID]]))))</f>
        <v/>
      </c>
      <c r="I102" s="24" t="str">
        <f aca="false">IF(IFERROR(INDEX(tsk_Name,(ROW()-ROW(MSPTasks[[#Headers],[ID]])))="",TRUE()),"",IF(INDEX(tsk_IsSummary,(ROW()-ROW(MSPTasks[[#Headers],[ID]]))),"",INDEX(tsk_Predecessors,(ROW()-ROW(MSPTasks[[#Headers],[ID]])))))</f>
        <v/>
      </c>
      <c r="J102" s="24" t="str">
        <f aca="false">IF(IFERROR(INDEX(tsk_Name,(ROW()-ROW(MSPTasks[[#Headers],[ID]])))="",TRUE()),"",IF(INDEX(tsk_IsSummary,(ROW()-ROW(MSPTasks[[#Headers],[ID]]))),"",INDEX(tsk_UIDPredecessors,(ROW()-ROW(MSPTasks[[#Headers],[ID]])))))</f>
        <v/>
      </c>
      <c r="K10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2" s="24" t="str">
        <f aca="false">IF(IFERROR(INDEX(tsk_Name,(ROW()-ROW(MSPTasks[[#Headers],[ID]])))="",TRUE()),"",IF(INDEX(tsk_IsSummary,(ROW()-ROW(MSPTasks[[#Headers],[ID]]))),"",ROUND(INDEX(tsk_Progress,(ROW()-ROW(MSPTasks[[#Headers],[ID]])))*100,0)))</f>
        <v/>
      </c>
      <c r="M102" s="127" t="str">
        <f aca="false">IF(IFERROR(INDEX(tsk_Name,(ROW()-ROW(MSPTasks[[#Headers],[ID]])))="",TRUE()),"",IF(N(INDEX(tsk_ActStart,(ROW()-ROW(MSPTasks[[#Headers],[ID]]))))=0,"",INDEX(tsk_ActStart,(ROW()-ROW(MSPTasks[[#Headers],[ID]])))))</f>
        <v/>
      </c>
      <c r="N102" s="127" t="str">
        <f aca="false">IF(IFERROR(INDEX(tsk_Name,(ROW()-ROW(MSPTasks[[#Headers],[ID]])))="",TRUE()),"",IF(N(INDEX(tsk_ActFinish,(ROW()-ROW(MSPTasks[[#Headers],[ID]]))))=0,"",INDEX(tsk_ActFinish,(ROW()-ROW(MSPTasks[[#Headers],[ID]])))))</f>
        <v/>
      </c>
      <c r="O102" s="127" t="str">
        <f aca="false">IF(IFERROR(INDEX(tsk_Name,(ROW()-ROW(MSPTasks[[#Headers],[ID]])))="",TRUE()),"",INDEX(tsk_PlanStart,(ROW()-ROW(MSPTasks[[#Headers],[ID]]))))</f>
        <v/>
      </c>
      <c r="P102" s="127" t="str">
        <f aca="false">IF(IFERROR(INDEX(tsk_Name,(ROW()-ROW(MSPTasks[[#Headers],[ID]])))="",TRUE()),"",INDEX(tsk_PlanFinish,(ROW()-ROW(MSPTasks[[#Headers],[ID]]))))</f>
        <v/>
      </c>
      <c r="Q102" s="24" t="str">
        <f aca="false">IF(IFERROR(INDEX(tsk_Name,(ROW()-ROW(MSPTasks[[#Headers],[ID]])))="",TRUE()),"",IF(INDEX(tsk_BaseDuration,(ROW()-ROW(MSPTasks[[#Headers],[ID]])))="","",N(INDEX(tsk_BaseDuration,(ROW()-ROW(MSPTasks[[#Headers],[ID]]))))&amp;"d"))</f>
        <v/>
      </c>
      <c r="R102" s="24" t="str">
        <f aca="false">IF(IFERROR(INDEX(tsk_Name,(ROW()-ROW(MSPTasks[[#Headers],[ID]])))="",TRUE()),"",IF(INDEX(tsk_BaseWork,(ROW()-ROW(MSPTasks[[#Headers],[ID]])))="","",N(INDEX(tsk_BaseWork,(ROW()-ROW(MSPTasks[[#Headers],[ID]]))))&amp;"h"))</f>
        <v/>
      </c>
      <c r="S102" s="24" t="str">
        <f aca="false">IF(IFERROR(INDEX(tsk_Name,(ROW()-ROW(MSPTasks[[#Headers],[ID]])))="",TRUE()),"",IF(INDEX(tsk_BaseCost,(ROW()-ROW(MSPTasks[[#Headers],[ID]])))="","",N(INDEX(tsk_BaseCost,(ROW()-ROW(MSPTasks[[#Headers],[ID]]))))))</f>
        <v/>
      </c>
      <c r="T102" s="24" t="str">
        <f aca="false">IF(IFERROR(INDEX(tsk_Name,(ROW()-ROW(MSPTasks[[#Headers],[ID]])))="",TRUE()),"",IF(INDEX(tsk_IsSummary,(ROW()-ROW(MSPTasks[[#Headers],[ID]]))),"",IF(N(INDEX(tsk_ActCostInput,(ROW()-ROW(MSPTasks[[#Headers],[ID]]))))=0,"",INDEX(tsk_ActCostInput,(ROW()-ROW(MSPTasks[[#Headers],[ID]]))))))</f>
        <v/>
      </c>
      <c r="U102" s="24" t="str">
        <f aca="false">IF(IFERROR(INDEX(tsk_Name,(ROW()-ROW(MSPTasks[[#Headers],[ID]])))="",TRUE()),"",IF(INDEX(tsk_IsSummary,(ROW()-ROW(MSPTasks[[#Headers],[ID]]))),"",IF(AND(INDEX(tsk_Mode,(ROW()-ROW(MSPTasks[[#Headers],[ID]])))&lt;&gt;"Manual",N(INDEX(tsk_Constraint,(ROW()-ROW(MSPTasks[[#Headers],[ID]]))))&gt;0),"Start No Earlier Than","As Soon As Possible")))</f>
        <v/>
      </c>
      <c r="V102" s="127" t="str">
        <f aca="false">IF(IFERROR(INDEX(tsk_Name,(ROW()-ROW(MSPTasks[[#Headers],[ID]])))="",TRUE()),"",IF(OR(INDEX(tsk_IsSummary,(ROW()-ROW(MSPTasks[[#Headers],[ID]]))),INDEX(tsk_Mode,(ROW()-ROW(MSPTasks[[#Headers],[ID]])))="Manual"),"",IF(N(INDEX(tsk_Constraint,(ROW()-ROW(MSPTasks[[#Headers],[ID]]))))=0,"",INDEX(tsk_Constraint,(ROW()-ROW(MSPTasks[[#Headers],[ID]]))))))</f>
        <v/>
      </c>
      <c r="W102" s="127" t="str">
        <f aca="false">IF(IFERROR(INDEX(tsk_Name,(ROW()-ROW(MSPTasks[[#Headers],[ID]])))="",TRUE()),"",IF(N(INDEX(tsk_Deadline,(ROW()-ROW(MSPTasks[[#Headers],[ID]]))))=0,"",INDEX(tsk_Deadline,(ROW()-ROW(MSPTasks[[#Headers],[ID]])))))</f>
        <v/>
      </c>
      <c r="X102" s="24" t="str">
        <f aca="false">IF(IFERROR(INDEX(tsk_Name,(ROW()-ROW(MSPTasks[[#Headers],[ID]])))="",TRUE()),"",IF(INDEX(tsk_IsSummary,(ROW()-ROW(MSPTasks[[#Headers],[ID]]))),"",INDEX(tsk_Sprint,(ROW()-ROW(MSPTasks[[#Headers],[ID]])))&amp;""))</f>
        <v/>
      </c>
      <c r="Y102" s="24" t="str">
        <f aca="false">IF(IFERROR(INDEX(tsk_Name,(ROW()-ROW(MSPTasks[[#Headers],[ID]])))="",TRUE()),"",IF(INDEX(tsk_IsSummary,(ROW()-ROW(MSPTasks[[#Headers],[ID]]))),"",IF(N(INDEX(tsk_StoryPoints,(ROW()-ROW(MSPTasks[[#Headers],[ID]]))))=0,"",INDEX(tsk_StoryPoints,(ROW()-ROW(MSPTasks[[#Headers],[ID]]))))))</f>
        <v/>
      </c>
      <c r="Z102" s="24" t="str">
        <f aca="false">IF(IFERROR(INDEX(tsk_Name,(ROW()-ROW(MSPTasks[[#Headers],[ID]])))="",TRUE()),"",INDEX(tsk_Notes,(ROW()-ROW(MSPTasks[[#Headers],[ID]])))&amp;"")</f>
        <v/>
      </c>
    </row>
    <row r="103" customFormat="false" ht="15" hidden="false" customHeight="false" outlineLevel="0" collapsed="false">
      <c r="A103" s="24" t="str">
        <f aca="false">IF(IFERROR(INDEX(tsk_Name,(ROW()-ROW(MSPTasks[[#Headers],[ID]])))="",TRUE()),"",INDEX(tsk_ID,(ROW()-ROW(MSPTasks[[#Headers],[ID]]))))</f>
        <v/>
      </c>
      <c r="B103" s="24" t="str">
        <f aca="false">IF(IFERROR(INDEX(tsk_Name,(ROW()-ROW(MSPTasks[[#Headers],[ID]])))="",TRUE()),"",INDEX(tsk_UID,(ROW()-ROW(MSPTasks[[#Headers],[ID]]))))</f>
        <v/>
      </c>
      <c r="C103" s="24" t="str">
        <f aca="false">IF(IFERROR(INDEX(tsk_Name,(ROW()-ROW(MSPTasks[[#Headers],[ID]])))="",TRUE()),"",INDEX(tsk_Name,(ROW()-ROW(MSPTasks[[#Headers],[ID]]))))</f>
        <v/>
      </c>
      <c r="D103" s="24" t="str">
        <f aca="false">IF(IFERROR(INDEX(tsk_Name,(ROW()-ROW(MSPTasks[[#Headers],[ID]])))="",TRUE()),"",INDEX(tsk_Level,(ROW()-ROW(MSPTasks[[#Headers],[ID]]))))</f>
        <v/>
      </c>
      <c r="E103" s="24" t="str">
        <f aca="false">IF(IFERROR(INDEX(tsk_Name,(ROW()-ROW(MSPTasks[[#Headers],[ID]])))="",TRUE()),"",IF(INDEX(tsk_Mode,(ROW()-ROW(MSPTasks[[#Headers],[ID]])))="Manual","Manually Scheduled","Auto Scheduled"))</f>
        <v/>
      </c>
      <c r="F103" s="24" t="str">
        <f aca="false">IF(IFERROR(INDEX(tsk_Name,(ROW()-ROW(MSPTasks[[#Headers],[ID]])))="",TRUE()),"",IF(INDEX(tsk_IsSummary,(ROW()-ROW(MSPTasks[[#Headers],[ID]]))),"",N(INDEX(tsk_Duration,(ROW()-ROW(MSPTasks[[#Headers],[ID]]))))&amp;"d"))</f>
        <v/>
      </c>
      <c r="G103" s="127" t="str">
        <f aca="false">IF(IFERROR(INDEX(tsk_Name,(ROW()-ROW(MSPTasks[[#Headers],[ID]])))="",TRUE()),"",INDEX(tsk_FcStart,(ROW()-ROW(MSPTasks[[#Headers],[ID]]))))</f>
        <v/>
      </c>
      <c r="H103" s="127" t="str">
        <f aca="false">IF(IFERROR(INDEX(tsk_Name,(ROW()-ROW(MSPTasks[[#Headers],[ID]])))="",TRUE()),"",INDEX(tsk_FcFinish,(ROW()-ROW(MSPTasks[[#Headers],[ID]]))))</f>
        <v/>
      </c>
      <c r="I103" s="24" t="str">
        <f aca="false">IF(IFERROR(INDEX(tsk_Name,(ROW()-ROW(MSPTasks[[#Headers],[ID]])))="",TRUE()),"",IF(INDEX(tsk_IsSummary,(ROW()-ROW(MSPTasks[[#Headers],[ID]]))),"",INDEX(tsk_Predecessors,(ROW()-ROW(MSPTasks[[#Headers],[ID]])))))</f>
        <v/>
      </c>
      <c r="J103" s="24" t="str">
        <f aca="false">IF(IFERROR(INDEX(tsk_Name,(ROW()-ROW(MSPTasks[[#Headers],[ID]])))="",TRUE()),"",IF(INDEX(tsk_IsSummary,(ROW()-ROW(MSPTasks[[#Headers],[ID]]))),"",INDEX(tsk_UIDPredecessors,(ROW()-ROW(MSPTasks[[#Headers],[ID]])))))</f>
        <v/>
      </c>
      <c r="K10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3" s="24" t="str">
        <f aca="false">IF(IFERROR(INDEX(tsk_Name,(ROW()-ROW(MSPTasks[[#Headers],[ID]])))="",TRUE()),"",IF(INDEX(tsk_IsSummary,(ROW()-ROW(MSPTasks[[#Headers],[ID]]))),"",ROUND(INDEX(tsk_Progress,(ROW()-ROW(MSPTasks[[#Headers],[ID]])))*100,0)))</f>
        <v/>
      </c>
      <c r="M103" s="127" t="str">
        <f aca="false">IF(IFERROR(INDEX(tsk_Name,(ROW()-ROW(MSPTasks[[#Headers],[ID]])))="",TRUE()),"",IF(N(INDEX(tsk_ActStart,(ROW()-ROW(MSPTasks[[#Headers],[ID]]))))=0,"",INDEX(tsk_ActStart,(ROW()-ROW(MSPTasks[[#Headers],[ID]])))))</f>
        <v/>
      </c>
      <c r="N103" s="127" t="str">
        <f aca="false">IF(IFERROR(INDEX(tsk_Name,(ROW()-ROW(MSPTasks[[#Headers],[ID]])))="",TRUE()),"",IF(N(INDEX(tsk_ActFinish,(ROW()-ROW(MSPTasks[[#Headers],[ID]]))))=0,"",INDEX(tsk_ActFinish,(ROW()-ROW(MSPTasks[[#Headers],[ID]])))))</f>
        <v/>
      </c>
      <c r="O103" s="127" t="str">
        <f aca="false">IF(IFERROR(INDEX(tsk_Name,(ROW()-ROW(MSPTasks[[#Headers],[ID]])))="",TRUE()),"",INDEX(tsk_PlanStart,(ROW()-ROW(MSPTasks[[#Headers],[ID]]))))</f>
        <v/>
      </c>
      <c r="P103" s="127" t="str">
        <f aca="false">IF(IFERROR(INDEX(tsk_Name,(ROW()-ROW(MSPTasks[[#Headers],[ID]])))="",TRUE()),"",INDEX(tsk_PlanFinish,(ROW()-ROW(MSPTasks[[#Headers],[ID]]))))</f>
        <v/>
      </c>
      <c r="Q103" s="24" t="str">
        <f aca="false">IF(IFERROR(INDEX(tsk_Name,(ROW()-ROW(MSPTasks[[#Headers],[ID]])))="",TRUE()),"",IF(INDEX(tsk_BaseDuration,(ROW()-ROW(MSPTasks[[#Headers],[ID]])))="","",N(INDEX(tsk_BaseDuration,(ROW()-ROW(MSPTasks[[#Headers],[ID]]))))&amp;"d"))</f>
        <v/>
      </c>
      <c r="R103" s="24" t="str">
        <f aca="false">IF(IFERROR(INDEX(tsk_Name,(ROW()-ROW(MSPTasks[[#Headers],[ID]])))="",TRUE()),"",IF(INDEX(tsk_BaseWork,(ROW()-ROW(MSPTasks[[#Headers],[ID]])))="","",N(INDEX(tsk_BaseWork,(ROW()-ROW(MSPTasks[[#Headers],[ID]]))))&amp;"h"))</f>
        <v/>
      </c>
      <c r="S103" s="24" t="str">
        <f aca="false">IF(IFERROR(INDEX(tsk_Name,(ROW()-ROW(MSPTasks[[#Headers],[ID]])))="",TRUE()),"",IF(INDEX(tsk_BaseCost,(ROW()-ROW(MSPTasks[[#Headers],[ID]])))="","",N(INDEX(tsk_BaseCost,(ROW()-ROW(MSPTasks[[#Headers],[ID]]))))))</f>
        <v/>
      </c>
      <c r="T103" s="24" t="str">
        <f aca="false">IF(IFERROR(INDEX(tsk_Name,(ROW()-ROW(MSPTasks[[#Headers],[ID]])))="",TRUE()),"",IF(INDEX(tsk_IsSummary,(ROW()-ROW(MSPTasks[[#Headers],[ID]]))),"",IF(N(INDEX(tsk_ActCostInput,(ROW()-ROW(MSPTasks[[#Headers],[ID]]))))=0,"",INDEX(tsk_ActCostInput,(ROW()-ROW(MSPTasks[[#Headers],[ID]]))))))</f>
        <v/>
      </c>
      <c r="U103" s="24" t="str">
        <f aca="false">IF(IFERROR(INDEX(tsk_Name,(ROW()-ROW(MSPTasks[[#Headers],[ID]])))="",TRUE()),"",IF(INDEX(tsk_IsSummary,(ROW()-ROW(MSPTasks[[#Headers],[ID]]))),"",IF(AND(INDEX(tsk_Mode,(ROW()-ROW(MSPTasks[[#Headers],[ID]])))&lt;&gt;"Manual",N(INDEX(tsk_Constraint,(ROW()-ROW(MSPTasks[[#Headers],[ID]]))))&gt;0),"Start No Earlier Than","As Soon As Possible")))</f>
        <v/>
      </c>
      <c r="V103" s="127" t="str">
        <f aca="false">IF(IFERROR(INDEX(tsk_Name,(ROW()-ROW(MSPTasks[[#Headers],[ID]])))="",TRUE()),"",IF(OR(INDEX(tsk_IsSummary,(ROW()-ROW(MSPTasks[[#Headers],[ID]]))),INDEX(tsk_Mode,(ROW()-ROW(MSPTasks[[#Headers],[ID]])))="Manual"),"",IF(N(INDEX(tsk_Constraint,(ROW()-ROW(MSPTasks[[#Headers],[ID]]))))=0,"",INDEX(tsk_Constraint,(ROW()-ROW(MSPTasks[[#Headers],[ID]]))))))</f>
        <v/>
      </c>
      <c r="W103" s="127" t="str">
        <f aca="false">IF(IFERROR(INDEX(tsk_Name,(ROW()-ROW(MSPTasks[[#Headers],[ID]])))="",TRUE()),"",IF(N(INDEX(tsk_Deadline,(ROW()-ROW(MSPTasks[[#Headers],[ID]]))))=0,"",INDEX(tsk_Deadline,(ROW()-ROW(MSPTasks[[#Headers],[ID]])))))</f>
        <v/>
      </c>
      <c r="X103" s="24" t="str">
        <f aca="false">IF(IFERROR(INDEX(tsk_Name,(ROW()-ROW(MSPTasks[[#Headers],[ID]])))="",TRUE()),"",IF(INDEX(tsk_IsSummary,(ROW()-ROW(MSPTasks[[#Headers],[ID]]))),"",INDEX(tsk_Sprint,(ROW()-ROW(MSPTasks[[#Headers],[ID]])))&amp;""))</f>
        <v/>
      </c>
      <c r="Y103" s="24" t="str">
        <f aca="false">IF(IFERROR(INDEX(tsk_Name,(ROW()-ROW(MSPTasks[[#Headers],[ID]])))="",TRUE()),"",IF(INDEX(tsk_IsSummary,(ROW()-ROW(MSPTasks[[#Headers],[ID]]))),"",IF(N(INDEX(tsk_StoryPoints,(ROW()-ROW(MSPTasks[[#Headers],[ID]]))))=0,"",INDEX(tsk_StoryPoints,(ROW()-ROW(MSPTasks[[#Headers],[ID]]))))))</f>
        <v/>
      </c>
      <c r="Z103" s="24" t="str">
        <f aca="false">IF(IFERROR(INDEX(tsk_Name,(ROW()-ROW(MSPTasks[[#Headers],[ID]])))="",TRUE()),"",INDEX(tsk_Notes,(ROW()-ROW(MSPTasks[[#Headers],[ID]])))&amp;"")</f>
        <v/>
      </c>
    </row>
    <row r="104" customFormat="false" ht="15" hidden="false" customHeight="false" outlineLevel="0" collapsed="false">
      <c r="A104" s="24" t="str">
        <f aca="false">IF(IFERROR(INDEX(tsk_Name,(ROW()-ROW(MSPTasks[[#Headers],[ID]])))="",TRUE()),"",INDEX(tsk_ID,(ROW()-ROW(MSPTasks[[#Headers],[ID]]))))</f>
        <v/>
      </c>
      <c r="B104" s="24" t="str">
        <f aca="false">IF(IFERROR(INDEX(tsk_Name,(ROW()-ROW(MSPTasks[[#Headers],[ID]])))="",TRUE()),"",INDEX(tsk_UID,(ROW()-ROW(MSPTasks[[#Headers],[ID]]))))</f>
        <v/>
      </c>
      <c r="C104" s="24" t="str">
        <f aca="false">IF(IFERROR(INDEX(tsk_Name,(ROW()-ROW(MSPTasks[[#Headers],[ID]])))="",TRUE()),"",INDEX(tsk_Name,(ROW()-ROW(MSPTasks[[#Headers],[ID]]))))</f>
        <v/>
      </c>
      <c r="D104" s="24" t="str">
        <f aca="false">IF(IFERROR(INDEX(tsk_Name,(ROW()-ROW(MSPTasks[[#Headers],[ID]])))="",TRUE()),"",INDEX(tsk_Level,(ROW()-ROW(MSPTasks[[#Headers],[ID]]))))</f>
        <v/>
      </c>
      <c r="E104" s="24" t="str">
        <f aca="false">IF(IFERROR(INDEX(tsk_Name,(ROW()-ROW(MSPTasks[[#Headers],[ID]])))="",TRUE()),"",IF(INDEX(tsk_Mode,(ROW()-ROW(MSPTasks[[#Headers],[ID]])))="Manual","Manually Scheduled","Auto Scheduled"))</f>
        <v/>
      </c>
      <c r="F104" s="24" t="str">
        <f aca="false">IF(IFERROR(INDEX(tsk_Name,(ROW()-ROW(MSPTasks[[#Headers],[ID]])))="",TRUE()),"",IF(INDEX(tsk_IsSummary,(ROW()-ROW(MSPTasks[[#Headers],[ID]]))),"",N(INDEX(tsk_Duration,(ROW()-ROW(MSPTasks[[#Headers],[ID]]))))&amp;"d"))</f>
        <v/>
      </c>
      <c r="G104" s="127" t="str">
        <f aca="false">IF(IFERROR(INDEX(tsk_Name,(ROW()-ROW(MSPTasks[[#Headers],[ID]])))="",TRUE()),"",INDEX(tsk_FcStart,(ROW()-ROW(MSPTasks[[#Headers],[ID]]))))</f>
        <v/>
      </c>
      <c r="H104" s="127" t="str">
        <f aca="false">IF(IFERROR(INDEX(tsk_Name,(ROW()-ROW(MSPTasks[[#Headers],[ID]])))="",TRUE()),"",INDEX(tsk_FcFinish,(ROW()-ROW(MSPTasks[[#Headers],[ID]]))))</f>
        <v/>
      </c>
      <c r="I104" s="24" t="str">
        <f aca="false">IF(IFERROR(INDEX(tsk_Name,(ROW()-ROW(MSPTasks[[#Headers],[ID]])))="",TRUE()),"",IF(INDEX(tsk_IsSummary,(ROW()-ROW(MSPTasks[[#Headers],[ID]]))),"",INDEX(tsk_Predecessors,(ROW()-ROW(MSPTasks[[#Headers],[ID]])))))</f>
        <v/>
      </c>
      <c r="J104" s="24" t="str">
        <f aca="false">IF(IFERROR(INDEX(tsk_Name,(ROW()-ROW(MSPTasks[[#Headers],[ID]])))="",TRUE()),"",IF(INDEX(tsk_IsSummary,(ROW()-ROW(MSPTasks[[#Headers],[ID]]))),"",INDEX(tsk_UIDPredecessors,(ROW()-ROW(MSPTasks[[#Headers],[ID]])))))</f>
        <v/>
      </c>
      <c r="K10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4" s="24" t="str">
        <f aca="false">IF(IFERROR(INDEX(tsk_Name,(ROW()-ROW(MSPTasks[[#Headers],[ID]])))="",TRUE()),"",IF(INDEX(tsk_IsSummary,(ROW()-ROW(MSPTasks[[#Headers],[ID]]))),"",ROUND(INDEX(tsk_Progress,(ROW()-ROW(MSPTasks[[#Headers],[ID]])))*100,0)))</f>
        <v/>
      </c>
      <c r="M104" s="127" t="str">
        <f aca="false">IF(IFERROR(INDEX(tsk_Name,(ROW()-ROW(MSPTasks[[#Headers],[ID]])))="",TRUE()),"",IF(N(INDEX(tsk_ActStart,(ROW()-ROW(MSPTasks[[#Headers],[ID]]))))=0,"",INDEX(tsk_ActStart,(ROW()-ROW(MSPTasks[[#Headers],[ID]])))))</f>
        <v/>
      </c>
      <c r="N104" s="127" t="str">
        <f aca="false">IF(IFERROR(INDEX(tsk_Name,(ROW()-ROW(MSPTasks[[#Headers],[ID]])))="",TRUE()),"",IF(N(INDEX(tsk_ActFinish,(ROW()-ROW(MSPTasks[[#Headers],[ID]]))))=0,"",INDEX(tsk_ActFinish,(ROW()-ROW(MSPTasks[[#Headers],[ID]])))))</f>
        <v/>
      </c>
      <c r="O104" s="127" t="str">
        <f aca="false">IF(IFERROR(INDEX(tsk_Name,(ROW()-ROW(MSPTasks[[#Headers],[ID]])))="",TRUE()),"",INDEX(tsk_PlanStart,(ROW()-ROW(MSPTasks[[#Headers],[ID]]))))</f>
        <v/>
      </c>
      <c r="P104" s="127" t="str">
        <f aca="false">IF(IFERROR(INDEX(tsk_Name,(ROW()-ROW(MSPTasks[[#Headers],[ID]])))="",TRUE()),"",INDEX(tsk_PlanFinish,(ROW()-ROW(MSPTasks[[#Headers],[ID]]))))</f>
        <v/>
      </c>
      <c r="Q104" s="24" t="str">
        <f aca="false">IF(IFERROR(INDEX(tsk_Name,(ROW()-ROW(MSPTasks[[#Headers],[ID]])))="",TRUE()),"",IF(INDEX(tsk_BaseDuration,(ROW()-ROW(MSPTasks[[#Headers],[ID]])))="","",N(INDEX(tsk_BaseDuration,(ROW()-ROW(MSPTasks[[#Headers],[ID]]))))&amp;"d"))</f>
        <v/>
      </c>
      <c r="R104" s="24" t="str">
        <f aca="false">IF(IFERROR(INDEX(tsk_Name,(ROW()-ROW(MSPTasks[[#Headers],[ID]])))="",TRUE()),"",IF(INDEX(tsk_BaseWork,(ROW()-ROW(MSPTasks[[#Headers],[ID]])))="","",N(INDEX(tsk_BaseWork,(ROW()-ROW(MSPTasks[[#Headers],[ID]]))))&amp;"h"))</f>
        <v/>
      </c>
      <c r="S104" s="24" t="str">
        <f aca="false">IF(IFERROR(INDEX(tsk_Name,(ROW()-ROW(MSPTasks[[#Headers],[ID]])))="",TRUE()),"",IF(INDEX(tsk_BaseCost,(ROW()-ROW(MSPTasks[[#Headers],[ID]])))="","",N(INDEX(tsk_BaseCost,(ROW()-ROW(MSPTasks[[#Headers],[ID]]))))))</f>
        <v/>
      </c>
      <c r="T104" s="24" t="str">
        <f aca="false">IF(IFERROR(INDEX(tsk_Name,(ROW()-ROW(MSPTasks[[#Headers],[ID]])))="",TRUE()),"",IF(INDEX(tsk_IsSummary,(ROW()-ROW(MSPTasks[[#Headers],[ID]]))),"",IF(N(INDEX(tsk_ActCostInput,(ROW()-ROW(MSPTasks[[#Headers],[ID]]))))=0,"",INDEX(tsk_ActCostInput,(ROW()-ROW(MSPTasks[[#Headers],[ID]]))))))</f>
        <v/>
      </c>
      <c r="U104" s="24" t="str">
        <f aca="false">IF(IFERROR(INDEX(tsk_Name,(ROW()-ROW(MSPTasks[[#Headers],[ID]])))="",TRUE()),"",IF(INDEX(tsk_IsSummary,(ROW()-ROW(MSPTasks[[#Headers],[ID]]))),"",IF(AND(INDEX(tsk_Mode,(ROW()-ROW(MSPTasks[[#Headers],[ID]])))&lt;&gt;"Manual",N(INDEX(tsk_Constraint,(ROW()-ROW(MSPTasks[[#Headers],[ID]]))))&gt;0),"Start No Earlier Than","As Soon As Possible")))</f>
        <v/>
      </c>
      <c r="V104" s="127" t="str">
        <f aca="false">IF(IFERROR(INDEX(tsk_Name,(ROW()-ROW(MSPTasks[[#Headers],[ID]])))="",TRUE()),"",IF(OR(INDEX(tsk_IsSummary,(ROW()-ROW(MSPTasks[[#Headers],[ID]]))),INDEX(tsk_Mode,(ROW()-ROW(MSPTasks[[#Headers],[ID]])))="Manual"),"",IF(N(INDEX(tsk_Constraint,(ROW()-ROW(MSPTasks[[#Headers],[ID]]))))=0,"",INDEX(tsk_Constraint,(ROW()-ROW(MSPTasks[[#Headers],[ID]]))))))</f>
        <v/>
      </c>
      <c r="W104" s="127" t="str">
        <f aca="false">IF(IFERROR(INDEX(tsk_Name,(ROW()-ROW(MSPTasks[[#Headers],[ID]])))="",TRUE()),"",IF(N(INDEX(tsk_Deadline,(ROW()-ROW(MSPTasks[[#Headers],[ID]]))))=0,"",INDEX(tsk_Deadline,(ROW()-ROW(MSPTasks[[#Headers],[ID]])))))</f>
        <v/>
      </c>
      <c r="X104" s="24" t="str">
        <f aca="false">IF(IFERROR(INDEX(tsk_Name,(ROW()-ROW(MSPTasks[[#Headers],[ID]])))="",TRUE()),"",IF(INDEX(tsk_IsSummary,(ROW()-ROW(MSPTasks[[#Headers],[ID]]))),"",INDEX(tsk_Sprint,(ROW()-ROW(MSPTasks[[#Headers],[ID]])))&amp;""))</f>
        <v/>
      </c>
      <c r="Y104" s="24" t="str">
        <f aca="false">IF(IFERROR(INDEX(tsk_Name,(ROW()-ROW(MSPTasks[[#Headers],[ID]])))="",TRUE()),"",IF(INDEX(tsk_IsSummary,(ROW()-ROW(MSPTasks[[#Headers],[ID]]))),"",IF(N(INDEX(tsk_StoryPoints,(ROW()-ROW(MSPTasks[[#Headers],[ID]]))))=0,"",INDEX(tsk_StoryPoints,(ROW()-ROW(MSPTasks[[#Headers],[ID]]))))))</f>
        <v/>
      </c>
      <c r="Z104" s="24" t="str">
        <f aca="false">IF(IFERROR(INDEX(tsk_Name,(ROW()-ROW(MSPTasks[[#Headers],[ID]])))="",TRUE()),"",INDEX(tsk_Notes,(ROW()-ROW(MSPTasks[[#Headers],[ID]])))&amp;"")</f>
        <v/>
      </c>
    </row>
    <row r="105" customFormat="false" ht="15" hidden="false" customHeight="false" outlineLevel="0" collapsed="false">
      <c r="A105" s="24" t="str">
        <f aca="false">IF(IFERROR(INDEX(tsk_Name,(ROW()-ROW(MSPTasks[[#Headers],[ID]])))="",TRUE()),"",INDEX(tsk_ID,(ROW()-ROW(MSPTasks[[#Headers],[ID]]))))</f>
        <v/>
      </c>
      <c r="B105" s="24" t="str">
        <f aca="false">IF(IFERROR(INDEX(tsk_Name,(ROW()-ROW(MSPTasks[[#Headers],[ID]])))="",TRUE()),"",INDEX(tsk_UID,(ROW()-ROW(MSPTasks[[#Headers],[ID]]))))</f>
        <v/>
      </c>
      <c r="C105" s="24" t="str">
        <f aca="false">IF(IFERROR(INDEX(tsk_Name,(ROW()-ROW(MSPTasks[[#Headers],[ID]])))="",TRUE()),"",INDEX(tsk_Name,(ROW()-ROW(MSPTasks[[#Headers],[ID]]))))</f>
        <v/>
      </c>
      <c r="D105" s="24" t="str">
        <f aca="false">IF(IFERROR(INDEX(tsk_Name,(ROW()-ROW(MSPTasks[[#Headers],[ID]])))="",TRUE()),"",INDEX(tsk_Level,(ROW()-ROW(MSPTasks[[#Headers],[ID]]))))</f>
        <v/>
      </c>
      <c r="E105" s="24" t="str">
        <f aca="false">IF(IFERROR(INDEX(tsk_Name,(ROW()-ROW(MSPTasks[[#Headers],[ID]])))="",TRUE()),"",IF(INDEX(tsk_Mode,(ROW()-ROW(MSPTasks[[#Headers],[ID]])))="Manual","Manually Scheduled","Auto Scheduled"))</f>
        <v/>
      </c>
      <c r="F105" s="24" t="str">
        <f aca="false">IF(IFERROR(INDEX(tsk_Name,(ROW()-ROW(MSPTasks[[#Headers],[ID]])))="",TRUE()),"",IF(INDEX(tsk_IsSummary,(ROW()-ROW(MSPTasks[[#Headers],[ID]]))),"",N(INDEX(tsk_Duration,(ROW()-ROW(MSPTasks[[#Headers],[ID]]))))&amp;"d"))</f>
        <v/>
      </c>
      <c r="G105" s="127" t="str">
        <f aca="false">IF(IFERROR(INDEX(tsk_Name,(ROW()-ROW(MSPTasks[[#Headers],[ID]])))="",TRUE()),"",INDEX(tsk_FcStart,(ROW()-ROW(MSPTasks[[#Headers],[ID]]))))</f>
        <v/>
      </c>
      <c r="H105" s="127" t="str">
        <f aca="false">IF(IFERROR(INDEX(tsk_Name,(ROW()-ROW(MSPTasks[[#Headers],[ID]])))="",TRUE()),"",INDEX(tsk_FcFinish,(ROW()-ROW(MSPTasks[[#Headers],[ID]]))))</f>
        <v/>
      </c>
      <c r="I105" s="24" t="str">
        <f aca="false">IF(IFERROR(INDEX(tsk_Name,(ROW()-ROW(MSPTasks[[#Headers],[ID]])))="",TRUE()),"",IF(INDEX(tsk_IsSummary,(ROW()-ROW(MSPTasks[[#Headers],[ID]]))),"",INDEX(tsk_Predecessors,(ROW()-ROW(MSPTasks[[#Headers],[ID]])))))</f>
        <v/>
      </c>
      <c r="J105" s="24" t="str">
        <f aca="false">IF(IFERROR(INDEX(tsk_Name,(ROW()-ROW(MSPTasks[[#Headers],[ID]])))="",TRUE()),"",IF(INDEX(tsk_IsSummary,(ROW()-ROW(MSPTasks[[#Headers],[ID]]))),"",INDEX(tsk_UIDPredecessors,(ROW()-ROW(MSPTasks[[#Headers],[ID]])))))</f>
        <v/>
      </c>
      <c r="K10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5" s="24" t="str">
        <f aca="false">IF(IFERROR(INDEX(tsk_Name,(ROW()-ROW(MSPTasks[[#Headers],[ID]])))="",TRUE()),"",IF(INDEX(tsk_IsSummary,(ROW()-ROW(MSPTasks[[#Headers],[ID]]))),"",ROUND(INDEX(tsk_Progress,(ROW()-ROW(MSPTasks[[#Headers],[ID]])))*100,0)))</f>
        <v/>
      </c>
      <c r="M105" s="127" t="str">
        <f aca="false">IF(IFERROR(INDEX(tsk_Name,(ROW()-ROW(MSPTasks[[#Headers],[ID]])))="",TRUE()),"",IF(N(INDEX(tsk_ActStart,(ROW()-ROW(MSPTasks[[#Headers],[ID]]))))=0,"",INDEX(tsk_ActStart,(ROW()-ROW(MSPTasks[[#Headers],[ID]])))))</f>
        <v/>
      </c>
      <c r="N105" s="127" t="str">
        <f aca="false">IF(IFERROR(INDEX(tsk_Name,(ROW()-ROW(MSPTasks[[#Headers],[ID]])))="",TRUE()),"",IF(N(INDEX(tsk_ActFinish,(ROW()-ROW(MSPTasks[[#Headers],[ID]]))))=0,"",INDEX(tsk_ActFinish,(ROW()-ROW(MSPTasks[[#Headers],[ID]])))))</f>
        <v/>
      </c>
      <c r="O105" s="127" t="str">
        <f aca="false">IF(IFERROR(INDEX(tsk_Name,(ROW()-ROW(MSPTasks[[#Headers],[ID]])))="",TRUE()),"",INDEX(tsk_PlanStart,(ROW()-ROW(MSPTasks[[#Headers],[ID]]))))</f>
        <v/>
      </c>
      <c r="P105" s="127" t="str">
        <f aca="false">IF(IFERROR(INDEX(tsk_Name,(ROW()-ROW(MSPTasks[[#Headers],[ID]])))="",TRUE()),"",INDEX(tsk_PlanFinish,(ROW()-ROW(MSPTasks[[#Headers],[ID]]))))</f>
        <v/>
      </c>
      <c r="Q105" s="24" t="str">
        <f aca="false">IF(IFERROR(INDEX(tsk_Name,(ROW()-ROW(MSPTasks[[#Headers],[ID]])))="",TRUE()),"",IF(INDEX(tsk_BaseDuration,(ROW()-ROW(MSPTasks[[#Headers],[ID]])))="","",N(INDEX(tsk_BaseDuration,(ROW()-ROW(MSPTasks[[#Headers],[ID]]))))&amp;"d"))</f>
        <v/>
      </c>
      <c r="R105" s="24" t="str">
        <f aca="false">IF(IFERROR(INDEX(tsk_Name,(ROW()-ROW(MSPTasks[[#Headers],[ID]])))="",TRUE()),"",IF(INDEX(tsk_BaseWork,(ROW()-ROW(MSPTasks[[#Headers],[ID]])))="","",N(INDEX(tsk_BaseWork,(ROW()-ROW(MSPTasks[[#Headers],[ID]]))))&amp;"h"))</f>
        <v/>
      </c>
      <c r="S105" s="24" t="str">
        <f aca="false">IF(IFERROR(INDEX(tsk_Name,(ROW()-ROW(MSPTasks[[#Headers],[ID]])))="",TRUE()),"",IF(INDEX(tsk_BaseCost,(ROW()-ROW(MSPTasks[[#Headers],[ID]])))="","",N(INDEX(tsk_BaseCost,(ROW()-ROW(MSPTasks[[#Headers],[ID]]))))))</f>
        <v/>
      </c>
      <c r="T105" s="24" t="str">
        <f aca="false">IF(IFERROR(INDEX(tsk_Name,(ROW()-ROW(MSPTasks[[#Headers],[ID]])))="",TRUE()),"",IF(INDEX(tsk_IsSummary,(ROW()-ROW(MSPTasks[[#Headers],[ID]]))),"",IF(N(INDEX(tsk_ActCostInput,(ROW()-ROW(MSPTasks[[#Headers],[ID]]))))=0,"",INDEX(tsk_ActCostInput,(ROW()-ROW(MSPTasks[[#Headers],[ID]]))))))</f>
        <v/>
      </c>
      <c r="U105" s="24" t="str">
        <f aca="false">IF(IFERROR(INDEX(tsk_Name,(ROW()-ROW(MSPTasks[[#Headers],[ID]])))="",TRUE()),"",IF(INDEX(tsk_IsSummary,(ROW()-ROW(MSPTasks[[#Headers],[ID]]))),"",IF(AND(INDEX(tsk_Mode,(ROW()-ROW(MSPTasks[[#Headers],[ID]])))&lt;&gt;"Manual",N(INDEX(tsk_Constraint,(ROW()-ROW(MSPTasks[[#Headers],[ID]]))))&gt;0),"Start No Earlier Than","As Soon As Possible")))</f>
        <v/>
      </c>
      <c r="V105" s="127" t="str">
        <f aca="false">IF(IFERROR(INDEX(tsk_Name,(ROW()-ROW(MSPTasks[[#Headers],[ID]])))="",TRUE()),"",IF(OR(INDEX(tsk_IsSummary,(ROW()-ROW(MSPTasks[[#Headers],[ID]]))),INDEX(tsk_Mode,(ROW()-ROW(MSPTasks[[#Headers],[ID]])))="Manual"),"",IF(N(INDEX(tsk_Constraint,(ROW()-ROW(MSPTasks[[#Headers],[ID]]))))=0,"",INDEX(tsk_Constraint,(ROW()-ROW(MSPTasks[[#Headers],[ID]]))))))</f>
        <v/>
      </c>
      <c r="W105" s="127" t="str">
        <f aca="false">IF(IFERROR(INDEX(tsk_Name,(ROW()-ROW(MSPTasks[[#Headers],[ID]])))="",TRUE()),"",IF(N(INDEX(tsk_Deadline,(ROW()-ROW(MSPTasks[[#Headers],[ID]]))))=0,"",INDEX(tsk_Deadline,(ROW()-ROW(MSPTasks[[#Headers],[ID]])))))</f>
        <v/>
      </c>
      <c r="X105" s="24" t="str">
        <f aca="false">IF(IFERROR(INDEX(tsk_Name,(ROW()-ROW(MSPTasks[[#Headers],[ID]])))="",TRUE()),"",IF(INDEX(tsk_IsSummary,(ROW()-ROW(MSPTasks[[#Headers],[ID]]))),"",INDEX(tsk_Sprint,(ROW()-ROW(MSPTasks[[#Headers],[ID]])))&amp;""))</f>
        <v/>
      </c>
      <c r="Y105" s="24" t="str">
        <f aca="false">IF(IFERROR(INDEX(tsk_Name,(ROW()-ROW(MSPTasks[[#Headers],[ID]])))="",TRUE()),"",IF(INDEX(tsk_IsSummary,(ROW()-ROW(MSPTasks[[#Headers],[ID]]))),"",IF(N(INDEX(tsk_StoryPoints,(ROW()-ROW(MSPTasks[[#Headers],[ID]]))))=0,"",INDEX(tsk_StoryPoints,(ROW()-ROW(MSPTasks[[#Headers],[ID]]))))))</f>
        <v/>
      </c>
      <c r="Z105" s="24" t="str">
        <f aca="false">IF(IFERROR(INDEX(tsk_Name,(ROW()-ROW(MSPTasks[[#Headers],[ID]])))="",TRUE()),"",INDEX(tsk_Notes,(ROW()-ROW(MSPTasks[[#Headers],[ID]])))&amp;"")</f>
        <v/>
      </c>
    </row>
    <row r="106" customFormat="false" ht="15" hidden="false" customHeight="false" outlineLevel="0" collapsed="false">
      <c r="A106" s="24" t="str">
        <f aca="false">IF(IFERROR(INDEX(tsk_Name,(ROW()-ROW(MSPTasks[[#Headers],[ID]])))="",TRUE()),"",INDEX(tsk_ID,(ROW()-ROW(MSPTasks[[#Headers],[ID]]))))</f>
        <v/>
      </c>
      <c r="B106" s="24" t="str">
        <f aca="false">IF(IFERROR(INDEX(tsk_Name,(ROW()-ROW(MSPTasks[[#Headers],[ID]])))="",TRUE()),"",INDEX(tsk_UID,(ROW()-ROW(MSPTasks[[#Headers],[ID]]))))</f>
        <v/>
      </c>
      <c r="C106" s="24" t="str">
        <f aca="false">IF(IFERROR(INDEX(tsk_Name,(ROW()-ROW(MSPTasks[[#Headers],[ID]])))="",TRUE()),"",INDEX(tsk_Name,(ROW()-ROW(MSPTasks[[#Headers],[ID]]))))</f>
        <v/>
      </c>
      <c r="D106" s="24" t="str">
        <f aca="false">IF(IFERROR(INDEX(tsk_Name,(ROW()-ROW(MSPTasks[[#Headers],[ID]])))="",TRUE()),"",INDEX(tsk_Level,(ROW()-ROW(MSPTasks[[#Headers],[ID]]))))</f>
        <v/>
      </c>
      <c r="E106" s="24" t="str">
        <f aca="false">IF(IFERROR(INDEX(tsk_Name,(ROW()-ROW(MSPTasks[[#Headers],[ID]])))="",TRUE()),"",IF(INDEX(tsk_Mode,(ROW()-ROW(MSPTasks[[#Headers],[ID]])))="Manual","Manually Scheduled","Auto Scheduled"))</f>
        <v/>
      </c>
      <c r="F106" s="24" t="str">
        <f aca="false">IF(IFERROR(INDEX(tsk_Name,(ROW()-ROW(MSPTasks[[#Headers],[ID]])))="",TRUE()),"",IF(INDEX(tsk_IsSummary,(ROW()-ROW(MSPTasks[[#Headers],[ID]]))),"",N(INDEX(tsk_Duration,(ROW()-ROW(MSPTasks[[#Headers],[ID]]))))&amp;"d"))</f>
        <v/>
      </c>
      <c r="G106" s="127" t="str">
        <f aca="false">IF(IFERROR(INDEX(tsk_Name,(ROW()-ROW(MSPTasks[[#Headers],[ID]])))="",TRUE()),"",INDEX(tsk_FcStart,(ROW()-ROW(MSPTasks[[#Headers],[ID]]))))</f>
        <v/>
      </c>
      <c r="H106" s="127" t="str">
        <f aca="false">IF(IFERROR(INDEX(tsk_Name,(ROW()-ROW(MSPTasks[[#Headers],[ID]])))="",TRUE()),"",INDEX(tsk_FcFinish,(ROW()-ROW(MSPTasks[[#Headers],[ID]]))))</f>
        <v/>
      </c>
      <c r="I106" s="24" t="str">
        <f aca="false">IF(IFERROR(INDEX(tsk_Name,(ROW()-ROW(MSPTasks[[#Headers],[ID]])))="",TRUE()),"",IF(INDEX(tsk_IsSummary,(ROW()-ROW(MSPTasks[[#Headers],[ID]]))),"",INDEX(tsk_Predecessors,(ROW()-ROW(MSPTasks[[#Headers],[ID]])))))</f>
        <v/>
      </c>
      <c r="J106" s="24" t="str">
        <f aca="false">IF(IFERROR(INDEX(tsk_Name,(ROW()-ROW(MSPTasks[[#Headers],[ID]])))="",TRUE()),"",IF(INDEX(tsk_IsSummary,(ROW()-ROW(MSPTasks[[#Headers],[ID]]))),"",INDEX(tsk_UIDPredecessors,(ROW()-ROW(MSPTasks[[#Headers],[ID]])))))</f>
        <v/>
      </c>
      <c r="K10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6" s="24" t="str">
        <f aca="false">IF(IFERROR(INDEX(tsk_Name,(ROW()-ROW(MSPTasks[[#Headers],[ID]])))="",TRUE()),"",IF(INDEX(tsk_IsSummary,(ROW()-ROW(MSPTasks[[#Headers],[ID]]))),"",ROUND(INDEX(tsk_Progress,(ROW()-ROW(MSPTasks[[#Headers],[ID]])))*100,0)))</f>
        <v/>
      </c>
      <c r="M106" s="127" t="str">
        <f aca="false">IF(IFERROR(INDEX(tsk_Name,(ROW()-ROW(MSPTasks[[#Headers],[ID]])))="",TRUE()),"",IF(N(INDEX(tsk_ActStart,(ROW()-ROW(MSPTasks[[#Headers],[ID]]))))=0,"",INDEX(tsk_ActStart,(ROW()-ROW(MSPTasks[[#Headers],[ID]])))))</f>
        <v/>
      </c>
      <c r="N106" s="127" t="str">
        <f aca="false">IF(IFERROR(INDEX(tsk_Name,(ROW()-ROW(MSPTasks[[#Headers],[ID]])))="",TRUE()),"",IF(N(INDEX(tsk_ActFinish,(ROW()-ROW(MSPTasks[[#Headers],[ID]]))))=0,"",INDEX(tsk_ActFinish,(ROW()-ROW(MSPTasks[[#Headers],[ID]])))))</f>
        <v/>
      </c>
      <c r="O106" s="127" t="str">
        <f aca="false">IF(IFERROR(INDEX(tsk_Name,(ROW()-ROW(MSPTasks[[#Headers],[ID]])))="",TRUE()),"",INDEX(tsk_PlanStart,(ROW()-ROW(MSPTasks[[#Headers],[ID]]))))</f>
        <v/>
      </c>
      <c r="P106" s="127" t="str">
        <f aca="false">IF(IFERROR(INDEX(tsk_Name,(ROW()-ROW(MSPTasks[[#Headers],[ID]])))="",TRUE()),"",INDEX(tsk_PlanFinish,(ROW()-ROW(MSPTasks[[#Headers],[ID]]))))</f>
        <v/>
      </c>
      <c r="Q106" s="24" t="str">
        <f aca="false">IF(IFERROR(INDEX(tsk_Name,(ROW()-ROW(MSPTasks[[#Headers],[ID]])))="",TRUE()),"",IF(INDEX(tsk_BaseDuration,(ROW()-ROW(MSPTasks[[#Headers],[ID]])))="","",N(INDEX(tsk_BaseDuration,(ROW()-ROW(MSPTasks[[#Headers],[ID]]))))&amp;"d"))</f>
        <v/>
      </c>
      <c r="R106" s="24" t="str">
        <f aca="false">IF(IFERROR(INDEX(tsk_Name,(ROW()-ROW(MSPTasks[[#Headers],[ID]])))="",TRUE()),"",IF(INDEX(tsk_BaseWork,(ROW()-ROW(MSPTasks[[#Headers],[ID]])))="","",N(INDEX(tsk_BaseWork,(ROW()-ROW(MSPTasks[[#Headers],[ID]]))))&amp;"h"))</f>
        <v/>
      </c>
      <c r="S106" s="24" t="str">
        <f aca="false">IF(IFERROR(INDEX(tsk_Name,(ROW()-ROW(MSPTasks[[#Headers],[ID]])))="",TRUE()),"",IF(INDEX(tsk_BaseCost,(ROW()-ROW(MSPTasks[[#Headers],[ID]])))="","",N(INDEX(tsk_BaseCost,(ROW()-ROW(MSPTasks[[#Headers],[ID]]))))))</f>
        <v/>
      </c>
      <c r="T106" s="24" t="str">
        <f aca="false">IF(IFERROR(INDEX(tsk_Name,(ROW()-ROW(MSPTasks[[#Headers],[ID]])))="",TRUE()),"",IF(INDEX(tsk_IsSummary,(ROW()-ROW(MSPTasks[[#Headers],[ID]]))),"",IF(N(INDEX(tsk_ActCostInput,(ROW()-ROW(MSPTasks[[#Headers],[ID]]))))=0,"",INDEX(tsk_ActCostInput,(ROW()-ROW(MSPTasks[[#Headers],[ID]]))))))</f>
        <v/>
      </c>
      <c r="U106" s="24" t="str">
        <f aca="false">IF(IFERROR(INDEX(tsk_Name,(ROW()-ROW(MSPTasks[[#Headers],[ID]])))="",TRUE()),"",IF(INDEX(tsk_IsSummary,(ROW()-ROW(MSPTasks[[#Headers],[ID]]))),"",IF(AND(INDEX(tsk_Mode,(ROW()-ROW(MSPTasks[[#Headers],[ID]])))&lt;&gt;"Manual",N(INDEX(tsk_Constraint,(ROW()-ROW(MSPTasks[[#Headers],[ID]]))))&gt;0),"Start No Earlier Than","As Soon As Possible")))</f>
        <v/>
      </c>
      <c r="V106" s="127" t="str">
        <f aca="false">IF(IFERROR(INDEX(tsk_Name,(ROW()-ROW(MSPTasks[[#Headers],[ID]])))="",TRUE()),"",IF(OR(INDEX(tsk_IsSummary,(ROW()-ROW(MSPTasks[[#Headers],[ID]]))),INDEX(tsk_Mode,(ROW()-ROW(MSPTasks[[#Headers],[ID]])))="Manual"),"",IF(N(INDEX(tsk_Constraint,(ROW()-ROW(MSPTasks[[#Headers],[ID]]))))=0,"",INDEX(tsk_Constraint,(ROW()-ROW(MSPTasks[[#Headers],[ID]]))))))</f>
        <v/>
      </c>
      <c r="W106" s="127" t="str">
        <f aca="false">IF(IFERROR(INDEX(tsk_Name,(ROW()-ROW(MSPTasks[[#Headers],[ID]])))="",TRUE()),"",IF(N(INDEX(tsk_Deadline,(ROW()-ROW(MSPTasks[[#Headers],[ID]]))))=0,"",INDEX(tsk_Deadline,(ROW()-ROW(MSPTasks[[#Headers],[ID]])))))</f>
        <v/>
      </c>
      <c r="X106" s="24" t="str">
        <f aca="false">IF(IFERROR(INDEX(tsk_Name,(ROW()-ROW(MSPTasks[[#Headers],[ID]])))="",TRUE()),"",IF(INDEX(tsk_IsSummary,(ROW()-ROW(MSPTasks[[#Headers],[ID]]))),"",INDEX(tsk_Sprint,(ROW()-ROW(MSPTasks[[#Headers],[ID]])))&amp;""))</f>
        <v/>
      </c>
      <c r="Y106" s="24" t="str">
        <f aca="false">IF(IFERROR(INDEX(tsk_Name,(ROW()-ROW(MSPTasks[[#Headers],[ID]])))="",TRUE()),"",IF(INDEX(tsk_IsSummary,(ROW()-ROW(MSPTasks[[#Headers],[ID]]))),"",IF(N(INDEX(tsk_StoryPoints,(ROW()-ROW(MSPTasks[[#Headers],[ID]]))))=0,"",INDEX(tsk_StoryPoints,(ROW()-ROW(MSPTasks[[#Headers],[ID]]))))))</f>
        <v/>
      </c>
      <c r="Z106" s="24" t="str">
        <f aca="false">IF(IFERROR(INDEX(tsk_Name,(ROW()-ROW(MSPTasks[[#Headers],[ID]])))="",TRUE()),"",INDEX(tsk_Notes,(ROW()-ROW(MSPTasks[[#Headers],[ID]])))&amp;"")</f>
        <v/>
      </c>
    </row>
    <row r="107" customFormat="false" ht="15" hidden="false" customHeight="false" outlineLevel="0" collapsed="false">
      <c r="A107" s="24" t="str">
        <f aca="false">IF(IFERROR(INDEX(tsk_Name,(ROW()-ROW(MSPTasks[[#Headers],[ID]])))="",TRUE()),"",INDEX(tsk_ID,(ROW()-ROW(MSPTasks[[#Headers],[ID]]))))</f>
        <v/>
      </c>
      <c r="B107" s="24" t="str">
        <f aca="false">IF(IFERROR(INDEX(tsk_Name,(ROW()-ROW(MSPTasks[[#Headers],[ID]])))="",TRUE()),"",INDEX(tsk_UID,(ROW()-ROW(MSPTasks[[#Headers],[ID]]))))</f>
        <v/>
      </c>
      <c r="C107" s="24" t="str">
        <f aca="false">IF(IFERROR(INDEX(tsk_Name,(ROW()-ROW(MSPTasks[[#Headers],[ID]])))="",TRUE()),"",INDEX(tsk_Name,(ROW()-ROW(MSPTasks[[#Headers],[ID]]))))</f>
        <v/>
      </c>
      <c r="D107" s="24" t="str">
        <f aca="false">IF(IFERROR(INDEX(tsk_Name,(ROW()-ROW(MSPTasks[[#Headers],[ID]])))="",TRUE()),"",INDEX(tsk_Level,(ROW()-ROW(MSPTasks[[#Headers],[ID]]))))</f>
        <v/>
      </c>
      <c r="E107" s="24" t="str">
        <f aca="false">IF(IFERROR(INDEX(tsk_Name,(ROW()-ROW(MSPTasks[[#Headers],[ID]])))="",TRUE()),"",IF(INDEX(tsk_Mode,(ROW()-ROW(MSPTasks[[#Headers],[ID]])))="Manual","Manually Scheduled","Auto Scheduled"))</f>
        <v/>
      </c>
      <c r="F107" s="24" t="str">
        <f aca="false">IF(IFERROR(INDEX(tsk_Name,(ROW()-ROW(MSPTasks[[#Headers],[ID]])))="",TRUE()),"",IF(INDEX(tsk_IsSummary,(ROW()-ROW(MSPTasks[[#Headers],[ID]]))),"",N(INDEX(tsk_Duration,(ROW()-ROW(MSPTasks[[#Headers],[ID]]))))&amp;"d"))</f>
        <v/>
      </c>
      <c r="G107" s="127" t="str">
        <f aca="false">IF(IFERROR(INDEX(tsk_Name,(ROW()-ROW(MSPTasks[[#Headers],[ID]])))="",TRUE()),"",INDEX(tsk_FcStart,(ROW()-ROW(MSPTasks[[#Headers],[ID]]))))</f>
        <v/>
      </c>
      <c r="H107" s="127" t="str">
        <f aca="false">IF(IFERROR(INDEX(tsk_Name,(ROW()-ROW(MSPTasks[[#Headers],[ID]])))="",TRUE()),"",INDEX(tsk_FcFinish,(ROW()-ROW(MSPTasks[[#Headers],[ID]]))))</f>
        <v/>
      </c>
      <c r="I107" s="24" t="str">
        <f aca="false">IF(IFERROR(INDEX(tsk_Name,(ROW()-ROW(MSPTasks[[#Headers],[ID]])))="",TRUE()),"",IF(INDEX(tsk_IsSummary,(ROW()-ROW(MSPTasks[[#Headers],[ID]]))),"",INDEX(tsk_Predecessors,(ROW()-ROW(MSPTasks[[#Headers],[ID]])))))</f>
        <v/>
      </c>
      <c r="J107" s="24" t="str">
        <f aca="false">IF(IFERROR(INDEX(tsk_Name,(ROW()-ROW(MSPTasks[[#Headers],[ID]])))="",TRUE()),"",IF(INDEX(tsk_IsSummary,(ROW()-ROW(MSPTasks[[#Headers],[ID]]))),"",INDEX(tsk_UIDPredecessors,(ROW()-ROW(MSPTasks[[#Headers],[ID]])))))</f>
        <v/>
      </c>
      <c r="K10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7" s="24" t="str">
        <f aca="false">IF(IFERROR(INDEX(tsk_Name,(ROW()-ROW(MSPTasks[[#Headers],[ID]])))="",TRUE()),"",IF(INDEX(tsk_IsSummary,(ROW()-ROW(MSPTasks[[#Headers],[ID]]))),"",ROUND(INDEX(tsk_Progress,(ROW()-ROW(MSPTasks[[#Headers],[ID]])))*100,0)))</f>
        <v/>
      </c>
      <c r="M107" s="127" t="str">
        <f aca="false">IF(IFERROR(INDEX(tsk_Name,(ROW()-ROW(MSPTasks[[#Headers],[ID]])))="",TRUE()),"",IF(N(INDEX(tsk_ActStart,(ROW()-ROW(MSPTasks[[#Headers],[ID]]))))=0,"",INDEX(tsk_ActStart,(ROW()-ROW(MSPTasks[[#Headers],[ID]])))))</f>
        <v/>
      </c>
      <c r="N107" s="127" t="str">
        <f aca="false">IF(IFERROR(INDEX(tsk_Name,(ROW()-ROW(MSPTasks[[#Headers],[ID]])))="",TRUE()),"",IF(N(INDEX(tsk_ActFinish,(ROW()-ROW(MSPTasks[[#Headers],[ID]]))))=0,"",INDEX(tsk_ActFinish,(ROW()-ROW(MSPTasks[[#Headers],[ID]])))))</f>
        <v/>
      </c>
      <c r="O107" s="127" t="str">
        <f aca="false">IF(IFERROR(INDEX(tsk_Name,(ROW()-ROW(MSPTasks[[#Headers],[ID]])))="",TRUE()),"",INDEX(tsk_PlanStart,(ROW()-ROW(MSPTasks[[#Headers],[ID]]))))</f>
        <v/>
      </c>
      <c r="P107" s="127" t="str">
        <f aca="false">IF(IFERROR(INDEX(tsk_Name,(ROW()-ROW(MSPTasks[[#Headers],[ID]])))="",TRUE()),"",INDEX(tsk_PlanFinish,(ROW()-ROW(MSPTasks[[#Headers],[ID]]))))</f>
        <v/>
      </c>
      <c r="Q107" s="24" t="str">
        <f aca="false">IF(IFERROR(INDEX(tsk_Name,(ROW()-ROW(MSPTasks[[#Headers],[ID]])))="",TRUE()),"",IF(INDEX(tsk_BaseDuration,(ROW()-ROW(MSPTasks[[#Headers],[ID]])))="","",N(INDEX(tsk_BaseDuration,(ROW()-ROW(MSPTasks[[#Headers],[ID]]))))&amp;"d"))</f>
        <v/>
      </c>
      <c r="R107" s="24" t="str">
        <f aca="false">IF(IFERROR(INDEX(tsk_Name,(ROW()-ROW(MSPTasks[[#Headers],[ID]])))="",TRUE()),"",IF(INDEX(tsk_BaseWork,(ROW()-ROW(MSPTasks[[#Headers],[ID]])))="","",N(INDEX(tsk_BaseWork,(ROW()-ROW(MSPTasks[[#Headers],[ID]]))))&amp;"h"))</f>
        <v/>
      </c>
      <c r="S107" s="24" t="str">
        <f aca="false">IF(IFERROR(INDEX(tsk_Name,(ROW()-ROW(MSPTasks[[#Headers],[ID]])))="",TRUE()),"",IF(INDEX(tsk_BaseCost,(ROW()-ROW(MSPTasks[[#Headers],[ID]])))="","",N(INDEX(tsk_BaseCost,(ROW()-ROW(MSPTasks[[#Headers],[ID]]))))))</f>
        <v/>
      </c>
      <c r="T107" s="24" t="str">
        <f aca="false">IF(IFERROR(INDEX(tsk_Name,(ROW()-ROW(MSPTasks[[#Headers],[ID]])))="",TRUE()),"",IF(INDEX(tsk_IsSummary,(ROW()-ROW(MSPTasks[[#Headers],[ID]]))),"",IF(N(INDEX(tsk_ActCostInput,(ROW()-ROW(MSPTasks[[#Headers],[ID]]))))=0,"",INDEX(tsk_ActCostInput,(ROW()-ROW(MSPTasks[[#Headers],[ID]]))))))</f>
        <v/>
      </c>
      <c r="U107" s="24" t="str">
        <f aca="false">IF(IFERROR(INDEX(tsk_Name,(ROW()-ROW(MSPTasks[[#Headers],[ID]])))="",TRUE()),"",IF(INDEX(tsk_IsSummary,(ROW()-ROW(MSPTasks[[#Headers],[ID]]))),"",IF(AND(INDEX(tsk_Mode,(ROW()-ROW(MSPTasks[[#Headers],[ID]])))&lt;&gt;"Manual",N(INDEX(tsk_Constraint,(ROW()-ROW(MSPTasks[[#Headers],[ID]]))))&gt;0),"Start No Earlier Than","As Soon As Possible")))</f>
        <v/>
      </c>
      <c r="V107" s="127" t="str">
        <f aca="false">IF(IFERROR(INDEX(tsk_Name,(ROW()-ROW(MSPTasks[[#Headers],[ID]])))="",TRUE()),"",IF(OR(INDEX(tsk_IsSummary,(ROW()-ROW(MSPTasks[[#Headers],[ID]]))),INDEX(tsk_Mode,(ROW()-ROW(MSPTasks[[#Headers],[ID]])))="Manual"),"",IF(N(INDEX(tsk_Constraint,(ROW()-ROW(MSPTasks[[#Headers],[ID]]))))=0,"",INDEX(tsk_Constraint,(ROW()-ROW(MSPTasks[[#Headers],[ID]]))))))</f>
        <v/>
      </c>
      <c r="W107" s="127" t="str">
        <f aca="false">IF(IFERROR(INDEX(tsk_Name,(ROW()-ROW(MSPTasks[[#Headers],[ID]])))="",TRUE()),"",IF(N(INDEX(tsk_Deadline,(ROW()-ROW(MSPTasks[[#Headers],[ID]]))))=0,"",INDEX(tsk_Deadline,(ROW()-ROW(MSPTasks[[#Headers],[ID]])))))</f>
        <v/>
      </c>
      <c r="X107" s="24" t="str">
        <f aca="false">IF(IFERROR(INDEX(tsk_Name,(ROW()-ROW(MSPTasks[[#Headers],[ID]])))="",TRUE()),"",IF(INDEX(tsk_IsSummary,(ROW()-ROW(MSPTasks[[#Headers],[ID]]))),"",INDEX(tsk_Sprint,(ROW()-ROW(MSPTasks[[#Headers],[ID]])))&amp;""))</f>
        <v/>
      </c>
      <c r="Y107" s="24" t="str">
        <f aca="false">IF(IFERROR(INDEX(tsk_Name,(ROW()-ROW(MSPTasks[[#Headers],[ID]])))="",TRUE()),"",IF(INDEX(tsk_IsSummary,(ROW()-ROW(MSPTasks[[#Headers],[ID]]))),"",IF(N(INDEX(tsk_StoryPoints,(ROW()-ROW(MSPTasks[[#Headers],[ID]]))))=0,"",INDEX(tsk_StoryPoints,(ROW()-ROW(MSPTasks[[#Headers],[ID]]))))))</f>
        <v/>
      </c>
      <c r="Z107" s="24" t="str">
        <f aca="false">IF(IFERROR(INDEX(tsk_Name,(ROW()-ROW(MSPTasks[[#Headers],[ID]])))="",TRUE()),"",INDEX(tsk_Notes,(ROW()-ROW(MSPTasks[[#Headers],[ID]])))&amp;"")</f>
        <v/>
      </c>
    </row>
    <row r="108" customFormat="false" ht="15" hidden="false" customHeight="false" outlineLevel="0" collapsed="false">
      <c r="A108" s="24" t="str">
        <f aca="false">IF(IFERROR(INDEX(tsk_Name,(ROW()-ROW(MSPTasks[[#Headers],[ID]])))="",TRUE()),"",INDEX(tsk_ID,(ROW()-ROW(MSPTasks[[#Headers],[ID]]))))</f>
        <v/>
      </c>
      <c r="B108" s="24" t="str">
        <f aca="false">IF(IFERROR(INDEX(tsk_Name,(ROW()-ROW(MSPTasks[[#Headers],[ID]])))="",TRUE()),"",INDEX(tsk_UID,(ROW()-ROW(MSPTasks[[#Headers],[ID]]))))</f>
        <v/>
      </c>
      <c r="C108" s="24" t="str">
        <f aca="false">IF(IFERROR(INDEX(tsk_Name,(ROW()-ROW(MSPTasks[[#Headers],[ID]])))="",TRUE()),"",INDEX(tsk_Name,(ROW()-ROW(MSPTasks[[#Headers],[ID]]))))</f>
        <v/>
      </c>
      <c r="D108" s="24" t="str">
        <f aca="false">IF(IFERROR(INDEX(tsk_Name,(ROW()-ROW(MSPTasks[[#Headers],[ID]])))="",TRUE()),"",INDEX(tsk_Level,(ROW()-ROW(MSPTasks[[#Headers],[ID]]))))</f>
        <v/>
      </c>
      <c r="E108" s="24" t="str">
        <f aca="false">IF(IFERROR(INDEX(tsk_Name,(ROW()-ROW(MSPTasks[[#Headers],[ID]])))="",TRUE()),"",IF(INDEX(tsk_Mode,(ROW()-ROW(MSPTasks[[#Headers],[ID]])))="Manual","Manually Scheduled","Auto Scheduled"))</f>
        <v/>
      </c>
      <c r="F108" s="24" t="str">
        <f aca="false">IF(IFERROR(INDEX(tsk_Name,(ROW()-ROW(MSPTasks[[#Headers],[ID]])))="",TRUE()),"",IF(INDEX(tsk_IsSummary,(ROW()-ROW(MSPTasks[[#Headers],[ID]]))),"",N(INDEX(tsk_Duration,(ROW()-ROW(MSPTasks[[#Headers],[ID]]))))&amp;"d"))</f>
        <v/>
      </c>
      <c r="G108" s="127" t="str">
        <f aca="false">IF(IFERROR(INDEX(tsk_Name,(ROW()-ROW(MSPTasks[[#Headers],[ID]])))="",TRUE()),"",INDEX(tsk_FcStart,(ROW()-ROW(MSPTasks[[#Headers],[ID]]))))</f>
        <v/>
      </c>
      <c r="H108" s="127" t="str">
        <f aca="false">IF(IFERROR(INDEX(tsk_Name,(ROW()-ROW(MSPTasks[[#Headers],[ID]])))="",TRUE()),"",INDEX(tsk_FcFinish,(ROW()-ROW(MSPTasks[[#Headers],[ID]]))))</f>
        <v/>
      </c>
      <c r="I108" s="24" t="str">
        <f aca="false">IF(IFERROR(INDEX(tsk_Name,(ROW()-ROW(MSPTasks[[#Headers],[ID]])))="",TRUE()),"",IF(INDEX(tsk_IsSummary,(ROW()-ROW(MSPTasks[[#Headers],[ID]]))),"",INDEX(tsk_Predecessors,(ROW()-ROW(MSPTasks[[#Headers],[ID]])))))</f>
        <v/>
      </c>
      <c r="J108" s="24" t="str">
        <f aca="false">IF(IFERROR(INDEX(tsk_Name,(ROW()-ROW(MSPTasks[[#Headers],[ID]])))="",TRUE()),"",IF(INDEX(tsk_IsSummary,(ROW()-ROW(MSPTasks[[#Headers],[ID]]))),"",INDEX(tsk_UIDPredecessors,(ROW()-ROW(MSPTasks[[#Headers],[ID]])))))</f>
        <v/>
      </c>
      <c r="K10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8" s="24" t="str">
        <f aca="false">IF(IFERROR(INDEX(tsk_Name,(ROW()-ROW(MSPTasks[[#Headers],[ID]])))="",TRUE()),"",IF(INDEX(tsk_IsSummary,(ROW()-ROW(MSPTasks[[#Headers],[ID]]))),"",ROUND(INDEX(tsk_Progress,(ROW()-ROW(MSPTasks[[#Headers],[ID]])))*100,0)))</f>
        <v/>
      </c>
      <c r="M108" s="127" t="str">
        <f aca="false">IF(IFERROR(INDEX(tsk_Name,(ROW()-ROW(MSPTasks[[#Headers],[ID]])))="",TRUE()),"",IF(N(INDEX(tsk_ActStart,(ROW()-ROW(MSPTasks[[#Headers],[ID]]))))=0,"",INDEX(tsk_ActStart,(ROW()-ROW(MSPTasks[[#Headers],[ID]])))))</f>
        <v/>
      </c>
      <c r="N108" s="127" t="str">
        <f aca="false">IF(IFERROR(INDEX(tsk_Name,(ROW()-ROW(MSPTasks[[#Headers],[ID]])))="",TRUE()),"",IF(N(INDEX(tsk_ActFinish,(ROW()-ROW(MSPTasks[[#Headers],[ID]]))))=0,"",INDEX(tsk_ActFinish,(ROW()-ROW(MSPTasks[[#Headers],[ID]])))))</f>
        <v/>
      </c>
      <c r="O108" s="127" t="str">
        <f aca="false">IF(IFERROR(INDEX(tsk_Name,(ROW()-ROW(MSPTasks[[#Headers],[ID]])))="",TRUE()),"",INDEX(tsk_PlanStart,(ROW()-ROW(MSPTasks[[#Headers],[ID]]))))</f>
        <v/>
      </c>
      <c r="P108" s="127" t="str">
        <f aca="false">IF(IFERROR(INDEX(tsk_Name,(ROW()-ROW(MSPTasks[[#Headers],[ID]])))="",TRUE()),"",INDEX(tsk_PlanFinish,(ROW()-ROW(MSPTasks[[#Headers],[ID]]))))</f>
        <v/>
      </c>
      <c r="Q108" s="24" t="str">
        <f aca="false">IF(IFERROR(INDEX(tsk_Name,(ROW()-ROW(MSPTasks[[#Headers],[ID]])))="",TRUE()),"",IF(INDEX(tsk_BaseDuration,(ROW()-ROW(MSPTasks[[#Headers],[ID]])))="","",N(INDEX(tsk_BaseDuration,(ROW()-ROW(MSPTasks[[#Headers],[ID]]))))&amp;"d"))</f>
        <v/>
      </c>
      <c r="R108" s="24" t="str">
        <f aca="false">IF(IFERROR(INDEX(tsk_Name,(ROW()-ROW(MSPTasks[[#Headers],[ID]])))="",TRUE()),"",IF(INDEX(tsk_BaseWork,(ROW()-ROW(MSPTasks[[#Headers],[ID]])))="","",N(INDEX(tsk_BaseWork,(ROW()-ROW(MSPTasks[[#Headers],[ID]]))))&amp;"h"))</f>
        <v/>
      </c>
      <c r="S108" s="24" t="str">
        <f aca="false">IF(IFERROR(INDEX(tsk_Name,(ROW()-ROW(MSPTasks[[#Headers],[ID]])))="",TRUE()),"",IF(INDEX(tsk_BaseCost,(ROW()-ROW(MSPTasks[[#Headers],[ID]])))="","",N(INDEX(tsk_BaseCost,(ROW()-ROW(MSPTasks[[#Headers],[ID]]))))))</f>
        <v/>
      </c>
      <c r="T108" s="24" t="str">
        <f aca="false">IF(IFERROR(INDEX(tsk_Name,(ROW()-ROW(MSPTasks[[#Headers],[ID]])))="",TRUE()),"",IF(INDEX(tsk_IsSummary,(ROW()-ROW(MSPTasks[[#Headers],[ID]]))),"",IF(N(INDEX(tsk_ActCostInput,(ROW()-ROW(MSPTasks[[#Headers],[ID]]))))=0,"",INDEX(tsk_ActCostInput,(ROW()-ROW(MSPTasks[[#Headers],[ID]]))))))</f>
        <v/>
      </c>
      <c r="U108" s="24" t="str">
        <f aca="false">IF(IFERROR(INDEX(tsk_Name,(ROW()-ROW(MSPTasks[[#Headers],[ID]])))="",TRUE()),"",IF(INDEX(tsk_IsSummary,(ROW()-ROW(MSPTasks[[#Headers],[ID]]))),"",IF(AND(INDEX(tsk_Mode,(ROW()-ROW(MSPTasks[[#Headers],[ID]])))&lt;&gt;"Manual",N(INDEX(tsk_Constraint,(ROW()-ROW(MSPTasks[[#Headers],[ID]]))))&gt;0),"Start No Earlier Than","As Soon As Possible")))</f>
        <v/>
      </c>
      <c r="V108" s="127" t="str">
        <f aca="false">IF(IFERROR(INDEX(tsk_Name,(ROW()-ROW(MSPTasks[[#Headers],[ID]])))="",TRUE()),"",IF(OR(INDEX(tsk_IsSummary,(ROW()-ROW(MSPTasks[[#Headers],[ID]]))),INDEX(tsk_Mode,(ROW()-ROW(MSPTasks[[#Headers],[ID]])))="Manual"),"",IF(N(INDEX(tsk_Constraint,(ROW()-ROW(MSPTasks[[#Headers],[ID]]))))=0,"",INDEX(tsk_Constraint,(ROW()-ROW(MSPTasks[[#Headers],[ID]]))))))</f>
        <v/>
      </c>
      <c r="W108" s="127" t="str">
        <f aca="false">IF(IFERROR(INDEX(tsk_Name,(ROW()-ROW(MSPTasks[[#Headers],[ID]])))="",TRUE()),"",IF(N(INDEX(tsk_Deadline,(ROW()-ROW(MSPTasks[[#Headers],[ID]]))))=0,"",INDEX(tsk_Deadline,(ROW()-ROW(MSPTasks[[#Headers],[ID]])))))</f>
        <v/>
      </c>
      <c r="X108" s="24" t="str">
        <f aca="false">IF(IFERROR(INDEX(tsk_Name,(ROW()-ROW(MSPTasks[[#Headers],[ID]])))="",TRUE()),"",IF(INDEX(tsk_IsSummary,(ROW()-ROW(MSPTasks[[#Headers],[ID]]))),"",INDEX(tsk_Sprint,(ROW()-ROW(MSPTasks[[#Headers],[ID]])))&amp;""))</f>
        <v/>
      </c>
      <c r="Y108" s="24" t="str">
        <f aca="false">IF(IFERROR(INDEX(tsk_Name,(ROW()-ROW(MSPTasks[[#Headers],[ID]])))="",TRUE()),"",IF(INDEX(tsk_IsSummary,(ROW()-ROW(MSPTasks[[#Headers],[ID]]))),"",IF(N(INDEX(tsk_StoryPoints,(ROW()-ROW(MSPTasks[[#Headers],[ID]]))))=0,"",INDEX(tsk_StoryPoints,(ROW()-ROW(MSPTasks[[#Headers],[ID]]))))))</f>
        <v/>
      </c>
      <c r="Z108" s="24" t="str">
        <f aca="false">IF(IFERROR(INDEX(tsk_Name,(ROW()-ROW(MSPTasks[[#Headers],[ID]])))="",TRUE()),"",INDEX(tsk_Notes,(ROW()-ROW(MSPTasks[[#Headers],[ID]])))&amp;"")</f>
        <v/>
      </c>
    </row>
    <row r="109" customFormat="false" ht="15" hidden="false" customHeight="false" outlineLevel="0" collapsed="false">
      <c r="A109" s="24" t="str">
        <f aca="false">IF(IFERROR(INDEX(tsk_Name,(ROW()-ROW(MSPTasks[[#Headers],[ID]])))="",TRUE()),"",INDEX(tsk_ID,(ROW()-ROW(MSPTasks[[#Headers],[ID]]))))</f>
        <v/>
      </c>
      <c r="B109" s="24" t="str">
        <f aca="false">IF(IFERROR(INDEX(tsk_Name,(ROW()-ROW(MSPTasks[[#Headers],[ID]])))="",TRUE()),"",INDEX(tsk_UID,(ROW()-ROW(MSPTasks[[#Headers],[ID]]))))</f>
        <v/>
      </c>
      <c r="C109" s="24" t="str">
        <f aca="false">IF(IFERROR(INDEX(tsk_Name,(ROW()-ROW(MSPTasks[[#Headers],[ID]])))="",TRUE()),"",INDEX(tsk_Name,(ROW()-ROW(MSPTasks[[#Headers],[ID]]))))</f>
        <v/>
      </c>
      <c r="D109" s="24" t="str">
        <f aca="false">IF(IFERROR(INDEX(tsk_Name,(ROW()-ROW(MSPTasks[[#Headers],[ID]])))="",TRUE()),"",INDEX(tsk_Level,(ROW()-ROW(MSPTasks[[#Headers],[ID]]))))</f>
        <v/>
      </c>
      <c r="E109" s="24" t="str">
        <f aca="false">IF(IFERROR(INDEX(tsk_Name,(ROW()-ROW(MSPTasks[[#Headers],[ID]])))="",TRUE()),"",IF(INDEX(tsk_Mode,(ROW()-ROW(MSPTasks[[#Headers],[ID]])))="Manual","Manually Scheduled","Auto Scheduled"))</f>
        <v/>
      </c>
      <c r="F109" s="24" t="str">
        <f aca="false">IF(IFERROR(INDEX(tsk_Name,(ROW()-ROW(MSPTasks[[#Headers],[ID]])))="",TRUE()),"",IF(INDEX(tsk_IsSummary,(ROW()-ROW(MSPTasks[[#Headers],[ID]]))),"",N(INDEX(tsk_Duration,(ROW()-ROW(MSPTasks[[#Headers],[ID]]))))&amp;"d"))</f>
        <v/>
      </c>
      <c r="G109" s="127" t="str">
        <f aca="false">IF(IFERROR(INDEX(tsk_Name,(ROW()-ROW(MSPTasks[[#Headers],[ID]])))="",TRUE()),"",INDEX(tsk_FcStart,(ROW()-ROW(MSPTasks[[#Headers],[ID]]))))</f>
        <v/>
      </c>
      <c r="H109" s="127" t="str">
        <f aca="false">IF(IFERROR(INDEX(tsk_Name,(ROW()-ROW(MSPTasks[[#Headers],[ID]])))="",TRUE()),"",INDEX(tsk_FcFinish,(ROW()-ROW(MSPTasks[[#Headers],[ID]]))))</f>
        <v/>
      </c>
      <c r="I109" s="24" t="str">
        <f aca="false">IF(IFERROR(INDEX(tsk_Name,(ROW()-ROW(MSPTasks[[#Headers],[ID]])))="",TRUE()),"",IF(INDEX(tsk_IsSummary,(ROW()-ROW(MSPTasks[[#Headers],[ID]]))),"",INDEX(tsk_Predecessors,(ROW()-ROW(MSPTasks[[#Headers],[ID]])))))</f>
        <v/>
      </c>
      <c r="J109" s="24" t="str">
        <f aca="false">IF(IFERROR(INDEX(tsk_Name,(ROW()-ROW(MSPTasks[[#Headers],[ID]])))="",TRUE()),"",IF(INDEX(tsk_IsSummary,(ROW()-ROW(MSPTasks[[#Headers],[ID]]))),"",INDEX(tsk_UIDPredecessors,(ROW()-ROW(MSPTasks[[#Headers],[ID]])))))</f>
        <v/>
      </c>
      <c r="K10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9" s="24" t="str">
        <f aca="false">IF(IFERROR(INDEX(tsk_Name,(ROW()-ROW(MSPTasks[[#Headers],[ID]])))="",TRUE()),"",IF(INDEX(tsk_IsSummary,(ROW()-ROW(MSPTasks[[#Headers],[ID]]))),"",ROUND(INDEX(tsk_Progress,(ROW()-ROW(MSPTasks[[#Headers],[ID]])))*100,0)))</f>
        <v/>
      </c>
      <c r="M109" s="127" t="str">
        <f aca="false">IF(IFERROR(INDEX(tsk_Name,(ROW()-ROW(MSPTasks[[#Headers],[ID]])))="",TRUE()),"",IF(N(INDEX(tsk_ActStart,(ROW()-ROW(MSPTasks[[#Headers],[ID]]))))=0,"",INDEX(tsk_ActStart,(ROW()-ROW(MSPTasks[[#Headers],[ID]])))))</f>
        <v/>
      </c>
      <c r="N109" s="127" t="str">
        <f aca="false">IF(IFERROR(INDEX(tsk_Name,(ROW()-ROW(MSPTasks[[#Headers],[ID]])))="",TRUE()),"",IF(N(INDEX(tsk_ActFinish,(ROW()-ROW(MSPTasks[[#Headers],[ID]]))))=0,"",INDEX(tsk_ActFinish,(ROW()-ROW(MSPTasks[[#Headers],[ID]])))))</f>
        <v/>
      </c>
      <c r="O109" s="127" t="str">
        <f aca="false">IF(IFERROR(INDEX(tsk_Name,(ROW()-ROW(MSPTasks[[#Headers],[ID]])))="",TRUE()),"",INDEX(tsk_PlanStart,(ROW()-ROW(MSPTasks[[#Headers],[ID]]))))</f>
        <v/>
      </c>
      <c r="P109" s="127" t="str">
        <f aca="false">IF(IFERROR(INDEX(tsk_Name,(ROW()-ROW(MSPTasks[[#Headers],[ID]])))="",TRUE()),"",INDEX(tsk_PlanFinish,(ROW()-ROW(MSPTasks[[#Headers],[ID]]))))</f>
        <v/>
      </c>
      <c r="Q109" s="24" t="str">
        <f aca="false">IF(IFERROR(INDEX(tsk_Name,(ROW()-ROW(MSPTasks[[#Headers],[ID]])))="",TRUE()),"",IF(INDEX(tsk_BaseDuration,(ROW()-ROW(MSPTasks[[#Headers],[ID]])))="","",N(INDEX(tsk_BaseDuration,(ROW()-ROW(MSPTasks[[#Headers],[ID]]))))&amp;"d"))</f>
        <v/>
      </c>
      <c r="R109" s="24" t="str">
        <f aca="false">IF(IFERROR(INDEX(tsk_Name,(ROW()-ROW(MSPTasks[[#Headers],[ID]])))="",TRUE()),"",IF(INDEX(tsk_BaseWork,(ROW()-ROW(MSPTasks[[#Headers],[ID]])))="","",N(INDEX(tsk_BaseWork,(ROW()-ROW(MSPTasks[[#Headers],[ID]]))))&amp;"h"))</f>
        <v/>
      </c>
      <c r="S109" s="24" t="str">
        <f aca="false">IF(IFERROR(INDEX(tsk_Name,(ROW()-ROW(MSPTasks[[#Headers],[ID]])))="",TRUE()),"",IF(INDEX(tsk_BaseCost,(ROW()-ROW(MSPTasks[[#Headers],[ID]])))="","",N(INDEX(tsk_BaseCost,(ROW()-ROW(MSPTasks[[#Headers],[ID]]))))))</f>
        <v/>
      </c>
      <c r="T109" s="24" t="str">
        <f aca="false">IF(IFERROR(INDEX(tsk_Name,(ROW()-ROW(MSPTasks[[#Headers],[ID]])))="",TRUE()),"",IF(INDEX(tsk_IsSummary,(ROW()-ROW(MSPTasks[[#Headers],[ID]]))),"",IF(N(INDEX(tsk_ActCostInput,(ROW()-ROW(MSPTasks[[#Headers],[ID]]))))=0,"",INDEX(tsk_ActCostInput,(ROW()-ROW(MSPTasks[[#Headers],[ID]]))))))</f>
        <v/>
      </c>
      <c r="U109" s="24" t="str">
        <f aca="false">IF(IFERROR(INDEX(tsk_Name,(ROW()-ROW(MSPTasks[[#Headers],[ID]])))="",TRUE()),"",IF(INDEX(tsk_IsSummary,(ROW()-ROW(MSPTasks[[#Headers],[ID]]))),"",IF(AND(INDEX(tsk_Mode,(ROW()-ROW(MSPTasks[[#Headers],[ID]])))&lt;&gt;"Manual",N(INDEX(tsk_Constraint,(ROW()-ROW(MSPTasks[[#Headers],[ID]]))))&gt;0),"Start No Earlier Than","As Soon As Possible")))</f>
        <v/>
      </c>
      <c r="V109" s="127" t="str">
        <f aca="false">IF(IFERROR(INDEX(tsk_Name,(ROW()-ROW(MSPTasks[[#Headers],[ID]])))="",TRUE()),"",IF(OR(INDEX(tsk_IsSummary,(ROW()-ROW(MSPTasks[[#Headers],[ID]]))),INDEX(tsk_Mode,(ROW()-ROW(MSPTasks[[#Headers],[ID]])))="Manual"),"",IF(N(INDEX(tsk_Constraint,(ROW()-ROW(MSPTasks[[#Headers],[ID]]))))=0,"",INDEX(tsk_Constraint,(ROW()-ROW(MSPTasks[[#Headers],[ID]]))))))</f>
        <v/>
      </c>
      <c r="W109" s="127" t="str">
        <f aca="false">IF(IFERROR(INDEX(tsk_Name,(ROW()-ROW(MSPTasks[[#Headers],[ID]])))="",TRUE()),"",IF(N(INDEX(tsk_Deadline,(ROW()-ROW(MSPTasks[[#Headers],[ID]]))))=0,"",INDEX(tsk_Deadline,(ROW()-ROW(MSPTasks[[#Headers],[ID]])))))</f>
        <v/>
      </c>
      <c r="X109" s="24" t="str">
        <f aca="false">IF(IFERROR(INDEX(tsk_Name,(ROW()-ROW(MSPTasks[[#Headers],[ID]])))="",TRUE()),"",IF(INDEX(tsk_IsSummary,(ROW()-ROW(MSPTasks[[#Headers],[ID]]))),"",INDEX(tsk_Sprint,(ROW()-ROW(MSPTasks[[#Headers],[ID]])))&amp;""))</f>
        <v/>
      </c>
      <c r="Y109" s="24" t="str">
        <f aca="false">IF(IFERROR(INDEX(tsk_Name,(ROW()-ROW(MSPTasks[[#Headers],[ID]])))="",TRUE()),"",IF(INDEX(tsk_IsSummary,(ROW()-ROW(MSPTasks[[#Headers],[ID]]))),"",IF(N(INDEX(tsk_StoryPoints,(ROW()-ROW(MSPTasks[[#Headers],[ID]]))))=0,"",INDEX(tsk_StoryPoints,(ROW()-ROW(MSPTasks[[#Headers],[ID]]))))))</f>
        <v/>
      </c>
      <c r="Z109" s="24" t="str">
        <f aca="false">IF(IFERROR(INDEX(tsk_Name,(ROW()-ROW(MSPTasks[[#Headers],[ID]])))="",TRUE()),"",INDEX(tsk_Notes,(ROW()-ROW(MSPTasks[[#Headers],[ID]])))&amp;"")</f>
        <v/>
      </c>
    </row>
    <row r="110" customFormat="false" ht="15" hidden="false" customHeight="false" outlineLevel="0" collapsed="false">
      <c r="A110" s="24" t="str">
        <f aca="false">IF(IFERROR(INDEX(tsk_Name,(ROW()-ROW(MSPTasks[[#Headers],[ID]])))="",TRUE()),"",INDEX(tsk_ID,(ROW()-ROW(MSPTasks[[#Headers],[ID]]))))</f>
        <v/>
      </c>
      <c r="B110" s="24" t="str">
        <f aca="false">IF(IFERROR(INDEX(tsk_Name,(ROW()-ROW(MSPTasks[[#Headers],[ID]])))="",TRUE()),"",INDEX(tsk_UID,(ROW()-ROW(MSPTasks[[#Headers],[ID]]))))</f>
        <v/>
      </c>
      <c r="C110" s="24" t="str">
        <f aca="false">IF(IFERROR(INDEX(tsk_Name,(ROW()-ROW(MSPTasks[[#Headers],[ID]])))="",TRUE()),"",INDEX(tsk_Name,(ROW()-ROW(MSPTasks[[#Headers],[ID]]))))</f>
        <v/>
      </c>
      <c r="D110" s="24" t="str">
        <f aca="false">IF(IFERROR(INDEX(tsk_Name,(ROW()-ROW(MSPTasks[[#Headers],[ID]])))="",TRUE()),"",INDEX(tsk_Level,(ROW()-ROW(MSPTasks[[#Headers],[ID]]))))</f>
        <v/>
      </c>
      <c r="E110" s="24" t="str">
        <f aca="false">IF(IFERROR(INDEX(tsk_Name,(ROW()-ROW(MSPTasks[[#Headers],[ID]])))="",TRUE()),"",IF(INDEX(tsk_Mode,(ROW()-ROW(MSPTasks[[#Headers],[ID]])))="Manual","Manually Scheduled","Auto Scheduled"))</f>
        <v/>
      </c>
      <c r="F110" s="24" t="str">
        <f aca="false">IF(IFERROR(INDEX(tsk_Name,(ROW()-ROW(MSPTasks[[#Headers],[ID]])))="",TRUE()),"",IF(INDEX(tsk_IsSummary,(ROW()-ROW(MSPTasks[[#Headers],[ID]]))),"",N(INDEX(tsk_Duration,(ROW()-ROW(MSPTasks[[#Headers],[ID]]))))&amp;"d"))</f>
        <v/>
      </c>
      <c r="G110" s="127" t="str">
        <f aca="false">IF(IFERROR(INDEX(tsk_Name,(ROW()-ROW(MSPTasks[[#Headers],[ID]])))="",TRUE()),"",INDEX(tsk_FcStart,(ROW()-ROW(MSPTasks[[#Headers],[ID]]))))</f>
        <v/>
      </c>
      <c r="H110" s="127" t="str">
        <f aca="false">IF(IFERROR(INDEX(tsk_Name,(ROW()-ROW(MSPTasks[[#Headers],[ID]])))="",TRUE()),"",INDEX(tsk_FcFinish,(ROW()-ROW(MSPTasks[[#Headers],[ID]]))))</f>
        <v/>
      </c>
      <c r="I110" s="24" t="str">
        <f aca="false">IF(IFERROR(INDEX(tsk_Name,(ROW()-ROW(MSPTasks[[#Headers],[ID]])))="",TRUE()),"",IF(INDEX(tsk_IsSummary,(ROW()-ROW(MSPTasks[[#Headers],[ID]]))),"",INDEX(tsk_Predecessors,(ROW()-ROW(MSPTasks[[#Headers],[ID]])))))</f>
        <v/>
      </c>
      <c r="J110" s="24" t="str">
        <f aca="false">IF(IFERROR(INDEX(tsk_Name,(ROW()-ROW(MSPTasks[[#Headers],[ID]])))="",TRUE()),"",IF(INDEX(tsk_IsSummary,(ROW()-ROW(MSPTasks[[#Headers],[ID]]))),"",INDEX(tsk_UIDPredecessors,(ROW()-ROW(MSPTasks[[#Headers],[ID]])))))</f>
        <v/>
      </c>
      <c r="K11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0" s="24" t="str">
        <f aca="false">IF(IFERROR(INDEX(tsk_Name,(ROW()-ROW(MSPTasks[[#Headers],[ID]])))="",TRUE()),"",IF(INDEX(tsk_IsSummary,(ROW()-ROW(MSPTasks[[#Headers],[ID]]))),"",ROUND(INDEX(tsk_Progress,(ROW()-ROW(MSPTasks[[#Headers],[ID]])))*100,0)))</f>
        <v/>
      </c>
      <c r="M110" s="127" t="str">
        <f aca="false">IF(IFERROR(INDEX(tsk_Name,(ROW()-ROW(MSPTasks[[#Headers],[ID]])))="",TRUE()),"",IF(N(INDEX(tsk_ActStart,(ROW()-ROW(MSPTasks[[#Headers],[ID]]))))=0,"",INDEX(tsk_ActStart,(ROW()-ROW(MSPTasks[[#Headers],[ID]])))))</f>
        <v/>
      </c>
      <c r="N110" s="127" t="str">
        <f aca="false">IF(IFERROR(INDEX(tsk_Name,(ROW()-ROW(MSPTasks[[#Headers],[ID]])))="",TRUE()),"",IF(N(INDEX(tsk_ActFinish,(ROW()-ROW(MSPTasks[[#Headers],[ID]]))))=0,"",INDEX(tsk_ActFinish,(ROW()-ROW(MSPTasks[[#Headers],[ID]])))))</f>
        <v/>
      </c>
      <c r="O110" s="127" t="str">
        <f aca="false">IF(IFERROR(INDEX(tsk_Name,(ROW()-ROW(MSPTasks[[#Headers],[ID]])))="",TRUE()),"",INDEX(tsk_PlanStart,(ROW()-ROW(MSPTasks[[#Headers],[ID]]))))</f>
        <v/>
      </c>
      <c r="P110" s="127" t="str">
        <f aca="false">IF(IFERROR(INDEX(tsk_Name,(ROW()-ROW(MSPTasks[[#Headers],[ID]])))="",TRUE()),"",INDEX(tsk_PlanFinish,(ROW()-ROW(MSPTasks[[#Headers],[ID]]))))</f>
        <v/>
      </c>
      <c r="Q110" s="24" t="str">
        <f aca="false">IF(IFERROR(INDEX(tsk_Name,(ROW()-ROW(MSPTasks[[#Headers],[ID]])))="",TRUE()),"",IF(INDEX(tsk_BaseDuration,(ROW()-ROW(MSPTasks[[#Headers],[ID]])))="","",N(INDEX(tsk_BaseDuration,(ROW()-ROW(MSPTasks[[#Headers],[ID]]))))&amp;"d"))</f>
        <v/>
      </c>
      <c r="R110" s="24" t="str">
        <f aca="false">IF(IFERROR(INDEX(tsk_Name,(ROW()-ROW(MSPTasks[[#Headers],[ID]])))="",TRUE()),"",IF(INDEX(tsk_BaseWork,(ROW()-ROW(MSPTasks[[#Headers],[ID]])))="","",N(INDEX(tsk_BaseWork,(ROW()-ROW(MSPTasks[[#Headers],[ID]]))))&amp;"h"))</f>
        <v/>
      </c>
      <c r="S110" s="24" t="str">
        <f aca="false">IF(IFERROR(INDEX(tsk_Name,(ROW()-ROW(MSPTasks[[#Headers],[ID]])))="",TRUE()),"",IF(INDEX(tsk_BaseCost,(ROW()-ROW(MSPTasks[[#Headers],[ID]])))="","",N(INDEX(tsk_BaseCost,(ROW()-ROW(MSPTasks[[#Headers],[ID]]))))))</f>
        <v/>
      </c>
      <c r="T110" s="24" t="str">
        <f aca="false">IF(IFERROR(INDEX(tsk_Name,(ROW()-ROW(MSPTasks[[#Headers],[ID]])))="",TRUE()),"",IF(INDEX(tsk_IsSummary,(ROW()-ROW(MSPTasks[[#Headers],[ID]]))),"",IF(N(INDEX(tsk_ActCostInput,(ROW()-ROW(MSPTasks[[#Headers],[ID]]))))=0,"",INDEX(tsk_ActCostInput,(ROW()-ROW(MSPTasks[[#Headers],[ID]]))))))</f>
        <v/>
      </c>
      <c r="U110" s="24" t="str">
        <f aca="false">IF(IFERROR(INDEX(tsk_Name,(ROW()-ROW(MSPTasks[[#Headers],[ID]])))="",TRUE()),"",IF(INDEX(tsk_IsSummary,(ROW()-ROW(MSPTasks[[#Headers],[ID]]))),"",IF(AND(INDEX(tsk_Mode,(ROW()-ROW(MSPTasks[[#Headers],[ID]])))&lt;&gt;"Manual",N(INDEX(tsk_Constraint,(ROW()-ROW(MSPTasks[[#Headers],[ID]]))))&gt;0),"Start No Earlier Than","As Soon As Possible")))</f>
        <v/>
      </c>
      <c r="V110" s="127" t="str">
        <f aca="false">IF(IFERROR(INDEX(tsk_Name,(ROW()-ROW(MSPTasks[[#Headers],[ID]])))="",TRUE()),"",IF(OR(INDEX(tsk_IsSummary,(ROW()-ROW(MSPTasks[[#Headers],[ID]]))),INDEX(tsk_Mode,(ROW()-ROW(MSPTasks[[#Headers],[ID]])))="Manual"),"",IF(N(INDEX(tsk_Constraint,(ROW()-ROW(MSPTasks[[#Headers],[ID]]))))=0,"",INDEX(tsk_Constraint,(ROW()-ROW(MSPTasks[[#Headers],[ID]]))))))</f>
        <v/>
      </c>
      <c r="W110" s="127" t="str">
        <f aca="false">IF(IFERROR(INDEX(tsk_Name,(ROW()-ROW(MSPTasks[[#Headers],[ID]])))="",TRUE()),"",IF(N(INDEX(tsk_Deadline,(ROW()-ROW(MSPTasks[[#Headers],[ID]]))))=0,"",INDEX(tsk_Deadline,(ROW()-ROW(MSPTasks[[#Headers],[ID]])))))</f>
        <v/>
      </c>
      <c r="X110" s="24" t="str">
        <f aca="false">IF(IFERROR(INDEX(tsk_Name,(ROW()-ROW(MSPTasks[[#Headers],[ID]])))="",TRUE()),"",IF(INDEX(tsk_IsSummary,(ROW()-ROW(MSPTasks[[#Headers],[ID]]))),"",INDEX(tsk_Sprint,(ROW()-ROW(MSPTasks[[#Headers],[ID]])))&amp;""))</f>
        <v/>
      </c>
      <c r="Y110" s="24" t="str">
        <f aca="false">IF(IFERROR(INDEX(tsk_Name,(ROW()-ROW(MSPTasks[[#Headers],[ID]])))="",TRUE()),"",IF(INDEX(tsk_IsSummary,(ROW()-ROW(MSPTasks[[#Headers],[ID]]))),"",IF(N(INDEX(tsk_StoryPoints,(ROW()-ROW(MSPTasks[[#Headers],[ID]]))))=0,"",INDEX(tsk_StoryPoints,(ROW()-ROW(MSPTasks[[#Headers],[ID]]))))))</f>
        <v/>
      </c>
      <c r="Z110" s="24" t="str">
        <f aca="false">IF(IFERROR(INDEX(tsk_Name,(ROW()-ROW(MSPTasks[[#Headers],[ID]])))="",TRUE()),"",INDEX(tsk_Notes,(ROW()-ROW(MSPTasks[[#Headers],[ID]])))&amp;"")</f>
        <v/>
      </c>
    </row>
    <row r="111" customFormat="false" ht="15" hidden="false" customHeight="false" outlineLevel="0" collapsed="false">
      <c r="A111" s="24" t="str">
        <f aca="false">IF(IFERROR(INDEX(tsk_Name,(ROW()-ROW(MSPTasks[[#Headers],[ID]])))="",TRUE()),"",INDEX(tsk_ID,(ROW()-ROW(MSPTasks[[#Headers],[ID]]))))</f>
        <v/>
      </c>
      <c r="B111" s="24" t="str">
        <f aca="false">IF(IFERROR(INDEX(tsk_Name,(ROW()-ROW(MSPTasks[[#Headers],[ID]])))="",TRUE()),"",INDEX(tsk_UID,(ROW()-ROW(MSPTasks[[#Headers],[ID]]))))</f>
        <v/>
      </c>
      <c r="C111" s="24" t="str">
        <f aca="false">IF(IFERROR(INDEX(tsk_Name,(ROW()-ROW(MSPTasks[[#Headers],[ID]])))="",TRUE()),"",INDEX(tsk_Name,(ROW()-ROW(MSPTasks[[#Headers],[ID]]))))</f>
        <v/>
      </c>
      <c r="D111" s="24" t="str">
        <f aca="false">IF(IFERROR(INDEX(tsk_Name,(ROW()-ROW(MSPTasks[[#Headers],[ID]])))="",TRUE()),"",INDEX(tsk_Level,(ROW()-ROW(MSPTasks[[#Headers],[ID]]))))</f>
        <v/>
      </c>
      <c r="E111" s="24" t="str">
        <f aca="false">IF(IFERROR(INDEX(tsk_Name,(ROW()-ROW(MSPTasks[[#Headers],[ID]])))="",TRUE()),"",IF(INDEX(tsk_Mode,(ROW()-ROW(MSPTasks[[#Headers],[ID]])))="Manual","Manually Scheduled","Auto Scheduled"))</f>
        <v/>
      </c>
      <c r="F111" s="24" t="str">
        <f aca="false">IF(IFERROR(INDEX(tsk_Name,(ROW()-ROW(MSPTasks[[#Headers],[ID]])))="",TRUE()),"",IF(INDEX(tsk_IsSummary,(ROW()-ROW(MSPTasks[[#Headers],[ID]]))),"",N(INDEX(tsk_Duration,(ROW()-ROW(MSPTasks[[#Headers],[ID]]))))&amp;"d"))</f>
        <v/>
      </c>
      <c r="G111" s="127" t="str">
        <f aca="false">IF(IFERROR(INDEX(tsk_Name,(ROW()-ROW(MSPTasks[[#Headers],[ID]])))="",TRUE()),"",INDEX(tsk_FcStart,(ROW()-ROW(MSPTasks[[#Headers],[ID]]))))</f>
        <v/>
      </c>
      <c r="H111" s="127" t="str">
        <f aca="false">IF(IFERROR(INDEX(tsk_Name,(ROW()-ROW(MSPTasks[[#Headers],[ID]])))="",TRUE()),"",INDEX(tsk_FcFinish,(ROW()-ROW(MSPTasks[[#Headers],[ID]]))))</f>
        <v/>
      </c>
      <c r="I111" s="24" t="str">
        <f aca="false">IF(IFERROR(INDEX(tsk_Name,(ROW()-ROW(MSPTasks[[#Headers],[ID]])))="",TRUE()),"",IF(INDEX(tsk_IsSummary,(ROW()-ROW(MSPTasks[[#Headers],[ID]]))),"",INDEX(tsk_Predecessors,(ROW()-ROW(MSPTasks[[#Headers],[ID]])))))</f>
        <v/>
      </c>
      <c r="J111" s="24" t="str">
        <f aca="false">IF(IFERROR(INDEX(tsk_Name,(ROW()-ROW(MSPTasks[[#Headers],[ID]])))="",TRUE()),"",IF(INDEX(tsk_IsSummary,(ROW()-ROW(MSPTasks[[#Headers],[ID]]))),"",INDEX(tsk_UIDPredecessors,(ROW()-ROW(MSPTasks[[#Headers],[ID]])))))</f>
        <v/>
      </c>
      <c r="K11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1" s="24" t="str">
        <f aca="false">IF(IFERROR(INDEX(tsk_Name,(ROW()-ROW(MSPTasks[[#Headers],[ID]])))="",TRUE()),"",IF(INDEX(tsk_IsSummary,(ROW()-ROW(MSPTasks[[#Headers],[ID]]))),"",ROUND(INDEX(tsk_Progress,(ROW()-ROW(MSPTasks[[#Headers],[ID]])))*100,0)))</f>
        <v/>
      </c>
      <c r="M111" s="127" t="str">
        <f aca="false">IF(IFERROR(INDEX(tsk_Name,(ROW()-ROW(MSPTasks[[#Headers],[ID]])))="",TRUE()),"",IF(N(INDEX(tsk_ActStart,(ROW()-ROW(MSPTasks[[#Headers],[ID]]))))=0,"",INDEX(tsk_ActStart,(ROW()-ROW(MSPTasks[[#Headers],[ID]])))))</f>
        <v/>
      </c>
      <c r="N111" s="127" t="str">
        <f aca="false">IF(IFERROR(INDEX(tsk_Name,(ROW()-ROW(MSPTasks[[#Headers],[ID]])))="",TRUE()),"",IF(N(INDEX(tsk_ActFinish,(ROW()-ROW(MSPTasks[[#Headers],[ID]]))))=0,"",INDEX(tsk_ActFinish,(ROW()-ROW(MSPTasks[[#Headers],[ID]])))))</f>
        <v/>
      </c>
      <c r="O111" s="127" t="str">
        <f aca="false">IF(IFERROR(INDEX(tsk_Name,(ROW()-ROW(MSPTasks[[#Headers],[ID]])))="",TRUE()),"",INDEX(tsk_PlanStart,(ROW()-ROW(MSPTasks[[#Headers],[ID]]))))</f>
        <v/>
      </c>
      <c r="P111" s="127" t="str">
        <f aca="false">IF(IFERROR(INDEX(tsk_Name,(ROW()-ROW(MSPTasks[[#Headers],[ID]])))="",TRUE()),"",INDEX(tsk_PlanFinish,(ROW()-ROW(MSPTasks[[#Headers],[ID]]))))</f>
        <v/>
      </c>
      <c r="Q111" s="24" t="str">
        <f aca="false">IF(IFERROR(INDEX(tsk_Name,(ROW()-ROW(MSPTasks[[#Headers],[ID]])))="",TRUE()),"",IF(INDEX(tsk_BaseDuration,(ROW()-ROW(MSPTasks[[#Headers],[ID]])))="","",N(INDEX(tsk_BaseDuration,(ROW()-ROW(MSPTasks[[#Headers],[ID]]))))&amp;"d"))</f>
        <v/>
      </c>
      <c r="R111" s="24" t="str">
        <f aca="false">IF(IFERROR(INDEX(tsk_Name,(ROW()-ROW(MSPTasks[[#Headers],[ID]])))="",TRUE()),"",IF(INDEX(tsk_BaseWork,(ROW()-ROW(MSPTasks[[#Headers],[ID]])))="","",N(INDEX(tsk_BaseWork,(ROW()-ROW(MSPTasks[[#Headers],[ID]]))))&amp;"h"))</f>
        <v/>
      </c>
      <c r="S111" s="24" t="str">
        <f aca="false">IF(IFERROR(INDEX(tsk_Name,(ROW()-ROW(MSPTasks[[#Headers],[ID]])))="",TRUE()),"",IF(INDEX(tsk_BaseCost,(ROW()-ROW(MSPTasks[[#Headers],[ID]])))="","",N(INDEX(tsk_BaseCost,(ROW()-ROW(MSPTasks[[#Headers],[ID]]))))))</f>
        <v/>
      </c>
      <c r="T111" s="24" t="str">
        <f aca="false">IF(IFERROR(INDEX(tsk_Name,(ROW()-ROW(MSPTasks[[#Headers],[ID]])))="",TRUE()),"",IF(INDEX(tsk_IsSummary,(ROW()-ROW(MSPTasks[[#Headers],[ID]]))),"",IF(N(INDEX(tsk_ActCostInput,(ROW()-ROW(MSPTasks[[#Headers],[ID]]))))=0,"",INDEX(tsk_ActCostInput,(ROW()-ROW(MSPTasks[[#Headers],[ID]]))))))</f>
        <v/>
      </c>
      <c r="U111" s="24" t="str">
        <f aca="false">IF(IFERROR(INDEX(tsk_Name,(ROW()-ROW(MSPTasks[[#Headers],[ID]])))="",TRUE()),"",IF(INDEX(tsk_IsSummary,(ROW()-ROW(MSPTasks[[#Headers],[ID]]))),"",IF(AND(INDEX(tsk_Mode,(ROW()-ROW(MSPTasks[[#Headers],[ID]])))&lt;&gt;"Manual",N(INDEX(tsk_Constraint,(ROW()-ROW(MSPTasks[[#Headers],[ID]]))))&gt;0),"Start No Earlier Than","As Soon As Possible")))</f>
        <v/>
      </c>
      <c r="V111" s="127" t="str">
        <f aca="false">IF(IFERROR(INDEX(tsk_Name,(ROW()-ROW(MSPTasks[[#Headers],[ID]])))="",TRUE()),"",IF(OR(INDEX(tsk_IsSummary,(ROW()-ROW(MSPTasks[[#Headers],[ID]]))),INDEX(tsk_Mode,(ROW()-ROW(MSPTasks[[#Headers],[ID]])))="Manual"),"",IF(N(INDEX(tsk_Constraint,(ROW()-ROW(MSPTasks[[#Headers],[ID]]))))=0,"",INDEX(tsk_Constraint,(ROW()-ROW(MSPTasks[[#Headers],[ID]]))))))</f>
        <v/>
      </c>
      <c r="W111" s="127" t="str">
        <f aca="false">IF(IFERROR(INDEX(tsk_Name,(ROW()-ROW(MSPTasks[[#Headers],[ID]])))="",TRUE()),"",IF(N(INDEX(tsk_Deadline,(ROW()-ROW(MSPTasks[[#Headers],[ID]]))))=0,"",INDEX(tsk_Deadline,(ROW()-ROW(MSPTasks[[#Headers],[ID]])))))</f>
        <v/>
      </c>
      <c r="X111" s="24" t="str">
        <f aca="false">IF(IFERROR(INDEX(tsk_Name,(ROW()-ROW(MSPTasks[[#Headers],[ID]])))="",TRUE()),"",IF(INDEX(tsk_IsSummary,(ROW()-ROW(MSPTasks[[#Headers],[ID]]))),"",INDEX(tsk_Sprint,(ROW()-ROW(MSPTasks[[#Headers],[ID]])))&amp;""))</f>
        <v/>
      </c>
      <c r="Y111" s="24" t="str">
        <f aca="false">IF(IFERROR(INDEX(tsk_Name,(ROW()-ROW(MSPTasks[[#Headers],[ID]])))="",TRUE()),"",IF(INDEX(tsk_IsSummary,(ROW()-ROW(MSPTasks[[#Headers],[ID]]))),"",IF(N(INDEX(tsk_StoryPoints,(ROW()-ROW(MSPTasks[[#Headers],[ID]]))))=0,"",INDEX(tsk_StoryPoints,(ROW()-ROW(MSPTasks[[#Headers],[ID]]))))))</f>
        <v/>
      </c>
      <c r="Z111" s="24" t="str">
        <f aca="false">IF(IFERROR(INDEX(tsk_Name,(ROW()-ROW(MSPTasks[[#Headers],[ID]])))="",TRUE()),"",INDEX(tsk_Notes,(ROW()-ROW(MSPTasks[[#Headers],[ID]])))&amp;"")</f>
        <v/>
      </c>
    </row>
    <row r="112" customFormat="false" ht="15" hidden="false" customHeight="false" outlineLevel="0" collapsed="false">
      <c r="A112" s="24" t="str">
        <f aca="false">IF(IFERROR(INDEX(tsk_Name,(ROW()-ROW(MSPTasks[[#Headers],[ID]])))="",TRUE()),"",INDEX(tsk_ID,(ROW()-ROW(MSPTasks[[#Headers],[ID]]))))</f>
        <v/>
      </c>
      <c r="B112" s="24" t="str">
        <f aca="false">IF(IFERROR(INDEX(tsk_Name,(ROW()-ROW(MSPTasks[[#Headers],[ID]])))="",TRUE()),"",INDEX(tsk_UID,(ROW()-ROW(MSPTasks[[#Headers],[ID]]))))</f>
        <v/>
      </c>
      <c r="C112" s="24" t="str">
        <f aca="false">IF(IFERROR(INDEX(tsk_Name,(ROW()-ROW(MSPTasks[[#Headers],[ID]])))="",TRUE()),"",INDEX(tsk_Name,(ROW()-ROW(MSPTasks[[#Headers],[ID]]))))</f>
        <v/>
      </c>
      <c r="D112" s="24" t="str">
        <f aca="false">IF(IFERROR(INDEX(tsk_Name,(ROW()-ROW(MSPTasks[[#Headers],[ID]])))="",TRUE()),"",INDEX(tsk_Level,(ROW()-ROW(MSPTasks[[#Headers],[ID]]))))</f>
        <v/>
      </c>
      <c r="E112" s="24" t="str">
        <f aca="false">IF(IFERROR(INDEX(tsk_Name,(ROW()-ROW(MSPTasks[[#Headers],[ID]])))="",TRUE()),"",IF(INDEX(tsk_Mode,(ROW()-ROW(MSPTasks[[#Headers],[ID]])))="Manual","Manually Scheduled","Auto Scheduled"))</f>
        <v/>
      </c>
      <c r="F112" s="24" t="str">
        <f aca="false">IF(IFERROR(INDEX(tsk_Name,(ROW()-ROW(MSPTasks[[#Headers],[ID]])))="",TRUE()),"",IF(INDEX(tsk_IsSummary,(ROW()-ROW(MSPTasks[[#Headers],[ID]]))),"",N(INDEX(tsk_Duration,(ROW()-ROW(MSPTasks[[#Headers],[ID]]))))&amp;"d"))</f>
        <v/>
      </c>
      <c r="G112" s="127" t="str">
        <f aca="false">IF(IFERROR(INDEX(tsk_Name,(ROW()-ROW(MSPTasks[[#Headers],[ID]])))="",TRUE()),"",INDEX(tsk_FcStart,(ROW()-ROW(MSPTasks[[#Headers],[ID]]))))</f>
        <v/>
      </c>
      <c r="H112" s="127" t="str">
        <f aca="false">IF(IFERROR(INDEX(tsk_Name,(ROW()-ROW(MSPTasks[[#Headers],[ID]])))="",TRUE()),"",INDEX(tsk_FcFinish,(ROW()-ROW(MSPTasks[[#Headers],[ID]]))))</f>
        <v/>
      </c>
      <c r="I112" s="24" t="str">
        <f aca="false">IF(IFERROR(INDEX(tsk_Name,(ROW()-ROW(MSPTasks[[#Headers],[ID]])))="",TRUE()),"",IF(INDEX(tsk_IsSummary,(ROW()-ROW(MSPTasks[[#Headers],[ID]]))),"",INDEX(tsk_Predecessors,(ROW()-ROW(MSPTasks[[#Headers],[ID]])))))</f>
        <v/>
      </c>
      <c r="J112" s="24" t="str">
        <f aca="false">IF(IFERROR(INDEX(tsk_Name,(ROW()-ROW(MSPTasks[[#Headers],[ID]])))="",TRUE()),"",IF(INDEX(tsk_IsSummary,(ROW()-ROW(MSPTasks[[#Headers],[ID]]))),"",INDEX(tsk_UIDPredecessors,(ROW()-ROW(MSPTasks[[#Headers],[ID]])))))</f>
        <v/>
      </c>
      <c r="K11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2" s="24" t="str">
        <f aca="false">IF(IFERROR(INDEX(tsk_Name,(ROW()-ROW(MSPTasks[[#Headers],[ID]])))="",TRUE()),"",IF(INDEX(tsk_IsSummary,(ROW()-ROW(MSPTasks[[#Headers],[ID]]))),"",ROUND(INDEX(tsk_Progress,(ROW()-ROW(MSPTasks[[#Headers],[ID]])))*100,0)))</f>
        <v/>
      </c>
      <c r="M112" s="127" t="str">
        <f aca="false">IF(IFERROR(INDEX(tsk_Name,(ROW()-ROW(MSPTasks[[#Headers],[ID]])))="",TRUE()),"",IF(N(INDEX(tsk_ActStart,(ROW()-ROW(MSPTasks[[#Headers],[ID]]))))=0,"",INDEX(tsk_ActStart,(ROW()-ROW(MSPTasks[[#Headers],[ID]])))))</f>
        <v/>
      </c>
      <c r="N112" s="127" t="str">
        <f aca="false">IF(IFERROR(INDEX(tsk_Name,(ROW()-ROW(MSPTasks[[#Headers],[ID]])))="",TRUE()),"",IF(N(INDEX(tsk_ActFinish,(ROW()-ROW(MSPTasks[[#Headers],[ID]]))))=0,"",INDEX(tsk_ActFinish,(ROW()-ROW(MSPTasks[[#Headers],[ID]])))))</f>
        <v/>
      </c>
      <c r="O112" s="127" t="str">
        <f aca="false">IF(IFERROR(INDEX(tsk_Name,(ROW()-ROW(MSPTasks[[#Headers],[ID]])))="",TRUE()),"",INDEX(tsk_PlanStart,(ROW()-ROW(MSPTasks[[#Headers],[ID]]))))</f>
        <v/>
      </c>
      <c r="P112" s="127" t="str">
        <f aca="false">IF(IFERROR(INDEX(tsk_Name,(ROW()-ROW(MSPTasks[[#Headers],[ID]])))="",TRUE()),"",INDEX(tsk_PlanFinish,(ROW()-ROW(MSPTasks[[#Headers],[ID]]))))</f>
        <v/>
      </c>
      <c r="Q112" s="24" t="str">
        <f aca="false">IF(IFERROR(INDEX(tsk_Name,(ROW()-ROW(MSPTasks[[#Headers],[ID]])))="",TRUE()),"",IF(INDEX(tsk_BaseDuration,(ROW()-ROW(MSPTasks[[#Headers],[ID]])))="","",N(INDEX(tsk_BaseDuration,(ROW()-ROW(MSPTasks[[#Headers],[ID]]))))&amp;"d"))</f>
        <v/>
      </c>
      <c r="R112" s="24" t="str">
        <f aca="false">IF(IFERROR(INDEX(tsk_Name,(ROW()-ROW(MSPTasks[[#Headers],[ID]])))="",TRUE()),"",IF(INDEX(tsk_BaseWork,(ROW()-ROW(MSPTasks[[#Headers],[ID]])))="","",N(INDEX(tsk_BaseWork,(ROW()-ROW(MSPTasks[[#Headers],[ID]]))))&amp;"h"))</f>
        <v/>
      </c>
      <c r="S112" s="24" t="str">
        <f aca="false">IF(IFERROR(INDEX(tsk_Name,(ROW()-ROW(MSPTasks[[#Headers],[ID]])))="",TRUE()),"",IF(INDEX(tsk_BaseCost,(ROW()-ROW(MSPTasks[[#Headers],[ID]])))="","",N(INDEX(tsk_BaseCost,(ROW()-ROW(MSPTasks[[#Headers],[ID]]))))))</f>
        <v/>
      </c>
      <c r="T112" s="24" t="str">
        <f aca="false">IF(IFERROR(INDEX(tsk_Name,(ROW()-ROW(MSPTasks[[#Headers],[ID]])))="",TRUE()),"",IF(INDEX(tsk_IsSummary,(ROW()-ROW(MSPTasks[[#Headers],[ID]]))),"",IF(N(INDEX(tsk_ActCostInput,(ROW()-ROW(MSPTasks[[#Headers],[ID]]))))=0,"",INDEX(tsk_ActCostInput,(ROW()-ROW(MSPTasks[[#Headers],[ID]]))))))</f>
        <v/>
      </c>
      <c r="U112" s="24" t="str">
        <f aca="false">IF(IFERROR(INDEX(tsk_Name,(ROW()-ROW(MSPTasks[[#Headers],[ID]])))="",TRUE()),"",IF(INDEX(tsk_IsSummary,(ROW()-ROW(MSPTasks[[#Headers],[ID]]))),"",IF(AND(INDEX(tsk_Mode,(ROW()-ROW(MSPTasks[[#Headers],[ID]])))&lt;&gt;"Manual",N(INDEX(tsk_Constraint,(ROW()-ROW(MSPTasks[[#Headers],[ID]]))))&gt;0),"Start No Earlier Than","As Soon As Possible")))</f>
        <v/>
      </c>
      <c r="V112" s="127" t="str">
        <f aca="false">IF(IFERROR(INDEX(tsk_Name,(ROW()-ROW(MSPTasks[[#Headers],[ID]])))="",TRUE()),"",IF(OR(INDEX(tsk_IsSummary,(ROW()-ROW(MSPTasks[[#Headers],[ID]]))),INDEX(tsk_Mode,(ROW()-ROW(MSPTasks[[#Headers],[ID]])))="Manual"),"",IF(N(INDEX(tsk_Constraint,(ROW()-ROW(MSPTasks[[#Headers],[ID]]))))=0,"",INDEX(tsk_Constraint,(ROW()-ROW(MSPTasks[[#Headers],[ID]]))))))</f>
        <v/>
      </c>
      <c r="W112" s="127" t="str">
        <f aca="false">IF(IFERROR(INDEX(tsk_Name,(ROW()-ROW(MSPTasks[[#Headers],[ID]])))="",TRUE()),"",IF(N(INDEX(tsk_Deadline,(ROW()-ROW(MSPTasks[[#Headers],[ID]]))))=0,"",INDEX(tsk_Deadline,(ROW()-ROW(MSPTasks[[#Headers],[ID]])))))</f>
        <v/>
      </c>
      <c r="X112" s="24" t="str">
        <f aca="false">IF(IFERROR(INDEX(tsk_Name,(ROW()-ROW(MSPTasks[[#Headers],[ID]])))="",TRUE()),"",IF(INDEX(tsk_IsSummary,(ROW()-ROW(MSPTasks[[#Headers],[ID]]))),"",INDEX(tsk_Sprint,(ROW()-ROW(MSPTasks[[#Headers],[ID]])))&amp;""))</f>
        <v/>
      </c>
      <c r="Y112" s="24" t="str">
        <f aca="false">IF(IFERROR(INDEX(tsk_Name,(ROW()-ROW(MSPTasks[[#Headers],[ID]])))="",TRUE()),"",IF(INDEX(tsk_IsSummary,(ROW()-ROW(MSPTasks[[#Headers],[ID]]))),"",IF(N(INDEX(tsk_StoryPoints,(ROW()-ROW(MSPTasks[[#Headers],[ID]]))))=0,"",INDEX(tsk_StoryPoints,(ROW()-ROW(MSPTasks[[#Headers],[ID]]))))))</f>
        <v/>
      </c>
      <c r="Z112" s="24" t="str">
        <f aca="false">IF(IFERROR(INDEX(tsk_Name,(ROW()-ROW(MSPTasks[[#Headers],[ID]])))="",TRUE()),"",INDEX(tsk_Notes,(ROW()-ROW(MSPTasks[[#Headers],[ID]])))&amp;"")</f>
        <v/>
      </c>
    </row>
    <row r="113" customFormat="false" ht="15" hidden="false" customHeight="false" outlineLevel="0" collapsed="false">
      <c r="A113" s="24" t="str">
        <f aca="false">IF(IFERROR(INDEX(tsk_Name,(ROW()-ROW(MSPTasks[[#Headers],[ID]])))="",TRUE()),"",INDEX(tsk_ID,(ROW()-ROW(MSPTasks[[#Headers],[ID]]))))</f>
        <v/>
      </c>
      <c r="B113" s="24" t="str">
        <f aca="false">IF(IFERROR(INDEX(tsk_Name,(ROW()-ROW(MSPTasks[[#Headers],[ID]])))="",TRUE()),"",INDEX(tsk_UID,(ROW()-ROW(MSPTasks[[#Headers],[ID]]))))</f>
        <v/>
      </c>
      <c r="C113" s="24" t="str">
        <f aca="false">IF(IFERROR(INDEX(tsk_Name,(ROW()-ROW(MSPTasks[[#Headers],[ID]])))="",TRUE()),"",INDEX(tsk_Name,(ROW()-ROW(MSPTasks[[#Headers],[ID]]))))</f>
        <v/>
      </c>
      <c r="D113" s="24" t="str">
        <f aca="false">IF(IFERROR(INDEX(tsk_Name,(ROW()-ROW(MSPTasks[[#Headers],[ID]])))="",TRUE()),"",INDEX(tsk_Level,(ROW()-ROW(MSPTasks[[#Headers],[ID]]))))</f>
        <v/>
      </c>
      <c r="E113" s="24" t="str">
        <f aca="false">IF(IFERROR(INDEX(tsk_Name,(ROW()-ROW(MSPTasks[[#Headers],[ID]])))="",TRUE()),"",IF(INDEX(tsk_Mode,(ROW()-ROW(MSPTasks[[#Headers],[ID]])))="Manual","Manually Scheduled","Auto Scheduled"))</f>
        <v/>
      </c>
      <c r="F113" s="24" t="str">
        <f aca="false">IF(IFERROR(INDEX(tsk_Name,(ROW()-ROW(MSPTasks[[#Headers],[ID]])))="",TRUE()),"",IF(INDEX(tsk_IsSummary,(ROW()-ROW(MSPTasks[[#Headers],[ID]]))),"",N(INDEX(tsk_Duration,(ROW()-ROW(MSPTasks[[#Headers],[ID]]))))&amp;"d"))</f>
        <v/>
      </c>
      <c r="G113" s="127" t="str">
        <f aca="false">IF(IFERROR(INDEX(tsk_Name,(ROW()-ROW(MSPTasks[[#Headers],[ID]])))="",TRUE()),"",INDEX(tsk_FcStart,(ROW()-ROW(MSPTasks[[#Headers],[ID]]))))</f>
        <v/>
      </c>
      <c r="H113" s="127" t="str">
        <f aca="false">IF(IFERROR(INDEX(tsk_Name,(ROW()-ROW(MSPTasks[[#Headers],[ID]])))="",TRUE()),"",INDEX(tsk_FcFinish,(ROW()-ROW(MSPTasks[[#Headers],[ID]]))))</f>
        <v/>
      </c>
      <c r="I113" s="24" t="str">
        <f aca="false">IF(IFERROR(INDEX(tsk_Name,(ROW()-ROW(MSPTasks[[#Headers],[ID]])))="",TRUE()),"",IF(INDEX(tsk_IsSummary,(ROW()-ROW(MSPTasks[[#Headers],[ID]]))),"",INDEX(tsk_Predecessors,(ROW()-ROW(MSPTasks[[#Headers],[ID]])))))</f>
        <v/>
      </c>
      <c r="J113" s="24" t="str">
        <f aca="false">IF(IFERROR(INDEX(tsk_Name,(ROW()-ROW(MSPTasks[[#Headers],[ID]])))="",TRUE()),"",IF(INDEX(tsk_IsSummary,(ROW()-ROW(MSPTasks[[#Headers],[ID]]))),"",INDEX(tsk_UIDPredecessors,(ROW()-ROW(MSPTasks[[#Headers],[ID]])))))</f>
        <v/>
      </c>
      <c r="K11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3" s="24" t="str">
        <f aca="false">IF(IFERROR(INDEX(tsk_Name,(ROW()-ROW(MSPTasks[[#Headers],[ID]])))="",TRUE()),"",IF(INDEX(tsk_IsSummary,(ROW()-ROW(MSPTasks[[#Headers],[ID]]))),"",ROUND(INDEX(tsk_Progress,(ROW()-ROW(MSPTasks[[#Headers],[ID]])))*100,0)))</f>
        <v/>
      </c>
      <c r="M113" s="127" t="str">
        <f aca="false">IF(IFERROR(INDEX(tsk_Name,(ROW()-ROW(MSPTasks[[#Headers],[ID]])))="",TRUE()),"",IF(N(INDEX(tsk_ActStart,(ROW()-ROW(MSPTasks[[#Headers],[ID]]))))=0,"",INDEX(tsk_ActStart,(ROW()-ROW(MSPTasks[[#Headers],[ID]])))))</f>
        <v/>
      </c>
      <c r="N113" s="127" t="str">
        <f aca="false">IF(IFERROR(INDEX(tsk_Name,(ROW()-ROW(MSPTasks[[#Headers],[ID]])))="",TRUE()),"",IF(N(INDEX(tsk_ActFinish,(ROW()-ROW(MSPTasks[[#Headers],[ID]]))))=0,"",INDEX(tsk_ActFinish,(ROW()-ROW(MSPTasks[[#Headers],[ID]])))))</f>
        <v/>
      </c>
      <c r="O113" s="127" t="str">
        <f aca="false">IF(IFERROR(INDEX(tsk_Name,(ROW()-ROW(MSPTasks[[#Headers],[ID]])))="",TRUE()),"",INDEX(tsk_PlanStart,(ROW()-ROW(MSPTasks[[#Headers],[ID]]))))</f>
        <v/>
      </c>
      <c r="P113" s="127" t="str">
        <f aca="false">IF(IFERROR(INDEX(tsk_Name,(ROW()-ROW(MSPTasks[[#Headers],[ID]])))="",TRUE()),"",INDEX(tsk_PlanFinish,(ROW()-ROW(MSPTasks[[#Headers],[ID]]))))</f>
        <v/>
      </c>
      <c r="Q113" s="24" t="str">
        <f aca="false">IF(IFERROR(INDEX(tsk_Name,(ROW()-ROW(MSPTasks[[#Headers],[ID]])))="",TRUE()),"",IF(INDEX(tsk_BaseDuration,(ROW()-ROW(MSPTasks[[#Headers],[ID]])))="","",N(INDEX(tsk_BaseDuration,(ROW()-ROW(MSPTasks[[#Headers],[ID]]))))&amp;"d"))</f>
        <v/>
      </c>
      <c r="R113" s="24" t="str">
        <f aca="false">IF(IFERROR(INDEX(tsk_Name,(ROW()-ROW(MSPTasks[[#Headers],[ID]])))="",TRUE()),"",IF(INDEX(tsk_BaseWork,(ROW()-ROW(MSPTasks[[#Headers],[ID]])))="","",N(INDEX(tsk_BaseWork,(ROW()-ROW(MSPTasks[[#Headers],[ID]]))))&amp;"h"))</f>
        <v/>
      </c>
      <c r="S113" s="24" t="str">
        <f aca="false">IF(IFERROR(INDEX(tsk_Name,(ROW()-ROW(MSPTasks[[#Headers],[ID]])))="",TRUE()),"",IF(INDEX(tsk_BaseCost,(ROW()-ROW(MSPTasks[[#Headers],[ID]])))="","",N(INDEX(tsk_BaseCost,(ROW()-ROW(MSPTasks[[#Headers],[ID]]))))))</f>
        <v/>
      </c>
      <c r="T113" s="24" t="str">
        <f aca="false">IF(IFERROR(INDEX(tsk_Name,(ROW()-ROW(MSPTasks[[#Headers],[ID]])))="",TRUE()),"",IF(INDEX(tsk_IsSummary,(ROW()-ROW(MSPTasks[[#Headers],[ID]]))),"",IF(N(INDEX(tsk_ActCostInput,(ROW()-ROW(MSPTasks[[#Headers],[ID]]))))=0,"",INDEX(tsk_ActCostInput,(ROW()-ROW(MSPTasks[[#Headers],[ID]]))))))</f>
        <v/>
      </c>
      <c r="U113" s="24" t="str">
        <f aca="false">IF(IFERROR(INDEX(tsk_Name,(ROW()-ROW(MSPTasks[[#Headers],[ID]])))="",TRUE()),"",IF(INDEX(tsk_IsSummary,(ROW()-ROW(MSPTasks[[#Headers],[ID]]))),"",IF(AND(INDEX(tsk_Mode,(ROW()-ROW(MSPTasks[[#Headers],[ID]])))&lt;&gt;"Manual",N(INDEX(tsk_Constraint,(ROW()-ROW(MSPTasks[[#Headers],[ID]]))))&gt;0),"Start No Earlier Than","As Soon As Possible")))</f>
        <v/>
      </c>
      <c r="V113" s="127" t="str">
        <f aca="false">IF(IFERROR(INDEX(tsk_Name,(ROW()-ROW(MSPTasks[[#Headers],[ID]])))="",TRUE()),"",IF(OR(INDEX(tsk_IsSummary,(ROW()-ROW(MSPTasks[[#Headers],[ID]]))),INDEX(tsk_Mode,(ROW()-ROW(MSPTasks[[#Headers],[ID]])))="Manual"),"",IF(N(INDEX(tsk_Constraint,(ROW()-ROW(MSPTasks[[#Headers],[ID]]))))=0,"",INDEX(tsk_Constraint,(ROW()-ROW(MSPTasks[[#Headers],[ID]]))))))</f>
        <v/>
      </c>
      <c r="W113" s="127" t="str">
        <f aca="false">IF(IFERROR(INDEX(tsk_Name,(ROW()-ROW(MSPTasks[[#Headers],[ID]])))="",TRUE()),"",IF(N(INDEX(tsk_Deadline,(ROW()-ROW(MSPTasks[[#Headers],[ID]]))))=0,"",INDEX(tsk_Deadline,(ROW()-ROW(MSPTasks[[#Headers],[ID]])))))</f>
        <v/>
      </c>
      <c r="X113" s="24" t="str">
        <f aca="false">IF(IFERROR(INDEX(tsk_Name,(ROW()-ROW(MSPTasks[[#Headers],[ID]])))="",TRUE()),"",IF(INDEX(tsk_IsSummary,(ROW()-ROW(MSPTasks[[#Headers],[ID]]))),"",INDEX(tsk_Sprint,(ROW()-ROW(MSPTasks[[#Headers],[ID]])))&amp;""))</f>
        <v/>
      </c>
      <c r="Y113" s="24" t="str">
        <f aca="false">IF(IFERROR(INDEX(tsk_Name,(ROW()-ROW(MSPTasks[[#Headers],[ID]])))="",TRUE()),"",IF(INDEX(tsk_IsSummary,(ROW()-ROW(MSPTasks[[#Headers],[ID]]))),"",IF(N(INDEX(tsk_StoryPoints,(ROW()-ROW(MSPTasks[[#Headers],[ID]]))))=0,"",INDEX(tsk_StoryPoints,(ROW()-ROW(MSPTasks[[#Headers],[ID]]))))))</f>
        <v/>
      </c>
      <c r="Z113" s="24" t="str">
        <f aca="false">IF(IFERROR(INDEX(tsk_Name,(ROW()-ROW(MSPTasks[[#Headers],[ID]])))="",TRUE()),"",INDEX(tsk_Notes,(ROW()-ROW(MSPTasks[[#Headers],[ID]])))&amp;"")</f>
        <v/>
      </c>
    </row>
    <row r="114" customFormat="false" ht="15" hidden="false" customHeight="false" outlineLevel="0" collapsed="false">
      <c r="A114" s="24" t="str">
        <f aca="false">IF(IFERROR(INDEX(tsk_Name,(ROW()-ROW(MSPTasks[[#Headers],[ID]])))="",TRUE()),"",INDEX(tsk_ID,(ROW()-ROW(MSPTasks[[#Headers],[ID]]))))</f>
        <v/>
      </c>
      <c r="B114" s="24" t="str">
        <f aca="false">IF(IFERROR(INDEX(tsk_Name,(ROW()-ROW(MSPTasks[[#Headers],[ID]])))="",TRUE()),"",INDEX(tsk_UID,(ROW()-ROW(MSPTasks[[#Headers],[ID]]))))</f>
        <v/>
      </c>
      <c r="C114" s="24" t="str">
        <f aca="false">IF(IFERROR(INDEX(tsk_Name,(ROW()-ROW(MSPTasks[[#Headers],[ID]])))="",TRUE()),"",INDEX(tsk_Name,(ROW()-ROW(MSPTasks[[#Headers],[ID]]))))</f>
        <v/>
      </c>
      <c r="D114" s="24" t="str">
        <f aca="false">IF(IFERROR(INDEX(tsk_Name,(ROW()-ROW(MSPTasks[[#Headers],[ID]])))="",TRUE()),"",INDEX(tsk_Level,(ROW()-ROW(MSPTasks[[#Headers],[ID]]))))</f>
        <v/>
      </c>
      <c r="E114" s="24" t="str">
        <f aca="false">IF(IFERROR(INDEX(tsk_Name,(ROW()-ROW(MSPTasks[[#Headers],[ID]])))="",TRUE()),"",IF(INDEX(tsk_Mode,(ROW()-ROW(MSPTasks[[#Headers],[ID]])))="Manual","Manually Scheduled","Auto Scheduled"))</f>
        <v/>
      </c>
      <c r="F114" s="24" t="str">
        <f aca="false">IF(IFERROR(INDEX(tsk_Name,(ROW()-ROW(MSPTasks[[#Headers],[ID]])))="",TRUE()),"",IF(INDEX(tsk_IsSummary,(ROW()-ROW(MSPTasks[[#Headers],[ID]]))),"",N(INDEX(tsk_Duration,(ROW()-ROW(MSPTasks[[#Headers],[ID]]))))&amp;"d"))</f>
        <v/>
      </c>
      <c r="G114" s="127" t="str">
        <f aca="false">IF(IFERROR(INDEX(tsk_Name,(ROW()-ROW(MSPTasks[[#Headers],[ID]])))="",TRUE()),"",INDEX(tsk_FcStart,(ROW()-ROW(MSPTasks[[#Headers],[ID]]))))</f>
        <v/>
      </c>
      <c r="H114" s="127" t="str">
        <f aca="false">IF(IFERROR(INDEX(tsk_Name,(ROW()-ROW(MSPTasks[[#Headers],[ID]])))="",TRUE()),"",INDEX(tsk_FcFinish,(ROW()-ROW(MSPTasks[[#Headers],[ID]]))))</f>
        <v/>
      </c>
      <c r="I114" s="24" t="str">
        <f aca="false">IF(IFERROR(INDEX(tsk_Name,(ROW()-ROW(MSPTasks[[#Headers],[ID]])))="",TRUE()),"",IF(INDEX(tsk_IsSummary,(ROW()-ROW(MSPTasks[[#Headers],[ID]]))),"",INDEX(tsk_Predecessors,(ROW()-ROW(MSPTasks[[#Headers],[ID]])))))</f>
        <v/>
      </c>
      <c r="J114" s="24" t="str">
        <f aca="false">IF(IFERROR(INDEX(tsk_Name,(ROW()-ROW(MSPTasks[[#Headers],[ID]])))="",TRUE()),"",IF(INDEX(tsk_IsSummary,(ROW()-ROW(MSPTasks[[#Headers],[ID]]))),"",INDEX(tsk_UIDPredecessors,(ROW()-ROW(MSPTasks[[#Headers],[ID]])))))</f>
        <v/>
      </c>
      <c r="K11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4" s="24" t="str">
        <f aca="false">IF(IFERROR(INDEX(tsk_Name,(ROW()-ROW(MSPTasks[[#Headers],[ID]])))="",TRUE()),"",IF(INDEX(tsk_IsSummary,(ROW()-ROW(MSPTasks[[#Headers],[ID]]))),"",ROUND(INDEX(tsk_Progress,(ROW()-ROW(MSPTasks[[#Headers],[ID]])))*100,0)))</f>
        <v/>
      </c>
      <c r="M114" s="127" t="str">
        <f aca="false">IF(IFERROR(INDEX(tsk_Name,(ROW()-ROW(MSPTasks[[#Headers],[ID]])))="",TRUE()),"",IF(N(INDEX(tsk_ActStart,(ROW()-ROW(MSPTasks[[#Headers],[ID]]))))=0,"",INDEX(tsk_ActStart,(ROW()-ROW(MSPTasks[[#Headers],[ID]])))))</f>
        <v/>
      </c>
      <c r="N114" s="127" t="str">
        <f aca="false">IF(IFERROR(INDEX(tsk_Name,(ROW()-ROW(MSPTasks[[#Headers],[ID]])))="",TRUE()),"",IF(N(INDEX(tsk_ActFinish,(ROW()-ROW(MSPTasks[[#Headers],[ID]]))))=0,"",INDEX(tsk_ActFinish,(ROW()-ROW(MSPTasks[[#Headers],[ID]])))))</f>
        <v/>
      </c>
      <c r="O114" s="127" t="str">
        <f aca="false">IF(IFERROR(INDEX(tsk_Name,(ROW()-ROW(MSPTasks[[#Headers],[ID]])))="",TRUE()),"",INDEX(tsk_PlanStart,(ROW()-ROW(MSPTasks[[#Headers],[ID]]))))</f>
        <v/>
      </c>
      <c r="P114" s="127" t="str">
        <f aca="false">IF(IFERROR(INDEX(tsk_Name,(ROW()-ROW(MSPTasks[[#Headers],[ID]])))="",TRUE()),"",INDEX(tsk_PlanFinish,(ROW()-ROW(MSPTasks[[#Headers],[ID]]))))</f>
        <v/>
      </c>
      <c r="Q114" s="24" t="str">
        <f aca="false">IF(IFERROR(INDEX(tsk_Name,(ROW()-ROW(MSPTasks[[#Headers],[ID]])))="",TRUE()),"",IF(INDEX(tsk_BaseDuration,(ROW()-ROW(MSPTasks[[#Headers],[ID]])))="","",N(INDEX(tsk_BaseDuration,(ROW()-ROW(MSPTasks[[#Headers],[ID]]))))&amp;"d"))</f>
        <v/>
      </c>
      <c r="R114" s="24" t="str">
        <f aca="false">IF(IFERROR(INDEX(tsk_Name,(ROW()-ROW(MSPTasks[[#Headers],[ID]])))="",TRUE()),"",IF(INDEX(tsk_BaseWork,(ROW()-ROW(MSPTasks[[#Headers],[ID]])))="","",N(INDEX(tsk_BaseWork,(ROW()-ROW(MSPTasks[[#Headers],[ID]]))))&amp;"h"))</f>
        <v/>
      </c>
      <c r="S114" s="24" t="str">
        <f aca="false">IF(IFERROR(INDEX(tsk_Name,(ROW()-ROW(MSPTasks[[#Headers],[ID]])))="",TRUE()),"",IF(INDEX(tsk_BaseCost,(ROW()-ROW(MSPTasks[[#Headers],[ID]])))="","",N(INDEX(tsk_BaseCost,(ROW()-ROW(MSPTasks[[#Headers],[ID]]))))))</f>
        <v/>
      </c>
      <c r="T114" s="24" t="str">
        <f aca="false">IF(IFERROR(INDEX(tsk_Name,(ROW()-ROW(MSPTasks[[#Headers],[ID]])))="",TRUE()),"",IF(INDEX(tsk_IsSummary,(ROW()-ROW(MSPTasks[[#Headers],[ID]]))),"",IF(N(INDEX(tsk_ActCostInput,(ROW()-ROW(MSPTasks[[#Headers],[ID]]))))=0,"",INDEX(tsk_ActCostInput,(ROW()-ROW(MSPTasks[[#Headers],[ID]]))))))</f>
        <v/>
      </c>
      <c r="U114" s="24" t="str">
        <f aca="false">IF(IFERROR(INDEX(tsk_Name,(ROW()-ROW(MSPTasks[[#Headers],[ID]])))="",TRUE()),"",IF(INDEX(tsk_IsSummary,(ROW()-ROW(MSPTasks[[#Headers],[ID]]))),"",IF(AND(INDEX(tsk_Mode,(ROW()-ROW(MSPTasks[[#Headers],[ID]])))&lt;&gt;"Manual",N(INDEX(tsk_Constraint,(ROW()-ROW(MSPTasks[[#Headers],[ID]]))))&gt;0),"Start No Earlier Than","As Soon As Possible")))</f>
        <v/>
      </c>
      <c r="V114" s="127" t="str">
        <f aca="false">IF(IFERROR(INDEX(tsk_Name,(ROW()-ROW(MSPTasks[[#Headers],[ID]])))="",TRUE()),"",IF(OR(INDEX(tsk_IsSummary,(ROW()-ROW(MSPTasks[[#Headers],[ID]]))),INDEX(tsk_Mode,(ROW()-ROW(MSPTasks[[#Headers],[ID]])))="Manual"),"",IF(N(INDEX(tsk_Constraint,(ROW()-ROW(MSPTasks[[#Headers],[ID]]))))=0,"",INDEX(tsk_Constraint,(ROW()-ROW(MSPTasks[[#Headers],[ID]]))))))</f>
        <v/>
      </c>
      <c r="W114" s="127" t="str">
        <f aca="false">IF(IFERROR(INDEX(tsk_Name,(ROW()-ROW(MSPTasks[[#Headers],[ID]])))="",TRUE()),"",IF(N(INDEX(tsk_Deadline,(ROW()-ROW(MSPTasks[[#Headers],[ID]]))))=0,"",INDEX(tsk_Deadline,(ROW()-ROW(MSPTasks[[#Headers],[ID]])))))</f>
        <v/>
      </c>
      <c r="X114" s="24" t="str">
        <f aca="false">IF(IFERROR(INDEX(tsk_Name,(ROW()-ROW(MSPTasks[[#Headers],[ID]])))="",TRUE()),"",IF(INDEX(tsk_IsSummary,(ROW()-ROW(MSPTasks[[#Headers],[ID]]))),"",INDEX(tsk_Sprint,(ROW()-ROW(MSPTasks[[#Headers],[ID]])))&amp;""))</f>
        <v/>
      </c>
      <c r="Y114" s="24" t="str">
        <f aca="false">IF(IFERROR(INDEX(tsk_Name,(ROW()-ROW(MSPTasks[[#Headers],[ID]])))="",TRUE()),"",IF(INDEX(tsk_IsSummary,(ROW()-ROW(MSPTasks[[#Headers],[ID]]))),"",IF(N(INDEX(tsk_StoryPoints,(ROW()-ROW(MSPTasks[[#Headers],[ID]]))))=0,"",INDEX(tsk_StoryPoints,(ROW()-ROW(MSPTasks[[#Headers],[ID]]))))))</f>
        <v/>
      </c>
      <c r="Z114" s="24" t="str">
        <f aca="false">IF(IFERROR(INDEX(tsk_Name,(ROW()-ROW(MSPTasks[[#Headers],[ID]])))="",TRUE()),"",INDEX(tsk_Notes,(ROW()-ROW(MSPTasks[[#Headers],[ID]])))&amp;"")</f>
        <v/>
      </c>
    </row>
    <row r="115" customFormat="false" ht="15" hidden="false" customHeight="false" outlineLevel="0" collapsed="false">
      <c r="A115" s="24" t="str">
        <f aca="false">IF(IFERROR(INDEX(tsk_Name,(ROW()-ROW(MSPTasks[[#Headers],[ID]])))="",TRUE()),"",INDEX(tsk_ID,(ROW()-ROW(MSPTasks[[#Headers],[ID]]))))</f>
        <v/>
      </c>
      <c r="B115" s="24" t="str">
        <f aca="false">IF(IFERROR(INDEX(tsk_Name,(ROW()-ROW(MSPTasks[[#Headers],[ID]])))="",TRUE()),"",INDEX(tsk_UID,(ROW()-ROW(MSPTasks[[#Headers],[ID]]))))</f>
        <v/>
      </c>
      <c r="C115" s="24" t="str">
        <f aca="false">IF(IFERROR(INDEX(tsk_Name,(ROW()-ROW(MSPTasks[[#Headers],[ID]])))="",TRUE()),"",INDEX(tsk_Name,(ROW()-ROW(MSPTasks[[#Headers],[ID]]))))</f>
        <v/>
      </c>
      <c r="D115" s="24" t="str">
        <f aca="false">IF(IFERROR(INDEX(tsk_Name,(ROW()-ROW(MSPTasks[[#Headers],[ID]])))="",TRUE()),"",INDEX(tsk_Level,(ROW()-ROW(MSPTasks[[#Headers],[ID]]))))</f>
        <v/>
      </c>
      <c r="E115" s="24" t="str">
        <f aca="false">IF(IFERROR(INDEX(tsk_Name,(ROW()-ROW(MSPTasks[[#Headers],[ID]])))="",TRUE()),"",IF(INDEX(tsk_Mode,(ROW()-ROW(MSPTasks[[#Headers],[ID]])))="Manual","Manually Scheduled","Auto Scheduled"))</f>
        <v/>
      </c>
      <c r="F115" s="24" t="str">
        <f aca="false">IF(IFERROR(INDEX(tsk_Name,(ROW()-ROW(MSPTasks[[#Headers],[ID]])))="",TRUE()),"",IF(INDEX(tsk_IsSummary,(ROW()-ROW(MSPTasks[[#Headers],[ID]]))),"",N(INDEX(tsk_Duration,(ROW()-ROW(MSPTasks[[#Headers],[ID]]))))&amp;"d"))</f>
        <v/>
      </c>
      <c r="G115" s="127" t="str">
        <f aca="false">IF(IFERROR(INDEX(tsk_Name,(ROW()-ROW(MSPTasks[[#Headers],[ID]])))="",TRUE()),"",INDEX(tsk_FcStart,(ROW()-ROW(MSPTasks[[#Headers],[ID]]))))</f>
        <v/>
      </c>
      <c r="H115" s="127" t="str">
        <f aca="false">IF(IFERROR(INDEX(tsk_Name,(ROW()-ROW(MSPTasks[[#Headers],[ID]])))="",TRUE()),"",INDEX(tsk_FcFinish,(ROW()-ROW(MSPTasks[[#Headers],[ID]]))))</f>
        <v/>
      </c>
      <c r="I115" s="24" t="str">
        <f aca="false">IF(IFERROR(INDEX(tsk_Name,(ROW()-ROW(MSPTasks[[#Headers],[ID]])))="",TRUE()),"",IF(INDEX(tsk_IsSummary,(ROW()-ROW(MSPTasks[[#Headers],[ID]]))),"",INDEX(tsk_Predecessors,(ROW()-ROW(MSPTasks[[#Headers],[ID]])))))</f>
        <v/>
      </c>
      <c r="J115" s="24" t="str">
        <f aca="false">IF(IFERROR(INDEX(tsk_Name,(ROW()-ROW(MSPTasks[[#Headers],[ID]])))="",TRUE()),"",IF(INDEX(tsk_IsSummary,(ROW()-ROW(MSPTasks[[#Headers],[ID]]))),"",INDEX(tsk_UIDPredecessors,(ROW()-ROW(MSPTasks[[#Headers],[ID]])))))</f>
        <v/>
      </c>
      <c r="K11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5" s="24" t="str">
        <f aca="false">IF(IFERROR(INDEX(tsk_Name,(ROW()-ROW(MSPTasks[[#Headers],[ID]])))="",TRUE()),"",IF(INDEX(tsk_IsSummary,(ROW()-ROW(MSPTasks[[#Headers],[ID]]))),"",ROUND(INDEX(tsk_Progress,(ROW()-ROW(MSPTasks[[#Headers],[ID]])))*100,0)))</f>
        <v/>
      </c>
      <c r="M115" s="127" t="str">
        <f aca="false">IF(IFERROR(INDEX(tsk_Name,(ROW()-ROW(MSPTasks[[#Headers],[ID]])))="",TRUE()),"",IF(N(INDEX(tsk_ActStart,(ROW()-ROW(MSPTasks[[#Headers],[ID]]))))=0,"",INDEX(tsk_ActStart,(ROW()-ROW(MSPTasks[[#Headers],[ID]])))))</f>
        <v/>
      </c>
      <c r="N115" s="127" t="str">
        <f aca="false">IF(IFERROR(INDEX(tsk_Name,(ROW()-ROW(MSPTasks[[#Headers],[ID]])))="",TRUE()),"",IF(N(INDEX(tsk_ActFinish,(ROW()-ROW(MSPTasks[[#Headers],[ID]]))))=0,"",INDEX(tsk_ActFinish,(ROW()-ROW(MSPTasks[[#Headers],[ID]])))))</f>
        <v/>
      </c>
      <c r="O115" s="127" t="str">
        <f aca="false">IF(IFERROR(INDEX(tsk_Name,(ROW()-ROW(MSPTasks[[#Headers],[ID]])))="",TRUE()),"",INDEX(tsk_PlanStart,(ROW()-ROW(MSPTasks[[#Headers],[ID]]))))</f>
        <v/>
      </c>
      <c r="P115" s="127" t="str">
        <f aca="false">IF(IFERROR(INDEX(tsk_Name,(ROW()-ROW(MSPTasks[[#Headers],[ID]])))="",TRUE()),"",INDEX(tsk_PlanFinish,(ROW()-ROW(MSPTasks[[#Headers],[ID]]))))</f>
        <v/>
      </c>
      <c r="Q115" s="24" t="str">
        <f aca="false">IF(IFERROR(INDEX(tsk_Name,(ROW()-ROW(MSPTasks[[#Headers],[ID]])))="",TRUE()),"",IF(INDEX(tsk_BaseDuration,(ROW()-ROW(MSPTasks[[#Headers],[ID]])))="","",N(INDEX(tsk_BaseDuration,(ROW()-ROW(MSPTasks[[#Headers],[ID]]))))&amp;"d"))</f>
        <v/>
      </c>
      <c r="R115" s="24" t="str">
        <f aca="false">IF(IFERROR(INDEX(tsk_Name,(ROW()-ROW(MSPTasks[[#Headers],[ID]])))="",TRUE()),"",IF(INDEX(tsk_BaseWork,(ROW()-ROW(MSPTasks[[#Headers],[ID]])))="","",N(INDEX(tsk_BaseWork,(ROW()-ROW(MSPTasks[[#Headers],[ID]]))))&amp;"h"))</f>
        <v/>
      </c>
      <c r="S115" s="24" t="str">
        <f aca="false">IF(IFERROR(INDEX(tsk_Name,(ROW()-ROW(MSPTasks[[#Headers],[ID]])))="",TRUE()),"",IF(INDEX(tsk_BaseCost,(ROW()-ROW(MSPTasks[[#Headers],[ID]])))="","",N(INDEX(tsk_BaseCost,(ROW()-ROW(MSPTasks[[#Headers],[ID]]))))))</f>
        <v/>
      </c>
      <c r="T115" s="24" t="str">
        <f aca="false">IF(IFERROR(INDEX(tsk_Name,(ROW()-ROW(MSPTasks[[#Headers],[ID]])))="",TRUE()),"",IF(INDEX(tsk_IsSummary,(ROW()-ROW(MSPTasks[[#Headers],[ID]]))),"",IF(N(INDEX(tsk_ActCostInput,(ROW()-ROW(MSPTasks[[#Headers],[ID]]))))=0,"",INDEX(tsk_ActCostInput,(ROW()-ROW(MSPTasks[[#Headers],[ID]]))))))</f>
        <v/>
      </c>
      <c r="U115" s="24" t="str">
        <f aca="false">IF(IFERROR(INDEX(tsk_Name,(ROW()-ROW(MSPTasks[[#Headers],[ID]])))="",TRUE()),"",IF(INDEX(tsk_IsSummary,(ROW()-ROW(MSPTasks[[#Headers],[ID]]))),"",IF(AND(INDEX(tsk_Mode,(ROW()-ROW(MSPTasks[[#Headers],[ID]])))&lt;&gt;"Manual",N(INDEX(tsk_Constraint,(ROW()-ROW(MSPTasks[[#Headers],[ID]]))))&gt;0),"Start No Earlier Than","As Soon As Possible")))</f>
        <v/>
      </c>
      <c r="V115" s="127" t="str">
        <f aca="false">IF(IFERROR(INDEX(tsk_Name,(ROW()-ROW(MSPTasks[[#Headers],[ID]])))="",TRUE()),"",IF(OR(INDEX(tsk_IsSummary,(ROW()-ROW(MSPTasks[[#Headers],[ID]]))),INDEX(tsk_Mode,(ROW()-ROW(MSPTasks[[#Headers],[ID]])))="Manual"),"",IF(N(INDEX(tsk_Constraint,(ROW()-ROW(MSPTasks[[#Headers],[ID]]))))=0,"",INDEX(tsk_Constraint,(ROW()-ROW(MSPTasks[[#Headers],[ID]]))))))</f>
        <v/>
      </c>
      <c r="W115" s="127" t="str">
        <f aca="false">IF(IFERROR(INDEX(tsk_Name,(ROW()-ROW(MSPTasks[[#Headers],[ID]])))="",TRUE()),"",IF(N(INDEX(tsk_Deadline,(ROW()-ROW(MSPTasks[[#Headers],[ID]]))))=0,"",INDEX(tsk_Deadline,(ROW()-ROW(MSPTasks[[#Headers],[ID]])))))</f>
        <v/>
      </c>
      <c r="X115" s="24" t="str">
        <f aca="false">IF(IFERROR(INDEX(tsk_Name,(ROW()-ROW(MSPTasks[[#Headers],[ID]])))="",TRUE()),"",IF(INDEX(tsk_IsSummary,(ROW()-ROW(MSPTasks[[#Headers],[ID]]))),"",INDEX(tsk_Sprint,(ROW()-ROW(MSPTasks[[#Headers],[ID]])))&amp;""))</f>
        <v/>
      </c>
      <c r="Y115" s="24" t="str">
        <f aca="false">IF(IFERROR(INDEX(tsk_Name,(ROW()-ROW(MSPTasks[[#Headers],[ID]])))="",TRUE()),"",IF(INDEX(tsk_IsSummary,(ROW()-ROW(MSPTasks[[#Headers],[ID]]))),"",IF(N(INDEX(tsk_StoryPoints,(ROW()-ROW(MSPTasks[[#Headers],[ID]]))))=0,"",INDEX(tsk_StoryPoints,(ROW()-ROW(MSPTasks[[#Headers],[ID]]))))))</f>
        <v/>
      </c>
      <c r="Z115" s="24" t="str">
        <f aca="false">IF(IFERROR(INDEX(tsk_Name,(ROW()-ROW(MSPTasks[[#Headers],[ID]])))="",TRUE()),"",INDEX(tsk_Notes,(ROW()-ROW(MSPTasks[[#Headers],[ID]])))&amp;"")</f>
        <v/>
      </c>
    </row>
    <row r="116" customFormat="false" ht="15" hidden="false" customHeight="false" outlineLevel="0" collapsed="false">
      <c r="A116" s="24" t="str">
        <f aca="false">IF(IFERROR(INDEX(tsk_Name,(ROW()-ROW(MSPTasks[[#Headers],[ID]])))="",TRUE()),"",INDEX(tsk_ID,(ROW()-ROW(MSPTasks[[#Headers],[ID]]))))</f>
        <v/>
      </c>
      <c r="B116" s="24" t="str">
        <f aca="false">IF(IFERROR(INDEX(tsk_Name,(ROW()-ROW(MSPTasks[[#Headers],[ID]])))="",TRUE()),"",INDEX(tsk_UID,(ROW()-ROW(MSPTasks[[#Headers],[ID]]))))</f>
        <v/>
      </c>
      <c r="C116" s="24" t="str">
        <f aca="false">IF(IFERROR(INDEX(tsk_Name,(ROW()-ROW(MSPTasks[[#Headers],[ID]])))="",TRUE()),"",INDEX(tsk_Name,(ROW()-ROW(MSPTasks[[#Headers],[ID]]))))</f>
        <v/>
      </c>
      <c r="D116" s="24" t="str">
        <f aca="false">IF(IFERROR(INDEX(tsk_Name,(ROW()-ROW(MSPTasks[[#Headers],[ID]])))="",TRUE()),"",INDEX(tsk_Level,(ROW()-ROW(MSPTasks[[#Headers],[ID]]))))</f>
        <v/>
      </c>
      <c r="E116" s="24" t="str">
        <f aca="false">IF(IFERROR(INDEX(tsk_Name,(ROW()-ROW(MSPTasks[[#Headers],[ID]])))="",TRUE()),"",IF(INDEX(tsk_Mode,(ROW()-ROW(MSPTasks[[#Headers],[ID]])))="Manual","Manually Scheduled","Auto Scheduled"))</f>
        <v/>
      </c>
      <c r="F116" s="24" t="str">
        <f aca="false">IF(IFERROR(INDEX(tsk_Name,(ROW()-ROW(MSPTasks[[#Headers],[ID]])))="",TRUE()),"",IF(INDEX(tsk_IsSummary,(ROW()-ROW(MSPTasks[[#Headers],[ID]]))),"",N(INDEX(tsk_Duration,(ROW()-ROW(MSPTasks[[#Headers],[ID]]))))&amp;"d"))</f>
        <v/>
      </c>
      <c r="G116" s="127" t="str">
        <f aca="false">IF(IFERROR(INDEX(tsk_Name,(ROW()-ROW(MSPTasks[[#Headers],[ID]])))="",TRUE()),"",INDEX(tsk_FcStart,(ROW()-ROW(MSPTasks[[#Headers],[ID]]))))</f>
        <v/>
      </c>
      <c r="H116" s="127" t="str">
        <f aca="false">IF(IFERROR(INDEX(tsk_Name,(ROW()-ROW(MSPTasks[[#Headers],[ID]])))="",TRUE()),"",INDEX(tsk_FcFinish,(ROW()-ROW(MSPTasks[[#Headers],[ID]]))))</f>
        <v/>
      </c>
      <c r="I116" s="24" t="str">
        <f aca="false">IF(IFERROR(INDEX(tsk_Name,(ROW()-ROW(MSPTasks[[#Headers],[ID]])))="",TRUE()),"",IF(INDEX(tsk_IsSummary,(ROW()-ROW(MSPTasks[[#Headers],[ID]]))),"",INDEX(tsk_Predecessors,(ROW()-ROW(MSPTasks[[#Headers],[ID]])))))</f>
        <v/>
      </c>
      <c r="J116" s="24" t="str">
        <f aca="false">IF(IFERROR(INDEX(tsk_Name,(ROW()-ROW(MSPTasks[[#Headers],[ID]])))="",TRUE()),"",IF(INDEX(tsk_IsSummary,(ROW()-ROW(MSPTasks[[#Headers],[ID]]))),"",INDEX(tsk_UIDPredecessors,(ROW()-ROW(MSPTasks[[#Headers],[ID]])))))</f>
        <v/>
      </c>
      <c r="K11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6" s="24" t="str">
        <f aca="false">IF(IFERROR(INDEX(tsk_Name,(ROW()-ROW(MSPTasks[[#Headers],[ID]])))="",TRUE()),"",IF(INDEX(tsk_IsSummary,(ROW()-ROW(MSPTasks[[#Headers],[ID]]))),"",ROUND(INDEX(tsk_Progress,(ROW()-ROW(MSPTasks[[#Headers],[ID]])))*100,0)))</f>
        <v/>
      </c>
      <c r="M116" s="127" t="str">
        <f aca="false">IF(IFERROR(INDEX(tsk_Name,(ROW()-ROW(MSPTasks[[#Headers],[ID]])))="",TRUE()),"",IF(N(INDEX(tsk_ActStart,(ROW()-ROW(MSPTasks[[#Headers],[ID]]))))=0,"",INDEX(tsk_ActStart,(ROW()-ROW(MSPTasks[[#Headers],[ID]])))))</f>
        <v/>
      </c>
      <c r="N116" s="127" t="str">
        <f aca="false">IF(IFERROR(INDEX(tsk_Name,(ROW()-ROW(MSPTasks[[#Headers],[ID]])))="",TRUE()),"",IF(N(INDEX(tsk_ActFinish,(ROW()-ROW(MSPTasks[[#Headers],[ID]]))))=0,"",INDEX(tsk_ActFinish,(ROW()-ROW(MSPTasks[[#Headers],[ID]])))))</f>
        <v/>
      </c>
      <c r="O116" s="127" t="str">
        <f aca="false">IF(IFERROR(INDEX(tsk_Name,(ROW()-ROW(MSPTasks[[#Headers],[ID]])))="",TRUE()),"",INDEX(tsk_PlanStart,(ROW()-ROW(MSPTasks[[#Headers],[ID]]))))</f>
        <v/>
      </c>
      <c r="P116" s="127" t="str">
        <f aca="false">IF(IFERROR(INDEX(tsk_Name,(ROW()-ROW(MSPTasks[[#Headers],[ID]])))="",TRUE()),"",INDEX(tsk_PlanFinish,(ROW()-ROW(MSPTasks[[#Headers],[ID]]))))</f>
        <v/>
      </c>
      <c r="Q116" s="24" t="str">
        <f aca="false">IF(IFERROR(INDEX(tsk_Name,(ROW()-ROW(MSPTasks[[#Headers],[ID]])))="",TRUE()),"",IF(INDEX(tsk_BaseDuration,(ROW()-ROW(MSPTasks[[#Headers],[ID]])))="","",N(INDEX(tsk_BaseDuration,(ROW()-ROW(MSPTasks[[#Headers],[ID]]))))&amp;"d"))</f>
        <v/>
      </c>
      <c r="R116" s="24" t="str">
        <f aca="false">IF(IFERROR(INDEX(tsk_Name,(ROW()-ROW(MSPTasks[[#Headers],[ID]])))="",TRUE()),"",IF(INDEX(tsk_BaseWork,(ROW()-ROW(MSPTasks[[#Headers],[ID]])))="","",N(INDEX(tsk_BaseWork,(ROW()-ROW(MSPTasks[[#Headers],[ID]]))))&amp;"h"))</f>
        <v/>
      </c>
      <c r="S116" s="24" t="str">
        <f aca="false">IF(IFERROR(INDEX(tsk_Name,(ROW()-ROW(MSPTasks[[#Headers],[ID]])))="",TRUE()),"",IF(INDEX(tsk_BaseCost,(ROW()-ROW(MSPTasks[[#Headers],[ID]])))="","",N(INDEX(tsk_BaseCost,(ROW()-ROW(MSPTasks[[#Headers],[ID]]))))))</f>
        <v/>
      </c>
      <c r="T116" s="24" t="str">
        <f aca="false">IF(IFERROR(INDEX(tsk_Name,(ROW()-ROW(MSPTasks[[#Headers],[ID]])))="",TRUE()),"",IF(INDEX(tsk_IsSummary,(ROW()-ROW(MSPTasks[[#Headers],[ID]]))),"",IF(N(INDEX(tsk_ActCostInput,(ROW()-ROW(MSPTasks[[#Headers],[ID]]))))=0,"",INDEX(tsk_ActCostInput,(ROW()-ROW(MSPTasks[[#Headers],[ID]]))))))</f>
        <v/>
      </c>
      <c r="U116" s="24" t="str">
        <f aca="false">IF(IFERROR(INDEX(tsk_Name,(ROW()-ROW(MSPTasks[[#Headers],[ID]])))="",TRUE()),"",IF(INDEX(tsk_IsSummary,(ROW()-ROW(MSPTasks[[#Headers],[ID]]))),"",IF(AND(INDEX(tsk_Mode,(ROW()-ROW(MSPTasks[[#Headers],[ID]])))&lt;&gt;"Manual",N(INDEX(tsk_Constraint,(ROW()-ROW(MSPTasks[[#Headers],[ID]]))))&gt;0),"Start No Earlier Than","As Soon As Possible")))</f>
        <v/>
      </c>
      <c r="V116" s="127" t="str">
        <f aca="false">IF(IFERROR(INDEX(tsk_Name,(ROW()-ROW(MSPTasks[[#Headers],[ID]])))="",TRUE()),"",IF(OR(INDEX(tsk_IsSummary,(ROW()-ROW(MSPTasks[[#Headers],[ID]]))),INDEX(tsk_Mode,(ROW()-ROW(MSPTasks[[#Headers],[ID]])))="Manual"),"",IF(N(INDEX(tsk_Constraint,(ROW()-ROW(MSPTasks[[#Headers],[ID]]))))=0,"",INDEX(tsk_Constraint,(ROW()-ROW(MSPTasks[[#Headers],[ID]]))))))</f>
        <v/>
      </c>
      <c r="W116" s="127" t="str">
        <f aca="false">IF(IFERROR(INDEX(tsk_Name,(ROW()-ROW(MSPTasks[[#Headers],[ID]])))="",TRUE()),"",IF(N(INDEX(tsk_Deadline,(ROW()-ROW(MSPTasks[[#Headers],[ID]]))))=0,"",INDEX(tsk_Deadline,(ROW()-ROW(MSPTasks[[#Headers],[ID]])))))</f>
        <v/>
      </c>
      <c r="X116" s="24" t="str">
        <f aca="false">IF(IFERROR(INDEX(tsk_Name,(ROW()-ROW(MSPTasks[[#Headers],[ID]])))="",TRUE()),"",IF(INDEX(tsk_IsSummary,(ROW()-ROW(MSPTasks[[#Headers],[ID]]))),"",INDEX(tsk_Sprint,(ROW()-ROW(MSPTasks[[#Headers],[ID]])))&amp;""))</f>
        <v/>
      </c>
      <c r="Y116" s="24" t="str">
        <f aca="false">IF(IFERROR(INDEX(tsk_Name,(ROW()-ROW(MSPTasks[[#Headers],[ID]])))="",TRUE()),"",IF(INDEX(tsk_IsSummary,(ROW()-ROW(MSPTasks[[#Headers],[ID]]))),"",IF(N(INDEX(tsk_StoryPoints,(ROW()-ROW(MSPTasks[[#Headers],[ID]]))))=0,"",INDEX(tsk_StoryPoints,(ROW()-ROW(MSPTasks[[#Headers],[ID]]))))))</f>
        <v/>
      </c>
      <c r="Z116" s="24" t="str">
        <f aca="false">IF(IFERROR(INDEX(tsk_Name,(ROW()-ROW(MSPTasks[[#Headers],[ID]])))="",TRUE()),"",INDEX(tsk_Notes,(ROW()-ROW(MSPTasks[[#Headers],[ID]])))&amp;"")</f>
        <v/>
      </c>
    </row>
    <row r="117" customFormat="false" ht="15" hidden="false" customHeight="false" outlineLevel="0" collapsed="false">
      <c r="A117" s="24" t="str">
        <f aca="false">IF(IFERROR(INDEX(tsk_Name,(ROW()-ROW(MSPTasks[[#Headers],[ID]])))="",TRUE()),"",INDEX(tsk_ID,(ROW()-ROW(MSPTasks[[#Headers],[ID]]))))</f>
        <v/>
      </c>
      <c r="B117" s="24" t="str">
        <f aca="false">IF(IFERROR(INDEX(tsk_Name,(ROW()-ROW(MSPTasks[[#Headers],[ID]])))="",TRUE()),"",INDEX(tsk_UID,(ROW()-ROW(MSPTasks[[#Headers],[ID]]))))</f>
        <v/>
      </c>
      <c r="C117" s="24" t="str">
        <f aca="false">IF(IFERROR(INDEX(tsk_Name,(ROW()-ROW(MSPTasks[[#Headers],[ID]])))="",TRUE()),"",INDEX(tsk_Name,(ROW()-ROW(MSPTasks[[#Headers],[ID]]))))</f>
        <v/>
      </c>
      <c r="D117" s="24" t="str">
        <f aca="false">IF(IFERROR(INDEX(tsk_Name,(ROW()-ROW(MSPTasks[[#Headers],[ID]])))="",TRUE()),"",INDEX(tsk_Level,(ROW()-ROW(MSPTasks[[#Headers],[ID]]))))</f>
        <v/>
      </c>
      <c r="E117" s="24" t="str">
        <f aca="false">IF(IFERROR(INDEX(tsk_Name,(ROW()-ROW(MSPTasks[[#Headers],[ID]])))="",TRUE()),"",IF(INDEX(tsk_Mode,(ROW()-ROW(MSPTasks[[#Headers],[ID]])))="Manual","Manually Scheduled","Auto Scheduled"))</f>
        <v/>
      </c>
      <c r="F117" s="24" t="str">
        <f aca="false">IF(IFERROR(INDEX(tsk_Name,(ROW()-ROW(MSPTasks[[#Headers],[ID]])))="",TRUE()),"",IF(INDEX(tsk_IsSummary,(ROW()-ROW(MSPTasks[[#Headers],[ID]]))),"",N(INDEX(tsk_Duration,(ROW()-ROW(MSPTasks[[#Headers],[ID]]))))&amp;"d"))</f>
        <v/>
      </c>
      <c r="G117" s="127" t="str">
        <f aca="false">IF(IFERROR(INDEX(tsk_Name,(ROW()-ROW(MSPTasks[[#Headers],[ID]])))="",TRUE()),"",INDEX(tsk_FcStart,(ROW()-ROW(MSPTasks[[#Headers],[ID]]))))</f>
        <v/>
      </c>
      <c r="H117" s="127" t="str">
        <f aca="false">IF(IFERROR(INDEX(tsk_Name,(ROW()-ROW(MSPTasks[[#Headers],[ID]])))="",TRUE()),"",INDEX(tsk_FcFinish,(ROW()-ROW(MSPTasks[[#Headers],[ID]]))))</f>
        <v/>
      </c>
      <c r="I117" s="24" t="str">
        <f aca="false">IF(IFERROR(INDEX(tsk_Name,(ROW()-ROW(MSPTasks[[#Headers],[ID]])))="",TRUE()),"",IF(INDEX(tsk_IsSummary,(ROW()-ROW(MSPTasks[[#Headers],[ID]]))),"",INDEX(tsk_Predecessors,(ROW()-ROW(MSPTasks[[#Headers],[ID]])))))</f>
        <v/>
      </c>
      <c r="J117" s="24" t="str">
        <f aca="false">IF(IFERROR(INDEX(tsk_Name,(ROW()-ROW(MSPTasks[[#Headers],[ID]])))="",TRUE()),"",IF(INDEX(tsk_IsSummary,(ROW()-ROW(MSPTasks[[#Headers],[ID]]))),"",INDEX(tsk_UIDPredecessors,(ROW()-ROW(MSPTasks[[#Headers],[ID]])))))</f>
        <v/>
      </c>
      <c r="K11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7" s="24" t="str">
        <f aca="false">IF(IFERROR(INDEX(tsk_Name,(ROW()-ROW(MSPTasks[[#Headers],[ID]])))="",TRUE()),"",IF(INDEX(tsk_IsSummary,(ROW()-ROW(MSPTasks[[#Headers],[ID]]))),"",ROUND(INDEX(tsk_Progress,(ROW()-ROW(MSPTasks[[#Headers],[ID]])))*100,0)))</f>
        <v/>
      </c>
      <c r="M117" s="127" t="str">
        <f aca="false">IF(IFERROR(INDEX(tsk_Name,(ROW()-ROW(MSPTasks[[#Headers],[ID]])))="",TRUE()),"",IF(N(INDEX(tsk_ActStart,(ROW()-ROW(MSPTasks[[#Headers],[ID]]))))=0,"",INDEX(tsk_ActStart,(ROW()-ROW(MSPTasks[[#Headers],[ID]])))))</f>
        <v/>
      </c>
      <c r="N117" s="127" t="str">
        <f aca="false">IF(IFERROR(INDEX(tsk_Name,(ROW()-ROW(MSPTasks[[#Headers],[ID]])))="",TRUE()),"",IF(N(INDEX(tsk_ActFinish,(ROW()-ROW(MSPTasks[[#Headers],[ID]]))))=0,"",INDEX(tsk_ActFinish,(ROW()-ROW(MSPTasks[[#Headers],[ID]])))))</f>
        <v/>
      </c>
      <c r="O117" s="127" t="str">
        <f aca="false">IF(IFERROR(INDEX(tsk_Name,(ROW()-ROW(MSPTasks[[#Headers],[ID]])))="",TRUE()),"",INDEX(tsk_PlanStart,(ROW()-ROW(MSPTasks[[#Headers],[ID]]))))</f>
        <v/>
      </c>
      <c r="P117" s="127" t="str">
        <f aca="false">IF(IFERROR(INDEX(tsk_Name,(ROW()-ROW(MSPTasks[[#Headers],[ID]])))="",TRUE()),"",INDEX(tsk_PlanFinish,(ROW()-ROW(MSPTasks[[#Headers],[ID]]))))</f>
        <v/>
      </c>
      <c r="Q117" s="24" t="str">
        <f aca="false">IF(IFERROR(INDEX(tsk_Name,(ROW()-ROW(MSPTasks[[#Headers],[ID]])))="",TRUE()),"",IF(INDEX(tsk_BaseDuration,(ROW()-ROW(MSPTasks[[#Headers],[ID]])))="","",N(INDEX(tsk_BaseDuration,(ROW()-ROW(MSPTasks[[#Headers],[ID]]))))&amp;"d"))</f>
        <v/>
      </c>
      <c r="R117" s="24" t="str">
        <f aca="false">IF(IFERROR(INDEX(tsk_Name,(ROW()-ROW(MSPTasks[[#Headers],[ID]])))="",TRUE()),"",IF(INDEX(tsk_BaseWork,(ROW()-ROW(MSPTasks[[#Headers],[ID]])))="","",N(INDEX(tsk_BaseWork,(ROW()-ROW(MSPTasks[[#Headers],[ID]]))))&amp;"h"))</f>
        <v/>
      </c>
      <c r="S117" s="24" t="str">
        <f aca="false">IF(IFERROR(INDEX(tsk_Name,(ROW()-ROW(MSPTasks[[#Headers],[ID]])))="",TRUE()),"",IF(INDEX(tsk_BaseCost,(ROW()-ROW(MSPTasks[[#Headers],[ID]])))="","",N(INDEX(tsk_BaseCost,(ROW()-ROW(MSPTasks[[#Headers],[ID]]))))))</f>
        <v/>
      </c>
      <c r="T117" s="24" t="str">
        <f aca="false">IF(IFERROR(INDEX(tsk_Name,(ROW()-ROW(MSPTasks[[#Headers],[ID]])))="",TRUE()),"",IF(INDEX(tsk_IsSummary,(ROW()-ROW(MSPTasks[[#Headers],[ID]]))),"",IF(N(INDEX(tsk_ActCostInput,(ROW()-ROW(MSPTasks[[#Headers],[ID]]))))=0,"",INDEX(tsk_ActCostInput,(ROW()-ROW(MSPTasks[[#Headers],[ID]]))))))</f>
        <v/>
      </c>
      <c r="U117" s="24" t="str">
        <f aca="false">IF(IFERROR(INDEX(tsk_Name,(ROW()-ROW(MSPTasks[[#Headers],[ID]])))="",TRUE()),"",IF(INDEX(tsk_IsSummary,(ROW()-ROW(MSPTasks[[#Headers],[ID]]))),"",IF(AND(INDEX(tsk_Mode,(ROW()-ROW(MSPTasks[[#Headers],[ID]])))&lt;&gt;"Manual",N(INDEX(tsk_Constraint,(ROW()-ROW(MSPTasks[[#Headers],[ID]]))))&gt;0),"Start No Earlier Than","As Soon As Possible")))</f>
        <v/>
      </c>
      <c r="V117" s="127" t="str">
        <f aca="false">IF(IFERROR(INDEX(tsk_Name,(ROW()-ROW(MSPTasks[[#Headers],[ID]])))="",TRUE()),"",IF(OR(INDEX(tsk_IsSummary,(ROW()-ROW(MSPTasks[[#Headers],[ID]]))),INDEX(tsk_Mode,(ROW()-ROW(MSPTasks[[#Headers],[ID]])))="Manual"),"",IF(N(INDEX(tsk_Constraint,(ROW()-ROW(MSPTasks[[#Headers],[ID]]))))=0,"",INDEX(tsk_Constraint,(ROW()-ROW(MSPTasks[[#Headers],[ID]]))))))</f>
        <v/>
      </c>
      <c r="W117" s="127" t="str">
        <f aca="false">IF(IFERROR(INDEX(tsk_Name,(ROW()-ROW(MSPTasks[[#Headers],[ID]])))="",TRUE()),"",IF(N(INDEX(tsk_Deadline,(ROW()-ROW(MSPTasks[[#Headers],[ID]]))))=0,"",INDEX(tsk_Deadline,(ROW()-ROW(MSPTasks[[#Headers],[ID]])))))</f>
        <v/>
      </c>
      <c r="X117" s="24" t="str">
        <f aca="false">IF(IFERROR(INDEX(tsk_Name,(ROW()-ROW(MSPTasks[[#Headers],[ID]])))="",TRUE()),"",IF(INDEX(tsk_IsSummary,(ROW()-ROW(MSPTasks[[#Headers],[ID]]))),"",INDEX(tsk_Sprint,(ROW()-ROW(MSPTasks[[#Headers],[ID]])))&amp;""))</f>
        <v/>
      </c>
      <c r="Y117" s="24" t="str">
        <f aca="false">IF(IFERROR(INDEX(tsk_Name,(ROW()-ROW(MSPTasks[[#Headers],[ID]])))="",TRUE()),"",IF(INDEX(tsk_IsSummary,(ROW()-ROW(MSPTasks[[#Headers],[ID]]))),"",IF(N(INDEX(tsk_StoryPoints,(ROW()-ROW(MSPTasks[[#Headers],[ID]]))))=0,"",INDEX(tsk_StoryPoints,(ROW()-ROW(MSPTasks[[#Headers],[ID]]))))))</f>
        <v/>
      </c>
      <c r="Z117" s="24" t="str">
        <f aca="false">IF(IFERROR(INDEX(tsk_Name,(ROW()-ROW(MSPTasks[[#Headers],[ID]])))="",TRUE()),"",INDEX(tsk_Notes,(ROW()-ROW(MSPTasks[[#Headers],[ID]])))&amp;"")</f>
        <v/>
      </c>
    </row>
    <row r="118" customFormat="false" ht="15" hidden="false" customHeight="false" outlineLevel="0" collapsed="false">
      <c r="A118" s="24" t="str">
        <f aca="false">IF(IFERROR(INDEX(tsk_Name,(ROW()-ROW(MSPTasks[[#Headers],[ID]])))="",TRUE()),"",INDEX(tsk_ID,(ROW()-ROW(MSPTasks[[#Headers],[ID]]))))</f>
        <v/>
      </c>
      <c r="B118" s="24" t="str">
        <f aca="false">IF(IFERROR(INDEX(tsk_Name,(ROW()-ROW(MSPTasks[[#Headers],[ID]])))="",TRUE()),"",INDEX(tsk_UID,(ROW()-ROW(MSPTasks[[#Headers],[ID]]))))</f>
        <v/>
      </c>
      <c r="C118" s="24" t="str">
        <f aca="false">IF(IFERROR(INDEX(tsk_Name,(ROW()-ROW(MSPTasks[[#Headers],[ID]])))="",TRUE()),"",INDEX(tsk_Name,(ROW()-ROW(MSPTasks[[#Headers],[ID]]))))</f>
        <v/>
      </c>
      <c r="D118" s="24" t="str">
        <f aca="false">IF(IFERROR(INDEX(tsk_Name,(ROW()-ROW(MSPTasks[[#Headers],[ID]])))="",TRUE()),"",INDEX(tsk_Level,(ROW()-ROW(MSPTasks[[#Headers],[ID]]))))</f>
        <v/>
      </c>
      <c r="E118" s="24" t="str">
        <f aca="false">IF(IFERROR(INDEX(tsk_Name,(ROW()-ROW(MSPTasks[[#Headers],[ID]])))="",TRUE()),"",IF(INDEX(tsk_Mode,(ROW()-ROW(MSPTasks[[#Headers],[ID]])))="Manual","Manually Scheduled","Auto Scheduled"))</f>
        <v/>
      </c>
      <c r="F118" s="24" t="str">
        <f aca="false">IF(IFERROR(INDEX(tsk_Name,(ROW()-ROW(MSPTasks[[#Headers],[ID]])))="",TRUE()),"",IF(INDEX(tsk_IsSummary,(ROW()-ROW(MSPTasks[[#Headers],[ID]]))),"",N(INDEX(tsk_Duration,(ROW()-ROW(MSPTasks[[#Headers],[ID]]))))&amp;"d"))</f>
        <v/>
      </c>
      <c r="G118" s="127" t="str">
        <f aca="false">IF(IFERROR(INDEX(tsk_Name,(ROW()-ROW(MSPTasks[[#Headers],[ID]])))="",TRUE()),"",INDEX(tsk_FcStart,(ROW()-ROW(MSPTasks[[#Headers],[ID]]))))</f>
        <v/>
      </c>
      <c r="H118" s="127" t="str">
        <f aca="false">IF(IFERROR(INDEX(tsk_Name,(ROW()-ROW(MSPTasks[[#Headers],[ID]])))="",TRUE()),"",INDEX(tsk_FcFinish,(ROW()-ROW(MSPTasks[[#Headers],[ID]]))))</f>
        <v/>
      </c>
      <c r="I118" s="24" t="str">
        <f aca="false">IF(IFERROR(INDEX(tsk_Name,(ROW()-ROW(MSPTasks[[#Headers],[ID]])))="",TRUE()),"",IF(INDEX(tsk_IsSummary,(ROW()-ROW(MSPTasks[[#Headers],[ID]]))),"",INDEX(tsk_Predecessors,(ROW()-ROW(MSPTasks[[#Headers],[ID]])))))</f>
        <v/>
      </c>
      <c r="J118" s="24" t="str">
        <f aca="false">IF(IFERROR(INDEX(tsk_Name,(ROW()-ROW(MSPTasks[[#Headers],[ID]])))="",TRUE()),"",IF(INDEX(tsk_IsSummary,(ROW()-ROW(MSPTasks[[#Headers],[ID]]))),"",INDEX(tsk_UIDPredecessors,(ROW()-ROW(MSPTasks[[#Headers],[ID]])))))</f>
        <v/>
      </c>
      <c r="K11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8" s="24" t="str">
        <f aca="false">IF(IFERROR(INDEX(tsk_Name,(ROW()-ROW(MSPTasks[[#Headers],[ID]])))="",TRUE()),"",IF(INDEX(tsk_IsSummary,(ROW()-ROW(MSPTasks[[#Headers],[ID]]))),"",ROUND(INDEX(tsk_Progress,(ROW()-ROW(MSPTasks[[#Headers],[ID]])))*100,0)))</f>
        <v/>
      </c>
      <c r="M118" s="127" t="str">
        <f aca="false">IF(IFERROR(INDEX(tsk_Name,(ROW()-ROW(MSPTasks[[#Headers],[ID]])))="",TRUE()),"",IF(N(INDEX(tsk_ActStart,(ROW()-ROW(MSPTasks[[#Headers],[ID]]))))=0,"",INDEX(tsk_ActStart,(ROW()-ROW(MSPTasks[[#Headers],[ID]])))))</f>
        <v/>
      </c>
      <c r="N118" s="127" t="str">
        <f aca="false">IF(IFERROR(INDEX(tsk_Name,(ROW()-ROW(MSPTasks[[#Headers],[ID]])))="",TRUE()),"",IF(N(INDEX(tsk_ActFinish,(ROW()-ROW(MSPTasks[[#Headers],[ID]]))))=0,"",INDEX(tsk_ActFinish,(ROW()-ROW(MSPTasks[[#Headers],[ID]])))))</f>
        <v/>
      </c>
      <c r="O118" s="127" t="str">
        <f aca="false">IF(IFERROR(INDEX(tsk_Name,(ROW()-ROW(MSPTasks[[#Headers],[ID]])))="",TRUE()),"",INDEX(tsk_PlanStart,(ROW()-ROW(MSPTasks[[#Headers],[ID]]))))</f>
        <v/>
      </c>
      <c r="P118" s="127" t="str">
        <f aca="false">IF(IFERROR(INDEX(tsk_Name,(ROW()-ROW(MSPTasks[[#Headers],[ID]])))="",TRUE()),"",INDEX(tsk_PlanFinish,(ROW()-ROW(MSPTasks[[#Headers],[ID]]))))</f>
        <v/>
      </c>
      <c r="Q118" s="24" t="str">
        <f aca="false">IF(IFERROR(INDEX(tsk_Name,(ROW()-ROW(MSPTasks[[#Headers],[ID]])))="",TRUE()),"",IF(INDEX(tsk_BaseDuration,(ROW()-ROW(MSPTasks[[#Headers],[ID]])))="","",N(INDEX(tsk_BaseDuration,(ROW()-ROW(MSPTasks[[#Headers],[ID]]))))&amp;"d"))</f>
        <v/>
      </c>
      <c r="R118" s="24" t="str">
        <f aca="false">IF(IFERROR(INDEX(tsk_Name,(ROW()-ROW(MSPTasks[[#Headers],[ID]])))="",TRUE()),"",IF(INDEX(tsk_BaseWork,(ROW()-ROW(MSPTasks[[#Headers],[ID]])))="","",N(INDEX(tsk_BaseWork,(ROW()-ROW(MSPTasks[[#Headers],[ID]]))))&amp;"h"))</f>
        <v/>
      </c>
      <c r="S118" s="24" t="str">
        <f aca="false">IF(IFERROR(INDEX(tsk_Name,(ROW()-ROW(MSPTasks[[#Headers],[ID]])))="",TRUE()),"",IF(INDEX(tsk_BaseCost,(ROW()-ROW(MSPTasks[[#Headers],[ID]])))="","",N(INDEX(tsk_BaseCost,(ROW()-ROW(MSPTasks[[#Headers],[ID]]))))))</f>
        <v/>
      </c>
      <c r="T118" s="24" t="str">
        <f aca="false">IF(IFERROR(INDEX(tsk_Name,(ROW()-ROW(MSPTasks[[#Headers],[ID]])))="",TRUE()),"",IF(INDEX(tsk_IsSummary,(ROW()-ROW(MSPTasks[[#Headers],[ID]]))),"",IF(N(INDEX(tsk_ActCostInput,(ROW()-ROW(MSPTasks[[#Headers],[ID]]))))=0,"",INDEX(tsk_ActCostInput,(ROW()-ROW(MSPTasks[[#Headers],[ID]]))))))</f>
        <v/>
      </c>
      <c r="U118" s="24" t="str">
        <f aca="false">IF(IFERROR(INDEX(tsk_Name,(ROW()-ROW(MSPTasks[[#Headers],[ID]])))="",TRUE()),"",IF(INDEX(tsk_IsSummary,(ROW()-ROW(MSPTasks[[#Headers],[ID]]))),"",IF(AND(INDEX(tsk_Mode,(ROW()-ROW(MSPTasks[[#Headers],[ID]])))&lt;&gt;"Manual",N(INDEX(tsk_Constraint,(ROW()-ROW(MSPTasks[[#Headers],[ID]]))))&gt;0),"Start No Earlier Than","As Soon As Possible")))</f>
        <v/>
      </c>
      <c r="V118" s="127" t="str">
        <f aca="false">IF(IFERROR(INDEX(tsk_Name,(ROW()-ROW(MSPTasks[[#Headers],[ID]])))="",TRUE()),"",IF(OR(INDEX(tsk_IsSummary,(ROW()-ROW(MSPTasks[[#Headers],[ID]]))),INDEX(tsk_Mode,(ROW()-ROW(MSPTasks[[#Headers],[ID]])))="Manual"),"",IF(N(INDEX(tsk_Constraint,(ROW()-ROW(MSPTasks[[#Headers],[ID]]))))=0,"",INDEX(tsk_Constraint,(ROW()-ROW(MSPTasks[[#Headers],[ID]]))))))</f>
        <v/>
      </c>
      <c r="W118" s="127" t="str">
        <f aca="false">IF(IFERROR(INDEX(tsk_Name,(ROW()-ROW(MSPTasks[[#Headers],[ID]])))="",TRUE()),"",IF(N(INDEX(tsk_Deadline,(ROW()-ROW(MSPTasks[[#Headers],[ID]]))))=0,"",INDEX(tsk_Deadline,(ROW()-ROW(MSPTasks[[#Headers],[ID]])))))</f>
        <v/>
      </c>
      <c r="X118" s="24" t="str">
        <f aca="false">IF(IFERROR(INDEX(tsk_Name,(ROW()-ROW(MSPTasks[[#Headers],[ID]])))="",TRUE()),"",IF(INDEX(tsk_IsSummary,(ROW()-ROW(MSPTasks[[#Headers],[ID]]))),"",INDEX(tsk_Sprint,(ROW()-ROW(MSPTasks[[#Headers],[ID]])))&amp;""))</f>
        <v/>
      </c>
      <c r="Y118" s="24" t="str">
        <f aca="false">IF(IFERROR(INDEX(tsk_Name,(ROW()-ROW(MSPTasks[[#Headers],[ID]])))="",TRUE()),"",IF(INDEX(tsk_IsSummary,(ROW()-ROW(MSPTasks[[#Headers],[ID]]))),"",IF(N(INDEX(tsk_StoryPoints,(ROW()-ROW(MSPTasks[[#Headers],[ID]]))))=0,"",INDEX(tsk_StoryPoints,(ROW()-ROW(MSPTasks[[#Headers],[ID]]))))))</f>
        <v/>
      </c>
      <c r="Z118" s="24" t="str">
        <f aca="false">IF(IFERROR(INDEX(tsk_Name,(ROW()-ROW(MSPTasks[[#Headers],[ID]])))="",TRUE()),"",INDEX(tsk_Notes,(ROW()-ROW(MSPTasks[[#Headers],[ID]])))&amp;"")</f>
        <v/>
      </c>
    </row>
    <row r="119" customFormat="false" ht="15" hidden="false" customHeight="false" outlineLevel="0" collapsed="false">
      <c r="A119" s="24" t="str">
        <f aca="false">IF(IFERROR(INDEX(tsk_Name,(ROW()-ROW(MSPTasks[[#Headers],[ID]])))="",TRUE()),"",INDEX(tsk_ID,(ROW()-ROW(MSPTasks[[#Headers],[ID]]))))</f>
        <v/>
      </c>
      <c r="B119" s="24" t="str">
        <f aca="false">IF(IFERROR(INDEX(tsk_Name,(ROW()-ROW(MSPTasks[[#Headers],[ID]])))="",TRUE()),"",INDEX(tsk_UID,(ROW()-ROW(MSPTasks[[#Headers],[ID]]))))</f>
        <v/>
      </c>
      <c r="C119" s="24" t="str">
        <f aca="false">IF(IFERROR(INDEX(tsk_Name,(ROW()-ROW(MSPTasks[[#Headers],[ID]])))="",TRUE()),"",INDEX(tsk_Name,(ROW()-ROW(MSPTasks[[#Headers],[ID]]))))</f>
        <v/>
      </c>
      <c r="D119" s="24" t="str">
        <f aca="false">IF(IFERROR(INDEX(tsk_Name,(ROW()-ROW(MSPTasks[[#Headers],[ID]])))="",TRUE()),"",INDEX(tsk_Level,(ROW()-ROW(MSPTasks[[#Headers],[ID]]))))</f>
        <v/>
      </c>
      <c r="E119" s="24" t="str">
        <f aca="false">IF(IFERROR(INDEX(tsk_Name,(ROW()-ROW(MSPTasks[[#Headers],[ID]])))="",TRUE()),"",IF(INDEX(tsk_Mode,(ROW()-ROW(MSPTasks[[#Headers],[ID]])))="Manual","Manually Scheduled","Auto Scheduled"))</f>
        <v/>
      </c>
      <c r="F119" s="24" t="str">
        <f aca="false">IF(IFERROR(INDEX(tsk_Name,(ROW()-ROW(MSPTasks[[#Headers],[ID]])))="",TRUE()),"",IF(INDEX(tsk_IsSummary,(ROW()-ROW(MSPTasks[[#Headers],[ID]]))),"",N(INDEX(tsk_Duration,(ROW()-ROW(MSPTasks[[#Headers],[ID]]))))&amp;"d"))</f>
        <v/>
      </c>
      <c r="G119" s="127" t="str">
        <f aca="false">IF(IFERROR(INDEX(tsk_Name,(ROW()-ROW(MSPTasks[[#Headers],[ID]])))="",TRUE()),"",INDEX(tsk_FcStart,(ROW()-ROW(MSPTasks[[#Headers],[ID]]))))</f>
        <v/>
      </c>
      <c r="H119" s="127" t="str">
        <f aca="false">IF(IFERROR(INDEX(tsk_Name,(ROW()-ROW(MSPTasks[[#Headers],[ID]])))="",TRUE()),"",INDEX(tsk_FcFinish,(ROW()-ROW(MSPTasks[[#Headers],[ID]]))))</f>
        <v/>
      </c>
      <c r="I119" s="24" t="str">
        <f aca="false">IF(IFERROR(INDEX(tsk_Name,(ROW()-ROW(MSPTasks[[#Headers],[ID]])))="",TRUE()),"",IF(INDEX(tsk_IsSummary,(ROW()-ROW(MSPTasks[[#Headers],[ID]]))),"",INDEX(tsk_Predecessors,(ROW()-ROW(MSPTasks[[#Headers],[ID]])))))</f>
        <v/>
      </c>
      <c r="J119" s="24" t="str">
        <f aca="false">IF(IFERROR(INDEX(tsk_Name,(ROW()-ROW(MSPTasks[[#Headers],[ID]])))="",TRUE()),"",IF(INDEX(tsk_IsSummary,(ROW()-ROW(MSPTasks[[#Headers],[ID]]))),"",INDEX(tsk_UIDPredecessors,(ROW()-ROW(MSPTasks[[#Headers],[ID]])))))</f>
        <v/>
      </c>
      <c r="K11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9" s="24" t="str">
        <f aca="false">IF(IFERROR(INDEX(tsk_Name,(ROW()-ROW(MSPTasks[[#Headers],[ID]])))="",TRUE()),"",IF(INDEX(tsk_IsSummary,(ROW()-ROW(MSPTasks[[#Headers],[ID]]))),"",ROUND(INDEX(tsk_Progress,(ROW()-ROW(MSPTasks[[#Headers],[ID]])))*100,0)))</f>
        <v/>
      </c>
      <c r="M119" s="127" t="str">
        <f aca="false">IF(IFERROR(INDEX(tsk_Name,(ROW()-ROW(MSPTasks[[#Headers],[ID]])))="",TRUE()),"",IF(N(INDEX(tsk_ActStart,(ROW()-ROW(MSPTasks[[#Headers],[ID]]))))=0,"",INDEX(tsk_ActStart,(ROW()-ROW(MSPTasks[[#Headers],[ID]])))))</f>
        <v/>
      </c>
      <c r="N119" s="127" t="str">
        <f aca="false">IF(IFERROR(INDEX(tsk_Name,(ROW()-ROW(MSPTasks[[#Headers],[ID]])))="",TRUE()),"",IF(N(INDEX(tsk_ActFinish,(ROW()-ROW(MSPTasks[[#Headers],[ID]]))))=0,"",INDEX(tsk_ActFinish,(ROW()-ROW(MSPTasks[[#Headers],[ID]])))))</f>
        <v/>
      </c>
      <c r="O119" s="127" t="str">
        <f aca="false">IF(IFERROR(INDEX(tsk_Name,(ROW()-ROW(MSPTasks[[#Headers],[ID]])))="",TRUE()),"",INDEX(tsk_PlanStart,(ROW()-ROW(MSPTasks[[#Headers],[ID]]))))</f>
        <v/>
      </c>
      <c r="P119" s="127" t="str">
        <f aca="false">IF(IFERROR(INDEX(tsk_Name,(ROW()-ROW(MSPTasks[[#Headers],[ID]])))="",TRUE()),"",INDEX(tsk_PlanFinish,(ROW()-ROW(MSPTasks[[#Headers],[ID]]))))</f>
        <v/>
      </c>
      <c r="Q119" s="24" t="str">
        <f aca="false">IF(IFERROR(INDEX(tsk_Name,(ROW()-ROW(MSPTasks[[#Headers],[ID]])))="",TRUE()),"",IF(INDEX(tsk_BaseDuration,(ROW()-ROW(MSPTasks[[#Headers],[ID]])))="","",N(INDEX(tsk_BaseDuration,(ROW()-ROW(MSPTasks[[#Headers],[ID]]))))&amp;"d"))</f>
        <v/>
      </c>
      <c r="R119" s="24" t="str">
        <f aca="false">IF(IFERROR(INDEX(tsk_Name,(ROW()-ROW(MSPTasks[[#Headers],[ID]])))="",TRUE()),"",IF(INDEX(tsk_BaseWork,(ROW()-ROW(MSPTasks[[#Headers],[ID]])))="","",N(INDEX(tsk_BaseWork,(ROW()-ROW(MSPTasks[[#Headers],[ID]]))))&amp;"h"))</f>
        <v/>
      </c>
      <c r="S119" s="24" t="str">
        <f aca="false">IF(IFERROR(INDEX(tsk_Name,(ROW()-ROW(MSPTasks[[#Headers],[ID]])))="",TRUE()),"",IF(INDEX(tsk_BaseCost,(ROW()-ROW(MSPTasks[[#Headers],[ID]])))="","",N(INDEX(tsk_BaseCost,(ROW()-ROW(MSPTasks[[#Headers],[ID]]))))))</f>
        <v/>
      </c>
      <c r="T119" s="24" t="str">
        <f aca="false">IF(IFERROR(INDEX(tsk_Name,(ROW()-ROW(MSPTasks[[#Headers],[ID]])))="",TRUE()),"",IF(INDEX(tsk_IsSummary,(ROW()-ROW(MSPTasks[[#Headers],[ID]]))),"",IF(N(INDEX(tsk_ActCostInput,(ROW()-ROW(MSPTasks[[#Headers],[ID]]))))=0,"",INDEX(tsk_ActCostInput,(ROW()-ROW(MSPTasks[[#Headers],[ID]]))))))</f>
        <v/>
      </c>
      <c r="U119" s="24" t="str">
        <f aca="false">IF(IFERROR(INDEX(tsk_Name,(ROW()-ROW(MSPTasks[[#Headers],[ID]])))="",TRUE()),"",IF(INDEX(tsk_IsSummary,(ROW()-ROW(MSPTasks[[#Headers],[ID]]))),"",IF(AND(INDEX(tsk_Mode,(ROW()-ROW(MSPTasks[[#Headers],[ID]])))&lt;&gt;"Manual",N(INDEX(tsk_Constraint,(ROW()-ROW(MSPTasks[[#Headers],[ID]]))))&gt;0),"Start No Earlier Than","As Soon As Possible")))</f>
        <v/>
      </c>
      <c r="V119" s="127" t="str">
        <f aca="false">IF(IFERROR(INDEX(tsk_Name,(ROW()-ROW(MSPTasks[[#Headers],[ID]])))="",TRUE()),"",IF(OR(INDEX(tsk_IsSummary,(ROW()-ROW(MSPTasks[[#Headers],[ID]]))),INDEX(tsk_Mode,(ROW()-ROW(MSPTasks[[#Headers],[ID]])))="Manual"),"",IF(N(INDEX(tsk_Constraint,(ROW()-ROW(MSPTasks[[#Headers],[ID]]))))=0,"",INDEX(tsk_Constraint,(ROW()-ROW(MSPTasks[[#Headers],[ID]]))))))</f>
        <v/>
      </c>
      <c r="W119" s="127" t="str">
        <f aca="false">IF(IFERROR(INDEX(tsk_Name,(ROW()-ROW(MSPTasks[[#Headers],[ID]])))="",TRUE()),"",IF(N(INDEX(tsk_Deadline,(ROW()-ROW(MSPTasks[[#Headers],[ID]]))))=0,"",INDEX(tsk_Deadline,(ROW()-ROW(MSPTasks[[#Headers],[ID]])))))</f>
        <v/>
      </c>
      <c r="X119" s="24" t="str">
        <f aca="false">IF(IFERROR(INDEX(tsk_Name,(ROW()-ROW(MSPTasks[[#Headers],[ID]])))="",TRUE()),"",IF(INDEX(tsk_IsSummary,(ROW()-ROW(MSPTasks[[#Headers],[ID]]))),"",INDEX(tsk_Sprint,(ROW()-ROW(MSPTasks[[#Headers],[ID]])))&amp;""))</f>
        <v/>
      </c>
      <c r="Y119" s="24" t="str">
        <f aca="false">IF(IFERROR(INDEX(tsk_Name,(ROW()-ROW(MSPTasks[[#Headers],[ID]])))="",TRUE()),"",IF(INDEX(tsk_IsSummary,(ROW()-ROW(MSPTasks[[#Headers],[ID]]))),"",IF(N(INDEX(tsk_StoryPoints,(ROW()-ROW(MSPTasks[[#Headers],[ID]]))))=0,"",INDEX(tsk_StoryPoints,(ROW()-ROW(MSPTasks[[#Headers],[ID]]))))))</f>
        <v/>
      </c>
      <c r="Z119" s="24" t="str">
        <f aca="false">IF(IFERROR(INDEX(tsk_Name,(ROW()-ROW(MSPTasks[[#Headers],[ID]])))="",TRUE()),"",INDEX(tsk_Notes,(ROW()-ROW(MSPTasks[[#Headers],[ID]])))&amp;"")</f>
        <v/>
      </c>
    </row>
    <row r="120" customFormat="false" ht="15" hidden="false" customHeight="false" outlineLevel="0" collapsed="false">
      <c r="A120" s="24" t="str">
        <f aca="false">IF(IFERROR(INDEX(tsk_Name,(ROW()-ROW(MSPTasks[[#Headers],[ID]])))="",TRUE()),"",INDEX(tsk_ID,(ROW()-ROW(MSPTasks[[#Headers],[ID]]))))</f>
        <v/>
      </c>
      <c r="B120" s="24" t="str">
        <f aca="false">IF(IFERROR(INDEX(tsk_Name,(ROW()-ROW(MSPTasks[[#Headers],[ID]])))="",TRUE()),"",INDEX(tsk_UID,(ROW()-ROW(MSPTasks[[#Headers],[ID]]))))</f>
        <v/>
      </c>
      <c r="C120" s="24" t="str">
        <f aca="false">IF(IFERROR(INDEX(tsk_Name,(ROW()-ROW(MSPTasks[[#Headers],[ID]])))="",TRUE()),"",INDEX(tsk_Name,(ROW()-ROW(MSPTasks[[#Headers],[ID]]))))</f>
        <v/>
      </c>
      <c r="D120" s="24" t="str">
        <f aca="false">IF(IFERROR(INDEX(tsk_Name,(ROW()-ROW(MSPTasks[[#Headers],[ID]])))="",TRUE()),"",INDEX(tsk_Level,(ROW()-ROW(MSPTasks[[#Headers],[ID]]))))</f>
        <v/>
      </c>
      <c r="E120" s="24" t="str">
        <f aca="false">IF(IFERROR(INDEX(tsk_Name,(ROW()-ROW(MSPTasks[[#Headers],[ID]])))="",TRUE()),"",IF(INDEX(tsk_Mode,(ROW()-ROW(MSPTasks[[#Headers],[ID]])))="Manual","Manually Scheduled","Auto Scheduled"))</f>
        <v/>
      </c>
      <c r="F120" s="24" t="str">
        <f aca="false">IF(IFERROR(INDEX(tsk_Name,(ROW()-ROW(MSPTasks[[#Headers],[ID]])))="",TRUE()),"",IF(INDEX(tsk_IsSummary,(ROW()-ROW(MSPTasks[[#Headers],[ID]]))),"",N(INDEX(tsk_Duration,(ROW()-ROW(MSPTasks[[#Headers],[ID]]))))&amp;"d"))</f>
        <v/>
      </c>
      <c r="G120" s="127" t="str">
        <f aca="false">IF(IFERROR(INDEX(tsk_Name,(ROW()-ROW(MSPTasks[[#Headers],[ID]])))="",TRUE()),"",INDEX(tsk_FcStart,(ROW()-ROW(MSPTasks[[#Headers],[ID]]))))</f>
        <v/>
      </c>
      <c r="H120" s="127" t="str">
        <f aca="false">IF(IFERROR(INDEX(tsk_Name,(ROW()-ROW(MSPTasks[[#Headers],[ID]])))="",TRUE()),"",INDEX(tsk_FcFinish,(ROW()-ROW(MSPTasks[[#Headers],[ID]]))))</f>
        <v/>
      </c>
      <c r="I120" s="24" t="str">
        <f aca="false">IF(IFERROR(INDEX(tsk_Name,(ROW()-ROW(MSPTasks[[#Headers],[ID]])))="",TRUE()),"",IF(INDEX(tsk_IsSummary,(ROW()-ROW(MSPTasks[[#Headers],[ID]]))),"",INDEX(tsk_Predecessors,(ROW()-ROW(MSPTasks[[#Headers],[ID]])))))</f>
        <v/>
      </c>
      <c r="J120" s="24" t="str">
        <f aca="false">IF(IFERROR(INDEX(tsk_Name,(ROW()-ROW(MSPTasks[[#Headers],[ID]])))="",TRUE()),"",IF(INDEX(tsk_IsSummary,(ROW()-ROW(MSPTasks[[#Headers],[ID]]))),"",INDEX(tsk_UIDPredecessors,(ROW()-ROW(MSPTasks[[#Headers],[ID]])))))</f>
        <v/>
      </c>
      <c r="K12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0" s="24" t="str">
        <f aca="false">IF(IFERROR(INDEX(tsk_Name,(ROW()-ROW(MSPTasks[[#Headers],[ID]])))="",TRUE()),"",IF(INDEX(tsk_IsSummary,(ROW()-ROW(MSPTasks[[#Headers],[ID]]))),"",ROUND(INDEX(tsk_Progress,(ROW()-ROW(MSPTasks[[#Headers],[ID]])))*100,0)))</f>
        <v/>
      </c>
      <c r="M120" s="127" t="str">
        <f aca="false">IF(IFERROR(INDEX(tsk_Name,(ROW()-ROW(MSPTasks[[#Headers],[ID]])))="",TRUE()),"",IF(N(INDEX(tsk_ActStart,(ROW()-ROW(MSPTasks[[#Headers],[ID]]))))=0,"",INDEX(tsk_ActStart,(ROW()-ROW(MSPTasks[[#Headers],[ID]])))))</f>
        <v/>
      </c>
      <c r="N120" s="127" t="str">
        <f aca="false">IF(IFERROR(INDEX(tsk_Name,(ROW()-ROW(MSPTasks[[#Headers],[ID]])))="",TRUE()),"",IF(N(INDEX(tsk_ActFinish,(ROW()-ROW(MSPTasks[[#Headers],[ID]]))))=0,"",INDEX(tsk_ActFinish,(ROW()-ROW(MSPTasks[[#Headers],[ID]])))))</f>
        <v/>
      </c>
      <c r="O120" s="127" t="str">
        <f aca="false">IF(IFERROR(INDEX(tsk_Name,(ROW()-ROW(MSPTasks[[#Headers],[ID]])))="",TRUE()),"",INDEX(tsk_PlanStart,(ROW()-ROW(MSPTasks[[#Headers],[ID]]))))</f>
        <v/>
      </c>
      <c r="P120" s="127" t="str">
        <f aca="false">IF(IFERROR(INDEX(tsk_Name,(ROW()-ROW(MSPTasks[[#Headers],[ID]])))="",TRUE()),"",INDEX(tsk_PlanFinish,(ROW()-ROW(MSPTasks[[#Headers],[ID]]))))</f>
        <v/>
      </c>
      <c r="Q120" s="24" t="str">
        <f aca="false">IF(IFERROR(INDEX(tsk_Name,(ROW()-ROW(MSPTasks[[#Headers],[ID]])))="",TRUE()),"",IF(INDEX(tsk_BaseDuration,(ROW()-ROW(MSPTasks[[#Headers],[ID]])))="","",N(INDEX(tsk_BaseDuration,(ROW()-ROW(MSPTasks[[#Headers],[ID]]))))&amp;"d"))</f>
        <v/>
      </c>
      <c r="R120" s="24" t="str">
        <f aca="false">IF(IFERROR(INDEX(tsk_Name,(ROW()-ROW(MSPTasks[[#Headers],[ID]])))="",TRUE()),"",IF(INDEX(tsk_BaseWork,(ROW()-ROW(MSPTasks[[#Headers],[ID]])))="","",N(INDEX(tsk_BaseWork,(ROW()-ROW(MSPTasks[[#Headers],[ID]]))))&amp;"h"))</f>
        <v/>
      </c>
      <c r="S120" s="24" t="str">
        <f aca="false">IF(IFERROR(INDEX(tsk_Name,(ROW()-ROW(MSPTasks[[#Headers],[ID]])))="",TRUE()),"",IF(INDEX(tsk_BaseCost,(ROW()-ROW(MSPTasks[[#Headers],[ID]])))="","",N(INDEX(tsk_BaseCost,(ROW()-ROW(MSPTasks[[#Headers],[ID]]))))))</f>
        <v/>
      </c>
      <c r="T120" s="24" t="str">
        <f aca="false">IF(IFERROR(INDEX(tsk_Name,(ROW()-ROW(MSPTasks[[#Headers],[ID]])))="",TRUE()),"",IF(INDEX(tsk_IsSummary,(ROW()-ROW(MSPTasks[[#Headers],[ID]]))),"",IF(N(INDEX(tsk_ActCostInput,(ROW()-ROW(MSPTasks[[#Headers],[ID]]))))=0,"",INDEX(tsk_ActCostInput,(ROW()-ROW(MSPTasks[[#Headers],[ID]]))))))</f>
        <v/>
      </c>
      <c r="U120" s="24" t="str">
        <f aca="false">IF(IFERROR(INDEX(tsk_Name,(ROW()-ROW(MSPTasks[[#Headers],[ID]])))="",TRUE()),"",IF(INDEX(tsk_IsSummary,(ROW()-ROW(MSPTasks[[#Headers],[ID]]))),"",IF(AND(INDEX(tsk_Mode,(ROW()-ROW(MSPTasks[[#Headers],[ID]])))&lt;&gt;"Manual",N(INDEX(tsk_Constraint,(ROW()-ROW(MSPTasks[[#Headers],[ID]]))))&gt;0),"Start No Earlier Than","As Soon As Possible")))</f>
        <v/>
      </c>
      <c r="V120" s="127" t="str">
        <f aca="false">IF(IFERROR(INDEX(tsk_Name,(ROW()-ROW(MSPTasks[[#Headers],[ID]])))="",TRUE()),"",IF(OR(INDEX(tsk_IsSummary,(ROW()-ROW(MSPTasks[[#Headers],[ID]]))),INDEX(tsk_Mode,(ROW()-ROW(MSPTasks[[#Headers],[ID]])))="Manual"),"",IF(N(INDEX(tsk_Constraint,(ROW()-ROW(MSPTasks[[#Headers],[ID]]))))=0,"",INDEX(tsk_Constraint,(ROW()-ROW(MSPTasks[[#Headers],[ID]]))))))</f>
        <v/>
      </c>
      <c r="W120" s="127" t="str">
        <f aca="false">IF(IFERROR(INDEX(tsk_Name,(ROW()-ROW(MSPTasks[[#Headers],[ID]])))="",TRUE()),"",IF(N(INDEX(tsk_Deadline,(ROW()-ROW(MSPTasks[[#Headers],[ID]]))))=0,"",INDEX(tsk_Deadline,(ROW()-ROW(MSPTasks[[#Headers],[ID]])))))</f>
        <v/>
      </c>
      <c r="X120" s="24" t="str">
        <f aca="false">IF(IFERROR(INDEX(tsk_Name,(ROW()-ROW(MSPTasks[[#Headers],[ID]])))="",TRUE()),"",IF(INDEX(tsk_IsSummary,(ROW()-ROW(MSPTasks[[#Headers],[ID]]))),"",INDEX(tsk_Sprint,(ROW()-ROW(MSPTasks[[#Headers],[ID]])))&amp;""))</f>
        <v/>
      </c>
      <c r="Y120" s="24" t="str">
        <f aca="false">IF(IFERROR(INDEX(tsk_Name,(ROW()-ROW(MSPTasks[[#Headers],[ID]])))="",TRUE()),"",IF(INDEX(tsk_IsSummary,(ROW()-ROW(MSPTasks[[#Headers],[ID]]))),"",IF(N(INDEX(tsk_StoryPoints,(ROW()-ROW(MSPTasks[[#Headers],[ID]]))))=0,"",INDEX(tsk_StoryPoints,(ROW()-ROW(MSPTasks[[#Headers],[ID]]))))))</f>
        <v/>
      </c>
      <c r="Z120" s="24" t="str">
        <f aca="false">IF(IFERROR(INDEX(tsk_Name,(ROW()-ROW(MSPTasks[[#Headers],[ID]])))="",TRUE()),"",INDEX(tsk_Notes,(ROW()-ROW(MSPTasks[[#Headers],[ID]])))&amp;"")</f>
        <v/>
      </c>
    </row>
    <row r="121" customFormat="false" ht="15" hidden="false" customHeight="false" outlineLevel="0" collapsed="false">
      <c r="A121" s="24" t="str">
        <f aca="false">IF(IFERROR(INDEX(tsk_Name,(ROW()-ROW(MSPTasks[[#Headers],[ID]])))="",TRUE()),"",INDEX(tsk_ID,(ROW()-ROW(MSPTasks[[#Headers],[ID]]))))</f>
        <v/>
      </c>
      <c r="B121" s="24" t="str">
        <f aca="false">IF(IFERROR(INDEX(tsk_Name,(ROW()-ROW(MSPTasks[[#Headers],[ID]])))="",TRUE()),"",INDEX(tsk_UID,(ROW()-ROW(MSPTasks[[#Headers],[ID]]))))</f>
        <v/>
      </c>
      <c r="C121" s="24" t="str">
        <f aca="false">IF(IFERROR(INDEX(tsk_Name,(ROW()-ROW(MSPTasks[[#Headers],[ID]])))="",TRUE()),"",INDEX(tsk_Name,(ROW()-ROW(MSPTasks[[#Headers],[ID]]))))</f>
        <v/>
      </c>
      <c r="D121" s="24" t="str">
        <f aca="false">IF(IFERROR(INDEX(tsk_Name,(ROW()-ROW(MSPTasks[[#Headers],[ID]])))="",TRUE()),"",INDEX(tsk_Level,(ROW()-ROW(MSPTasks[[#Headers],[ID]]))))</f>
        <v/>
      </c>
      <c r="E121" s="24" t="str">
        <f aca="false">IF(IFERROR(INDEX(tsk_Name,(ROW()-ROW(MSPTasks[[#Headers],[ID]])))="",TRUE()),"",IF(INDEX(tsk_Mode,(ROW()-ROW(MSPTasks[[#Headers],[ID]])))="Manual","Manually Scheduled","Auto Scheduled"))</f>
        <v/>
      </c>
      <c r="F121" s="24" t="str">
        <f aca="false">IF(IFERROR(INDEX(tsk_Name,(ROW()-ROW(MSPTasks[[#Headers],[ID]])))="",TRUE()),"",IF(INDEX(tsk_IsSummary,(ROW()-ROW(MSPTasks[[#Headers],[ID]]))),"",N(INDEX(tsk_Duration,(ROW()-ROW(MSPTasks[[#Headers],[ID]]))))&amp;"d"))</f>
        <v/>
      </c>
      <c r="G121" s="127" t="str">
        <f aca="false">IF(IFERROR(INDEX(tsk_Name,(ROW()-ROW(MSPTasks[[#Headers],[ID]])))="",TRUE()),"",INDEX(tsk_FcStart,(ROW()-ROW(MSPTasks[[#Headers],[ID]]))))</f>
        <v/>
      </c>
      <c r="H121" s="127" t="str">
        <f aca="false">IF(IFERROR(INDEX(tsk_Name,(ROW()-ROW(MSPTasks[[#Headers],[ID]])))="",TRUE()),"",INDEX(tsk_FcFinish,(ROW()-ROW(MSPTasks[[#Headers],[ID]]))))</f>
        <v/>
      </c>
      <c r="I121" s="24" t="str">
        <f aca="false">IF(IFERROR(INDEX(tsk_Name,(ROW()-ROW(MSPTasks[[#Headers],[ID]])))="",TRUE()),"",IF(INDEX(tsk_IsSummary,(ROW()-ROW(MSPTasks[[#Headers],[ID]]))),"",INDEX(tsk_Predecessors,(ROW()-ROW(MSPTasks[[#Headers],[ID]])))))</f>
        <v/>
      </c>
      <c r="J121" s="24" t="str">
        <f aca="false">IF(IFERROR(INDEX(tsk_Name,(ROW()-ROW(MSPTasks[[#Headers],[ID]])))="",TRUE()),"",IF(INDEX(tsk_IsSummary,(ROW()-ROW(MSPTasks[[#Headers],[ID]]))),"",INDEX(tsk_UIDPredecessors,(ROW()-ROW(MSPTasks[[#Headers],[ID]])))))</f>
        <v/>
      </c>
      <c r="K12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1" s="24" t="str">
        <f aca="false">IF(IFERROR(INDEX(tsk_Name,(ROW()-ROW(MSPTasks[[#Headers],[ID]])))="",TRUE()),"",IF(INDEX(tsk_IsSummary,(ROW()-ROW(MSPTasks[[#Headers],[ID]]))),"",ROUND(INDEX(tsk_Progress,(ROW()-ROW(MSPTasks[[#Headers],[ID]])))*100,0)))</f>
        <v/>
      </c>
      <c r="M121" s="127" t="str">
        <f aca="false">IF(IFERROR(INDEX(tsk_Name,(ROW()-ROW(MSPTasks[[#Headers],[ID]])))="",TRUE()),"",IF(N(INDEX(tsk_ActStart,(ROW()-ROW(MSPTasks[[#Headers],[ID]]))))=0,"",INDEX(tsk_ActStart,(ROW()-ROW(MSPTasks[[#Headers],[ID]])))))</f>
        <v/>
      </c>
      <c r="N121" s="127" t="str">
        <f aca="false">IF(IFERROR(INDEX(tsk_Name,(ROW()-ROW(MSPTasks[[#Headers],[ID]])))="",TRUE()),"",IF(N(INDEX(tsk_ActFinish,(ROW()-ROW(MSPTasks[[#Headers],[ID]]))))=0,"",INDEX(tsk_ActFinish,(ROW()-ROW(MSPTasks[[#Headers],[ID]])))))</f>
        <v/>
      </c>
      <c r="O121" s="127" t="str">
        <f aca="false">IF(IFERROR(INDEX(tsk_Name,(ROW()-ROW(MSPTasks[[#Headers],[ID]])))="",TRUE()),"",INDEX(tsk_PlanStart,(ROW()-ROW(MSPTasks[[#Headers],[ID]]))))</f>
        <v/>
      </c>
      <c r="P121" s="127" t="str">
        <f aca="false">IF(IFERROR(INDEX(tsk_Name,(ROW()-ROW(MSPTasks[[#Headers],[ID]])))="",TRUE()),"",INDEX(tsk_PlanFinish,(ROW()-ROW(MSPTasks[[#Headers],[ID]]))))</f>
        <v/>
      </c>
      <c r="Q121" s="24" t="str">
        <f aca="false">IF(IFERROR(INDEX(tsk_Name,(ROW()-ROW(MSPTasks[[#Headers],[ID]])))="",TRUE()),"",IF(INDEX(tsk_BaseDuration,(ROW()-ROW(MSPTasks[[#Headers],[ID]])))="","",N(INDEX(tsk_BaseDuration,(ROW()-ROW(MSPTasks[[#Headers],[ID]]))))&amp;"d"))</f>
        <v/>
      </c>
      <c r="R121" s="24" t="str">
        <f aca="false">IF(IFERROR(INDEX(tsk_Name,(ROW()-ROW(MSPTasks[[#Headers],[ID]])))="",TRUE()),"",IF(INDEX(tsk_BaseWork,(ROW()-ROW(MSPTasks[[#Headers],[ID]])))="","",N(INDEX(tsk_BaseWork,(ROW()-ROW(MSPTasks[[#Headers],[ID]]))))&amp;"h"))</f>
        <v/>
      </c>
      <c r="S121" s="24" t="str">
        <f aca="false">IF(IFERROR(INDEX(tsk_Name,(ROW()-ROW(MSPTasks[[#Headers],[ID]])))="",TRUE()),"",IF(INDEX(tsk_BaseCost,(ROW()-ROW(MSPTasks[[#Headers],[ID]])))="","",N(INDEX(tsk_BaseCost,(ROW()-ROW(MSPTasks[[#Headers],[ID]]))))))</f>
        <v/>
      </c>
      <c r="T121" s="24" t="str">
        <f aca="false">IF(IFERROR(INDEX(tsk_Name,(ROW()-ROW(MSPTasks[[#Headers],[ID]])))="",TRUE()),"",IF(INDEX(tsk_IsSummary,(ROW()-ROW(MSPTasks[[#Headers],[ID]]))),"",IF(N(INDEX(tsk_ActCostInput,(ROW()-ROW(MSPTasks[[#Headers],[ID]]))))=0,"",INDEX(tsk_ActCostInput,(ROW()-ROW(MSPTasks[[#Headers],[ID]]))))))</f>
        <v/>
      </c>
      <c r="U121" s="24" t="str">
        <f aca="false">IF(IFERROR(INDEX(tsk_Name,(ROW()-ROW(MSPTasks[[#Headers],[ID]])))="",TRUE()),"",IF(INDEX(tsk_IsSummary,(ROW()-ROW(MSPTasks[[#Headers],[ID]]))),"",IF(AND(INDEX(tsk_Mode,(ROW()-ROW(MSPTasks[[#Headers],[ID]])))&lt;&gt;"Manual",N(INDEX(tsk_Constraint,(ROW()-ROW(MSPTasks[[#Headers],[ID]]))))&gt;0),"Start No Earlier Than","As Soon As Possible")))</f>
        <v/>
      </c>
      <c r="V121" s="127" t="str">
        <f aca="false">IF(IFERROR(INDEX(tsk_Name,(ROW()-ROW(MSPTasks[[#Headers],[ID]])))="",TRUE()),"",IF(OR(INDEX(tsk_IsSummary,(ROW()-ROW(MSPTasks[[#Headers],[ID]]))),INDEX(tsk_Mode,(ROW()-ROW(MSPTasks[[#Headers],[ID]])))="Manual"),"",IF(N(INDEX(tsk_Constraint,(ROW()-ROW(MSPTasks[[#Headers],[ID]]))))=0,"",INDEX(tsk_Constraint,(ROW()-ROW(MSPTasks[[#Headers],[ID]]))))))</f>
        <v/>
      </c>
      <c r="W121" s="127" t="str">
        <f aca="false">IF(IFERROR(INDEX(tsk_Name,(ROW()-ROW(MSPTasks[[#Headers],[ID]])))="",TRUE()),"",IF(N(INDEX(tsk_Deadline,(ROW()-ROW(MSPTasks[[#Headers],[ID]]))))=0,"",INDEX(tsk_Deadline,(ROW()-ROW(MSPTasks[[#Headers],[ID]])))))</f>
        <v/>
      </c>
      <c r="X121" s="24" t="str">
        <f aca="false">IF(IFERROR(INDEX(tsk_Name,(ROW()-ROW(MSPTasks[[#Headers],[ID]])))="",TRUE()),"",IF(INDEX(tsk_IsSummary,(ROW()-ROW(MSPTasks[[#Headers],[ID]]))),"",INDEX(tsk_Sprint,(ROW()-ROW(MSPTasks[[#Headers],[ID]])))&amp;""))</f>
        <v/>
      </c>
      <c r="Y121" s="24" t="str">
        <f aca="false">IF(IFERROR(INDEX(tsk_Name,(ROW()-ROW(MSPTasks[[#Headers],[ID]])))="",TRUE()),"",IF(INDEX(tsk_IsSummary,(ROW()-ROW(MSPTasks[[#Headers],[ID]]))),"",IF(N(INDEX(tsk_StoryPoints,(ROW()-ROW(MSPTasks[[#Headers],[ID]]))))=0,"",INDEX(tsk_StoryPoints,(ROW()-ROW(MSPTasks[[#Headers],[ID]]))))))</f>
        <v/>
      </c>
      <c r="Z121" s="24" t="str">
        <f aca="false">IF(IFERROR(INDEX(tsk_Name,(ROW()-ROW(MSPTasks[[#Headers],[ID]])))="",TRUE()),"",INDEX(tsk_Notes,(ROW()-ROW(MSPTasks[[#Headers],[ID]])))&amp;"")</f>
        <v/>
      </c>
    </row>
    <row r="122" customFormat="false" ht="15" hidden="false" customHeight="false" outlineLevel="0" collapsed="false">
      <c r="A122" s="24" t="str">
        <f aca="false">IF(IFERROR(INDEX(tsk_Name,(ROW()-ROW(MSPTasks[[#Headers],[ID]])))="",TRUE()),"",INDEX(tsk_ID,(ROW()-ROW(MSPTasks[[#Headers],[ID]]))))</f>
        <v/>
      </c>
      <c r="B122" s="24" t="str">
        <f aca="false">IF(IFERROR(INDEX(tsk_Name,(ROW()-ROW(MSPTasks[[#Headers],[ID]])))="",TRUE()),"",INDEX(tsk_UID,(ROW()-ROW(MSPTasks[[#Headers],[ID]]))))</f>
        <v/>
      </c>
      <c r="C122" s="24" t="str">
        <f aca="false">IF(IFERROR(INDEX(tsk_Name,(ROW()-ROW(MSPTasks[[#Headers],[ID]])))="",TRUE()),"",INDEX(tsk_Name,(ROW()-ROW(MSPTasks[[#Headers],[ID]]))))</f>
        <v/>
      </c>
      <c r="D122" s="24" t="str">
        <f aca="false">IF(IFERROR(INDEX(tsk_Name,(ROW()-ROW(MSPTasks[[#Headers],[ID]])))="",TRUE()),"",INDEX(tsk_Level,(ROW()-ROW(MSPTasks[[#Headers],[ID]]))))</f>
        <v/>
      </c>
      <c r="E122" s="24" t="str">
        <f aca="false">IF(IFERROR(INDEX(tsk_Name,(ROW()-ROW(MSPTasks[[#Headers],[ID]])))="",TRUE()),"",IF(INDEX(tsk_Mode,(ROW()-ROW(MSPTasks[[#Headers],[ID]])))="Manual","Manually Scheduled","Auto Scheduled"))</f>
        <v/>
      </c>
      <c r="F122" s="24" t="str">
        <f aca="false">IF(IFERROR(INDEX(tsk_Name,(ROW()-ROW(MSPTasks[[#Headers],[ID]])))="",TRUE()),"",IF(INDEX(tsk_IsSummary,(ROW()-ROW(MSPTasks[[#Headers],[ID]]))),"",N(INDEX(tsk_Duration,(ROW()-ROW(MSPTasks[[#Headers],[ID]]))))&amp;"d"))</f>
        <v/>
      </c>
      <c r="G122" s="127" t="str">
        <f aca="false">IF(IFERROR(INDEX(tsk_Name,(ROW()-ROW(MSPTasks[[#Headers],[ID]])))="",TRUE()),"",INDEX(tsk_FcStart,(ROW()-ROW(MSPTasks[[#Headers],[ID]]))))</f>
        <v/>
      </c>
      <c r="H122" s="127" t="str">
        <f aca="false">IF(IFERROR(INDEX(tsk_Name,(ROW()-ROW(MSPTasks[[#Headers],[ID]])))="",TRUE()),"",INDEX(tsk_FcFinish,(ROW()-ROW(MSPTasks[[#Headers],[ID]]))))</f>
        <v/>
      </c>
      <c r="I122" s="24" t="str">
        <f aca="false">IF(IFERROR(INDEX(tsk_Name,(ROW()-ROW(MSPTasks[[#Headers],[ID]])))="",TRUE()),"",IF(INDEX(tsk_IsSummary,(ROW()-ROW(MSPTasks[[#Headers],[ID]]))),"",INDEX(tsk_Predecessors,(ROW()-ROW(MSPTasks[[#Headers],[ID]])))))</f>
        <v/>
      </c>
      <c r="J122" s="24" t="str">
        <f aca="false">IF(IFERROR(INDEX(tsk_Name,(ROW()-ROW(MSPTasks[[#Headers],[ID]])))="",TRUE()),"",IF(INDEX(tsk_IsSummary,(ROW()-ROW(MSPTasks[[#Headers],[ID]]))),"",INDEX(tsk_UIDPredecessors,(ROW()-ROW(MSPTasks[[#Headers],[ID]])))))</f>
        <v/>
      </c>
      <c r="K12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2" s="24" t="str">
        <f aca="false">IF(IFERROR(INDEX(tsk_Name,(ROW()-ROW(MSPTasks[[#Headers],[ID]])))="",TRUE()),"",IF(INDEX(tsk_IsSummary,(ROW()-ROW(MSPTasks[[#Headers],[ID]]))),"",ROUND(INDEX(tsk_Progress,(ROW()-ROW(MSPTasks[[#Headers],[ID]])))*100,0)))</f>
        <v/>
      </c>
      <c r="M122" s="127" t="str">
        <f aca="false">IF(IFERROR(INDEX(tsk_Name,(ROW()-ROW(MSPTasks[[#Headers],[ID]])))="",TRUE()),"",IF(N(INDEX(tsk_ActStart,(ROW()-ROW(MSPTasks[[#Headers],[ID]]))))=0,"",INDEX(tsk_ActStart,(ROW()-ROW(MSPTasks[[#Headers],[ID]])))))</f>
        <v/>
      </c>
      <c r="N122" s="127" t="str">
        <f aca="false">IF(IFERROR(INDEX(tsk_Name,(ROW()-ROW(MSPTasks[[#Headers],[ID]])))="",TRUE()),"",IF(N(INDEX(tsk_ActFinish,(ROW()-ROW(MSPTasks[[#Headers],[ID]]))))=0,"",INDEX(tsk_ActFinish,(ROW()-ROW(MSPTasks[[#Headers],[ID]])))))</f>
        <v/>
      </c>
      <c r="O122" s="127" t="str">
        <f aca="false">IF(IFERROR(INDEX(tsk_Name,(ROW()-ROW(MSPTasks[[#Headers],[ID]])))="",TRUE()),"",INDEX(tsk_PlanStart,(ROW()-ROW(MSPTasks[[#Headers],[ID]]))))</f>
        <v/>
      </c>
      <c r="P122" s="127" t="str">
        <f aca="false">IF(IFERROR(INDEX(tsk_Name,(ROW()-ROW(MSPTasks[[#Headers],[ID]])))="",TRUE()),"",INDEX(tsk_PlanFinish,(ROW()-ROW(MSPTasks[[#Headers],[ID]]))))</f>
        <v/>
      </c>
      <c r="Q122" s="24" t="str">
        <f aca="false">IF(IFERROR(INDEX(tsk_Name,(ROW()-ROW(MSPTasks[[#Headers],[ID]])))="",TRUE()),"",IF(INDEX(tsk_BaseDuration,(ROW()-ROW(MSPTasks[[#Headers],[ID]])))="","",N(INDEX(tsk_BaseDuration,(ROW()-ROW(MSPTasks[[#Headers],[ID]]))))&amp;"d"))</f>
        <v/>
      </c>
      <c r="R122" s="24" t="str">
        <f aca="false">IF(IFERROR(INDEX(tsk_Name,(ROW()-ROW(MSPTasks[[#Headers],[ID]])))="",TRUE()),"",IF(INDEX(tsk_BaseWork,(ROW()-ROW(MSPTasks[[#Headers],[ID]])))="","",N(INDEX(tsk_BaseWork,(ROW()-ROW(MSPTasks[[#Headers],[ID]]))))&amp;"h"))</f>
        <v/>
      </c>
      <c r="S122" s="24" t="str">
        <f aca="false">IF(IFERROR(INDEX(tsk_Name,(ROW()-ROW(MSPTasks[[#Headers],[ID]])))="",TRUE()),"",IF(INDEX(tsk_BaseCost,(ROW()-ROW(MSPTasks[[#Headers],[ID]])))="","",N(INDEX(tsk_BaseCost,(ROW()-ROW(MSPTasks[[#Headers],[ID]]))))))</f>
        <v/>
      </c>
      <c r="T122" s="24" t="str">
        <f aca="false">IF(IFERROR(INDEX(tsk_Name,(ROW()-ROW(MSPTasks[[#Headers],[ID]])))="",TRUE()),"",IF(INDEX(tsk_IsSummary,(ROW()-ROW(MSPTasks[[#Headers],[ID]]))),"",IF(N(INDEX(tsk_ActCostInput,(ROW()-ROW(MSPTasks[[#Headers],[ID]]))))=0,"",INDEX(tsk_ActCostInput,(ROW()-ROW(MSPTasks[[#Headers],[ID]]))))))</f>
        <v/>
      </c>
      <c r="U122" s="24" t="str">
        <f aca="false">IF(IFERROR(INDEX(tsk_Name,(ROW()-ROW(MSPTasks[[#Headers],[ID]])))="",TRUE()),"",IF(INDEX(tsk_IsSummary,(ROW()-ROW(MSPTasks[[#Headers],[ID]]))),"",IF(AND(INDEX(tsk_Mode,(ROW()-ROW(MSPTasks[[#Headers],[ID]])))&lt;&gt;"Manual",N(INDEX(tsk_Constraint,(ROW()-ROW(MSPTasks[[#Headers],[ID]]))))&gt;0),"Start No Earlier Than","As Soon As Possible")))</f>
        <v/>
      </c>
      <c r="V122" s="127" t="str">
        <f aca="false">IF(IFERROR(INDEX(tsk_Name,(ROW()-ROW(MSPTasks[[#Headers],[ID]])))="",TRUE()),"",IF(OR(INDEX(tsk_IsSummary,(ROW()-ROW(MSPTasks[[#Headers],[ID]]))),INDEX(tsk_Mode,(ROW()-ROW(MSPTasks[[#Headers],[ID]])))="Manual"),"",IF(N(INDEX(tsk_Constraint,(ROW()-ROW(MSPTasks[[#Headers],[ID]]))))=0,"",INDEX(tsk_Constraint,(ROW()-ROW(MSPTasks[[#Headers],[ID]]))))))</f>
        <v/>
      </c>
      <c r="W122" s="127" t="str">
        <f aca="false">IF(IFERROR(INDEX(tsk_Name,(ROW()-ROW(MSPTasks[[#Headers],[ID]])))="",TRUE()),"",IF(N(INDEX(tsk_Deadline,(ROW()-ROW(MSPTasks[[#Headers],[ID]]))))=0,"",INDEX(tsk_Deadline,(ROW()-ROW(MSPTasks[[#Headers],[ID]])))))</f>
        <v/>
      </c>
      <c r="X122" s="24" t="str">
        <f aca="false">IF(IFERROR(INDEX(tsk_Name,(ROW()-ROW(MSPTasks[[#Headers],[ID]])))="",TRUE()),"",IF(INDEX(tsk_IsSummary,(ROW()-ROW(MSPTasks[[#Headers],[ID]]))),"",INDEX(tsk_Sprint,(ROW()-ROW(MSPTasks[[#Headers],[ID]])))&amp;""))</f>
        <v/>
      </c>
      <c r="Y122" s="24" t="str">
        <f aca="false">IF(IFERROR(INDEX(tsk_Name,(ROW()-ROW(MSPTasks[[#Headers],[ID]])))="",TRUE()),"",IF(INDEX(tsk_IsSummary,(ROW()-ROW(MSPTasks[[#Headers],[ID]]))),"",IF(N(INDEX(tsk_StoryPoints,(ROW()-ROW(MSPTasks[[#Headers],[ID]]))))=0,"",INDEX(tsk_StoryPoints,(ROW()-ROW(MSPTasks[[#Headers],[ID]]))))))</f>
        <v/>
      </c>
      <c r="Z122" s="24" t="str">
        <f aca="false">IF(IFERROR(INDEX(tsk_Name,(ROW()-ROW(MSPTasks[[#Headers],[ID]])))="",TRUE()),"",INDEX(tsk_Notes,(ROW()-ROW(MSPTasks[[#Headers],[ID]])))&amp;"")</f>
        <v/>
      </c>
    </row>
    <row r="123" customFormat="false" ht="15" hidden="false" customHeight="false" outlineLevel="0" collapsed="false">
      <c r="A123" s="24" t="str">
        <f aca="false">IF(IFERROR(INDEX(tsk_Name,(ROW()-ROW(MSPTasks[[#Headers],[ID]])))="",TRUE()),"",INDEX(tsk_ID,(ROW()-ROW(MSPTasks[[#Headers],[ID]]))))</f>
        <v/>
      </c>
      <c r="B123" s="24" t="str">
        <f aca="false">IF(IFERROR(INDEX(tsk_Name,(ROW()-ROW(MSPTasks[[#Headers],[ID]])))="",TRUE()),"",INDEX(tsk_UID,(ROW()-ROW(MSPTasks[[#Headers],[ID]]))))</f>
        <v/>
      </c>
      <c r="C123" s="24" t="str">
        <f aca="false">IF(IFERROR(INDEX(tsk_Name,(ROW()-ROW(MSPTasks[[#Headers],[ID]])))="",TRUE()),"",INDEX(tsk_Name,(ROW()-ROW(MSPTasks[[#Headers],[ID]]))))</f>
        <v/>
      </c>
      <c r="D123" s="24" t="str">
        <f aca="false">IF(IFERROR(INDEX(tsk_Name,(ROW()-ROW(MSPTasks[[#Headers],[ID]])))="",TRUE()),"",INDEX(tsk_Level,(ROW()-ROW(MSPTasks[[#Headers],[ID]]))))</f>
        <v/>
      </c>
      <c r="E123" s="24" t="str">
        <f aca="false">IF(IFERROR(INDEX(tsk_Name,(ROW()-ROW(MSPTasks[[#Headers],[ID]])))="",TRUE()),"",IF(INDEX(tsk_Mode,(ROW()-ROW(MSPTasks[[#Headers],[ID]])))="Manual","Manually Scheduled","Auto Scheduled"))</f>
        <v/>
      </c>
      <c r="F123" s="24" t="str">
        <f aca="false">IF(IFERROR(INDEX(tsk_Name,(ROW()-ROW(MSPTasks[[#Headers],[ID]])))="",TRUE()),"",IF(INDEX(tsk_IsSummary,(ROW()-ROW(MSPTasks[[#Headers],[ID]]))),"",N(INDEX(tsk_Duration,(ROW()-ROW(MSPTasks[[#Headers],[ID]]))))&amp;"d"))</f>
        <v/>
      </c>
      <c r="G123" s="127" t="str">
        <f aca="false">IF(IFERROR(INDEX(tsk_Name,(ROW()-ROW(MSPTasks[[#Headers],[ID]])))="",TRUE()),"",INDEX(tsk_FcStart,(ROW()-ROW(MSPTasks[[#Headers],[ID]]))))</f>
        <v/>
      </c>
      <c r="H123" s="127" t="str">
        <f aca="false">IF(IFERROR(INDEX(tsk_Name,(ROW()-ROW(MSPTasks[[#Headers],[ID]])))="",TRUE()),"",INDEX(tsk_FcFinish,(ROW()-ROW(MSPTasks[[#Headers],[ID]]))))</f>
        <v/>
      </c>
      <c r="I123" s="24" t="str">
        <f aca="false">IF(IFERROR(INDEX(tsk_Name,(ROW()-ROW(MSPTasks[[#Headers],[ID]])))="",TRUE()),"",IF(INDEX(tsk_IsSummary,(ROW()-ROW(MSPTasks[[#Headers],[ID]]))),"",INDEX(tsk_Predecessors,(ROW()-ROW(MSPTasks[[#Headers],[ID]])))))</f>
        <v/>
      </c>
      <c r="J123" s="24" t="str">
        <f aca="false">IF(IFERROR(INDEX(tsk_Name,(ROW()-ROW(MSPTasks[[#Headers],[ID]])))="",TRUE()),"",IF(INDEX(tsk_IsSummary,(ROW()-ROW(MSPTasks[[#Headers],[ID]]))),"",INDEX(tsk_UIDPredecessors,(ROW()-ROW(MSPTasks[[#Headers],[ID]])))))</f>
        <v/>
      </c>
      <c r="K12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3" s="24" t="str">
        <f aca="false">IF(IFERROR(INDEX(tsk_Name,(ROW()-ROW(MSPTasks[[#Headers],[ID]])))="",TRUE()),"",IF(INDEX(tsk_IsSummary,(ROW()-ROW(MSPTasks[[#Headers],[ID]]))),"",ROUND(INDEX(tsk_Progress,(ROW()-ROW(MSPTasks[[#Headers],[ID]])))*100,0)))</f>
        <v/>
      </c>
      <c r="M123" s="127" t="str">
        <f aca="false">IF(IFERROR(INDEX(tsk_Name,(ROW()-ROW(MSPTasks[[#Headers],[ID]])))="",TRUE()),"",IF(N(INDEX(tsk_ActStart,(ROW()-ROW(MSPTasks[[#Headers],[ID]]))))=0,"",INDEX(tsk_ActStart,(ROW()-ROW(MSPTasks[[#Headers],[ID]])))))</f>
        <v/>
      </c>
      <c r="N123" s="127" t="str">
        <f aca="false">IF(IFERROR(INDEX(tsk_Name,(ROW()-ROW(MSPTasks[[#Headers],[ID]])))="",TRUE()),"",IF(N(INDEX(tsk_ActFinish,(ROW()-ROW(MSPTasks[[#Headers],[ID]]))))=0,"",INDEX(tsk_ActFinish,(ROW()-ROW(MSPTasks[[#Headers],[ID]])))))</f>
        <v/>
      </c>
      <c r="O123" s="127" t="str">
        <f aca="false">IF(IFERROR(INDEX(tsk_Name,(ROW()-ROW(MSPTasks[[#Headers],[ID]])))="",TRUE()),"",INDEX(tsk_PlanStart,(ROW()-ROW(MSPTasks[[#Headers],[ID]]))))</f>
        <v/>
      </c>
      <c r="P123" s="127" t="str">
        <f aca="false">IF(IFERROR(INDEX(tsk_Name,(ROW()-ROW(MSPTasks[[#Headers],[ID]])))="",TRUE()),"",INDEX(tsk_PlanFinish,(ROW()-ROW(MSPTasks[[#Headers],[ID]]))))</f>
        <v/>
      </c>
      <c r="Q123" s="24" t="str">
        <f aca="false">IF(IFERROR(INDEX(tsk_Name,(ROW()-ROW(MSPTasks[[#Headers],[ID]])))="",TRUE()),"",IF(INDEX(tsk_BaseDuration,(ROW()-ROW(MSPTasks[[#Headers],[ID]])))="","",N(INDEX(tsk_BaseDuration,(ROW()-ROW(MSPTasks[[#Headers],[ID]]))))&amp;"d"))</f>
        <v/>
      </c>
      <c r="R123" s="24" t="str">
        <f aca="false">IF(IFERROR(INDEX(tsk_Name,(ROW()-ROW(MSPTasks[[#Headers],[ID]])))="",TRUE()),"",IF(INDEX(tsk_BaseWork,(ROW()-ROW(MSPTasks[[#Headers],[ID]])))="","",N(INDEX(tsk_BaseWork,(ROW()-ROW(MSPTasks[[#Headers],[ID]]))))&amp;"h"))</f>
        <v/>
      </c>
      <c r="S123" s="24" t="str">
        <f aca="false">IF(IFERROR(INDEX(tsk_Name,(ROW()-ROW(MSPTasks[[#Headers],[ID]])))="",TRUE()),"",IF(INDEX(tsk_BaseCost,(ROW()-ROW(MSPTasks[[#Headers],[ID]])))="","",N(INDEX(tsk_BaseCost,(ROW()-ROW(MSPTasks[[#Headers],[ID]]))))))</f>
        <v/>
      </c>
      <c r="T123" s="24" t="str">
        <f aca="false">IF(IFERROR(INDEX(tsk_Name,(ROW()-ROW(MSPTasks[[#Headers],[ID]])))="",TRUE()),"",IF(INDEX(tsk_IsSummary,(ROW()-ROW(MSPTasks[[#Headers],[ID]]))),"",IF(N(INDEX(tsk_ActCostInput,(ROW()-ROW(MSPTasks[[#Headers],[ID]]))))=0,"",INDEX(tsk_ActCostInput,(ROW()-ROW(MSPTasks[[#Headers],[ID]]))))))</f>
        <v/>
      </c>
      <c r="U123" s="24" t="str">
        <f aca="false">IF(IFERROR(INDEX(tsk_Name,(ROW()-ROW(MSPTasks[[#Headers],[ID]])))="",TRUE()),"",IF(INDEX(tsk_IsSummary,(ROW()-ROW(MSPTasks[[#Headers],[ID]]))),"",IF(AND(INDEX(tsk_Mode,(ROW()-ROW(MSPTasks[[#Headers],[ID]])))&lt;&gt;"Manual",N(INDEX(tsk_Constraint,(ROW()-ROW(MSPTasks[[#Headers],[ID]]))))&gt;0),"Start No Earlier Than","As Soon As Possible")))</f>
        <v/>
      </c>
      <c r="V123" s="127" t="str">
        <f aca="false">IF(IFERROR(INDEX(tsk_Name,(ROW()-ROW(MSPTasks[[#Headers],[ID]])))="",TRUE()),"",IF(OR(INDEX(tsk_IsSummary,(ROW()-ROW(MSPTasks[[#Headers],[ID]]))),INDEX(tsk_Mode,(ROW()-ROW(MSPTasks[[#Headers],[ID]])))="Manual"),"",IF(N(INDEX(tsk_Constraint,(ROW()-ROW(MSPTasks[[#Headers],[ID]]))))=0,"",INDEX(tsk_Constraint,(ROW()-ROW(MSPTasks[[#Headers],[ID]]))))))</f>
        <v/>
      </c>
      <c r="W123" s="127" t="str">
        <f aca="false">IF(IFERROR(INDEX(tsk_Name,(ROW()-ROW(MSPTasks[[#Headers],[ID]])))="",TRUE()),"",IF(N(INDEX(tsk_Deadline,(ROW()-ROW(MSPTasks[[#Headers],[ID]]))))=0,"",INDEX(tsk_Deadline,(ROW()-ROW(MSPTasks[[#Headers],[ID]])))))</f>
        <v/>
      </c>
      <c r="X123" s="24" t="str">
        <f aca="false">IF(IFERROR(INDEX(tsk_Name,(ROW()-ROW(MSPTasks[[#Headers],[ID]])))="",TRUE()),"",IF(INDEX(tsk_IsSummary,(ROW()-ROW(MSPTasks[[#Headers],[ID]]))),"",INDEX(tsk_Sprint,(ROW()-ROW(MSPTasks[[#Headers],[ID]])))&amp;""))</f>
        <v/>
      </c>
      <c r="Y123" s="24" t="str">
        <f aca="false">IF(IFERROR(INDEX(tsk_Name,(ROW()-ROW(MSPTasks[[#Headers],[ID]])))="",TRUE()),"",IF(INDEX(tsk_IsSummary,(ROW()-ROW(MSPTasks[[#Headers],[ID]]))),"",IF(N(INDEX(tsk_StoryPoints,(ROW()-ROW(MSPTasks[[#Headers],[ID]]))))=0,"",INDEX(tsk_StoryPoints,(ROW()-ROW(MSPTasks[[#Headers],[ID]]))))))</f>
        <v/>
      </c>
      <c r="Z123" s="24" t="str">
        <f aca="false">IF(IFERROR(INDEX(tsk_Name,(ROW()-ROW(MSPTasks[[#Headers],[ID]])))="",TRUE()),"",INDEX(tsk_Notes,(ROW()-ROW(MSPTasks[[#Headers],[ID]])))&amp;"")</f>
        <v/>
      </c>
    </row>
    <row r="124" customFormat="false" ht="15" hidden="false" customHeight="false" outlineLevel="0" collapsed="false">
      <c r="A124" s="24" t="str">
        <f aca="false">IF(IFERROR(INDEX(tsk_Name,(ROW()-ROW(MSPTasks[[#Headers],[ID]])))="",TRUE()),"",INDEX(tsk_ID,(ROW()-ROW(MSPTasks[[#Headers],[ID]]))))</f>
        <v/>
      </c>
      <c r="B124" s="24" t="str">
        <f aca="false">IF(IFERROR(INDEX(tsk_Name,(ROW()-ROW(MSPTasks[[#Headers],[ID]])))="",TRUE()),"",INDEX(tsk_UID,(ROW()-ROW(MSPTasks[[#Headers],[ID]]))))</f>
        <v/>
      </c>
      <c r="C124" s="24" t="str">
        <f aca="false">IF(IFERROR(INDEX(tsk_Name,(ROW()-ROW(MSPTasks[[#Headers],[ID]])))="",TRUE()),"",INDEX(tsk_Name,(ROW()-ROW(MSPTasks[[#Headers],[ID]]))))</f>
        <v/>
      </c>
      <c r="D124" s="24" t="str">
        <f aca="false">IF(IFERROR(INDEX(tsk_Name,(ROW()-ROW(MSPTasks[[#Headers],[ID]])))="",TRUE()),"",INDEX(tsk_Level,(ROW()-ROW(MSPTasks[[#Headers],[ID]]))))</f>
        <v/>
      </c>
      <c r="E124" s="24" t="str">
        <f aca="false">IF(IFERROR(INDEX(tsk_Name,(ROW()-ROW(MSPTasks[[#Headers],[ID]])))="",TRUE()),"",IF(INDEX(tsk_Mode,(ROW()-ROW(MSPTasks[[#Headers],[ID]])))="Manual","Manually Scheduled","Auto Scheduled"))</f>
        <v/>
      </c>
      <c r="F124" s="24" t="str">
        <f aca="false">IF(IFERROR(INDEX(tsk_Name,(ROW()-ROW(MSPTasks[[#Headers],[ID]])))="",TRUE()),"",IF(INDEX(tsk_IsSummary,(ROW()-ROW(MSPTasks[[#Headers],[ID]]))),"",N(INDEX(tsk_Duration,(ROW()-ROW(MSPTasks[[#Headers],[ID]]))))&amp;"d"))</f>
        <v/>
      </c>
      <c r="G124" s="127" t="str">
        <f aca="false">IF(IFERROR(INDEX(tsk_Name,(ROW()-ROW(MSPTasks[[#Headers],[ID]])))="",TRUE()),"",INDEX(tsk_FcStart,(ROW()-ROW(MSPTasks[[#Headers],[ID]]))))</f>
        <v/>
      </c>
      <c r="H124" s="127" t="str">
        <f aca="false">IF(IFERROR(INDEX(tsk_Name,(ROW()-ROW(MSPTasks[[#Headers],[ID]])))="",TRUE()),"",INDEX(tsk_FcFinish,(ROW()-ROW(MSPTasks[[#Headers],[ID]]))))</f>
        <v/>
      </c>
      <c r="I124" s="24" t="str">
        <f aca="false">IF(IFERROR(INDEX(tsk_Name,(ROW()-ROW(MSPTasks[[#Headers],[ID]])))="",TRUE()),"",IF(INDEX(tsk_IsSummary,(ROW()-ROW(MSPTasks[[#Headers],[ID]]))),"",INDEX(tsk_Predecessors,(ROW()-ROW(MSPTasks[[#Headers],[ID]])))))</f>
        <v/>
      </c>
      <c r="J124" s="24" t="str">
        <f aca="false">IF(IFERROR(INDEX(tsk_Name,(ROW()-ROW(MSPTasks[[#Headers],[ID]])))="",TRUE()),"",IF(INDEX(tsk_IsSummary,(ROW()-ROW(MSPTasks[[#Headers],[ID]]))),"",INDEX(tsk_UIDPredecessors,(ROW()-ROW(MSPTasks[[#Headers],[ID]])))))</f>
        <v/>
      </c>
      <c r="K12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4" s="24" t="str">
        <f aca="false">IF(IFERROR(INDEX(tsk_Name,(ROW()-ROW(MSPTasks[[#Headers],[ID]])))="",TRUE()),"",IF(INDEX(tsk_IsSummary,(ROW()-ROW(MSPTasks[[#Headers],[ID]]))),"",ROUND(INDEX(tsk_Progress,(ROW()-ROW(MSPTasks[[#Headers],[ID]])))*100,0)))</f>
        <v/>
      </c>
      <c r="M124" s="127" t="str">
        <f aca="false">IF(IFERROR(INDEX(tsk_Name,(ROW()-ROW(MSPTasks[[#Headers],[ID]])))="",TRUE()),"",IF(N(INDEX(tsk_ActStart,(ROW()-ROW(MSPTasks[[#Headers],[ID]]))))=0,"",INDEX(tsk_ActStart,(ROW()-ROW(MSPTasks[[#Headers],[ID]])))))</f>
        <v/>
      </c>
      <c r="N124" s="127" t="str">
        <f aca="false">IF(IFERROR(INDEX(tsk_Name,(ROW()-ROW(MSPTasks[[#Headers],[ID]])))="",TRUE()),"",IF(N(INDEX(tsk_ActFinish,(ROW()-ROW(MSPTasks[[#Headers],[ID]]))))=0,"",INDEX(tsk_ActFinish,(ROW()-ROW(MSPTasks[[#Headers],[ID]])))))</f>
        <v/>
      </c>
      <c r="O124" s="127" t="str">
        <f aca="false">IF(IFERROR(INDEX(tsk_Name,(ROW()-ROW(MSPTasks[[#Headers],[ID]])))="",TRUE()),"",INDEX(tsk_PlanStart,(ROW()-ROW(MSPTasks[[#Headers],[ID]]))))</f>
        <v/>
      </c>
      <c r="P124" s="127" t="str">
        <f aca="false">IF(IFERROR(INDEX(tsk_Name,(ROW()-ROW(MSPTasks[[#Headers],[ID]])))="",TRUE()),"",INDEX(tsk_PlanFinish,(ROW()-ROW(MSPTasks[[#Headers],[ID]]))))</f>
        <v/>
      </c>
      <c r="Q124" s="24" t="str">
        <f aca="false">IF(IFERROR(INDEX(tsk_Name,(ROW()-ROW(MSPTasks[[#Headers],[ID]])))="",TRUE()),"",IF(INDEX(tsk_BaseDuration,(ROW()-ROW(MSPTasks[[#Headers],[ID]])))="","",N(INDEX(tsk_BaseDuration,(ROW()-ROW(MSPTasks[[#Headers],[ID]]))))&amp;"d"))</f>
        <v/>
      </c>
      <c r="R124" s="24" t="str">
        <f aca="false">IF(IFERROR(INDEX(tsk_Name,(ROW()-ROW(MSPTasks[[#Headers],[ID]])))="",TRUE()),"",IF(INDEX(tsk_BaseWork,(ROW()-ROW(MSPTasks[[#Headers],[ID]])))="","",N(INDEX(tsk_BaseWork,(ROW()-ROW(MSPTasks[[#Headers],[ID]]))))&amp;"h"))</f>
        <v/>
      </c>
      <c r="S124" s="24" t="str">
        <f aca="false">IF(IFERROR(INDEX(tsk_Name,(ROW()-ROW(MSPTasks[[#Headers],[ID]])))="",TRUE()),"",IF(INDEX(tsk_BaseCost,(ROW()-ROW(MSPTasks[[#Headers],[ID]])))="","",N(INDEX(tsk_BaseCost,(ROW()-ROW(MSPTasks[[#Headers],[ID]]))))))</f>
        <v/>
      </c>
      <c r="T124" s="24" t="str">
        <f aca="false">IF(IFERROR(INDEX(tsk_Name,(ROW()-ROW(MSPTasks[[#Headers],[ID]])))="",TRUE()),"",IF(INDEX(tsk_IsSummary,(ROW()-ROW(MSPTasks[[#Headers],[ID]]))),"",IF(N(INDEX(tsk_ActCostInput,(ROW()-ROW(MSPTasks[[#Headers],[ID]]))))=0,"",INDEX(tsk_ActCostInput,(ROW()-ROW(MSPTasks[[#Headers],[ID]]))))))</f>
        <v/>
      </c>
      <c r="U124" s="24" t="str">
        <f aca="false">IF(IFERROR(INDEX(tsk_Name,(ROW()-ROW(MSPTasks[[#Headers],[ID]])))="",TRUE()),"",IF(INDEX(tsk_IsSummary,(ROW()-ROW(MSPTasks[[#Headers],[ID]]))),"",IF(AND(INDEX(tsk_Mode,(ROW()-ROW(MSPTasks[[#Headers],[ID]])))&lt;&gt;"Manual",N(INDEX(tsk_Constraint,(ROW()-ROW(MSPTasks[[#Headers],[ID]]))))&gt;0),"Start No Earlier Than","As Soon As Possible")))</f>
        <v/>
      </c>
      <c r="V124" s="127" t="str">
        <f aca="false">IF(IFERROR(INDEX(tsk_Name,(ROW()-ROW(MSPTasks[[#Headers],[ID]])))="",TRUE()),"",IF(OR(INDEX(tsk_IsSummary,(ROW()-ROW(MSPTasks[[#Headers],[ID]]))),INDEX(tsk_Mode,(ROW()-ROW(MSPTasks[[#Headers],[ID]])))="Manual"),"",IF(N(INDEX(tsk_Constraint,(ROW()-ROW(MSPTasks[[#Headers],[ID]]))))=0,"",INDEX(tsk_Constraint,(ROW()-ROW(MSPTasks[[#Headers],[ID]]))))))</f>
        <v/>
      </c>
      <c r="W124" s="127" t="str">
        <f aca="false">IF(IFERROR(INDEX(tsk_Name,(ROW()-ROW(MSPTasks[[#Headers],[ID]])))="",TRUE()),"",IF(N(INDEX(tsk_Deadline,(ROW()-ROW(MSPTasks[[#Headers],[ID]]))))=0,"",INDEX(tsk_Deadline,(ROW()-ROW(MSPTasks[[#Headers],[ID]])))))</f>
        <v/>
      </c>
      <c r="X124" s="24" t="str">
        <f aca="false">IF(IFERROR(INDEX(tsk_Name,(ROW()-ROW(MSPTasks[[#Headers],[ID]])))="",TRUE()),"",IF(INDEX(tsk_IsSummary,(ROW()-ROW(MSPTasks[[#Headers],[ID]]))),"",INDEX(tsk_Sprint,(ROW()-ROW(MSPTasks[[#Headers],[ID]])))&amp;""))</f>
        <v/>
      </c>
      <c r="Y124" s="24" t="str">
        <f aca="false">IF(IFERROR(INDEX(tsk_Name,(ROW()-ROW(MSPTasks[[#Headers],[ID]])))="",TRUE()),"",IF(INDEX(tsk_IsSummary,(ROW()-ROW(MSPTasks[[#Headers],[ID]]))),"",IF(N(INDEX(tsk_StoryPoints,(ROW()-ROW(MSPTasks[[#Headers],[ID]]))))=0,"",INDEX(tsk_StoryPoints,(ROW()-ROW(MSPTasks[[#Headers],[ID]]))))))</f>
        <v/>
      </c>
      <c r="Z124" s="24" t="str">
        <f aca="false">IF(IFERROR(INDEX(tsk_Name,(ROW()-ROW(MSPTasks[[#Headers],[ID]])))="",TRUE()),"",INDEX(tsk_Notes,(ROW()-ROW(MSPTasks[[#Headers],[ID]])))&amp;"")</f>
        <v/>
      </c>
    </row>
    <row r="125" customFormat="false" ht="15" hidden="false" customHeight="false" outlineLevel="0" collapsed="false">
      <c r="A125" s="24" t="str">
        <f aca="false">IF(IFERROR(INDEX(tsk_Name,(ROW()-ROW(MSPTasks[[#Headers],[ID]])))="",TRUE()),"",INDEX(tsk_ID,(ROW()-ROW(MSPTasks[[#Headers],[ID]]))))</f>
        <v/>
      </c>
      <c r="B125" s="24" t="str">
        <f aca="false">IF(IFERROR(INDEX(tsk_Name,(ROW()-ROW(MSPTasks[[#Headers],[ID]])))="",TRUE()),"",INDEX(tsk_UID,(ROW()-ROW(MSPTasks[[#Headers],[ID]]))))</f>
        <v/>
      </c>
      <c r="C125" s="24" t="str">
        <f aca="false">IF(IFERROR(INDEX(tsk_Name,(ROW()-ROW(MSPTasks[[#Headers],[ID]])))="",TRUE()),"",INDEX(tsk_Name,(ROW()-ROW(MSPTasks[[#Headers],[ID]]))))</f>
        <v/>
      </c>
      <c r="D125" s="24" t="str">
        <f aca="false">IF(IFERROR(INDEX(tsk_Name,(ROW()-ROW(MSPTasks[[#Headers],[ID]])))="",TRUE()),"",INDEX(tsk_Level,(ROW()-ROW(MSPTasks[[#Headers],[ID]]))))</f>
        <v/>
      </c>
      <c r="E125" s="24" t="str">
        <f aca="false">IF(IFERROR(INDEX(tsk_Name,(ROW()-ROW(MSPTasks[[#Headers],[ID]])))="",TRUE()),"",IF(INDEX(tsk_Mode,(ROW()-ROW(MSPTasks[[#Headers],[ID]])))="Manual","Manually Scheduled","Auto Scheduled"))</f>
        <v/>
      </c>
      <c r="F125" s="24" t="str">
        <f aca="false">IF(IFERROR(INDEX(tsk_Name,(ROW()-ROW(MSPTasks[[#Headers],[ID]])))="",TRUE()),"",IF(INDEX(tsk_IsSummary,(ROW()-ROW(MSPTasks[[#Headers],[ID]]))),"",N(INDEX(tsk_Duration,(ROW()-ROW(MSPTasks[[#Headers],[ID]]))))&amp;"d"))</f>
        <v/>
      </c>
      <c r="G125" s="127" t="str">
        <f aca="false">IF(IFERROR(INDEX(tsk_Name,(ROW()-ROW(MSPTasks[[#Headers],[ID]])))="",TRUE()),"",INDEX(tsk_FcStart,(ROW()-ROW(MSPTasks[[#Headers],[ID]]))))</f>
        <v/>
      </c>
      <c r="H125" s="127" t="str">
        <f aca="false">IF(IFERROR(INDEX(tsk_Name,(ROW()-ROW(MSPTasks[[#Headers],[ID]])))="",TRUE()),"",INDEX(tsk_FcFinish,(ROW()-ROW(MSPTasks[[#Headers],[ID]]))))</f>
        <v/>
      </c>
      <c r="I125" s="24" t="str">
        <f aca="false">IF(IFERROR(INDEX(tsk_Name,(ROW()-ROW(MSPTasks[[#Headers],[ID]])))="",TRUE()),"",IF(INDEX(tsk_IsSummary,(ROW()-ROW(MSPTasks[[#Headers],[ID]]))),"",INDEX(tsk_Predecessors,(ROW()-ROW(MSPTasks[[#Headers],[ID]])))))</f>
        <v/>
      </c>
      <c r="J125" s="24" t="str">
        <f aca="false">IF(IFERROR(INDEX(tsk_Name,(ROW()-ROW(MSPTasks[[#Headers],[ID]])))="",TRUE()),"",IF(INDEX(tsk_IsSummary,(ROW()-ROW(MSPTasks[[#Headers],[ID]]))),"",INDEX(tsk_UIDPredecessors,(ROW()-ROW(MSPTasks[[#Headers],[ID]])))))</f>
        <v/>
      </c>
      <c r="K12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5" s="24" t="str">
        <f aca="false">IF(IFERROR(INDEX(tsk_Name,(ROW()-ROW(MSPTasks[[#Headers],[ID]])))="",TRUE()),"",IF(INDEX(tsk_IsSummary,(ROW()-ROW(MSPTasks[[#Headers],[ID]]))),"",ROUND(INDEX(tsk_Progress,(ROW()-ROW(MSPTasks[[#Headers],[ID]])))*100,0)))</f>
        <v/>
      </c>
      <c r="M125" s="127" t="str">
        <f aca="false">IF(IFERROR(INDEX(tsk_Name,(ROW()-ROW(MSPTasks[[#Headers],[ID]])))="",TRUE()),"",IF(N(INDEX(tsk_ActStart,(ROW()-ROW(MSPTasks[[#Headers],[ID]]))))=0,"",INDEX(tsk_ActStart,(ROW()-ROW(MSPTasks[[#Headers],[ID]])))))</f>
        <v/>
      </c>
      <c r="N125" s="127" t="str">
        <f aca="false">IF(IFERROR(INDEX(tsk_Name,(ROW()-ROW(MSPTasks[[#Headers],[ID]])))="",TRUE()),"",IF(N(INDEX(tsk_ActFinish,(ROW()-ROW(MSPTasks[[#Headers],[ID]]))))=0,"",INDEX(tsk_ActFinish,(ROW()-ROW(MSPTasks[[#Headers],[ID]])))))</f>
        <v/>
      </c>
      <c r="O125" s="127" t="str">
        <f aca="false">IF(IFERROR(INDEX(tsk_Name,(ROW()-ROW(MSPTasks[[#Headers],[ID]])))="",TRUE()),"",INDEX(tsk_PlanStart,(ROW()-ROW(MSPTasks[[#Headers],[ID]]))))</f>
        <v/>
      </c>
      <c r="P125" s="127" t="str">
        <f aca="false">IF(IFERROR(INDEX(tsk_Name,(ROW()-ROW(MSPTasks[[#Headers],[ID]])))="",TRUE()),"",INDEX(tsk_PlanFinish,(ROW()-ROW(MSPTasks[[#Headers],[ID]]))))</f>
        <v/>
      </c>
      <c r="Q125" s="24" t="str">
        <f aca="false">IF(IFERROR(INDEX(tsk_Name,(ROW()-ROW(MSPTasks[[#Headers],[ID]])))="",TRUE()),"",IF(INDEX(tsk_BaseDuration,(ROW()-ROW(MSPTasks[[#Headers],[ID]])))="","",N(INDEX(tsk_BaseDuration,(ROW()-ROW(MSPTasks[[#Headers],[ID]]))))&amp;"d"))</f>
        <v/>
      </c>
      <c r="R125" s="24" t="str">
        <f aca="false">IF(IFERROR(INDEX(tsk_Name,(ROW()-ROW(MSPTasks[[#Headers],[ID]])))="",TRUE()),"",IF(INDEX(tsk_BaseWork,(ROW()-ROW(MSPTasks[[#Headers],[ID]])))="","",N(INDEX(tsk_BaseWork,(ROW()-ROW(MSPTasks[[#Headers],[ID]]))))&amp;"h"))</f>
        <v/>
      </c>
      <c r="S125" s="24" t="str">
        <f aca="false">IF(IFERROR(INDEX(tsk_Name,(ROW()-ROW(MSPTasks[[#Headers],[ID]])))="",TRUE()),"",IF(INDEX(tsk_BaseCost,(ROW()-ROW(MSPTasks[[#Headers],[ID]])))="","",N(INDEX(tsk_BaseCost,(ROW()-ROW(MSPTasks[[#Headers],[ID]]))))))</f>
        <v/>
      </c>
      <c r="T125" s="24" t="str">
        <f aca="false">IF(IFERROR(INDEX(tsk_Name,(ROW()-ROW(MSPTasks[[#Headers],[ID]])))="",TRUE()),"",IF(INDEX(tsk_IsSummary,(ROW()-ROW(MSPTasks[[#Headers],[ID]]))),"",IF(N(INDEX(tsk_ActCostInput,(ROW()-ROW(MSPTasks[[#Headers],[ID]]))))=0,"",INDEX(tsk_ActCostInput,(ROW()-ROW(MSPTasks[[#Headers],[ID]]))))))</f>
        <v/>
      </c>
      <c r="U125" s="24" t="str">
        <f aca="false">IF(IFERROR(INDEX(tsk_Name,(ROW()-ROW(MSPTasks[[#Headers],[ID]])))="",TRUE()),"",IF(INDEX(tsk_IsSummary,(ROW()-ROW(MSPTasks[[#Headers],[ID]]))),"",IF(AND(INDEX(tsk_Mode,(ROW()-ROW(MSPTasks[[#Headers],[ID]])))&lt;&gt;"Manual",N(INDEX(tsk_Constraint,(ROW()-ROW(MSPTasks[[#Headers],[ID]]))))&gt;0),"Start No Earlier Than","As Soon As Possible")))</f>
        <v/>
      </c>
      <c r="V125" s="127" t="str">
        <f aca="false">IF(IFERROR(INDEX(tsk_Name,(ROW()-ROW(MSPTasks[[#Headers],[ID]])))="",TRUE()),"",IF(OR(INDEX(tsk_IsSummary,(ROW()-ROW(MSPTasks[[#Headers],[ID]]))),INDEX(tsk_Mode,(ROW()-ROW(MSPTasks[[#Headers],[ID]])))="Manual"),"",IF(N(INDEX(tsk_Constraint,(ROW()-ROW(MSPTasks[[#Headers],[ID]]))))=0,"",INDEX(tsk_Constraint,(ROW()-ROW(MSPTasks[[#Headers],[ID]]))))))</f>
        <v/>
      </c>
      <c r="W125" s="127" t="str">
        <f aca="false">IF(IFERROR(INDEX(tsk_Name,(ROW()-ROW(MSPTasks[[#Headers],[ID]])))="",TRUE()),"",IF(N(INDEX(tsk_Deadline,(ROW()-ROW(MSPTasks[[#Headers],[ID]]))))=0,"",INDEX(tsk_Deadline,(ROW()-ROW(MSPTasks[[#Headers],[ID]])))))</f>
        <v/>
      </c>
      <c r="X125" s="24" t="str">
        <f aca="false">IF(IFERROR(INDEX(tsk_Name,(ROW()-ROW(MSPTasks[[#Headers],[ID]])))="",TRUE()),"",IF(INDEX(tsk_IsSummary,(ROW()-ROW(MSPTasks[[#Headers],[ID]]))),"",INDEX(tsk_Sprint,(ROW()-ROW(MSPTasks[[#Headers],[ID]])))&amp;""))</f>
        <v/>
      </c>
      <c r="Y125" s="24" t="str">
        <f aca="false">IF(IFERROR(INDEX(tsk_Name,(ROW()-ROW(MSPTasks[[#Headers],[ID]])))="",TRUE()),"",IF(INDEX(tsk_IsSummary,(ROW()-ROW(MSPTasks[[#Headers],[ID]]))),"",IF(N(INDEX(tsk_StoryPoints,(ROW()-ROW(MSPTasks[[#Headers],[ID]]))))=0,"",INDEX(tsk_StoryPoints,(ROW()-ROW(MSPTasks[[#Headers],[ID]]))))))</f>
        <v/>
      </c>
      <c r="Z125" s="24" t="str">
        <f aca="false">IF(IFERROR(INDEX(tsk_Name,(ROW()-ROW(MSPTasks[[#Headers],[ID]])))="",TRUE()),"",INDEX(tsk_Notes,(ROW()-ROW(MSPTasks[[#Headers],[ID]])))&amp;"")</f>
        <v/>
      </c>
    </row>
    <row r="126" customFormat="false" ht="15" hidden="false" customHeight="false" outlineLevel="0" collapsed="false">
      <c r="A126" s="24" t="str">
        <f aca="false">IF(IFERROR(INDEX(tsk_Name,(ROW()-ROW(MSPTasks[[#Headers],[ID]])))="",TRUE()),"",INDEX(tsk_ID,(ROW()-ROW(MSPTasks[[#Headers],[ID]]))))</f>
        <v/>
      </c>
      <c r="B126" s="24" t="str">
        <f aca="false">IF(IFERROR(INDEX(tsk_Name,(ROW()-ROW(MSPTasks[[#Headers],[ID]])))="",TRUE()),"",INDEX(tsk_UID,(ROW()-ROW(MSPTasks[[#Headers],[ID]]))))</f>
        <v/>
      </c>
      <c r="C126" s="24" t="str">
        <f aca="false">IF(IFERROR(INDEX(tsk_Name,(ROW()-ROW(MSPTasks[[#Headers],[ID]])))="",TRUE()),"",INDEX(tsk_Name,(ROW()-ROW(MSPTasks[[#Headers],[ID]]))))</f>
        <v/>
      </c>
      <c r="D126" s="24" t="str">
        <f aca="false">IF(IFERROR(INDEX(tsk_Name,(ROW()-ROW(MSPTasks[[#Headers],[ID]])))="",TRUE()),"",INDEX(tsk_Level,(ROW()-ROW(MSPTasks[[#Headers],[ID]]))))</f>
        <v/>
      </c>
      <c r="E126" s="24" t="str">
        <f aca="false">IF(IFERROR(INDEX(tsk_Name,(ROW()-ROW(MSPTasks[[#Headers],[ID]])))="",TRUE()),"",IF(INDEX(tsk_Mode,(ROW()-ROW(MSPTasks[[#Headers],[ID]])))="Manual","Manually Scheduled","Auto Scheduled"))</f>
        <v/>
      </c>
      <c r="F126" s="24" t="str">
        <f aca="false">IF(IFERROR(INDEX(tsk_Name,(ROW()-ROW(MSPTasks[[#Headers],[ID]])))="",TRUE()),"",IF(INDEX(tsk_IsSummary,(ROW()-ROW(MSPTasks[[#Headers],[ID]]))),"",N(INDEX(tsk_Duration,(ROW()-ROW(MSPTasks[[#Headers],[ID]]))))&amp;"d"))</f>
        <v/>
      </c>
      <c r="G126" s="127" t="str">
        <f aca="false">IF(IFERROR(INDEX(tsk_Name,(ROW()-ROW(MSPTasks[[#Headers],[ID]])))="",TRUE()),"",INDEX(tsk_FcStart,(ROW()-ROW(MSPTasks[[#Headers],[ID]]))))</f>
        <v/>
      </c>
      <c r="H126" s="127" t="str">
        <f aca="false">IF(IFERROR(INDEX(tsk_Name,(ROW()-ROW(MSPTasks[[#Headers],[ID]])))="",TRUE()),"",INDEX(tsk_FcFinish,(ROW()-ROW(MSPTasks[[#Headers],[ID]]))))</f>
        <v/>
      </c>
      <c r="I126" s="24" t="str">
        <f aca="false">IF(IFERROR(INDEX(tsk_Name,(ROW()-ROW(MSPTasks[[#Headers],[ID]])))="",TRUE()),"",IF(INDEX(tsk_IsSummary,(ROW()-ROW(MSPTasks[[#Headers],[ID]]))),"",INDEX(tsk_Predecessors,(ROW()-ROW(MSPTasks[[#Headers],[ID]])))))</f>
        <v/>
      </c>
      <c r="J126" s="24" t="str">
        <f aca="false">IF(IFERROR(INDEX(tsk_Name,(ROW()-ROW(MSPTasks[[#Headers],[ID]])))="",TRUE()),"",IF(INDEX(tsk_IsSummary,(ROW()-ROW(MSPTasks[[#Headers],[ID]]))),"",INDEX(tsk_UIDPredecessors,(ROW()-ROW(MSPTasks[[#Headers],[ID]])))))</f>
        <v/>
      </c>
      <c r="K12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6" s="24" t="str">
        <f aca="false">IF(IFERROR(INDEX(tsk_Name,(ROW()-ROW(MSPTasks[[#Headers],[ID]])))="",TRUE()),"",IF(INDEX(tsk_IsSummary,(ROW()-ROW(MSPTasks[[#Headers],[ID]]))),"",ROUND(INDEX(tsk_Progress,(ROW()-ROW(MSPTasks[[#Headers],[ID]])))*100,0)))</f>
        <v/>
      </c>
      <c r="M126" s="127" t="str">
        <f aca="false">IF(IFERROR(INDEX(tsk_Name,(ROW()-ROW(MSPTasks[[#Headers],[ID]])))="",TRUE()),"",IF(N(INDEX(tsk_ActStart,(ROW()-ROW(MSPTasks[[#Headers],[ID]]))))=0,"",INDEX(tsk_ActStart,(ROW()-ROW(MSPTasks[[#Headers],[ID]])))))</f>
        <v/>
      </c>
      <c r="N126" s="127" t="str">
        <f aca="false">IF(IFERROR(INDEX(tsk_Name,(ROW()-ROW(MSPTasks[[#Headers],[ID]])))="",TRUE()),"",IF(N(INDEX(tsk_ActFinish,(ROW()-ROW(MSPTasks[[#Headers],[ID]]))))=0,"",INDEX(tsk_ActFinish,(ROW()-ROW(MSPTasks[[#Headers],[ID]])))))</f>
        <v/>
      </c>
      <c r="O126" s="127" t="str">
        <f aca="false">IF(IFERROR(INDEX(tsk_Name,(ROW()-ROW(MSPTasks[[#Headers],[ID]])))="",TRUE()),"",INDEX(tsk_PlanStart,(ROW()-ROW(MSPTasks[[#Headers],[ID]]))))</f>
        <v/>
      </c>
      <c r="P126" s="127" t="str">
        <f aca="false">IF(IFERROR(INDEX(tsk_Name,(ROW()-ROW(MSPTasks[[#Headers],[ID]])))="",TRUE()),"",INDEX(tsk_PlanFinish,(ROW()-ROW(MSPTasks[[#Headers],[ID]]))))</f>
        <v/>
      </c>
      <c r="Q126" s="24" t="str">
        <f aca="false">IF(IFERROR(INDEX(tsk_Name,(ROW()-ROW(MSPTasks[[#Headers],[ID]])))="",TRUE()),"",IF(INDEX(tsk_BaseDuration,(ROW()-ROW(MSPTasks[[#Headers],[ID]])))="","",N(INDEX(tsk_BaseDuration,(ROW()-ROW(MSPTasks[[#Headers],[ID]]))))&amp;"d"))</f>
        <v/>
      </c>
      <c r="R126" s="24" t="str">
        <f aca="false">IF(IFERROR(INDEX(tsk_Name,(ROW()-ROW(MSPTasks[[#Headers],[ID]])))="",TRUE()),"",IF(INDEX(tsk_BaseWork,(ROW()-ROW(MSPTasks[[#Headers],[ID]])))="","",N(INDEX(tsk_BaseWork,(ROW()-ROW(MSPTasks[[#Headers],[ID]]))))&amp;"h"))</f>
        <v/>
      </c>
      <c r="S126" s="24" t="str">
        <f aca="false">IF(IFERROR(INDEX(tsk_Name,(ROW()-ROW(MSPTasks[[#Headers],[ID]])))="",TRUE()),"",IF(INDEX(tsk_BaseCost,(ROW()-ROW(MSPTasks[[#Headers],[ID]])))="","",N(INDEX(tsk_BaseCost,(ROW()-ROW(MSPTasks[[#Headers],[ID]]))))))</f>
        <v/>
      </c>
      <c r="T126" s="24" t="str">
        <f aca="false">IF(IFERROR(INDEX(tsk_Name,(ROW()-ROW(MSPTasks[[#Headers],[ID]])))="",TRUE()),"",IF(INDEX(tsk_IsSummary,(ROW()-ROW(MSPTasks[[#Headers],[ID]]))),"",IF(N(INDEX(tsk_ActCostInput,(ROW()-ROW(MSPTasks[[#Headers],[ID]]))))=0,"",INDEX(tsk_ActCostInput,(ROW()-ROW(MSPTasks[[#Headers],[ID]]))))))</f>
        <v/>
      </c>
      <c r="U126" s="24" t="str">
        <f aca="false">IF(IFERROR(INDEX(tsk_Name,(ROW()-ROW(MSPTasks[[#Headers],[ID]])))="",TRUE()),"",IF(INDEX(tsk_IsSummary,(ROW()-ROW(MSPTasks[[#Headers],[ID]]))),"",IF(AND(INDEX(tsk_Mode,(ROW()-ROW(MSPTasks[[#Headers],[ID]])))&lt;&gt;"Manual",N(INDEX(tsk_Constraint,(ROW()-ROW(MSPTasks[[#Headers],[ID]]))))&gt;0),"Start No Earlier Than","As Soon As Possible")))</f>
        <v/>
      </c>
      <c r="V126" s="127" t="str">
        <f aca="false">IF(IFERROR(INDEX(tsk_Name,(ROW()-ROW(MSPTasks[[#Headers],[ID]])))="",TRUE()),"",IF(OR(INDEX(tsk_IsSummary,(ROW()-ROW(MSPTasks[[#Headers],[ID]]))),INDEX(tsk_Mode,(ROW()-ROW(MSPTasks[[#Headers],[ID]])))="Manual"),"",IF(N(INDEX(tsk_Constraint,(ROW()-ROW(MSPTasks[[#Headers],[ID]]))))=0,"",INDEX(tsk_Constraint,(ROW()-ROW(MSPTasks[[#Headers],[ID]]))))))</f>
        <v/>
      </c>
      <c r="W126" s="127" t="str">
        <f aca="false">IF(IFERROR(INDEX(tsk_Name,(ROW()-ROW(MSPTasks[[#Headers],[ID]])))="",TRUE()),"",IF(N(INDEX(tsk_Deadline,(ROW()-ROW(MSPTasks[[#Headers],[ID]]))))=0,"",INDEX(tsk_Deadline,(ROW()-ROW(MSPTasks[[#Headers],[ID]])))))</f>
        <v/>
      </c>
      <c r="X126" s="24" t="str">
        <f aca="false">IF(IFERROR(INDEX(tsk_Name,(ROW()-ROW(MSPTasks[[#Headers],[ID]])))="",TRUE()),"",IF(INDEX(tsk_IsSummary,(ROW()-ROW(MSPTasks[[#Headers],[ID]]))),"",INDEX(tsk_Sprint,(ROW()-ROW(MSPTasks[[#Headers],[ID]])))&amp;""))</f>
        <v/>
      </c>
      <c r="Y126" s="24" t="str">
        <f aca="false">IF(IFERROR(INDEX(tsk_Name,(ROW()-ROW(MSPTasks[[#Headers],[ID]])))="",TRUE()),"",IF(INDEX(tsk_IsSummary,(ROW()-ROW(MSPTasks[[#Headers],[ID]]))),"",IF(N(INDEX(tsk_StoryPoints,(ROW()-ROW(MSPTasks[[#Headers],[ID]]))))=0,"",INDEX(tsk_StoryPoints,(ROW()-ROW(MSPTasks[[#Headers],[ID]]))))))</f>
        <v/>
      </c>
      <c r="Z126" s="24" t="str">
        <f aca="false">IF(IFERROR(INDEX(tsk_Name,(ROW()-ROW(MSPTasks[[#Headers],[ID]])))="",TRUE()),"",INDEX(tsk_Notes,(ROW()-ROW(MSPTasks[[#Headers],[ID]])))&amp;"")</f>
        <v/>
      </c>
    </row>
    <row r="127" customFormat="false" ht="15" hidden="false" customHeight="false" outlineLevel="0" collapsed="false">
      <c r="A127" s="24" t="str">
        <f aca="false">IF(IFERROR(INDEX(tsk_Name,(ROW()-ROW(MSPTasks[[#Headers],[ID]])))="",TRUE()),"",INDEX(tsk_ID,(ROW()-ROW(MSPTasks[[#Headers],[ID]]))))</f>
        <v/>
      </c>
      <c r="B127" s="24" t="str">
        <f aca="false">IF(IFERROR(INDEX(tsk_Name,(ROW()-ROW(MSPTasks[[#Headers],[ID]])))="",TRUE()),"",INDEX(tsk_UID,(ROW()-ROW(MSPTasks[[#Headers],[ID]]))))</f>
        <v/>
      </c>
      <c r="C127" s="24" t="str">
        <f aca="false">IF(IFERROR(INDEX(tsk_Name,(ROW()-ROW(MSPTasks[[#Headers],[ID]])))="",TRUE()),"",INDEX(tsk_Name,(ROW()-ROW(MSPTasks[[#Headers],[ID]]))))</f>
        <v/>
      </c>
      <c r="D127" s="24" t="str">
        <f aca="false">IF(IFERROR(INDEX(tsk_Name,(ROW()-ROW(MSPTasks[[#Headers],[ID]])))="",TRUE()),"",INDEX(tsk_Level,(ROW()-ROW(MSPTasks[[#Headers],[ID]]))))</f>
        <v/>
      </c>
      <c r="E127" s="24" t="str">
        <f aca="false">IF(IFERROR(INDEX(tsk_Name,(ROW()-ROW(MSPTasks[[#Headers],[ID]])))="",TRUE()),"",IF(INDEX(tsk_Mode,(ROW()-ROW(MSPTasks[[#Headers],[ID]])))="Manual","Manually Scheduled","Auto Scheduled"))</f>
        <v/>
      </c>
      <c r="F127" s="24" t="str">
        <f aca="false">IF(IFERROR(INDEX(tsk_Name,(ROW()-ROW(MSPTasks[[#Headers],[ID]])))="",TRUE()),"",IF(INDEX(tsk_IsSummary,(ROW()-ROW(MSPTasks[[#Headers],[ID]]))),"",N(INDEX(tsk_Duration,(ROW()-ROW(MSPTasks[[#Headers],[ID]]))))&amp;"d"))</f>
        <v/>
      </c>
      <c r="G127" s="127" t="str">
        <f aca="false">IF(IFERROR(INDEX(tsk_Name,(ROW()-ROW(MSPTasks[[#Headers],[ID]])))="",TRUE()),"",INDEX(tsk_FcStart,(ROW()-ROW(MSPTasks[[#Headers],[ID]]))))</f>
        <v/>
      </c>
      <c r="H127" s="127" t="str">
        <f aca="false">IF(IFERROR(INDEX(tsk_Name,(ROW()-ROW(MSPTasks[[#Headers],[ID]])))="",TRUE()),"",INDEX(tsk_FcFinish,(ROW()-ROW(MSPTasks[[#Headers],[ID]]))))</f>
        <v/>
      </c>
      <c r="I127" s="24" t="str">
        <f aca="false">IF(IFERROR(INDEX(tsk_Name,(ROW()-ROW(MSPTasks[[#Headers],[ID]])))="",TRUE()),"",IF(INDEX(tsk_IsSummary,(ROW()-ROW(MSPTasks[[#Headers],[ID]]))),"",INDEX(tsk_Predecessors,(ROW()-ROW(MSPTasks[[#Headers],[ID]])))))</f>
        <v/>
      </c>
      <c r="J127" s="24" t="str">
        <f aca="false">IF(IFERROR(INDEX(tsk_Name,(ROW()-ROW(MSPTasks[[#Headers],[ID]])))="",TRUE()),"",IF(INDEX(tsk_IsSummary,(ROW()-ROW(MSPTasks[[#Headers],[ID]]))),"",INDEX(tsk_UIDPredecessors,(ROW()-ROW(MSPTasks[[#Headers],[ID]])))))</f>
        <v/>
      </c>
      <c r="K12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7" s="24" t="str">
        <f aca="false">IF(IFERROR(INDEX(tsk_Name,(ROW()-ROW(MSPTasks[[#Headers],[ID]])))="",TRUE()),"",IF(INDEX(tsk_IsSummary,(ROW()-ROW(MSPTasks[[#Headers],[ID]]))),"",ROUND(INDEX(tsk_Progress,(ROW()-ROW(MSPTasks[[#Headers],[ID]])))*100,0)))</f>
        <v/>
      </c>
      <c r="M127" s="127" t="str">
        <f aca="false">IF(IFERROR(INDEX(tsk_Name,(ROW()-ROW(MSPTasks[[#Headers],[ID]])))="",TRUE()),"",IF(N(INDEX(tsk_ActStart,(ROW()-ROW(MSPTasks[[#Headers],[ID]]))))=0,"",INDEX(tsk_ActStart,(ROW()-ROW(MSPTasks[[#Headers],[ID]])))))</f>
        <v/>
      </c>
      <c r="N127" s="127" t="str">
        <f aca="false">IF(IFERROR(INDEX(tsk_Name,(ROW()-ROW(MSPTasks[[#Headers],[ID]])))="",TRUE()),"",IF(N(INDEX(tsk_ActFinish,(ROW()-ROW(MSPTasks[[#Headers],[ID]]))))=0,"",INDEX(tsk_ActFinish,(ROW()-ROW(MSPTasks[[#Headers],[ID]])))))</f>
        <v/>
      </c>
      <c r="O127" s="127" t="str">
        <f aca="false">IF(IFERROR(INDEX(tsk_Name,(ROW()-ROW(MSPTasks[[#Headers],[ID]])))="",TRUE()),"",INDEX(tsk_PlanStart,(ROW()-ROW(MSPTasks[[#Headers],[ID]]))))</f>
        <v/>
      </c>
      <c r="P127" s="127" t="str">
        <f aca="false">IF(IFERROR(INDEX(tsk_Name,(ROW()-ROW(MSPTasks[[#Headers],[ID]])))="",TRUE()),"",INDEX(tsk_PlanFinish,(ROW()-ROW(MSPTasks[[#Headers],[ID]]))))</f>
        <v/>
      </c>
      <c r="Q127" s="24" t="str">
        <f aca="false">IF(IFERROR(INDEX(tsk_Name,(ROW()-ROW(MSPTasks[[#Headers],[ID]])))="",TRUE()),"",IF(INDEX(tsk_BaseDuration,(ROW()-ROW(MSPTasks[[#Headers],[ID]])))="","",N(INDEX(tsk_BaseDuration,(ROW()-ROW(MSPTasks[[#Headers],[ID]]))))&amp;"d"))</f>
        <v/>
      </c>
      <c r="R127" s="24" t="str">
        <f aca="false">IF(IFERROR(INDEX(tsk_Name,(ROW()-ROW(MSPTasks[[#Headers],[ID]])))="",TRUE()),"",IF(INDEX(tsk_BaseWork,(ROW()-ROW(MSPTasks[[#Headers],[ID]])))="","",N(INDEX(tsk_BaseWork,(ROW()-ROW(MSPTasks[[#Headers],[ID]]))))&amp;"h"))</f>
        <v/>
      </c>
      <c r="S127" s="24" t="str">
        <f aca="false">IF(IFERROR(INDEX(tsk_Name,(ROW()-ROW(MSPTasks[[#Headers],[ID]])))="",TRUE()),"",IF(INDEX(tsk_BaseCost,(ROW()-ROW(MSPTasks[[#Headers],[ID]])))="","",N(INDEX(tsk_BaseCost,(ROW()-ROW(MSPTasks[[#Headers],[ID]]))))))</f>
        <v/>
      </c>
      <c r="T127" s="24" t="str">
        <f aca="false">IF(IFERROR(INDEX(tsk_Name,(ROW()-ROW(MSPTasks[[#Headers],[ID]])))="",TRUE()),"",IF(INDEX(tsk_IsSummary,(ROW()-ROW(MSPTasks[[#Headers],[ID]]))),"",IF(N(INDEX(tsk_ActCostInput,(ROW()-ROW(MSPTasks[[#Headers],[ID]]))))=0,"",INDEX(tsk_ActCostInput,(ROW()-ROW(MSPTasks[[#Headers],[ID]]))))))</f>
        <v/>
      </c>
      <c r="U127" s="24" t="str">
        <f aca="false">IF(IFERROR(INDEX(tsk_Name,(ROW()-ROW(MSPTasks[[#Headers],[ID]])))="",TRUE()),"",IF(INDEX(tsk_IsSummary,(ROW()-ROW(MSPTasks[[#Headers],[ID]]))),"",IF(AND(INDEX(tsk_Mode,(ROW()-ROW(MSPTasks[[#Headers],[ID]])))&lt;&gt;"Manual",N(INDEX(tsk_Constraint,(ROW()-ROW(MSPTasks[[#Headers],[ID]]))))&gt;0),"Start No Earlier Than","As Soon As Possible")))</f>
        <v/>
      </c>
      <c r="V127" s="127" t="str">
        <f aca="false">IF(IFERROR(INDEX(tsk_Name,(ROW()-ROW(MSPTasks[[#Headers],[ID]])))="",TRUE()),"",IF(OR(INDEX(tsk_IsSummary,(ROW()-ROW(MSPTasks[[#Headers],[ID]]))),INDEX(tsk_Mode,(ROW()-ROW(MSPTasks[[#Headers],[ID]])))="Manual"),"",IF(N(INDEX(tsk_Constraint,(ROW()-ROW(MSPTasks[[#Headers],[ID]]))))=0,"",INDEX(tsk_Constraint,(ROW()-ROW(MSPTasks[[#Headers],[ID]]))))))</f>
        <v/>
      </c>
      <c r="W127" s="127" t="str">
        <f aca="false">IF(IFERROR(INDEX(tsk_Name,(ROW()-ROW(MSPTasks[[#Headers],[ID]])))="",TRUE()),"",IF(N(INDEX(tsk_Deadline,(ROW()-ROW(MSPTasks[[#Headers],[ID]]))))=0,"",INDEX(tsk_Deadline,(ROW()-ROW(MSPTasks[[#Headers],[ID]])))))</f>
        <v/>
      </c>
      <c r="X127" s="24" t="str">
        <f aca="false">IF(IFERROR(INDEX(tsk_Name,(ROW()-ROW(MSPTasks[[#Headers],[ID]])))="",TRUE()),"",IF(INDEX(tsk_IsSummary,(ROW()-ROW(MSPTasks[[#Headers],[ID]]))),"",INDEX(tsk_Sprint,(ROW()-ROW(MSPTasks[[#Headers],[ID]])))&amp;""))</f>
        <v/>
      </c>
      <c r="Y127" s="24" t="str">
        <f aca="false">IF(IFERROR(INDEX(tsk_Name,(ROW()-ROW(MSPTasks[[#Headers],[ID]])))="",TRUE()),"",IF(INDEX(tsk_IsSummary,(ROW()-ROW(MSPTasks[[#Headers],[ID]]))),"",IF(N(INDEX(tsk_StoryPoints,(ROW()-ROW(MSPTasks[[#Headers],[ID]]))))=0,"",INDEX(tsk_StoryPoints,(ROW()-ROW(MSPTasks[[#Headers],[ID]]))))))</f>
        <v/>
      </c>
      <c r="Z127" s="24" t="str">
        <f aca="false">IF(IFERROR(INDEX(tsk_Name,(ROW()-ROW(MSPTasks[[#Headers],[ID]])))="",TRUE()),"",INDEX(tsk_Notes,(ROW()-ROW(MSPTasks[[#Headers],[ID]])))&amp;"")</f>
        <v/>
      </c>
    </row>
    <row r="128" customFormat="false" ht="15" hidden="false" customHeight="false" outlineLevel="0" collapsed="false">
      <c r="A128" s="24" t="str">
        <f aca="false">IF(IFERROR(INDEX(tsk_Name,(ROW()-ROW(MSPTasks[[#Headers],[ID]])))="",TRUE()),"",INDEX(tsk_ID,(ROW()-ROW(MSPTasks[[#Headers],[ID]]))))</f>
        <v/>
      </c>
      <c r="B128" s="24" t="str">
        <f aca="false">IF(IFERROR(INDEX(tsk_Name,(ROW()-ROW(MSPTasks[[#Headers],[ID]])))="",TRUE()),"",INDEX(tsk_UID,(ROW()-ROW(MSPTasks[[#Headers],[ID]]))))</f>
        <v/>
      </c>
      <c r="C128" s="24" t="str">
        <f aca="false">IF(IFERROR(INDEX(tsk_Name,(ROW()-ROW(MSPTasks[[#Headers],[ID]])))="",TRUE()),"",INDEX(tsk_Name,(ROW()-ROW(MSPTasks[[#Headers],[ID]]))))</f>
        <v/>
      </c>
      <c r="D128" s="24" t="str">
        <f aca="false">IF(IFERROR(INDEX(tsk_Name,(ROW()-ROW(MSPTasks[[#Headers],[ID]])))="",TRUE()),"",INDEX(tsk_Level,(ROW()-ROW(MSPTasks[[#Headers],[ID]]))))</f>
        <v/>
      </c>
      <c r="E128" s="24" t="str">
        <f aca="false">IF(IFERROR(INDEX(tsk_Name,(ROW()-ROW(MSPTasks[[#Headers],[ID]])))="",TRUE()),"",IF(INDEX(tsk_Mode,(ROW()-ROW(MSPTasks[[#Headers],[ID]])))="Manual","Manually Scheduled","Auto Scheduled"))</f>
        <v/>
      </c>
      <c r="F128" s="24" t="str">
        <f aca="false">IF(IFERROR(INDEX(tsk_Name,(ROW()-ROW(MSPTasks[[#Headers],[ID]])))="",TRUE()),"",IF(INDEX(tsk_IsSummary,(ROW()-ROW(MSPTasks[[#Headers],[ID]]))),"",N(INDEX(tsk_Duration,(ROW()-ROW(MSPTasks[[#Headers],[ID]]))))&amp;"d"))</f>
        <v/>
      </c>
      <c r="G128" s="127" t="str">
        <f aca="false">IF(IFERROR(INDEX(tsk_Name,(ROW()-ROW(MSPTasks[[#Headers],[ID]])))="",TRUE()),"",INDEX(tsk_FcStart,(ROW()-ROW(MSPTasks[[#Headers],[ID]]))))</f>
        <v/>
      </c>
      <c r="H128" s="127" t="str">
        <f aca="false">IF(IFERROR(INDEX(tsk_Name,(ROW()-ROW(MSPTasks[[#Headers],[ID]])))="",TRUE()),"",INDEX(tsk_FcFinish,(ROW()-ROW(MSPTasks[[#Headers],[ID]]))))</f>
        <v/>
      </c>
      <c r="I128" s="24" t="str">
        <f aca="false">IF(IFERROR(INDEX(tsk_Name,(ROW()-ROW(MSPTasks[[#Headers],[ID]])))="",TRUE()),"",IF(INDEX(tsk_IsSummary,(ROW()-ROW(MSPTasks[[#Headers],[ID]]))),"",INDEX(tsk_Predecessors,(ROW()-ROW(MSPTasks[[#Headers],[ID]])))))</f>
        <v/>
      </c>
      <c r="J128" s="24" t="str">
        <f aca="false">IF(IFERROR(INDEX(tsk_Name,(ROW()-ROW(MSPTasks[[#Headers],[ID]])))="",TRUE()),"",IF(INDEX(tsk_IsSummary,(ROW()-ROW(MSPTasks[[#Headers],[ID]]))),"",INDEX(tsk_UIDPredecessors,(ROW()-ROW(MSPTasks[[#Headers],[ID]])))))</f>
        <v/>
      </c>
      <c r="K12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8" s="24" t="str">
        <f aca="false">IF(IFERROR(INDEX(tsk_Name,(ROW()-ROW(MSPTasks[[#Headers],[ID]])))="",TRUE()),"",IF(INDEX(tsk_IsSummary,(ROW()-ROW(MSPTasks[[#Headers],[ID]]))),"",ROUND(INDEX(tsk_Progress,(ROW()-ROW(MSPTasks[[#Headers],[ID]])))*100,0)))</f>
        <v/>
      </c>
      <c r="M128" s="127" t="str">
        <f aca="false">IF(IFERROR(INDEX(tsk_Name,(ROW()-ROW(MSPTasks[[#Headers],[ID]])))="",TRUE()),"",IF(N(INDEX(tsk_ActStart,(ROW()-ROW(MSPTasks[[#Headers],[ID]]))))=0,"",INDEX(tsk_ActStart,(ROW()-ROW(MSPTasks[[#Headers],[ID]])))))</f>
        <v/>
      </c>
      <c r="N128" s="127" t="str">
        <f aca="false">IF(IFERROR(INDEX(tsk_Name,(ROW()-ROW(MSPTasks[[#Headers],[ID]])))="",TRUE()),"",IF(N(INDEX(tsk_ActFinish,(ROW()-ROW(MSPTasks[[#Headers],[ID]]))))=0,"",INDEX(tsk_ActFinish,(ROW()-ROW(MSPTasks[[#Headers],[ID]])))))</f>
        <v/>
      </c>
      <c r="O128" s="127" t="str">
        <f aca="false">IF(IFERROR(INDEX(tsk_Name,(ROW()-ROW(MSPTasks[[#Headers],[ID]])))="",TRUE()),"",INDEX(tsk_PlanStart,(ROW()-ROW(MSPTasks[[#Headers],[ID]]))))</f>
        <v/>
      </c>
      <c r="P128" s="127" t="str">
        <f aca="false">IF(IFERROR(INDEX(tsk_Name,(ROW()-ROW(MSPTasks[[#Headers],[ID]])))="",TRUE()),"",INDEX(tsk_PlanFinish,(ROW()-ROW(MSPTasks[[#Headers],[ID]]))))</f>
        <v/>
      </c>
      <c r="Q128" s="24" t="str">
        <f aca="false">IF(IFERROR(INDEX(tsk_Name,(ROW()-ROW(MSPTasks[[#Headers],[ID]])))="",TRUE()),"",IF(INDEX(tsk_BaseDuration,(ROW()-ROW(MSPTasks[[#Headers],[ID]])))="","",N(INDEX(tsk_BaseDuration,(ROW()-ROW(MSPTasks[[#Headers],[ID]]))))&amp;"d"))</f>
        <v/>
      </c>
      <c r="R128" s="24" t="str">
        <f aca="false">IF(IFERROR(INDEX(tsk_Name,(ROW()-ROW(MSPTasks[[#Headers],[ID]])))="",TRUE()),"",IF(INDEX(tsk_BaseWork,(ROW()-ROW(MSPTasks[[#Headers],[ID]])))="","",N(INDEX(tsk_BaseWork,(ROW()-ROW(MSPTasks[[#Headers],[ID]]))))&amp;"h"))</f>
        <v/>
      </c>
      <c r="S128" s="24" t="str">
        <f aca="false">IF(IFERROR(INDEX(tsk_Name,(ROW()-ROW(MSPTasks[[#Headers],[ID]])))="",TRUE()),"",IF(INDEX(tsk_BaseCost,(ROW()-ROW(MSPTasks[[#Headers],[ID]])))="","",N(INDEX(tsk_BaseCost,(ROW()-ROW(MSPTasks[[#Headers],[ID]]))))))</f>
        <v/>
      </c>
      <c r="T128" s="24" t="str">
        <f aca="false">IF(IFERROR(INDEX(tsk_Name,(ROW()-ROW(MSPTasks[[#Headers],[ID]])))="",TRUE()),"",IF(INDEX(tsk_IsSummary,(ROW()-ROW(MSPTasks[[#Headers],[ID]]))),"",IF(N(INDEX(tsk_ActCostInput,(ROW()-ROW(MSPTasks[[#Headers],[ID]]))))=0,"",INDEX(tsk_ActCostInput,(ROW()-ROW(MSPTasks[[#Headers],[ID]]))))))</f>
        <v/>
      </c>
      <c r="U128" s="24" t="str">
        <f aca="false">IF(IFERROR(INDEX(tsk_Name,(ROW()-ROW(MSPTasks[[#Headers],[ID]])))="",TRUE()),"",IF(INDEX(tsk_IsSummary,(ROW()-ROW(MSPTasks[[#Headers],[ID]]))),"",IF(AND(INDEX(tsk_Mode,(ROW()-ROW(MSPTasks[[#Headers],[ID]])))&lt;&gt;"Manual",N(INDEX(tsk_Constraint,(ROW()-ROW(MSPTasks[[#Headers],[ID]]))))&gt;0),"Start No Earlier Than","As Soon As Possible")))</f>
        <v/>
      </c>
      <c r="V128" s="127" t="str">
        <f aca="false">IF(IFERROR(INDEX(tsk_Name,(ROW()-ROW(MSPTasks[[#Headers],[ID]])))="",TRUE()),"",IF(OR(INDEX(tsk_IsSummary,(ROW()-ROW(MSPTasks[[#Headers],[ID]]))),INDEX(tsk_Mode,(ROW()-ROW(MSPTasks[[#Headers],[ID]])))="Manual"),"",IF(N(INDEX(tsk_Constraint,(ROW()-ROW(MSPTasks[[#Headers],[ID]]))))=0,"",INDEX(tsk_Constraint,(ROW()-ROW(MSPTasks[[#Headers],[ID]]))))))</f>
        <v/>
      </c>
      <c r="W128" s="127" t="str">
        <f aca="false">IF(IFERROR(INDEX(tsk_Name,(ROW()-ROW(MSPTasks[[#Headers],[ID]])))="",TRUE()),"",IF(N(INDEX(tsk_Deadline,(ROW()-ROW(MSPTasks[[#Headers],[ID]]))))=0,"",INDEX(tsk_Deadline,(ROW()-ROW(MSPTasks[[#Headers],[ID]])))))</f>
        <v/>
      </c>
      <c r="X128" s="24" t="str">
        <f aca="false">IF(IFERROR(INDEX(tsk_Name,(ROW()-ROW(MSPTasks[[#Headers],[ID]])))="",TRUE()),"",IF(INDEX(tsk_IsSummary,(ROW()-ROW(MSPTasks[[#Headers],[ID]]))),"",INDEX(tsk_Sprint,(ROW()-ROW(MSPTasks[[#Headers],[ID]])))&amp;""))</f>
        <v/>
      </c>
      <c r="Y128" s="24" t="str">
        <f aca="false">IF(IFERROR(INDEX(tsk_Name,(ROW()-ROW(MSPTasks[[#Headers],[ID]])))="",TRUE()),"",IF(INDEX(tsk_IsSummary,(ROW()-ROW(MSPTasks[[#Headers],[ID]]))),"",IF(N(INDEX(tsk_StoryPoints,(ROW()-ROW(MSPTasks[[#Headers],[ID]]))))=0,"",INDEX(tsk_StoryPoints,(ROW()-ROW(MSPTasks[[#Headers],[ID]]))))))</f>
        <v/>
      </c>
      <c r="Z128" s="24" t="str">
        <f aca="false">IF(IFERROR(INDEX(tsk_Name,(ROW()-ROW(MSPTasks[[#Headers],[ID]])))="",TRUE()),"",INDEX(tsk_Notes,(ROW()-ROW(MSPTasks[[#Headers],[ID]])))&amp;"")</f>
        <v/>
      </c>
    </row>
    <row r="129" customFormat="false" ht="15" hidden="false" customHeight="false" outlineLevel="0" collapsed="false">
      <c r="A129" s="24" t="str">
        <f aca="false">IF(IFERROR(INDEX(tsk_Name,(ROW()-ROW(MSPTasks[[#Headers],[ID]])))="",TRUE()),"",INDEX(tsk_ID,(ROW()-ROW(MSPTasks[[#Headers],[ID]]))))</f>
        <v/>
      </c>
      <c r="B129" s="24" t="str">
        <f aca="false">IF(IFERROR(INDEX(tsk_Name,(ROW()-ROW(MSPTasks[[#Headers],[ID]])))="",TRUE()),"",INDEX(tsk_UID,(ROW()-ROW(MSPTasks[[#Headers],[ID]]))))</f>
        <v/>
      </c>
      <c r="C129" s="24" t="str">
        <f aca="false">IF(IFERROR(INDEX(tsk_Name,(ROW()-ROW(MSPTasks[[#Headers],[ID]])))="",TRUE()),"",INDEX(tsk_Name,(ROW()-ROW(MSPTasks[[#Headers],[ID]]))))</f>
        <v/>
      </c>
      <c r="D129" s="24" t="str">
        <f aca="false">IF(IFERROR(INDEX(tsk_Name,(ROW()-ROW(MSPTasks[[#Headers],[ID]])))="",TRUE()),"",INDEX(tsk_Level,(ROW()-ROW(MSPTasks[[#Headers],[ID]]))))</f>
        <v/>
      </c>
      <c r="E129" s="24" t="str">
        <f aca="false">IF(IFERROR(INDEX(tsk_Name,(ROW()-ROW(MSPTasks[[#Headers],[ID]])))="",TRUE()),"",IF(INDEX(tsk_Mode,(ROW()-ROW(MSPTasks[[#Headers],[ID]])))="Manual","Manually Scheduled","Auto Scheduled"))</f>
        <v/>
      </c>
      <c r="F129" s="24" t="str">
        <f aca="false">IF(IFERROR(INDEX(tsk_Name,(ROW()-ROW(MSPTasks[[#Headers],[ID]])))="",TRUE()),"",IF(INDEX(tsk_IsSummary,(ROW()-ROW(MSPTasks[[#Headers],[ID]]))),"",N(INDEX(tsk_Duration,(ROW()-ROW(MSPTasks[[#Headers],[ID]]))))&amp;"d"))</f>
        <v/>
      </c>
      <c r="G129" s="127" t="str">
        <f aca="false">IF(IFERROR(INDEX(tsk_Name,(ROW()-ROW(MSPTasks[[#Headers],[ID]])))="",TRUE()),"",INDEX(tsk_FcStart,(ROW()-ROW(MSPTasks[[#Headers],[ID]]))))</f>
        <v/>
      </c>
      <c r="H129" s="127" t="str">
        <f aca="false">IF(IFERROR(INDEX(tsk_Name,(ROW()-ROW(MSPTasks[[#Headers],[ID]])))="",TRUE()),"",INDEX(tsk_FcFinish,(ROW()-ROW(MSPTasks[[#Headers],[ID]]))))</f>
        <v/>
      </c>
      <c r="I129" s="24" t="str">
        <f aca="false">IF(IFERROR(INDEX(tsk_Name,(ROW()-ROW(MSPTasks[[#Headers],[ID]])))="",TRUE()),"",IF(INDEX(tsk_IsSummary,(ROW()-ROW(MSPTasks[[#Headers],[ID]]))),"",INDEX(tsk_Predecessors,(ROW()-ROW(MSPTasks[[#Headers],[ID]])))))</f>
        <v/>
      </c>
      <c r="J129" s="24" t="str">
        <f aca="false">IF(IFERROR(INDEX(tsk_Name,(ROW()-ROW(MSPTasks[[#Headers],[ID]])))="",TRUE()),"",IF(INDEX(tsk_IsSummary,(ROW()-ROW(MSPTasks[[#Headers],[ID]]))),"",INDEX(tsk_UIDPredecessors,(ROW()-ROW(MSPTasks[[#Headers],[ID]])))))</f>
        <v/>
      </c>
      <c r="K12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9" s="24" t="str">
        <f aca="false">IF(IFERROR(INDEX(tsk_Name,(ROW()-ROW(MSPTasks[[#Headers],[ID]])))="",TRUE()),"",IF(INDEX(tsk_IsSummary,(ROW()-ROW(MSPTasks[[#Headers],[ID]]))),"",ROUND(INDEX(tsk_Progress,(ROW()-ROW(MSPTasks[[#Headers],[ID]])))*100,0)))</f>
        <v/>
      </c>
      <c r="M129" s="127" t="str">
        <f aca="false">IF(IFERROR(INDEX(tsk_Name,(ROW()-ROW(MSPTasks[[#Headers],[ID]])))="",TRUE()),"",IF(N(INDEX(tsk_ActStart,(ROW()-ROW(MSPTasks[[#Headers],[ID]]))))=0,"",INDEX(tsk_ActStart,(ROW()-ROW(MSPTasks[[#Headers],[ID]])))))</f>
        <v/>
      </c>
      <c r="N129" s="127" t="str">
        <f aca="false">IF(IFERROR(INDEX(tsk_Name,(ROW()-ROW(MSPTasks[[#Headers],[ID]])))="",TRUE()),"",IF(N(INDEX(tsk_ActFinish,(ROW()-ROW(MSPTasks[[#Headers],[ID]]))))=0,"",INDEX(tsk_ActFinish,(ROW()-ROW(MSPTasks[[#Headers],[ID]])))))</f>
        <v/>
      </c>
      <c r="O129" s="127" t="str">
        <f aca="false">IF(IFERROR(INDEX(tsk_Name,(ROW()-ROW(MSPTasks[[#Headers],[ID]])))="",TRUE()),"",INDEX(tsk_PlanStart,(ROW()-ROW(MSPTasks[[#Headers],[ID]]))))</f>
        <v/>
      </c>
      <c r="P129" s="127" t="str">
        <f aca="false">IF(IFERROR(INDEX(tsk_Name,(ROW()-ROW(MSPTasks[[#Headers],[ID]])))="",TRUE()),"",INDEX(tsk_PlanFinish,(ROW()-ROW(MSPTasks[[#Headers],[ID]]))))</f>
        <v/>
      </c>
      <c r="Q129" s="24" t="str">
        <f aca="false">IF(IFERROR(INDEX(tsk_Name,(ROW()-ROW(MSPTasks[[#Headers],[ID]])))="",TRUE()),"",IF(INDEX(tsk_BaseDuration,(ROW()-ROW(MSPTasks[[#Headers],[ID]])))="","",N(INDEX(tsk_BaseDuration,(ROW()-ROW(MSPTasks[[#Headers],[ID]]))))&amp;"d"))</f>
        <v/>
      </c>
      <c r="R129" s="24" t="str">
        <f aca="false">IF(IFERROR(INDEX(tsk_Name,(ROW()-ROW(MSPTasks[[#Headers],[ID]])))="",TRUE()),"",IF(INDEX(tsk_BaseWork,(ROW()-ROW(MSPTasks[[#Headers],[ID]])))="","",N(INDEX(tsk_BaseWork,(ROW()-ROW(MSPTasks[[#Headers],[ID]]))))&amp;"h"))</f>
        <v/>
      </c>
      <c r="S129" s="24" t="str">
        <f aca="false">IF(IFERROR(INDEX(tsk_Name,(ROW()-ROW(MSPTasks[[#Headers],[ID]])))="",TRUE()),"",IF(INDEX(tsk_BaseCost,(ROW()-ROW(MSPTasks[[#Headers],[ID]])))="","",N(INDEX(tsk_BaseCost,(ROW()-ROW(MSPTasks[[#Headers],[ID]]))))))</f>
        <v/>
      </c>
      <c r="T129" s="24" t="str">
        <f aca="false">IF(IFERROR(INDEX(tsk_Name,(ROW()-ROW(MSPTasks[[#Headers],[ID]])))="",TRUE()),"",IF(INDEX(tsk_IsSummary,(ROW()-ROW(MSPTasks[[#Headers],[ID]]))),"",IF(N(INDEX(tsk_ActCostInput,(ROW()-ROW(MSPTasks[[#Headers],[ID]]))))=0,"",INDEX(tsk_ActCostInput,(ROW()-ROW(MSPTasks[[#Headers],[ID]]))))))</f>
        <v/>
      </c>
      <c r="U129" s="24" t="str">
        <f aca="false">IF(IFERROR(INDEX(tsk_Name,(ROW()-ROW(MSPTasks[[#Headers],[ID]])))="",TRUE()),"",IF(INDEX(tsk_IsSummary,(ROW()-ROW(MSPTasks[[#Headers],[ID]]))),"",IF(AND(INDEX(tsk_Mode,(ROW()-ROW(MSPTasks[[#Headers],[ID]])))&lt;&gt;"Manual",N(INDEX(tsk_Constraint,(ROW()-ROW(MSPTasks[[#Headers],[ID]]))))&gt;0),"Start No Earlier Than","As Soon As Possible")))</f>
        <v/>
      </c>
      <c r="V129" s="127" t="str">
        <f aca="false">IF(IFERROR(INDEX(tsk_Name,(ROW()-ROW(MSPTasks[[#Headers],[ID]])))="",TRUE()),"",IF(OR(INDEX(tsk_IsSummary,(ROW()-ROW(MSPTasks[[#Headers],[ID]]))),INDEX(tsk_Mode,(ROW()-ROW(MSPTasks[[#Headers],[ID]])))="Manual"),"",IF(N(INDEX(tsk_Constraint,(ROW()-ROW(MSPTasks[[#Headers],[ID]]))))=0,"",INDEX(tsk_Constraint,(ROW()-ROW(MSPTasks[[#Headers],[ID]]))))))</f>
        <v/>
      </c>
      <c r="W129" s="127" t="str">
        <f aca="false">IF(IFERROR(INDEX(tsk_Name,(ROW()-ROW(MSPTasks[[#Headers],[ID]])))="",TRUE()),"",IF(N(INDEX(tsk_Deadline,(ROW()-ROW(MSPTasks[[#Headers],[ID]]))))=0,"",INDEX(tsk_Deadline,(ROW()-ROW(MSPTasks[[#Headers],[ID]])))))</f>
        <v/>
      </c>
      <c r="X129" s="24" t="str">
        <f aca="false">IF(IFERROR(INDEX(tsk_Name,(ROW()-ROW(MSPTasks[[#Headers],[ID]])))="",TRUE()),"",IF(INDEX(tsk_IsSummary,(ROW()-ROW(MSPTasks[[#Headers],[ID]]))),"",INDEX(tsk_Sprint,(ROW()-ROW(MSPTasks[[#Headers],[ID]])))&amp;""))</f>
        <v/>
      </c>
      <c r="Y129" s="24" t="str">
        <f aca="false">IF(IFERROR(INDEX(tsk_Name,(ROW()-ROW(MSPTasks[[#Headers],[ID]])))="",TRUE()),"",IF(INDEX(tsk_IsSummary,(ROW()-ROW(MSPTasks[[#Headers],[ID]]))),"",IF(N(INDEX(tsk_StoryPoints,(ROW()-ROW(MSPTasks[[#Headers],[ID]]))))=0,"",INDEX(tsk_StoryPoints,(ROW()-ROW(MSPTasks[[#Headers],[ID]]))))))</f>
        <v/>
      </c>
      <c r="Z129" s="24" t="str">
        <f aca="false">IF(IFERROR(INDEX(tsk_Name,(ROW()-ROW(MSPTasks[[#Headers],[ID]])))="",TRUE()),"",INDEX(tsk_Notes,(ROW()-ROW(MSPTasks[[#Headers],[ID]])))&amp;"")</f>
        <v/>
      </c>
    </row>
    <row r="130" customFormat="false" ht="15" hidden="false" customHeight="false" outlineLevel="0" collapsed="false">
      <c r="A130" s="24" t="str">
        <f aca="false">IF(IFERROR(INDEX(tsk_Name,(ROW()-ROW(MSPTasks[[#Headers],[ID]])))="",TRUE()),"",INDEX(tsk_ID,(ROW()-ROW(MSPTasks[[#Headers],[ID]]))))</f>
        <v/>
      </c>
      <c r="B130" s="24" t="str">
        <f aca="false">IF(IFERROR(INDEX(tsk_Name,(ROW()-ROW(MSPTasks[[#Headers],[ID]])))="",TRUE()),"",INDEX(tsk_UID,(ROW()-ROW(MSPTasks[[#Headers],[ID]]))))</f>
        <v/>
      </c>
      <c r="C130" s="24" t="str">
        <f aca="false">IF(IFERROR(INDEX(tsk_Name,(ROW()-ROW(MSPTasks[[#Headers],[ID]])))="",TRUE()),"",INDEX(tsk_Name,(ROW()-ROW(MSPTasks[[#Headers],[ID]]))))</f>
        <v/>
      </c>
      <c r="D130" s="24" t="str">
        <f aca="false">IF(IFERROR(INDEX(tsk_Name,(ROW()-ROW(MSPTasks[[#Headers],[ID]])))="",TRUE()),"",INDEX(tsk_Level,(ROW()-ROW(MSPTasks[[#Headers],[ID]]))))</f>
        <v/>
      </c>
      <c r="E130" s="24" t="str">
        <f aca="false">IF(IFERROR(INDEX(tsk_Name,(ROW()-ROW(MSPTasks[[#Headers],[ID]])))="",TRUE()),"",IF(INDEX(tsk_Mode,(ROW()-ROW(MSPTasks[[#Headers],[ID]])))="Manual","Manually Scheduled","Auto Scheduled"))</f>
        <v/>
      </c>
      <c r="F130" s="24" t="str">
        <f aca="false">IF(IFERROR(INDEX(tsk_Name,(ROW()-ROW(MSPTasks[[#Headers],[ID]])))="",TRUE()),"",IF(INDEX(tsk_IsSummary,(ROW()-ROW(MSPTasks[[#Headers],[ID]]))),"",N(INDEX(tsk_Duration,(ROW()-ROW(MSPTasks[[#Headers],[ID]]))))&amp;"d"))</f>
        <v/>
      </c>
      <c r="G130" s="127" t="str">
        <f aca="false">IF(IFERROR(INDEX(tsk_Name,(ROW()-ROW(MSPTasks[[#Headers],[ID]])))="",TRUE()),"",INDEX(tsk_FcStart,(ROW()-ROW(MSPTasks[[#Headers],[ID]]))))</f>
        <v/>
      </c>
      <c r="H130" s="127" t="str">
        <f aca="false">IF(IFERROR(INDEX(tsk_Name,(ROW()-ROW(MSPTasks[[#Headers],[ID]])))="",TRUE()),"",INDEX(tsk_FcFinish,(ROW()-ROW(MSPTasks[[#Headers],[ID]]))))</f>
        <v/>
      </c>
      <c r="I130" s="24" t="str">
        <f aca="false">IF(IFERROR(INDEX(tsk_Name,(ROW()-ROW(MSPTasks[[#Headers],[ID]])))="",TRUE()),"",IF(INDEX(tsk_IsSummary,(ROW()-ROW(MSPTasks[[#Headers],[ID]]))),"",INDEX(tsk_Predecessors,(ROW()-ROW(MSPTasks[[#Headers],[ID]])))))</f>
        <v/>
      </c>
      <c r="J130" s="24" t="str">
        <f aca="false">IF(IFERROR(INDEX(tsk_Name,(ROW()-ROW(MSPTasks[[#Headers],[ID]])))="",TRUE()),"",IF(INDEX(tsk_IsSummary,(ROW()-ROW(MSPTasks[[#Headers],[ID]]))),"",INDEX(tsk_UIDPredecessors,(ROW()-ROW(MSPTasks[[#Headers],[ID]])))))</f>
        <v/>
      </c>
      <c r="K13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0" s="24" t="str">
        <f aca="false">IF(IFERROR(INDEX(tsk_Name,(ROW()-ROW(MSPTasks[[#Headers],[ID]])))="",TRUE()),"",IF(INDEX(tsk_IsSummary,(ROW()-ROW(MSPTasks[[#Headers],[ID]]))),"",ROUND(INDEX(tsk_Progress,(ROW()-ROW(MSPTasks[[#Headers],[ID]])))*100,0)))</f>
        <v/>
      </c>
      <c r="M130" s="127" t="str">
        <f aca="false">IF(IFERROR(INDEX(tsk_Name,(ROW()-ROW(MSPTasks[[#Headers],[ID]])))="",TRUE()),"",IF(N(INDEX(tsk_ActStart,(ROW()-ROW(MSPTasks[[#Headers],[ID]]))))=0,"",INDEX(tsk_ActStart,(ROW()-ROW(MSPTasks[[#Headers],[ID]])))))</f>
        <v/>
      </c>
      <c r="N130" s="127" t="str">
        <f aca="false">IF(IFERROR(INDEX(tsk_Name,(ROW()-ROW(MSPTasks[[#Headers],[ID]])))="",TRUE()),"",IF(N(INDEX(tsk_ActFinish,(ROW()-ROW(MSPTasks[[#Headers],[ID]]))))=0,"",INDEX(tsk_ActFinish,(ROW()-ROW(MSPTasks[[#Headers],[ID]])))))</f>
        <v/>
      </c>
      <c r="O130" s="127" t="str">
        <f aca="false">IF(IFERROR(INDEX(tsk_Name,(ROW()-ROW(MSPTasks[[#Headers],[ID]])))="",TRUE()),"",INDEX(tsk_PlanStart,(ROW()-ROW(MSPTasks[[#Headers],[ID]]))))</f>
        <v/>
      </c>
      <c r="P130" s="127" t="str">
        <f aca="false">IF(IFERROR(INDEX(tsk_Name,(ROW()-ROW(MSPTasks[[#Headers],[ID]])))="",TRUE()),"",INDEX(tsk_PlanFinish,(ROW()-ROW(MSPTasks[[#Headers],[ID]]))))</f>
        <v/>
      </c>
      <c r="Q130" s="24" t="str">
        <f aca="false">IF(IFERROR(INDEX(tsk_Name,(ROW()-ROW(MSPTasks[[#Headers],[ID]])))="",TRUE()),"",IF(INDEX(tsk_BaseDuration,(ROW()-ROW(MSPTasks[[#Headers],[ID]])))="","",N(INDEX(tsk_BaseDuration,(ROW()-ROW(MSPTasks[[#Headers],[ID]]))))&amp;"d"))</f>
        <v/>
      </c>
      <c r="R130" s="24" t="str">
        <f aca="false">IF(IFERROR(INDEX(tsk_Name,(ROW()-ROW(MSPTasks[[#Headers],[ID]])))="",TRUE()),"",IF(INDEX(tsk_BaseWork,(ROW()-ROW(MSPTasks[[#Headers],[ID]])))="","",N(INDEX(tsk_BaseWork,(ROW()-ROW(MSPTasks[[#Headers],[ID]]))))&amp;"h"))</f>
        <v/>
      </c>
      <c r="S130" s="24" t="str">
        <f aca="false">IF(IFERROR(INDEX(tsk_Name,(ROW()-ROW(MSPTasks[[#Headers],[ID]])))="",TRUE()),"",IF(INDEX(tsk_BaseCost,(ROW()-ROW(MSPTasks[[#Headers],[ID]])))="","",N(INDEX(tsk_BaseCost,(ROW()-ROW(MSPTasks[[#Headers],[ID]]))))))</f>
        <v/>
      </c>
      <c r="T130" s="24" t="str">
        <f aca="false">IF(IFERROR(INDEX(tsk_Name,(ROW()-ROW(MSPTasks[[#Headers],[ID]])))="",TRUE()),"",IF(INDEX(tsk_IsSummary,(ROW()-ROW(MSPTasks[[#Headers],[ID]]))),"",IF(N(INDEX(tsk_ActCostInput,(ROW()-ROW(MSPTasks[[#Headers],[ID]]))))=0,"",INDEX(tsk_ActCostInput,(ROW()-ROW(MSPTasks[[#Headers],[ID]]))))))</f>
        <v/>
      </c>
      <c r="U130" s="24" t="str">
        <f aca="false">IF(IFERROR(INDEX(tsk_Name,(ROW()-ROW(MSPTasks[[#Headers],[ID]])))="",TRUE()),"",IF(INDEX(tsk_IsSummary,(ROW()-ROW(MSPTasks[[#Headers],[ID]]))),"",IF(AND(INDEX(tsk_Mode,(ROW()-ROW(MSPTasks[[#Headers],[ID]])))&lt;&gt;"Manual",N(INDEX(tsk_Constraint,(ROW()-ROW(MSPTasks[[#Headers],[ID]]))))&gt;0),"Start No Earlier Than","As Soon As Possible")))</f>
        <v/>
      </c>
      <c r="V130" s="127" t="str">
        <f aca="false">IF(IFERROR(INDEX(tsk_Name,(ROW()-ROW(MSPTasks[[#Headers],[ID]])))="",TRUE()),"",IF(OR(INDEX(tsk_IsSummary,(ROW()-ROW(MSPTasks[[#Headers],[ID]]))),INDEX(tsk_Mode,(ROW()-ROW(MSPTasks[[#Headers],[ID]])))="Manual"),"",IF(N(INDEX(tsk_Constraint,(ROW()-ROW(MSPTasks[[#Headers],[ID]]))))=0,"",INDEX(tsk_Constraint,(ROW()-ROW(MSPTasks[[#Headers],[ID]]))))))</f>
        <v/>
      </c>
      <c r="W130" s="127" t="str">
        <f aca="false">IF(IFERROR(INDEX(tsk_Name,(ROW()-ROW(MSPTasks[[#Headers],[ID]])))="",TRUE()),"",IF(N(INDEX(tsk_Deadline,(ROW()-ROW(MSPTasks[[#Headers],[ID]]))))=0,"",INDEX(tsk_Deadline,(ROW()-ROW(MSPTasks[[#Headers],[ID]])))))</f>
        <v/>
      </c>
      <c r="X130" s="24" t="str">
        <f aca="false">IF(IFERROR(INDEX(tsk_Name,(ROW()-ROW(MSPTasks[[#Headers],[ID]])))="",TRUE()),"",IF(INDEX(tsk_IsSummary,(ROW()-ROW(MSPTasks[[#Headers],[ID]]))),"",INDEX(tsk_Sprint,(ROW()-ROW(MSPTasks[[#Headers],[ID]])))&amp;""))</f>
        <v/>
      </c>
      <c r="Y130" s="24" t="str">
        <f aca="false">IF(IFERROR(INDEX(tsk_Name,(ROW()-ROW(MSPTasks[[#Headers],[ID]])))="",TRUE()),"",IF(INDEX(tsk_IsSummary,(ROW()-ROW(MSPTasks[[#Headers],[ID]]))),"",IF(N(INDEX(tsk_StoryPoints,(ROW()-ROW(MSPTasks[[#Headers],[ID]]))))=0,"",INDEX(tsk_StoryPoints,(ROW()-ROW(MSPTasks[[#Headers],[ID]]))))))</f>
        <v/>
      </c>
      <c r="Z130" s="24" t="str">
        <f aca="false">IF(IFERROR(INDEX(tsk_Name,(ROW()-ROW(MSPTasks[[#Headers],[ID]])))="",TRUE()),"",INDEX(tsk_Notes,(ROW()-ROW(MSPTasks[[#Headers],[ID]])))&amp;"")</f>
        <v/>
      </c>
    </row>
    <row r="131" customFormat="false" ht="15" hidden="false" customHeight="false" outlineLevel="0" collapsed="false">
      <c r="A131" s="24" t="str">
        <f aca="false">IF(IFERROR(INDEX(tsk_Name,(ROW()-ROW(MSPTasks[[#Headers],[ID]])))="",TRUE()),"",INDEX(tsk_ID,(ROW()-ROW(MSPTasks[[#Headers],[ID]]))))</f>
        <v/>
      </c>
      <c r="B131" s="24" t="str">
        <f aca="false">IF(IFERROR(INDEX(tsk_Name,(ROW()-ROW(MSPTasks[[#Headers],[ID]])))="",TRUE()),"",INDEX(tsk_UID,(ROW()-ROW(MSPTasks[[#Headers],[ID]]))))</f>
        <v/>
      </c>
      <c r="C131" s="24" t="str">
        <f aca="false">IF(IFERROR(INDEX(tsk_Name,(ROW()-ROW(MSPTasks[[#Headers],[ID]])))="",TRUE()),"",INDEX(tsk_Name,(ROW()-ROW(MSPTasks[[#Headers],[ID]]))))</f>
        <v/>
      </c>
      <c r="D131" s="24" t="str">
        <f aca="false">IF(IFERROR(INDEX(tsk_Name,(ROW()-ROW(MSPTasks[[#Headers],[ID]])))="",TRUE()),"",INDEX(tsk_Level,(ROW()-ROW(MSPTasks[[#Headers],[ID]]))))</f>
        <v/>
      </c>
      <c r="E131" s="24" t="str">
        <f aca="false">IF(IFERROR(INDEX(tsk_Name,(ROW()-ROW(MSPTasks[[#Headers],[ID]])))="",TRUE()),"",IF(INDEX(tsk_Mode,(ROW()-ROW(MSPTasks[[#Headers],[ID]])))="Manual","Manually Scheduled","Auto Scheduled"))</f>
        <v/>
      </c>
      <c r="F131" s="24" t="str">
        <f aca="false">IF(IFERROR(INDEX(tsk_Name,(ROW()-ROW(MSPTasks[[#Headers],[ID]])))="",TRUE()),"",IF(INDEX(tsk_IsSummary,(ROW()-ROW(MSPTasks[[#Headers],[ID]]))),"",N(INDEX(tsk_Duration,(ROW()-ROW(MSPTasks[[#Headers],[ID]]))))&amp;"d"))</f>
        <v/>
      </c>
      <c r="G131" s="127" t="str">
        <f aca="false">IF(IFERROR(INDEX(tsk_Name,(ROW()-ROW(MSPTasks[[#Headers],[ID]])))="",TRUE()),"",INDEX(tsk_FcStart,(ROW()-ROW(MSPTasks[[#Headers],[ID]]))))</f>
        <v/>
      </c>
      <c r="H131" s="127" t="str">
        <f aca="false">IF(IFERROR(INDEX(tsk_Name,(ROW()-ROW(MSPTasks[[#Headers],[ID]])))="",TRUE()),"",INDEX(tsk_FcFinish,(ROW()-ROW(MSPTasks[[#Headers],[ID]]))))</f>
        <v/>
      </c>
      <c r="I131" s="24" t="str">
        <f aca="false">IF(IFERROR(INDEX(tsk_Name,(ROW()-ROW(MSPTasks[[#Headers],[ID]])))="",TRUE()),"",IF(INDEX(tsk_IsSummary,(ROW()-ROW(MSPTasks[[#Headers],[ID]]))),"",INDEX(tsk_Predecessors,(ROW()-ROW(MSPTasks[[#Headers],[ID]])))))</f>
        <v/>
      </c>
      <c r="J131" s="24" t="str">
        <f aca="false">IF(IFERROR(INDEX(tsk_Name,(ROW()-ROW(MSPTasks[[#Headers],[ID]])))="",TRUE()),"",IF(INDEX(tsk_IsSummary,(ROW()-ROW(MSPTasks[[#Headers],[ID]]))),"",INDEX(tsk_UIDPredecessors,(ROW()-ROW(MSPTasks[[#Headers],[ID]])))))</f>
        <v/>
      </c>
      <c r="K13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1" s="24" t="str">
        <f aca="false">IF(IFERROR(INDEX(tsk_Name,(ROW()-ROW(MSPTasks[[#Headers],[ID]])))="",TRUE()),"",IF(INDEX(tsk_IsSummary,(ROW()-ROW(MSPTasks[[#Headers],[ID]]))),"",ROUND(INDEX(tsk_Progress,(ROW()-ROW(MSPTasks[[#Headers],[ID]])))*100,0)))</f>
        <v/>
      </c>
      <c r="M131" s="127" t="str">
        <f aca="false">IF(IFERROR(INDEX(tsk_Name,(ROW()-ROW(MSPTasks[[#Headers],[ID]])))="",TRUE()),"",IF(N(INDEX(tsk_ActStart,(ROW()-ROW(MSPTasks[[#Headers],[ID]]))))=0,"",INDEX(tsk_ActStart,(ROW()-ROW(MSPTasks[[#Headers],[ID]])))))</f>
        <v/>
      </c>
      <c r="N131" s="127" t="str">
        <f aca="false">IF(IFERROR(INDEX(tsk_Name,(ROW()-ROW(MSPTasks[[#Headers],[ID]])))="",TRUE()),"",IF(N(INDEX(tsk_ActFinish,(ROW()-ROW(MSPTasks[[#Headers],[ID]]))))=0,"",INDEX(tsk_ActFinish,(ROW()-ROW(MSPTasks[[#Headers],[ID]])))))</f>
        <v/>
      </c>
      <c r="O131" s="127" t="str">
        <f aca="false">IF(IFERROR(INDEX(tsk_Name,(ROW()-ROW(MSPTasks[[#Headers],[ID]])))="",TRUE()),"",INDEX(tsk_PlanStart,(ROW()-ROW(MSPTasks[[#Headers],[ID]]))))</f>
        <v/>
      </c>
      <c r="P131" s="127" t="str">
        <f aca="false">IF(IFERROR(INDEX(tsk_Name,(ROW()-ROW(MSPTasks[[#Headers],[ID]])))="",TRUE()),"",INDEX(tsk_PlanFinish,(ROW()-ROW(MSPTasks[[#Headers],[ID]]))))</f>
        <v/>
      </c>
      <c r="Q131" s="24" t="str">
        <f aca="false">IF(IFERROR(INDEX(tsk_Name,(ROW()-ROW(MSPTasks[[#Headers],[ID]])))="",TRUE()),"",IF(INDEX(tsk_BaseDuration,(ROW()-ROW(MSPTasks[[#Headers],[ID]])))="","",N(INDEX(tsk_BaseDuration,(ROW()-ROW(MSPTasks[[#Headers],[ID]]))))&amp;"d"))</f>
        <v/>
      </c>
      <c r="R131" s="24" t="str">
        <f aca="false">IF(IFERROR(INDEX(tsk_Name,(ROW()-ROW(MSPTasks[[#Headers],[ID]])))="",TRUE()),"",IF(INDEX(tsk_BaseWork,(ROW()-ROW(MSPTasks[[#Headers],[ID]])))="","",N(INDEX(tsk_BaseWork,(ROW()-ROW(MSPTasks[[#Headers],[ID]]))))&amp;"h"))</f>
        <v/>
      </c>
      <c r="S131" s="24" t="str">
        <f aca="false">IF(IFERROR(INDEX(tsk_Name,(ROW()-ROW(MSPTasks[[#Headers],[ID]])))="",TRUE()),"",IF(INDEX(tsk_BaseCost,(ROW()-ROW(MSPTasks[[#Headers],[ID]])))="","",N(INDEX(tsk_BaseCost,(ROW()-ROW(MSPTasks[[#Headers],[ID]]))))))</f>
        <v/>
      </c>
      <c r="T131" s="24" t="str">
        <f aca="false">IF(IFERROR(INDEX(tsk_Name,(ROW()-ROW(MSPTasks[[#Headers],[ID]])))="",TRUE()),"",IF(INDEX(tsk_IsSummary,(ROW()-ROW(MSPTasks[[#Headers],[ID]]))),"",IF(N(INDEX(tsk_ActCostInput,(ROW()-ROW(MSPTasks[[#Headers],[ID]]))))=0,"",INDEX(tsk_ActCostInput,(ROW()-ROW(MSPTasks[[#Headers],[ID]]))))))</f>
        <v/>
      </c>
      <c r="U131" s="24" t="str">
        <f aca="false">IF(IFERROR(INDEX(tsk_Name,(ROW()-ROW(MSPTasks[[#Headers],[ID]])))="",TRUE()),"",IF(INDEX(tsk_IsSummary,(ROW()-ROW(MSPTasks[[#Headers],[ID]]))),"",IF(AND(INDEX(tsk_Mode,(ROW()-ROW(MSPTasks[[#Headers],[ID]])))&lt;&gt;"Manual",N(INDEX(tsk_Constraint,(ROW()-ROW(MSPTasks[[#Headers],[ID]]))))&gt;0),"Start No Earlier Than","As Soon As Possible")))</f>
        <v/>
      </c>
      <c r="V131" s="127" t="str">
        <f aca="false">IF(IFERROR(INDEX(tsk_Name,(ROW()-ROW(MSPTasks[[#Headers],[ID]])))="",TRUE()),"",IF(OR(INDEX(tsk_IsSummary,(ROW()-ROW(MSPTasks[[#Headers],[ID]]))),INDEX(tsk_Mode,(ROW()-ROW(MSPTasks[[#Headers],[ID]])))="Manual"),"",IF(N(INDEX(tsk_Constraint,(ROW()-ROW(MSPTasks[[#Headers],[ID]]))))=0,"",INDEX(tsk_Constraint,(ROW()-ROW(MSPTasks[[#Headers],[ID]]))))))</f>
        <v/>
      </c>
      <c r="W131" s="127" t="str">
        <f aca="false">IF(IFERROR(INDEX(tsk_Name,(ROW()-ROW(MSPTasks[[#Headers],[ID]])))="",TRUE()),"",IF(N(INDEX(tsk_Deadline,(ROW()-ROW(MSPTasks[[#Headers],[ID]]))))=0,"",INDEX(tsk_Deadline,(ROW()-ROW(MSPTasks[[#Headers],[ID]])))))</f>
        <v/>
      </c>
      <c r="X131" s="24" t="str">
        <f aca="false">IF(IFERROR(INDEX(tsk_Name,(ROW()-ROW(MSPTasks[[#Headers],[ID]])))="",TRUE()),"",IF(INDEX(tsk_IsSummary,(ROW()-ROW(MSPTasks[[#Headers],[ID]]))),"",INDEX(tsk_Sprint,(ROW()-ROW(MSPTasks[[#Headers],[ID]])))&amp;""))</f>
        <v/>
      </c>
      <c r="Y131" s="24" t="str">
        <f aca="false">IF(IFERROR(INDEX(tsk_Name,(ROW()-ROW(MSPTasks[[#Headers],[ID]])))="",TRUE()),"",IF(INDEX(tsk_IsSummary,(ROW()-ROW(MSPTasks[[#Headers],[ID]]))),"",IF(N(INDEX(tsk_StoryPoints,(ROW()-ROW(MSPTasks[[#Headers],[ID]]))))=0,"",INDEX(tsk_StoryPoints,(ROW()-ROW(MSPTasks[[#Headers],[ID]]))))))</f>
        <v/>
      </c>
      <c r="Z131" s="24" t="str">
        <f aca="false">IF(IFERROR(INDEX(tsk_Name,(ROW()-ROW(MSPTasks[[#Headers],[ID]])))="",TRUE()),"",INDEX(tsk_Notes,(ROW()-ROW(MSPTasks[[#Headers],[ID]])))&amp;"")</f>
        <v/>
      </c>
    </row>
    <row r="132" customFormat="false" ht="15" hidden="false" customHeight="false" outlineLevel="0" collapsed="false">
      <c r="A132" s="24" t="str">
        <f aca="false">IF(IFERROR(INDEX(tsk_Name,(ROW()-ROW(MSPTasks[[#Headers],[ID]])))="",TRUE()),"",INDEX(tsk_ID,(ROW()-ROW(MSPTasks[[#Headers],[ID]]))))</f>
        <v/>
      </c>
      <c r="B132" s="24" t="str">
        <f aca="false">IF(IFERROR(INDEX(tsk_Name,(ROW()-ROW(MSPTasks[[#Headers],[ID]])))="",TRUE()),"",INDEX(tsk_UID,(ROW()-ROW(MSPTasks[[#Headers],[ID]]))))</f>
        <v/>
      </c>
      <c r="C132" s="24" t="str">
        <f aca="false">IF(IFERROR(INDEX(tsk_Name,(ROW()-ROW(MSPTasks[[#Headers],[ID]])))="",TRUE()),"",INDEX(tsk_Name,(ROW()-ROW(MSPTasks[[#Headers],[ID]]))))</f>
        <v/>
      </c>
      <c r="D132" s="24" t="str">
        <f aca="false">IF(IFERROR(INDEX(tsk_Name,(ROW()-ROW(MSPTasks[[#Headers],[ID]])))="",TRUE()),"",INDEX(tsk_Level,(ROW()-ROW(MSPTasks[[#Headers],[ID]]))))</f>
        <v/>
      </c>
      <c r="E132" s="24" t="str">
        <f aca="false">IF(IFERROR(INDEX(tsk_Name,(ROW()-ROW(MSPTasks[[#Headers],[ID]])))="",TRUE()),"",IF(INDEX(tsk_Mode,(ROW()-ROW(MSPTasks[[#Headers],[ID]])))="Manual","Manually Scheduled","Auto Scheduled"))</f>
        <v/>
      </c>
      <c r="F132" s="24" t="str">
        <f aca="false">IF(IFERROR(INDEX(tsk_Name,(ROW()-ROW(MSPTasks[[#Headers],[ID]])))="",TRUE()),"",IF(INDEX(tsk_IsSummary,(ROW()-ROW(MSPTasks[[#Headers],[ID]]))),"",N(INDEX(tsk_Duration,(ROW()-ROW(MSPTasks[[#Headers],[ID]]))))&amp;"d"))</f>
        <v/>
      </c>
      <c r="G132" s="127" t="str">
        <f aca="false">IF(IFERROR(INDEX(tsk_Name,(ROW()-ROW(MSPTasks[[#Headers],[ID]])))="",TRUE()),"",INDEX(tsk_FcStart,(ROW()-ROW(MSPTasks[[#Headers],[ID]]))))</f>
        <v/>
      </c>
      <c r="H132" s="127" t="str">
        <f aca="false">IF(IFERROR(INDEX(tsk_Name,(ROW()-ROW(MSPTasks[[#Headers],[ID]])))="",TRUE()),"",INDEX(tsk_FcFinish,(ROW()-ROW(MSPTasks[[#Headers],[ID]]))))</f>
        <v/>
      </c>
      <c r="I132" s="24" t="str">
        <f aca="false">IF(IFERROR(INDEX(tsk_Name,(ROW()-ROW(MSPTasks[[#Headers],[ID]])))="",TRUE()),"",IF(INDEX(tsk_IsSummary,(ROW()-ROW(MSPTasks[[#Headers],[ID]]))),"",INDEX(tsk_Predecessors,(ROW()-ROW(MSPTasks[[#Headers],[ID]])))))</f>
        <v/>
      </c>
      <c r="J132" s="24" t="str">
        <f aca="false">IF(IFERROR(INDEX(tsk_Name,(ROW()-ROW(MSPTasks[[#Headers],[ID]])))="",TRUE()),"",IF(INDEX(tsk_IsSummary,(ROW()-ROW(MSPTasks[[#Headers],[ID]]))),"",INDEX(tsk_UIDPredecessors,(ROW()-ROW(MSPTasks[[#Headers],[ID]])))))</f>
        <v/>
      </c>
      <c r="K13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2" s="24" t="str">
        <f aca="false">IF(IFERROR(INDEX(tsk_Name,(ROW()-ROW(MSPTasks[[#Headers],[ID]])))="",TRUE()),"",IF(INDEX(tsk_IsSummary,(ROW()-ROW(MSPTasks[[#Headers],[ID]]))),"",ROUND(INDEX(tsk_Progress,(ROW()-ROW(MSPTasks[[#Headers],[ID]])))*100,0)))</f>
        <v/>
      </c>
      <c r="M132" s="127" t="str">
        <f aca="false">IF(IFERROR(INDEX(tsk_Name,(ROW()-ROW(MSPTasks[[#Headers],[ID]])))="",TRUE()),"",IF(N(INDEX(tsk_ActStart,(ROW()-ROW(MSPTasks[[#Headers],[ID]]))))=0,"",INDEX(tsk_ActStart,(ROW()-ROW(MSPTasks[[#Headers],[ID]])))))</f>
        <v/>
      </c>
      <c r="N132" s="127" t="str">
        <f aca="false">IF(IFERROR(INDEX(tsk_Name,(ROW()-ROW(MSPTasks[[#Headers],[ID]])))="",TRUE()),"",IF(N(INDEX(tsk_ActFinish,(ROW()-ROW(MSPTasks[[#Headers],[ID]]))))=0,"",INDEX(tsk_ActFinish,(ROW()-ROW(MSPTasks[[#Headers],[ID]])))))</f>
        <v/>
      </c>
      <c r="O132" s="127" t="str">
        <f aca="false">IF(IFERROR(INDEX(tsk_Name,(ROW()-ROW(MSPTasks[[#Headers],[ID]])))="",TRUE()),"",INDEX(tsk_PlanStart,(ROW()-ROW(MSPTasks[[#Headers],[ID]]))))</f>
        <v/>
      </c>
      <c r="P132" s="127" t="str">
        <f aca="false">IF(IFERROR(INDEX(tsk_Name,(ROW()-ROW(MSPTasks[[#Headers],[ID]])))="",TRUE()),"",INDEX(tsk_PlanFinish,(ROW()-ROW(MSPTasks[[#Headers],[ID]]))))</f>
        <v/>
      </c>
      <c r="Q132" s="24" t="str">
        <f aca="false">IF(IFERROR(INDEX(tsk_Name,(ROW()-ROW(MSPTasks[[#Headers],[ID]])))="",TRUE()),"",IF(INDEX(tsk_BaseDuration,(ROW()-ROW(MSPTasks[[#Headers],[ID]])))="","",N(INDEX(tsk_BaseDuration,(ROW()-ROW(MSPTasks[[#Headers],[ID]]))))&amp;"d"))</f>
        <v/>
      </c>
      <c r="R132" s="24" t="str">
        <f aca="false">IF(IFERROR(INDEX(tsk_Name,(ROW()-ROW(MSPTasks[[#Headers],[ID]])))="",TRUE()),"",IF(INDEX(tsk_BaseWork,(ROW()-ROW(MSPTasks[[#Headers],[ID]])))="","",N(INDEX(tsk_BaseWork,(ROW()-ROW(MSPTasks[[#Headers],[ID]]))))&amp;"h"))</f>
        <v/>
      </c>
      <c r="S132" s="24" t="str">
        <f aca="false">IF(IFERROR(INDEX(tsk_Name,(ROW()-ROW(MSPTasks[[#Headers],[ID]])))="",TRUE()),"",IF(INDEX(tsk_BaseCost,(ROW()-ROW(MSPTasks[[#Headers],[ID]])))="","",N(INDEX(tsk_BaseCost,(ROW()-ROW(MSPTasks[[#Headers],[ID]]))))))</f>
        <v/>
      </c>
      <c r="T132" s="24" t="str">
        <f aca="false">IF(IFERROR(INDEX(tsk_Name,(ROW()-ROW(MSPTasks[[#Headers],[ID]])))="",TRUE()),"",IF(INDEX(tsk_IsSummary,(ROW()-ROW(MSPTasks[[#Headers],[ID]]))),"",IF(N(INDEX(tsk_ActCostInput,(ROW()-ROW(MSPTasks[[#Headers],[ID]]))))=0,"",INDEX(tsk_ActCostInput,(ROW()-ROW(MSPTasks[[#Headers],[ID]]))))))</f>
        <v/>
      </c>
      <c r="U132" s="24" t="str">
        <f aca="false">IF(IFERROR(INDEX(tsk_Name,(ROW()-ROW(MSPTasks[[#Headers],[ID]])))="",TRUE()),"",IF(INDEX(tsk_IsSummary,(ROW()-ROW(MSPTasks[[#Headers],[ID]]))),"",IF(AND(INDEX(tsk_Mode,(ROW()-ROW(MSPTasks[[#Headers],[ID]])))&lt;&gt;"Manual",N(INDEX(tsk_Constraint,(ROW()-ROW(MSPTasks[[#Headers],[ID]]))))&gt;0),"Start No Earlier Than","As Soon As Possible")))</f>
        <v/>
      </c>
      <c r="V132" s="127" t="str">
        <f aca="false">IF(IFERROR(INDEX(tsk_Name,(ROW()-ROW(MSPTasks[[#Headers],[ID]])))="",TRUE()),"",IF(OR(INDEX(tsk_IsSummary,(ROW()-ROW(MSPTasks[[#Headers],[ID]]))),INDEX(tsk_Mode,(ROW()-ROW(MSPTasks[[#Headers],[ID]])))="Manual"),"",IF(N(INDEX(tsk_Constraint,(ROW()-ROW(MSPTasks[[#Headers],[ID]]))))=0,"",INDEX(tsk_Constraint,(ROW()-ROW(MSPTasks[[#Headers],[ID]]))))))</f>
        <v/>
      </c>
      <c r="W132" s="127" t="str">
        <f aca="false">IF(IFERROR(INDEX(tsk_Name,(ROW()-ROW(MSPTasks[[#Headers],[ID]])))="",TRUE()),"",IF(N(INDEX(tsk_Deadline,(ROW()-ROW(MSPTasks[[#Headers],[ID]]))))=0,"",INDEX(tsk_Deadline,(ROW()-ROW(MSPTasks[[#Headers],[ID]])))))</f>
        <v/>
      </c>
      <c r="X132" s="24" t="str">
        <f aca="false">IF(IFERROR(INDEX(tsk_Name,(ROW()-ROW(MSPTasks[[#Headers],[ID]])))="",TRUE()),"",IF(INDEX(tsk_IsSummary,(ROW()-ROW(MSPTasks[[#Headers],[ID]]))),"",INDEX(tsk_Sprint,(ROW()-ROW(MSPTasks[[#Headers],[ID]])))&amp;""))</f>
        <v/>
      </c>
      <c r="Y132" s="24" t="str">
        <f aca="false">IF(IFERROR(INDEX(tsk_Name,(ROW()-ROW(MSPTasks[[#Headers],[ID]])))="",TRUE()),"",IF(INDEX(tsk_IsSummary,(ROW()-ROW(MSPTasks[[#Headers],[ID]]))),"",IF(N(INDEX(tsk_StoryPoints,(ROW()-ROW(MSPTasks[[#Headers],[ID]]))))=0,"",INDEX(tsk_StoryPoints,(ROW()-ROW(MSPTasks[[#Headers],[ID]]))))))</f>
        <v/>
      </c>
      <c r="Z132" s="24" t="str">
        <f aca="false">IF(IFERROR(INDEX(tsk_Name,(ROW()-ROW(MSPTasks[[#Headers],[ID]])))="",TRUE()),"",INDEX(tsk_Notes,(ROW()-ROW(MSPTasks[[#Headers],[ID]])))&amp;"")</f>
        <v/>
      </c>
    </row>
    <row r="133" customFormat="false" ht="15" hidden="false" customHeight="false" outlineLevel="0" collapsed="false">
      <c r="A133" s="24" t="str">
        <f aca="false">IF(IFERROR(INDEX(tsk_Name,(ROW()-ROW(MSPTasks[[#Headers],[ID]])))="",TRUE()),"",INDEX(tsk_ID,(ROW()-ROW(MSPTasks[[#Headers],[ID]]))))</f>
        <v/>
      </c>
      <c r="B133" s="24" t="str">
        <f aca="false">IF(IFERROR(INDEX(tsk_Name,(ROW()-ROW(MSPTasks[[#Headers],[ID]])))="",TRUE()),"",INDEX(tsk_UID,(ROW()-ROW(MSPTasks[[#Headers],[ID]]))))</f>
        <v/>
      </c>
      <c r="C133" s="24" t="str">
        <f aca="false">IF(IFERROR(INDEX(tsk_Name,(ROW()-ROW(MSPTasks[[#Headers],[ID]])))="",TRUE()),"",INDEX(tsk_Name,(ROW()-ROW(MSPTasks[[#Headers],[ID]]))))</f>
        <v/>
      </c>
      <c r="D133" s="24" t="str">
        <f aca="false">IF(IFERROR(INDEX(tsk_Name,(ROW()-ROW(MSPTasks[[#Headers],[ID]])))="",TRUE()),"",INDEX(tsk_Level,(ROW()-ROW(MSPTasks[[#Headers],[ID]]))))</f>
        <v/>
      </c>
      <c r="E133" s="24" t="str">
        <f aca="false">IF(IFERROR(INDEX(tsk_Name,(ROW()-ROW(MSPTasks[[#Headers],[ID]])))="",TRUE()),"",IF(INDEX(tsk_Mode,(ROW()-ROW(MSPTasks[[#Headers],[ID]])))="Manual","Manually Scheduled","Auto Scheduled"))</f>
        <v/>
      </c>
      <c r="F133" s="24" t="str">
        <f aca="false">IF(IFERROR(INDEX(tsk_Name,(ROW()-ROW(MSPTasks[[#Headers],[ID]])))="",TRUE()),"",IF(INDEX(tsk_IsSummary,(ROW()-ROW(MSPTasks[[#Headers],[ID]]))),"",N(INDEX(tsk_Duration,(ROW()-ROW(MSPTasks[[#Headers],[ID]]))))&amp;"d"))</f>
        <v/>
      </c>
      <c r="G133" s="127" t="str">
        <f aca="false">IF(IFERROR(INDEX(tsk_Name,(ROW()-ROW(MSPTasks[[#Headers],[ID]])))="",TRUE()),"",INDEX(tsk_FcStart,(ROW()-ROW(MSPTasks[[#Headers],[ID]]))))</f>
        <v/>
      </c>
      <c r="H133" s="127" t="str">
        <f aca="false">IF(IFERROR(INDEX(tsk_Name,(ROW()-ROW(MSPTasks[[#Headers],[ID]])))="",TRUE()),"",INDEX(tsk_FcFinish,(ROW()-ROW(MSPTasks[[#Headers],[ID]]))))</f>
        <v/>
      </c>
      <c r="I133" s="24" t="str">
        <f aca="false">IF(IFERROR(INDEX(tsk_Name,(ROW()-ROW(MSPTasks[[#Headers],[ID]])))="",TRUE()),"",IF(INDEX(tsk_IsSummary,(ROW()-ROW(MSPTasks[[#Headers],[ID]]))),"",INDEX(tsk_Predecessors,(ROW()-ROW(MSPTasks[[#Headers],[ID]])))))</f>
        <v/>
      </c>
      <c r="J133" s="24" t="str">
        <f aca="false">IF(IFERROR(INDEX(tsk_Name,(ROW()-ROW(MSPTasks[[#Headers],[ID]])))="",TRUE()),"",IF(INDEX(tsk_IsSummary,(ROW()-ROW(MSPTasks[[#Headers],[ID]]))),"",INDEX(tsk_UIDPredecessors,(ROW()-ROW(MSPTasks[[#Headers],[ID]])))))</f>
        <v/>
      </c>
      <c r="K13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3" s="24" t="str">
        <f aca="false">IF(IFERROR(INDEX(tsk_Name,(ROW()-ROW(MSPTasks[[#Headers],[ID]])))="",TRUE()),"",IF(INDEX(tsk_IsSummary,(ROW()-ROW(MSPTasks[[#Headers],[ID]]))),"",ROUND(INDEX(tsk_Progress,(ROW()-ROW(MSPTasks[[#Headers],[ID]])))*100,0)))</f>
        <v/>
      </c>
      <c r="M133" s="127" t="str">
        <f aca="false">IF(IFERROR(INDEX(tsk_Name,(ROW()-ROW(MSPTasks[[#Headers],[ID]])))="",TRUE()),"",IF(N(INDEX(tsk_ActStart,(ROW()-ROW(MSPTasks[[#Headers],[ID]]))))=0,"",INDEX(tsk_ActStart,(ROW()-ROW(MSPTasks[[#Headers],[ID]])))))</f>
        <v/>
      </c>
      <c r="N133" s="127" t="str">
        <f aca="false">IF(IFERROR(INDEX(tsk_Name,(ROW()-ROW(MSPTasks[[#Headers],[ID]])))="",TRUE()),"",IF(N(INDEX(tsk_ActFinish,(ROW()-ROW(MSPTasks[[#Headers],[ID]]))))=0,"",INDEX(tsk_ActFinish,(ROW()-ROW(MSPTasks[[#Headers],[ID]])))))</f>
        <v/>
      </c>
      <c r="O133" s="127" t="str">
        <f aca="false">IF(IFERROR(INDEX(tsk_Name,(ROW()-ROW(MSPTasks[[#Headers],[ID]])))="",TRUE()),"",INDEX(tsk_PlanStart,(ROW()-ROW(MSPTasks[[#Headers],[ID]]))))</f>
        <v/>
      </c>
      <c r="P133" s="127" t="str">
        <f aca="false">IF(IFERROR(INDEX(tsk_Name,(ROW()-ROW(MSPTasks[[#Headers],[ID]])))="",TRUE()),"",INDEX(tsk_PlanFinish,(ROW()-ROW(MSPTasks[[#Headers],[ID]]))))</f>
        <v/>
      </c>
      <c r="Q133" s="24" t="str">
        <f aca="false">IF(IFERROR(INDEX(tsk_Name,(ROW()-ROW(MSPTasks[[#Headers],[ID]])))="",TRUE()),"",IF(INDEX(tsk_BaseDuration,(ROW()-ROW(MSPTasks[[#Headers],[ID]])))="","",N(INDEX(tsk_BaseDuration,(ROW()-ROW(MSPTasks[[#Headers],[ID]]))))&amp;"d"))</f>
        <v/>
      </c>
      <c r="R133" s="24" t="str">
        <f aca="false">IF(IFERROR(INDEX(tsk_Name,(ROW()-ROW(MSPTasks[[#Headers],[ID]])))="",TRUE()),"",IF(INDEX(tsk_BaseWork,(ROW()-ROW(MSPTasks[[#Headers],[ID]])))="","",N(INDEX(tsk_BaseWork,(ROW()-ROW(MSPTasks[[#Headers],[ID]]))))&amp;"h"))</f>
        <v/>
      </c>
      <c r="S133" s="24" t="str">
        <f aca="false">IF(IFERROR(INDEX(tsk_Name,(ROW()-ROW(MSPTasks[[#Headers],[ID]])))="",TRUE()),"",IF(INDEX(tsk_BaseCost,(ROW()-ROW(MSPTasks[[#Headers],[ID]])))="","",N(INDEX(tsk_BaseCost,(ROW()-ROW(MSPTasks[[#Headers],[ID]]))))))</f>
        <v/>
      </c>
      <c r="T133" s="24" t="str">
        <f aca="false">IF(IFERROR(INDEX(tsk_Name,(ROW()-ROW(MSPTasks[[#Headers],[ID]])))="",TRUE()),"",IF(INDEX(tsk_IsSummary,(ROW()-ROW(MSPTasks[[#Headers],[ID]]))),"",IF(N(INDEX(tsk_ActCostInput,(ROW()-ROW(MSPTasks[[#Headers],[ID]]))))=0,"",INDEX(tsk_ActCostInput,(ROW()-ROW(MSPTasks[[#Headers],[ID]]))))))</f>
        <v/>
      </c>
      <c r="U133" s="24" t="str">
        <f aca="false">IF(IFERROR(INDEX(tsk_Name,(ROW()-ROW(MSPTasks[[#Headers],[ID]])))="",TRUE()),"",IF(INDEX(tsk_IsSummary,(ROW()-ROW(MSPTasks[[#Headers],[ID]]))),"",IF(AND(INDEX(tsk_Mode,(ROW()-ROW(MSPTasks[[#Headers],[ID]])))&lt;&gt;"Manual",N(INDEX(tsk_Constraint,(ROW()-ROW(MSPTasks[[#Headers],[ID]]))))&gt;0),"Start No Earlier Than","As Soon As Possible")))</f>
        <v/>
      </c>
      <c r="V133" s="127" t="str">
        <f aca="false">IF(IFERROR(INDEX(tsk_Name,(ROW()-ROW(MSPTasks[[#Headers],[ID]])))="",TRUE()),"",IF(OR(INDEX(tsk_IsSummary,(ROW()-ROW(MSPTasks[[#Headers],[ID]]))),INDEX(tsk_Mode,(ROW()-ROW(MSPTasks[[#Headers],[ID]])))="Manual"),"",IF(N(INDEX(tsk_Constraint,(ROW()-ROW(MSPTasks[[#Headers],[ID]]))))=0,"",INDEX(tsk_Constraint,(ROW()-ROW(MSPTasks[[#Headers],[ID]]))))))</f>
        <v/>
      </c>
      <c r="W133" s="127" t="str">
        <f aca="false">IF(IFERROR(INDEX(tsk_Name,(ROW()-ROW(MSPTasks[[#Headers],[ID]])))="",TRUE()),"",IF(N(INDEX(tsk_Deadline,(ROW()-ROW(MSPTasks[[#Headers],[ID]]))))=0,"",INDEX(tsk_Deadline,(ROW()-ROW(MSPTasks[[#Headers],[ID]])))))</f>
        <v/>
      </c>
      <c r="X133" s="24" t="str">
        <f aca="false">IF(IFERROR(INDEX(tsk_Name,(ROW()-ROW(MSPTasks[[#Headers],[ID]])))="",TRUE()),"",IF(INDEX(tsk_IsSummary,(ROW()-ROW(MSPTasks[[#Headers],[ID]]))),"",INDEX(tsk_Sprint,(ROW()-ROW(MSPTasks[[#Headers],[ID]])))&amp;""))</f>
        <v/>
      </c>
      <c r="Y133" s="24" t="str">
        <f aca="false">IF(IFERROR(INDEX(tsk_Name,(ROW()-ROW(MSPTasks[[#Headers],[ID]])))="",TRUE()),"",IF(INDEX(tsk_IsSummary,(ROW()-ROW(MSPTasks[[#Headers],[ID]]))),"",IF(N(INDEX(tsk_StoryPoints,(ROW()-ROW(MSPTasks[[#Headers],[ID]]))))=0,"",INDEX(tsk_StoryPoints,(ROW()-ROW(MSPTasks[[#Headers],[ID]]))))))</f>
        <v/>
      </c>
      <c r="Z133" s="24" t="str">
        <f aca="false">IF(IFERROR(INDEX(tsk_Name,(ROW()-ROW(MSPTasks[[#Headers],[ID]])))="",TRUE()),"",INDEX(tsk_Notes,(ROW()-ROW(MSPTasks[[#Headers],[ID]])))&amp;"")</f>
        <v/>
      </c>
    </row>
    <row r="134" customFormat="false" ht="15" hidden="false" customHeight="false" outlineLevel="0" collapsed="false">
      <c r="A134" s="24" t="str">
        <f aca="false">IF(IFERROR(INDEX(tsk_Name,(ROW()-ROW(MSPTasks[[#Headers],[ID]])))="",TRUE()),"",INDEX(tsk_ID,(ROW()-ROW(MSPTasks[[#Headers],[ID]]))))</f>
        <v/>
      </c>
      <c r="B134" s="24" t="str">
        <f aca="false">IF(IFERROR(INDEX(tsk_Name,(ROW()-ROW(MSPTasks[[#Headers],[ID]])))="",TRUE()),"",INDEX(tsk_UID,(ROW()-ROW(MSPTasks[[#Headers],[ID]]))))</f>
        <v/>
      </c>
      <c r="C134" s="24" t="str">
        <f aca="false">IF(IFERROR(INDEX(tsk_Name,(ROW()-ROW(MSPTasks[[#Headers],[ID]])))="",TRUE()),"",INDEX(tsk_Name,(ROW()-ROW(MSPTasks[[#Headers],[ID]]))))</f>
        <v/>
      </c>
      <c r="D134" s="24" t="str">
        <f aca="false">IF(IFERROR(INDEX(tsk_Name,(ROW()-ROW(MSPTasks[[#Headers],[ID]])))="",TRUE()),"",INDEX(tsk_Level,(ROW()-ROW(MSPTasks[[#Headers],[ID]]))))</f>
        <v/>
      </c>
      <c r="E134" s="24" t="str">
        <f aca="false">IF(IFERROR(INDEX(tsk_Name,(ROW()-ROW(MSPTasks[[#Headers],[ID]])))="",TRUE()),"",IF(INDEX(tsk_Mode,(ROW()-ROW(MSPTasks[[#Headers],[ID]])))="Manual","Manually Scheduled","Auto Scheduled"))</f>
        <v/>
      </c>
      <c r="F134" s="24" t="str">
        <f aca="false">IF(IFERROR(INDEX(tsk_Name,(ROW()-ROW(MSPTasks[[#Headers],[ID]])))="",TRUE()),"",IF(INDEX(tsk_IsSummary,(ROW()-ROW(MSPTasks[[#Headers],[ID]]))),"",N(INDEX(tsk_Duration,(ROW()-ROW(MSPTasks[[#Headers],[ID]]))))&amp;"d"))</f>
        <v/>
      </c>
      <c r="G134" s="127" t="str">
        <f aca="false">IF(IFERROR(INDEX(tsk_Name,(ROW()-ROW(MSPTasks[[#Headers],[ID]])))="",TRUE()),"",INDEX(tsk_FcStart,(ROW()-ROW(MSPTasks[[#Headers],[ID]]))))</f>
        <v/>
      </c>
      <c r="H134" s="127" t="str">
        <f aca="false">IF(IFERROR(INDEX(tsk_Name,(ROW()-ROW(MSPTasks[[#Headers],[ID]])))="",TRUE()),"",INDEX(tsk_FcFinish,(ROW()-ROW(MSPTasks[[#Headers],[ID]]))))</f>
        <v/>
      </c>
      <c r="I134" s="24" t="str">
        <f aca="false">IF(IFERROR(INDEX(tsk_Name,(ROW()-ROW(MSPTasks[[#Headers],[ID]])))="",TRUE()),"",IF(INDEX(tsk_IsSummary,(ROW()-ROW(MSPTasks[[#Headers],[ID]]))),"",INDEX(tsk_Predecessors,(ROW()-ROW(MSPTasks[[#Headers],[ID]])))))</f>
        <v/>
      </c>
      <c r="J134" s="24" t="str">
        <f aca="false">IF(IFERROR(INDEX(tsk_Name,(ROW()-ROW(MSPTasks[[#Headers],[ID]])))="",TRUE()),"",IF(INDEX(tsk_IsSummary,(ROW()-ROW(MSPTasks[[#Headers],[ID]]))),"",INDEX(tsk_UIDPredecessors,(ROW()-ROW(MSPTasks[[#Headers],[ID]])))))</f>
        <v/>
      </c>
      <c r="K13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4" s="24" t="str">
        <f aca="false">IF(IFERROR(INDEX(tsk_Name,(ROW()-ROW(MSPTasks[[#Headers],[ID]])))="",TRUE()),"",IF(INDEX(tsk_IsSummary,(ROW()-ROW(MSPTasks[[#Headers],[ID]]))),"",ROUND(INDEX(tsk_Progress,(ROW()-ROW(MSPTasks[[#Headers],[ID]])))*100,0)))</f>
        <v/>
      </c>
      <c r="M134" s="127" t="str">
        <f aca="false">IF(IFERROR(INDEX(tsk_Name,(ROW()-ROW(MSPTasks[[#Headers],[ID]])))="",TRUE()),"",IF(N(INDEX(tsk_ActStart,(ROW()-ROW(MSPTasks[[#Headers],[ID]]))))=0,"",INDEX(tsk_ActStart,(ROW()-ROW(MSPTasks[[#Headers],[ID]])))))</f>
        <v/>
      </c>
      <c r="N134" s="127" t="str">
        <f aca="false">IF(IFERROR(INDEX(tsk_Name,(ROW()-ROW(MSPTasks[[#Headers],[ID]])))="",TRUE()),"",IF(N(INDEX(tsk_ActFinish,(ROW()-ROW(MSPTasks[[#Headers],[ID]]))))=0,"",INDEX(tsk_ActFinish,(ROW()-ROW(MSPTasks[[#Headers],[ID]])))))</f>
        <v/>
      </c>
      <c r="O134" s="127" t="str">
        <f aca="false">IF(IFERROR(INDEX(tsk_Name,(ROW()-ROW(MSPTasks[[#Headers],[ID]])))="",TRUE()),"",INDEX(tsk_PlanStart,(ROW()-ROW(MSPTasks[[#Headers],[ID]]))))</f>
        <v/>
      </c>
      <c r="P134" s="127" t="str">
        <f aca="false">IF(IFERROR(INDEX(tsk_Name,(ROW()-ROW(MSPTasks[[#Headers],[ID]])))="",TRUE()),"",INDEX(tsk_PlanFinish,(ROW()-ROW(MSPTasks[[#Headers],[ID]]))))</f>
        <v/>
      </c>
      <c r="Q134" s="24" t="str">
        <f aca="false">IF(IFERROR(INDEX(tsk_Name,(ROW()-ROW(MSPTasks[[#Headers],[ID]])))="",TRUE()),"",IF(INDEX(tsk_BaseDuration,(ROW()-ROW(MSPTasks[[#Headers],[ID]])))="","",N(INDEX(tsk_BaseDuration,(ROW()-ROW(MSPTasks[[#Headers],[ID]]))))&amp;"d"))</f>
        <v/>
      </c>
      <c r="R134" s="24" t="str">
        <f aca="false">IF(IFERROR(INDEX(tsk_Name,(ROW()-ROW(MSPTasks[[#Headers],[ID]])))="",TRUE()),"",IF(INDEX(tsk_BaseWork,(ROW()-ROW(MSPTasks[[#Headers],[ID]])))="","",N(INDEX(tsk_BaseWork,(ROW()-ROW(MSPTasks[[#Headers],[ID]]))))&amp;"h"))</f>
        <v/>
      </c>
      <c r="S134" s="24" t="str">
        <f aca="false">IF(IFERROR(INDEX(tsk_Name,(ROW()-ROW(MSPTasks[[#Headers],[ID]])))="",TRUE()),"",IF(INDEX(tsk_BaseCost,(ROW()-ROW(MSPTasks[[#Headers],[ID]])))="","",N(INDEX(tsk_BaseCost,(ROW()-ROW(MSPTasks[[#Headers],[ID]]))))))</f>
        <v/>
      </c>
      <c r="T134" s="24" t="str">
        <f aca="false">IF(IFERROR(INDEX(tsk_Name,(ROW()-ROW(MSPTasks[[#Headers],[ID]])))="",TRUE()),"",IF(INDEX(tsk_IsSummary,(ROW()-ROW(MSPTasks[[#Headers],[ID]]))),"",IF(N(INDEX(tsk_ActCostInput,(ROW()-ROW(MSPTasks[[#Headers],[ID]]))))=0,"",INDEX(tsk_ActCostInput,(ROW()-ROW(MSPTasks[[#Headers],[ID]]))))))</f>
        <v/>
      </c>
      <c r="U134" s="24" t="str">
        <f aca="false">IF(IFERROR(INDEX(tsk_Name,(ROW()-ROW(MSPTasks[[#Headers],[ID]])))="",TRUE()),"",IF(INDEX(tsk_IsSummary,(ROW()-ROW(MSPTasks[[#Headers],[ID]]))),"",IF(AND(INDEX(tsk_Mode,(ROW()-ROW(MSPTasks[[#Headers],[ID]])))&lt;&gt;"Manual",N(INDEX(tsk_Constraint,(ROW()-ROW(MSPTasks[[#Headers],[ID]]))))&gt;0),"Start No Earlier Than","As Soon As Possible")))</f>
        <v/>
      </c>
      <c r="V134" s="127" t="str">
        <f aca="false">IF(IFERROR(INDEX(tsk_Name,(ROW()-ROW(MSPTasks[[#Headers],[ID]])))="",TRUE()),"",IF(OR(INDEX(tsk_IsSummary,(ROW()-ROW(MSPTasks[[#Headers],[ID]]))),INDEX(tsk_Mode,(ROW()-ROW(MSPTasks[[#Headers],[ID]])))="Manual"),"",IF(N(INDEX(tsk_Constraint,(ROW()-ROW(MSPTasks[[#Headers],[ID]]))))=0,"",INDEX(tsk_Constraint,(ROW()-ROW(MSPTasks[[#Headers],[ID]]))))))</f>
        <v/>
      </c>
      <c r="W134" s="127" t="str">
        <f aca="false">IF(IFERROR(INDEX(tsk_Name,(ROW()-ROW(MSPTasks[[#Headers],[ID]])))="",TRUE()),"",IF(N(INDEX(tsk_Deadline,(ROW()-ROW(MSPTasks[[#Headers],[ID]]))))=0,"",INDEX(tsk_Deadline,(ROW()-ROW(MSPTasks[[#Headers],[ID]])))))</f>
        <v/>
      </c>
      <c r="X134" s="24" t="str">
        <f aca="false">IF(IFERROR(INDEX(tsk_Name,(ROW()-ROW(MSPTasks[[#Headers],[ID]])))="",TRUE()),"",IF(INDEX(tsk_IsSummary,(ROW()-ROW(MSPTasks[[#Headers],[ID]]))),"",INDEX(tsk_Sprint,(ROW()-ROW(MSPTasks[[#Headers],[ID]])))&amp;""))</f>
        <v/>
      </c>
      <c r="Y134" s="24" t="str">
        <f aca="false">IF(IFERROR(INDEX(tsk_Name,(ROW()-ROW(MSPTasks[[#Headers],[ID]])))="",TRUE()),"",IF(INDEX(tsk_IsSummary,(ROW()-ROW(MSPTasks[[#Headers],[ID]]))),"",IF(N(INDEX(tsk_StoryPoints,(ROW()-ROW(MSPTasks[[#Headers],[ID]]))))=0,"",INDEX(tsk_StoryPoints,(ROW()-ROW(MSPTasks[[#Headers],[ID]]))))))</f>
        <v/>
      </c>
      <c r="Z134" s="24" t="str">
        <f aca="false">IF(IFERROR(INDEX(tsk_Name,(ROW()-ROW(MSPTasks[[#Headers],[ID]])))="",TRUE()),"",INDEX(tsk_Notes,(ROW()-ROW(MSPTasks[[#Headers],[ID]])))&amp;"")</f>
        <v/>
      </c>
    </row>
    <row r="135" customFormat="false" ht="15" hidden="false" customHeight="false" outlineLevel="0" collapsed="false">
      <c r="A135" s="24" t="str">
        <f aca="false">IF(IFERROR(INDEX(tsk_Name,(ROW()-ROW(MSPTasks[[#Headers],[ID]])))="",TRUE()),"",INDEX(tsk_ID,(ROW()-ROW(MSPTasks[[#Headers],[ID]]))))</f>
        <v/>
      </c>
      <c r="B135" s="24" t="str">
        <f aca="false">IF(IFERROR(INDEX(tsk_Name,(ROW()-ROW(MSPTasks[[#Headers],[ID]])))="",TRUE()),"",INDEX(tsk_UID,(ROW()-ROW(MSPTasks[[#Headers],[ID]]))))</f>
        <v/>
      </c>
      <c r="C135" s="24" t="str">
        <f aca="false">IF(IFERROR(INDEX(tsk_Name,(ROW()-ROW(MSPTasks[[#Headers],[ID]])))="",TRUE()),"",INDEX(tsk_Name,(ROW()-ROW(MSPTasks[[#Headers],[ID]]))))</f>
        <v/>
      </c>
      <c r="D135" s="24" t="str">
        <f aca="false">IF(IFERROR(INDEX(tsk_Name,(ROW()-ROW(MSPTasks[[#Headers],[ID]])))="",TRUE()),"",INDEX(tsk_Level,(ROW()-ROW(MSPTasks[[#Headers],[ID]]))))</f>
        <v/>
      </c>
      <c r="E135" s="24" t="str">
        <f aca="false">IF(IFERROR(INDEX(tsk_Name,(ROW()-ROW(MSPTasks[[#Headers],[ID]])))="",TRUE()),"",IF(INDEX(tsk_Mode,(ROW()-ROW(MSPTasks[[#Headers],[ID]])))="Manual","Manually Scheduled","Auto Scheduled"))</f>
        <v/>
      </c>
      <c r="F135" s="24" t="str">
        <f aca="false">IF(IFERROR(INDEX(tsk_Name,(ROW()-ROW(MSPTasks[[#Headers],[ID]])))="",TRUE()),"",IF(INDEX(tsk_IsSummary,(ROW()-ROW(MSPTasks[[#Headers],[ID]]))),"",N(INDEX(tsk_Duration,(ROW()-ROW(MSPTasks[[#Headers],[ID]]))))&amp;"d"))</f>
        <v/>
      </c>
      <c r="G135" s="127" t="str">
        <f aca="false">IF(IFERROR(INDEX(tsk_Name,(ROW()-ROW(MSPTasks[[#Headers],[ID]])))="",TRUE()),"",INDEX(tsk_FcStart,(ROW()-ROW(MSPTasks[[#Headers],[ID]]))))</f>
        <v/>
      </c>
      <c r="H135" s="127" t="str">
        <f aca="false">IF(IFERROR(INDEX(tsk_Name,(ROW()-ROW(MSPTasks[[#Headers],[ID]])))="",TRUE()),"",INDEX(tsk_FcFinish,(ROW()-ROW(MSPTasks[[#Headers],[ID]]))))</f>
        <v/>
      </c>
      <c r="I135" s="24" t="str">
        <f aca="false">IF(IFERROR(INDEX(tsk_Name,(ROW()-ROW(MSPTasks[[#Headers],[ID]])))="",TRUE()),"",IF(INDEX(tsk_IsSummary,(ROW()-ROW(MSPTasks[[#Headers],[ID]]))),"",INDEX(tsk_Predecessors,(ROW()-ROW(MSPTasks[[#Headers],[ID]])))))</f>
        <v/>
      </c>
      <c r="J135" s="24" t="str">
        <f aca="false">IF(IFERROR(INDEX(tsk_Name,(ROW()-ROW(MSPTasks[[#Headers],[ID]])))="",TRUE()),"",IF(INDEX(tsk_IsSummary,(ROW()-ROW(MSPTasks[[#Headers],[ID]]))),"",INDEX(tsk_UIDPredecessors,(ROW()-ROW(MSPTasks[[#Headers],[ID]])))))</f>
        <v/>
      </c>
      <c r="K13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5" s="24" t="str">
        <f aca="false">IF(IFERROR(INDEX(tsk_Name,(ROW()-ROW(MSPTasks[[#Headers],[ID]])))="",TRUE()),"",IF(INDEX(tsk_IsSummary,(ROW()-ROW(MSPTasks[[#Headers],[ID]]))),"",ROUND(INDEX(tsk_Progress,(ROW()-ROW(MSPTasks[[#Headers],[ID]])))*100,0)))</f>
        <v/>
      </c>
      <c r="M135" s="127" t="str">
        <f aca="false">IF(IFERROR(INDEX(tsk_Name,(ROW()-ROW(MSPTasks[[#Headers],[ID]])))="",TRUE()),"",IF(N(INDEX(tsk_ActStart,(ROW()-ROW(MSPTasks[[#Headers],[ID]]))))=0,"",INDEX(tsk_ActStart,(ROW()-ROW(MSPTasks[[#Headers],[ID]])))))</f>
        <v/>
      </c>
      <c r="N135" s="127" t="str">
        <f aca="false">IF(IFERROR(INDEX(tsk_Name,(ROW()-ROW(MSPTasks[[#Headers],[ID]])))="",TRUE()),"",IF(N(INDEX(tsk_ActFinish,(ROW()-ROW(MSPTasks[[#Headers],[ID]]))))=0,"",INDEX(tsk_ActFinish,(ROW()-ROW(MSPTasks[[#Headers],[ID]])))))</f>
        <v/>
      </c>
      <c r="O135" s="127" t="str">
        <f aca="false">IF(IFERROR(INDEX(tsk_Name,(ROW()-ROW(MSPTasks[[#Headers],[ID]])))="",TRUE()),"",INDEX(tsk_PlanStart,(ROW()-ROW(MSPTasks[[#Headers],[ID]]))))</f>
        <v/>
      </c>
      <c r="P135" s="127" t="str">
        <f aca="false">IF(IFERROR(INDEX(tsk_Name,(ROW()-ROW(MSPTasks[[#Headers],[ID]])))="",TRUE()),"",INDEX(tsk_PlanFinish,(ROW()-ROW(MSPTasks[[#Headers],[ID]]))))</f>
        <v/>
      </c>
      <c r="Q135" s="24" t="str">
        <f aca="false">IF(IFERROR(INDEX(tsk_Name,(ROW()-ROW(MSPTasks[[#Headers],[ID]])))="",TRUE()),"",IF(INDEX(tsk_BaseDuration,(ROW()-ROW(MSPTasks[[#Headers],[ID]])))="","",N(INDEX(tsk_BaseDuration,(ROW()-ROW(MSPTasks[[#Headers],[ID]]))))&amp;"d"))</f>
        <v/>
      </c>
      <c r="R135" s="24" t="str">
        <f aca="false">IF(IFERROR(INDEX(tsk_Name,(ROW()-ROW(MSPTasks[[#Headers],[ID]])))="",TRUE()),"",IF(INDEX(tsk_BaseWork,(ROW()-ROW(MSPTasks[[#Headers],[ID]])))="","",N(INDEX(tsk_BaseWork,(ROW()-ROW(MSPTasks[[#Headers],[ID]]))))&amp;"h"))</f>
        <v/>
      </c>
      <c r="S135" s="24" t="str">
        <f aca="false">IF(IFERROR(INDEX(tsk_Name,(ROW()-ROW(MSPTasks[[#Headers],[ID]])))="",TRUE()),"",IF(INDEX(tsk_BaseCost,(ROW()-ROW(MSPTasks[[#Headers],[ID]])))="","",N(INDEX(tsk_BaseCost,(ROW()-ROW(MSPTasks[[#Headers],[ID]]))))))</f>
        <v/>
      </c>
      <c r="T135" s="24" t="str">
        <f aca="false">IF(IFERROR(INDEX(tsk_Name,(ROW()-ROW(MSPTasks[[#Headers],[ID]])))="",TRUE()),"",IF(INDEX(tsk_IsSummary,(ROW()-ROW(MSPTasks[[#Headers],[ID]]))),"",IF(N(INDEX(tsk_ActCostInput,(ROW()-ROW(MSPTasks[[#Headers],[ID]]))))=0,"",INDEX(tsk_ActCostInput,(ROW()-ROW(MSPTasks[[#Headers],[ID]]))))))</f>
        <v/>
      </c>
      <c r="U135" s="24" t="str">
        <f aca="false">IF(IFERROR(INDEX(tsk_Name,(ROW()-ROW(MSPTasks[[#Headers],[ID]])))="",TRUE()),"",IF(INDEX(tsk_IsSummary,(ROW()-ROW(MSPTasks[[#Headers],[ID]]))),"",IF(AND(INDEX(tsk_Mode,(ROW()-ROW(MSPTasks[[#Headers],[ID]])))&lt;&gt;"Manual",N(INDEX(tsk_Constraint,(ROW()-ROW(MSPTasks[[#Headers],[ID]]))))&gt;0),"Start No Earlier Than","As Soon As Possible")))</f>
        <v/>
      </c>
      <c r="V135" s="127" t="str">
        <f aca="false">IF(IFERROR(INDEX(tsk_Name,(ROW()-ROW(MSPTasks[[#Headers],[ID]])))="",TRUE()),"",IF(OR(INDEX(tsk_IsSummary,(ROW()-ROW(MSPTasks[[#Headers],[ID]]))),INDEX(tsk_Mode,(ROW()-ROW(MSPTasks[[#Headers],[ID]])))="Manual"),"",IF(N(INDEX(tsk_Constraint,(ROW()-ROW(MSPTasks[[#Headers],[ID]]))))=0,"",INDEX(tsk_Constraint,(ROW()-ROW(MSPTasks[[#Headers],[ID]]))))))</f>
        <v/>
      </c>
      <c r="W135" s="127" t="str">
        <f aca="false">IF(IFERROR(INDEX(tsk_Name,(ROW()-ROW(MSPTasks[[#Headers],[ID]])))="",TRUE()),"",IF(N(INDEX(tsk_Deadline,(ROW()-ROW(MSPTasks[[#Headers],[ID]]))))=0,"",INDEX(tsk_Deadline,(ROW()-ROW(MSPTasks[[#Headers],[ID]])))))</f>
        <v/>
      </c>
      <c r="X135" s="24" t="str">
        <f aca="false">IF(IFERROR(INDEX(tsk_Name,(ROW()-ROW(MSPTasks[[#Headers],[ID]])))="",TRUE()),"",IF(INDEX(tsk_IsSummary,(ROW()-ROW(MSPTasks[[#Headers],[ID]]))),"",INDEX(tsk_Sprint,(ROW()-ROW(MSPTasks[[#Headers],[ID]])))&amp;""))</f>
        <v/>
      </c>
      <c r="Y135" s="24" t="str">
        <f aca="false">IF(IFERROR(INDEX(tsk_Name,(ROW()-ROW(MSPTasks[[#Headers],[ID]])))="",TRUE()),"",IF(INDEX(tsk_IsSummary,(ROW()-ROW(MSPTasks[[#Headers],[ID]]))),"",IF(N(INDEX(tsk_StoryPoints,(ROW()-ROW(MSPTasks[[#Headers],[ID]]))))=0,"",INDEX(tsk_StoryPoints,(ROW()-ROW(MSPTasks[[#Headers],[ID]]))))))</f>
        <v/>
      </c>
      <c r="Z135" s="24" t="str">
        <f aca="false">IF(IFERROR(INDEX(tsk_Name,(ROW()-ROW(MSPTasks[[#Headers],[ID]])))="",TRUE()),"",INDEX(tsk_Notes,(ROW()-ROW(MSPTasks[[#Headers],[ID]])))&amp;"")</f>
        <v/>
      </c>
    </row>
    <row r="136" customFormat="false" ht="15" hidden="false" customHeight="false" outlineLevel="0" collapsed="false">
      <c r="A136" s="24" t="str">
        <f aca="false">IF(IFERROR(INDEX(tsk_Name,(ROW()-ROW(MSPTasks[[#Headers],[ID]])))="",TRUE()),"",INDEX(tsk_ID,(ROW()-ROW(MSPTasks[[#Headers],[ID]]))))</f>
        <v/>
      </c>
      <c r="B136" s="24" t="str">
        <f aca="false">IF(IFERROR(INDEX(tsk_Name,(ROW()-ROW(MSPTasks[[#Headers],[ID]])))="",TRUE()),"",INDEX(tsk_UID,(ROW()-ROW(MSPTasks[[#Headers],[ID]]))))</f>
        <v/>
      </c>
      <c r="C136" s="24" t="str">
        <f aca="false">IF(IFERROR(INDEX(tsk_Name,(ROW()-ROW(MSPTasks[[#Headers],[ID]])))="",TRUE()),"",INDEX(tsk_Name,(ROW()-ROW(MSPTasks[[#Headers],[ID]]))))</f>
        <v/>
      </c>
      <c r="D136" s="24" t="str">
        <f aca="false">IF(IFERROR(INDEX(tsk_Name,(ROW()-ROW(MSPTasks[[#Headers],[ID]])))="",TRUE()),"",INDEX(tsk_Level,(ROW()-ROW(MSPTasks[[#Headers],[ID]]))))</f>
        <v/>
      </c>
      <c r="E136" s="24" t="str">
        <f aca="false">IF(IFERROR(INDEX(tsk_Name,(ROW()-ROW(MSPTasks[[#Headers],[ID]])))="",TRUE()),"",IF(INDEX(tsk_Mode,(ROW()-ROW(MSPTasks[[#Headers],[ID]])))="Manual","Manually Scheduled","Auto Scheduled"))</f>
        <v/>
      </c>
      <c r="F136" s="24" t="str">
        <f aca="false">IF(IFERROR(INDEX(tsk_Name,(ROW()-ROW(MSPTasks[[#Headers],[ID]])))="",TRUE()),"",IF(INDEX(tsk_IsSummary,(ROW()-ROW(MSPTasks[[#Headers],[ID]]))),"",N(INDEX(tsk_Duration,(ROW()-ROW(MSPTasks[[#Headers],[ID]]))))&amp;"d"))</f>
        <v/>
      </c>
      <c r="G136" s="127" t="str">
        <f aca="false">IF(IFERROR(INDEX(tsk_Name,(ROW()-ROW(MSPTasks[[#Headers],[ID]])))="",TRUE()),"",INDEX(tsk_FcStart,(ROW()-ROW(MSPTasks[[#Headers],[ID]]))))</f>
        <v/>
      </c>
      <c r="H136" s="127" t="str">
        <f aca="false">IF(IFERROR(INDEX(tsk_Name,(ROW()-ROW(MSPTasks[[#Headers],[ID]])))="",TRUE()),"",INDEX(tsk_FcFinish,(ROW()-ROW(MSPTasks[[#Headers],[ID]]))))</f>
        <v/>
      </c>
      <c r="I136" s="24" t="str">
        <f aca="false">IF(IFERROR(INDEX(tsk_Name,(ROW()-ROW(MSPTasks[[#Headers],[ID]])))="",TRUE()),"",IF(INDEX(tsk_IsSummary,(ROW()-ROW(MSPTasks[[#Headers],[ID]]))),"",INDEX(tsk_Predecessors,(ROW()-ROW(MSPTasks[[#Headers],[ID]])))))</f>
        <v/>
      </c>
      <c r="J136" s="24" t="str">
        <f aca="false">IF(IFERROR(INDEX(tsk_Name,(ROW()-ROW(MSPTasks[[#Headers],[ID]])))="",TRUE()),"",IF(INDEX(tsk_IsSummary,(ROW()-ROW(MSPTasks[[#Headers],[ID]]))),"",INDEX(tsk_UIDPredecessors,(ROW()-ROW(MSPTasks[[#Headers],[ID]])))))</f>
        <v/>
      </c>
      <c r="K13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6" s="24" t="str">
        <f aca="false">IF(IFERROR(INDEX(tsk_Name,(ROW()-ROW(MSPTasks[[#Headers],[ID]])))="",TRUE()),"",IF(INDEX(tsk_IsSummary,(ROW()-ROW(MSPTasks[[#Headers],[ID]]))),"",ROUND(INDEX(tsk_Progress,(ROW()-ROW(MSPTasks[[#Headers],[ID]])))*100,0)))</f>
        <v/>
      </c>
      <c r="M136" s="127" t="str">
        <f aca="false">IF(IFERROR(INDEX(tsk_Name,(ROW()-ROW(MSPTasks[[#Headers],[ID]])))="",TRUE()),"",IF(N(INDEX(tsk_ActStart,(ROW()-ROW(MSPTasks[[#Headers],[ID]]))))=0,"",INDEX(tsk_ActStart,(ROW()-ROW(MSPTasks[[#Headers],[ID]])))))</f>
        <v/>
      </c>
      <c r="N136" s="127" t="str">
        <f aca="false">IF(IFERROR(INDEX(tsk_Name,(ROW()-ROW(MSPTasks[[#Headers],[ID]])))="",TRUE()),"",IF(N(INDEX(tsk_ActFinish,(ROW()-ROW(MSPTasks[[#Headers],[ID]]))))=0,"",INDEX(tsk_ActFinish,(ROW()-ROW(MSPTasks[[#Headers],[ID]])))))</f>
        <v/>
      </c>
      <c r="O136" s="127" t="str">
        <f aca="false">IF(IFERROR(INDEX(tsk_Name,(ROW()-ROW(MSPTasks[[#Headers],[ID]])))="",TRUE()),"",INDEX(tsk_PlanStart,(ROW()-ROW(MSPTasks[[#Headers],[ID]]))))</f>
        <v/>
      </c>
      <c r="P136" s="127" t="str">
        <f aca="false">IF(IFERROR(INDEX(tsk_Name,(ROW()-ROW(MSPTasks[[#Headers],[ID]])))="",TRUE()),"",INDEX(tsk_PlanFinish,(ROW()-ROW(MSPTasks[[#Headers],[ID]]))))</f>
        <v/>
      </c>
      <c r="Q136" s="24" t="str">
        <f aca="false">IF(IFERROR(INDEX(tsk_Name,(ROW()-ROW(MSPTasks[[#Headers],[ID]])))="",TRUE()),"",IF(INDEX(tsk_BaseDuration,(ROW()-ROW(MSPTasks[[#Headers],[ID]])))="","",N(INDEX(tsk_BaseDuration,(ROW()-ROW(MSPTasks[[#Headers],[ID]]))))&amp;"d"))</f>
        <v/>
      </c>
      <c r="R136" s="24" t="str">
        <f aca="false">IF(IFERROR(INDEX(tsk_Name,(ROW()-ROW(MSPTasks[[#Headers],[ID]])))="",TRUE()),"",IF(INDEX(tsk_BaseWork,(ROW()-ROW(MSPTasks[[#Headers],[ID]])))="","",N(INDEX(tsk_BaseWork,(ROW()-ROW(MSPTasks[[#Headers],[ID]]))))&amp;"h"))</f>
        <v/>
      </c>
      <c r="S136" s="24" t="str">
        <f aca="false">IF(IFERROR(INDEX(tsk_Name,(ROW()-ROW(MSPTasks[[#Headers],[ID]])))="",TRUE()),"",IF(INDEX(tsk_BaseCost,(ROW()-ROW(MSPTasks[[#Headers],[ID]])))="","",N(INDEX(tsk_BaseCost,(ROW()-ROW(MSPTasks[[#Headers],[ID]]))))))</f>
        <v/>
      </c>
      <c r="T136" s="24" t="str">
        <f aca="false">IF(IFERROR(INDEX(tsk_Name,(ROW()-ROW(MSPTasks[[#Headers],[ID]])))="",TRUE()),"",IF(INDEX(tsk_IsSummary,(ROW()-ROW(MSPTasks[[#Headers],[ID]]))),"",IF(N(INDEX(tsk_ActCostInput,(ROW()-ROW(MSPTasks[[#Headers],[ID]]))))=0,"",INDEX(tsk_ActCostInput,(ROW()-ROW(MSPTasks[[#Headers],[ID]]))))))</f>
        <v/>
      </c>
      <c r="U136" s="24" t="str">
        <f aca="false">IF(IFERROR(INDEX(tsk_Name,(ROW()-ROW(MSPTasks[[#Headers],[ID]])))="",TRUE()),"",IF(INDEX(tsk_IsSummary,(ROW()-ROW(MSPTasks[[#Headers],[ID]]))),"",IF(AND(INDEX(tsk_Mode,(ROW()-ROW(MSPTasks[[#Headers],[ID]])))&lt;&gt;"Manual",N(INDEX(tsk_Constraint,(ROW()-ROW(MSPTasks[[#Headers],[ID]]))))&gt;0),"Start No Earlier Than","As Soon As Possible")))</f>
        <v/>
      </c>
      <c r="V136" s="127" t="str">
        <f aca="false">IF(IFERROR(INDEX(tsk_Name,(ROW()-ROW(MSPTasks[[#Headers],[ID]])))="",TRUE()),"",IF(OR(INDEX(tsk_IsSummary,(ROW()-ROW(MSPTasks[[#Headers],[ID]]))),INDEX(tsk_Mode,(ROW()-ROW(MSPTasks[[#Headers],[ID]])))="Manual"),"",IF(N(INDEX(tsk_Constraint,(ROW()-ROW(MSPTasks[[#Headers],[ID]]))))=0,"",INDEX(tsk_Constraint,(ROW()-ROW(MSPTasks[[#Headers],[ID]]))))))</f>
        <v/>
      </c>
      <c r="W136" s="127" t="str">
        <f aca="false">IF(IFERROR(INDEX(tsk_Name,(ROW()-ROW(MSPTasks[[#Headers],[ID]])))="",TRUE()),"",IF(N(INDEX(tsk_Deadline,(ROW()-ROW(MSPTasks[[#Headers],[ID]]))))=0,"",INDEX(tsk_Deadline,(ROW()-ROW(MSPTasks[[#Headers],[ID]])))))</f>
        <v/>
      </c>
      <c r="X136" s="24" t="str">
        <f aca="false">IF(IFERROR(INDEX(tsk_Name,(ROW()-ROW(MSPTasks[[#Headers],[ID]])))="",TRUE()),"",IF(INDEX(tsk_IsSummary,(ROW()-ROW(MSPTasks[[#Headers],[ID]]))),"",INDEX(tsk_Sprint,(ROW()-ROW(MSPTasks[[#Headers],[ID]])))&amp;""))</f>
        <v/>
      </c>
      <c r="Y136" s="24" t="str">
        <f aca="false">IF(IFERROR(INDEX(tsk_Name,(ROW()-ROW(MSPTasks[[#Headers],[ID]])))="",TRUE()),"",IF(INDEX(tsk_IsSummary,(ROW()-ROW(MSPTasks[[#Headers],[ID]]))),"",IF(N(INDEX(tsk_StoryPoints,(ROW()-ROW(MSPTasks[[#Headers],[ID]]))))=0,"",INDEX(tsk_StoryPoints,(ROW()-ROW(MSPTasks[[#Headers],[ID]]))))))</f>
        <v/>
      </c>
      <c r="Z136" s="24" t="str">
        <f aca="false">IF(IFERROR(INDEX(tsk_Name,(ROW()-ROW(MSPTasks[[#Headers],[ID]])))="",TRUE()),"",INDEX(tsk_Notes,(ROW()-ROW(MSPTasks[[#Headers],[ID]])))&amp;"")</f>
        <v/>
      </c>
    </row>
    <row r="137" customFormat="false" ht="15" hidden="false" customHeight="false" outlineLevel="0" collapsed="false">
      <c r="A137" s="24" t="str">
        <f aca="false">IF(IFERROR(INDEX(tsk_Name,(ROW()-ROW(MSPTasks[[#Headers],[ID]])))="",TRUE()),"",INDEX(tsk_ID,(ROW()-ROW(MSPTasks[[#Headers],[ID]]))))</f>
        <v/>
      </c>
      <c r="B137" s="24" t="str">
        <f aca="false">IF(IFERROR(INDEX(tsk_Name,(ROW()-ROW(MSPTasks[[#Headers],[ID]])))="",TRUE()),"",INDEX(tsk_UID,(ROW()-ROW(MSPTasks[[#Headers],[ID]]))))</f>
        <v/>
      </c>
      <c r="C137" s="24" t="str">
        <f aca="false">IF(IFERROR(INDEX(tsk_Name,(ROW()-ROW(MSPTasks[[#Headers],[ID]])))="",TRUE()),"",INDEX(tsk_Name,(ROW()-ROW(MSPTasks[[#Headers],[ID]]))))</f>
        <v/>
      </c>
      <c r="D137" s="24" t="str">
        <f aca="false">IF(IFERROR(INDEX(tsk_Name,(ROW()-ROW(MSPTasks[[#Headers],[ID]])))="",TRUE()),"",INDEX(tsk_Level,(ROW()-ROW(MSPTasks[[#Headers],[ID]]))))</f>
        <v/>
      </c>
      <c r="E137" s="24" t="str">
        <f aca="false">IF(IFERROR(INDEX(tsk_Name,(ROW()-ROW(MSPTasks[[#Headers],[ID]])))="",TRUE()),"",IF(INDEX(tsk_Mode,(ROW()-ROW(MSPTasks[[#Headers],[ID]])))="Manual","Manually Scheduled","Auto Scheduled"))</f>
        <v/>
      </c>
      <c r="F137" s="24" t="str">
        <f aca="false">IF(IFERROR(INDEX(tsk_Name,(ROW()-ROW(MSPTasks[[#Headers],[ID]])))="",TRUE()),"",IF(INDEX(tsk_IsSummary,(ROW()-ROW(MSPTasks[[#Headers],[ID]]))),"",N(INDEX(tsk_Duration,(ROW()-ROW(MSPTasks[[#Headers],[ID]]))))&amp;"d"))</f>
        <v/>
      </c>
      <c r="G137" s="127" t="str">
        <f aca="false">IF(IFERROR(INDEX(tsk_Name,(ROW()-ROW(MSPTasks[[#Headers],[ID]])))="",TRUE()),"",INDEX(tsk_FcStart,(ROW()-ROW(MSPTasks[[#Headers],[ID]]))))</f>
        <v/>
      </c>
      <c r="H137" s="127" t="str">
        <f aca="false">IF(IFERROR(INDEX(tsk_Name,(ROW()-ROW(MSPTasks[[#Headers],[ID]])))="",TRUE()),"",INDEX(tsk_FcFinish,(ROW()-ROW(MSPTasks[[#Headers],[ID]]))))</f>
        <v/>
      </c>
      <c r="I137" s="24" t="str">
        <f aca="false">IF(IFERROR(INDEX(tsk_Name,(ROW()-ROW(MSPTasks[[#Headers],[ID]])))="",TRUE()),"",IF(INDEX(tsk_IsSummary,(ROW()-ROW(MSPTasks[[#Headers],[ID]]))),"",INDEX(tsk_Predecessors,(ROW()-ROW(MSPTasks[[#Headers],[ID]])))))</f>
        <v/>
      </c>
      <c r="J137" s="24" t="str">
        <f aca="false">IF(IFERROR(INDEX(tsk_Name,(ROW()-ROW(MSPTasks[[#Headers],[ID]])))="",TRUE()),"",IF(INDEX(tsk_IsSummary,(ROW()-ROW(MSPTasks[[#Headers],[ID]]))),"",INDEX(tsk_UIDPredecessors,(ROW()-ROW(MSPTasks[[#Headers],[ID]])))))</f>
        <v/>
      </c>
      <c r="K13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7" s="24" t="str">
        <f aca="false">IF(IFERROR(INDEX(tsk_Name,(ROW()-ROW(MSPTasks[[#Headers],[ID]])))="",TRUE()),"",IF(INDEX(tsk_IsSummary,(ROW()-ROW(MSPTasks[[#Headers],[ID]]))),"",ROUND(INDEX(tsk_Progress,(ROW()-ROW(MSPTasks[[#Headers],[ID]])))*100,0)))</f>
        <v/>
      </c>
      <c r="M137" s="127" t="str">
        <f aca="false">IF(IFERROR(INDEX(tsk_Name,(ROW()-ROW(MSPTasks[[#Headers],[ID]])))="",TRUE()),"",IF(N(INDEX(tsk_ActStart,(ROW()-ROW(MSPTasks[[#Headers],[ID]]))))=0,"",INDEX(tsk_ActStart,(ROW()-ROW(MSPTasks[[#Headers],[ID]])))))</f>
        <v/>
      </c>
      <c r="N137" s="127" t="str">
        <f aca="false">IF(IFERROR(INDEX(tsk_Name,(ROW()-ROW(MSPTasks[[#Headers],[ID]])))="",TRUE()),"",IF(N(INDEX(tsk_ActFinish,(ROW()-ROW(MSPTasks[[#Headers],[ID]]))))=0,"",INDEX(tsk_ActFinish,(ROW()-ROW(MSPTasks[[#Headers],[ID]])))))</f>
        <v/>
      </c>
      <c r="O137" s="127" t="str">
        <f aca="false">IF(IFERROR(INDEX(tsk_Name,(ROW()-ROW(MSPTasks[[#Headers],[ID]])))="",TRUE()),"",INDEX(tsk_PlanStart,(ROW()-ROW(MSPTasks[[#Headers],[ID]]))))</f>
        <v/>
      </c>
      <c r="P137" s="127" t="str">
        <f aca="false">IF(IFERROR(INDEX(tsk_Name,(ROW()-ROW(MSPTasks[[#Headers],[ID]])))="",TRUE()),"",INDEX(tsk_PlanFinish,(ROW()-ROW(MSPTasks[[#Headers],[ID]]))))</f>
        <v/>
      </c>
      <c r="Q137" s="24" t="str">
        <f aca="false">IF(IFERROR(INDEX(tsk_Name,(ROW()-ROW(MSPTasks[[#Headers],[ID]])))="",TRUE()),"",IF(INDEX(tsk_BaseDuration,(ROW()-ROW(MSPTasks[[#Headers],[ID]])))="","",N(INDEX(tsk_BaseDuration,(ROW()-ROW(MSPTasks[[#Headers],[ID]]))))&amp;"d"))</f>
        <v/>
      </c>
      <c r="R137" s="24" t="str">
        <f aca="false">IF(IFERROR(INDEX(tsk_Name,(ROW()-ROW(MSPTasks[[#Headers],[ID]])))="",TRUE()),"",IF(INDEX(tsk_BaseWork,(ROW()-ROW(MSPTasks[[#Headers],[ID]])))="","",N(INDEX(tsk_BaseWork,(ROW()-ROW(MSPTasks[[#Headers],[ID]]))))&amp;"h"))</f>
        <v/>
      </c>
      <c r="S137" s="24" t="str">
        <f aca="false">IF(IFERROR(INDEX(tsk_Name,(ROW()-ROW(MSPTasks[[#Headers],[ID]])))="",TRUE()),"",IF(INDEX(tsk_BaseCost,(ROW()-ROW(MSPTasks[[#Headers],[ID]])))="","",N(INDEX(tsk_BaseCost,(ROW()-ROW(MSPTasks[[#Headers],[ID]]))))))</f>
        <v/>
      </c>
      <c r="T137" s="24" t="str">
        <f aca="false">IF(IFERROR(INDEX(tsk_Name,(ROW()-ROW(MSPTasks[[#Headers],[ID]])))="",TRUE()),"",IF(INDEX(tsk_IsSummary,(ROW()-ROW(MSPTasks[[#Headers],[ID]]))),"",IF(N(INDEX(tsk_ActCostInput,(ROW()-ROW(MSPTasks[[#Headers],[ID]]))))=0,"",INDEX(tsk_ActCostInput,(ROW()-ROW(MSPTasks[[#Headers],[ID]]))))))</f>
        <v/>
      </c>
      <c r="U137" s="24" t="str">
        <f aca="false">IF(IFERROR(INDEX(tsk_Name,(ROW()-ROW(MSPTasks[[#Headers],[ID]])))="",TRUE()),"",IF(INDEX(tsk_IsSummary,(ROW()-ROW(MSPTasks[[#Headers],[ID]]))),"",IF(AND(INDEX(tsk_Mode,(ROW()-ROW(MSPTasks[[#Headers],[ID]])))&lt;&gt;"Manual",N(INDEX(tsk_Constraint,(ROW()-ROW(MSPTasks[[#Headers],[ID]]))))&gt;0),"Start No Earlier Than","As Soon As Possible")))</f>
        <v/>
      </c>
      <c r="V137" s="127" t="str">
        <f aca="false">IF(IFERROR(INDEX(tsk_Name,(ROW()-ROW(MSPTasks[[#Headers],[ID]])))="",TRUE()),"",IF(OR(INDEX(tsk_IsSummary,(ROW()-ROW(MSPTasks[[#Headers],[ID]]))),INDEX(tsk_Mode,(ROW()-ROW(MSPTasks[[#Headers],[ID]])))="Manual"),"",IF(N(INDEX(tsk_Constraint,(ROW()-ROW(MSPTasks[[#Headers],[ID]]))))=0,"",INDEX(tsk_Constraint,(ROW()-ROW(MSPTasks[[#Headers],[ID]]))))))</f>
        <v/>
      </c>
      <c r="W137" s="127" t="str">
        <f aca="false">IF(IFERROR(INDEX(tsk_Name,(ROW()-ROW(MSPTasks[[#Headers],[ID]])))="",TRUE()),"",IF(N(INDEX(tsk_Deadline,(ROW()-ROW(MSPTasks[[#Headers],[ID]]))))=0,"",INDEX(tsk_Deadline,(ROW()-ROW(MSPTasks[[#Headers],[ID]])))))</f>
        <v/>
      </c>
      <c r="X137" s="24" t="str">
        <f aca="false">IF(IFERROR(INDEX(tsk_Name,(ROW()-ROW(MSPTasks[[#Headers],[ID]])))="",TRUE()),"",IF(INDEX(tsk_IsSummary,(ROW()-ROW(MSPTasks[[#Headers],[ID]]))),"",INDEX(tsk_Sprint,(ROW()-ROW(MSPTasks[[#Headers],[ID]])))&amp;""))</f>
        <v/>
      </c>
      <c r="Y137" s="24" t="str">
        <f aca="false">IF(IFERROR(INDEX(tsk_Name,(ROW()-ROW(MSPTasks[[#Headers],[ID]])))="",TRUE()),"",IF(INDEX(tsk_IsSummary,(ROW()-ROW(MSPTasks[[#Headers],[ID]]))),"",IF(N(INDEX(tsk_StoryPoints,(ROW()-ROW(MSPTasks[[#Headers],[ID]]))))=0,"",INDEX(tsk_StoryPoints,(ROW()-ROW(MSPTasks[[#Headers],[ID]]))))))</f>
        <v/>
      </c>
      <c r="Z137" s="24" t="str">
        <f aca="false">IF(IFERROR(INDEX(tsk_Name,(ROW()-ROW(MSPTasks[[#Headers],[ID]])))="",TRUE()),"",INDEX(tsk_Notes,(ROW()-ROW(MSPTasks[[#Headers],[ID]])))&amp;"")</f>
        <v/>
      </c>
    </row>
    <row r="138" customFormat="false" ht="15" hidden="false" customHeight="false" outlineLevel="0" collapsed="false">
      <c r="A138" s="24" t="str">
        <f aca="false">IF(IFERROR(INDEX(tsk_Name,(ROW()-ROW(MSPTasks[[#Headers],[ID]])))="",TRUE()),"",INDEX(tsk_ID,(ROW()-ROW(MSPTasks[[#Headers],[ID]]))))</f>
        <v/>
      </c>
      <c r="B138" s="24" t="str">
        <f aca="false">IF(IFERROR(INDEX(tsk_Name,(ROW()-ROW(MSPTasks[[#Headers],[ID]])))="",TRUE()),"",INDEX(tsk_UID,(ROW()-ROW(MSPTasks[[#Headers],[ID]]))))</f>
        <v/>
      </c>
      <c r="C138" s="24" t="str">
        <f aca="false">IF(IFERROR(INDEX(tsk_Name,(ROW()-ROW(MSPTasks[[#Headers],[ID]])))="",TRUE()),"",INDEX(tsk_Name,(ROW()-ROW(MSPTasks[[#Headers],[ID]]))))</f>
        <v/>
      </c>
      <c r="D138" s="24" t="str">
        <f aca="false">IF(IFERROR(INDEX(tsk_Name,(ROW()-ROW(MSPTasks[[#Headers],[ID]])))="",TRUE()),"",INDEX(tsk_Level,(ROW()-ROW(MSPTasks[[#Headers],[ID]]))))</f>
        <v/>
      </c>
      <c r="E138" s="24" t="str">
        <f aca="false">IF(IFERROR(INDEX(tsk_Name,(ROW()-ROW(MSPTasks[[#Headers],[ID]])))="",TRUE()),"",IF(INDEX(tsk_Mode,(ROW()-ROW(MSPTasks[[#Headers],[ID]])))="Manual","Manually Scheduled","Auto Scheduled"))</f>
        <v/>
      </c>
      <c r="F138" s="24" t="str">
        <f aca="false">IF(IFERROR(INDEX(tsk_Name,(ROW()-ROW(MSPTasks[[#Headers],[ID]])))="",TRUE()),"",IF(INDEX(tsk_IsSummary,(ROW()-ROW(MSPTasks[[#Headers],[ID]]))),"",N(INDEX(tsk_Duration,(ROW()-ROW(MSPTasks[[#Headers],[ID]]))))&amp;"d"))</f>
        <v/>
      </c>
      <c r="G138" s="127" t="str">
        <f aca="false">IF(IFERROR(INDEX(tsk_Name,(ROW()-ROW(MSPTasks[[#Headers],[ID]])))="",TRUE()),"",INDEX(tsk_FcStart,(ROW()-ROW(MSPTasks[[#Headers],[ID]]))))</f>
        <v/>
      </c>
      <c r="H138" s="127" t="str">
        <f aca="false">IF(IFERROR(INDEX(tsk_Name,(ROW()-ROW(MSPTasks[[#Headers],[ID]])))="",TRUE()),"",INDEX(tsk_FcFinish,(ROW()-ROW(MSPTasks[[#Headers],[ID]]))))</f>
        <v/>
      </c>
      <c r="I138" s="24" t="str">
        <f aca="false">IF(IFERROR(INDEX(tsk_Name,(ROW()-ROW(MSPTasks[[#Headers],[ID]])))="",TRUE()),"",IF(INDEX(tsk_IsSummary,(ROW()-ROW(MSPTasks[[#Headers],[ID]]))),"",INDEX(tsk_Predecessors,(ROW()-ROW(MSPTasks[[#Headers],[ID]])))))</f>
        <v/>
      </c>
      <c r="J138" s="24" t="str">
        <f aca="false">IF(IFERROR(INDEX(tsk_Name,(ROW()-ROW(MSPTasks[[#Headers],[ID]])))="",TRUE()),"",IF(INDEX(tsk_IsSummary,(ROW()-ROW(MSPTasks[[#Headers],[ID]]))),"",INDEX(tsk_UIDPredecessors,(ROW()-ROW(MSPTasks[[#Headers],[ID]])))))</f>
        <v/>
      </c>
      <c r="K13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8" s="24" t="str">
        <f aca="false">IF(IFERROR(INDEX(tsk_Name,(ROW()-ROW(MSPTasks[[#Headers],[ID]])))="",TRUE()),"",IF(INDEX(tsk_IsSummary,(ROW()-ROW(MSPTasks[[#Headers],[ID]]))),"",ROUND(INDEX(tsk_Progress,(ROW()-ROW(MSPTasks[[#Headers],[ID]])))*100,0)))</f>
        <v/>
      </c>
      <c r="M138" s="127" t="str">
        <f aca="false">IF(IFERROR(INDEX(tsk_Name,(ROW()-ROW(MSPTasks[[#Headers],[ID]])))="",TRUE()),"",IF(N(INDEX(tsk_ActStart,(ROW()-ROW(MSPTasks[[#Headers],[ID]]))))=0,"",INDEX(tsk_ActStart,(ROW()-ROW(MSPTasks[[#Headers],[ID]])))))</f>
        <v/>
      </c>
      <c r="N138" s="127" t="str">
        <f aca="false">IF(IFERROR(INDEX(tsk_Name,(ROW()-ROW(MSPTasks[[#Headers],[ID]])))="",TRUE()),"",IF(N(INDEX(tsk_ActFinish,(ROW()-ROW(MSPTasks[[#Headers],[ID]]))))=0,"",INDEX(tsk_ActFinish,(ROW()-ROW(MSPTasks[[#Headers],[ID]])))))</f>
        <v/>
      </c>
      <c r="O138" s="127" t="str">
        <f aca="false">IF(IFERROR(INDEX(tsk_Name,(ROW()-ROW(MSPTasks[[#Headers],[ID]])))="",TRUE()),"",INDEX(tsk_PlanStart,(ROW()-ROW(MSPTasks[[#Headers],[ID]]))))</f>
        <v/>
      </c>
      <c r="P138" s="127" t="str">
        <f aca="false">IF(IFERROR(INDEX(tsk_Name,(ROW()-ROW(MSPTasks[[#Headers],[ID]])))="",TRUE()),"",INDEX(tsk_PlanFinish,(ROW()-ROW(MSPTasks[[#Headers],[ID]]))))</f>
        <v/>
      </c>
      <c r="Q138" s="24" t="str">
        <f aca="false">IF(IFERROR(INDEX(tsk_Name,(ROW()-ROW(MSPTasks[[#Headers],[ID]])))="",TRUE()),"",IF(INDEX(tsk_BaseDuration,(ROW()-ROW(MSPTasks[[#Headers],[ID]])))="","",N(INDEX(tsk_BaseDuration,(ROW()-ROW(MSPTasks[[#Headers],[ID]]))))&amp;"d"))</f>
        <v/>
      </c>
      <c r="R138" s="24" t="str">
        <f aca="false">IF(IFERROR(INDEX(tsk_Name,(ROW()-ROW(MSPTasks[[#Headers],[ID]])))="",TRUE()),"",IF(INDEX(tsk_BaseWork,(ROW()-ROW(MSPTasks[[#Headers],[ID]])))="","",N(INDEX(tsk_BaseWork,(ROW()-ROW(MSPTasks[[#Headers],[ID]]))))&amp;"h"))</f>
        <v/>
      </c>
      <c r="S138" s="24" t="str">
        <f aca="false">IF(IFERROR(INDEX(tsk_Name,(ROW()-ROW(MSPTasks[[#Headers],[ID]])))="",TRUE()),"",IF(INDEX(tsk_BaseCost,(ROW()-ROW(MSPTasks[[#Headers],[ID]])))="","",N(INDEX(tsk_BaseCost,(ROW()-ROW(MSPTasks[[#Headers],[ID]]))))))</f>
        <v/>
      </c>
      <c r="T138" s="24" t="str">
        <f aca="false">IF(IFERROR(INDEX(tsk_Name,(ROW()-ROW(MSPTasks[[#Headers],[ID]])))="",TRUE()),"",IF(INDEX(tsk_IsSummary,(ROW()-ROW(MSPTasks[[#Headers],[ID]]))),"",IF(N(INDEX(tsk_ActCostInput,(ROW()-ROW(MSPTasks[[#Headers],[ID]]))))=0,"",INDEX(tsk_ActCostInput,(ROW()-ROW(MSPTasks[[#Headers],[ID]]))))))</f>
        <v/>
      </c>
      <c r="U138" s="24" t="str">
        <f aca="false">IF(IFERROR(INDEX(tsk_Name,(ROW()-ROW(MSPTasks[[#Headers],[ID]])))="",TRUE()),"",IF(INDEX(tsk_IsSummary,(ROW()-ROW(MSPTasks[[#Headers],[ID]]))),"",IF(AND(INDEX(tsk_Mode,(ROW()-ROW(MSPTasks[[#Headers],[ID]])))&lt;&gt;"Manual",N(INDEX(tsk_Constraint,(ROW()-ROW(MSPTasks[[#Headers],[ID]]))))&gt;0),"Start No Earlier Than","As Soon As Possible")))</f>
        <v/>
      </c>
      <c r="V138" s="127" t="str">
        <f aca="false">IF(IFERROR(INDEX(tsk_Name,(ROW()-ROW(MSPTasks[[#Headers],[ID]])))="",TRUE()),"",IF(OR(INDEX(tsk_IsSummary,(ROW()-ROW(MSPTasks[[#Headers],[ID]]))),INDEX(tsk_Mode,(ROW()-ROW(MSPTasks[[#Headers],[ID]])))="Manual"),"",IF(N(INDEX(tsk_Constraint,(ROW()-ROW(MSPTasks[[#Headers],[ID]]))))=0,"",INDEX(tsk_Constraint,(ROW()-ROW(MSPTasks[[#Headers],[ID]]))))))</f>
        <v/>
      </c>
      <c r="W138" s="127" t="str">
        <f aca="false">IF(IFERROR(INDEX(tsk_Name,(ROW()-ROW(MSPTasks[[#Headers],[ID]])))="",TRUE()),"",IF(N(INDEX(tsk_Deadline,(ROW()-ROW(MSPTasks[[#Headers],[ID]]))))=0,"",INDEX(tsk_Deadline,(ROW()-ROW(MSPTasks[[#Headers],[ID]])))))</f>
        <v/>
      </c>
      <c r="X138" s="24" t="str">
        <f aca="false">IF(IFERROR(INDEX(tsk_Name,(ROW()-ROW(MSPTasks[[#Headers],[ID]])))="",TRUE()),"",IF(INDEX(tsk_IsSummary,(ROW()-ROW(MSPTasks[[#Headers],[ID]]))),"",INDEX(tsk_Sprint,(ROW()-ROW(MSPTasks[[#Headers],[ID]])))&amp;""))</f>
        <v/>
      </c>
      <c r="Y138" s="24" t="str">
        <f aca="false">IF(IFERROR(INDEX(tsk_Name,(ROW()-ROW(MSPTasks[[#Headers],[ID]])))="",TRUE()),"",IF(INDEX(tsk_IsSummary,(ROW()-ROW(MSPTasks[[#Headers],[ID]]))),"",IF(N(INDEX(tsk_StoryPoints,(ROW()-ROW(MSPTasks[[#Headers],[ID]]))))=0,"",INDEX(tsk_StoryPoints,(ROW()-ROW(MSPTasks[[#Headers],[ID]]))))))</f>
        <v/>
      </c>
      <c r="Z138" s="24" t="str">
        <f aca="false">IF(IFERROR(INDEX(tsk_Name,(ROW()-ROW(MSPTasks[[#Headers],[ID]])))="",TRUE()),"",INDEX(tsk_Notes,(ROW()-ROW(MSPTasks[[#Headers],[ID]])))&amp;"")</f>
        <v/>
      </c>
    </row>
    <row r="139" customFormat="false" ht="15" hidden="false" customHeight="false" outlineLevel="0" collapsed="false">
      <c r="A139" s="24" t="str">
        <f aca="false">IF(IFERROR(INDEX(tsk_Name,(ROW()-ROW(MSPTasks[[#Headers],[ID]])))="",TRUE()),"",INDEX(tsk_ID,(ROW()-ROW(MSPTasks[[#Headers],[ID]]))))</f>
        <v/>
      </c>
      <c r="B139" s="24" t="str">
        <f aca="false">IF(IFERROR(INDEX(tsk_Name,(ROW()-ROW(MSPTasks[[#Headers],[ID]])))="",TRUE()),"",INDEX(tsk_UID,(ROW()-ROW(MSPTasks[[#Headers],[ID]]))))</f>
        <v/>
      </c>
      <c r="C139" s="24" t="str">
        <f aca="false">IF(IFERROR(INDEX(tsk_Name,(ROW()-ROW(MSPTasks[[#Headers],[ID]])))="",TRUE()),"",INDEX(tsk_Name,(ROW()-ROW(MSPTasks[[#Headers],[ID]]))))</f>
        <v/>
      </c>
      <c r="D139" s="24" t="str">
        <f aca="false">IF(IFERROR(INDEX(tsk_Name,(ROW()-ROW(MSPTasks[[#Headers],[ID]])))="",TRUE()),"",INDEX(tsk_Level,(ROW()-ROW(MSPTasks[[#Headers],[ID]]))))</f>
        <v/>
      </c>
      <c r="E139" s="24" t="str">
        <f aca="false">IF(IFERROR(INDEX(tsk_Name,(ROW()-ROW(MSPTasks[[#Headers],[ID]])))="",TRUE()),"",IF(INDEX(tsk_Mode,(ROW()-ROW(MSPTasks[[#Headers],[ID]])))="Manual","Manually Scheduled","Auto Scheduled"))</f>
        <v/>
      </c>
      <c r="F139" s="24" t="str">
        <f aca="false">IF(IFERROR(INDEX(tsk_Name,(ROW()-ROW(MSPTasks[[#Headers],[ID]])))="",TRUE()),"",IF(INDEX(tsk_IsSummary,(ROW()-ROW(MSPTasks[[#Headers],[ID]]))),"",N(INDEX(tsk_Duration,(ROW()-ROW(MSPTasks[[#Headers],[ID]]))))&amp;"d"))</f>
        <v/>
      </c>
      <c r="G139" s="127" t="str">
        <f aca="false">IF(IFERROR(INDEX(tsk_Name,(ROW()-ROW(MSPTasks[[#Headers],[ID]])))="",TRUE()),"",INDEX(tsk_FcStart,(ROW()-ROW(MSPTasks[[#Headers],[ID]]))))</f>
        <v/>
      </c>
      <c r="H139" s="127" t="str">
        <f aca="false">IF(IFERROR(INDEX(tsk_Name,(ROW()-ROW(MSPTasks[[#Headers],[ID]])))="",TRUE()),"",INDEX(tsk_FcFinish,(ROW()-ROW(MSPTasks[[#Headers],[ID]]))))</f>
        <v/>
      </c>
      <c r="I139" s="24" t="str">
        <f aca="false">IF(IFERROR(INDEX(tsk_Name,(ROW()-ROW(MSPTasks[[#Headers],[ID]])))="",TRUE()),"",IF(INDEX(tsk_IsSummary,(ROW()-ROW(MSPTasks[[#Headers],[ID]]))),"",INDEX(tsk_Predecessors,(ROW()-ROW(MSPTasks[[#Headers],[ID]])))))</f>
        <v/>
      </c>
      <c r="J139" s="24" t="str">
        <f aca="false">IF(IFERROR(INDEX(tsk_Name,(ROW()-ROW(MSPTasks[[#Headers],[ID]])))="",TRUE()),"",IF(INDEX(tsk_IsSummary,(ROW()-ROW(MSPTasks[[#Headers],[ID]]))),"",INDEX(tsk_UIDPredecessors,(ROW()-ROW(MSPTasks[[#Headers],[ID]])))))</f>
        <v/>
      </c>
      <c r="K13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9" s="24" t="str">
        <f aca="false">IF(IFERROR(INDEX(tsk_Name,(ROW()-ROW(MSPTasks[[#Headers],[ID]])))="",TRUE()),"",IF(INDEX(tsk_IsSummary,(ROW()-ROW(MSPTasks[[#Headers],[ID]]))),"",ROUND(INDEX(tsk_Progress,(ROW()-ROW(MSPTasks[[#Headers],[ID]])))*100,0)))</f>
        <v/>
      </c>
      <c r="M139" s="127" t="str">
        <f aca="false">IF(IFERROR(INDEX(tsk_Name,(ROW()-ROW(MSPTasks[[#Headers],[ID]])))="",TRUE()),"",IF(N(INDEX(tsk_ActStart,(ROW()-ROW(MSPTasks[[#Headers],[ID]]))))=0,"",INDEX(tsk_ActStart,(ROW()-ROW(MSPTasks[[#Headers],[ID]])))))</f>
        <v/>
      </c>
      <c r="N139" s="127" t="str">
        <f aca="false">IF(IFERROR(INDEX(tsk_Name,(ROW()-ROW(MSPTasks[[#Headers],[ID]])))="",TRUE()),"",IF(N(INDEX(tsk_ActFinish,(ROW()-ROW(MSPTasks[[#Headers],[ID]]))))=0,"",INDEX(tsk_ActFinish,(ROW()-ROW(MSPTasks[[#Headers],[ID]])))))</f>
        <v/>
      </c>
      <c r="O139" s="127" t="str">
        <f aca="false">IF(IFERROR(INDEX(tsk_Name,(ROW()-ROW(MSPTasks[[#Headers],[ID]])))="",TRUE()),"",INDEX(tsk_PlanStart,(ROW()-ROW(MSPTasks[[#Headers],[ID]]))))</f>
        <v/>
      </c>
      <c r="P139" s="127" t="str">
        <f aca="false">IF(IFERROR(INDEX(tsk_Name,(ROW()-ROW(MSPTasks[[#Headers],[ID]])))="",TRUE()),"",INDEX(tsk_PlanFinish,(ROW()-ROW(MSPTasks[[#Headers],[ID]]))))</f>
        <v/>
      </c>
      <c r="Q139" s="24" t="str">
        <f aca="false">IF(IFERROR(INDEX(tsk_Name,(ROW()-ROW(MSPTasks[[#Headers],[ID]])))="",TRUE()),"",IF(INDEX(tsk_BaseDuration,(ROW()-ROW(MSPTasks[[#Headers],[ID]])))="","",N(INDEX(tsk_BaseDuration,(ROW()-ROW(MSPTasks[[#Headers],[ID]]))))&amp;"d"))</f>
        <v/>
      </c>
      <c r="R139" s="24" t="str">
        <f aca="false">IF(IFERROR(INDEX(tsk_Name,(ROW()-ROW(MSPTasks[[#Headers],[ID]])))="",TRUE()),"",IF(INDEX(tsk_BaseWork,(ROW()-ROW(MSPTasks[[#Headers],[ID]])))="","",N(INDEX(tsk_BaseWork,(ROW()-ROW(MSPTasks[[#Headers],[ID]]))))&amp;"h"))</f>
        <v/>
      </c>
      <c r="S139" s="24" t="str">
        <f aca="false">IF(IFERROR(INDEX(tsk_Name,(ROW()-ROW(MSPTasks[[#Headers],[ID]])))="",TRUE()),"",IF(INDEX(tsk_BaseCost,(ROW()-ROW(MSPTasks[[#Headers],[ID]])))="","",N(INDEX(tsk_BaseCost,(ROW()-ROW(MSPTasks[[#Headers],[ID]]))))))</f>
        <v/>
      </c>
      <c r="T139" s="24" t="str">
        <f aca="false">IF(IFERROR(INDEX(tsk_Name,(ROW()-ROW(MSPTasks[[#Headers],[ID]])))="",TRUE()),"",IF(INDEX(tsk_IsSummary,(ROW()-ROW(MSPTasks[[#Headers],[ID]]))),"",IF(N(INDEX(tsk_ActCostInput,(ROW()-ROW(MSPTasks[[#Headers],[ID]]))))=0,"",INDEX(tsk_ActCostInput,(ROW()-ROW(MSPTasks[[#Headers],[ID]]))))))</f>
        <v/>
      </c>
      <c r="U139" s="24" t="str">
        <f aca="false">IF(IFERROR(INDEX(tsk_Name,(ROW()-ROW(MSPTasks[[#Headers],[ID]])))="",TRUE()),"",IF(INDEX(tsk_IsSummary,(ROW()-ROW(MSPTasks[[#Headers],[ID]]))),"",IF(AND(INDEX(tsk_Mode,(ROW()-ROW(MSPTasks[[#Headers],[ID]])))&lt;&gt;"Manual",N(INDEX(tsk_Constraint,(ROW()-ROW(MSPTasks[[#Headers],[ID]]))))&gt;0),"Start No Earlier Than","As Soon As Possible")))</f>
        <v/>
      </c>
      <c r="V139" s="127" t="str">
        <f aca="false">IF(IFERROR(INDEX(tsk_Name,(ROW()-ROW(MSPTasks[[#Headers],[ID]])))="",TRUE()),"",IF(OR(INDEX(tsk_IsSummary,(ROW()-ROW(MSPTasks[[#Headers],[ID]]))),INDEX(tsk_Mode,(ROW()-ROW(MSPTasks[[#Headers],[ID]])))="Manual"),"",IF(N(INDEX(tsk_Constraint,(ROW()-ROW(MSPTasks[[#Headers],[ID]]))))=0,"",INDEX(tsk_Constraint,(ROW()-ROW(MSPTasks[[#Headers],[ID]]))))))</f>
        <v/>
      </c>
      <c r="W139" s="127" t="str">
        <f aca="false">IF(IFERROR(INDEX(tsk_Name,(ROW()-ROW(MSPTasks[[#Headers],[ID]])))="",TRUE()),"",IF(N(INDEX(tsk_Deadline,(ROW()-ROW(MSPTasks[[#Headers],[ID]]))))=0,"",INDEX(tsk_Deadline,(ROW()-ROW(MSPTasks[[#Headers],[ID]])))))</f>
        <v/>
      </c>
      <c r="X139" s="24" t="str">
        <f aca="false">IF(IFERROR(INDEX(tsk_Name,(ROW()-ROW(MSPTasks[[#Headers],[ID]])))="",TRUE()),"",IF(INDEX(tsk_IsSummary,(ROW()-ROW(MSPTasks[[#Headers],[ID]]))),"",INDEX(tsk_Sprint,(ROW()-ROW(MSPTasks[[#Headers],[ID]])))&amp;""))</f>
        <v/>
      </c>
      <c r="Y139" s="24" t="str">
        <f aca="false">IF(IFERROR(INDEX(tsk_Name,(ROW()-ROW(MSPTasks[[#Headers],[ID]])))="",TRUE()),"",IF(INDEX(tsk_IsSummary,(ROW()-ROW(MSPTasks[[#Headers],[ID]]))),"",IF(N(INDEX(tsk_StoryPoints,(ROW()-ROW(MSPTasks[[#Headers],[ID]]))))=0,"",INDEX(tsk_StoryPoints,(ROW()-ROW(MSPTasks[[#Headers],[ID]]))))))</f>
        <v/>
      </c>
      <c r="Z139" s="24" t="str">
        <f aca="false">IF(IFERROR(INDEX(tsk_Name,(ROW()-ROW(MSPTasks[[#Headers],[ID]])))="",TRUE()),"",INDEX(tsk_Notes,(ROW()-ROW(MSPTasks[[#Headers],[ID]])))&amp;"")</f>
        <v/>
      </c>
    </row>
    <row r="140" customFormat="false" ht="15" hidden="false" customHeight="false" outlineLevel="0" collapsed="false">
      <c r="A140" s="24" t="str">
        <f aca="false">IF(IFERROR(INDEX(tsk_Name,(ROW()-ROW(MSPTasks[[#Headers],[ID]])))="",TRUE()),"",INDEX(tsk_ID,(ROW()-ROW(MSPTasks[[#Headers],[ID]]))))</f>
        <v/>
      </c>
      <c r="B140" s="24" t="str">
        <f aca="false">IF(IFERROR(INDEX(tsk_Name,(ROW()-ROW(MSPTasks[[#Headers],[ID]])))="",TRUE()),"",INDEX(tsk_UID,(ROW()-ROW(MSPTasks[[#Headers],[ID]]))))</f>
        <v/>
      </c>
      <c r="C140" s="24" t="str">
        <f aca="false">IF(IFERROR(INDEX(tsk_Name,(ROW()-ROW(MSPTasks[[#Headers],[ID]])))="",TRUE()),"",INDEX(tsk_Name,(ROW()-ROW(MSPTasks[[#Headers],[ID]]))))</f>
        <v/>
      </c>
      <c r="D140" s="24" t="str">
        <f aca="false">IF(IFERROR(INDEX(tsk_Name,(ROW()-ROW(MSPTasks[[#Headers],[ID]])))="",TRUE()),"",INDEX(tsk_Level,(ROW()-ROW(MSPTasks[[#Headers],[ID]]))))</f>
        <v/>
      </c>
      <c r="E140" s="24" t="str">
        <f aca="false">IF(IFERROR(INDEX(tsk_Name,(ROW()-ROW(MSPTasks[[#Headers],[ID]])))="",TRUE()),"",IF(INDEX(tsk_Mode,(ROW()-ROW(MSPTasks[[#Headers],[ID]])))="Manual","Manually Scheduled","Auto Scheduled"))</f>
        <v/>
      </c>
      <c r="F140" s="24" t="str">
        <f aca="false">IF(IFERROR(INDEX(tsk_Name,(ROW()-ROW(MSPTasks[[#Headers],[ID]])))="",TRUE()),"",IF(INDEX(tsk_IsSummary,(ROW()-ROW(MSPTasks[[#Headers],[ID]]))),"",N(INDEX(tsk_Duration,(ROW()-ROW(MSPTasks[[#Headers],[ID]]))))&amp;"d"))</f>
        <v/>
      </c>
      <c r="G140" s="127" t="str">
        <f aca="false">IF(IFERROR(INDEX(tsk_Name,(ROW()-ROW(MSPTasks[[#Headers],[ID]])))="",TRUE()),"",INDEX(tsk_FcStart,(ROW()-ROW(MSPTasks[[#Headers],[ID]]))))</f>
        <v/>
      </c>
      <c r="H140" s="127" t="str">
        <f aca="false">IF(IFERROR(INDEX(tsk_Name,(ROW()-ROW(MSPTasks[[#Headers],[ID]])))="",TRUE()),"",INDEX(tsk_FcFinish,(ROW()-ROW(MSPTasks[[#Headers],[ID]]))))</f>
        <v/>
      </c>
      <c r="I140" s="24" t="str">
        <f aca="false">IF(IFERROR(INDEX(tsk_Name,(ROW()-ROW(MSPTasks[[#Headers],[ID]])))="",TRUE()),"",IF(INDEX(tsk_IsSummary,(ROW()-ROW(MSPTasks[[#Headers],[ID]]))),"",INDEX(tsk_Predecessors,(ROW()-ROW(MSPTasks[[#Headers],[ID]])))))</f>
        <v/>
      </c>
      <c r="J140" s="24" t="str">
        <f aca="false">IF(IFERROR(INDEX(tsk_Name,(ROW()-ROW(MSPTasks[[#Headers],[ID]])))="",TRUE()),"",IF(INDEX(tsk_IsSummary,(ROW()-ROW(MSPTasks[[#Headers],[ID]]))),"",INDEX(tsk_UIDPredecessors,(ROW()-ROW(MSPTasks[[#Headers],[ID]])))))</f>
        <v/>
      </c>
      <c r="K14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0" s="24" t="str">
        <f aca="false">IF(IFERROR(INDEX(tsk_Name,(ROW()-ROW(MSPTasks[[#Headers],[ID]])))="",TRUE()),"",IF(INDEX(tsk_IsSummary,(ROW()-ROW(MSPTasks[[#Headers],[ID]]))),"",ROUND(INDEX(tsk_Progress,(ROW()-ROW(MSPTasks[[#Headers],[ID]])))*100,0)))</f>
        <v/>
      </c>
      <c r="M140" s="127" t="str">
        <f aca="false">IF(IFERROR(INDEX(tsk_Name,(ROW()-ROW(MSPTasks[[#Headers],[ID]])))="",TRUE()),"",IF(N(INDEX(tsk_ActStart,(ROW()-ROW(MSPTasks[[#Headers],[ID]]))))=0,"",INDEX(tsk_ActStart,(ROW()-ROW(MSPTasks[[#Headers],[ID]])))))</f>
        <v/>
      </c>
      <c r="N140" s="127" t="str">
        <f aca="false">IF(IFERROR(INDEX(tsk_Name,(ROW()-ROW(MSPTasks[[#Headers],[ID]])))="",TRUE()),"",IF(N(INDEX(tsk_ActFinish,(ROW()-ROW(MSPTasks[[#Headers],[ID]]))))=0,"",INDEX(tsk_ActFinish,(ROW()-ROW(MSPTasks[[#Headers],[ID]])))))</f>
        <v/>
      </c>
      <c r="O140" s="127" t="str">
        <f aca="false">IF(IFERROR(INDEX(tsk_Name,(ROW()-ROW(MSPTasks[[#Headers],[ID]])))="",TRUE()),"",INDEX(tsk_PlanStart,(ROW()-ROW(MSPTasks[[#Headers],[ID]]))))</f>
        <v/>
      </c>
      <c r="P140" s="127" t="str">
        <f aca="false">IF(IFERROR(INDEX(tsk_Name,(ROW()-ROW(MSPTasks[[#Headers],[ID]])))="",TRUE()),"",INDEX(tsk_PlanFinish,(ROW()-ROW(MSPTasks[[#Headers],[ID]]))))</f>
        <v/>
      </c>
      <c r="Q140" s="24" t="str">
        <f aca="false">IF(IFERROR(INDEX(tsk_Name,(ROW()-ROW(MSPTasks[[#Headers],[ID]])))="",TRUE()),"",IF(INDEX(tsk_BaseDuration,(ROW()-ROW(MSPTasks[[#Headers],[ID]])))="","",N(INDEX(tsk_BaseDuration,(ROW()-ROW(MSPTasks[[#Headers],[ID]]))))&amp;"d"))</f>
        <v/>
      </c>
      <c r="R140" s="24" t="str">
        <f aca="false">IF(IFERROR(INDEX(tsk_Name,(ROW()-ROW(MSPTasks[[#Headers],[ID]])))="",TRUE()),"",IF(INDEX(tsk_BaseWork,(ROW()-ROW(MSPTasks[[#Headers],[ID]])))="","",N(INDEX(tsk_BaseWork,(ROW()-ROW(MSPTasks[[#Headers],[ID]]))))&amp;"h"))</f>
        <v/>
      </c>
      <c r="S140" s="24" t="str">
        <f aca="false">IF(IFERROR(INDEX(tsk_Name,(ROW()-ROW(MSPTasks[[#Headers],[ID]])))="",TRUE()),"",IF(INDEX(tsk_BaseCost,(ROW()-ROW(MSPTasks[[#Headers],[ID]])))="","",N(INDEX(tsk_BaseCost,(ROW()-ROW(MSPTasks[[#Headers],[ID]]))))))</f>
        <v/>
      </c>
      <c r="T140" s="24" t="str">
        <f aca="false">IF(IFERROR(INDEX(tsk_Name,(ROW()-ROW(MSPTasks[[#Headers],[ID]])))="",TRUE()),"",IF(INDEX(tsk_IsSummary,(ROW()-ROW(MSPTasks[[#Headers],[ID]]))),"",IF(N(INDEX(tsk_ActCostInput,(ROW()-ROW(MSPTasks[[#Headers],[ID]]))))=0,"",INDEX(tsk_ActCostInput,(ROW()-ROW(MSPTasks[[#Headers],[ID]]))))))</f>
        <v/>
      </c>
      <c r="U140" s="24" t="str">
        <f aca="false">IF(IFERROR(INDEX(tsk_Name,(ROW()-ROW(MSPTasks[[#Headers],[ID]])))="",TRUE()),"",IF(INDEX(tsk_IsSummary,(ROW()-ROW(MSPTasks[[#Headers],[ID]]))),"",IF(AND(INDEX(tsk_Mode,(ROW()-ROW(MSPTasks[[#Headers],[ID]])))&lt;&gt;"Manual",N(INDEX(tsk_Constraint,(ROW()-ROW(MSPTasks[[#Headers],[ID]]))))&gt;0),"Start No Earlier Than","As Soon As Possible")))</f>
        <v/>
      </c>
      <c r="V140" s="127" t="str">
        <f aca="false">IF(IFERROR(INDEX(tsk_Name,(ROW()-ROW(MSPTasks[[#Headers],[ID]])))="",TRUE()),"",IF(OR(INDEX(tsk_IsSummary,(ROW()-ROW(MSPTasks[[#Headers],[ID]]))),INDEX(tsk_Mode,(ROW()-ROW(MSPTasks[[#Headers],[ID]])))="Manual"),"",IF(N(INDEX(tsk_Constraint,(ROW()-ROW(MSPTasks[[#Headers],[ID]]))))=0,"",INDEX(tsk_Constraint,(ROW()-ROW(MSPTasks[[#Headers],[ID]]))))))</f>
        <v/>
      </c>
      <c r="W140" s="127" t="str">
        <f aca="false">IF(IFERROR(INDEX(tsk_Name,(ROW()-ROW(MSPTasks[[#Headers],[ID]])))="",TRUE()),"",IF(N(INDEX(tsk_Deadline,(ROW()-ROW(MSPTasks[[#Headers],[ID]]))))=0,"",INDEX(tsk_Deadline,(ROW()-ROW(MSPTasks[[#Headers],[ID]])))))</f>
        <v/>
      </c>
      <c r="X140" s="24" t="str">
        <f aca="false">IF(IFERROR(INDEX(tsk_Name,(ROW()-ROW(MSPTasks[[#Headers],[ID]])))="",TRUE()),"",IF(INDEX(tsk_IsSummary,(ROW()-ROW(MSPTasks[[#Headers],[ID]]))),"",INDEX(tsk_Sprint,(ROW()-ROW(MSPTasks[[#Headers],[ID]])))&amp;""))</f>
        <v/>
      </c>
      <c r="Y140" s="24" t="str">
        <f aca="false">IF(IFERROR(INDEX(tsk_Name,(ROW()-ROW(MSPTasks[[#Headers],[ID]])))="",TRUE()),"",IF(INDEX(tsk_IsSummary,(ROW()-ROW(MSPTasks[[#Headers],[ID]]))),"",IF(N(INDEX(tsk_StoryPoints,(ROW()-ROW(MSPTasks[[#Headers],[ID]]))))=0,"",INDEX(tsk_StoryPoints,(ROW()-ROW(MSPTasks[[#Headers],[ID]]))))))</f>
        <v/>
      </c>
      <c r="Z140" s="24" t="str">
        <f aca="false">IF(IFERROR(INDEX(tsk_Name,(ROW()-ROW(MSPTasks[[#Headers],[ID]])))="",TRUE()),"",INDEX(tsk_Notes,(ROW()-ROW(MSPTasks[[#Headers],[ID]])))&amp;"")</f>
        <v/>
      </c>
    </row>
    <row r="141" customFormat="false" ht="15" hidden="false" customHeight="false" outlineLevel="0" collapsed="false">
      <c r="A141" s="24" t="str">
        <f aca="false">IF(IFERROR(INDEX(tsk_Name,(ROW()-ROW(MSPTasks[[#Headers],[ID]])))="",TRUE()),"",INDEX(tsk_ID,(ROW()-ROW(MSPTasks[[#Headers],[ID]]))))</f>
        <v/>
      </c>
      <c r="B141" s="24" t="str">
        <f aca="false">IF(IFERROR(INDEX(tsk_Name,(ROW()-ROW(MSPTasks[[#Headers],[ID]])))="",TRUE()),"",INDEX(tsk_UID,(ROW()-ROW(MSPTasks[[#Headers],[ID]]))))</f>
        <v/>
      </c>
      <c r="C141" s="24" t="str">
        <f aca="false">IF(IFERROR(INDEX(tsk_Name,(ROW()-ROW(MSPTasks[[#Headers],[ID]])))="",TRUE()),"",INDEX(tsk_Name,(ROW()-ROW(MSPTasks[[#Headers],[ID]]))))</f>
        <v/>
      </c>
      <c r="D141" s="24" t="str">
        <f aca="false">IF(IFERROR(INDEX(tsk_Name,(ROW()-ROW(MSPTasks[[#Headers],[ID]])))="",TRUE()),"",INDEX(tsk_Level,(ROW()-ROW(MSPTasks[[#Headers],[ID]]))))</f>
        <v/>
      </c>
      <c r="E141" s="24" t="str">
        <f aca="false">IF(IFERROR(INDEX(tsk_Name,(ROW()-ROW(MSPTasks[[#Headers],[ID]])))="",TRUE()),"",IF(INDEX(tsk_Mode,(ROW()-ROW(MSPTasks[[#Headers],[ID]])))="Manual","Manually Scheduled","Auto Scheduled"))</f>
        <v/>
      </c>
      <c r="F141" s="24" t="str">
        <f aca="false">IF(IFERROR(INDEX(tsk_Name,(ROW()-ROW(MSPTasks[[#Headers],[ID]])))="",TRUE()),"",IF(INDEX(tsk_IsSummary,(ROW()-ROW(MSPTasks[[#Headers],[ID]]))),"",N(INDEX(tsk_Duration,(ROW()-ROW(MSPTasks[[#Headers],[ID]]))))&amp;"d"))</f>
        <v/>
      </c>
      <c r="G141" s="127" t="str">
        <f aca="false">IF(IFERROR(INDEX(tsk_Name,(ROW()-ROW(MSPTasks[[#Headers],[ID]])))="",TRUE()),"",INDEX(tsk_FcStart,(ROW()-ROW(MSPTasks[[#Headers],[ID]]))))</f>
        <v/>
      </c>
      <c r="H141" s="127" t="str">
        <f aca="false">IF(IFERROR(INDEX(tsk_Name,(ROW()-ROW(MSPTasks[[#Headers],[ID]])))="",TRUE()),"",INDEX(tsk_FcFinish,(ROW()-ROW(MSPTasks[[#Headers],[ID]]))))</f>
        <v/>
      </c>
      <c r="I141" s="24" t="str">
        <f aca="false">IF(IFERROR(INDEX(tsk_Name,(ROW()-ROW(MSPTasks[[#Headers],[ID]])))="",TRUE()),"",IF(INDEX(tsk_IsSummary,(ROW()-ROW(MSPTasks[[#Headers],[ID]]))),"",INDEX(tsk_Predecessors,(ROW()-ROW(MSPTasks[[#Headers],[ID]])))))</f>
        <v/>
      </c>
      <c r="J141" s="24" t="str">
        <f aca="false">IF(IFERROR(INDEX(tsk_Name,(ROW()-ROW(MSPTasks[[#Headers],[ID]])))="",TRUE()),"",IF(INDEX(tsk_IsSummary,(ROW()-ROW(MSPTasks[[#Headers],[ID]]))),"",INDEX(tsk_UIDPredecessors,(ROW()-ROW(MSPTasks[[#Headers],[ID]])))))</f>
        <v/>
      </c>
      <c r="K14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1" s="24" t="str">
        <f aca="false">IF(IFERROR(INDEX(tsk_Name,(ROW()-ROW(MSPTasks[[#Headers],[ID]])))="",TRUE()),"",IF(INDEX(tsk_IsSummary,(ROW()-ROW(MSPTasks[[#Headers],[ID]]))),"",ROUND(INDEX(tsk_Progress,(ROW()-ROW(MSPTasks[[#Headers],[ID]])))*100,0)))</f>
        <v/>
      </c>
      <c r="M141" s="127" t="str">
        <f aca="false">IF(IFERROR(INDEX(tsk_Name,(ROW()-ROW(MSPTasks[[#Headers],[ID]])))="",TRUE()),"",IF(N(INDEX(tsk_ActStart,(ROW()-ROW(MSPTasks[[#Headers],[ID]]))))=0,"",INDEX(tsk_ActStart,(ROW()-ROW(MSPTasks[[#Headers],[ID]])))))</f>
        <v/>
      </c>
      <c r="N141" s="127" t="str">
        <f aca="false">IF(IFERROR(INDEX(tsk_Name,(ROW()-ROW(MSPTasks[[#Headers],[ID]])))="",TRUE()),"",IF(N(INDEX(tsk_ActFinish,(ROW()-ROW(MSPTasks[[#Headers],[ID]]))))=0,"",INDEX(tsk_ActFinish,(ROW()-ROW(MSPTasks[[#Headers],[ID]])))))</f>
        <v/>
      </c>
      <c r="O141" s="127" t="str">
        <f aca="false">IF(IFERROR(INDEX(tsk_Name,(ROW()-ROW(MSPTasks[[#Headers],[ID]])))="",TRUE()),"",INDEX(tsk_PlanStart,(ROW()-ROW(MSPTasks[[#Headers],[ID]]))))</f>
        <v/>
      </c>
      <c r="P141" s="127" t="str">
        <f aca="false">IF(IFERROR(INDEX(tsk_Name,(ROW()-ROW(MSPTasks[[#Headers],[ID]])))="",TRUE()),"",INDEX(tsk_PlanFinish,(ROW()-ROW(MSPTasks[[#Headers],[ID]]))))</f>
        <v/>
      </c>
      <c r="Q141" s="24" t="str">
        <f aca="false">IF(IFERROR(INDEX(tsk_Name,(ROW()-ROW(MSPTasks[[#Headers],[ID]])))="",TRUE()),"",IF(INDEX(tsk_BaseDuration,(ROW()-ROW(MSPTasks[[#Headers],[ID]])))="","",N(INDEX(tsk_BaseDuration,(ROW()-ROW(MSPTasks[[#Headers],[ID]]))))&amp;"d"))</f>
        <v/>
      </c>
      <c r="R141" s="24" t="str">
        <f aca="false">IF(IFERROR(INDEX(tsk_Name,(ROW()-ROW(MSPTasks[[#Headers],[ID]])))="",TRUE()),"",IF(INDEX(tsk_BaseWork,(ROW()-ROW(MSPTasks[[#Headers],[ID]])))="","",N(INDEX(tsk_BaseWork,(ROW()-ROW(MSPTasks[[#Headers],[ID]]))))&amp;"h"))</f>
        <v/>
      </c>
      <c r="S141" s="24" t="str">
        <f aca="false">IF(IFERROR(INDEX(tsk_Name,(ROW()-ROW(MSPTasks[[#Headers],[ID]])))="",TRUE()),"",IF(INDEX(tsk_BaseCost,(ROW()-ROW(MSPTasks[[#Headers],[ID]])))="","",N(INDEX(tsk_BaseCost,(ROW()-ROW(MSPTasks[[#Headers],[ID]]))))))</f>
        <v/>
      </c>
      <c r="T141" s="24" t="str">
        <f aca="false">IF(IFERROR(INDEX(tsk_Name,(ROW()-ROW(MSPTasks[[#Headers],[ID]])))="",TRUE()),"",IF(INDEX(tsk_IsSummary,(ROW()-ROW(MSPTasks[[#Headers],[ID]]))),"",IF(N(INDEX(tsk_ActCostInput,(ROW()-ROW(MSPTasks[[#Headers],[ID]]))))=0,"",INDEX(tsk_ActCostInput,(ROW()-ROW(MSPTasks[[#Headers],[ID]]))))))</f>
        <v/>
      </c>
      <c r="U141" s="24" t="str">
        <f aca="false">IF(IFERROR(INDEX(tsk_Name,(ROW()-ROW(MSPTasks[[#Headers],[ID]])))="",TRUE()),"",IF(INDEX(tsk_IsSummary,(ROW()-ROW(MSPTasks[[#Headers],[ID]]))),"",IF(AND(INDEX(tsk_Mode,(ROW()-ROW(MSPTasks[[#Headers],[ID]])))&lt;&gt;"Manual",N(INDEX(tsk_Constraint,(ROW()-ROW(MSPTasks[[#Headers],[ID]]))))&gt;0),"Start No Earlier Than","As Soon As Possible")))</f>
        <v/>
      </c>
      <c r="V141" s="127" t="str">
        <f aca="false">IF(IFERROR(INDEX(tsk_Name,(ROW()-ROW(MSPTasks[[#Headers],[ID]])))="",TRUE()),"",IF(OR(INDEX(tsk_IsSummary,(ROW()-ROW(MSPTasks[[#Headers],[ID]]))),INDEX(tsk_Mode,(ROW()-ROW(MSPTasks[[#Headers],[ID]])))="Manual"),"",IF(N(INDEX(tsk_Constraint,(ROW()-ROW(MSPTasks[[#Headers],[ID]]))))=0,"",INDEX(tsk_Constraint,(ROW()-ROW(MSPTasks[[#Headers],[ID]]))))))</f>
        <v/>
      </c>
      <c r="W141" s="127" t="str">
        <f aca="false">IF(IFERROR(INDEX(tsk_Name,(ROW()-ROW(MSPTasks[[#Headers],[ID]])))="",TRUE()),"",IF(N(INDEX(tsk_Deadline,(ROW()-ROW(MSPTasks[[#Headers],[ID]]))))=0,"",INDEX(tsk_Deadline,(ROW()-ROW(MSPTasks[[#Headers],[ID]])))))</f>
        <v/>
      </c>
      <c r="X141" s="24" t="str">
        <f aca="false">IF(IFERROR(INDEX(tsk_Name,(ROW()-ROW(MSPTasks[[#Headers],[ID]])))="",TRUE()),"",IF(INDEX(tsk_IsSummary,(ROW()-ROW(MSPTasks[[#Headers],[ID]]))),"",INDEX(tsk_Sprint,(ROW()-ROW(MSPTasks[[#Headers],[ID]])))&amp;""))</f>
        <v/>
      </c>
      <c r="Y141" s="24" t="str">
        <f aca="false">IF(IFERROR(INDEX(tsk_Name,(ROW()-ROW(MSPTasks[[#Headers],[ID]])))="",TRUE()),"",IF(INDEX(tsk_IsSummary,(ROW()-ROW(MSPTasks[[#Headers],[ID]]))),"",IF(N(INDEX(tsk_StoryPoints,(ROW()-ROW(MSPTasks[[#Headers],[ID]]))))=0,"",INDEX(tsk_StoryPoints,(ROW()-ROW(MSPTasks[[#Headers],[ID]]))))))</f>
        <v/>
      </c>
      <c r="Z141" s="24" t="str">
        <f aca="false">IF(IFERROR(INDEX(tsk_Name,(ROW()-ROW(MSPTasks[[#Headers],[ID]])))="",TRUE()),"",INDEX(tsk_Notes,(ROW()-ROW(MSPTasks[[#Headers],[ID]])))&amp;"")</f>
        <v/>
      </c>
    </row>
    <row r="142" customFormat="false" ht="15" hidden="false" customHeight="false" outlineLevel="0" collapsed="false">
      <c r="A142" s="24" t="str">
        <f aca="false">IF(IFERROR(INDEX(tsk_Name,(ROW()-ROW(MSPTasks[[#Headers],[ID]])))="",TRUE()),"",INDEX(tsk_ID,(ROW()-ROW(MSPTasks[[#Headers],[ID]]))))</f>
        <v/>
      </c>
      <c r="B142" s="24" t="str">
        <f aca="false">IF(IFERROR(INDEX(tsk_Name,(ROW()-ROW(MSPTasks[[#Headers],[ID]])))="",TRUE()),"",INDEX(tsk_UID,(ROW()-ROW(MSPTasks[[#Headers],[ID]]))))</f>
        <v/>
      </c>
      <c r="C142" s="24" t="str">
        <f aca="false">IF(IFERROR(INDEX(tsk_Name,(ROW()-ROW(MSPTasks[[#Headers],[ID]])))="",TRUE()),"",INDEX(tsk_Name,(ROW()-ROW(MSPTasks[[#Headers],[ID]]))))</f>
        <v/>
      </c>
      <c r="D142" s="24" t="str">
        <f aca="false">IF(IFERROR(INDEX(tsk_Name,(ROW()-ROW(MSPTasks[[#Headers],[ID]])))="",TRUE()),"",INDEX(tsk_Level,(ROW()-ROW(MSPTasks[[#Headers],[ID]]))))</f>
        <v/>
      </c>
      <c r="E142" s="24" t="str">
        <f aca="false">IF(IFERROR(INDEX(tsk_Name,(ROW()-ROW(MSPTasks[[#Headers],[ID]])))="",TRUE()),"",IF(INDEX(tsk_Mode,(ROW()-ROW(MSPTasks[[#Headers],[ID]])))="Manual","Manually Scheduled","Auto Scheduled"))</f>
        <v/>
      </c>
      <c r="F142" s="24" t="str">
        <f aca="false">IF(IFERROR(INDEX(tsk_Name,(ROW()-ROW(MSPTasks[[#Headers],[ID]])))="",TRUE()),"",IF(INDEX(tsk_IsSummary,(ROW()-ROW(MSPTasks[[#Headers],[ID]]))),"",N(INDEX(tsk_Duration,(ROW()-ROW(MSPTasks[[#Headers],[ID]]))))&amp;"d"))</f>
        <v/>
      </c>
      <c r="G142" s="127" t="str">
        <f aca="false">IF(IFERROR(INDEX(tsk_Name,(ROW()-ROW(MSPTasks[[#Headers],[ID]])))="",TRUE()),"",INDEX(tsk_FcStart,(ROW()-ROW(MSPTasks[[#Headers],[ID]]))))</f>
        <v/>
      </c>
      <c r="H142" s="127" t="str">
        <f aca="false">IF(IFERROR(INDEX(tsk_Name,(ROW()-ROW(MSPTasks[[#Headers],[ID]])))="",TRUE()),"",INDEX(tsk_FcFinish,(ROW()-ROW(MSPTasks[[#Headers],[ID]]))))</f>
        <v/>
      </c>
      <c r="I142" s="24" t="str">
        <f aca="false">IF(IFERROR(INDEX(tsk_Name,(ROW()-ROW(MSPTasks[[#Headers],[ID]])))="",TRUE()),"",IF(INDEX(tsk_IsSummary,(ROW()-ROW(MSPTasks[[#Headers],[ID]]))),"",INDEX(tsk_Predecessors,(ROW()-ROW(MSPTasks[[#Headers],[ID]])))))</f>
        <v/>
      </c>
      <c r="J142" s="24" t="str">
        <f aca="false">IF(IFERROR(INDEX(tsk_Name,(ROW()-ROW(MSPTasks[[#Headers],[ID]])))="",TRUE()),"",IF(INDEX(tsk_IsSummary,(ROW()-ROW(MSPTasks[[#Headers],[ID]]))),"",INDEX(tsk_UIDPredecessors,(ROW()-ROW(MSPTasks[[#Headers],[ID]])))))</f>
        <v/>
      </c>
      <c r="K14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2" s="24" t="str">
        <f aca="false">IF(IFERROR(INDEX(tsk_Name,(ROW()-ROW(MSPTasks[[#Headers],[ID]])))="",TRUE()),"",IF(INDEX(tsk_IsSummary,(ROW()-ROW(MSPTasks[[#Headers],[ID]]))),"",ROUND(INDEX(tsk_Progress,(ROW()-ROW(MSPTasks[[#Headers],[ID]])))*100,0)))</f>
        <v/>
      </c>
      <c r="M142" s="127" t="str">
        <f aca="false">IF(IFERROR(INDEX(tsk_Name,(ROW()-ROW(MSPTasks[[#Headers],[ID]])))="",TRUE()),"",IF(N(INDEX(tsk_ActStart,(ROW()-ROW(MSPTasks[[#Headers],[ID]]))))=0,"",INDEX(tsk_ActStart,(ROW()-ROW(MSPTasks[[#Headers],[ID]])))))</f>
        <v/>
      </c>
      <c r="N142" s="127" t="str">
        <f aca="false">IF(IFERROR(INDEX(tsk_Name,(ROW()-ROW(MSPTasks[[#Headers],[ID]])))="",TRUE()),"",IF(N(INDEX(tsk_ActFinish,(ROW()-ROW(MSPTasks[[#Headers],[ID]]))))=0,"",INDEX(tsk_ActFinish,(ROW()-ROW(MSPTasks[[#Headers],[ID]])))))</f>
        <v/>
      </c>
      <c r="O142" s="127" t="str">
        <f aca="false">IF(IFERROR(INDEX(tsk_Name,(ROW()-ROW(MSPTasks[[#Headers],[ID]])))="",TRUE()),"",INDEX(tsk_PlanStart,(ROW()-ROW(MSPTasks[[#Headers],[ID]]))))</f>
        <v/>
      </c>
      <c r="P142" s="127" t="str">
        <f aca="false">IF(IFERROR(INDEX(tsk_Name,(ROW()-ROW(MSPTasks[[#Headers],[ID]])))="",TRUE()),"",INDEX(tsk_PlanFinish,(ROW()-ROW(MSPTasks[[#Headers],[ID]]))))</f>
        <v/>
      </c>
      <c r="Q142" s="24" t="str">
        <f aca="false">IF(IFERROR(INDEX(tsk_Name,(ROW()-ROW(MSPTasks[[#Headers],[ID]])))="",TRUE()),"",IF(INDEX(tsk_BaseDuration,(ROW()-ROW(MSPTasks[[#Headers],[ID]])))="","",N(INDEX(tsk_BaseDuration,(ROW()-ROW(MSPTasks[[#Headers],[ID]]))))&amp;"d"))</f>
        <v/>
      </c>
      <c r="R142" s="24" t="str">
        <f aca="false">IF(IFERROR(INDEX(tsk_Name,(ROW()-ROW(MSPTasks[[#Headers],[ID]])))="",TRUE()),"",IF(INDEX(tsk_BaseWork,(ROW()-ROW(MSPTasks[[#Headers],[ID]])))="","",N(INDEX(tsk_BaseWork,(ROW()-ROW(MSPTasks[[#Headers],[ID]]))))&amp;"h"))</f>
        <v/>
      </c>
      <c r="S142" s="24" t="str">
        <f aca="false">IF(IFERROR(INDEX(tsk_Name,(ROW()-ROW(MSPTasks[[#Headers],[ID]])))="",TRUE()),"",IF(INDEX(tsk_BaseCost,(ROW()-ROW(MSPTasks[[#Headers],[ID]])))="","",N(INDEX(tsk_BaseCost,(ROW()-ROW(MSPTasks[[#Headers],[ID]]))))))</f>
        <v/>
      </c>
      <c r="T142" s="24" t="str">
        <f aca="false">IF(IFERROR(INDEX(tsk_Name,(ROW()-ROW(MSPTasks[[#Headers],[ID]])))="",TRUE()),"",IF(INDEX(tsk_IsSummary,(ROW()-ROW(MSPTasks[[#Headers],[ID]]))),"",IF(N(INDEX(tsk_ActCostInput,(ROW()-ROW(MSPTasks[[#Headers],[ID]]))))=0,"",INDEX(tsk_ActCostInput,(ROW()-ROW(MSPTasks[[#Headers],[ID]]))))))</f>
        <v/>
      </c>
      <c r="U142" s="24" t="str">
        <f aca="false">IF(IFERROR(INDEX(tsk_Name,(ROW()-ROW(MSPTasks[[#Headers],[ID]])))="",TRUE()),"",IF(INDEX(tsk_IsSummary,(ROW()-ROW(MSPTasks[[#Headers],[ID]]))),"",IF(AND(INDEX(tsk_Mode,(ROW()-ROW(MSPTasks[[#Headers],[ID]])))&lt;&gt;"Manual",N(INDEX(tsk_Constraint,(ROW()-ROW(MSPTasks[[#Headers],[ID]]))))&gt;0),"Start No Earlier Than","As Soon As Possible")))</f>
        <v/>
      </c>
      <c r="V142" s="127" t="str">
        <f aca="false">IF(IFERROR(INDEX(tsk_Name,(ROW()-ROW(MSPTasks[[#Headers],[ID]])))="",TRUE()),"",IF(OR(INDEX(tsk_IsSummary,(ROW()-ROW(MSPTasks[[#Headers],[ID]]))),INDEX(tsk_Mode,(ROW()-ROW(MSPTasks[[#Headers],[ID]])))="Manual"),"",IF(N(INDEX(tsk_Constraint,(ROW()-ROW(MSPTasks[[#Headers],[ID]]))))=0,"",INDEX(tsk_Constraint,(ROW()-ROW(MSPTasks[[#Headers],[ID]]))))))</f>
        <v/>
      </c>
      <c r="W142" s="127" t="str">
        <f aca="false">IF(IFERROR(INDEX(tsk_Name,(ROW()-ROW(MSPTasks[[#Headers],[ID]])))="",TRUE()),"",IF(N(INDEX(tsk_Deadline,(ROW()-ROW(MSPTasks[[#Headers],[ID]]))))=0,"",INDEX(tsk_Deadline,(ROW()-ROW(MSPTasks[[#Headers],[ID]])))))</f>
        <v/>
      </c>
      <c r="X142" s="24" t="str">
        <f aca="false">IF(IFERROR(INDEX(tsk_Name,(ROW()-ROW(MSPTasks[[#Headers],[ID]])))="",TRUE()),"",IF(INDEX(tsk_IsSummary,(ROW()-ROW(MSPTasks[[#Headers],[ID]]))),"",INDEX(tsk_Sprint,(ROW()-ROW(MSPTasks[[#Headers],[ID]])))&amp;""))</f>
        <v/>
      </c>
      <c r="Y142" s="24" t="str">
        <f aca="false">IF(IFERROR(INDEX(tsk_Name,(ROW()-ROW(MSPTasks[[#Headers],[ID]])))="",TRUE()),"",IF(INDEX(tsk_IsSummary,(ROW()-ROW(MSPTasks[[#Headers],[ID]]))),"",IF(N(INDEX(tsk_StoryPoints,(ROW()-ROW(MSPTasks[[#Headers],[ID]]))))=0,"",INDEX(tsk_StoryPoints,(ROW()-ROW(MSPTasks[[#Headers],[ID]]))))))</f>
        <v/>
      </c>
      <c r="Z142" s="24" t="str">
        <f aca="false">IF(IFERROR(INDEX(tsk_Name,(ROW()-ROW(MSPTasks[[#Headers],[ID]])))="",TRUE()),"",INDEX(tsk_Notes,(ROW()-ROW(MSPTasks[[#Headers],[ID]])))&amp;"")</f>
        <v/>
      </c>
    </row>
    <row r="143" customFormat="false" ht="15" hidden="false" customHeight="false" outlineLevel="0" collapsed="false">
      <c r="A143" s="24" t="str">
        <f aca="false">IF(IFERROR(INDEX(tsk_Name,(ROW()-ROW(MSPTasks[[#Headers],[ID]])))="",TRUE()),"",INDEX(tsk_ID,(ROW()-ROW(MSPTasks[[#Headers],[ID]]))))</f>
        <v/>
      </c>
      <c r="B143" s="24" t="str">
        <f aca="false">IF(IFERROR(INDEX(tsk_Name,(ROW()-ROW(MSPTasks[[#Headers],[ID]])))="",TRUE()),"",INDEX(tsk_UID,(ROW()-ROW(MSPTasks[[#Headers],[ID]]))))</f>
        <v/>
      </c>
      <c r="C143" s="24" t="str">
        <f aca="false">IF(IFERROR(INDEX(tsk_Name,(ROW()-ROW(MSPTasks[[#Headers],[ID]])))="",TRUE()),"",INDEX(tsk_Name,(ROW()-ROW(MSPTasks[[#Headers],[ID]]))))</f>
        <v/>
      </c>
      <c r="D143" s="24" t="str">
        <f aca="false">IF(IFERROR(INDEX(tsk_Name,(ROW()-ROW(MSPTasks[[#Headers],[ID]])))="",TRUE()),"",INDEX(tsk_Level,(ROW()-ROW(MSPTasks[[#Headers],[ID]]))))</f>
        <v/>
      </c>
      <c r="E143" s="24" t="str">
        <f aca="false">IF(IFERROR(INDEX(tsk_Name,(ROW()-ROW(MSPTasks[[#Headers],[ID]])))="",TRUE()),"",IF(INDEX(tsk_Mode,(ROW()-ROW(MSPTasks[[#Headers],[ID]])))="Manual","Manually Scheduled","Auto Scheduled"))</f>
        <v/>
      </c>
      <c r="F143" s="24" t="str">
        <f aca="false">IF(IFERROR(INDEX(tsk_Name,(ROW()-ROW(MSPTasks[[#Headers],[ID]])))="",TRUE()),"",IF(INDEX(tsk_IsSummary,(ROW()-ROW(MSPTasks[[#Headers],[ID]]))),"",N(INDEX(tsk_Duration,(ROW()-ROW(MSPTasks[[#Headers],[ID]]))))&amp;"d"))</f>
        <v/>
      </c>
      <c r="G143" s="127" t="str">
        <f aca="false">IF(IFERROR(INDEX(tsk_Name,(ROW()-ROW(MSPTasks[[#Headers],[ID]])))="",TRUE()),"",INDEX(tsk_FcStart,(ROW()-ROW(MSPTasks[[#Headers],[ID]]))))</f>
        <v/>
      </c>
      <c r="H143" s="127" t="str">
        <f aca="false">IF(IFERROR(INDEX(tsk_Name,(ROW()-ROW(MSPTasks[[#Headers],[ID]])))="",TRUE()),"",INDEX(tsk_FcFinish,(ROW()-ROW(MSPTasks[[#Headers],[ID]]))))</f>
        <v/>
      </c>
      <c r="I143" s="24" t="str">
        <f aca="false">IF(IFERROR(INDEX(tsk_Name,(ROW()-ROW(MSPTasks[[#Headers],[ID]])))="",TRUE()),"",IF(INDEX(tsk_IsSummary,(ROW()-ROW(MSPTasks[[#Headers],[ID]]))),"",INDEX(tsk_Predecessors,(ROW()-ROW(MSPTasks[[#Headers],[ID]])))))</f>
        <v/>
      </c>
      <c r="J143" s="24" t="str">
        <f aca="false">IF(IFERROR(INDEX(tsk_Name,(ROW()-ROW(MSPTasks[[#Headers],[ID]])))="",TRUE()),"",IF(INDEX(tsk_IsSummary,(ROW()-ROW(MSPTasks[[#Headers],[ID]]))),"",INDEX(tsk_UIDPredecessors,(ROW()-ROW(MSPTasks[[#Headers],[ID]])))))</f>
        <v/>
      </c>
      <c r="K14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3" s="24" t="str">
        <f aca="false">IF(IFERROR(INDEX(tsk_Name,(ROW()-ROW(MSPTasks[[#Headers],[ID]])))="",TRUE()),"",IF(INDEX(tsk_IsSummary,(ROW()-ROW(MSPTasks[[#Headers],[ID]]))),"",ROUND(INDEX(tsk_Progress,(ROW()-ROW(MSPTasks[[#Headers],[ID]])))*100,0)))</f>
        <v/>
      </c>
      <c r="M143" s="127" t="str">
        <f aca="false">IF(IFERROR(INDEX(tsk_Name,(ROW()-ROW(MSPTasks[[#Headers],[ID]])))="",TRUE()),"",IF(N(INDEX(tsk_ActStart,(ROW()-ROW(MSPTasks[[#Headers],[ID]]))))=0,"",INDEX(tsk_ActStart,(ROW()-ROW(MSPTasks[[#Headers],[ID]])))))</f>
        <v/>
      </c>
      <c r="N143" s="127" t="str">
        <f aca="false">IF(IFERROR(INDEX(tsk_Name,(ROW()-ROW(MSPTasks[[#Headers],[ID]])))="",TRUE()),"",IF(N(INDEX(tsk_ActFinish,(ROW()-ROW(MSPTasks[[#Headers],[ID]]))))=0,"",INDEX(tsk_ActFinish,(ROW()-ROW(MSPTasks[[#Headers],[ID]])))))</f>
        <v/>
      </c>
      <c r="O143" s="127" t="str">
        <f aca="false">IF(IFERROR(INDEX(tsk_Name,(ROW()-ROW(MSPTasks[[#Headers],[ID]])))="",TRUE()),"",INDEX(tsk_PlanStart,(ROW()-ROW(MSPTasks[[#Headers],[ID]]))))</f>
        <v/>
      </c>
      <c r="P143" s="127" t="str">
        <f aca="false">IF(IFERROR(INDEX(tsk_Name,(ROW()-ROW(MSPTasks[[#Headers],[ID]])))="",TRUE()),"",INDEX(tsk_PlanFinish,(ROW()-ROW(MSPTasks[[#Headers],[ID]]))))</f>
        <v/>
      </c>
      <c r="Q143" s="24" t="str">
        <f aca="false">IF(IFERROR(INDEX(tsk_Name,(ROW()-ROW(MSPTasks[[#Headers],[ID]])))="",TRUE()),"",IF(INDEX(tsk_BaseDuration,(ROW()-ROW(MSPTasks[[#Headers],[ID]])))="","",N(INDEX(tsk_BaseDuration,(ROW()-ROW(MSPTasks[[#Headers],[ID]]))))&amp;"d"))</f>
        <v/>
      </c>
      <c r="R143" s="24" t="str">
        <f aca="false">IF(IFERROR(INDEX(tsk_Name,(ROW()-ROW(MSPTasks[[#Headers],[ID]])))="",TRUE()),"",IF(INDEX(tsk_BaseWork,(ROW()-ROW(MSPTasks[[#Headers],[ID]])))="","",N(INDEX(tsk_BaseWork,(ROW()-ROW(MSPTasks[[#Headers],[ID]]))))&amp;"h"))</f>
        <v/>
      </c>
      <c r="S143" s="24" t="str">
        <f aca="false">IF(IFERROR(INDEX(tsk_Name,(ROW()-ROW(MSPTasks[[#Headers],[ID]])))="",TRUE()),"",IF(INDEX(tsk_BaseCost,(ROW()-ROW(MSPTasks[[#Headers],[ID]])))="","",N(INDEX(tsk_BaseCost,(ROW()-ROW(MSPTasks[[#Headers],[ID]]))))))</f>
        <v/>
      </c>
      <c r="T143" s="24" t="str">
        <f aca="false">IF(IFERROR(INDEX(tsk_Name,(ROW()-ROW(MSPTasks[[#Headers],[ID]])))="",TRUE()),"",IF(INDEX(tsk_IsSummary,(ROW()-ROW(MSPTasks[[#Headers],[ID]]))),"",IF(N(INDEX(tsk_ActCostInput,(ROW()-ROW(MSPTasks[[#Headers],[ID]]))))=0,"",INDEX(tsk_ActCostInput,(ROW()-ROW(MSPTasks[[#Headers],[ID]]))))))</f>
        <v/>
      </c>
      <c r="U143" s="24" t="str">
        <f aca="false">IF(IFERROR(INDEX(tsk_Name,(ROW()-ROW(MSPTasks[[#Headers],[ID]])))="",TRUE()),"",IF(INDEX(tsk_IsSummary,(ROW()-ROW(MSPTasks[[#Headers],[ID]]))),"",IF(AND(INDEX(tsk_Mode,(ROW()-ROW(MSPTasks[[#Headers],[ID]])))&lt;&gt;"Manual",N(INDEX(tsk_Constraint,(ROW()-ROW(MSPTasks[[#Headers],[ID]]))))&gt;0),"Start No Earlier Than","As Soon As Possible")))</f>
        <v/>
      </c>
      <c r="V143" s="127" t="str">
        <f aca="false">IF(IFERROR(INDEX(tsk_Name,(ROW()-ROW(MSPTasks[[#Headers],[ID]])))="",TRUE()),"",IF(OR(INDEX(tsk_IsSummary,(ROW()-ROW(MSPTasks[[#Headers],[ID]]))),INDEX(tsk_Mode,(ROW()-ROW(MSPTasks[[#Headers],[ID]])))="Manual"),"",IF(N(INDEX(tsk_Constraint,(ROW()-ROW(MSPTasks[[#Headers],[ID]]))))=0,"",INDEX(tsk_Constraint,(ROW()-ROW(MSPTasks[[#Headers],[ID]]))))))</f>
        <v/>
      </c>
      <c r="W143" s="127" t="str">
        <f aca="false">IF(IFERROR(INDEX(tsk_Name,(ROW()-ROW(MSPTasks[[#Headers],[ID]])))="",TRUE()),"",IF(N(INDEX(tsk_Deadline,(ROW()-ROW(MSPTasks[[#Headers],[ID]]))))=0,"",INDEX(tsk_Deadline,(ROW()-ROW(MSPTasks[[#Headers],[ID]])))))</f>
        <v/>
      </c>
      <c r="X143" s="24" t="str">
        <f aca="false">IF(IFERROR(INDEX(tsk_Name,(ROW()-ROW(MSPTasks[[#Headers],[ID]])))="",TRUE()),"",IF(INDEX(tsk_IsSummary,(ROW()-ROW(MSPTasks[[#Headers],[ID]]))),"",INDEX(tsk_Sprint,(ROW()-ROW(MSPTasks[[#Headers],[ID]])))&amp;""))</f>
        <v/>
      </c>
      <c r="Y143" s="24" t="str">
        <f aca="false">IF(IFERROR(INDEX(tsk_Name,(ROW()-ROW(MSPTasks[[#Headers],[ID]])))="",TRUE()),"",IF(INDEX(tsk_IsSummary,(ROW()-ROW(MSPTasks[[#Headers],[ID]]))),"",IF(N(INDEX(tsk_StoryPoints,(ROW()-ROW(MSPTasks[[#Headers],[ID]]))))=0,"",INDEX(tsk_StoryPoints,(ROW()-ROW(MSPTasks[[#Headers],[ID]]))))))</f>
        <v/>
      </c>
      <c r="Z143" s="24" t="str">
        <f aca="false">IF(IFERROR(INDEX(tsk_Name,(ROW()-ROW(MSPTasks[[#Headers],[ID]])))="",TRUE()),"",INDEX(tsk_Notes,(ROW()-ROW(MSPTasks[[#Headers],[ID]])))&amp;"")</f>
        <v/>
      </c>
    </row>
    <row r="144" customFormat="false" ht="15" hidden="false" customHeight="false" outlineLevel="0" collapsed="false">
      <c r="A144" s="24" t="str">
        <f aca="false">IF(IFERROR(INDEX(tsk_Name,(ROW()-ROW(MSPTasks[[#Headers],[ID]])))="",TRUE()),"",INDEX(tsk_ID,(ROW()-ROW(MSPTasks[[#Headers],[ID]]))))</f>
        <v/>
      </c>
      <c r="B144" s="24" t="str">
        <f aca="false">IF(IFERROR(INDEX(tsk_Name,(ROW()-ROW(MSPTasks[[#Headers],[ID]])))="",TRUE()),"",INDEX(tsk_UID,(ROW()-ROW(MSPTasks[[#Headers],[ID]]))))</f>
        <v/>
      </c>
      <c r="C144" s="24" t="str">
        <f aca="false">IF(IFERROR(INDEX(tsk_Name,(ROW()-ROW(MSPTasks[[#Headers],[ID]])))="",TRUE()),"",INDEX(tsk_Name,(ROW()-ROW(MSPTasks[[#Headers],[ID]]))))</f>
        <v/>
      </c>
      <c r="D144" s="24" t="str">
        <f aca="false">IF(IFERROR(INDEX(tsk_Name,(ROW()-ROW(MSPTasks[[#Headers],[ID]])))="",TRUE()),"",INDEX(tsk_Level,(ROW()-ROW(MSPTasks[[#Headers],[ID]]))))</f>
        <v/>
      </c>
      <c r="E144" s="24" t="str">
        <f aca="false">IF(IFERROR(INDEX(tsk_Name,(ROW()-ROW(MSPTasks[[#Headers],[ID]])))="",TRUE()),"",IF(INDEX(tsk_Mode,(ROW()-ROW(MSPTasks[[#Headers],[ID]])))="Manual","Manually Scheduled","Auto Scheduled"))</f>
        <v/>
      </c>
      <c r="F144" s="24" t="str">
        <f aca="false">IF(IFERROR(INDEX(tsk_Name,(ROW()-ROW(MSPTasks[[#Headers],[ID]])))="",TRUE()),"",IF(INDEX(tsk_IsSummary,(ROW()-ROW(MSPTasks[[#Headers],[ID]]))),"",N(INDEX(tsk_Duration,(ROW()-ROW(MSPTasks[[#Headers],[ID]]))))&amp;"d"))</f>
        <v/>
      </c>
      <c r="G144" s="127" t="str">
        <f aca="false">IF(IFERROR(INDEX(tsk_Name,(ROW()-ROW(MSPTasks[[#Headers],[ID]])))="",TRUE()),"",INDEX(tsk_FcStart,(ROW()-ROW(MSPTasks[[#Headers],[ID]]))))</f>
        <v/>
      </c>
      <c r="H144" s="127" t="str">
        <f aca="false">IF(IFERROR(INDEX(tsk_Name,(ROW()-ROW(MSPTasks[[#Headers],[ID]])))="",TRUE()),"",INDEX(tsk_FcFinish,(ROW()-ROW(MSPTasks[[#Headers],[ID]]))))</f>
        <v/>
      </c>
      <c r="I144" s="24" t="str">
        <f aca="false">IF(IFERROR(INDEX(tsk_Name,(ROW()-ROW(MSPTasks[[#Headers],[ID]])))="",TRUE()),"",IF(INDEX(tsk_IsSummary,(ROW()-ROW(MSPTasks[[#Headers],[ID]]))),"",INDEX(tsk_Predecessors,(ROW()-ROW(MSPTasks[[#Headers],[ID]])))))</f>
        <v/>
      </c>
      <c r="J144" s="24" t="str">
        <f aca="false">IF(IFERROR(INDEX(tsk_Name,(ROW()-ROW(MSPTasks[[#Headers],[ID]])))="",TRUE()),"",IF(INDEX(tsk_IsSummary,(ROW()-ROW(MSPTasks[[#Headers],[ID]]))),"",INDEX(tsk_UIDPredecessors,(ROW()-ROW(MSPTasks[[#Headers],[ID]])))))</f>
        <v/>
      </c>
      <c r="K14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4" s="24" t="str">
        <f aca="false">IF(IFERROR(INDEX(tsk_Name,(ROW()-ROW(MSPTasks[[#Headers],[ID]])))="",TRUE()),"",IF(INDEX(tsk_IsSummary,(ROW()-ROW(MSPTasks[[#Headers],[ID]]))),"",ROUND(INDEX(tsk_Progress,(ROW()-ROW(MSPTasks[[#Headers],[ID]])))*100,0)))</f>
        <v/>
      </c>
      <c r="M144" s="127" t="str">
        <f aca="false">IF(IFERROR(INDEX(tsk_Name,(ROW()-ROW(MSPTasks[[#Headers],[ID]])))="",TRUE()),"",IF(N(INDEX(tsk_ActStart,(ROW()-ROW(MSPTasks[[#Headers],[ID]]))))=0,"",INDEX(tsk_ActStart,(ROW()-ROW(MSPTasks[[#Headers],[ID]])))))</f>
        <v/>
      </c>
      <c r="N144" s="127" t="str">
        <f aca="false">IF(IFERROR(INDEX(tsk_Name,(ROW()-ROW(MSPTasks[[#Headers],[ID]])))="",TRUE()),"",IF(N(INDEX(tsk_ActFinish,(ROW()-ROW(MSPTasks[[#Headers],[ID]]))))=0,"",INDEX(tsk_ActFinish,(ROW()-ROW(MSPTasks[[#Headers],[ID]])))))</f>
        <v/>
      </c>
      <c r="O144" s="127" t="str">
        <f aca="false">IF(IFERROR(INDEX(tsk_Name,(ROW()-ROW(MSPTasks[[#Headers],[ID]])))="",TRUE()),"",INDEX(tsk_PlanStart,(ROW()-ROW(MSPTasks[[#Headers],[ID]]))))</f>
        <v/>
      </c>
      <c r="P144" s="127" t="str">
        <f aca="false">IF(IFERROR(INDEX(tsk_Name,(ROW()-ROW(MSPTasks[[#Headers],[ID]])))="",TRUE()),"",INDEX(tsk_PlanFinish,(ROW()-ROW(MSPTasks[[#Headers],[ID]]))))</f>
        <v/>
      </c>
      <c r="Q144" s="24" t="str">
        <f aca="false">IF(IFERROR(INDEX(tsk_Name,(ROW()-ROW(MSPTasks[[#Headers],[ID]])))="",TRUE()),"",IF(INDEX(tsk_BaseDuration,(ROW()-ROW(MSPTasks[[#Headers],[ID]])))="","",N(INDEX(tsk_BaseDuration,(ROW()-ROW(MSPTasks[[#Headers],[ID]]))))&amp;"d"))</f>
        <v/>
      </c>
      <c r="R144" s="24" t="str">
        <f aca="false">IF(IFERROR(INDEX(tsk_Name,(ROW()-ROW(MSPTasks[[#Headers],[ID]])))="",TRUE()),"",IF(INDEX(tsk_BaseWork,(ROW()-ROW(MSPTasks[[#Headers],[ID]])))="","",N(INDEX(tsk_BaseWork,(ROW()-ROW(MSPTasks[[#Headers],[ID]]))))&amp;"h"))</f>
        <v/>
      </c>
      <c r="S144" s="24" t="str">
        <f aca="false">IF(IFERROR(INDEX(tsk_Name,(ROW()-ROW(MSPTasks[[#Headers],[ID]])))="",TRUE()),"",IF(INDEX(tsk_BaseCost,(ROW()-ROW(MSPTasks[[#Headers],[ID]])))="","",N(INDEX(tsk_BaseCost,(ROW()-ROW(MSPTasks[[#Headers],[ID]]))))))</f>
        <v/>
      </c>
      <c r="T144" s="24" t="str">
        <f aca="false">IF(IFERROR(INDEX(tsk_Name,(ROW()-ROW(MSPTasks[[#Headers],[ID]])))="",TRUE()),"",IF(INDEX(tsk_IsSummary,(ROW()-ROW(MSPTasks[[#Headers],[ID]]))),"",IF(N(INDEX(tsk_ActCostInput,(ROW()-ROW(MSPTasks[[#Headers],[ID]]))))=0,"",INDEX(tsk_ActCostInput,(ROW()-ROW(MSPTasks[[#Headers],[ID]]))))))</f>
        <v/>
      </c>
      <c r="U144" s="24" t="str">
        <f aca="false">IF(IFERROR(INDEX(tsk_Name,(ROW()-ROW(MSPTasks[[#Headers],[ID]])))="",TRUE()),"",IF(INDEX(tsk_IsSummary,(ROW()-ROW(MSPTasks[[#Headers],[ID]]))),"",IF(AND(INDEX(tsk_Mode,(ROW()-ROW(MSPTasks[[#Headers],[ID]])))&lt;&gt;"Manual",N(INDEX(tsk_Constraint,(ROW()-ROW(MSPTasks[[#Headers],[ID]]))))&gt;0),"Start No Earlier Than","As Soon As Possible")))</f>
        <v/>
      </c>
      <c r="V144" s="127" t="str">
        <f aca="false">IF(IFERROR(INDEX(tsk_Name,(ROW()-ROW(MSPTasks[[#Headers],[ID]])))="",TRUE()),"",IF(OR(INDEX(tsk_IsSummary,(ROW()-ROW(MSPTasks[[#Headers],[ID]]))),INDEX(tsk_Mode,(ROW()-ROW(MSPTasks[[#Headers],[ID]])))="Manual"),"",IF(N(INDEX(tsk_Constraint,(ROW()-ROW(MSPTasks[[#Headers],[ID]]))))=0,"",INDEX(tsk_Constraint,(ROW()-ROW(MSPTasks[[#Headers],[ID]]))))))</f>
        <v/>
      </c>
      <c r="W144" s="127" t="str">
        <f aca="false">IF(IFERROR(INDEX(tsk_Name,(ROW()-ROW(MSPTasks[[#Headers],[ID]])))="",TRUE()),"",IF(N(INDEX(tsk_Deadline,(ROW()-ROW(MSPTasks[[#Headers],[ID]]))))=0,"",INDEX(tsk_Deadline,(ROW()-ROW(MSPTasks[[#Headers],[ID]])))))</f>
        <v/>
      </c>
      <c r="X144" s="24" t="str">
        <f aca="false">IF(IFERROR(INDEX(tsk_Name,(ROW()-ROW(MSPTasks[[#Headers],[ID]])))="",TRUE()),"",IF(INDEX(tsk_IsSummary,(ROW()-ROW(MSPTasks[[#Headers],[ID]]))),"",INDEX(tsk_Sprint,(ROW()-ROW(MSPTasks[[#Headers],[ID]])))&amp;""))</f>
        <v/>
      </c>
      <c r="Y144" s="24" t="str">
        <f aca="false">IF(IFERROR(INDEX(tsk_Name,(ROW()-ROW(MSPTasks[[#Headers],[ID]])))="",TRUE()),"",IF(INDEX(tsk_IsSummary,(ROW()-ROW(MSPTasks[[#Headers],[ID]]))),"",IF(N(INDEX(tsk_StoryPoints,(ROW()-ROW(MSPTasks[[#Headers],[ID]]))))=0,"",INDEX(tsk_StoryPoints,(ROW()-ROW(MSPTasks[[#Headers],[ID]]))))))</f>
        <v/>
      </c>
      <c r="Z144" s="24" t="str">
        <f aca="false">IF(IFERROR(INDEX(tsk_Name,(ROW()-ROW(MSPTasks[[#Headers],[ID]])))="",TRUE()),"",INDEX(tsk_Notes,(ROW()-ROW(MSPTasks[[#Headers],[ID]])))&amp;"")</f>
        <v/>
      </c>
    </row>
    <row r="145" customFormat="false" ht="15" hidden="false" customHeight="false" outlineLevel="0" collapsed="false">
      <c r="A145" s="24" t="str">
        <f aca="false">IF(IFERROR(INDEX(tsk_Name,(ROW()-ROW(MSPTasks[[#Headers],[ID]])))="",TRUE()),"",INDEX(tsk_ID,(ROW()-ROW(MSPTasks[[#Headers],[ID]]))))</f>
        <v/>
      </c>
      <c r="B145" s="24" t="str">
        <f aca="false">IF(IFERROR(INDEX(tsk_Name,(ROW()-ROW(MSPTasks[[#Headers],[ID]])))="",TRUE()),"",INDEX(tsk_UID,(ROW()-ROW(MSPTasks[[#Headers],[ID]]))))</f>
        <v/>
      </c>
      <c r="C145" s="24" t="str">
        <f aca="false">IF(IFERROR(INDEX(tsk_Name,(ROW()-ROW(MSPTasks[[#Headers],[ID]])))="",TRUE()),"",INDEX(tsk_Name,(ROW()-ROW(MSPTasks[[#Headers],[ID]]))))</f>
        <v/>
      </c>
      <c r="D145" s="24" t="str">
        <f aca="false">IF(IFERROR(INDEX(tsk_Name,(ROW()-ROW(MSPTasks[[#Headers],[ID]])))="",TRUE()),"",INDEX(tsk_Level,(ROW()-ROW(MSPTasks[[#Headers],[ID]]))))</f>
        <v/>
      </c>
      <c r="E145" s="24" t="str">
        <f aca="false">IF(IFERROR(INDEX(tsk_Name,(ROW()-ROW(MSPTasks[[#Headers],[ID]])))="",TRUE()),"",IF(INDEX(tsk_Mode,(ROW()-ROW(MSPTasks[[#Headers],[ID]])))="Manual","Manually Scheduled","Auto Scheduled"))</f>
        <v/>
      </c>
      <c r="F145" s="24" t="str">
        <f aca="false">IF(IFERROR(INDEX(tsk_Name,(ROW()-ROW(MSPTasks[[#Headers],[ID]])))="",TRUE()),"",IF(INDEX(tsk_IsSummary,(ROW()-ROW(MSPTasks[[#Headers],[ID]]))),"",N(INDEX(tsk_Duration,(ROW()-ROW(MSPTasks[[#Headers],[ID]]))))&amp;"d"))</f>
        <v/>
      </c>
      <c r="G145" s="127" t="str">
        <f aca="false">IF(IFERROR(INDEX(tsk_Name,(ROW()-ROW(MSPTasks[[#Headers],[ID]])))="",TRUE()),"",INDEX(tsk_FcStart,(ROW()-ROW(MSPTasks[[#Headers],[ID]]))))</f>
        <v/>
      </c>
      <c r="H145" s="127" t="str">
        <f aca="false">IF(IFERROR(INDEX(tsk_Name,(ROW()-ROW(MSPTasks[[#Headers],[ID]])))="",TRUE()),"",INDEX(tsk_FcFinish,(ROW()-ROW(MSPTasks[[#Headers],[ID]]))))</f>
        <v/>
      </c>
      <c r="I145" s="24" t="str">
        <f aca="false">IF(IFERROR(INDEX(tsk_Name,(ROW()-ROW(MSPTasks[[#Headers],[ID]])))="",TRUE()),"",IF(INDEX(tsk_IsSummary,(ROW()-ROW(MSPTasks[[#Headers],[ID]]))),"",INDEX(tsk_Predecessors,(ROW()-ROW(MSPTasks[[#Headers],[ID]])))))</f>
        <v/>
      </c>
      <c r="J145" s="24" t="str">
        <f aca="false">IF(IFERROR(INDEX(tsk_Name,(ROW()-ROW(MSPTasks[[#Headers],[ID]])))="",TRUE()),"",IF(INDEX(tsk_IsSummary,(ROW()-ROW(MSPTasks[[#Headers],[ID]]))),"",INDEX(tsk_UIDPredecessors,(ROW()-ROW(MSPTasks[[#Headers],[ID]])))))</f>
        <v/>
      </c>
      <c r="K14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5" s="24" t="str">
        <f aca="false">IF(IFERROR(INDEX(tsk_Name,(ROW()-ROW(MSPTasks[[#Headers],[ID]])))="",TRUE()),"",IF(INDEX(tsk_IsSummary,(ROW()-ROW(MSPTasks[[#Headers],[ID]]))),"",ROUND(INDEX(tsk_Progress,(ROW()-ROW(MSPTasks[[#Headers],[ID]])))*100,0)))</f>
        <v/>
      </c>
      <c r="M145" s="127" t="str">
        <f aca="false">IF(IFERROR(INDEX(tsk_Name,(ROW()-ROW(MSPTasks[[#Headers],[ID]])))="",TRUE()),"",IF(N(INDEX(tsk_ActStart,(ROW()-ROW(MSPTasks[[#Headers],[ID]]))))=0,"",INDEX(tsk_ActStart,(ROW()-ROW(MSPTasks[[#Headers],[ID]])))))</f>
        <v/>
      </c>
      <c r="N145" s="127" t="str">
        <f aca="false">IF(IFERROR(INDEX(tsk_Name,(ROW()-ROW(MSPTasks[[#Headers],[ID]])))="",TRUE()),"",IF(N(INDEX(tsk_ActFinish,(ROW()-ROW(MSPTasks[[#Headers],[ID]]))))=0,"",INDEX(tsk_ActFinish,(ROW()-ROW(MSPTasks[[#Headers],[ID]])))))</f>
        <v/>
      </c>
      <c r="O145" s="127" t="str">
        <f aca="false">IF(IFERROR(INDEX(tsk_Name,(ROW()-ROW(MSPTasks[[#Headers],[ID]])))="",TRUE()),"",INDEX(tsk_PlanStart,(ROW()-ROW(MSPTasks[[#Headers],[ID]]))))</f>
        <v/>
      </c>
      <c r="P145" s="127" t="str">
        <f aca="false">IF(IFERROR(INDEX(tsk_Name,(ROW()-ROW(MSPTasks[[#Headers],[ID]])))="",TRUE()),"",INDEX(tsk_PlanFinish,(ROW()-ROW(MSPTasks[[#Headers],[ID]]))))</f>
        <v/>
      </c>
      <c r="Q145" s="24" t="str">
        <f aca="false">IF(IFERROR(INDEX(tsk_Name,(ROW()-ROW(MSPTasks[[#Headers],[ID]])))="",TRUE()),"",IF(INDEX(tsk_BaseDuration,(ROW()-ROW(MSPTasks[[#Headers],[ID]])))="","",N(INDEX(tsk_BaseDuration,(ROW()-ROW(MSPTasks[[#Headers],[ID]]))))&amp;"d"))</f>
        <v/>
      </c>
      <c r="R145" s="24" t="str">
        <f aca="false">IF(IFERROR(INDEX(tsk_Name,(ROW()-ROW(MSPTasks[[#Headers],[ID]])))="",TRUE()),"",IF(INDEX(tsk_BaseWork,(ROW()-ROW(MSPTasks[[#Headers],[ID]])))="","",N(INDEX(tsk_BaseWork,(ROW()-ROW(MSPTasks[[#Headers],[ID]]))))&amp;"h"))</f>
        <v/>
      </c>
      <c r="S145" s="24" t="str">
        <f aca="false">IF(IFERROR(INDEX(tsk_Name,(ROW()-ROW(MSPTasks[[#Headers],[ID]])))="",TRUE()),"",IF(INDEX(tsk_BaseCost,(ROW()-ROW(MSPTasks[[#Headers],[ID]])))="","",N(INDEX(tsk_BaseCost,(ROW()-ROW(MSPTasks[[#Headers],[ID]]))))))</f>
        <v/>
      </c>
      <c r="T145" s="24" t="str">
        <f aca="false">IF(IFERROR(INDEX(tsk_Name,(ROW()-ROW(MSPTasks[[#Headers],[ID]])))="",TRUE()),"",IF(INDEX(tsk_IsSummary,(ROW()-ROW(MSPTasks[[#Headers],[ID]]))),"",IF(N(INDEX(tsk_ActCostInput,(ROW()-ROW(MSPTasks[[#Headers],[ID]]))))=0,"",INDEX(tsk_ActCostInput,(ROW()-ROW(MSPTasks[[#Headers],[ID]]))))))</f>
        <v/>
      </c>
      <c r="U145" s="24" t="str">
        <f aca="false">IF(IFERROR(INDEX(tsk_Name,(ROW()-ROW(MSPTasks[[#Headers],[ID]])))="",TRUE()),"",IF(INDEX(tsk_IsSummary,(ROW()-ROW(MSPTasks[[#Headers],[ID]]))),"",IF(AND(INDEX(tsk_Mode,(ROW()-ROW(MSPTasks[[#Headers],[ID]])))&lt;&gt;"Manual",N(INDEX(tsk_Constraint,(ROW()-ROW(MSPTasks[[#Headers],[ID]]))))&gt;0),"Start No Earlier Than","As Soon As Possible")))</f>
        <v/>
      </c>
      <c r="V145" s="127" t="str">
        <f aca="false">IF(IFERROR(INDEX(tsk_Name,(ROW()-ROW(MSPTasks[[#Headers],[ID]])))="",TRUE()),"",IF(OR(INDEX(tsk_IsSummary,(ROW()-ROW(MSPTasks[[#Headers],[ID]]))),INDEX(tsk_Mode,(ROW()-ROW(MSPTasks[[#Headers],[ID]])))="Manual"),"",IF(N(INDEX(tsk_Constraint,(ROW()-ROW(MSPTasks[[#Headers],[ID]]))))=0,"",INDEX(tsk_Constraint,(ROW()-ROW(MSPTasks[[#Headers],[ID]]))))))</f>
        <v/>
      </c>
      <c r="W145" s="127" t="str">
        <f aca="false">IF(IFERROR(INDEX(tsk_Name,(ROW()-ROW(MSPTasks[[#Headers],[ID]])))="",TRUE()),"",IF(N(INDEX(tsk_Deadline,(ROW()-ROW(MSPTasks[[#Headers],[ID]]))))=0,"",INDEX(tsk_Deadline,(ROW()-ROW(MSPTasks[[#Headers],[ID]])))))</f>
        <v/>
      </c>
      <c r="X145" s="24" t="str">
        <f aca="false">IF(IFERROR(INDEX(tsk_Name,(ROW()-ROW(MSPTasks[[#Headers],[ID]])))="",TRUE()),"",IF(INDEX(tsk_IsSummary,(ROW()-ROW(MSPTasks[[#Headers],[ID]]))),"",INDEX(tsk_Sprint,(ROW()-ROW(MSPTasks[[#Headers],[ID]])))&amp;""))</f>
        <v/>
      </c>
      <c r="Y145" s="24" t="str">
        <f aca="false">IF(IFERROR(INDEX(tsk_Name,(ROW()-ROW(MSPTasks[[#Headers],[ID]])))="",TRUE()),"",IF(INDEX(tsk_IsSummary,(ROW()-ROW(MSPTasks[[#Headers],[ID]]))),"",IF(N(INDEX(tsk_StoryPoints,(ROW()-ROW(MSPTasks[[#Headers],[ID]]))))=0,"",INDEX(tsk_StoryPoints,(ROW()-ROW(MSPTasks[[#Headers],[ID]]))))))</f>
        <v/>
      </c>
      <c r="Z145" s="24" t="str">
        <f aca="false">IF(IFERROR(INDEX(tsk_Name,(ROW()-ROW(MSPTasks[[#Headers],[ID]])))="",TRUE()),"",INDEX(tsk_Notes,(ROW()-ROW(MSPTasks[[#Headers],[ID]])))&amp;"")</f>
        <v/>
      </c>
    </row>
    <row r="146" customFormat="false" ht="15" hidden="false" customHeight="false" outlineLevel="0" collapsed="false">
      <c r="A146" s="24" t="str">
        <f aca="false">IF(IFERROR(INDEX(tsk_Name,(ROW()-ROW(MSPTasks[[#Headers],[ID]])))="",TRUE()),"",INDEX(tsk_ID,(ROW()-ROW(MSPTasks[[#Headers],[ID]]))))</f>
        <v/>
      </c>
      <c r="B146" s="24" t="str">
        <f aca="false">IF(IFERROR(INDEX(tsk_Name,(ROW()-ROW(MSPTasks[[#Headers],[ID]])))="",TRUE()),"",INDEX(tsk_UID,(ROW()-ROW(MSPTasks[[#Headers],[ID]]))))</f>
        <v/>
      </c>
      <c r="C146" s="24" t="str">
        <f aca="false">IF(IFERROR(INDEX(tsk_Name,(ROW()-ROW(MSPTasks[[#Headers],[ID]])))="",TRUE()),"",INDEX(tsk_Name,(ROW()-ROW(MSPTasks[[#Headers],[ID]]))))</f>
        <v/>
      </c>
      <c r="D146" s="24" t="str">
        <f aca="false">IF(IFERROR(INDEX(tsk_Name,(ROW()-ROW(MSPTasks[[#Headers],[ID]])))="",TRUE()),"",INDEX(tsk_Level,(ROW()-ROW(MSPTasks[[#Headers],[ID]]))))</f>
        <v/>
      </c>
      <c r="E146" s="24" t="str">
        <f aca="false">IF(IFERROR(INDEX(tsk_Name,(ROW()-ROW(MSPTasks[[#Headers],[ID]])))="",TRUE()),"",IF(INDEX(tsk_Mode,(ROW()-ROW(MSPTasks[[#Headers],[ID]])))="Manual","Manually Scheduled","Auto Scheduled"))</f>
        <v/>
      </c>
      <c r="F146" s="24" t="str">
        <f aca="false">IF(IFERROR(INDEX(tsk_Name,(ROW()-ROW(MSPTasks[[#Headers],[ID]])))="",TRUE()),"",IF(INDEX(tsk_IsSummary,(ROW()-ROW(MSPTasks[[#Headers],[ID]]))),"",N(INDEX(tsk_Duration,(ROW()-ROW(MSPTasks[[#Headers],[ID]]))))&amp;"d"))</f>
        <v/>
      </c>
      <c r="G146" s="127" t="str">
        <f aca="false">IF(IFERROR(INDEX(tsk_Name,(ROW()-ROW(MSPTasks[[#Headers],[ID]])))="",TRUE()),"",INDEX(tsk_FcStart,(ROW()-ROW(MSPTasks[[#Headers],[ID]]))))</f>
        <v/>
      </c>
      <c r="H146" s="127" t="str">
        <f aca="false">IF(IFERROR(INDEX(tsk_Name,(ROW()-ROW(MSPTasks[[#Headers],[ID]])))="",TRUE()),"",INDEX(tsk_FcFinish,(ROW()-ROW(MSPTasks[[#Headers],[ID]]))))</f>
        <v/>
      </c>
      <c r="I146" s="24" t="str">
        <f aca="false">IF(IFERROR(INDEX(tsk_Name,(ROW()-ROW(MSPTasks[[#Headers],[ID]])))="",TRUE()),"",IF(INDEX(tsk_IsSummary,(ROW()-ROW(MSPTasks[[#Headers],[ID]]))),"",INDEX(tsk_Predecessors,(ROW()-ROW(MSPTasks[[#Headers],[ID]])))))</f>
        <v/>
      </c>
      <c r="J146" s="24" t="str">
        <f aca="false">IF(IFERROR(INDEX(tsk_Name,(ROW()-ROW(MSPTasks[[#Headers],[ID]])))="",TRUE()),"",IF(INDEX(tsk_IsSummary,(ROW()-ROW(MSPTasks[[#Headers],[ID]]))),"",INDEX(tsk_UIDPredecessors,(ROW()-ROW(MSPTasks[[#Headers],[ID]])))))</f>
        <v/>
      </c>
      <c r="K14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6" s="24" t="str">
        <f aca="false">IF(IFERROR(INDEX(tsk_Name,(ROW()-ROW(MSPTasks[[#Headers],[ID]])))="",TRUE()),"",IF(INDEX(tsk_IsSummary,(ROW()-ROW(MSPTasks[[#Headers],[ID]]))),"",ROUND(INDEX(tsk_Progress,(ROW()-ROW(MSPTasks[[#Headers],[ID]])))*100,0)))</f>
        <v/>
      </c>
      <c r="M146" s="127" t="str">
        <f aca="false">IF(IFERROR(INDEX(tsk_Name,(ROW()-ROW(MSPTasks[[#Headers],[ID]])))="",TRUE()),"",IF(N(INDEX(tsk_ActStart,(ROW()-ROW(MSPTasks[[#Headers],[ID]]))))=0,"",INDEX(tsk_ActStart,(ROW()-ROW(MSPTasks[[#Headers],[ID]])))))</f>
        <v/>
      </c>
      <c r="N146" s="127" t="str">
        <f aca="false">IF(IFERROR(INDEX(tsk_Name,(ROW()-ROW(MSPTasks[[#Headers],[ID]])))="",TRUE()),"",IF(N(INDEX(tsk_ActFinish,(ROW()-ROW(MSPTasks[[#Headers],[ID]]))))=0,"",INDEX(tsk_ActFinish,(ROW()-ROW(MSPTasks[[#Headers],[ID]])))))</f>
        <v/>
      </c>
      <c r="O146" s="127" t="str">
        <f aca="false">IF(IFERROR(INDEX(tsk_Name,(ROW()-ROW(MSPTasks[[#Headers],[ID]])))="",TRUE()),"",INDEX(tsk_PlanStart,(ROW()-ROW(MSPTasks[[#Headers],[ID]]))))</f>
        <v/>
      </c>
      <c r="P146" s="127" t="str">
        <f aca="false">IF(IFERROR(INDEX(tsk_Name,(ROW()-ROW(MSPTasks[[#Headers],[ID]])))="",TRUE()),"",INDEX(tsk_PlanFinish,(ROW()-ROW(MSPTasks[[#Headers],[ID]]))))</f>
        <v/>
      </c>
      <c r="Q146" s="24" t="str">
        <f aca="false">IF(IFERROR(INDEX(tsk_Name,(ROW()-ROW(MSPTasks[[#Headers],[ID]])))="",TRUE()),"",IF(INDEX(tsk_BaseDuration,(ROW()-ROW(MSPTasks[[#Headers],[ID]])))="","",N(INDEX(tsk_BaseDuration,(ROW()-ROW(MSPTasks[[#Headers],[ID]]))))&amp;"d"))</f>
        <v/>
      </c>
      <c r="R146" s="24" t="str">
        <f aca="false">IF(IFERROR(INDEX(tsk_Name,(ROW()-ROW(MSPTasks[[#Headers],[ID]])))="",TRUE()),"",IF(INDEX(tsk_BaseWork,(ROW()-ROW(MSPTasks[[#Headers],[ID]])))="","",N(INDEX(tsk_BaseWork,(ROW()-ROW(MSPTasks[[#Headers],[ID]]))))&amp;"h"))</f>
        <v/>
      </c>
      <c r="S146" s="24" t="str">
        <f aca="false">IF(IFERROR(INDEX(tsk_Name,(ROW()-ROW(MSPTasks[[#Headers],[ID]])))="",TRUE()),"",IF(INDEX(tsk_BaseCost,(ROW()-ROW(MSPTasks[[#Headers],[ID]])))="","",N(INDEX(tsk_BaseCost,(ROW()-ROW(MSPTasks[[#Headers],[ID]]))))))</f>
        <v/>
      </c>
      <c r="T146" s="24" t="str">
        <f aca="false">IF(IFERROR(INDEX(tsk_Name,(ROW()-ROW(MSPTasks[[#Headers],[ID]])))="",TRUE()),"",IF(INDEX(tsk_IsSummary,(ROW()-ROW(MSPTasks[[#Headers],[ID]]))),"",IF(N(INDEX(tsk_ActCostInput,(ROW()-ROW(MSPTasks[[#Headers],[ID]]))))=0,"",INDEX(tsk_ActCostInput,(ROW()-ROW(MSPTasks[[#Headers],[ID]]))))))</f>
        <v/>
      </c>
      <c r="U146" s="24" t="str">
        <f aca="false">IF(IFERROR(INDEX(tsk_Name,(ROW()-ROW(MSPTasks[[#Headers],[ID]])))="",TRUE()),"",IF(INDEX(tsk_IsSummary,(ROW()-ROW(MSPTasks[[#Headers],[ID]]))),"",IF(AND(INDEX(tsk_Mode,(ROW()-ROW(MSPTasks[[#Headers],[ID]])))&lt;&gt;"Manual",N(INDEX(tsk_Constraint,(ROW()-ROW(MSPTasks[[#Headers],[ID]]))))&gt;0),"Start No Earlier Than","As Soon As Possible")))</f>
        <v/>
      </c>
      <c r="V146" s="127" t="str">
        <f aca="false">IF(IFERROR(INDEX(tsk_Name,(ROW()-ROW(MSPTasks[[#Headers],[ID]])))="",TRUE()),"",IF(OR(INDEX(tsk_IsSummary,(ROW()-ROW(MSPTasks[[#Headers],[ID]]))),INDEX(tsk_Mode,(ROW()-ROW(MSPTasks[[#Headers],[ID]])))="Manual"),"",IF(N(INDEX(tsk_Constraint,(ROW()-ROW(MSPTasks[[#Headers],[ID]]))))=0,"",INDEX(tsk_Constraint,(ROW()-ROW(MSPTasks[[#Headers],[ID]]))))))</f>
        <v/>
      </c>
      <c r="W146" s="127" t="str">
        <f aca="false">IF(IFERROR(INDEX(tsk_Name,(ROW()-ROW(MSPTasks[[#Headers],[ID]])))="",TRUE()),"",IF(N(INDEX(tsk_Deadline,(ROW()-ROW(MSPTasks[[#Headers],[ID]]))))=0,"",INDEX(tsk_Deadline,(ROW()-ROW(MSPTasks[[#Headers],[ID]])))))</f>
        <v/>
      </c>
      <c r="X146" s="24" t="str">
        <f aca="false">IF(IFERROR(INDEX(tsk_Name,(ROW()-ROW(MSPTasks[[#Headers],[ID]])))="",TRUE()),"",IF(INDEX(tsk_IsSummary,(ROW()-ROW(MSPTasks[[#Headers],[ID]]))),"",INDEX(tsk_Sprint,(ROW()-ROW(MSPTasks[[#Headers],[ID]])))&amp;""))</f>
        <v/>
      </c>
      <c r="Y146" s="24" t="str">
        <f aca="false">IF(IFERROR(INDEX(tsk_Name,(ROW()-ROW(MSPTasks[[#Headers],[ID]])))="",TRUE()),"",IF(INDEX(tsk_IsSummary,(ROW()-ROW(MSPTasks[[#Headers],[ID]]))),"",IF(N(INDEX(tsk_StoryPoints,(ROW()-ROW(MSPTasks[[#Headers],[ID]]))))=0,"",INDEX(tsk_StoryPoints,(ROW()-ROW(MSPTasks[[#Headers],[ID]]))))))</f>
        <v/>
      </c>
      <c r="Z146" s="24" t="str">
        <f aca="false">IF(IFERROR(INDEX(tsk_Name,(ROW()-ROW(MSPTasks[[#Headers],[ID]])))="",TRUE()),"",INDEX(tsk_Notes,(ROW()-ROW(MSPTasks[[#Headers],[ID]])))&amp;"")</f>
        <v/>
      </c>
    </row>
    <row r="147" customFormat="false" ht="15" hidden="false" customHeight="false" outlineLevel="0" collapsed="false">
      <c r="A147" s="24" t="str">
        <f aca="false">IF(IFERROR(INDEX(tsk_Name,(ROW()-ROW(MSPTasks[[#Headers],[ID]])))="",TRUE()),"",INDEX(tsk_ID,(ROW()-ROW(MSPTasks[[#Headers],[ID]]))))</f>
        <v/>
      </c>
      <c r="B147" s="24" t="str">
        <f aca="false">IF(IFERROR(INDEX(tsk_Name,(ROW()-ROW(MSPTasks[[#Headers],[ID]])))="",TRUE()),"",INDEX(tsk_UID,(ROW()-ROW(MSPTasks[[#Headers],[ID]]))))</f>
        <v/>
      </c>
      <c r="C147" s="24" t="str">
        <f aca="false">IF(IFERROR(INDEX(tsk_Name,(ROW()-ROW(MSPTasks[[#Headers],[ID]])))="",TRUE()),"",INDEX(tsk_Name,(ROW()-ROW(MSPTasks[[#Headers],[ID]]))))</f>
        <v/>
      </c>
      <c r="D147" s="24" t="str">
        <f aca="false">IF(IFERROR(INDEX(tsk_Name,(ROW()-ROW(MSPTasks[[#Headers],[ID]])))="",TRUE()),"",INDEX(tsk_Level,(ROW()-ROW(MSPTasks[[#Headers],[ID]]))))</f>
        <v/>
      </c>
      <c r="E147" s="24" t="str">
        <f aca="false">IF(IFERROR(INDEX(tsk_Name,(ROW()-ROW(MSPTasks[[#Headers],[ID]])))="",TRUE()),"",IF(INDEX(tsk_Mode,(ROW()-ROW(MSPTasks[[#Headers],[ID]])))="Manual","Manually Scheduled","Auto Scheduled"))</f>
        <v/>
      </c>
      <c r="F147" s="24" t="str">
        <f aca="false">IF(IFERROR(INDEX(tsk_Name,(ROW()-ROW(MSPTasks[[#Headers],[ID]])))="",TRUE()),"",IF(INDEX(tsk_IsSummary,(ROW()-ROW(MSPTasks[[#Headers],[ID]]))),"",N(INDEX(tsk_Duration,(ROW()-ROW(MSPTasks[[#Headers],[ID]]))))&amp;"d"))</f>
        <v/>
      </c>
      <c r="G147" s="127" t="str">
        <f aca="false">IF(IFERROR(INDEX(tsk_Name,(ROW()-ROW(MSPTasks[[#Headers],[ID]])))="",TRUE()),"",INDEX(tsk_FcStart,(ROW()-ROW(MSPTasks[[#Headers],[ID]]))))</f>
        <v/>
      </c>
      <c r="H147" s="127" t="str">
        <f aca="false">IF(IFERROR(INDEX(tsk_Name,(ROW()-ROW(MSPTasks[[#Headers],[ID]])))="",TRUE()),"",INDEX(tsk_FcFinish,(ROW()-ROW(MSPTasks[[#Headers],[ID]]))))</f>
        <v/>
      </c>
      <c r="I147" s="24" t="str">
        <f aca="false">IF(IFERROR(INDEX(tsk_Name,(ROW()-ROW(MSPTasks[[#Headers],[ID]])))="",TRUE()),"",IF(INDEX(tsk_IsSummary,(ROW()-ROW(MSPTasks[[#Headers],[ID]]))),"",INDEX(tsk_Predecessors,(ROW()-ROW(MSPTasks[[#Headers],[ID]])))))</f>
        <v/>
      </c>
      <c r="J147" s="24" t="str">
        <f aca="false">IF(IFERROR(INDEX(tsk_Name,(ROW()-ROW(MSPTasks[[#Headers],[ID]])))="",TRUE()),"",IF(INDEX(tsk_IsSummary,(ROW()-ROW(MSPTasks[[#Headers],[ID]]))),"",INDEX(tsk_UIDPredecessors,(ROW()-ROW(MSPTasks[[#Headers],[ID]])))))</f>
        <v/>
      </c>
      <c r="K14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7" s="24" t="str">
        <f aca="false">IF(IFERROR(INDEX(tsk_Name,(ROW()-ROW(MSPTasks[[#Headers],[ID]])))="",TRUE()),"",IF(INDEX(tsk_IsSummary,(ROW()-ROW(MSPTasks[[#Headers],[ID]]))),"",ROUND(INDEX(tsk_Progress,(ROW()-ROW(MSPTasks[[#Headers],[ID]])))*100,0)))</f>
        <v/>
      </c>
      <c r="M147" s="127" t="str">
        <f aca="false">IF(IFERROR(INDEX(tsk_Name,(ROW()-ROW(MSPTasks[[#Headers],[ID]])))="",TRUE()),"",IF(N(INDEX(tsk_ActStart,(ROW()-ROW(MSPTasks[[#Headers],[ID]]))))=0,"",INDEX(tsk_ActStart,(ROW()-ROW(MSPTasks[[#Headers],[ID]])))))</f>
        <v/>
      </c>
      <c r="N147" s="127" t="str">
        <f aca="false">IF(IFERROR(INDEX(tsk_Name,(ROW()-ROW(MSPTasks[[#Headers],[ID]])))="",TRUE()),"",IF(N(INDEX(tsk_ActFinish,(ROW()-ROW(MSPTasks[[#Headers],[ID]]))))=0,"",INDEX(tsk_ActFinish,(ROW()-ROW(MSPTasks[[#Headers],[ID]])))))</f>
        <v/>
      </c>
      <c r="O147" s="127" t="str">
        <f aca="false">IF(IFERROR(INDEX(tsk_Name,(ROW()-ROW(MSPTasks[[#Headers],[ID]])))="",TRUE()),"",INDEX(tsk_PlanStart,(ROW()-ROW(MSPTasks[[#Headers],[ID]]))))</f>
        <v/>
      </c>
      <c r="P147" s="127" t="str">
        <f aca="false">IF(IFERROR(INDEX(tsk_Name,(ROW()-ROW(MSPTasks[[#Headers],[ID]])))="",TRUE()),"",INDEX(tsk_PlanFinish,(ROW()-ROW(MSPTasks[[#Headers],[ID]]))))</f>
        <v/>
      </c>
      <c r="Q147" s="24" t="str">
        <f aca="false">IF(IFERROR(INDEX(tsk_Name,(ROW()-ROW(MSPTasks[[#Headers],[ID]])))="",TRUE()),"",IF(INDEX(tsk_BaseDuration,(ROW()-ROW(MSPTasks[[#Headers],[ID]])))="","",N(INDEX(tsk_BaseDuration,(ROW()-ROW(MSPTasks[[#Headers],[ID]]))))&amp;"d"))</f>
        <v/>
      </c>
      <c r="R147" s="24" t="str">
        <f aca="false">IF(IFERROR(INDEX(tsk_Name,(ROW()-ROW(MSPTasks[[#Headers],[ID]])))="",TRUE()),"",IF(INDEX(tsk_BaseWork,(ROW()-ROW(MSPTasks[[#Headers],[ID]])))="","",N(INDEX(tsk_BaseWork,(ROW()-ROW(MSPTasks[[#Headers],[ID]]))))&amp;"h"))</f>
        <v/>
      </c>
      <c r="S147" s="24" t="str">
        <f aca="false">IF(IFERROR(INDEX(tsk_Name,(ROW()-ROW(MSPTasks[[#Headers],[ID]])))="",TRUE()),"",IF(INDEX(tsk_BaseCost,(ROW()-ROW(MSPTasks[[#Headers],[ID]])))="","",N(INDEX(tsk_BaseCost,(ROW()-ROW(MSPTasks[[#Headers],[ID]]))))))</f>
        <v/>
      </c>
      <c r="T147" s="24" t="str">
        <f aca="false">IF(IFERROR(INDEX(tsk_Name,(ROW()-ROW(MSPTasks[[#Headers],[ID]])))="",TRUE()),"",IF(INDEX(tsk_IsSummary,(ROW()-ROW(MSPTasks[[#Headers],[ID]]))),"",IF(N(INDEX(tsk_ActCostInput,(ROW()-ROW(MSPTasks[[#Headers],[ID]]))))=0,"",INDEX(tsk_ActCostInput,(ROW()-ROW(MSPTasks[[#Headers],[ID]]))))))</f>
        <v/>
      </c>
      <c r="U147" s="24" t="str">
        <f aca="false">IF(IFERROR(INDEX(tsk_Name,(ROW()-ROW(MSPTasks[[#Headers],[ID]])))="",TRUE()),"",IF(INDEX(tsk_IsSummary,(ROW()-ROW(MSPTasks[[#Headers],[ID]]))),"",IF(AND(INDEX(tsk_Mode,(ROW()-ROW(MSPTasks[[#Headers],[ID]])))&lt;&gt;"Manual",N(INDEX(tsk_Constraint,(ROW()-ROW(MSPTasks[[#Headers],[ID]]))))&gt;0),"Start No Earlier Than","As Soon As Possible")))</f>
        <v/>
      </c>
      <c r="V147" s="127" t="str">
        <f aca="false">IF(IFERROR(INDEX(tsk_Name,(ROW()-ROW(MSPTasks[[#Headers],[ID]])))="",TRUE()),"",IF(OR(INDEX(tsk_IsSummary,(ROW()-ROW(MSPTasks[[#Headers],[ID]]))),INDEX(tsk_Mode,(ROW()-ROW(MSPTasks[[#Headers],[ID]])))="Manual"),"",IF(N(INDEX(tsk_Constraint,(ROW()-ROW(MSPTasks[[#Headers],[ID]]))))=0,"",INDEX(tsk_Constraint,(ROW()-ROW(MSPTasks[[#Headers],[ID]]))))))</f>
        <v/>
      </c>
      <c r="W147" s="127" t="str">
        <f aca="false">IF(IFERROR(INDEX(tsk_Name,(ROW()-ROW(MSPTasks[[#Headers],[ID]])))="",TRUE()),"",IF(N(INDEX(tsk_Deadline,(ROW()-ROW(MSPTasks[[#Headers],[ID]]))))=0,"",INDEX(tsk_Deadline,(ROW()-ROW(MSPTasks[[#Headers],[ID]])))))</f>
        <v/>
      </c>
      <c r="X147" s="24" t="str">
        <f aca="false">IF(IFERROR(INDEX(tsk_Name,(ROW()-ROW(MSPTasks[[#Headers],[ID]])))="",TRUE()),"",IF(INDEX(tsk_IsSummary,(ROW()-ROW(MSPTasks[[#Headers],[ID]]))),"",INDEX(tsk_Sprint,(ROW()-ROW(MSPTasks[[#Headers],[ID]])))&amp;""))</f>
        <v/>
      </c>
      <c r="Y147" s="24" t="str">
        <f aca="false">IF(IFERROR(INDEX(tsk_Name,(ROW()-ROW(MSPTasks[[#Headers],[ID]])))="",TRUE()),"",IF(INDEX(tsk_IsSummary,(ROW()-ROW(MSPTasks[[#Headers],[ID]]))),"",IF(N(INDEX(tsk_StoryPoints,(ROW()-ROW(MSPTasks[[#Headers],[ID]]))))=0,"",INDEX(tsk_StoryPoints,(ROW()-ROW(MSPTasks[[#Headers],[ID]]))))))</f>
        <v/>
      </c>
      <c r="Z147" s="24" t="str">
        <f aca="false">IF(IFERROR(INDEX(tsk_Name,(ROW()-ROW(MSPTasks[[#Headers],[ID]])))="",TRUE()),"",INDEX(tsk_Notes,(ROW()-ROW(MSPTasks[[#Headers],[ID]])))&amp;"")</f>
        <v/>
      </c>
    </row>
    <row r="148" customFormat="false" ht="15" hidden="false" customHeight="false" outlineLevel="0" collapsed="false">
      <c r="A148" s="24" t="str">
        <f aca="false">IF(IFERROR(INDEX(tsk_Name,(ROW()-ROW(MSPTasks[[#Headers],[ID]])))="",TRUE()),"",INDEX(tsk_ID,(ROW()-ROW(MSPTasks[[#Headers],[ID]]))))</f>
        <v/>
      </c>
      <c r="B148" s="24" t="str">
        <f aca="false">IF(IFERROR(INDEX(tsk_Name,(ROW()-ROW(MSPTasks[[#Headers],[ID]])))="",TRUE()),"",INDEX(tsk_UID,(ROW()-ROW(MSPTasks[[#Headers],[ID]]))))</f>
        <v/>
      </c>
      <c r="C148" s="24" t="str">
        <f aca="false">IF(IFERROR(INDEX(tsk_Name,(ROW()-ROW(MSPTasks[[#Headers],[ID]])))="",TRUE()),"",INDEX(tsk_Name,(ROW()-ROW(MSPTasks[[#Headers],[ID]]))))</f>
        <v/>
      </c>
      <c r="D148" s="24" t="str">
        <f aca="false">IF(IFERROR(INDEX(tsk_Name,(ROW()-ROW(MSPTasks[[#Headers],[ID]])))="",TRUE()),"",INDEX(tsk_Level,(ROW()-ROW(MSPTasks[[#Headers],[ID]]))))</f>
        <v/>
      </c>
      <c r="E148" s="24" t="str">
        <f aca="false">IF(IFERROR(INDEX(tsk_Name,(ROW()-ROW(MSPTasks[[#Headers],[ID]])))="",TRUE()),"",IF(INDEX(tsk_Mode,(ROW()-ROW(MSPTasks[[#Headers],[ID]])))="Manual","Manually Scheduled","Auto Scheduled"))</f>
        <v/>
      </c>
      <c r="F148" s="24" t="str">
        <f aca="false">IF(IFERROR(INDEX(tsk_Name,(ROW()-ROW(MSPTasks[[#Headers],[ID]])))="",TRUE()),"",IF(INDEX(tsk_IsSummary,(ROW()-ROW(MSPTasks[[#Headers],[ID]]))),"",N(INDEX(tsk_Duration,(ROW()-ROW(MSPTasks[[#Headers],[ID]]))))&amp;"d"))</f>
        <v/>
      </c>
      <c r="G148" s="127" t="str">
        <f aca="false">IF(IFERROR(INDEX(tsk_Name,(ROW()-ROW(MSPTasks[[#Headers],[ID]])))="",TRUE()),"",INDEX(tsk_FcStart,(ROW()-ROW(MSPTasks[[#Headers],[ID]]))))</f>
        <v/>
      </c>
      <c r="H148" s="127" t="str">
        <f aca="false">IF(IFERROR(INDEX(tsk_Name,(ROW()-ROW(MSPTasks[[#Headers],[ID]])))="",TRUE()),"",INDEX(tsk_FcFinish,(ROW()-ROW(MSPTasks[[#Headers],[ID]]))))</f>
        <v/>
      </c>
      <c r="I148" s="24" t="str">
        <f aca="false">IF(IFERROR(INDEX(tsk_Name,(ROW()-ROW(MSPTasks[[#Headers],[ID]])))="",TRUE()),"",IF(INDEX(tsk_IsSummary,(ROW()-ROW(MSPTasks[[#Headers],[ID]]))),"",INDEX(tsk_Predecessors,(ROW()-ROW(MSPTasks[[#Headers],[ID]])))))</f>
        <v/>
      </c>
      <c r="J148" s="24" t="str">
        <f aca="false">IF(IFERROR(INDEX(tsk_Name,(ROW()-ROW(MSPTasks[[#Headers],[ID]])))="",TRUE()),"",IF(INDEX(tsk_IsSummary,(ROW()-ROW(MSPTasks[[#Headers],[ID]]))),"",INDEX(tsk_UIDPredecessors,(ROW()-ROW(MSPTasks[[#Headers],[ID]])))))</f>
        <v/>
      </c>
      <c r="K14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8" s="24" t="str">
        <f aca="false">IF(IFERROR(INDEX(tsk_Name,(ROW()-ROW(MSPTasks[[#Headers],[ID]])))="",TRUE()),"",IF(INDEX(tsk_IsSummary,(ROW()-ROW(MSPTasks[[#Headers],[ID]]))),"",ROUND(INDEX(tsk_Progress,(ROW()-ROW(MSPTasks[[#Headers],[ID]])))*100,0)))</f>
        <v/>
      </c>
      <c r="M148" s="127" t="str">
        <f aca="false">IF(IFERROR(INDEX(tsk_Name,(ROW()-ROW(MSPTasks[[#Headers],[ID]])))="",TRUE()),"",IF(N(INDEX(tsk_ActStart,(ROW()-ROW(MSPTasks[[#Headers],[ID]]))))=0,"",INDEX(tsk_ActStart,(ROW()-ROW(MSPTasks[[#Headers],[ID]])))))</f>
        <v/>
      </c>
      <c r="N148" s="127" t="str">
        <f aca="false">IF(IFERROR(INDEX(tsk_Name,(ROW()-ROW(MSPTasks[[#Headers],[ID]])))="",TRUE()),"",IF(N(INDEX(tsk_ActFinish,(ROW()-ROW(MSPTasks[[#Headers],[ID]]))))=0,"",INDEX(tsk_ActFinish,(ROW()-ROW(MSPTasks[[#Headers],[ID]])))))</f>
        <v/>
      </c>
      <c r="O148" s="127" t="str">
        <f aca="false">IF(IFERROR(INDEX(tsk_Name,(ROW()-ROW(MSPTasks[[#Headers],[ID]])))="",TRUE()),"",INDEX(tsk_PlanStart,(ROW()-ROW(MSPTasks[[#Headers],[ID]]))))</f>
        <v/>
      </c>
      <c r="P148" s="127" t="str">
        <f aca="false">IF(IFERROR(INDEX(tsk_Name,(ROW()-ROW(MSPTasks[[#Headers],[ID]])))="",TRUE()),"",INDEX(tsk_PlanFinish,(ROW()-ROW(MSPTasks[[#Headers],[ID]]))))</f>
        <v/>
      </c>
      <c r="Q148" s="24" t="str">
        <f aca="false">IF(IFERROR(INDEX(tsk_Name,(ROW()-ROW(MSPTasks[[#Headers],[ID]])))="",TRUE()),"",IF(INDEX(tsk_BaseDuration,(ROW()-ROW(MSPTasks[[#Headers],[ID]])))="","",N(INDEX(tsk_BaseDuration,(ROW()-ROW(MSPTasks[[#Headers],[ID]]))))&amp;"d"))</f>
        <v/>
      </c>
      <c r="R148" s="24" t="str">
        <f aca="false">IF(IFERROR(INDEX(tsk_Name,(ROW()-ROW(MSPTasks[[#Headers],[ID]])))="",TRUE()),"",IF(INDEX(tsk_BaseWork,(ROW()-ROW(MSPTasks[[#Headers],[ID]])))="","",N(INDEX(tsk_BaseWork,(ROW()-ROW(MSPTasks[[#Headers],[ID]]))))&amp;"h"))</f>
        <v/>
      </c>
      <c r="S148" s="24" t="str">
        <f aca="false">IF(IFERROR(INDEX(tsk_Name,(ROW()-ROW(MSPTasks[[#Headers],[ID]])))="",TRUE()),"",IF(INDEX(tsk_BaseCost,(ROW()-ROW(MSPTasks[[#Headers],[ID]])))="","",N(INDEX(tsk_BaseCost,(ROW()-ROW(MSPTasks[[#Headers],[ID]]))))))</f>
        <v/>
      </c>
      <c r="T148" s="24" t="str">
        <f aca="false">IF(IFERROR(INDEX(tsk_Name,(ROW()-ROW(MSPTasks[[#Headers],[ID]])))="",TRUE()),"",IF(INDEX(tsk_IsSummary,(ROW()-ROW(MSPTasks[[#Headers],[ID]]))),"",IF(N(INDEX(tsk_ActCostInput,(ROW()-ROW(MSPTasks[[#Headers],[ID]]))))=0,"",INDEX(tsk_ActCostInput,(ROW()-ROW(MSPTasks[[#Headers],[ID]]))))))</f>
        <v/>
      </c>
      <c r="U148" s="24" t="str">
        <f aca="false">IF(IFERROR(INDEX(tsk_Name,(ROW()-ROW(MSPTasks[[#Headers],[ID]])))="",TRUE()),"",IF(INDEX(tsk_IsSummary,(ROW()-ROW(MSPTasks[[#Headers],[ID]]))),"",IF(AND(INDEX(tsk_Mode,(ROW()-ROW(MSPTasks[[#Headers],[ID]])))&lt;&gt;"Manual",N(INDEX(tsk_Constraint,(ROW()-ROW(MSPTasks[[#Headers],[ID]]))))&gt;0),"Start No Earlier Than","As Soon As Possible")))</f>
        <v/>
      </c>
      <c r="V148" s="127" t="str">
        <f aca="false">IF(IFERROR(INDEX(tsk_Name,(ROW()-ROW(MSPTasks[[#Headers],[ID]])))="",TRUE()),"",IF(OR(INDEX(tsk_IsSummary,(ROW()-ROW(MSPTasks[[#Headers],[ID]]))),INDEX(tsk_Mode,(ROW()-ROW(MSPTasks[[#Headers],[ID]])))="Manual"),"",IF(N(INDEX(tsk_Constraint,(ROW()-ROW(MSPTasks[[#Headers],[ID]]))))=0,"",INDEX(tsk_Constraint,(ROW()-ROW(MSPTasks[[#Headers],[ID]]))))))</f>
        <v/>
      </c>
      <c r="W148" s="127" t="str">
        <f aca="false">IF(IFERROR(INDEX(tsk_Name,(ROW()-ROW(MSPTasks[[#Headers],[ID]])))="",TRUE()),"",IF(N(INDEX(tsk_Deadline,(ROW()-ROW(MSPTasks[[#Headers],[ID]]))))=0,"",INDEX(tsk_Deadline,(ROW()-ROW(MSPTasks[[#Headers],[ID]])))))</f>
        <v/>
      </c>
      <c r="X148" s="24" t="str">
        <f aca="false">IF(IFERROR(INDEX(tsk_Name,(ROW()-ROW(MSPTasks[[#Headers],[ID]])))="",TRUE()),"",IF(INDEX(tsk_IsSummary,(ROW()-ROW(MSPTasks[[#Headers],[ID]]))),"",INDEX(tsk_Sprint,(ROW()-ROW(MSPTasks[[#Headers],[ID]])))&amp;""))</f>
        <v/>
      </c>
      <c r="Y148" s="24" t="str">
        <f aca="false">IF(IFERROR(INDEX(tsk_Name,(ROW()-ROW(MSPTasks[[#Headers],[ID]])))="",TRUE()),"",IF(INDEX(tsk_IsSummary,(ROW()-ROW(MSPTasks[[#Headers],[ID]]))),"",IF(N(INDEX(tsk_StoryPoints,(ROW()-ROW(MSPTasks[[#Headers],[ID]]))))=0,"",INDEX(tsk_StoryPoints,(ROW()-ROW(MSPTasks[[#Headers],[ID]]))))))</f>
        <v/>
      </c>
      <c r="Z148" s="24" t="str">
        <f aca="false">IF(IFERROR(INDEX(tsk_Name,(ROW()-ROW(MSPTasks[[#Headers],[ID]])))="",TRUE()),"",INDEX(tsk_Notes,(ROW()-ROW(MSPTasks[[#Headers],[ID]])))&amp;"")</f>
        <v/>
      </c>
    </row>
    <row r="149" customFormat="false" ht="15" hidden="false" customHeight="false" outlineLevel="0" collapsed="false">
      <c r="A149" s="24" t="str">
        <f aca="false">IF(IFERROR(INDEX(tsk_Name,(ROW()-ROW(MSPTasks[[#Headers],[ID]])))="",TRUE()),"",INDEX(tsk_ID,(ROW()-ROW(MSPTasks[[#Headers],[ID]]))))</f>
        <v/>
      </c>
      <c r="B149" s="24" t="str">
        <f aca="false">IF(IFERROR(INDEX(tsk_Name,(ROW()-ROW(MSPTasks[[#Headers],[ID]])))="",TRUE()),"",INDEX(tsk_UID,(ROW()-ROW(MSPTasks[[#Headers],[ID]]))))</f>
        <v/>
      </c>
      <c r="C149" s="24" t="str">
        <f aca="false">IF(IFERROR(INDEX(tsk_Name,(ROW()-ROW(MSPTasks[[#Headers],[ID]])))="",TRUE()),"",INDEX(tsk_Name,(ROW()-ROW(MSPTasks[[#Headers],[ID]]))))</f>
        <v/>
      </c>
      <c r="D149" s="24" t="str">
        <f aca="false">IF(IFERROR(INDEX(tsk_Name,(ROW()-ROW(MSPTasks[[#Headers],[ID]])))="",TRUE()),"",INDEX(tsk_Level,(ROW()-ROW(MSPTasks[[#Headers],[ID]]))))</f>
        <v/>
      </c>
      <c r="E149" s="24" t="str">
        <f aca="false">IF(IFERROR(INDEX(tsk_Name,(ROW()-ROW(MSPTasks[[#Headers],[ID]])))="",TRUE()),"",IF(INDEX(tsk_Mode,(ROW()-ROW(MSPTasks[[#Headers],[ID]])))="Manual","Manually Scheduled","Auto Scheduled"))</f>
        <v/>
      </c>
      <c r="F149" s="24" t="str">
        <f aca="false">IF(IFERROR(INDEX(tsk_Name,(ROW()-ROW(MSPTasks[[#Headers],[ID]])))="",TRUE()),"",IF(INDEX(tsk_IsSummary,(ROW()-ROW(MSPTasks[[#Headers],[ID]]))),"",N(INDEX(tsk_Duration,(ROW()-ROW(MSPTasks[[#Headers],[ID]]))))&amp;"d"))</f>
        <v/>
      </c>
      <c r="G149" s="127" t="str">
        <f aca="false">IF(IFERROR(INDEX(tsk_Name,(ROW()-ROW(MSPTasks[[#Headers],[ID]])))="",TRUE()),"",INDEX(tsk_FcStart,(ROW()-ROW(MSPTasks[[#Headers],[ID]]))))</f>
        <v/>
      </c>
      <c r="H149" s="127" t="str">
        <f aca="false">IF(IFERROR(INDEX(tsk_Name,(ROW()-ROW(MSPTasks[[#Headers],[ID]])))="",TRUE()),"",INDEX(tsk_FcFinish,(ROW()-ROW(MSPTasks[[#Headers],[ID]]))))</f>
        <v/>
      </c>
      <c r="I149" s="24" t="str">
        <f aca="false">IF(IFERROR(INDEX(tsk_Name,(ROW()-ROW(MSPTasks[[#Headers],[ID]])))="",TRUE()),"",IF(INDEX(tsk_IsSummary,(ROW()-ROW(MSPTasks[[#Headers],[ID]]))),"",INDEX(tsk_Predecessors,(ROW()-ROW(MSPTasks[[#Headers],[ID]])))))</f>
        <v/>
      </c>
      <c r="J149" s="24" t="str">
        <f aca="false">IF(IFERROR(INDEX(tsk_Name,(ROW()-ROW(MSPTasks[[#Headers],[ID]])))="",TRUE()),"",IF(INDEX(tsk_IsSummary,(ROW()-ROW(MSPTasks[[#Headers],[ID]]))),"",INDEX(tsk_UIDPredecessors,(ROW()-ROW(MSPTasks[[#Headers],[ID]])))))</f>
        <v/>
      </c>
      <c r="K14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9" s="24" t="str">
        <f aca="false">IF(IFERROR(INDEX(tsk_Name,(ROW()-ROW(MSPTasks[[#Headers],[ID]])))="",TRUE()),"",IF(INDEX(tsk_IsSummary,(ROW()-ROW(MSPTasks[[#Headers],[ID]]))),"",ROUND(INDEX(tsk_Progress,(ROW()-ROW(MSPTasks[[#Headers],[ID]])))*100,0)))</f>
        <v/>
      </c>
      <c r="M149" s="127" t="str">
        <f aca="false">IF(IFERROR(INDEX(tsk_Name,(ROW()-ROW(MSPTasks[[#Headers],[ID]])))="",TRUE()),"",IF(N(INDEX(tsk_ActStart,(ROW()-ROW(MSPTasks[[#Headers],[ID]]))))=0,"",INDEX(tsk_ActStart,(ROW()-ROW(MSPTasks[[#Headers],[ID]])))))</f>
        <v/>
      </c>
      <c r="N149" s="127" t="str">
        <f aca="false">IF(IFERROR(INDEX(tsk_Name,(ROW()-ROW(MSPTasks[[#Headers],[ID]])))="",TRUE()),"",IF(N(INDEX(tsk_ActFinish,(ROW()-ROW(MSPTasks[[#Headers],[ID]]))))=0,"",INDEX(tsk_ActFinish,(ROW()-ROW(MSPTasks[[#Headers],[ID]])))))</f>
        <v/>
      </c>
      <c r="O149" s="127" t="str">
        <f aca="false">IF(IFERROR(INDEX(tsk_Name,(ROW()-ROW(MSPTasks[[#Headers],[ID]])))="",TRUE()),"",INDEX(tsk_PlanStart,(ROW()-ROW(MSPTasks[[#Headers],[ID]]))))</f>
        <v/>
      </c>
      <c r="P149" s="127" t="str">
        <f aca="false">IF(IFERROR(INDEX(tsk_Name,(ROW()-ROW(MSPTasks[[#Headers],[ID]])))="",TRUE()),"",INDEX(tsk_PlanFinish,(ROW()-ROW(MSPTasks[[#Headers],[ID]]))))</f>
        <v/>
      </c>
      <c r="Q149" s="24" t="str">
        <f aca="false">IF(IFERROR(INDEX(tsk_Name,(ROW()-ROW(MSPTasks[[#Headers],[ID]])))="",TRUE()),"",IF(INDEX(tsk_BaseDuration,(ROW()-ROW(MSPTasks[[#Headers],[ID]])))="","",N(INDEX(tsk_BaseDuration,(ROW()-ROW(MSPTasks[[#Headers],[ID]]))))&amp;"d"))</f>
        <v/>
      </c>
      <c r="R149" s="24" t="str">
        <f aca="false">IF(IFERROR(INDEX(tsk_Name,(ROW()-ROW(MSPTasks[[#Headers],[ID]])))="",TRUE()),"",IF(INDEX(tsk_BaseWork,(ROW()-ROW(MSPTasks[[#Headers],[ID]])))="","",N(INDEX(tsk_BaseWork,(ROW()-ROW(MSPTasks[[#Headers],[ID]]))))&amp;"h"))</f>
        <v/>
      </c>
      <c r="S149" s="24" t="str">
        <f aca="false">IF(IFERROR(INDEX(tsk_Name,(ROW()-ROW(MSPTasks[[#Headers],[ID]])))="",TRUE()),"",IF(INDEX(tsk_BaseCost,(ROW()-ROW(MSPTasks[[#Headers],[ID]])))="","",N(INDEX(tsk_BaseCost,(ROW()-ROW(MSPTasks[[#Headers],[ID]]))))))</f>
        <v/>
      </c>
      <c r="T149" s="24" t="str">
        <f aca="false">IF(IFERROR(INDEX(tsk_Name,(ROW()-ROW(MSPTasks[[#Headers],[ID]])))="",TRUE()),"",IF(INDEX(tsk_IsSummary,(ROW()-ROW(MSPTasks[[#Headers],[ID]]))),"",IF(N(INDEX(tsk_ActCostInput,(ROW()-ROW(MSPTasks[[#Headers],[ID]]))))=0,"",INDEX(tsk_ActCostInput,(ROW()-ROW(MSPTasks[[#Headers],[ID]]))))))</f>
        <v/>
      </c>
      <c r="U149" s="24" t="str">
        <f aca="false">IF(IFERROR(INDEX(tsk_Name,(ROW()-ROW(MSPTasks[[#Headers],[ID]])))="",TRUE()),"",IF(INDEX(tsk_IsSummary,(ROW()-ROW(MSPTasks[[#Headers],[ID]]))),"",IF(AND(INDEX(tsk_Mode,(ROW()-ROW(MSPTasks[[#Headers],[ID]])))&lt;&gt;"Manual",N(INDEX(tsk_Constraint,(ROW()-ROW(MSPTasks[[#Headers],[ID]]))))&gt;0),"Start No Earlier Than","As Soon As Possible")))</f>
        <v/>
      </c>
      <c r="V149" s="127" t="str">
        <f aca="false">IF(IFERROR(INDEX(tsk_Name,(ROW()-ROW(MSPTasks[[#Headers],[ID]])))="",TRUE()),"",IF(OR(INDEX(tsk_IsSummary,(ROW()-ROW(MSPTasks[[#Headers],[ID]]))),INDEX(tsk_Mode,(ROW()-ROW(MSPTasks[[#Headers],[ID]])))="Manual"),"",IF(N(INDEX(tsk_Constraint,(ROW()-ROW(MSPTasks[[#Headers],[ID]]))))=0,"",INDEX(tsk_Constraint,(ROW()-ROW(MSPTasks[[#Headers],[ID]]))))))</f>
        <v/>
      </c>
      <c r="W149" s="127" t="str">
        <f aca="false">IF(IFERROR(INDEX(tsk_Name,(ROW()-ROW(MSPTasks[[#Headers],[ID]])))="",TRUE()),"",IF(N(INDEX(tsk_Deadline,(ROW()-ROW(MSPTasks[[#Headers],[ID]]))))=0,"",INDEX(tsk_Deadline,(ROW()-ROW(MSPTasks[[#Headers],[ID]])))))</f>
        <v/>
      </c>
      <c r="X149" s="24" t="str">
        <f aca="false">IF(IFERROR(INDEX(tsk_Name,(ROW()-ROW(MSPTasks[[#Headers],[ID]])))="",TRUE()),"",IF(INDEX(tsk_IsSummary,(ROW()-ROW(MSPTasks[[#Headers],[ID]]))),"",INDEX(tsk_Sprint,(ROW()-ROW(MSPTasks[[#Headers],[ID]])))&amp;""))</f>
        <v/>
      </c>
      <c r="Y149" s="24" t="str">
        <f aca="false">IF(IFERROR(INDEX(tsk_Name,(ROW()-ROW(MSPTasks[[#Headers],[ID]])))="",TRUE()),"",IF(INDEX(tsk_IsSummary,(ROW()-ROW(MSPTasks[[#Headers],[ID]]))),"",IF(N(INDEX(tsk_StoryPoints,(ROW()-ROW(MSPTasks[[#Headers],[ID]]))))=0,"",INDEX(tsk_StoryPoints,(ROW()-ROW(MSPTasks[[#Headers],[ID]]))))))</f>
        <v/>
      </c>
      <c r="Z149" s="24" t="str">
        <f aca="false">IF(IFERROR(INDEX(tsk_Name,(ROW()-ROW(MSPTasks[[#Headers],[ID]])))="",TRUE()),"",INDEX(tsk_Notes,(ROW()-ROW(MSPTasks[[#Headers],[ID]])))&amp;"")</f>
        <v/>
      </c>
    </row>
    <row r="150" customFormat="false" ht="15" hidden="false" customHeight="false" outlineLevel="0" collapsed="false">
      <c r="A150" s="24" t="str">
        <f aca="false">IF(IFERROR(INDEX(tsk_Name,(ROW()-ROW(MSPTasks[[#Headers],[ID]])))="",TRUE()),"",INDEX(tsk_ID,(ROW()-ROW(MSPTasks[[#Headers],[ID]]))))</f>
        <v/>
      </c>
      <c r="B150" s="24" t="str">
        <f aca="false">IF(IFERROR(INDEX(tsk_Name,(ROW()-ROW(MSPTasks[[#Headers],[ID]])))="",TRUE()),"",INDEX(tsk_UID,(ROW()-ROW(MSPTasks[[#Headers],[ID]]))))</f>
        <v/>
      </c>
      <c r="C150" s="24" t="str">
        <f aca="false">IF(IFERROR(INDEX(tsk_Name,(ROW()-ROW(MSPTasks[[#Headers],[ID]])))="",TRUE()),"",INDEX(tsk_Name,(ROW()-ROW(MSPTasks[[#Headers],[ID]]))))</f>
        <v/>
      </c>
      <c r="D150" s="24" t="str">
        <f aca="false">IF(IFERROR(INDEX(tsk_Name,(ROW()-ROW(MSPTasks[[#Headers],[ID]])))="",TRUE()),"",INDEX(tsk_Level,(ROW()-ROW(MSPTasks[[#Headers],[ID]]))))</f>
        <v/>
      </c>
      <c r="E150" s="24" t="str">
        <f aca="false">IF(IFERROR(INDEX(tsk_Name,(ROW()-ROW(MSPTasks[[#Headers],[ID]])))="",TRUE()),"",IF(INDEX(tsk_Mode,(ROW()-ROW(MSPTasks[[#Headers],[ID]])))="Manual","Manually Scheduled","Auto Scheduled"))</f>
        <v/>
      </c>
      <c r="F150" s="24" t="str">
        <f aca="false">IF(IFERROR(INDEX(tsk_Name,(ROW()-ROW(MSPTasks[[#Headers],[ID]])))="",TRUE()),"",IF(INDEX(tsk_IsSummary,(ROW()-ROW(MSPTasks[[#Headers],[ID]]))),"",N(INDEX(tsk_Duration,(ROW()-ROW(MSPTasks[[#Headers],[ID]]))))&amp;"d"))</f>
        <v/>
      </c>
      <c r="G150" s="127" t="str">
        <f aca="false">IF(IFERROR(INDEX(tsk_Name,(ROW()-ROW(MSPTasks[[#Headers],[ID]])))="",TRUE()),"",INDEX(tsk_FcStart,(ROW()-ROW(MSPTasks[[#Headers],[ID]]))))</f>
        <v/>
      </c>
      <c r="H150" s="127" t="str">
        <f aca="false">IF(IFERROR(INDEX(tsk_Name,(ROW()-ROW(MSPTasks[[#Headers],[ID]])))="",TRUE()),"",INDEX(tsk_FcFinish,(ROW()-ROW(MSPTasks[[#Headers],[ID]]))))</f>
        <v/>
      </c>
      <c r="I150" s="24" t="str">
        <f aca="false">IF(IFERROR(INDEX(tsk_Name,(ROW()-ROW(MSPTasks[[#Headers],[ID]])))="",TRUE()),"",IF(INDEX(tsk_IsSummary,(ROW()-ROW(MSPTasks[[#Headers],[ID]]))),"",INDEX(tsk_Predecessors,(ROW()-ROW(MSPTasks[[#Headers],[ID]])))))</f>
        <v/>
      </c>
      <c r="J150" s="24" t="str">
        <f aca="false">IF(IFERROR(INDEX(tsk_Name,(ROW()-ROW(MSPTasks[[#Headers],[ID]])))="",TRUE()),"",IF(INDEX(tsk_IsSummary,(ROW()-ROW(MSPTasks[[#Headers],[ID]]))),"",INDEX(tsk_UIDPredecessors,(ROW()-ROW(MSPTasks[[#Headers],[ID]])))))</f>
        <v/>
      </c>
      <c r="K15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0" s="24" t="str">
        <f aca="false">IF(IFERROR(INDEX(tsk_Name,(ROW()-ROW(MSPTasks[[#Headers],[ID]])))="",TRUE()),"",IF(INDEX(tsk_IsSummary,(ROW()-ROW(MSPTasks[[#Headers],[ID]]))),"",ROUND(INDEX(tsk_Progress,(ROW()-ROW(MSPTasks[[#Headers],[ID]])))*100,0)))</f>
        <v/>
      </c>
      <c r="M150" s="127" t="str">
        <f aca="false">IF(IFERROR(INDEX(tsk_Name,(ROW()-ROW(MSPTasks[[#Headers],[ID]])))="",TRUE()),"",IF(N(INDEX(tsk_ActStart,(ROW()-ROW(MSPTasks[[#Headers],[ID]]))))=0,"",INDEX(tsk_ActStart,(ROW()-ROW(MSPTasks[[#Headers],[ID]])))))</f>
        <v/>
      </c>
      <c r="N150" s="127" t="str">
        <f aca="false">IF(IFERROR(INDEX(tsk_Name,(ROW()-ROW(MSPTasks[[#Headers],[ID]])))="",TRUE()),"",IF(N(INDEX(tsk_ActFinish,(ROW()-ROW(MSPTasks[[#Headers],[ID]]))))=0,"",INDEX(tsk_ActFinish,(ROW()-ROW(MSPTasks[[#Headers],[ID]])))))</f>
        <v/>
      </c>
      <c r="O150" s="127" t="str">
        <f aca="false">IF(IFERROR(INDEX(tsk_Name,(ROW()-ROW(MSPTasks[[#Headers],[ID]])))="",TRUE()),"",INDEX(tsk_PlanStart,(ROW()-ROW(MSPTasks[[#Headers],[ID]]))))</f>
        <v/>
      </c>
      <c r="P150" s="127" t="str">
        <f aca="false">IF(IFERROR(INDEX(tsk_Name,(ROW()-ROW(MSPTasks[[#Headers],[ID]])))="",TRUE()),"",INDEX(tsk_PlanFinish,(ROW()-ROW(MSPTasks[[#Headers],[ID]]))))</f>
        <v/>
      </c>
      <c r="Q150" s="24" t="str">
        <f aca="false">IF(IFERROR(INDEX(tsk_Name,(ROW()-ROW(MSPTasks[[#Headers],[ID]])))="",TRUE()),"",IF(INDEX(tsk_BaseDuration,(ROW()-ROW(MSPTasks[[#Headers],[ID]])))="","",N(INDEX(tsk_BaseDuration,(ROW()-ROW(MSPTasks[[#Headers],[ID]]))))&amp;"d"))</f>
        <v/>
      </c>
      <c r="R150" s="24" t="str">
        <f aca="false">IF(IFERROR(INDEX(tsk_Name,(ROW()-ROW(MSPTasks[[#Headers],[ID]])))="",TRUE()),"",IF(INDEX(tsk_BaseWork,(ROW()-ROW(MSPTasks[[#Headers],[ID]])))="","",N(INDEX(tsk_BaseWork,(ROW()-ROW(MSPTasks[[#Headers],[ID]]))))&amp;"h"))</f>
        <v/>
      </c>
      <c r="S150" s="24" t="str">
        <f aca="false">IF(IFERROR(INDEX(tsk_Name,(ROW()-ROW(MSPTasks[[#Headers],[ID]])))="",TRUE()),"",IF(INDEX(tsk_BaseCost,(ROW()-ROW(MSPTasks[[#Headers],[ID]])))="","",N(INDEX(tsk_BaseCost,(ROW()-ROW(MSPTasks[[#Headers],[ID]]))))))</f>
        <v/>
      </c>
      <c r="T150" s="24" t="str">
        <f aca="false">IF(IFERROR(INDEX(tsk_Name,(ROW()-ROW(MSPTasks[[#Headers],[ID]])))="",TRUE()),"",IF(INDEX(tsk_IsSummary,(ROW()-ROW(MSPTasks[[#Headers],[ID]]))),"",IF(N(INDEX(tsk_ActCostInput,(ROW()-ROW(MSPTasks[[#Headers],[ID]]))))=0,"",INDEX(tsk_ActCostInput,(ROW()-ROW(MSPTasks[[#Headers],[ID]]))))))</f>
        <v/>
      </c>
      <c r="U150" s="24" t="str">
        <f aca="false">IF(IFERROR(INDEX(tsk_Name,(ROW()-ROW(MSPTasks[[#Headers],[ID]])))="",TRUE()),"",IF(INDEX(tsk_IsSummary,(ROW()-ROW(MSPTasks[[#Headers],[ID]]))),"",IF(AND(INDEX(tsk_Mode,(ROW()-ROW(MSPTasks[[#Headers],[ID]])))&lt;&gt;"Manual",N(INDEX(tsk_Constraint,(ROW()-ROW(MSPTasks[[#Headers],[ID]]))))&gt;0),"Start No Earlier Than","As Soon As Possible")))</f>
        <v/>
      </c>
      <c r="V150" s="127" t="str">
        <f aca="false">IF(IFERROR(INDEX(tsk_Name,(ROW()-ROW(MSPTasks[[#Headers],[ID]])))="",TRUE()),"",IF(OR(INDEX(tsk_IsSummary,(ROW()-ROW(MSPTasks[[#Headers],[ID]]))),INDEX(tsk_Mode,(ROW()-ROW(MSPTasks[[#Headers],[ID]])))="Manual"),"",IF(N(INDEX(tsk_Constraint,(ROW()-ROW(MSPTasks[[#Headers],[ID]]))))=0,"",INDEX(tsk_Constraint,(ROW()-ROW(MSPTasks[[#Headers],[ID]]))))))</f>
        <v/>
      </c>
      <c r="W150" s="127" t="str">
        <f aca="false">IF(IFERROR(INDEX(tsk_Name,(ROW()-ROW(MSPTasks[[#Headers],[ID]])))="",TRUE()),"",IF(N(INDEX(tsk_Deadline,(ROW()-ROW(MSPTasks[[#Headers],[ID]]))))=0,"",INDEX(tsk_Deadline,(ROW()-ROW(MSPTasks[[#Headers],[ID]])))))</f>
        <v/>
      </c>
      <c r="X150" s="24" t="str">
        <f aca="false">IF(IFERROR(INDEX(tsk_Name,(ROW()-ROW(MSPTasks[[#Headers],[ID]])))="",TRUE()),"",IF(INDEX(tsk_IsSummary,(ROW()-ROW(MSPTasks[[#Headers],[ID]]))),"",INDEX(tsk_Sprint,(ROW()-ROW(MSPTasks[[#Headers],[ID]])))&amp;""))</f>
        <v/>
      </c>
      <c r="Y150" s="24" t="str">
        <f aca="false">IF(IFERROR(INDEX(tsk_Name,(ROW()-ROW(MSPTasks[[#Headers],[ID]])))="",TRUE()),"",IF(INDEX(tsk_IsSummary,(ROW()-ROW(MSPTasks[[#Headers],[ID]]))),"",IF(N(INDEX(tsk_StoryPoints,(ROW()-ROW(MSPTasks[[#Headers],[ID]]))))=0,"",INDEX(tsk_StoryPoints,(ROW()-ROW(MSPTasks[[#Headers],[ID]]))))))</f>
        <v/>
      </c>
      <c r="Z150" s="24" t="str">
        <f aca="false">IF(IFERROR(INDEX(tsk_Name,(ROW()-ROW(MSPTasks[[#Headers],[ID]])))="",TRUE()),"",INDEX(tsk_Notes,(ROW()-ROW(MSPTasks[[#Headers],[ID]])))&amp;"")</f>
        <v/>
      </c>
    </row>
    <row r="151" customFormat="false" ht="15" hidden="false" customHeight="false" outlineLevel="0" collapsed="false">
      <c r="A151" s="24" t="str">
        <f aca="false">IF(IFERROR(INDEX(tsk_Name,(ROW()-ROW(MSPTasks[[#Headers],[ID]])))="",TRUE()),"",INDEX(tsk_ID,(ROW()-ROW(MSPTasks[[#Headers],[ID]]))))</f>
        <v/>
      </c>
      <c r="B151" s="24" t="str">
        <f aca="false">IF(IFERROR(INDEX(tsk_Name,(ROW()-ROW(MSPTasks[[#Headers],[ID]])))="",TRUE()),"",INDEX(tsk_UID,(ROW()-ROW(MSPTasks[[#Headers],[ID]]))))</f>
        <v/>
      </c>
      <c r="C151" s="24" t="str">
        <f aca="false">IF(IFERROR(INDEX(tsk_Name,(ROW()-ROW(MSPTasks[[#Headers],[ID]])))="",TRUE()),"",INDEX(tsk_Name,(ROW()-ROW(MSPTasks[[#Headers],[ID]]))))</f>
        <v/>
      </c>
      <c r="D151" s="24" t="str">
        <f aca="false">IF(IFERROR(INDEX(tsk_Name,(ROW()-ROW(MSPTasks[[#Headers],[ID]])))="",TRUE()),"",INDEX(tsk_Level,(ROW()-ROW(MSPTasks[[#Headers],[ID]]))))</f>
        <v/>
      </c>
      <c r="E151" s="24" t="str">
        <f aca="false">IF(IFERROR(INDEX(tsk_Name,(ROW()-ROW(MSPTasks[[#Headers],[ID]])))="",TRUE()),"",IF(INDEX(tsk_Mode,(ROW()-ROW(MSPTasks[[#Headers],[ID]])))="Manual","Manually Scheduled","Auto Scheduled"))</f>
        <v/>
      </c>
      <c r="F151" s="24" t="str">
        <f aca="false">IF(IFERROR(INDEX(tsk_Name,(ROW()-ROW(MSPTasks[[#Headers],[ID]])))="",TRUE()),"",IF(INDEX(tsk_IsSummary,(ROW()-ROW(MSPTasks[[#Headers],[ID]]))),"",N(INDEX(tsk_Duration,(ROW()-ROW(MSPTasks[[#Headers],[ID]]))))&amp;"d"))</f>
        <v/>
      </c>
      <c r="G151" s="127" t="str">
        <f aca="false">IF(IFERROR(INDEX(tsk_Name,(ROW()-ROW(MSPTasks[[#Headers],[ID]])))="",TRUE()),"",INDEX(tsk_FcStart,(ROW()-ROW(MSPTasks[[#Headers],[ID]]))))</f>
        <v/>
      </c>
      <c r="H151" s="127" t="str">
        <f aca="false">IF(IFERROR(INDEX(tsk_Name,(ROW()-ROW(MSPTasks[[#Headers],[ID]])))="",TRUE()),"",INDEX(tsk_FcFinish,(ROW()-ROW(MSPTasks[[#Headers],[ID]]))))</f>
        <v/>
      </c>
      <c r="I151" s="24" t="str">
        <f aca="false">IF(IFERROR(INDEX(tsk_Name,(ROW()-ROW(MSPTasks[[#Headers],[ID]])))="",TRUE()),"",IF(INDEX(tsk_IsSummary,(ROW()-ROW(MSPTasks[[#Headers],[ID]]))),"",INDEX(tsk_Predecessors,(ROW()-ROW(MSPTasks[[#Headers],[ID]])))))</f>
        <v/>
      </c>
      <c r="J151" s="24" t="str">
        <f aca="false">IF(IFERROR(INDEX(tsk_Name,(ROW()-ROW(MSPTasks[[#Headers],[ID]])))="",TRUE()),"",IF(INDEX(tsk_IsSummary,(ROW()-ROW(MSPTasks[[#Headers],[ID]]))),"",INDEX(tsk_UIDPredecessors,(ROW()-ROW(MSPTasks[[#Headers],[ID]])))))</f>
        <v/>
      </c>
      <c r="K15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1" s="24" t="str">
        <f aca="false">IF(IFERROR(INDEX(tsk_Name,(ROW()-ROW(MSPTasks[[#Headers],[ID]])))="",TRUE()),"",IF(INDEX(tsk_IsSummary,(ROW()-ROW(MSPTasks[[#Headers],[ID]]))),"",ROUND(INDEX(tsk_Progress,(ROW()-ROW(MSPTasks[[#Headers],[ID]])))*100,0)))</f>
        <v/>
      </c>
      <c r="M151" s="127" t="str">
        <f aca="false">IF(IFERROR(INDEX(tsk_Name,(ROW()-ROW(MSPTasks[[#Headers],[ID]])))="",TRUE()),"",IF(N(INDEX(tsk_ActStart,(ROW()-ROW(MSPTasks[[#Headers],[ID]]))))=0,"",INDEX(tsk_ActStart,(ROW()-ROW(MSPTasks[[#Headers],[ID]])))))</f>
        <v/>
      </c>
      <c r="N151" s="127" t="str">
        <f aca="false">IF(IFERROR(INDEX(tsk_Name,(ROW()-ROW(MSPTasks[[#Headers],[ID]])))="",TRUE()),"",IF(N(INDEX(tsk_ActFinish,(ROW()-ROW(MSPTasks[[#Headers],[ID]]))))=0,"",INDEX(tsk_ActFinish,(ROW()-ROW(MSPTasks[[#Headers],[ID]])))))</f>
        <v/>
      </c>
      <c r="O151" s="127" t="str">
        <f aca="false">IF(IFERROR(INDEX(tsk_Name,(ROW()-ROW(MSPTasks[[#Headers],[ID]])))="",TRUE()),"",INDEX(tsk_PlanStart,(ROW()-ROW(MSPTasks[[#Headers],[ID]]))))</f>
        <v/>
      </c>
      <c r="P151" s="127" t="str">
        <f aca="false">IF(IFERROR(INDEX(tsk_Name,(ROW()-ROW(MSPTasks[[#Headers],[ID]])))="",TRUE()),"",INDEX(tsk_PlanFinish,(ROW()-ROW(MSPTasks[[#Headers],[ID]]))))</f>
        <v/>
      </c>
      <c r="Q151" s="24" t="str">
        <f aca="false">IF(IFERROR(INDEX(tsk_Name,(ROW()-ROW(MSPTasks[[#Headers],[ID]])))="",TRUE()),"",IF(INDEX(tsk_BaseDuration,(ROW()-ROW(MSPTasks[[#Headers],[ID]])))="","",N(INDEX(tsk_BaseDuration,(ROW()-ROW(MSPTasks[[#Headers],[ID]]))))&amp;"d"))</f>
        <v/>
      </c>
      <c r="R151" s="24" t="str">
        <f aca="false">IF(IFERROR(INDEX(tsk_Name,(ROW()-ROW(MSPTasks[[#Headers],[ID]])))="",TRUE()),"",IF(INDEX(tsk_BaseWork,(ROW()-ROW(MSPTasks[[#Headers],[ID]])))="","",N(INDEX(tsk_BaseWork,(ROW()-ROW(MSPTasks[[#Headers],[ID]]))))&amp;"h"))</f>
        <v/>
      </c>
      <c r="S151" s="24" t="str">
        <f aca="false">IF(IFERROR(INDEX(tsk_Name,(ROW()-ROW(MSPTasks[[#Headers],[ID]])))="",TRUE()),"",IF(INDEX(tsk_BaseCost,(ROW()-ROW(MSPTasks[[#Headers],[ID]])))="","",N(INDEX(tsk_BaseCost,(ROW()-ROW(MSPTasks[[#Headers],[ID]]))))))</f>
        <v/>
      </c>
      <c r="T151" s="24" t="str">
        <f aca="false">IF(IFERROR(INDEX(tsk_Name,(ROW()-ROW(MSPTasks[[#Headers],[ID]])))="",TRUE()),"",IF(INDEX(tsk_IsSummary,(ROW()-ROW(MSPTasks[[#Headers],[ID]]))),"",IF(N(INDEX(tsk_ActCostInput,(ROW()-ROW(MSPTasks[[#Headers],[ID]]))))=0,"",INDEX(tsk_ActCostInput,(ROW()-ROW(MSPTasks[[#Headers],[ID]]))))))</f>
        <v/>
      </c>
      <c r="U151" s="24" t="str">
        <f aca="false">IF(IFERROR(INDEX(tsk_Name,(ROW()-ROW(MSPTasks[[#Headers],[ID]])))="",TRUE()),"",IF(INDEX(tsk_IsSummary,(ROW()-ROW(MSPTasks[[#Headers],[ID]]))),"",IF(AND(INDEX(tsk_Mode,(ROW()-ROW(MSPTasks[[#Headers],[ID]])))&lt;&gt;"Manual",N(INDEX(tsk_Constraint,(ROW()-ROW(MSPTasks[[#Headers],[ID]]))))&gt;0),"Start No Earlier Than","As Soon As Possible")))</f>
        <v/>
      </c>
      <c r="V151" s="127" t="str">
        <f aca="false">IF(IFERROR(INDEX(tsk_Name,(ROW()-ROW(MSPTasks[[#Headers],[ID]])))="",TRUE()),"",IF(OR(INDEX(tsk_IsSummary,(ROW()-ROW(MSPTasks[[#Headers],[ID]]))),INDEX(tsk_Mode,(ROW()-ROW(MSPTasks[[#Headers],[ID]])))="Manual"),"",IF(N(INDEX(tsk_Constraint,(ROW()-ROW(MSPTasks[[#Headers],[ID]]))))=0,"",INDEX(tsk_Constraint,(ROW()-ROW(MSPTasks[[#Headers],[ID]]))))))</f>
        <v/>
      </c>
      <c r="W151" s="127" t="str">
        <f aca="false">IF(IFERROR(INDEX(tsk_Name,(ROW()-ROW(MSPTasks[[#Headers],[ID]])))="",TRUE()),"",IF(N(INDEX(tsk_Deadline,(ROW()-ROW(MSPTasks[[#Headers],[ID]]))))=0,"",INDEX(tsk_Deadline,(ROW()-ROW(MSPTasks[[#Headers],[ID]])))))</f>
        <v/>
      </c>
      <c r="X151" s="24" t="str">
        <f aca="false">IF(IFERROR(INDEX(tsk_Name,(ROW()-ROW(MSPTasks[[#Headers],[ID]])))="",TRUE()),"",IF(INDEX(tsk_IsSummary,(ROW()-ROW(MSPTasks[[#Headers],[ID]]))),"",INDEX(tsk_Sprint,(ROW()-ROW(MSPTasks[[#Headers],[ID]])))&amp;""))</f>
        <v/>
      </c>
      <c r="Y151" s="24" t="str">
        <f aca="false">IF(IFERROR(INDEX(tsk_Name,(ROW()-ROW(MSPTasks[[#Headers],[ID]])))="",TRUE()),"",IF(INDEX(tsk_IsSummary,(ROW()-ROW(MSPTasks[[#Headers],[ID]]))),"",IF(N(INDEX(tsk_StoryPoints,(ROW()-ROW(MSPTasks[[#Headers],[ID]]))))=0,"",INDEX(tsk_StoryPoints,(ROW()-ROW(MSPTasks[[#Headers],[ID]]))))))</f>
        <v/>
      </c>
      <c r="Z151" s="24" t="str">
        <f aca="false">IF(IFERROR(INDEX(tsk_Name,(ROW()-ROW(MSPTasks[[#Headers],[ID]])))="",TRUE()),"",INDEX(tsk_Notes,(ROW()-ROW(MSPTasks[[#Headers],[ID]])))&amp;"")</f>
        <v/>
      </c>
    </row>
    <row r="152" customFormat="false" ht="15" hidden="false" customHeight="false" outlineLevel="0" collapsed="false">
      <c r="A152" s="24" t="str">
        <f aca="false">IF(IFERROR(INDEX(tsk_Name,(ROW()-ROW(MSPTasks[[#Headers],[ID]])))="",TRUE()),"",INDEX(tsk_ID,(ROW()-ROW(MSPTasks[[#Headers],[ID]]))))</f>
        <v/>
      </c>
      <c r="B152" s="24" t="str">
        <f aca="false">IF(IFERROR(INDEX(tsk_Name,(ROW()-ROW(MSPTasks[[#Headers],[ID]])))="",TRUE()),"",INDEX(tsk_UID,(ROW()-ROW(MSPTasks[[#Headers],[ID]]))))</f>
        <v/>
      </c>
      <c r="C152" s="24" t="str">
        <f aca="false">IF(IFERROR(INDEX(tsk_Name,(ROW()-ROW(MSPTasks[[#Headers],[ID]])))="",TRUE()),"",INDEX(tsk_Name,(ROW()-ROW(MSPTasks[[#Headers],[ID]]))))</f>
        <v/>
      </c>
      <c r="D152" s="24" t="str">
        <f aca="false">IF(IFERROR(INDEX(tsk_Name,(ROW()-ROW(MSPTasks[[#Headers],[ID]])))="",TRUE()),"",INDEX(tsk_Level,(ROW()-ROW(MSPTasks[[#Headers],[ID]]))))</f>
        <v/>
      </c>
      <c r="E152" s="24" t="str">
        <f aca="false">IF(IFERROR(INDEX(tsk_Name,(ROW()-ROW(MSPTasks[[#Headers],[ID]])))="",TRUE()),"",IF(INDEX(tsk_Mode,(ROW()-ROW(MSPTasks[[#Headers],[ID]])))="Manual","Manually Scheduled","Auto Scheduled"))</f>
        <v/>
      </c>
      <c r="F152" s="24" t="str">
        <f aca="false">IF(IFERROR(INDEX(tsk_Name,(ROW()-ROW(MSPTasks[[#Headers],[ID]])))="",TRUE()),"",IF(INDEX(tsk_IsSummary,(ROW()-ROW(MSPTasks[[#Headers],[ID]]))),"",N(INDEX(tsk_Duration,(ROW()-ROW(MSPTasks[[#Headers],[ID]]))))&amp;"d"))</f>
        <v/>
      </c>
      <c r="G152" s="127" t="str">
        <f aca="false">IF(IFERROR(INDEX(tsk_Name,(ROW()-ROW(MSPTasks[[#Headers],[ID]])))="",TRUE()),"",INDEX(tsk_FcStart,(ROW()-ROW(MSPTasks[[#Headers],[ID]]))))</f>
        <v/>
      </c>
      <c r="H152" s="127" t="str">
        <f aca="false">IF(IFERROR(INDEX(tsk_Name,(ROW()-ROW(MSPTasks[[#Headers],[ID]])))="",TRUE()),"",INDEX(tsk_FcFinish,(ROW()-ROW(MSPTasks[[#Headers],[ID]]))))</f>
        <v/>
      </c>
      <c r="I152" s="24" t="str">
        <f aca="false">IF(IFERROR(INDEX(tsk_Name,(ROW()-ROW(MSPTasks[[#Headers],[ID]])))="",TRUE()),"",IF(INDEX(tsk_IsSummary,(ROW()-ROW(MSPTasks[[#Headers],[ID]]))),"",INDEX(tsk_Predecessors,(ROW()-ROW(MSPTasks[[#Headers],[ID]])))))</f>
        <v/>
      </c>
      <c r="J152" s="24" t="str">
        <f aca="false">IF(IFERROR(INDEX(tsk_Name,(ROW()-ROW(MSPTasks[[#Headers],[ID]])))="",TRUE()),"",IF(INDEX(tsk_IsSummary,(ROW()-ROW(MSPTasks[[#Headers],[ID]]))),"",INDEX(tsk_UIDPredecessors,(ROW()-ROW(MSPTasks[[#Headers],[ID]])))))</f>
        <v/>
      </c>
      <c r="K15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2" s="24" t="str">
        <f aca="false">IF(IFERROR(INDEX(tsk_Name,(ROW()-ROW(MSPTasks[[#Headers],[ID]])))="",TRUE()),"",IF(INDEX(tsk_IsSummary,(ROW()-ROW(MSPTasks[[#Headers],[ID]]))),"",ROUND(INDEX(tsk_Progress,(ROW()-ROW(MSPTasks[[#Headers],[ID]])))*100,0)))</f>
        <v/>
      </c>
      <c r="M152" s="127" t="str">
        <f aca="false">IF(IFERROR(INDEX(tsk_Name,(ROW()-ROW(MSPTasks[[#Headers],[ID]])))="",TRUE()),"",IF(N(INDEX(tsk_ActStart,(ROW()-ROW(MSPTasks[[#Headers],[ID]]))))=0,"",INDEX(tsk_ActStart,(ROW()-ROW(MSPTasks[[#Headers],[ID]])))))</f>
        <v/>
      </c>
      <c r="N152" s="127" t="str">
        <f aca="false">IF(IFERROR(INDEX(tsk_Name,(ROW()-ROW(MSPTasks[[#Headers],[ID]])))="",TRUE()),"",IF(N(INDEX(tsk_ActFinish,(ROW()-ROW(MSPTasks[[#Headers],[ID]]))))=0,"",INDEX(tsk_ActFinish,(ROW()-ROW(MSPTasks[[#Headers],[ID]])))))</f>
        <v/>
      </c>
      <c r="O152" s="127" t="str">
        <f aca="false">IF(IFERROR(INDEX(tsk_Name,(ROW()-ROW(MSPTasks[[#Headers],[ID]])))="",TRUE()),"",INDEX(tsk_PlanStart,(ROW()-ROW(MSPTasks[[#Headers],[ID]]))))</f>
        <v/>
      </c>
      <c r="P152" s="127" t="str">
        <f aca="false">IF(IFERROR(INDEX(tsk_Name,(ROW()-ROW(MSPTasks[[#Headers],[ID]])))="",TRUE()),"",INDEX(tsk_PlanFinish,(ROW()-ROW(MSPTasks[[#Headers],[ID]]))))</f>
        <v/>
      </c>
      <c r="Q152" s="24" t="str">
        <f aca="false">IF(IFERROR(INDEX(tsk_Name,(ROW()-ROW(MSPTasks[[#Headers],[ID]])))="",TRUE()),"",IF(INDEX(tsk_BaseDuration,(ROW()-ROW(MSPTasks[[#Headers],[ID]])))="","",N(INDEX(tsk_BaseDuration,(ROW()-ROW(MSPTasks[[#Headers],[ID]]))))&amp;"d"))</f>
        <v/>
      </c>
      <c r="R152" s="24" t="str">
        <f aca="false">IF(IFERROR(INDEX(tsk_Name,(ROW()-ROW(MSPTasks[[#Headers],[ID]])))="",TRUE()),"",IF(INDEX(tsk_BaseWork,(ROW()-ROW(MSPTasks[[#Headers],[ID]])))="","",N(INDEX(tsk_BaseWork,(ROW()-ROW(MSPTasks[[#Headers],[ID]]))))&amp;"h"))</f>
        <v/>
      </c>
      <c r="S152" s="24" t="str">
        <f aca="false">IF(IFERROR(INDEX(tsk_Name,(ROW()-ROW(MSPTasks[[#Headers],[ID]])))="",TRUE()),"",IF(INDEX(tsk_BaseCost,(ROW()-ROW(MSPTasks[[#Headers],[ID]])))="","",N(INDEX(tsk_BaseCost,(ROW()-ROW(MSPTasks[[#Headers],[ID]]))))))</f>
        <v/>
      </c>
      <c r="T152" s="24" t="str">
        <f aca="false">IF(IFERROR(INDEX(tsk_Name,(ROW()-ROW(MSPTasks[[#Headers],[ID]])))="",TRUE()),"",IF(INDEX(tsk_IsSummary,(ROW()-ROW(MSPTasks[[#Headers],[ID]]))),"",IF(N(INDEX(tsk_ActCostInput,(ROW()-ROW(MSPTasks[[#Headers],[ID]]))))=0,"",INDEX(tsk_ActCostInput,(ROW()-ROW(MSPTasks[[#Headers],[ID]]))))))</f>
        <v/>
      </c>
      <c r="U152" s="24" t="str">
        <f aca="false">IF(IFERROR(INDEX(tsk_Name,(ROW()-ROW(MSPTasks[[#Headers],[ID]])))="",TRUE()),"",IF(INDEX(tsk_IsSummary,(ROW()-ROW(MSPTasks[[#Headers],[ID]]))),"",IF(AND(INDEX(tsk_Mode,(ROW()-ROW(MSPTasks[[#Headers],[ID]])))&lt;&gt;"Manual",N(INDEX(tsk_Constraint,(ROW()-ROW(MSPTasks[[#Headers],[ID]]))))&gt;0),"Start No Earlier Than","As Soon As Possible")))</f>
        <v/>
      </c>
      <c r="V152" s="127" t="str">
        <f aca="false">IF(IFERROR(INDEX(tsk_Name,(ROW()-ROW(MSPTasks[[#Headers],[ID]])))="",TRUE()),"",IF(OR(INDEX(tsk_IsSummary,(ROW()-ROW(MSPTasks[[#Headers],[ID]]))),INDEX(tsk_Mode,(ROW()-ROW(MSPTasks[[#Headers],[ID]])))="Manual"),"",IF(N(INDEX(tsk_Constraint,(ROW()-ROW(MSPTasks[[#Headers],[ID]]))))=0,"",INDEX(tsk_Constraint,(ROW()-ROW(MSPTasks[[#Headers],[ID]]))))))</f>
        <v/>
      </c>
      <c r="W152" s="127" t="str">
        <f aca="false">IF(IFERROR(INDEX(tsk_Name,(ROW()-ROW(MSPTasks[[#Headers],[ID]])))="",TRUE()),"",IF(N(INDEX(tsk_Deadline,(ROW()-ROW(MSPTasks[[#Headers],[ID]]))))=0,"",INDEX(tsk_Deadline,(ROW()-ROW(MSPTasks[[#Headers],[ID]])))))</f>
        <v/>
      </c>
      <c r="X152" s="24" t="str">
        <f aca="false">IF(IFERROR(INDEX(tsk_Name,(ROW()-ROW(MSPTasks[[#Headers],[ID]])))="",TRUE()),"",IF(INDEX(tsk_IsSummary,(ROW()-ROW(MSPTasks[[#Headers],[ID]]))),"",INDEX(tsk_Sprint,(ROW()-ROW(MSPTasks[[#Headers],[ID]])))&amp;""))</f>
        <v/>
      </c>
      <c r="Y152" s="24" t="str">
        <f aca="false">IF(IFERROR(INDEX(tsk_Name,(ROW()-ROW(MSPTasks[[#Headers],[ID]])))="",TRUE()),"",IF(INDEX(tsk_IsSummary,(ROW()-ROW(MSPTasks[[#Headers],[ID]]))),"",IF(N(INDEX(tsk_StoryPoints,(ROW()-ROW(MSPTasks[[#Headers],[ID]]))))=0,"",INDEX(tsk_StoryPoints,(ROW()-ROW(MSPTasks[[#Headers],[ID]]))))))</f>
        <v/>
      </c>
      <c r="Z152" s="24" t="str">
        <f aca="false">IF(IFERROR(INDEX(tsk_Name,(ROW()-ROW(MSPTasks[[#Headers],[ID]])))="",TRUE()),"",INDEX(tsk_Notes,(ROW()-ROW(MSPTasks[[#Headers],[ID]])))&amp;"")</f>
        <v/>
      </c>
    </row>
    <row r="153" customFormat="false" ht="15" hidden="false" customHeight="false" outlineLevel="0" collapsed="false">
      <c r="A153" s="24" t="str">
        <f aca="false">IF(IFERROR(INDEX(tsk_Name,(ROW()-ROW(MSPTasks[[#Headers],[ID]])))="",TRUE()),"",INDEX(tsk_ID,(ROW()-ROW(MSPTasks[[#Headers],[ID]]))))</f>
        <v/>
      </c>
      <c r="B153" s="24" t="str">
        <f aca="false">IF(IFERROR(INDEX(tsk_Name,(ROW()-ROW(MSPTasks[[#Headers],[ID]])))="",TRUE()),"",INDEX(tsk_UID,(ROW()-ROW(MSPTasks[[#Headers],[ID]]))))</f>
        <v/>
      </c>
      <c r="C153" s="24" t="str">
        <f aca="false">IF(IFERROR(INDEX(tsk_Name,(ROW()-ROW(MSPTasks[[#Headers],[ID]])))="",TRUE()),"",INDEX(tsk_Name,(ROW()-ROW(MSPTasks[[#Headers],[ID]]))))</f>
        <v/>
      </c>
      <c r="D153" s="24" t="str">
        <f aca="false">IF(IFERROR(INDEX(tsk_Name,(ROW()-ROW(MSPTasks[[#Headers],[ID]])))="",TRUE()),"",INDEX(tsk_Level,(ROW()-ROW(MSPTasks[[#Headers],[ID]]))))</f>
        <v/>
      </c>
      <c r="E153" s="24" t="str">
        <f aca="false">IF(IFERROR(INDEX(tsk_Name,(ROW()-ROW(MSPTasks[[#Headers],[ID]])))="",TRUE()),"",IF(INDEX(tsk_Mode,(ROW()-ROW(MSPTasks[[#Headers],[ID]])))="Manual","Manually Scheduled","Auto Scheduled"))</f>
        <v/>
      </c>
      <c r="F153" s="24" t="str">
        <f aca="false">IF(IFERROR(INDEX(tsk_Name,(ROW()-ROW(MSPTasks[[#Headers],[ID]])))="",TRUE()),"",IF(INDEX(tsk_IsSummary,(ROW()-ROW(MSPTasks[[#Headers],[ID]]))),"",N(INDEX(tsk_Duration,(ROW()-ROW(MSPTasks[[#Headers],[ID]]))))&amp;"d"))</f>
        <v/>
      </c>
      <c r="G153" s="127" t="str">
        <f aca="false">IF(IFERROR(INDEX(tsk_Name,(ROW()-ROW(MSPTasks[[#Headers],[ID]])))="",TRUE()),"",INDEX(tsk_FcStart,(ROW()-ROW(MSPTasks[[#Headers],[ID]]))))</f>
        <v/>
      </c>
      <c r="H153" s="127" t="str">
        <f aca="false">IF(IFERROR(INDEX(tsk_Name,(ROW()-ROW(MSPTasks[[#Headers],[ID]])))="",TRUE()),"",INDEX(tsk_FcFinish,(ROW()-ROW(MSPTasks[[#Headers],[ID]]))))</f>
        <v/>
      </c>
      <c r="I153" s="24" t="str">
        <f aca="false">IF(IFERROR(INDEX(tsk_Name,(ROW()-ROW(MSPTasks[[#Headers],[ID]])))="",TRUE()),"",IF(INDEX(tsk_IsSummary,(ROW()-ROW(MSPTasks[[#Headers],[ID]]))),"",INDEX(tsk_Predecessors,(ROW()-ROW(MSPTasks[[#Headers],[ID]])))))</f>
        <v/>
      </c>
      <c r="J153" s="24" t="str">
        <f aca="false">IF(IFERROR(INDEX(tsk_Name,(ROW()-ROW(MSPTasks[[#Headers],[ID]])))="",TRUE()),"",IF(INDEX(tsk_IsSummary,(ROW()-ROW(MSPTasks[[#Headers],[ID]]))),"",INDEX(tsk_UIDPredecessors,(ROW()-ROW(MSPTasks[[#Headers],[ID]])))))</f>
        <v/>
      </c>
      <c r="K15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3" s="24" t="str">
        <f aca="false">IF(IFERROR(INDEX(tsk_Name,(ROW()-ROW(MSPTasks[[#Headers],[ID]])))="",TRUE()),"",IF(INDEX(tsk_IsSummary,(ROW()-ROW(MSPTasks[[#Headers],[ID]]))),"",ROUND(INDEX(tsk_Progress,(ROW()-ROW(MSPTasks[[#Headers],[ID]])))*100,0)))</f>
        <v/>
      </c>
      <c r="M153" s="127" t="str">
        <f aca="false">IF(IFERROR(INDEX(tsk_Name,(ROW()-ROW(MSPTasks[[#Headers],[ID]])))="",TRUE()),"",IF(N(INDEX(tsk_ActStart,(ROW()-ROW(MSPTasks[[#Headers],[ID]]))))=0,"",INDEX(tsk_ActStart,(ROW()-ROW(MSPTasks[[#Headers],[ID]])))))</f>
        <v/>
      </c>
      <c r="N153" s="127" t="str">
        <f aca="false">IF(IFERROR(INDEX(tsk_Name,(ROW()-ROW(MSPTasks[[#Headers],[ID]])))="",TRUE()),"",IF(N(INDEX(tsk_ActFinish,(ROW()-ROW(MSPTasks[[#Headers],[ID]]))))=0,"",INDEX(tsk_ActFinish,(ROW()-ROW(MSPTasks[[#Headers],[ID]])))))</f>
        <v/>
      </c>
      <c r="O153" s="127" t="str">
        <f aca="false">IF(IFERROR(INDEX(tsk_Name,(ROW()-ROW(MSPTasks[[#Headers],[ID]])))="",TRUE()),"",INDEX(tsk_PlanStart,(ROW()-ROW(MSPTasks[[#Headers],[ID]]))))</f>
        <v/>
      </c>
      <c r="P153" s="127" t="str">
        <f aca="false">IF(IFERROR(INDEX(tsk_Name,(ROW()-ROW(MSPTasks[[#Headers],[ID]])))="",TRUE()),"",INDEX(tsk_PlanFinish,(ROW()-ROW(MSPTasks[[#Headers],[ID]]))))</f>
        <v/>
      </c>
      <c r="Q153" s="24" t="str">
        <f aca="false">IF(IFERROR(INDEX(tsk_Name,(ROW()-ROW(MSPTasks[[#Headers],[ID]])))="",TRUE()),"",IF(INDEX(tsk_BaseDuration,(ROW()-ROW(MSPTasks[[#Headers],[ID]])))="","",N(INDEX(tsk_BaseDuration,(ROW()-ROW(MSPTasks[[#Headers],[ID]]))))&amp;"d"))</f>
        <v/>
      </c>
      <c r="R153" s="24" t="str">
        <f aca="false">IF(IFERROR(INDEX(tsk_Name,(ROW()-ROW(MSPTasks[[#Headers],[ID]])))="",TRUE()),"",IF(INDEX(tsk_BaseWork,(ROW()-ROW(MSPTasks[[#Headers],[ID]])))="","",N(INDEX(tsk_BaseWork,(ROW()-ROW(MSPTasks[[#Headers],[ID]]))))&amp;"h"))</f>
        <v/>
      </c>
      <c r="S153" s="24" t="str">
        <f aca="false">IF(IFERROR(INDEX(tsk_Name,(ROW()-ROW(MSPTasks[[#Headers],[ID]])))="",TRUE()),"",IF(INDEX(tsk_BaseCost,(ROW()-ROW(MSPTasks[[#Headers],[ID]])))="","",N(INDEX(tsk_BaseCost,(ROW()-ROW(MSPTasks[[#Headers],[ID]]))))))</f>
        <v/>
      </c>
      <c r="T153" s="24" t="str">
        <f aca="false">IF(IFERROR(INDEX(tsk_Name,(ROW()-ROW(MSPTasks[[#Headers],[ID]])))="",TRUE()),"",IF(INDEX(tsk_IsSummary,(ROW()-ROW(MSPTasks[[#Headers],[ID]]))),"",IF(N(INDEX(tsk_ActCostInput,(ROW()-ROW(MSPTasks[[#Headers],[ID]]))))=0,"",INDEX(tsk_ActCostInput,(ROW()-ROW(MSPTasks[[#Headers],[ID]]))))))</f>
        <v/>
      </c>
      <c r="U153" s="24" t="str">
        <f aca="false">IF(IFERROR(INDEX(tsk_Name,(ROW()-ROW(MSPTasks[[#Headers],[ID]])))="",TRUE()),"",IF(INDEX(tsk_IsSummary,(ROW()-ROW(MSPTasks[[#Headers],[ID]]))),"",IF(AND(INDEX(tsk_Mode,(ROW()-ROW(MSPTasks[[#Headers],[ID]])))&lt;&gt;"Manual",N(INDEX(tsk_Constraint,(ROW()-ROW(MSPTasks[[#Headers],[ID]]))))&gt;0),"Start No Earlier Than","As Soon As Possible")))</f>
        <v/>
      </c>
      <c r="V153" s="127" t="str">
        <f aca="false">IF(IFERROR(INDEX(tsk_Name,(ROW()-ROW(MSPTasks[[#Headers],[ID]])))="",TRUE()),"",IF(OR(INDEX(tsk_IsSummary,(ROW()-ROW(MSPTasks[[#Headers],[ID]]))),INDEX(tsk_Mode,(ROW()-ROW(MSPTasks[[#Headers],[ID]])))="Manual"),"",IF(N(INDEX(tsk_Constraint,(ROW()-ROW(MSPTasks[[#Headers],[ID]]))))=0,"",INDEX(tsk_Constraint,(ROW()-ROW(MSPTasks[[#Headers],[ID]]))))))</f>
        <v/>
      </c>
      <c r="W153" s="127" t="str">
        <f aca="false">IF(IFERROR(INDEX(tsk_Name,(ROW()-ROW(MSPTasks[[#Headers],[ID]])))="",TRUE()),"",IF(N(INDEX(tsk_Deadline,(ROW()-ROW(MSPTasks[[#Headers],[ID]]))))=0,"",INDEX(tsk_Deadline,(ROW()-ROW(MSPTasks[[#Headers],[ID]])))))</f>
        <v/>
      </c>
      <c r="X153" s="24" t="str">
        <f aca="false">IF(IFERROR(INDEX(tsk_Name,(ROW()-ROW(MSPTasks[[#Headers],[ID]])))="",TRUE()),"",IF(INDEX(tsk_IsSummary,(ROW()-ROW(MSPTasks[[#Headers],[ID]]))),"",INDEX(tsk_Sprint,(ROW()-ROW(MSPTasks[[#Headers],[ID]])))&amp;""))</f>
        <v/>
      </c>
      <c r="Y153" s="24" t="str">
        <f aca="false">IF(IFERROR(INDEX(tsk_Name,(ROW()-ROW(MSPTasks[[#Headers],[ID]])))="",TRUE()),"",IF(INDEX(tsk_IsSummary,(ROW()-ROW(MSPTasks[[#Headers],[ID]]))),"",IF(N(INDEX(tsk_StoryPoints,(ROW()-ROW(MSPTasks[[#Headers],[ID]]))))=0,"",INDEX(tsk_StoryPoints,(ROW()-ROW(MSPTasks[[#Headers],[ID]]))))))</f>
        <v/>
      </c>
      <c r="Z153" s="24" t="str">
        <f aca="false">IF(IFERROR(INDEX(tsk_Name,(ROW()-ROW(MSPTasks[[#Headers],[ID]])))="",TRUE()),"",INDEX(tsk_Notes,(ROW()-ROW(MSPTasks[[#Headers],[ID]])))&amp;"")</f>
        <v/>
      </c>
    </row>
    <row r="154" customFormat="false" ht="15" hidden="false" customHeight="false" outlineLevel="0" collapsed="false">
      <c r="A154" s="24" t="str">
        <f aca="false">IF(IFERROR(INDEX(tsk_Name,(ROW()-ROW(MSPTasks[[#Headers],[ID]])))="",TRUE()),"",INDEX(tsk_ID,(ROW()-ROW(MSPTasks[[#Headers],[ID]]))))</f>
        <v/>
      </c>
      <c r="B154" s="24" t="str">
        <f aca="false">IF(IFERROR(INDEX(tsk_Name,(ROW()-ROW(MSPTasks[[#Headers],[ID]])))="",TRUE()),"",INDEX(tsk_UID,(ROW()-ROW(MSPTasks[[#Headers],[ID]]))))</f>
        <v/>
      </c>
      <c r="C154" s="24" t="str">
        <f aca="false">IF(IFERROR(INDEX(tsk_Name,(ROW()-ROW(MSPTasks[[#Headers],[ID]])))="",TRUE()),"",INDEX(tsk_Name,(ROW()-ROW(MSPTasks[[#Headers],[ID]]))))</f>
        <v/>
      </c>
      <c r="D154" s="24" t="str">
        <f aca="false">IF(IFERROR(INDEX(tsk_Name,(ROW()-ROW(MSPTasks[[#Headers],[ID]])))="",TRUE()),"",INDEX(tsk_Level,(ROW()-ROW(MSPTasks[[#Headers],[ID]]))))</f>
        <v/>
      </c>
      <c r="E154" s="24" t="str">
        <f aca="false">IF(IFERROR(INDEX(tsk_Name,(ROW()-ROW(MSPTasks[[#Headers],[ID]])))="",TRUE()),"",IF(INDEX(tsk_Mode,(ROW()-ROW(MSPTasks[[#Headers],[ID]])))="Manual","Manually Scheduled","Auto Scheduled"))</f>
        <v/>
      </c>
      <c r="F154" s="24" t="str">
        <f aca="false">IF(IFERROR(INDEX(tsk_Name,(ROW()-ROW(MSPTasks[[#Headers],[ID]])))="",TRUE()),"",IF(INDEX(tsk_IsSummary,(ROW()-ROW(MSPTasks[[#Headers],[ID]]))),"",N(INDEX(tsk_Duration,(ROW()-ROW(MSPTasks[[#Headers],[ID]]))))&amp;"d"))</f>
        <v/>
      </c>
      <c r="G154" s="127" t="str">
        <f aca="false">IF(IFERROR(INDEX(tsk_Name,(ROW()-ROW(MSPTasks[[#Headers],[ID]])))="",TRUE()),"",INDEX(tsk_FcStart,(ROW()-ROW(MSPTasks[[#Headers],[ID]]))))</f>
        <v/>
      </c>
      <c r="H154" s="127" t="str">
        <f aca="false">IF(IFERROR(INDEX(tsk_Name,(ROW()-ROW(MSPTasks[[#Headers],[ID]])))="",TRUE()),"",INDEX(tsk_FcFinish,(ROW()-ROW(MSPTasks[[#Headers],[ID]]))))</f>
        <v/>
      </c>
      <c r="I154" s="24" t="str">
        <f aca="false">IF(IFERROR(INDEX(tsk_Name,(ROW()-ROW(MSPTasks[[#Headers],[ID]])))="",TRUE()),"",IF(INDEX(tsk_IsSummary,(ROW()-ROW(MSPTasks[[#Headers],[ID]]))),"",INDEX(tsk_Predecessors,(ROW()-ROW(MSPTasks[[#Headers],[ID]])))))</f>
        <v/>
      </c>
      <c r="J154" s="24" t="str">
        <f aca="false">IF(IFERROR(INDEX(tsk_Name,(ROW()-ROW(MSPTasks[[#Headers],[ID]])))="",TRUE()),"",IF(INDEX(tsk_IsSummary,(ROW()-ROW(MSPTasks[[#Headers],[ID]]))),"",INDEX(tsk_UIDPredecessors,(ROW()-ROW(MSPTasks[[#Headers],[ID]])))))</f>
        <v/>
      </c>
      <c r="K15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4" s="24" t="str">
        <f aca="false">IF(IFERROR(INDEX(tsk_Name,(ROW()-ROW(MSPTasks[[#Headers],[ID]])))="",TRUE()),"",IF(INDEX(tsk_IsSummary,(ROW()-ROW(MSPTasks[[#Headers],[ID]]))),"",ROUND(INDEX(tsk_Progress,(ROW()-ROW(MSPTasks[[#Headers],[ID]])))*100,0)))</f>
        <v/>
      </c>
      <c r="M154" s="127" t="str">
        <f aca="false">IF(IFERROR(INDEX(tsk_Name,(ROW()-ROW(MSPTasks[[#Headers],[ID]])))="",TRUE()),"",IF(N(INDEX(tsk_ActStart,(ROW()-ROW(MSPTasks[[#Headers],[ID]]))))=0,"",INDEX(tsk_ActStart,(ROW()-ROW(MSPTasks[[#Headers],[ID]])))))</f>
        <v/>
      </c>
      <c r="N154" s="127" t="str">
        <f aca="false">IF(IFERROR(INDEX(tsk_Name,(ROW()-ROW(MSPTasks[[#Headers],[ID]])))="",TRUE()),"",IF(N(INDEX(tsk_ActFinish,(ROW()-ROW(MSPTasks[[#Headers],[ID]]))))=0,"",INDEX(tsk_ActFinish,(ROW()-ROW(MSPTasks[[#Headers],[ID]])))))</f>
        <v/>
      </c>
      <c r="O154" s="127" t="str">
        <f aca="false">IF(IFERROR(INDEX(tsk_Name,(ROW()-ROW(MSPTasks[[#Headers],[ID]])))="",TRUE()),"",INDEX(tsk_PlanStart,(ROW()-ROW(MSPTasks[[#Headers],[ID]]))))</f>
        <v/>
      </c>
      <c r="P154" s="127" t="str">
        <f aca="false">IF(IFERROR(INDEX(tsk_Name,(ROW()-ROW(MSPTasks[[#Headers],[ID]])))="",TRUE()),"",INDEX(tsk_PlanFinish,(ROW()-ROW(MSPTasks[[#Headers],[ID]]))))</f>
        <v/>
      </c>
      <c r="Q154" s="24" t="str">
        <f aca="false">IF(IFERROR(INDEX(tsk_Name,(ROW()-ROW(MSPTasks[[#Headers],[ID]])))="",TRUE()),"",IF(INDEX(tsk_BaseDuration,(ROW()-ROW(MSPTasks[[#Headers],[ID]])))="","",N(INDEX(tsk_BaseDuration,(ROW()-ROW(MSPTasks[[#Headers],[ID]]))))&amp;"d"))</f>
        <v/>
      </c>
      <c r="R154" s="24" t="str">
        <f aca="false">IF(IFERROR(INDEX(tsk_Name,(ROW()-ROW(MSPTasks[[#Headers],[ID]])))="",TRUE()),"",IF(INDEX(tsk_BaseWork,(ROW()-ROW(MSPTasks[[#Headers],[ID]])))="","",N(INDEX(tsk_BaseWork,(ROW()-ROW(MSPTasks[[#Headers],[ID]]))))&amp;"h"))</f>
        <v/>
      </c>
      <c r="S154" s="24" t="str">
        <f aca="false">IF(IFERROR(INDEX(tsk_Name,(ROW()-ROW(MSPTasks[[#Headers],[ID]])))="",TRUE()),"",IF(INDEX(tsk_BaseCost,(ROW()-ROW(MSPTasks[[#Headers],[ID]])))="","",N(INDEX(tsk_BaseCost,(ROW()-ROW(MSPTasks[[#Headers],[ID]]))))))</f>
        <v/>
      </c>
      <c r="T154" s="24" t="str">
        <f aca="false">IF(IFERROR(INDEX(tsk_Name,(ROW()-ROW(MSPTasks[[#Headers],[ID]])))="",TRUE()),"",IF(INDEX(tsk_IsSummary,(ROW()-ROW(MSPTasks[[#Headers],[ID]]))),"",IF(N(INDEX(tsk_ActCostInput,(ROW()-ROW(MSPTasks[[#Headers],[ID]]))))=0,"",INDEX(tsk_ActCostInput,(ROW()-ROW(MSPTasks[[#Headers],[ID]]))))))</f>
        <v/>
      </c>
      <c r="U154" s="24" t="str">
        <f aca="false">IF(IFERROR(INDEX(tsk_Name,(ROW()-ROW(MSPTasks[[#Headers],[ID]])))="",TRUE()),"",IF(INDEX(tsk_IsSummary,(ROW()-ROW(MSPTasks[[#Headers],[ID]]))),"",IF(AND(INDEX(tsk_Mode,(ROW()-ROW(MSPTasks[[#Headers],[ID]])))&lt;&gt;"Manual",N(INDEX(tsk_Constraint,(ROW()-ROW(MSPTasks[[#Headers],[ID]]))))&gt;0),"Start No Earlier Than","As Soon As Possible")))</f>
        <v/>
      </c>
      <c r="V154" s="127" t="str">
        <f aca="false">IF(IFERROR(INDEX(tsk_Name,(ROW()-ROW(MSPTasks[[#Headers],[ID]])))="",TRUE()),"",IF(OR(INDEX(tsk_IsSummary,(ROW()-ROW(MSPTasks[[#Headers],[ID]]))),INDEX(tsk_Mode,(ROW()-ROW(MSPTasks[[#Headers],[ID]])))="Manual"),"",IF(N(INDEX(tsk_Constraint,(ROW()-ROW(MSPTasks[[#Headers],[ID]]))))=0,"",INDEX(tsk_Constraint,(ROW()-ROW(MSPTasks[[#Headers],[ID]]))))))</f>
        <v/>
      </c>
      <c r="W154" s="127" t="str">
        <f aca="false">IF(IFERROR(INDEX(tsk_Name,(ROW()-ROW(MSPTasks[[#Headers],[ID]])))="",TRUE()),"",IF(N(INDEX(tsk_Deadline,(ROW()-ROW(MSPTasks[[#Headers],[ID]]))))=0,"",INDEX(tsk_Deadline,(ROW()-ROW(MSPTasks[[#Headers],[ID]])))))</f>
        <v/>
      </c>
      <c r="X154" s="24" t="str">
        <f aca="false">IF(IFERROR(INDEX(tsk_Name,(ROW()-ROW(MSPTasks[[#Headers],[ID]])))="",TRUE()),"",IF(INDEX(tsk_IsSummary,(ROW()-ROW(MSPTasks[[#Headers],[ID]]))),"",INDEX(tsk_Sprint,(ROW()-ROW(MSPTasks[[#Headers],[ID]])))&amp;""))</f>
        <v/>
      </c>
      <c r="Y154" s="24" t="str">
        <f aca="false">IF(IFERROR(INDEX(tsk_Name,(ROW()-ROW(MSPTasks[[#Headers],[ID]])))="",TRUE()),"",IF(INDEX(tsk_IsSummary,(ROW()-ROW(MSPTasks[[#Headers],[ID]]))),"",IF(N(INDEX(tsk_StoryPoints,(ROW()-ROW(MSPTasks[[#Headers],[ID]]))))=0,"",INDEX(tsk_StoryPoints,(ROW()-ROW(MSPTasks[[#Headers],[ID]]))))))</f>
        <v/>
      </c>
      <c r="Z154" s="24" t="str">
        <f aca="false">IF(IFERROR(INDEX(tsk_Name,(ROW()-ROW(MSPTasks[[#Headers],[ID]])))="",TRUE()),"",INDEX(tsk_Notes,(ROW()-ROW(MSPTasks[[#Headers],[ID]])))&amp;"")</f>
        <v/>
      </c>
    </row>
    <row r="155" customFormat="false" ht="15" hidden="false" customHeight="false" outlineLevel="0" collapsed="false">
      <c r="A155" s="24" t="str">
        <f aca="false">IF(IFERROR(INDEX(tsk_Name,(ROW()-ROW(MSPTasks[[#Headers],[ID]])))="",TRUE()),"",INDEX(tsk_ID,(ROW()-ROW(MSPTasks[[#Headers],[ID]]))))</f>
        <v/>
      </c>
      <c r="B155" s="24" t="str">
        <f aca="false">IF(IFERROR(INDEX(tsk_Name,(ROW()-ROW(MSPTasks[[#Headers],[ID]])))="",TRUE()),"",INDEX(tsk_UID,(ROW()-ROW(MSPTasks[[#Headers],[ID]]))))</f>
        <v/>
      </c>
      <c r="C155" s="24" t="str">
        <f aca="false">IF(IFERROR(INDEX(tsk_Name,(ROW()-ROW(MSPTasks[[#Headers],[ID]])))="",TRUE()),"",INDEX(tsk_Name,(ROW()-ROW(MSPTasks[[#Headers],[ID]]))))</f>
        <v/>
      </c>
      <c r="D155" s="24" t="str">
        <f aca="false">IF(IFERROR(INDEX(tsk_Name,(ROW()-ROW(MSPTasks[[#Headers],[ID]])))="",TRUE()),"",INDEX(tsk_Level,(ROW()-ROW(MSPTasks[[#Headers],[ID]]))))</f>
        <v/>
      </c>
      <c r="E155" s="24" t="str">
        <f aca="false">IF(IFERROR(INDEX(tsk_Name,(ROW()-ROW(MSPTasks[[#Headers],[ID]])))="",TRUE()),"",IF(INDEX(tsk_Mode,(ROW()-ROW(MSPTasks[[#Headers],[ID]])))="Manual","Manually Scheduled","Auto Scheduled"))</f>
        <v/>
      </c>
      <c r="F155" s="24" t="str">
        <f aca="false">IF(IFERROR(INDEX(tsk_Name,(ROW()-ROW(MSPTasks[[#Headers],[ID]])))="",TRUE()),"",IF(INDEX(tsk_IsSummary,(ROW()-ROW(MSPTasks[[#Headers],[ID]]))),"",N(INDEX(tsk_Duration,(ROW()-ROW(MSPTasks[[#Headers],[ID]]))))&amp;"d"))</f>
        <v/>
      </c>
      <c r="G155" s="127" t="str">
        <f aca="false">IF(IFERROR(INDEX(tsk_Name,(ROW()-ROW(MSPTasks[[#Headers],[ID]])))="",TRUE()),"",INDEX(tsk_FcStart,(ROW()-ROW(MSPTasks[[#Headers],[ID]]))))</f>
        <v/>
      </c>
      <c r="H155" s="127" t="str">
        <f aca="false">IF(IFERROR(INDEX(tsk_Name,(ROW()-ROW(MSPTasks[[#Headers],[ID]])))="",TRUE()),"",INDEX(tsk_FcFinish,(ROW()-ROW(MSPTasks[[#Headers],[ID]]))))</f>
        <v/>
      </c>
      <c r="I155" s="24" t="str">
        <f aca="false">IF(IFERROR(INDEX(tsk_Name,(ROW()-ROW(MSPTasks[[#Headers],[ID]])))="",TRUE()),"",IF(INDEX(tsk_IsSummary,(ROW()-ROW(MSPTasks[[#Headers],[ID]]))),"",INDEX(tsk_Predecessors,(ROW()-ROW(MSPTasks[[#Headers],[ID]])))))</f>
        <v/>
      </c>
      <c r="J155" s="24" t="str">
        <f aca="false">IF(IFERROR(INDEX(tsk_Name,(ROW()-ROW(MSPTasks[[#Headers],[ID]])))="",TRUE()),"",IF(INDEX(tsk_IsSummary,(ROW()-ROW(MSPTasks[[#Headers],[ID]]))),"",INDEX(tsk_UIDPredecessors,(ROW()-ROW(MSPTasks[[#Headers],[ID]])))))</f>
        <v/>
      </c>
      <c r="K15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5" s="24" t="str">
        <f aca="false">IF(IFERROR(INDEX(tsk_Name,(ROW()-ROW(MSPTasks[[#Headers],[ID]])))="",TRUE()),"",IF(INDEX(tsk_IsSummary,(ROW()-ROW(MSPTasks[[#Headers],[ID]]))),"",ROUND(INDEX(tsk_Progress,(ROW()-ROW(MSPTasks[[#Headers],[ID]])))*100,0)))</f>
        <v/>
      </c>
      <c r="M155" s="127" t="str">
        <f aca="false">IF(IFERROR(INDEX(tsk_Name,(ROW()-ROW(MSPTasks[[#Headers],[ID]])))="",TRUE()),"",IF(N(INDEX(tsk_ActStart,(ROW()-ROW(MSPTasks[[#Headers],[ID]]))))=0,"",INDEX(tsk_ActStart,(ROW()-ROW(MSPTasks[[#Headers],[ID]])))))</f>
        <v/>
      </c>
      <c r="N155" s="127" t="str">
        <f aca="false">IF(IFERROR(INDEX(tsk_Name,(ROW()-ROW(MSPTasks[[#Headers],[ID]])))="",TRUE()),"",IF(N(INDEX(tsk_ActFinish,(ROW()-ROW(MSPTasks[[#Headers],[ID]]))))=0,"",INDEX(tsk_ActFinish,(ROW()-ROW(MSPTasks[[#Headers],[ID]])))))</f>
        <v/>
      </c>
      <c r="O155" s="127" t="str">
        <f aca="false">IF(IFERROR(INDEX(tsk_Name,(ROW()-ROW(MSPTasks[[#Headers],[ID]])))="",TRUE()),"",INDEX(tsk_PlanStart,(ROW()-ROW(MSPTasks[[#Headers],[ID]]))))</f>
        <v/>
      </c>
      <c r="P155" s="127" t="str">
        <f aca="false">IF(IFERROR(INDEX(tsk_Name,(ROW()-ROW(MSPTasks[[#Headers],[ID]])))="",TRUE()),"",INDEX(tsk_PlanFinish,(ROW()-ROW(MSPTasks[[#Headers],[ID]]))))</f>
        <v/>
      </c>
      <c r="Q155" s="24" t="str">
        <f aca="false">IF(IFERROR(INDEX(tsk_Name,(ROW()-ROW(MSPTasks[[#Headers],[ID]])))="",TRUE()),"",IF(INDEX(tsk_BaseDuration,(ROW()-ROW(MSPTasks[[#Headers],[ID]])))="","",N(INDEX(tsk_BaseDuration,(ROW()-ROW(MSPTasks[[#Headers],[ID]]))))&amp;"d"))</f>
        <v/>
      </c>
      <c r="R155" s="24" t="str">
        <f aca="false">IF(IFERROR(INDEX(tsk_Name,(ROW()-ROW(MSPTasks[[#Headers],[ID]])))="",TRUE()),"",IF(INDEX(tsk_BaseWork,(ROW()-ROW(MSPTasks[[#Headers],[ID]])))="","",N(INDEX(tsk_BaseWork,(ROW()-ROW(MSPTasks[[#Headers],[ID]]))))&amp;"h"))</f>
        <v/>
      </c>
      <c r="S155" s="24" t="str">
        <f aca="false">IF(IFERROR(INDEX(tsk_Name,(ROW()-ROW(MSPTasks[[#Headers],[ID]])))="",TRUE()),"",IF(INDEX(tsk_BaseCost,(ROW()-ROW(MSPTasks[[#Headers],[ID]])))="","",N(INDEX(tsk_BaseCost,(ROW()-ROW(MSPTasks[[#Headers],[ID]]))))))</f>
        <v/>
      </c>
      <c r="T155" s="24" t="str">
        <f aca="false">IF(IFERROR(INDEX(tsk_Name,(ROW()-ROW(MSPTasks[[#Headers],[ID]])))="",TRUE()),"",IF(INDEX(tsk_IsSummary,(ROW()-ROW(MSPTasks[[#Headers],[ID]]))),"",IF(N(INDEX(tsk_ActCostInput,(ROW()-ROW(MSPTasks[[#Headers],[ID]]))))=0,"",INDEX(tsk_ActCostInput,(ROW()-ROW(MSPTasks[[#Headers],[ID]]))))))</f>
        <v/>
      </c>
      <c r="U155" s="24" t="str">
        <f aca="false">IF(IFERROR(INDEX(tsk_Name,(ROW()-ROW(MSPTasks[[#Headers],[ID]])))="",TRUE()),"",IF(INDEX(tsk_IsSummary,(ROW()-ROW(MSPTasks[[#Headers],[ID]]))),"",IF(AND(INDEX(tsk_Mode,(ROW()-ROW(MSPTasks[[#Headers],[ID]])))&lt;&gt;"Manual",N(INDEX(tsk_Constraint,(ROW()-ROW(MSPTasks[[#Headers],[ID]]))))&gt;0),"Start No Earlier Than","As Soon As Possible")))</f>
        <v/>
      </c>
      <c r="V155" s="127" t="str">
        <f aca="false">IF(IFERROR(INDEX(tsk_Name,(ROW()-ROW(MSPTasks[[#Headers],[ID]])))="",TRUE()),"",IF(OR(INDEX(tsk_IsSummary,(ROW()-ROW(MSPTasks[[#Headers],[ID]]))),INDEX(tsk_Mode,(ROW()-ROW(MSPTasks[[#Headers],[ID]])))="Manual"),"",IF(N(INDEX(tsk_Constraint,(ROW()-ROW(MSPTasks[[#Headers],[ID]]))))=0,"",INDEX(tsk_Constraint,(ROW()-ROW(MSPTasks[[#Headers],[ID]]))))))</f>
        <v/>
      </c>
      <c r="W155" s="127" t="str">
        <f aca="false">IF(IFERROR(INDEX(tsk_Name,(ROW()-ROW(MSPTasks[[#Headers],[ID]])))="",TRUE()),"",IF(N(INDEX(tsk_Deadline,(ROW()-ROW(MSPTasks[[#Headers],[ID]]))))=0,"",INDEX(tsk_Deadline,(ROW()-ROW(MSPTasks[[#Headers],[ID]])))))</f>
        <v/>
      </c>
      <c r="X155" s="24" t="str">
        <f aca="false">IF(IFERROR(INDEX(tsk_Name,(ROW()-ROW(MSPTasks[[#Headers],[ID]])))="",TRUE()),"",IF(INDEX(tsk_IsSummary,(ROW()-ROW(MSPTasks[[#Headers],[ID]]))),"",INDEX(tsk_Sprint,(ROW()-ROW(MSPTasks[[#Headers],[ID]])))&amp;""))</f>
        <v/>
      </c>
      <c r="Y155" s="24" t="str">
        <f aca="false">IF(IFERROR(INDEX(tsk_Name,(ROW()-ROW(MSPTasks[[#Headers],[ID]])))="",TRUE()),"",IF(INDEX(tsk_IsSummary,(ROW()-ROW(MSPTasks[[#Headers],[ID]]))),"",IF(N(INDEX(tsk_StoryPoints,(ROW()-ROW(MSPTasks[[#Headers],[ID]]))))=0,"",INDEX(tsk_StoryPoints,(ROW()-ROW(MSPTasks[[#Headers],[ID]]))))))</f>
        <v/>
      </c>
      <c r="Z155" s="24" t="str">
        <f aca="false">IF(IFERROR(INDEX(tsk_Name,(ROW()-ROW(MSPTasks[[#Headers],[ID]])))="",TRUE()),"",INDEX(tsk_Notes,(ROW()-ROW(MSPTasks[[#Headers],[ID]])))&amp;"")</f>
        <v/>
      </c>
    </row>
    <row r="156" customFormat="false" ht="15" hidden="false" customHeight="false" outlineLevel="0" collapsed="false">
      <c r="A156" s="24" t="str">
        <f aca="false">IF(IFERROR(INDEX(tsk_Name,(ROW()-ROW(MSPTasks[[#Headers],[ID]])))="",TRUE()),"",INDEX(tsk_ID,(ROW()-ROW(MSPTasks[[#Headers],[ID]]))))</f>
        <v/>
      </c>
      <c r="B156" s="24" t="str">
        <f aca="false">IF(IFERROR(INDEX(tsk_Name,(ROW()-ROW(MSPTasks[[#Headers],[ID]])))="",TRUE()),"",INDEX(tsk_UID,(ROW()-ROW(MSPTasks[[#Headers],[ID]]))))</f>
        <v/>
      </c>
      <c r="C156" s="24" t="str">
        <f aca="false">IF(IFERROR(INDEX(tsk_Name,(ROW()-ROW(MSPTasks[[#Headers],[ID]])))="",TRUE()),"",INDEX(tsk_Name,(ROW()-ROW(MSPTasks[[#Headers],[ID]]))))</f>
        <v/>
      </c>
      <c r="D156" s="24" t="str">
        <f aca="false">IF(IFERROR(INDEX(tsk_Name,(ROW()-ROW(MSPTasks[[#Headers],[ID]])))="",TRUE()),"",INDEX(tsk_Level,(ROW()-ROW(MSPTasks[[#Headers],[ID]]))))</f>
        <v/>
      </c>
      <c r="E156" s="24" t="str">
        <f aca="false">IF(IFERROR(INDEX(tsk_Name,(ROW()-ROW(MSPTasks[[#Headers],[ID]])))="",TRUE()),"",IF(INDEX(tsk_Mode,(ROW()-ROW(MSPTasks[[#Headers],[ID]])))="Manual","Manually Scheduled","Auto Scheduled"))</f>
        <v/>
      </c>
      <c r="F156" s="24" t="str">
        <f aca="false">IF(IFERROR(INDEX(tsk_Name,(ROW()-ROW(MSPTasks[[#Headers],[ID]])))="",TRUE()),"",IF(INDEX(tsk_IsSummary,(ROW()-ROW(MSPTasks[[#Headers],[ID]]))),"",N(INDEX(tsk_Duration,(ROW()-ROW(MSPTasks[[#Headers],[ID]]))))&amp;"d"))</f>
        <v/>
      </c>
      <c r="G156" s="127" t="str">
        <f aca="false">IF(IFERROR(INDEX(tsk_Name,(ROW()-ROW(MSPTasks[[#Headers],[ID]])))="",TRUE()),"",INDEX(tsk_FcStart,(ROW()-ROW(MSPTasks[[#Headers],[ID]]))))</f>
        <v/>
      </c>
      <c r="H156" s="127" t="str">
        <f aca="false">IF(IFERROR(INDEX(tsk_Name,(ROW()-ROW(MSPTasks[[#Headers],[ID]])))="",TRUE()),"",INDEX(tsk_FcFinish,(ROW()-ROW(MSPTasks[[#Headers],[ID]]))))</f>
        <v/>
      </c>
      <c r="I156" s="24" t="str">
        <f aca="false">IF(IFERROR(INDEX(tsk_Name,(ROW()-ROW(MSPTasks[[#Headers],[ID]])))="",TRUE()),"",IF(INDEX(tsk_IsSummary,(ROW()-ROW(MSPTasks[[#Headers],[ID]]))),"",INDEX(tsk_Predecessors,(ROW()-ROW(MSPTasks[[#Headers],[ID]])))))</f>
        <v/>
      </c>
      <c r="J156" s="24" t="str">
        <f aca="false">IF(IFERROR(INDEX(tsk_Name,(ROW()-ROW(MSPTasks[[#Headers],[ID]])))="",TRUE()),"",IF(INDEX(tsk_IsSummary,(ROW()-ROW(MSPTasks[[#Headers],[ID]]))),"",INDEX(tsk_UIDPredecessors,(ROW()-ROW(MSPTasks[[#Headers],[ID]])))))</f>
        <v/>
      </c>
      <c r="K15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6" s="24" t="str">
        <f aca="false">IF(IFERROR(INDEX(tsk_Name,(ROW()-ROW(MSPTasks[[#Headers],[ID]])))="",TRUE()),"",IF(INDEX(tsk_IsSummary,(ROW()-ROW(MSPTasks[[#Headers],[ID]]))),"",ROUND(INDEX(tsk_Progress,(ROW()-ROW(MSPTasks[[#Headers],[ID]])))*100,0)))</f>
        <v/>
      </c>
      <c r="M156" s="127" t="str">
        <f aca="false">IF(IFERROR(INDEX(tsk_Name,(ROW()-ROW(MSPTasks[[#Headers],[ID]])))="",TRUE()),"",IF(N(INDEX(tsk_ActStart,(ROW()-ROW(MSPTasks[[#Headers],[ID]]))))=0,"",INDEX(tsk_ActStart,(ROW()-ROW(MSPTasks[[#Headers],[ID]])))))</f>
        <v/>
      </c>
      <c r="N156" s="127" t="str">
        <f aca="false">IF(IFERROR(INDEX(tsk_Name,(ROW()-ROW(MSPTasks[[#Headers],[ID]])))="",TRUE()),"",IF(N(INDEX(tsk_ActFinish,(ROW()-ROW(MSPTasks[[#Headers],[ID]]))))=0,"",INDEX(tsk_ActFinish,(ROW()-ROW(MSPTasks[[#Headers],[ID]])))))</f>
        <v/>
      </c>
      <c r="O156" s="127" t="str">
        <f aca="false">IF(IFERROR(INDEX(tsk_Name,(ROW()-ROW(MSPTasks[[#Headers],[ID]])))="",TRUE()),"",INDEX(tsk_PlanStart,(ROW()-ROW(MSPTasks[[#Headers],[ID]]))))</f>
        <v/>
      </c>
      <c r="P156" s="127" t="str">
        <f aca="false">IF(IFERROR(INDEX(tsk_Name,(ROW()-ROW(MSPTasks[[#Headers],[ID]])))="",TRUE()),"",INDEX(tsk_PlanFinish,(ROW()-ROW(MSPTasks[[#Headers],[ID]]))))</f>
        <v/>
      </c>
      <c r="Q156" s="24" t="str">
        <f aca="false">IF(IFERROR(INDEX(tsk_Name,(ROW()-ROW(MSPTasks[[#Headers],[ID]])))="",TRUE()),"",IF(INDEX(tsk_BaseDuration,(ROW()-ROW(MSPTasks[[#Headers],[ID]])))="","",N(INDEX(tsk_BaseDuration,(ROW()-ROW(MSPTasks[[#Headers],[ID]]))))&amp;"d"))</f>
        <v/>
      </c>
      <c r="R156" s="24" t="str">
        <f aca="false">IF(IFERROR(INDEX(tsk_Name,(ROW()-ROW(MSPTasks[[#Headers],[ID]])))="",TRUE()),"",IF(INDEX(tsk_BaseWork,(ROW()-ROW(MSPTasks[[#Headers],[ID]])))="","",N(INDEX(tsk_BaseWork,(ROW()-ROW(MSPTasks[[#Headers],[ID]]))))&amp;"h"))</f>
        <v/>
      </c>
      <c r="S156" s="24" t="str">
        <f aca="false">IF(IFERROR(INDEX(tsk_Name,(ROW()-ROW(MSPTasks[[#Headers],[ID]])))="",TRUE()),"",IF(INDEX(tsk_BaseCost,(ROW()-ROW(MSPTasks[[#Headers],[ID]])))="","",N(INDEX(tsk_BaseCost,(ROW()-ROW(MSPTasks[[#Headers],[ID]]))))))</f>
        <v/>
      </c>
      <c r="T156" s="24" t="str">
        <f aca="false">IF(IFERROR(INDEX(tsk_Name,(ROW()-ROW(MSPTasks[[#Headers],[ID]])))="",TRUE()),"",IF(INDEX(tsk_IsSummary,(ROW()-ROW(MSPTasks[[#Headers],[ID]]))),"",IF(N(INDEX(tsk_ActCostInput,(ROW()-ROW(MSPTasks[[#Headers],[ID]]))))=0,"",INDEX(tsk_ActCostInput,(ROW()-ROW(MSPTasks[[#Headers],[ID]]))))))</f>
        <v/>
      </c>
      <c r="U156" s="24" t="str">
        <f aca="false">IF(IFERROR(INDEX(tsk_Name,(ROW()-ROW(MSPTasks[[#Headers],[ID]])))="",TRUE()),"",IF(INDEX(tsk_IsSummary,(ROW()-ROW(MSPTasks[[#Headers],[ID]]))),"",IF(AND(INDEX(tsk_Mode,(ROW()-ROW(MSPTasks[[#Headers],[ID]])))&lt;&gt;"Manual",N(INDEX(tsk_Constraint,(ROW()-ROW(MSPTasks[[#Headers],[ID]]))))&gt;0),"Start No Earlier Than","As Soon As Possible")))</f>
        <v/>
      </c>
      <c r="V156" s="127" t="str">
        <f aca="false">IF(IFERROR(INDEX(tsk_Name,(ROW()-ROW(MSPTasks[[#Headers],[ID]])))="",TRUE()),"",IF(OR(INDEX(tsk_IsSummary,(ROW()-ROW(MSPTasks[[#Headers],[ID]]))),INDEX(tsk_Mode,(ROW()-ROW(MSPTasks[[#Headers],[ID]])))="Manual"),"",IF(N(INDEX(tsk_Constraint,(ROW()-ROW(MSPTasks[[#Headers],[ID]]))))=0,"",INDEX(tsk_Constraint,(ROW()-ROW(MSPTasks[[#Headers],[ID]]))))))</f>
        <v/>
      </c>
      <c r="W156" s="127" t="str">
        <f aca="false">IF(IFERROR(INDEX(tsk_Name,(ROW()-ROW(MSPTasks[[#Headers],[ID]])))="",TRUE()),"",IF(N(INDEX(tsk_Deadline,(ROW()-ROW(MSPTasks[[#Headers],[ID]]))))=0,"",INDEX(tsk_Deadline,(ROW()-ROW(MSPTasks[[#Headers],[ID]])))))</f>
        <v/>
      </c>
      <c r="X156" s="24" t="str">
        <f aca="false">IF(IFERROR(INDEX(tsk_Name,(ROW()-ROW(MSPTasks[[#Headers],[ID]])))="",TRUE()),"",IF(INDEX(tsk_IsSummary,(ROW()-ROW(MSPTasks[[#Headers],[ID]]))),"",INDEX(tsk_Sprint,(ROW()-ROW(MSPTasks[[#Headers],[ID]])))&amp;""))</f>
        <v/>
      </c>
      <c r="Y156" s="24" t="str">
        <f aca="false">IF(IFERROR(INDEX(tsk_Name,(ROW()-ROW(MSPTasks[[#Headers],[ID]])))="",TRUE()),"",IF(INDEX(tsk_IsSummary,(ROW()-ROW(MSPTasks[[#Headers],[ID]]))),"",IF(N(INDEX(tsk_StoryPoints,(ROW()-ROW(MSPTasks[[#Headers],[ID]]))))=0,"",INDEX(tsk_StoryPoints,(ROW()-ROW(MSPTasks[[#Headers],[ID]]))))))</f>
        <v/>
      </c>
      <c r="Z156" s="24" t="str">
        <f aca="false">IF(IFERROR(INDEX(tsk_Name,(ROW()-ROW(MSPTasks[[#Headers],[ID]])))="",TRUE()),"",INDEX(tsk_Notes,(ROW()-ROW(MSPTasks[[#Headers],[ID]])))&amp;"")</f>
        <v/>
      </c>
    </row>
    <row r="157" customFormat="false" ht="15" hidden="false" customHeight="false" outlineLevel="0" collapsed="false">
      <c r="A157" s="24" t="str">
        <f aca="false">IF(IFERROR(INDEX(tsk_Name,(ROW()-ROW(MSPTasks[[#Headers],[ID]])))="",TRUE()),"",INDEX(tsk_ID,(ROW()-ROW(MSPTasks[[#Headers],[ID]]))))</f>
        <v/>
      </c>
      <c r="B157" s="24" t="str">
        <f aca="false">IF(IFERROR(INDEX(tsk_Name,(ROW()-ROW(MSPTasks[[#Headers],[ID]])))="",TRUE()),"",INDEX(tsk_UID,(ROW()-ROW(MSPTasks[[#Headers],[ID]]))))</f>
        <v/>
      </c>
      <c r="C157" s="24" t="str">
        <f aca="false">IF(IFERROR(INDEX(tsk_Name,(ROW()-ROW(MSPTasks[[#Headers],[ID]])))="",TRUE()),"",INDEX(tsk_Name,(ROW()-ROW(MSPTasks[[#Headers],[ID]]))))</f>
        <v/>
      </c>
      <c r="D157" s="24" t="str">
        <f aca="false">IF(IFERROR(INDEX(tsk_Name,(ROW()-ROW(MSPTasks[[#Headers],[ID]])))="",TRUE()),"",INDEX(tsk_Level,(ROW()-ROW(MSPTasks[[#Headers],[ID]]))))</f>
        <v/>
      </c>
      <c r="E157" s="24" t="str">
        <f aca="false">IF(IFERROR(INDEX(tsk_Name,(ROW()-ROW(MSPTasks[[#Headers],[ID]])))="",TRUE()),"",IF(INDEX(tsk_Mode,(ROW()-ROW(MSPTasks[[#Headers],[ID]])))="Manual","Manually Scheduled","Auto Scheduled"))</f>
        <v/>
      </c>
      <c r="F157" s="24" t="str">
        <f aca="false">IF(IFERROR(INDEX(tsk_Name,(ROW()-ROW(MSPTasks[[#Headers],[ID]])))="",TRUE()),"",IF(INDEX(tsk_IsSummary,(ROW()-ROW(MSPTasks[[#Headers],[ID]]))),"",N(INDEX(tsk_Duration,(ROW()-ROW(MSPTasks[[#Headers],[ID]]))))&amp;"d"))</f>
        <v/>
      </c>
      <c r="G157" s="127" t="str">
        <f aca="false">IF(IFERROR(INDEX(tsk_Name,(ROW()-ROW(MSPTasks[[#Headers],[ID]])))="",TRUE()),"",INDEX(tsk_FcStart,(ROW()-ROW(MSPTasks[[#Headers],[ID]]))))</f>
        <v/>
      </c>
      <c r="H157" s="127" t="str">
        <f aca="false">IF(IFERROR(INDEX(tsk_Name,(ROW()-ROW(MSPTasks[[#Headers],[ID]])))="",TRUE()),"",INDEX(tsk_FcFinish,(ROW()-ROW(MSPTasks[[#Headers],[ID]]))))</f>
        <v/>
      </c>
      <c r="I157" s="24" t="str">
        <f aca="false">IF(IFERROR(INDEX(tsk_Name,(ROW()-ROW(MSPTasks[[#Headers],[ID]])))="",TRUE()),"",IF(INDEX(tsk_IsSummary,(ROW()-ROW(MSPTasks[[#Headers],[ID]]))),"",INDEX(tsk_Predecessors,(ROW()-ROW(MSPTasks[[#Headers],[ID]])))))</f>
        <v/>
      </c>
      <c r="J157" s="24" t="str">
        <f aca="false">IF(IFERROR(INDEX(tsk_Name,(ROW()-ROW(MSPTasks[[#Headers],[ID]])))="",TRUE()),"",IF(INDEX(tsk_IsSummary,(ROW()-ROW(MSPTasks[[#Headers],[ID]]))),"",INDEX(tsk_UIDPredecessors,(ROW()-ROW(MSPTasks[[#Headers],[ID]])))))</f>
        <v/>
      </c>
      <c r="K15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7" s="24" t="str">
        <f aca="false">IF(IFERROR(INDEX(tsk_Name,(ROW()-ROW(MSPTasks[[#Headers],[ID]])))="",TRUE()),"",IF(INDEX(tsk_IsSummary,(ROW()-ROW(MSPTasks[[#Headers],[ID]]))),"",ROUND(INDEX(tsk_Progress,(ROW()-ROW(MSPTasks[[#Headers],[ID]])))*100,0)))</f>
        <v/>
      </c>
      <c r="M157" s="127" t="str">
        <f aca="false">IF(IFERROR(INDEX(tsk_Name,(ROW()-ROW(MSPTasks[[#Headers],[ID]])))="",TRUE()),"",IF(N(INDEX(tsk_ActStart,(ROW()-ROW(MSPTasks[[#Headers],[ID]]))))=0,"",INDEX(tsk_ActStart,(ROW()-ROW(MSPTasks[[#Headers],[ID]])))))</f>
        <v/>
      </c>
      <c r="N157" s="127" t="str">
        <f aca="false">IF(IFERROR(INDEX(tsk_Name,(ROW()-ROW(MSPTasks[[#Headers],[ID]])))="",TRUE()),"",IF(N(INDEX(tsk_ActFinish,(ROW()-ROW(MSPTasks[[#Headers],[ID]]))))=0,"",INDEX(tsk_ActFinish,(ROW()-ROW(MSPTasks[[#Headers],[ID]])))))</f>
        <v/>
      </c>
      <c r="O157" s="127" t="str">
        <f aca="false">IF(IFERROR(INDEX(tsk_Name,(ROW()-ROW(MSPTasks[[#Headers],[ID]])))="",TRUE()),"",INDEX(tsk_PlanStart,(ROW()-ROW(MSPTasks[[#Headers],[ID]]))))</f>
        <v/>
      </c>
      <c r="P157" s="127" t="str">
        <f aca="false">IF(IFERROR(INDEX(tsk_Name,(ROW()-ROW(MSPTasks[[#Headers],[ID]])))="",TRUE()),"",INDEX(tsk_PlanFinish,(ROW()-ROW(MSPTasks[[#Headers],[ID]]))))</f>
        <v/>
      </c>
      <c r="Q157" s="24" t="str">
        <f aca="false">IF(IFERROR(INDEX(tsk_Name,(ROW()-ROW(MSPTasks[[#Headers],[ID]])))="",TRUE()),"",IF(INDEX(tsk_BaseDuration,(ROW()-ROW(MSPTasks[[#Headers],[ID]])))="","",N(INDEX(tsk_BaseDuration,(ROW()-ROW(MSPTasks[[#Headers],[ID]]))))&amp;"d"))</f>
        <v/>
      </c>
      <c r="R157" s="24" t="str">
        <f aca="false">IF(IFERROR(INDEX(tsk_Name,(ROW()-ROW(MSPTasks[[#Headers],[ID]])))="",TRUE()),"",IF(INDEX(tsk_BaseWork,(ROW()-ROW(MSPTasks[[#Headers],[ID]])))="","",N(INDEX(tsk_BaseWork,(ROW()-ROW(MSPTasks[[#Headers],[ID]]))))&amp;"h"))</f>
        <v/>
      </c>
      <c r="S157" s="24" t="str">
        <f aca="false">IF(IFERROR(INDEX(tsk_Name,(ROW()-ROW(MSPTasks[[#Headers],[ID]])))="",TRUE()),"",IF(INDEX(tsk_BaseCost,(ROW()-ROW(MSPTasks[[#Headers],[ID]])))="","",N(INDEX(tsk_BaseCost,(ROW()-ROW(MSPTasks[[#Headers],[ID]]))))))</f>
        <v/>
      </c>
      <c r="T157" s="24" t="str">
        <f aca="false">IF(IFERROR(INDEX(tsk_Name,(ROW()-ROW(MSPTasks[[#Headers],[ID]])))="",TRUE()),"",IF(INDEX(tsk_IsSummary,(ROW()-ROW(MSPTasks[[#Headers],[ID]]))),"",IF(N(INDEX(tsk_ActCostInput,(ROW()-ROW(MSPTasks[[#Headers],[ID]]))))=0,"",INDEX(tsk_ActCostInput,(ROW()-ROW(MSPTasks[[#Headers],[ID]]))))))</f>
        <v/>
      </c>
      <c r="U157" s="24" t="str">
        <f aca="false">IF(IFERROR(INDEX(tsk_Name,(ROW()-ROW(MSPTasks[[#Headers],[ID]])))="",TRUE()),"",IF(INDEX(tsk_IsSummary,(ROW()-ROW(MSPTasks[[#Headers],[ID]]))),"",IF(AND(INDEX(tsk_Mode,(ROW()-ROW(MSPTasks[[#Headers],[ID]])))&lt;&gt;"Manual",N(INDEX(tsk_Constraint,(ROW()-ROW(MSPTasks[[#Headers],[ID]]))))&gt;0),"Start No Earlier Than","As Soon As Possible")))</f>
        <v/>
      </c>
      <c r="V157" s="127" t="str">
        <f aca="false">IF(IFERROR(INDEX(tsk_Name,(ROW()-ROW(MSPTasks[[#Headers],[ID]])))="",TRUE()),"",IF(OR(INDEX(tsk_IsSummary,(ROW()-ROW(MSPTasks[[#Headers],[ID]]))),INDEX(tsk_Mode,(ROW()-ROW(MSPTasks[[#Headers],[ID]])))="Manual"),"",IF(N(INDEX(tsk_Constraint,(ROW()-ROW(MSPTasks[[#Headers],[ID]]))))=0,"",INDEX(tsk_Constraint,(ROW()-ROW(MSPTasks[[#Headers],[ID]]))))))</f>
        <v/>
      </c>
      <c r="W157" s="127" t="str">
        <f aca="false">IF(IFERROR(INDEX(tsk_Name,(ROW()-ROW(MSPTasks[[#Headers],[ID]])))="",TRUE()),"",IF(N(INDEX(tsk_Deadline,(ROW()-ROW(MSPTasks[[#Headers],[ID]]))))=0,"",INDEX(tsk_Deadline,(ROW()-ROW(MSPTasks[[#Headers],[ID]])))))</f>
        <v/>
      </c>
      <c r="X157" s="24" t="str">
        <f aca="false">IF(IFERROR(INDEX(tsk_Name,(ROW()-ROW(MSPTasks[[#Headers],[ID]])))="",TRUE()),"",IF(INDEX(tsk_IsSummary,(ROW()-ROW(MSPTasks[[#Headers],[ID]]))),"",INDEX(tsk_Sprint,(ROW()-ROW(MSPTasks[[#Headers],[ID]])))&amp;""))</f>
        <v/>
      </c>
      <c r="Y157" s="24" t="str">
        <f aca="false">IF(IFERROR(INDEX(tsk_Name,(ROW()-ROW(MSPTasks[[#Headers],[ID]])))="",TRUE()),"",IF(INDEX(tsk_IsSummary,(ROW()-ROW(MSPTasks[[#Headers],[ID]]))),"",IF(N(INDEX(tsk_StoryPoints,(ROW()-ROW(MSPTasks[[#Headers],[ID]]))))=0,"",INDEX(tsk_StoryPoints,(ROW()-ROW(MSPTasks[[#Headers],[ID]]))))))</f>
        <v/>
      </c>
      <c r="Z157" s="24" t="str">
        <f aca="false">IF(IFERROR(INDEX(tsk_Name,(ROW()-ROW(MSPTasks[[#Headers],[ID]])))="",TRUE()),"",INDEX(tsk_Notes,(ROW()-ROW(MSPTasks[[#Headers],[ID]])))&amp;"")</f>
        <v/>
      </c>
    </row>
    <row r="158" customFormat="false" ht="15" hidden="false" customHeight="false" outlineLevel="0" collapsed="false">
      <c r="A158" s="24" t="str">
        <f aca="false">IF(IFERROR(INDEX(tsk_Name,(ROW()-ROW(MSPTasks[[#Headers],[ID]])))="",TRUE()),"",INDEX(tsk_ID,(ROW()-ROW(MSPTasks[[#Headers],[ID]]))))</f>
        <v/>
      </c>
      <c r="B158" s="24" t="str">
        <f aca="false">IF(IFERROR(INDEX(tsk_Name,(ROW()-ROW(MSPTasks[[#Headers],[ID]])))="",TRUE()),"",INDEX(tsk_UID,(ROW()-ROW(MSPTasks[[#Headers],[ID]]))))</f>
        <v/>
      </c>
      <c r="C158" s="24" t="str">
        <f aca="false">IF(IFERROR(INDEX(tsk_Name,(ROW()-ROW(MSPTasks[[#Headers],[ID]])))="",TRUE()),"",INDEX(tsk_Name,(ROW()-ROW(MSPTasks[[#Headers],[ID]]))))</f>
        <v/>
      </c>
      <c r="D158" s="24" t="str">
        <f aca="false">IF(IFERROR(INDEX(tsk_Name,(ROW()-ROW(MSPTasks[[#Headers],[ID]])))="",TRUE()),"",INDEX(tsk_Level,(ROW()-ROW(MSPTasks[[#Headers],[ID]]))))</f>
        <v/>
      </c>
      <c r="E158" s="24" t="str">
        <f aca="false">IF(IFERROR(INDEX(tsk_Name,(ROW()-ROW(MSPTasks[[#Headers],[ID]])))="",TRUE()),"",IF(INDEX(tsk_Mode,(ROW()-ROW(MSPTasks[[#Headers],[ID]])))="Manual","Manually Scheduled","Auto Scheduled"))</f>
        <v/>
      </c>
      <c r="F158" s="24" t="str">
        <f aca="false">IF(IFERROR(INDEX(tsk_Name,(ROW()-ROW(MSPTasks[[#Headers],[ID]])))="",TRUE()),"",IF(INDEX(tsk_IsSummary,(ROW()-ROW(MSPTasks[[#Headers],[ID]]))),"",N(INDEX(tsk_Duration,(ROW()-ROW(MSPTasks[[#Headers],[ID]]))))&amp;"d"))</f>
        <v/>
      </c>
      <c r="G158" s="127" t="str">
        <f aca="false">IF(IFERROR(INDEX(tsk_Name,(ROW()-ROW(MSPTasks[[#Headers],[ID]])))="",TRUE()),"",INDEX(tsk_FcStart,(ROW()-ROW(MSPTasks[[#Headers],[ID]]))))</f>
        <v/>
      </c>
      <c r="H158" s="127" t="str">
        <f aca="false">IF(IFERROR(INDEX(tsk_Name,(ROW()-ROW(MSPTasks[[#Headers],[ID]])))="",TRUE()),"",INDEX(tsk_FcFinish,(ROW()-ROW(MSPTasks[[#Headers],[ID]]))))</f>
        <v/>
      </c>
      <c r="I158" s="24" t="str">
        <f aca="false">IF(IFERROR(INDEX(tsk_Name,(ROW()-ROW(MSPTasks[[#Headers],[ID]])))="",TRUE()),"",IF(INDEX(tsk_IsSummary,(ROW()-ROW(MSPTasks[[#Headers],[ID]]))),"",INDEX(tsk_Predecessors,(ROW()-ROW(MSPTasks[[#Headers],[ID]])))))</f>
        <v/>
      </c>
      <c r="J158" s="24" t="str">
        <f aca="false">IF(IFERROR(INDEX(tsk_Name,(ROW()-ROW(MSPTasks[[#Headers],[ID]])))="",TRUE()),"",IF(INDEX(tsk_IsSummary,(ROW()-ROW(MSPTasks[[#Headers],[ID]]))),"",INDEX(tsk_UIDPredecessors,(ROW()-ROW(MSPTasks[[#Headers],[ID]])))))</f>
        <v/>
      </c>
      <c r="K15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8" s="24" t="str">
        <f aca="false">IF(IFERROR(INDEX(tsk_Name,(ROW()-ROW(MSPTasks[[#Headers],[ID]])))="",TRUE()),"",IF(INDEX(tsk_IsSummary,(ROW()-ROW(MSPTasks[[#Headers],[ID]]))),"",ROUND(INDEX(tsk_Progress,(ROW()-ROW(MSPTasks[[#Headers],[ID]])))*100,0)))</f>
        <v/>
      </c>
      <c r="M158" s="127" t="str">
        <f aca="false">IF(IFERROR(INDEX(tsk_Name,(ROW()-ROW(MSPTasks[[#Headers],[ID]])))="",TRUE()),"",IF(N(INDEX(tsk_ActStart,(ROW()-ROW(MSPTasks[[#Headers],[ID]]))))=0,"",INDEX(tsk_ActStart,(ROW()-ROW(MSPTasks[[#Headers],[ID]])))))</f>
        <v/>
      </c>
      <c r="N158" s="127" t="str">
        <f aca="false">IF(IFERROR(INDEX(tsk_Name,(ROW()-ROW(MSPTasks[[#Headers],[ID]])))="",TRUE()),"",IF(N(INDEX(tsk_ActFinish,(ROW()-ROW(MSPTasks[[#Headers],[ID]]))))=0,"",INDEX(tsk_ActFinish,(ROW()-ROW(MSPTasks[[#Headers],[ID]])))))</f>
        <v/>
      </c>
      <c r="O158" s="127" t="str">
        <f aca="false">IF(IFERROR(INDEX(tsk_Name,(ROW()-ROW(MSPTasks[[#Headers],[ID]])))="",TRUE()),"",INDEX(tsk_PlanStart,(ROW()-ROW(MSPTasks[[#Headers],[ID]]))))</f>
        <v/>
      </c>
      <c r="P158" s="127" t="str">
        <f aca="false">IF(IFERROR(INDEX(tsk_Name,(ROW()-ROW(MSPTasks[[#Headers],[ID]])))="",TRUE()),"",INDEX(tsk_PlanFinish,(ROW()-ROW(MSPTasks[[#Headers],[ID]]))))</f>
        <v/>
      </c>
      <c r="Q158" s="24" t="str">
        <f aca="false">IF(IFERROR(INDEX(tsk_Name,(ROW()-ROW(MSPTasks[[#Headers],[ID]])))="",TRUE()),"",IF(INDEX(tsk_BaseDuration,(ROW()-ROW(MSPTasks[[#Headers],[ID]])))="","",N(INDEX(tsk_BaseDuration,(ROW()-ROW(MSPTasks[[#Headers],[ID]]))))&amp;"d"))</f>
        <v/>
      </c>
      <c r="R158" s="24" t="str">
        <f aca="false">IF(IFERROR(INDEX(tsk_Name,(ROW()-ROW(MSPTasks[[#Headers],[ID]])))="",TRUE()),"",IF(INDEX(tsk_BaseWork,(ROW()-ROW(MSPTasks[[#Headers],[ID]])))="","",N(INDEX(tsk_BaseWork,(ROW()-ROW(MSPTasks[[#Headers],[ID]]))))&amp;"h"))</f>
        <v/>
      </c>
      <c r="S158" s="24" t="str">
        <f aca="false">IF(IFERROR(INDEX(tsk_Name,(ROW()-ROW(MSPTasks[[#Headers],[ID]])))="",TRUE()),"",IF(INDEX(tsk_BaseCost,(ROW()-ROW(MSPTasks[[#Headers],[ID]])))="","",N(INDEX(tsk_BaseCost,(ROW()-ROW(MSPTasks[[#Headers],[ID]]))))))</f>
        <v/>
      </c>
      <c r="T158" s="24" t="str">
        <f aca="false">IF(IFERROR(INDEX(tsk_Name,(ROW()-ROW(MSPTasks[[#Headers],[ID]])))="",TRUE()),"",IF(INDEX(tsk_IsSummary,(ROW()-ROW(MSPTasks[[#Headers],[ID]]))),"",IF(N(INDEX(tsk_ActCostInput,(ROW()-ROW(MSPTasks[[#Headers],[ID]]))))=0,"",INDEX(tsk_ActCostInput,(ROW()-ROW(MSPTasks[[#Headers],[ID]]))))))</f>
        <v/>
      </c>
      <c r="U158" s="24" t="str">
        <f aca="false">IF(IFERROR(INDEX(tsk_Name,(ROW()-ROW(MSPTasks[[#Headers],[ID]])))="",TRUE()),"",IF(INDEX(tsk_IsSummary,(ROW()-ROW(MSPTasks[[#Headers],[ID]]))),"",IF(AND(INDEX(tsk_Mode,(ROW()-ROW(MSPTasks[[#Headers],[ID]])))&lt;&gt;"Manual",N(INDEX(tsk_Constraint,(ROW()-ROW(MSPTasks[[#Headers],[ID]]))))&gt;0),"Start No Earlier Than","As Soon As Possible")))</f>
        <v/>
      </c>
      <c r="V158" s="127" t="str">
        <f aca="false">IF(IFERROR(INDEX(tsk_Name,(ROW()-ROW(MSPTasks[[#Headers],[ID]])))="",TRUE()),"",IF(OR(INDEX(tsk_IsSummary,(ROW()-ROW(MSPTasks[[#Headers],[ID]]))),INDEX(tsk_Mode,(ROW()-ROW(MSPTasks[[#Headers],[ID]])))="Manual"),"",IF(N(INDEX(tsk_Constraint,(ROW()-ROW(MSPTasks[[#Headers],[ID]]))))=0,"",INDEX(tsk_Constraint,(ROW()-ROW(MSPTasks[[#Headers],[ID]]))))))</f>
        <v/>
      </c>
      <c r="W158" s="127" t="str">
        <f aca="false">IF(IFERROR(INDEX(tsk_Name,(ROW()-ROW(MSPTasks[[#Headers],[ID]])))="",TRUE()),"",IF(N(INDEX(tsk_Deadline,(ROW()-ROW(MSPTasks[[#Headers],[ID]]))))=0,"",INDEX(tsk_Deadline,(ROW()-ROW(MSPTasks[[#Headers],[ID]])))))</f>
        <v/>
      </c>
      <c r="X158" s="24" t="str">
        <f aca="false">IF(IFERROR(INDEX(tsk_Name,(ROW()-ROW(MSPTasks[[#Headers],[ID]])))="",TRUE()),"",IF(INDEX(tsk_IsSummary,(ROW()-ROW(MSPTasks[[#Headers],[ID]]))),"",INDEX(tsk_Sprint,(ROW()-ROW(MSPTasks[[#Headers],[ID]])))&amp;""))</f>
        <v/>
      </c>
      <c r="Y158" s="24" t="str">
        <f aca="false">IF(IFERROR(INDEX(tsk_Name,(ROW()-ROW(MSPTasks[[#Headers],[ID]])))="",TRUE()),"",IF(INDEX(tsk_IsSummary,(ROW()-ROW(MSPTasks[[#Headers],[ID]]))),"",IF(N(INDEX(tsk_StoryPoints,(ROW()-ROW(MSPTasks[[#Headers],[ID]]))))=0,"",INDEX(tsk_StoryPoints,(ROW()-ROW(MSPTasks[[#Headers],[ID]]))))))</f>
        <v/>
      </c>
      <c r="Z158" s="24" t="str">
        <f aca="false">IF(IFERROR(INDEX(tsk_Name,(ROW()-ROW(MSPTasks[[#Headers],[ID]])))="",TRUE()),"",INDEX(tsk_Notes,(ROW()-ROW(MSPTasks[[#Headers],[ID]])))&amp;"")</f>
        <v/>
      </c>
    </row>
    <row r="159" customFormat="false" ht="15" hidden="false" customHeight="false" outlineLevel="0" collapsed="false">
      <c r="A159" s="24" t="str">
        <f aca="false">IF(IFERROR(INDEX(tsk_Name,(ROW()-ROW(MSPTasks[[#Headers],[ID]])))="",TRUE()),"",INDEX(tsk_ID,(ROW()-ROW(MSPTasks[[#Headers],[ID]]))))</f>
        <v/>
      </c>
      <c r="B159" s="24" t="str">
        <f aca="false">IF(IFERROR(INDEX(tsk_Name,(ROW()-ROW(MSPTasks[[#Headers],[ID]])))="",TRUE()),"",INDEX(tsk_UID,(ROW()-ROW(MSPTasks[[#Headers],[ID]]))))</f>
        <v/>
      </c>
      <c r="C159" s="24" t="str">
        <f aca="false">IF(IFERROR(INDEX(tsk_Name,(ROW()-ROW(MSPTasks[[#Headers],[ID]])))="",TRUE()),"",INDEX(tsk_Name,(ROW()-ROW(MSPTasks[[#Headers],[ID]]))))</f>
        <v/>
      </c>
      <c r="D159" s="24" t="str">
        <f aca="false">IF(IFERROR(INDEX(tsk_Name,(ROW()-ROW(MSPTasks[[#Headers],[ID]])))="",TRUE()),"",INDEX(tsk_Level,(ROW()-ROW(MSPTasks[[#Headers],[ID]]))))</f>
        <v/>
      </c>
      <c r="E159" s="24" t="str">
        <f aca="false">IF(IFERROR(INDEX(tsk_Name,(ROW()-ROW(MSPTasks[[#Headers],[ID]])))="",TRUE()),"",IF(INDEX(tsk_Mode,(ROW()-ROW(MSPTasks[[#Headers],[ID]])))="Manual","Manually Scheduled","Auto Scheduled"))</f>
        <v/>
      </c>
      <c r="F159" s="24" t="str">
        <f aca="false">IF(IFERROR(INDEX(tsk_Name,(ROW()-ROW(MSPTasks[[#Headers],[ID]])))="",TRUE()),"",IF(INDEX(tsk_IsSummary,(ROW()-ROW(MSPTasks[[#Headers],[ID]]))),"",N(INDEX(tsk_Duration,(ROW()-ROW(MSPTasks[[#Headers],[ID]]))))&amp;"d"))</f>
        <v/>
      </c>
      <c r="G159" s="127" t="str">
        <f aca="false">IF(IFERROR(INDEX(tsk_Name,(ROW()-ROW(MSPTasks[[#Headers],[ID]])))="",TRUE()),"",INDEX(tsk_FcStart,(ROW()-ROW(MSPTasks[[#Headers],[ID]]))))</f>
        <v/>
      </c>
      <c r="H159" s="127" t="str">
        <f aca="false">IF(IFERROR(INDEX(tsk_Name,(ROW()-ROW(MSPTasks[[#Headers],[ID]])))="",TRUE()),"",INDEX(tsk_FcFinish,(ROW()-ROW(MSPTasks[[#Headers],[ID]]))))</f>
        <v/>
      </c>
      <c r="I159" s="24" t="str">
        <f aca="false">IF(IFERROR(INDEX(tsk_Name,(ROW()-ROW(MSPTasks[[#Headers],[ID]])))="",TRUE()),"",IF(INDEX(tsk_IsSummary,(ROW()-ROW(MSPTasks[[#Headers],[ID]]))),"",INDEX(tsk_Predecessors,(ROW()-ROW(MSPTasks[[#Headers],[ID]])))))</f>
        <v/>
      </c>
      <c r="J159" s="24" t="str">
        <f aca="false">IF(IFERROR(INDEX(tsk_Name,(ROW()-ROW(MSPTasks[[#Headers],[ID]])))="",TRUE()),"",IF(INDEX(tsk_IsSummary,(ROW()-ROW(MSPTasks[[#Headers],[ID]]))),"",INDEX(tsk_UIDPredecessors,(ROW()-ROW(MSPTasks[[#Headers],[ID]])))))</f>
        <v/>
      </c>
      <c r="K15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9" s="24" t="str">
        <f aca="false">IF(IFERROR(INDEX(tsk_Name,(ROW()-ROW(MSPTasks[[#Headers],[ID]])))="",TRUE()),"",IF(INDEX(tsk_IsSummary,(ROW()-ROW(MSPTasks[[#Headers],[ID]]))),"",ROUND(INDEX(tsk_Progress,(ROW()-ROW(MSPTasks[[#Headers],[ID]])))*100,0)))</f>
        <v/>
      </c>
      <c r="M159" s="127" t="str">
        <f aca="false">IF(IFERROR(INDEX(tsk_Name,(ROW()-ROW(MSPTasks[[#Headers],[ID]])))="",TRUE()),"",IF(N(INDEX(tsk_ActStart,(ROW()-ROW(MSPTasks[[#Headers],[ID]]))))=0,"",INDEX(tsk_ActStart,(ROW()-ROW(MSPTasks[[#Headers],[ID]])))))</f>
        <v/>
      </c>
      <c r="N159" s="127" t="str">
        <f aca="false">IF(IFERROR(INDEX(tsk_Name,(ROW()-ROW(MSPTasks[[#Headers],[ID]])))="",TRUE()),"",IF(N(INDEX(tsk_ActFinish,(ROW()-ROW(MSPTasks[[#Headers],[ID]]))))=0,"",INDEX(tsk_ActFinish,(ROW()-ROW(MSPTasks[[#Headers],[ID]])))))</f>
        <v/>
      </c>
      <c r="O159" s="127" t="str">
        <f aca="false">IF(IFERROR(INDEX(tsk_Name,(ROW()-ROW(MSPTasks[[#Headers],[ID]])))="",TRUE()),"",INDEX(tsk_PlanStart,(ROW()-ROW(MSPTasks[[#Headers],[ID]]))))</f>
        <v/>
      </c>
      <c r="P159" s="127" t="str">
        <f aca="false">IF(IFERROR(INDEX(tsk_Name,(ROW()-ROW(MSPTasks[[#Headers],[ID]])))="",TRUE()),"",INDEX(tsk_PlanFinish,(ROW()-ROW(MSPTasks[[#Headers],[ID]]))))</f>
        <v/>
      </c>
      <c r="Q159" s="24" t="str">
        <f aca="false">IF(IFERROR(INDEX(tsk_Name,(ROW()-ROW(MSPTasks[[#Headers],[ID]])))="",TRUE()),"",IF(INDEX(tsk_BaseDuration,(ROW()-ROW(MSPTasks[[#Headers],[ID]])))="","",N(INDEX(tsk_BaseDuration,(ROW()-ROW(MSPTasks[[#Headers],[ID]]))))&amp;"d"))</f>
        <v/>
      </c>
      <c r="R159" s="24" t="str">
        <f aca="false">IF(IFERROR(INDEX(tsk_Name,(ROW()-ROW(MSPTasks[[#Headers],[ID]])))="",TRUE()),"",IF(INDEX(tsk_BaseWork,(ROW()-ROW(MSPTasks[[#Headers],[ID]])))="","",N(INDEX(tsk_BaseWork,(ROW()-ROW(MSPTasks[[#Headers],[ID]]))))&amp;"h"))</f>
        <v/>
      </c>
      <c r="S159" s="24" t="str">
        <f aca="false">IF(IFERROR(INDEX(tsk_Name,(ROW()-ROW(MSPTasks[[#Headers],[ID]])))="",TRUE()),"",IF(INDEX(tsk_BaseCost,(ROW()-ROW(MSPTasks[[#Headers],[ID]])))="","",N(INDEX(tsk_BaseCost,(ROW()-ROW(MSPTasks[[#Headers],[ID]]))))))</f>
        <v/>
      </c>
      <c r="T159" s="24" t="str">
        <f aca="false">IF(IFERROR(INDEX(tsk_Name,(ROW()-ROW(MSPTasks[[#Headers],[ID]])))="",TRUE()),"",IF(INDEX(tsk_IsSummary,(ROW()-ROW(MSPTasks[[#Headers],[ID]]))),"",IF(N(INDEX(tsk_ActCostInput,(ROW()-ROW(MSPTasks[[#Headers],[ID]]))))=0,"",INDEX(tsk_ActCostInput,(ROW()-ROW(MSPTasks[[#Headers],[ID]]))))))</f>
        <v/>
      </c>
      <c r="U159" s="24" t="str">
        <f aca="false">IF(IFERROR(INDEX(tsk_Name,(ROW()-ROW(MSPTasks[[#Headers],[ID]])))="",TRUE()),"",IF(INDEX(tsk_IsSummary,(ROW()-ROW(MSPTasks[[#Headers],[ID]]))),"",IF(AND(INDEX(tsk_Mode,(ROW()-ROW(MSPTasks[[#Headers],[ID]])))&lt;&gt;"Manual",N(INDEX(tsk_Constraint,(ROW()-ROW(MSPTasks[[#Headers],[ID]]))))&gt;0),"Start No Earlier Than","As Soon As Possible")))</f>
        <v/>
      </c>
      <c r="V159" s="127" t="str">
        <f aca="false">IF(IFERROR(INDEX(tsk_Name,(ROW()-ROW(MSPTasks[[#Headers],[ID]])))="",TRUE()),"",IF(OR(INDEX(tsk_IsSummary,(ROW()-ROW(MSPTasks[[#Headers],[ID]]))),INDEX(tsk_Mode,(ROW()-ROW(MSPTasks[[#Headers],[ID]])))="Manual"),"",IF(N(INDEX(tsk_Constraint,(ROW()-ROW(MSPTasks[[#Headers],[ID]]))))=0,"",INDEX(tsk_Constraint,(ROW()-ROW(MSPTasks[[#Headers],[ID]]))))))</f>
        <v/>
      </c>
      <c r="W159" s="127" t="str">
        <f aca="false">IF(IFERROR(INDEX(tsk_Name,(ROW()-ROW(MSPTasks[[#Headers],[ID]])))="",TRUE()),"",IF(N(INDEX(tsk_Deadline,(ROW()-ROW(MSPTasks[[#Headers],[ID]]))))=0,"",INDEX(tsk_Deadline,(ROW()-ROW(MSPTasks[[#Headers],[ID]])))))</f>
        <v/>
      </c>
      <c r="X159" s="24" t="str">
        <f aca="false">IF(IFERROR(INDEX(tsk_Name,(ROW()-ROW(MSPTasks[[#Headers],[ID]])))="",TRUE()),"",IF(INDEX(tsk_IsSummary,(ROW()-ROW(MSPTasks[[#Headers],[ID]]))),"",INDEX(tsk_Sprint,(ROW()-ROW(MSPTasks[[#Headers],[ID]])))&amp;""))</f>
        <v/>
      </c>
      <c r="Y159" s="24" t="str">
        <f aca="false">IF(IFERROR(INDEX(tsk_Name,(ROW()-ROW(MSPTasks[[#Headers],[ID]])))="",TRUE()),"",IF(INDEX(tsk_IsSummary,(ROW()-ROW(MSPTasks[[#Headers],[ID]]))),"",IF(N(INDEX(tsk_StoryPoints,(ROW()-ROW(MSPTasks[[#Headers],[ID]]))))=0,"",INDEX(tsk_StoryPoints,(ROW()-ROW(MSPTasks[[#Headers],[ID]]))))))</f>
        <v/>
      </c>
      <c r="Z159" s="24" t="str">
        <f aca="false">IF(IFERROR(INDEX(tsk_Name,(ROW()-ROW(MSPTasks[[#Headers],[ID]])))="",TRUE()),"",INDEX(tsk_Notes,(ROW()-ROW(MSPTasks[[#Headers],[ID]])))&amp;"")</f>
        <v/>
      </c>
    </row>
    <row r="160" customFormat="false" ht="15" hidden="false" customHeight="false" outlineLevel="0" collapsed="false">
      <c r="A160" s="24" t="str">
        <f aca="false">IF(IFERROR(INDEX(tsk_Name,(ROW()-ROW(MSPTasks[[#Headers],[ID]])))="",TRUE()),"",INDEX(tsk_ID,(ROW()-ROW(MSPTasks[[#Headers],[ID]]))))</f>
        <v/>
      </c>
      <c r="B160" s="24" t="str">
        <f aca="false">IF(IFERROR(INDEX(tsk_Name,(ROW()-ROW(MSPTasks[[#Headers],[ID]])))="",TRUE()),"",INDEX(tsk_UID,(ROW()-ROW(MSPTasks[[#Headers],[ID]]))))</f>
        <v/>
      </c>
      <c r="C160" s="24" t="str">
        <f aca="false">IF(IFERROR(INDEX(tsk_Name,(ROW()-ROW(MSPTasks[[#Headers],[ID]])))="",TRUE()),"",INDEX(tsk_Name,(ROW()-ROW(MSPTasks[[#Headers],[ID]]))))</f>
        <v/>
      </c>
      <c r="D160" s="24" t="str">
        <f aca="false">IF(IFERROR(INDEX(tsk_Name,(ROW()-ROW(MSPTasks[[#Headers],[ID]])))="",TRUE()),"",INDEX(tsk_Level,(ROW()-ROW(MSPTasks[[#Headers],[ID]]))))</f>
        <v/>
      </c>
      <c r="E160" s="24" t="str">
        <f aca="false">IF(IFERROR(INDEX(tsk_Name,(ROW()-ROW(MSPTasks[[#Headers],[ID]])))="",TRUE()),"",IF(INDEX(tsk_Mode,(ROW()-ROW(MSPTasks[[#Headers],[ID]])))="Manual","Manually Scheduled","Auto Scheduled"))</f>
        <v/>
      </c>
      <c r="F160" s="24" t="str">
        <f aca="false">IF(IFERROR(INDEX(tsk_Name,(ROW()-ROW(MSPTasks[[#Headers],[ID]])))="",TRUE()),"",IF(INDEX(tsk_IsSummary,(ROW()-ROW(MSPTasks[[#Headers],[ID]]))),"",N(INDEX(tsk_Duration,(ROW()-ROW(MSPTasks[[#Headers],[ID]]))))&amp;"d"))</f>
        <v/>
      </c>
      <c r="G160" s="127" t="str">
        <f aca="false">IF(IFERROR(INDEX(tsk_Name,(ROW()-ROW(MSPTasks[[#Headers],[ID]])))="",TRUE()),"",INDEX(tsk_FcStart,(ROW()-ROW(MSPTasks[[#Headers],[ID]]))))</f>
        <v/>
      </c>
      <c r="H160" s="127" t="str">
        <f aca="false">IF(IFERROR(INDEX(tsk_Name,(ROW()-ROW(MSPTasks[[#Headers],[ID]])))="",TRUE()),"",INDEX(tsk_FcFinish,(ROW()-ROW(MSPTasks[[#Headers],[ID]]))))</f>
        <v/>
      </c>
      <c r="I160" s="24" t="str">
        <f aca="false">IF(IFERROR(INDEX(tsk_Name,(ROW()-ROW(MSPTasks[[#Headers],[ID]])))="",TRUE()),"",IF(INDEX(tsk_IsSummary,(ROW()-ROW(MSPTasks[[#Headers],[ID]]))),"",INDEX(tsk_Predecessors,(ROW()-ROW(MSPTasks[[#Headers],[ID]])))))</f>
        <v/>
      </c>
      <c r="J160" s="24" t="str">
        <f aca="false">IF(IFERROR(INDEX(tsk_Name,(ROW()-ROW(MSPTasks[[#Headers],[ID]])))="",TRUE()),"",IF(INDEX(tsk_IsSummary,(ROW()-ROW(MSPTasks[[#Headers],[ID]]))),"",INDEX(tsk_UIDPredecessors,(ROW()-ROW(MSPTasks[[#Headers],[ID]])))))</f>
        <v/>
      </c>
      <c r="K16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0" s="24" t="str">
        <f aca="false">IF(IFERROR(INDEX(tsk_Name,(ROW()-ROW(MSPTasks[[#Headers],[ID]])))="",TRUE()),"",IF(INDEX(tsk_IsSummary,(ROW()-ROW(MSPTasks[[#Headers],[ID]]))),"",ROUND(INDEX(tsk_Progress,(ROW()-ROW(MSPTasks[[#Headers],[ID]])))*100,0)))</f>
        <v/>
      </c>
      <c r="M160" s="127" t="str">
        <f aca="false">IF(IFERROR(INDEX(tsk_Name,(ROW()-ROW(MSPTasks[[#Headers],[ID]])))="",TRUE()),"",IF(N(INDEX(tsk_ActStart,(ROW()-ROW(MSPTasks[[#Headers],[ID]]))))=0,"",INDEX(tsk_ActStart,(ROW()-ROW(MSPTasks[[#Headers],[ID]])))))</f>
        <v/>
      </c>
      <c r="N160" s="127" t="str">
        <f aca="false">IF(IFERROR(INDEX(tsk_Name,(ROW()-ROW(MSPTasks[[#Headers],[ID]])))="",TRUE()),"",IF(N(INDEX(tsk_ActFinish,(ROW()-ROW(MSPTasks[[#Headers],[ID]]))))=0,"",INDEX(tsk_ActFinish,(ROW()-ROW(MSPTasks[[#Headers],[ID]])))))</f>
        <v/>
      </c>
      <c r="O160" s="127" t="str">
        <f aca="false">IF(IFERROR(INDEX(tsk_Name,(ROW()-ROW(MSPTasks[[#Headers],[ID]])))="",TRUE()),"",INDEX(tsk_PlanStart,(ROW()-ROW(MSPTasks[[#Headers],[ID]]))))</f>
        <v/>
      </c>
      <c r="P160" s="127" t="str">
        <f aca="false">IF(IFERROR(INDEX(tsk_Name,(ROW()-ROW(MSPTasks[[#Headers],[ID]])))="",TRUE()),"",INDEX(tsk_PlanFinish,(ROW()-ROW(MSPTasks[[#Headers],[ID]]))))</f>
        <v/>
      </c>
      <c r="Q160" s="24" t="str">
        <f aca="false">IF(IFERROR(INDEX(tsk_Name,(ROW()-ROW(MSPTasks[[#Headers],[ID]])))="",TRUE()),"",IF(INDEX(tsk_BaseDuration,(ROW()-ROW(MSPTasks[[#Headers],[ID]])))="","",N(INDEX(tsk_BaseDuration,(ROW()-ROW(MSPTasks[[#Headers],[ID]]))))&amp;"d"))</f>
        <v/>
      </c>
      <c r="R160" s="24" t="str">
        <f aca="false">IF(IFERROR(INDEX(tsk_Name,(ROW()-ROW(MSPTasks[[#Headers],[ID]])))="",TRUE()),"",IF(INDEX(tsk_BaseWork,(ROW()-ROW(MSPTasks[[#Headers],[ID]])))="","",N(INDEX(tsk_BaseWork,(ROW()-ROW(MSPTasks[[#Headers],[ID]]))))&amp;"h"))</f>
        <v/>
      </c>
      <c r="S160" s="24" t="str">
        <f aca="false">IF(IFERROR(INDEX(tsk_Name,(ROW()-ROW(MSPTasks[[#Headers],[ID]])))="",TRUE()),"",IF(INDEX(tsk_BaseCost,(ROW()-ROW(MSPTasks[[#Headers],[ID]])))="","",N(INDEX(tsk_BaseCost,(ROW()-ROW(MSPTasks[[#Headers],[ID]]))))))</f>
        <v/>
      </c>
      <c r="T160" s="24" t="str">
        <f aca="false">IF(IFERROR(INDEX(tsk_Name,(ROW()-ROW(MSPTasks[[#Headers],[ID]])))="",TRUE()),"",IF(INDEX(tsk_IsSummary,(ROW()-ROW(MSPTasks[[#Headers],[ID]]))),"",IF(N(INDEX(tsk_ActCostInput,(ROW()-ROW(MSPTasks[[#Headers],[ID]]))))=0,"",INDEX(tsk_ActCostInput,(ROW()-ROW(MSPTasks[[#Headers],[ID]]))))))</f>
        <v/>
      </c>
      <c r="U160" s="24" t="str">
        <f aca="false">IF(IFERROR(INDEX(tsk_Name,(ROW()-ROW(MSPTasks[[#Headers],[ID]])))="",TRUE()),"",IF(INDEX(tsk_IsSummary,(ROW()-ROW(MSPTasks[[#Headers],[ID]]))),"",IF(AND(INDEX(tsk_Mode,(ROW()-ROW(MSPTasks[[#Headers],[ID]])))&lt;&gt;"Manual",N(INDEX(tsk_Constraint,(ROW()-ROW(MSPTasks[[#Headers],[ID]]))))&gt;0),"Start No Earlier Than","As Soon As Possible")))</f>
        <v/>
      </c>
      <c r="V160" s="127" t="str">
        <f aca="false">IF(IFERROR(INDEX(tsk_Name,(ROW()-ROW(MSPTasks[[#Headers],[ID]])))="",TRUE()),"",IF(OR(INDEX(tsk_IsSummary,(ROW()-ROW(MSPTasks[[#Headers],[ID]]))),INDEX(tsk_Mode,(ROW()-ROW(MSPTasks[[#Headers],[ID]])))="Manual"),"",IF(N(INDEX(tsk_Constraint,(ROW()-ROW(MSPTasks[[#Headers],[ID]]))))=0,"",INDEX(tsk_Constraint,(ROW()-ROW(MSPTasks[[#Headers],[ID]]))))))</f>
        <v/>
      </c>
      <c r="W160" s="127" t="str">
        <f aca="false">IF(IFERROR(INDEX(tsk_Name,(ROW()-ROW(MSPTasks[[#Headers],[ID]])))="",TRUE()),"",IF(N(INDEX(tsk_Deadline,(ROW()-ROW(MSPTasks[[#Headers],[ID]]))))=0,"",INDEX(tsk_Deadline,(ROW()-ROW(MSPTasks[[#Headers],[ID]])))))</f>
        <v/>
      </c>
      <c r="X160" s="24" t="str">
        <f aca="false">IF(IFERROR(INDEX(tsk_Name,(ROW()-ROW(MSPTasks[[#Headers],[ID]])))="",TRUE()),"",IF(INDEX(tsk_IsSummary,(ROW()-ROW(MSPTasks[[#Headers],[ID]]))),"",INDEX(tsk_Sprint,(ROW()-ROW(MSPTasks[[#Headers],[ID]])))&amp;""))</f>
        <v/>
      </c>
      <c r="Y160" s="24" t="str">
        <f aca="false">IF(IFERROR(INDEX(tsk_Name,(ROW()-ROW(MSPTasks[[#Headers],[ID]])))="",TRUE()),"",IF(INDEX(tsk_IsSummary,(ROW()-ROW(MSPTasks[[#Headers],[ID]]))),"",IF(N(INDEX(tsk_StoryPoints,(ROW()-ROW(MSPTasks[[#Headers],[ID]]))))=0,"",INDEX(tsk_StoryPoints,(ROW()-ROW(MSPTasks[[#Headers],[ID]]))))))</f>
        <v/>
      </c>
      <c r="Z160" s="24" t="str">
        <f aca="false">IF(IFERROR(INDEX(tsk_Name,(ROW()-ROW(MSPTasks[[#Headers],[ID]])))="",TRUE()),"",INDEX(tsk_Notes,(ROW()-ROW(MSPTasks[[#Headers],[ID]])))&amp;"")</f>
        <v/>
      </c>
    </row>
    <row r="161" customFormat="false" ht="15" hidden="false" customHeight="false" outlineLevel="0" collapsed="false">
      <c r="A161" s="24" t="str">
        <f aca="false">IF(IFERROR(INDEX(tsk_Name,(ROW()-ROW(MSPTasks[[#Headers],[ID]])))="",TRUE()),"",INDEX(tsk_ID,(ROW()-ROW(MSPTasks[[#Headers],[ID]]))))</f>
        <v/>
      </c>
      <c r="B161" s="24" t="str">
        <f aca="false">IF(IFERROR(INDEX(tsk_Name,(ROW()-ROW(MSPTasks[[#Headers],[ID]])))="",TRUE()),"",INDEX(tsk_UID,(ROW()-ROW(MSPTasks[[#Headers],[ID]]))))</f>
        <v/>
      </c>
      <c r="C161" s="24" t="str">
        <f aca="false">IF(IFERROR(INDEX(tsk_Name,(ROW()-ROW(MSPTasks[[#Headers],[ID]])))="",TRUE()),"",INDEX(tsk_Name,(ROW()-ROW(MSPTasks[[#Headers],[ID]]))))</f>
        <v/>
      </c>
      <c r="D161" s="24" t="str">
        <f aca="false">IF(IFERROR(INDEX(tsk_Name,(ROW()-ROW(MSPTasks[[#Headers],[ID]])))="",TRUE()),"",INDEX(tsk_Level,(ROW()-ROW(MSPTasks[[#Headers],[ID]]))))</f>
        <v/>
      </c>
      <c r="E161" s="24" t="str">
        <f aca="false">IF(IFERROR(INDEX(tsk_Name,(ROW()-ROW(MSPTasks[[#Headers],[ID]])))="",TRUE()),"",IF(INDEX(tsk_Mode,(ROW()-ROW(MSPTasks[[#Headers],[ID]])))="Manual","Manually Scheduled","Auto Scheduled"))</f>
        <v/>
      </c>
      <c r="F161" s="24" t="str">
        <f aca="false">IF(IFERROR(INDEX(tsk_Name,(ROW()-ROW(MSPTasks[[#Headers],[ID]])))="",TRUE()),"",IF(INDEX(tsk_IsSummary,(ROW()-ROW(MSPTasks[[#Headers],[ID]]))),"",N(INDEX(tsk_Duration,(ROW()-ROW(MSPTasks[[#Headers],[ID]]))))&amp;"d"))</f>
        <v/>
      </c>
      <c r="G161" s="127" t="str">
        <f aca="false">IF(IFERROR(INDEX(tsk_Name,(ROW()-ROW(MSPTasks[[#Headers],[ID]])))="",TRUE()),"",INDEX(tsk_FcStart,(ROW()-ROW(MSPTasks[[#Headers],[ID]]))))</f>
        <v/>
      </c>
      <c r="H161" s="127" t="str">
        <f aca="false">IF(IFERROR(INDEX(tsk_Name,(ROW()-ROW(MSPTasks[[#Headers],[ID]])))="",TRUE()),"",INDEX(tsk_FcFinish,(ROW()-ROW(MSPTasks[[#Headers],[ID]]))))</f>
        <v/>
      </c>
      <c r="I161" s="24" t="str">
        <f aca="false">IF(IFERROR(INDEX(tsk_Name,(ROW()-ROW(MSPTasks[[#Headers],[ID]])))="",TRUE()),"",IF(INDEX(tsk_IsSummary,(ROW()-ROW(MSPTasks[[#Headers],[ID]]))),"",INDEX(tsk_Predecessors,(ROW()-ROW(MSPTasks[[#Headers],[ID]])))))</f>
        <v/>
      </c>
      <c r="J161" s="24" t="str">
        <f aca="false">IF(IFERROR(INDEX(tsk_Name,(ROW()-ROW(MSPTasks[[#Headers],[ID]])))="",TRUE()),"",IF(INDEX(tsk_IsSummary,(ROW()-ROW(MSPTasks[[#Headers],[ID]]))),"",INDEX(tsk_UIDPredecessors,(ROW()-ROW(MSPTasks[[#Headers],[ID]])))))</f>
        <v/>
      </c>
      <c r="K16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1" s="24" t="str">
        <f aca="false">IF(IFERROR(INDEX(tsk_Name,(ROW()-ROW(MSPTasks[[#Headers],[ID]])))="",TRUE()),"",IF(INDEX(tsk_IsSummary,(ROW()-ROW(MSPTasks[[#Headers],[ID]]))),"",ROUND(INDEX(tsk_Progress,(ROW()-ROW(MSPTasks[[#Headers],[ID]])))*100,0)))</f>
        <v/>
      </c>
      <c r="M161" s="127" t="str">
        <f aca="false">IF(IFERROR(INDEX(tsk_Name,(ROW()-ROW(MSPTasks[[#Headers],[ID]])))="",TRUE()),"",IF(N(INDEX(tsk_ActStart,(ROW()-ROW(MSPTasks[[#Headers],[ID]]))))=0,"",INDEX(tsk_ActStart,(ROW()-ROW(MSPTasks[[#Headers],[ID]])))))</f>
        <v/>
      </c>
      <c r="N161" s="127" t="str">
        <f aca="false">IF(IFERROR(INDEX(tsk_Name,(ROW()-ROW(MSPTasks[[#Headers],[ID]])))="",TRUE()),"",IF(N(INDEX(tsk_ActFinish,(ROW()-ROW(MSPTasks[[#Headers],[ID]]))))=0,"",INDEX(tsk_ActFinish,(ROW()-ROW(MSPTasks[[#Headers],[ID]])))))</f>
        <v/>
      </c>
      <c r="O161" s="127" t="str">
        <f aca="false">IF(IFERROR(INDEX(tsk_Name,(ROW()-ROW(MSPTasks[[#Headers],[ID]])))="",TRUE()),"",INDEX(tsk_PlanStart,(ROW()-ROW(MSPTasks[[#Headers],[ID]]))))</f>
        <v/>
      </c>
      <c r="P161" s="127" t="str">
        <f aca="false">IF(IFERROR(INDEX(tsk_Name,(ROW()-ROW(MSPTasks[[#Headers],[ID]])))="",TRUE()),"",INDEX(tsk_PlanFinish,(ROW()-ROW(MSPTasks[[#Headers],[ID]]))))</f>
        <v/>
      </c>
      <c r="Q161" s="24" t="str">
        <f aca="false">IF(IFERROR(INDEX(tsk_Name,(ROW()-ROW(MSPTasks[[#Headers],[ID]])))="",TRUE()),"",IF(INDEX(tsk_BaseDuration,(ROW()-ROW(MSPTasks[[#Headers],[ID]])))="","",N(INDEX(tsk_BaseDuration,(ROW()-ROW(MSPTasks[[#Headers],[ID]]))))&amp;"d"))</f>
        <v/>
      </c>
      <c r="R161" s="24" t="str">
        <f aca="false">IF(IFERROR(INDEX(tsk_Name,(ROW()-ROW(MSPTasks[[#Headers],[ID]])))="",TRUE()),"",IF(INDEX(tsk_BaseWork,(ROW()-ROW(MSPTasks[[#Headers],[ID]])))="","",N(INDEX(tsk_BaseWork,(ROW()-ROW(MSPTasks[[#Headers],[ID]]))))&amp;"h"))</f>
        <v/>
      </c>
      <c r="S161" s="24" t="str">
        <f aca="false">IF(IFERROR(INDEX(tsk_Name,(ROW()-ROW(MSPTasks[[#Headers],[ID]])))="",TRUE()),"",IF(INDEX(tsk_BaseCost,(ROW()-ROW(MSPTasks[[#Headers],[ID]])))="","",N(INDEX(tsk_BaseCost,(ROW()-ROW(MSPTasks[[#Headers],[ID]]))))))</f>
        <v/>
      </c>
      <c r="T161" s="24" t="str">
        <f aca="false">IF(IFERROR(INDEX(tsk_Name,(ROW()-ROW(MSPTasks[[#Headers],[ID]])))="",TRUE()),"",IF(INDEX(tsk_IsSummary,(ROW()-ROW(MSPTasks[[#Headers],[ID]]))),"",IF(N(INDEX(tsk_ActCostInput,(ROW()-ROW(MSPTasks[[#Headers],[ID]]))))=0,"",INDEX(tsk_ActCostInput,(ROW()-ROW(MSPTasks[[#Headers],[ID]]))))))</f>
        <v/>
      </c>
      <c r="U161" s="24" t="str">
        <f aca="false">IF(IFERROR(INDEX(tsk_Name,(ROW()-ROW(MSPTasks[[#Headers],[ID]])))="",TRUE()),"",IF(INDEX(tsk_IsSummary,(ROW()-ROW(MSPTasks[[#Headers],[ID]]))),"",IF(AND(INDEX(tsk_Mode,(ROW()-ROW(MSPTasks[[#Headers],[ID]])))&lt;&gt;"Manual",N(INDEX(tsk_Constraint,(ROW()-ROW(MSPTasks[[#Headers],[ID]]))))&gt;0),"Start No Earlier Than","As Soon As Possible")))</f>
        <v/>
      </c>
      <c r="V161" s="127" t="str">
        <f aca="false">IF(IFERROR(INDEX(tsk_Name,(ROW()-ROW(MSPTasks[[#Headers],[ID]])))="",TRUE()),"",IF(OR(INDEX(tsk_IsSummary,(ROW()-ROW(MSPTasks[[#Headers],[ID]]))),INDEX(tsk_Mode,(ROW()-ROW(MSPTasks[[#Headers],[ID]])))="Manual"),"",IF(N(INDEX(tsk_Constraint,(ROW()-ROW(MSPTasks[[#Headers],[ID]]))))=0,"",INDEX(tsk_Constraint,(ROW()-ROW(MSPTasks[[#Headers],[ID]]))))))</f>
        <v/>
      </c>
      <c r="W161" s="127" t="str">
        <f aca="false">IF(IFERROR(INDEX(tsk_Name,(ROW()-ROW(MSPTasks[[#Headers],[ID]])))="",TRUE()),"",IF(N(INDEX(tsk_Deadline,(ROW()-ROW(MSPTasks[[#Headers],[ID]]))))=0,"",INDEX(tsk_Deadline,(ROW()-ROW(MSPTasks[[#Headers],[ID]])))))</f>
        <v/>
      </c>
      <c r="X161" s="24" t="str">
        <f aca="false">IF(IFERROR(INDEX(tsk_Name,(ROW()-ROW(MSPTasks[[#Headers],[ID]])))="",TRUE()),"",IF(INDEX(tsk_IsSummary,(ROW()-ROW(MSPTasks[[#Headers],[ID]]))),"",INDEX(tsk_Sprint,(ROW()-ROW(MSPTasks[[#Headers],[ID]])))&amp;""))</f>
        <v/>
      </c>
      <c r="Y161" s="24" t="str">
        <f aca="false">IF(IFERROR(INDEX(tsk_Name,(ROW()-ROW(MSPTasks[[#Headers],[ID]])))="",TRUE()),"",IF(INDEX(tsk_IsSummary,(ROW()-ROW(MSPTasks[[#Headers],[ID]]))),"",IF(N(INDEX(tsk_StoryPoints,(ROW()-ROW(MSPTasks[[#Headers],[ID]]))))=0,"",INDEX(tsk_StoryPoints,(ROW()-ROW(MSPTasks[[#Headers],[ID]]))))))</f>
        <v/>
      </c>
      <c r="Z161" s="24" t="str">
        <f aca="false">IF(IFERROR(INDEX(tsk_Name,(ROW()-ROW(MSPTasks[[#Headers],[ID]])))="",TRUE()),"",INDEX(tsk_Notes,(ROW()-ROW(MSPTasks[[#Headers],[ID]])))&amp;"")</f>
        <v/>
      </c>
    </row>
    <row r="162" customFormat="false" ht="15" hidden="false" customHeight="false" outlineLevel="0" collapsed="false">
      <c r="A162" s="24" t="str">
        <f aca="false">IF(IFERROR(INDEX(tsk_Name,(ROW()-ROW(MSPTasks[[#Headers],[ID]])))="",TRUE()),"",INDEX(tsk_ID,(ROW()-ROW(MSPTasks[[#Headers],[ID]]))))</f>
        <v/>
      </c>
      <c r="B162" s="24" t="str">
        <f aca="false">IF(IFERROR(INDEX(tsk_Name,(ROW()-ROW(MSPTasks[[#Headers],[ID]])))="",TRUE()),"",INDEX(tsk_UID,(ROW()-ROW(MSPTasks[[#Headers],[ID]]))))</f>
        <v/>
      </c>
      <c r="C162" s="24" t="str">
        <f aca="false">IF(IFERROR(INDEX(tsk_Name,(ROW()-ROW(MSPTasks[[#Headers],[ID]])))="",TRUE()),"",INDEX(tsk_Name,(ROW()-ROW(MSPTasks[[#Headers],[ID]]))))</f>
        <v/>
      </c>
      <c r="D162" s="24" t="str">
        <f aca="false">IF(IFERROR(INDEX(tsk_Name,(ROW()-ROW(MSPTasks[[#Headers],[ID]])))="",TRUE()),"",INDEX(tsk_Level,(ROW()-ROW(MSPTasks[[#Headers],[ID]]))))</f>
        <v/>
      </c>
      <c r="E162" s="24" t="str">
        <f aca="false">IF(IFERROR(INDEX(tsk_Name,(ROW()-ROW(MSPTasks[[#Headers],[ID]])))="",TRUE()),"",IF(INDEX(tsk_Mode,(ROW()-ROW(MSPTasks[[#Headers],[ID]])))="Manual","Manually Scheduled","Auto Scheduled"))</f>
        <v/>
      </c>
      <c r="F162" s="24" t="str">
        <f aca="false">IF(IFERROR(INDEX(tsk_Name,(ROW()-ROW(MSPTasks[[#Headers],[ID]])))="",TRUE()),"",IF(INDEX(tsk_IsSummary,(ROW()-ROW(MSPTasks[[#Headers],[ID]]))),"",N(INDEX(tsk_Duration,(ROW()-ROW(MSPTasks[[#Headers],[ID]]))))&amp;"d"))</f>
        <v/>
      </c>
      <c r="G162" s="127" t="str">
        <f aca="false">IF(IFERROR(INDEX(tsk_Name,(ROW()-ROW(MSPTasks[[#Headers],[ID]])))="",TRUE()),"",INDEX(tsk_FcStart,(ROW()-ROW(MSPTasks[[#Headers],[ID]]))))</f>
        <v/>
      </c>
      <c r="H162" s="127" t="str">
        <f aca="false">IF(IFERROR(INDEX(tsk_Name,(ROW()-ROW(MSPTasks[[#Headers],[ID]])))="",TRUE()),"",INDEX(tsk_FcFinish,(ROW()-ROW(MSPTasks[[#Headers],[ID]]))))</f>
        <v/>
      </c>
      <c r="I162" s="24" t="str">
        <f aca="false">IF(IFERROR(INDEX(tsk_Name,(ROW()-ROW(MSPTasks[[#Headers],[ID]])))="",TRUE()),"",IF(INDEX(tsk_IsSummary,(ROW()-ROW(MSPTasks[[#Headers],[ID]]))),"",INDEX(tsk_Predecessors,(ROW()-ROW(MSPTasks[[#Headers],[ID]])))))</f>
        <v/>
      </c>
      <c r="J162" s="24" t="str">
        <f aca="false">IF(IFERROR(INDEX(tsk_Name,(ROW()-ROW(MSPTasks[[#Headers],[ID]])))="",TRUE()),"",IF(INDEX(tsk_IsSummary,(ROW()-ROW(MSPTasks[[#Headers],[ID]]))),"",INDEX(tsk_UIDPredecessors,(ROW()-ROW(MSPTasks[[#Headers],[ID]])))))</f>
        <v/>
      </c>
      <c r="K16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2" s="24" t="str">
        <f aca="false">IF(IFERROR(INDEX(tsk_Name,(ROW()-ROW(MSPTasks[[#Headers],[ID]])))="",TRUE()),"",IF(INDEX(tsk_IsSummary,(ROW()-ROW(MSPTasks[[#Headers],[ID]]))),"",ROUND(INDEX(tsk_Progress,(ROW()-ROW(MSPTasks[[#Headers],[ID]])))*100,0)))</f>
        <v/>
      </c>
      <c r="M162" s="127" t="str">
        <f aca="false">IF(IFERROR(INDEX(tsk_Name,(ROW()-ROW(MSPTasks[[#Headers],[ID]])))="",TRUE()),"",IF(N(INDEX(tsk_ActStart,(ROW()-ROW(MSPTasks[[#Headers],[ID]]))))=0,"",INDEX(tsk_ActStart,(ROW()-ROW(MSPTasks[[#Headers],[ID]])))))</f>
        <v/>
      </c>
      <c r="N162" s="127" t="str">
        <f aca="false">IF(IFERROR(INDEX(tsk_Name,(ROW()-ROW(MSPTasks[[#Headers],[ID]])))="",TRUE()),"",IF(N(INDEX(tsk_ActFinish,(ROW()-ROW(MSPTasks[[#Headers],[ID]]))))=0,"",INDEX(tsk_ActFinish,(ROW()-ROW(MSPTasks[[#Headers],[ID]])))))</f>
        <v/>
      </c>
      <c r="O162" s="127" t="str">
        <f aca="false">IF(IFERROR(INDEX(tsk_Name,(ROW()-ROW(MSPTasks[[#Headers],[ID]])))="",TRUE()),"",INDEX(tsk_PlanStart,(ROW()-ROW(MSPTasks[[#Headers],[ID]]))))</f>
        <v/>
      </c>
      <c r="P162" s="127" t="str">
        <f aca="false">IF(IFERROR(INDEX(tsk_Name,(ROW()-ROW(MSPTasks[[#Headers],[ID]])))="",TRUE()),"",INDEX(tsk_PlanFinish,(ROW()-ROW(MSPTasks[[#Headers],[ID]]))))</f>
        <v/>
      </c>
      <c r="Q162" s="24" t="str">
        <f aca="false">IF(IFERROR(INDEX(tsk_Name,(ROW()-ROW(MSPTasks[[#Headers],[ID]])))="",TRUE()),"",IF(INDEX(tsk_BaseDuration,(ROW()-ROW(MSPTasks[[#Headers],[ID]])))="","",N(INDEX(tsk_BaseDuration,(ROW()-ROW(MSPTasks[[#Headers],[ID]]))))&amp;"d"))</f>
        <v/>
      </c>
      <c r="R162" s="24" t="str">
        <f aca="false">IF(IFERROR(INDEX(tsk_Name,(ROW()-ROW(MSPTasks[[#Headers],[ID]])))="",TRUE()),"",IF(INDEX(tsk_BaseWork,(ROW()-ROW(MSPTasks[[#Headers],[ID]])))="","",N(INDEX(tsk_BaseWork,(ROW()-ROW(MSPTasks[[#Headers],[ID]]))))&amp;"h"))</f>
        <v/>
      </c>
      <c r="S162" s="24" t="str">
        <f aca="false">IF(IFERROR(INDEX(tsk_Name,(ROW()-ROW(MSPTasks[[#Headers],[ID]])))="",TRUE()),"",IF(INDEX(tsk_BaseCost,(ROW()-ROW(MSPTasks[[#Headers],[ID]])))="","",N(INDEX(tsk_BaseCost,(ROW()-ROW(MSPTasks[[#Headers],[ID]]))))))</f>
        <v/>
      </c>
      <c r="T162" s="24" t="str">
        <f aca="false">IF(IFERROR(INDEX(tsk_Name,(ROW()-ROW(MSPTasks[[#Headers],[ID]])))="",TRUE()),"",IF(INDEX(tsk_IsSummary,(ROW()-ROW(MSPTasks[[#Headers],[ID]]))),"",IF(N(INDEX(tsk_ActCostInput,(ROW()-ROW(MSPTasks[[#Headers],[ID]]))))=0,"",INDEX(tsk_ActCostInput,(ROW()-ROW(MSPTasks[[#Headers],[ID]]))))))</f>
        <v/>
      </c>
      <c r="U162" s="24" t="str">
        <f aca="false">IF(IFERROR(INDEX(tsk_Name,(ROW()-ROW(MSPTasks[[#Headers],[ID]])))="",TRUE()),"",IF(INDEX(tsk_IsSummary,(ROW()-ROW(MSPTasks[[#Headers],[ID]]))),"",IF(AND(INDEX(tsk_Mode,(ROW()-ROW(MSPTasks[[#Headers],[ID]])))&lt;&gt;"Manual",N(INDEX(tsk_Constraint,(ROW()-ROW(MSPTasks[[#Headers],[ID]]))))&gt;0),"Start No Earlier Than","As Soon As Possible")))</f>
        <v/>
      </c>
      <c r="V162" s="127" t="str">
        <f aca="false">IF(IFERROR(INDEX(tsk_Name,(ROW()-ROW(MSPTasks[[#Headers],[ID]])))="",TRUE()),"",IF(OR(INDEX(tsk_IsSummary,(ROW()-ROW(MSPTasks[[#Headers],[ID]]))),INDEX(tsk_Mode,(ROW()-ROW(MSPTasks[[#Headers],[ID]])))="Manual"),"",IF(N(INDEX(tsk_Constraint,(ROW()-ROW(MSPTasks[[#Headers],[ID]]))))=0,"",INDEX(tsk_Constraint,(ROW()-ROW(MSPTasks[[#Headers],[ID]]))))))</f>
        <v/>
      </c>
      <c r="W162" s="127" t="str">
        <f aca="false">IF(IFERROR(INDEX(tsk_Name,(ROW()-ROW(MSPTasks[[#Headers],[ID]])))="",TRUE()),"",IF(N(INDEX(tsk_Deadline,(ROW()-ROW(MSPTasks[[#Headers],[ID]]))))=0,"",INDEX(tsk_Deadline,(ROW()-ROW(MSPTasks[[#Headers],[ID]])))))</f>
        <v/>
      </c>
      <c r="X162" s="24" t="str">
        <f aca="false">IF(IFERROR(INDEX(tsk_Name,(ROW()-ROW(MSPTasks[[#Headers],[ID]])))="",TRUE()),"",IF(INDEX(tsk_IsSummary,(ROW()-ROW(MSPTasks[[#Headers],[ID]]))),"",INDEX(tsk_Sprint,(ROW()-ROW(MSPTasks[[#Headers],[ID]])))&amp;""))</f>
        <v/>
      </c>
      <c r="Y162" s="24" t="str">
        <f aca="false">IF(IFERROR(INDEX(tsk_Name,(ROW()-ROW(MSPTasks[[#Headers],[ID]])))="",TRUE()),"",IF(INDEX(tsk_IsSummary,(ROW()-ROW(MSPTasks[[#Headers],[ID]]))),"",IF(N(INDEX(tsk_StoryPoints,(ROW()-ROW(MSPTasks[[#Headers],[ID]]))))=0,"",INDEX(tsk_StoryPoints,(ROW()-ROW(MSPTasks[[#Headers],[ID]]))))))</f>
        <v/>
      </c>
      <c r="Z162" s="24" t="str">
        <f aca="false">IF(IFERROR(INDEX(tsk_Name,(ROW()-ROW(MSPTasks[[#Headers],[ID]])))="",TRUE()),"",INDEX(tsk_Notes,(ROW()-ROW(MSPTasks[[#Headers],[ID]])))&amp;"")</f>
        <v/>
      </c>
    </row>
    <row r="163" customFormat="false" ht="15" hidden="false" customHeight="false" outlineLevel="0" collapsed="false">
      <c r="A163" s="24" t="str">
        <f aca="false">IF(IFERROR(INDEX(tsk_Name,(ROW()-ROW(MSPTasks[[#Headers],[ID]])))="",TRUE()),"",INDEX(tsk_ID,(ROW()-ROW(MSPTasks[[#Headers],[ID]]))))</f>
        <v/>
      </c>
      <c r="B163" s="24" t="str">
        <f aca="false">IF(IFERROR(INDEX(tsk_Name,(ROW()-ROW(MSPTasks[[#Headers],[ID]])))="",TRUE()),"",INDEX(tsk_UID,(ROW()-ROW(MSPTasks[[#Headers],[ID]]))))</f>
        <v/>
      </c>
      <c r="C163" s="24" t="str">
        <f aca="false">IF(IFERROR(INDEX(tsk_Name,(ROW()-ROW(MSPTasks[[#Headers],[ID]])))="",TRUE()),"",INDEX(tsk_Name,(ROW()-ROW(MSPTasks[[#Headers],[ID]]))))</f>
        <v/>
      </c>
      <c r="D163" s="24" t="str">
        <f aca="false">IF(IFERROR(INDEX(tsk_Name,(ROW()-ROW(MSPTasks[[#Headers],[ID]])))="",TRUE()),"",INDEX(tsk_Level,(ROW()-ROW(MSPTasks[[#Headers],[ID]]))))</f>
        <v/>
      </c>
      <c r="E163" s="24" t="str">
        <f aca="false">IF(IFERROR(INDEX(tsk_Name,(ROW()-ROW(MSPTasks[[#Headers],[ID]])))="",TRUE()),"",IF(INDEX(tsk_Mode,(ROW()-ROW(MSPTasks[[#Headers],[ID]])))="Manual","Manually Scheduled","Auto Scheduled"))</f>
        <v/>
      </c>
      <c r="F163" s="24" t="str">
        <f aca="false">IF(IFERROR(INDEX(tsk_Name,(ROW()-ROW(MSPTasks[[#Headers],[ID]])))="",TRUE()),"",IF(INDEX(tsk_IsSummary,(ROW()-ROW(MSPTasks[[#Headers],[ID]]))),"",N(INDEX(tsk_Duration,(ROW()-ROW(MSPTasks[[#Headers],[ID]]))))&amp;"d"))</f>
        <v/>
      </c>
      <c r="G163" s="127" t="str">
        <f aca="false">IF(IFERROR(INDEX(tsk_Name,(ROW()-ROW(MSPTasks[[#Headers],[ID]])))="",TRUE()),"",INDEX(tsk_FcStart,(ROW()-ROW(MSPTasks[[#Headers],[ID]]))))</f>
        <v/>
      </c>
      <c r="H163" s="127" t="str">
        <f aca="false">IF(IFERROR(INDEX(tsk_Name,(ROW()-ROW(MSPTasks[[#Headers],[ID]])))="",TRUE()),"",INDEX(tsk_FcFinish,(ROW()-ROW(MSPTasks[[#Headers],[ID]]))))</f>
        <v/>
      </c>
      <c r="I163" s="24" t="str">
        <f aca="false">IF(IFERROR(INDEX(tsk_Name,(ROW()-ROW(MSPTasks[[#Headers],[ID]])))="",TRUE()),"",IF(INDEX(tsk_IsSummary,(ROW()-ROW(MSPTasks[[#Headers],[ID]]))),"",INDEX(tsk_Predecessors,(ROW()-ROW(MSPTasks[[#Headers],[ID]])))))</f>
        <v/>
      </c>
      <c r="J163" s="24" t="str">
        <f aca="false">IF(IFERROR(INDEX(tsk_Name,(ROW()-ROW(MSPTasks[[#Headers],[ID]])))="",TRUE()),"",IF(INDEX(tsk_IsSummary,(ROW()-ROW(MSPTasks[[#Headers],[ID]]))),"",INDEX(tsk_UIDPredecessors,(ROW()-ROW(MSPTasks[[#Headers],[ID]])))))</f>
        <v/>
      </c>
      <c r="K16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3" s="24" t="str">
        <f aca="false">IF(IFERROR(INDEX(tsk_Name,(ROW()-ROW(MSPTasks[[#Headers],[ID]])))="",TRUE()),"",IF(INDEX(tsk_IsSummary,(ROW()-ROW(MSPTasks[[#Headers],[ID]]))),"",ROUND(INDEX(tsk_Progress,(ROW()-ROW(MSPTasks[[#Headers],[ID]])))*100,0)))</f>
        <v/>
      </c>
      <c r="M163" s="127" t="str">
        <f aca="false">IF(IFERROR(INDEX(tsk_Name,(ROW()-ROW(MSPTasks[[#Headers],[ID]])))="",TRUE()),"",IF(N(INDEX(tsk_ActStart,(ROW()-ROW(MSPTasks[[#Headers],[ID]]))))=0,"",INDEX(tsk_ActStart,(ROW()-ROW(MSPTasks[[#Headers],[ID]])))))</f>
        <v/>
      </c>
      <c r="N163" s="127" t="str">
        <f aca="false">IF(IFERROR(INDEX(tsk_Name,(ROW()-ROW(MSPTasks[[#Headers],[ID]])))="",TRUE()),"",IF(N(INDEX(tsk_ActFinish,(ROW()-ROW(MSPTasks[[#Headers],[ID]]))))=0,"",INDEX(tsk_ActFinish,(ROW()-ROW(MSPTasks[[#Headers],[ID]])))))</f>
        <v/>
      </c>
      <c r="O163" s="127" t="str">
        <f aca="false">IF(IFERROR(INDEX(tsk_Name,(ROW()-ROW(MSPTasks[[#Headers],[ID]])))="",TRUE()),"",INDEX(tsk_PlanStart,(ROW()-ROW(MSPTasks[[#Headers],[ID]]))))</f>
        <v/>
      </c>
      <c r="P163" s="127" t="str">
        <f aca="false">IF(IFERROR(INDEX(tsk_Name,(ROW()-ROW(MSPTasks[[#Headers],[ID]])))="",TRUE()),"",INDEX(tsk_PlanFinish,(ROW()-ROW(MSPTasks[[#Headers],[ID]]))))</f>
        <v/>
      </c>
      <c r="Q163" s="24" t="str">
        <f aca="false">IF(IFERROR(INDEX(tsk_Name,(ROW()-ROW(MSPTasks[[#Headers],[ID]])))="",TRUE()),"",IF(INDEX(tsk_BaseDuration,(ROW()-ROW(MSPTasks[[#Headers],[ID]])))="","",N(INDEX(tsk_BaseDuration,(ROW()-ROW(MSPTasks[[#Headers],[ID]]))))&amp;"d"))</f>
        <v/>
      </c>
      <c r="R163" s="24" t="str">
        <f aca="false">IF(IFERROR(INDEX(tsk_Name,(ROW()-ROW(MSPTasks[[#Headers],[ID]])))="",TRUE()),"",IF(INDEX(tsk_BaseWork,(ROW()-ROW(MSPTasks[[#Headers],[ID]])))="","",N(INDEX(tsk_BaseWork,(ROW()-ROW(MSPTasks[[#Headers],[ID]]))))&amp;"h"))</f>
        <v/>
      </c>
      <c r="S163" s="24" t="str">
        <f aca="false">IF(IFERROR(INDEX(tsk_Name,(ROW()-ROW(MSPTasks[[#Headers],[ID]])))="",TRUE()),"",IF(INDEX(tsk_BaseCost,(ROW()-ROW(MSPTasks[[#Headers],[ID]])))="","",N(INDEX(tsk_BaseCost,(ROW()-ROW(MSPTasks[[#Headers],[ID]]))))))</f>
        <v/>
      </c>
      <c r="T163" s="24" t="str">
        <f aca="false">IF(IFERROR(INDEX(tsk_Name,(ROW()-ROW(MSPTasks[[#Headers],[ID]])))="",TRUE()),"",IF(INDEX(tsk_IsSummary,(ROW()-ROW(MSPTasks[[#Headers],[ID]]))),"",IF(N(INDEX(tsk_ActCostInput,(ROW()-ROW(MSPTasks[[#Headers],[ID]]))))=0,"",INDEX(tsk_ActCostInput,(ROW()-ROW(MSPTasks[[#Headers],[ID]]))))))</f>
        <v/>
      </c>
      <c r="U163" s="24" t="str">
        <f aca="false">IF(IFERROR(INDEX(tsk_Name,(ROW()-ROW(MSPTasks[[#Headers],[ID]])))="",TRUE()),"",IF(INDEX(tsk_IsSummary,(ROW()-ROW(MSPTasks[[#Headers],[ID]]))),"",IF(AND(INDEX(tsk_Mode,(ROW()-ROW(MSPTasks[[#Headers],[ID]])))&lt;&gt;"Manual",N(INDEX(tsk_Constraint,(ROW()-ROW(MSPTasks[[#Headers],[ID]]))))&gt;0),"Start No Earlier Than","As Soon As Possible")))</f>
        <v/>
      </c>
      <c r="V163" s="127" t="str">
        <f aca="false">IF(IFERROR(INDEX(tsk_Name,(ROW()-ROW(MSPTasks[[#Headers],[ID]])))="",TRUE()),"",IF(OR(INDEX(tsk_IsSummary,(ROW()-ROW(MSPTasks[[#Headers],[ID]]))),INDEX(tsk_Mode,(ROW()-ROW(MSPTasks[[#Headers],[ID]])))="Manual"),"",IF(N(INDEX(tsk_Constraint,(ROW()-ROW(MSPTasks[[#Headers],[ID]]))))=0,"",INDEX(tsk_Constraint,(ROW()-ROW(MSPTasks[[#Headers],[ID]]))))))</f>
        <v/>
      </c>
      <c r="W163" s="127" t="str">
        <f aca="false">IF(IFERROR(INDEX(tsk_Name,(ROW()-ROW(MSPTasks[[#Headers],[ID]])))="",TRUE()),"",IF(N(INDEX(tsk_Deadline,(ROW()-ROW(MSPTasks[[#Headers],[ID]]))))=0,"",INDEX(tsk_Deadline,(ROW()-ROW(MSPTasks[[#Headers],[ID]])))))</f>
        <v/>
      </c>
      <c r="X163" s="24" t="str">
        <f aca="false">IF(IFERROR(INDEX(tsk_Name,(ROW()-ROW(MSPTasks[[#Headers],[ID]])))="",TRUE()),"",IF(INDEX(tsk_IsSummary,(ROW()-ROW(MSPTasks[[#Headers],[ID]]))),"",INDEX(tsk_Sprint,(ROW()-ROW(MSPTasks[[#Headers],[ID]])))&amp;""))</f>
        <v/>
      </c>
      <c r="Y163" s="24" t="str">
        <f aca="false">IF(IFERROR(INDEX(tsk_Name,(ROW()-ROW(MSPTasks[[#Headers],[ID]])))="",TRUE()),"",IF(INDEX(tsk_IsSummary,(ROW()-ROW(MSPTasks[[#Headers],[ID]]))),"",IF(N(INDEX(tsk_StoryPoints,(ROW()-ROW(MSPTasks[[#Headers],[ID]]))))=0,"",INDEX(tsk_StoryPoints,(ROW()-ROW(MSPTasks[[#Headers],[ID]]))))))</f>
        <v/>
      </c>
      <c r="Z163" s="24" t="str">
        <f aca="false">IF(IFERROR(INDEX(tsk_Name,(ROW()-ROW(MSPTasks[[#Headers],[ID]])))="",TRUE()),"",INDEX(tsk_Notes,(ROW()-ROW(MSPTasks[[#Headers],[ID]])))&amp;"")</f>
        <v/>
      </c>
    </row>
    <row r="164" customFormat="false" ht="15" hidden="false" customHeight="false" outlineLevel="0" collapsed="false">
      <c r="A164" s="24" t="str">
        <f aca="false">IF(IFERROR(INDEX(tsk_Name,(ROW()-ROW(MSPTasks[[#Headers],[ID]])))="",TRUE()),"",INDEX(tsk_ID,(ROW()-ROW(MSPTasks[[#Headers],[ID]]))))</f>
        <v/>
      </c>
      <c r="B164" s="24" t="str">
        <f aca="false">IF(IFERROR(INDEX(tsk_Name,(ROW()-ROW(MSPTasks[[#Headers],[ID]])))="",TRUE()),"",INDEX(tsk_UID,(ROW()-ROW(MSPTasks[[#Headers],[ID]]))))</f>
        <v/>
      </c>
      <c r="C164" s="24" t="str">
        <f aca="false">IF(IFERROR(INDEX(tsk_Name,(ROW()-ROW(MSPTasks[[#Headers],[ID]])))="",TRUE()),"",INDEX(tsk_Name,(ROW()-ROW(MSPTasks[[#Headers],[ID]]))))</f>
        <v/>
      </c>
      <c r="D164" s="24" t="str">
        <f aca="false">IF(IFERROR(INDEX(tsk_Name,(ROW()-ROW(MSPTasks[[#Headers],[ID]])))="",TRUE()),"",INDEX(tsk_Level,(ROW()-ROW(MSPTasks[[#Headers],[ID]]))))</f>
        <v/>
      </c>
      <c r="E164" s="24" t="str">
        <f aca="false">IF(IFERROR(INDEX(tsk_Name,(ROW()-ROW(MSPTasks[[#Headers],[ID]])))="",TRUE()),"",IF(INDEX(tsk_Mode,(ROW()-ROW(MSPTasks[[#Headers],[ID]])))="Manual","Manually Scheduled","Auto Scheduled"))</f>
        <v/>
      </c>
      <c r="F164" s="24" t="str">
        <f aca="false">IF(IFERROR(INDEX(tsk_Name,(ROW()-ROW(MSPTasks[[#Headers],[ID]])))="",TRUE()),"",IF(INDEX(tsk_IsSummary,(ROW()-ROW(MSPTasks[[#Headers],[ID]]))),"",N(INDEX(tsk_Duration,(ROW()-ROW(MSPTasks[[#Headers],[ID]]))))&amp;"d"))</f>
        <v/>
      </c>
      <c r="G164" s="127" t="str">
        <f aca="false">IF(IFERROR(INDEX(tsk_Name,(ROW()-ROW(MSPTasks[[#Headers],[ID]])))="",TRUE()),"",INDEX(tsk_FcStart,(ROW()-ROW(MSPTasks[[#Headers],[ID]]))))</f>
        <v/>
      </c>
      <c r="H164" s="127" t="str">
        <f aca="false">IF(IFERROR(INDEX(tsk_Name,(ROW()-ROW(MSPTasks[[#Headers],[ID]])))="",TRUE()),"",INDEX(tsk_FcFinish,(ROW()-ROW(MSPTasks[[#Headers],[ID]]))))</f>
        <v/>
      </c>
      <c r="I164" s="24" t="str">
        <f aca="false">IF(IFERROR(INDEX(tsk_Name,(ROW()-ROW(MSPTasks[[#Headers],[ID]])))="",TRUE()),"",IF(INDEX(tsk_IsSummary,(ROW()-ROW(MSPTasks[[#Headers],[ID]]))),"",INDEX(tsk_Predecessors,(ROW()-ROW(MSPTasks[[#Headers],[ID]])))))</f>
        <v/>
      </c>
      <c r="J164" s="24" t="str">
        <f aca="false">IF(IFERROR(INDEX(tsk_Name,(ROW()-ROW(MSPTasks[[#Headers],[ID]])))="",TRUE()),"",IF(INDEX(tsk_IsSummary,(ROW()-ROW(MSPTasks[[#Headers],[ID]]))),"",INDEX(tsk_UIDPredecessors,(ROW()-ROW(MSPTasks[[#Headers],[ID]])))))</f>
        <v/>
      </c>
      <c r="K16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4" s="24" t="str">
        <f aca="false">IF(IFERROR(INDEX(tsk_Name,(ROW()-ROW(MSPTasks[[#Headers],[ID]])))="",TRUE()),"",IF(INDEX(tsk_IsSummary,(ROW()-ROW(MSPTasks[[#Headers],[ID]]))),"",ROUND(INDEX(tsk_Progress,(ROW()-ROW(MSPTasks[[#Headers],[ID]])))*100,0)))</f>
        <v/>
      </c>
      <c r="M164" s="127" t="str">
        <f aca="false">IF(IFERROR(INDEX(tsk_Name,(ROW()-ROW(MSPTasks[[#Headers],[ID]])))="",TRUE()),"",IF(N(INDEX(tsk_ActStart,(ROW()-ROW(MSPTasks[[#Headers],[ID]]))))=0,"",INDEX(tsk_ActStart,(ROW()-ROW(MSPTasks[[#Headers],[ID]])))))</f>
        <v/>
      </c>
      <c r="N164" s="127" t="str">
        <f aca="false">IF(IFERROR(INDEX(tsk_Name,(ROW()-ROW(MSPTasks[[#Headers],[ID]])))="",TRUE()),"",IF(N(INDEX(tsk_ActFinish,(ROW()-ROW(MSPTasks[[#Headers],[ID]]))))=0,"",INDEX(tsk_ActFinish,(ROW()-ROW(MSPTasks[[#Headers],[ID]])))))</f>
        <v/>
      </c>
      <c r="O164" s="127" t="str">
        <f aca="false">IF(IFERROR(INDEX(tsk_Name,(ROW()-ROW(MSPTasks[[#Headers],[ID]])))="",TRUE()),"",INDEX(tsk_PlanStart,(ROW()-ROW(MSPTasks[[#Headers],[ID]]))))</f>
        <v/>
      </c>
      <c r="P164" s="127" t="str">
        <f aca="false">IF(IFERROR(INDEX(tsk_Name,(ROW()-ROW(MSPTasks[[#Headers],[ID]])))="",TRUE()),"",INDEX(tsk_PlanFinish,(ROW()-ROW(MSPTasks[[#Headers],[ID]]))))</f>
        <v/>
      </c>
      <c r="Q164" s="24" t="str">
        <f aca="false">IF(IFERROR(INDEX(tsk_Name,(ROW()-ROW(MSPTasks[[#Headers],[ID]])))="",TRUE()),"",IF(INDEX(tsk_BaseDuration,(ROW()-ROW(MSPTasks[[#Headers],[ID]])))="","",N(INDEX(tsk_BaseDuration,(ROW()-ROW(MSPTasks[[#Headers],[ID]]))))&amp;"d"))</f>
        <v/>
      </c>
      <c r="R164" s="24" t="str">
        <f aca="false">IF(IFERROR(INDEX(tsk_Name,(ROW()-ROW(MSPTasks[[#Headers],[ID]])))="",TRUE()),"",IF(INDEX(tsk_BaseWork,(ROW()-ROW(MSPTasks[[#Headers],[ID]])))="","",N(INDEX(tsk_BaseWork,(ROW()-ROW(MSPTasks[[#Headers],[ID]]))))&amp;"h"))</f>
        <v/>
      </c>
      <c r="S164" s="24" t="str">
        <f aca="false">IF(IFERROR(INDEX(tsk_Name,(ROW()-ROW(MSPTasks[[#Headers],[ID]])))="",TRUE()),"",IF(INDEX(tsk_BaseCost,(ROW()-ROW(MSPTasks[[#Headers],[ID]])))="","",N(INDEX(tsk_BaseCost,(ROW()-ROW(MSPTasks[[#Headers],[ID]]))))))</f>
        <v/>
      </c>
      <c r="T164" s="24" t="str">
        <f aca="false">IF(IFERROR(INDEX(tsk_Name,(ROW()-ROW(MSPTasks[[#Headers],[ID]])))="",TRUE()),"",IF(INDEX(tsk_IsSummary,(ROW()-ROW(MSPTasks[[#Headers],[ID]]))),"",IF(N(INDEX(tsk_ActCostInput,(ROW()-ROW(MSPTasks[[#Headers],[ID]]))))=0,"",INDEX(tsk_ActCostInput,(ROW()-ROW(MSPTasks[[#Headers],[ID]]))))))</f>
        <v/>
      </c>
      <c r="U164" s="24" t="str">
        <f aca="false">IF(IFERROR(INDEX(tsk_Name,(ROW()-ROW(MSPTasks[[#Headers],[ID]])))="",TRUE()),"",IF(INDEX(tsk_IsSummary,(ROW()-ROW(MSPTasks[[#Headers],[ID]]))),"",IF(AND(INDEX(tsk_Mode,(ROW()-ROW(MSPTasks[[#Headers],[ID]])))&lt;&gt;"Manual",N(INDEX(tsk_Constraint,(ROW()-ROW(MSPTasks[[#Headers],[ID]]))))&gt;0),"Start No Earlier Than","As Soon As Possible")))</f>
        <v/>
      </c>
      <c r="V164" s="127" t="str">
        <f aca="false">IF(IFERROR(INDEX(tsk_Name,(ROW()-ROW(MSPTasks[[#Headers],[ID]])))="",TRUE()),"",IF(OR(INDEX(tsk_IsSummary,(ROW()-ROW(MSPTasks[[#Headers],[ID]]))),INDEX(tsk_Mode,(ROW()-ROW(MSPTasks[[#Headers],[ID]])))="Manual"),"",IF(N(INDEX(tsk_Constraint,(ROW()-ROW(MSPTasks[[#Headers],[ID]]))))=0,"",INDEX(tsk_Constraint,(ROW()-ROW(MSPTasks[[#Headers],[ID]]))))))</f>
        <v/>
      </c>
      <c r="W164" s="127" t="str">
        <f aca="false">IF(IFERROR(INDEX(tsk_Name,(ROW()-ROW(MSPTasks[[#Headers],[ID]])))="",TRUE()),"",IF(N(INDEX(tsk_Deadline,(ROW()-ROW(MSPTasks[[#Headers],[ID]]))))=0,"",INDEX(tsk_Deadline,(ROW()-ROW(MSPTasks[[#Headers],[ID]])))))</f>
        <v/>
      </c>
      <c r="X164" s="24" t="str">
        <f aca="false">IF(IFERROR(INDEX(tsk_Name,(ROW()-ROW(MSPTasks[[#Headers],[ID]])))="",TRUE()),"",IF(INDEX(tsk_IsSummary,(ROW()-ROW(MSPTasks[[#Headers],[ID]]))),"",INDEX(tsk_Sprint,(ROW()-ROW(MSPTasks[[#Headers],[ID]])))&amp;""))</f>
        <v/>
      </c>
      <c r="Y164" s="24" t="str">
        <f aca="false">IF(IFERROR(INDEX(tsk_Name,(ROW()-ROW(MSPTasks[[#Headers],[ID]])))="",TRUE()),"",IF(INDEX(tsk_IsSummary,(ROW()-ROW(MSPTasks[[#Headers],[ID]]))),"",IF(N(INDEX(tsk_StoryPoints,(ROW()-ROW(MSPTasks[[#Headers],[ID]]))))=0,"",INDEX(tsk_StoryPoints,(ROW()-ROW(MSPTasks[[#Headers],[ID]]))))))</f>
        <v/>
      </c>
      <c r="Z164" s="24" t="str">
        <f aca="false">IF(IFERROR(INDEX(tsk_Name,(ROW()-ROW(MSPTasks[[#Headers],[ID]])))="",TRUE()),"",INDEX(tsk_Notes,(ROW()-ROW(MSPTasks[[#Headers],[ID]])))&amp;"")</f>
        <v/>
      </c>
    </row>
    <row r="165" customFormat="false" ht="15" hidden="false" customHeight="false" outlineLevel="0" collapsed="false">
      <c r="A165" s="24" t="str">
        <f aca="false">IF(IFERROR(INDEX(tsk_Name,(ROW()-ROW(MSPTasks[[#Headers],[ID]])))="",TRUE()),"",INDEX(tsk_ID,(ROW()-ROW(MSPTasks[[#Headers],[ID]]))))</f>
        <v/>
      </c>
      <c r="B165" s="24" t="str">
        <f aca="false">IF(IFERROR(INDEX(tsk_Name,(ROW()-ROW(MSPTasks[[#Headers],[ID]])))="",TRUE()),"",INDEX(tsk_UID,(ROW()-ROW(MSPTasks[[#Headers],[ID]]))))</f>
        <v/>
      </c>
      <c r="C165" s="24" t="str">
        <f aca="false">IF(IFERROR(INDEX(tsk_Name,(ROW()-ROW(MSPTasks[[#Headers],[ID]])))="",TRUE()),"",INDEX(tsk_Name,(ROW()-ROW(MSPTasks[[#Headers],[ID]]))))</f>
        <v/>
      </c>
      <c r="D165" s="24" t="str">
        <f aca="false">IF(IFERROR(INDEX(tsk_Name,(ROW()-ROW(MSPTasks[[#Headers],[ID]])))="",TRUE()),"",INDEX(tsk_Level,(ROW()-ROW(MSPTasks[[#Headers],[ID]]))))</f>
        <v/>
      </c>
      <c r="E165" s="24" t="str">
        <f aca="false">IF(IFERROR(INDEX(tsk_Name,(ROW()-ROW(MSPTasks[[#Headers],[ID]])))="",TRUE()),"",IF(INDEX(tsk_Mode,(ROW()-ROW(MSPTasks[[#Headers],[ID]])))="Manual","Manually Scheduled","Auto Scheduled"))</f>
        <v/>
      </c>
      <c r="F165" s="24" t="str">
        <f aca="false">IF(IFERROR(INDEX(tsk_Name,(ROW()-ROW(MSPTasks[[#Headers],[ID]])))="",TRUE()),"",IF(INDEX(tsk_IsSummary,(ROW()-ROW(MSPTasks[[#Headers],[ID]]))),"",N(INDEX(tsk_Duration,(ROW()-ROW(MSPTasks[[#Headers],[ID]]))))&amp;"d"))</f>
        <v/>
      </c>
      <c r="G165" s="127" t="str">
        <f aca="false">IF(IFERROR(INDEX(tsk_Name,(ROW()-ROW(MSPTasks[[#Headers],[ID]])))="",TRUE()),"",INDEX(tsk_FcStart,(ROW()-ROW(MSPTasks[[#Headers],[ID]]))))</f>
        <v/>
      </c>
      <c r="H165" s="127" t="str">
        <f aca="false">IF(IFERROR(INDEX(tsk_Name,(ROW()-ROW(MSPTasks[[#Headers],[ID]])))="",TRUE()),"",INDEX(tsk_FcFinish,(ROW()-ROW(MSPTasks[[#Headers],[ID]]))))</f>
        <v/>
      </c>
      <c r="I165" s="24" t="str">
        <f aca="false">IF(IFERROR(INDEX(tsk_Name,(ROW()-ROW(MSPTasks[[#Headers],[ID]])))="",TRUE()),"",IF(INDEX(tsk_IsSummary,(ROW()-ROW(MSPTasks[[#Headers],[ID]]))),"",INDEX(tsk_Predecessors,(ROW()-ROW(MSPTasks[[#Headers],[ID]])))))</f>
        <v/>
      </c>
      <c r="J165" s="24" t="str">
        <f aca="false">IF(IFERROR(INDEX(tsk_Name,(ROW()-ROW(MSPTasks[[#Headers],[ID]])))="",TRUE()),"",IF(INDEX(tsk_IsSummary,(ROW()-ROW(MSPTasks[[#Headers],[ID]]))),"",INDEX(tsk_UIDPredecessors,(ROW()-ROW(MSPTasks[[#Headers],[ID]])))))</f>
        <v/>
      </c>
      <c r="K16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5" s="24" t="str">
        <f aca="false">IF(IFERROR(INDEX(tsk_Name,(ROW()-ROW(MSPTasks[[#Headers],[ID]])))="",TRUE()),"",IF(INDEX(tsk_IsSummary,(ROW()-ROW(MSPTasks[[#Headers],[ID]]))),"",ROUND(INDEX(tsk_Progress,(ROW()-ROW(MSPTasks[[#Headers],[ID]])))*100,0)))</f>
        <v/>
      </c>
      <c r="M165" s="127" t="str">
        <f aca="false">IF(IFERROR(INDEX(tsk_Name,(ROW()-ROW(MSPTasks[[#Headers],[ID]])))="",TRUE()),"",IF(N(INDEX(tsk_ActStart,(ROW()-ROW(MSPTasks[[#Headers],[ID]]))))=0,"",INDEX(tsk_ActStart,(ROW()-ROW(MSPTasks[[#Headers],[ID]])))))</f>
        <v/>
      </c>
      <c r="N165" s="127" t="str">
        <f aca="false">IF(IFERROR(INDEX(tsk_Name,(ROW()-ROW(MSPTasks[[#Headers],[ID]])))="",TRUE()),"",IF(N(INDEX(tsk_ActFinish,(ROW()-ROW(MSPTasks[[#Headers],[ID]]))))=0,"",INDEX(tsk_ActFinish,(ROW()-ROW(MSPTasks[[#Headers],[ID]])))))</f>
        <v/>
      </c>
      <c r="O165" s="127" t="str">
        <f aca="false">IF(IFERROR(INDEX(tsk_Name,(ROW()-ROW(MSPTasks[[#Headers],[ID]])))="",TRUE()),"",INDEX(tsk_PlanStart,(ROW()-ROW(MSPTasks[[#Headers],[ID]]))))</f>
        <v/>
      </c>
      <c r="P165" s="127" t="str">
        <f aca="false">IF(IFERROR(INDEX(tsk_Name,(ROW()-ROW(MSPTasks[[#Headers],[ID]])))="",TRUE()),"",INDEX(tsk_PlanFinish,(ROW()-ROW(MSPTasks[[#Headers],[ID]]))))</f>
        <v/>
      </c>
      <c r="Q165" s="24" t="str">
        <f aca="false">IF(IFERROR(INDEX(tsk_Name,(ROW()-ROW(MSPTasks[[#Headers],[ID]])))="",TRUE()),"",IF(INDEX(tsk_BaseDuration,(ROW()-ROW(MSPTasks[[#Headers],[ID]])))="","",N(INDEX(tsk_BaseDuration,(ROW()-ROW(MSPTasks[[#Headers],[ID]]))))&amp;"d"))</f>
        <v/>
      </c>
      <c r="R165" s="24" t="str">
        <f aca="false">IF(IFERROR(INDEX(tsk_Name,(ROW()-ROW(MSPTasks[[#Headers],[ID]])))="",TRUE()),"",IF(INDEX(tsk_BaseWork,(ROW()-ROW(MSPTasks[[#Headers],[ID]])))="","",N(INDEX(tsk_BaseWork,(ROW()-ROW(MSPTasks[[#Headers],[ID]]))))&amp;"h"))</f>
        <v/>
      </c>
      <c r="S165" s="24" t="str">
        <f aca="false">IF(IFERROR(INDEX(tsk_Name,(ROW()-ROW(MSPTasks[[#Headers],[ID]])))="",TRUE()),"",IF(INDEX(tsk_BaseCost,(ROW()-ROW(MSPTasks[[#Headers],[ID]])))="","",N(INDEX(tsk_BaseCost,(ROW()-ROW(MSPTasks[[#Headers],[ID]]))))))</f>
        <v/>
      </c>
      <c r="T165" s="24" t="str">
        <f aca="false">IF(IFERROR(INDEX(tsk_Name,(ROW()-ROW(MSPTasks[[#Headers],[ID]])))="",TRUE()),"",IF(INDEX(tsk_IsSummary,(ROW()-ROW(MSPTasks[[#Headers],[ID]]))),"",IF(N(INDEX(tsk_ActCostInput,(ROW()-ROW(MSPTasks[[#Headers],[ID]]))))=0,"",INDEX(tsk_ActCostInput,(ROW()-ROW(MSPTasks[[#Headers],[ID]]))))))</f>
        <v/>
      </c>
      <c r="U165" s="24" t="str">
        <f aca="false">IF(IFERROR(INDEX(tsk_Name,(ROW()-ROW(MSPTasks[[#Headers],[ID]])))="",TRUE()),"",IF(INDEX(tsk_IsSummary,(ROW()-ROW(MSPTasks[[#Headers],[ID]]))),"",IF(AND(INDEX(tsk_Mode,(ROW()-ROW(MSPTasks[[#Headers],[ID]])))&lt;&gt;"Manual",N(INDEX(tsk_Constraint,(ROW()-ROW(MSPTasks[[#Headers],[ID]]))))&gt;0),"Start No Earlier Than","As Soon As Possible")))</f>
        <v/>
      </c>
      <c r="V165" s="127" t="str">
        <f aca="false">IF(IFERROR(INDEX(tsk_Name,(ROW()-ROW(MSPTasks[[#Headers],[ID]])))="",TRUE()),"",IF(OR(INDEX(tsk_IsSummary,(ROW()-ROW(MSPTasks[[#Headers],[ID]]))),INDEX(tsk_Mode,(ROW()-ROW(MSPTasks[[#Headers],[ID]])))="Manual"),"",IF(N(INDEX(tsk_Constraint,(ROW()-ROW(MSPTasks[[#Headers],[ID]]))))=0,"",INDEX(tsk_Constraint,(ROW()-ROW(MSPTasks[[#Headers],[ID]]))))))</f>
        <v/>
      </c>
      <c r="W165" s="127" t="str">
        <f aca="false">IF(IFERROR(INDEX(tsk_Name,(ROW()-ROW(MSPTasks[[#Headers],[ID]])))="",TRUE()),"",IF(N(INDEX(tsk_Deadline,(ROW()-ROW(MSPTasks[[#Headers],[ID]]))))=0,"",INDEX(tsk_Deadline,(ROW()-ROW(MSPTasks[[#Headers],[ID]])))))</f>
        <v/>
      </c>
      <c r="X165" s="24" t="str">
        <f aca="false">IF(IFERROR(INDEX(tsk_Name,(ROW()-ROW(MSPTasks[[#Headers],[ID]])))="",TRUE()),"",IF(INDEX(tsk_IsSummary,(ROW()-ROW(MSPTasks[[#Headers],[ID]]))),"",INDEX(tsk_Sprint,(ROW()-ROW(MSPTasks[[#Headers],[ID]])))&amp;""))</f>
        <v/>
      </c>
      <c r="Y165" s="24" t="str">
        <f aca="false">IF(IFERROR(INDEX(tsk_Name,(ROW()-ROW(MSPTasks[[#Headers],[ID]])))="",TRUE()),"",IF(INDEX(tsk_IsSummary,(ROW()-ROW(MSPTasks[[#Headers],[ID]]))),"",IF(N(INDEX(tsk_StoryPoints,(ROW()-ROW(MSPTasks[[#Headers],[ID]]))))=0,"",INDEX(tsk_StoryPoints,(ROW()-ROW(MSPTasks[[#Headers],[ID]]))))))</f>
        <v/>
      </c>
      <c r="Z165" s="24" t="str">
        <f aca="false">IF(IFERROR(INDEX(tsk_Name,(ROW()-ROW(MSPTasks[[#Headers],[ID]])))="",TRUE()),"",INDEX(tsk_Notes,(ROW()-ROW(MSPTasks[[#Headers],[ID]])))&amp;"")</f>
        <v/>
      </c>
    </row>
    <row r="166" customFormat="false" ht="15" hidden="false" customHeight="false" outlineLevel="0" collapsed="false">
      <c r="A166" s="24" t="str">
        <f aca="false">IF(IFERROR(INDEX(tsk_Name,(ROW()-ROW(MSPTasks[[#Headers],[ID]])))="",TRUE()),"",INDEX(tsk_ID,(ROW()-ROW(MSPTasks[[#Headers],[ID]]))))</f>
        <v/>
      </c>
      <c r="B166" s="24" t="str">
        <f aca="false">IF(IFERROR(INDEX(tsk_Name,(ROW()-ROW(MSPTasks[[#Headers],[ID]])))="",TRUE()),"",INDEX(tsk_UID,(ROW()-ROW(MSPTasks[[#Headers],[ID]]))))</f>
        <v/>
      </c>
      <c r="C166" s="24" t="str">
        <f aca="false">IF(IFERROR(INDEX(tsk_Name,(ROW()-ROW(MSPTasks[[#Headers],[ID]])))="",TRUE()),"",INDEX(tsk_Name,(ROW()-ROW(MSPTasks[[#Headers],[ID]]))))</f>
        <v/>
      </c>
      <c r="D166" s="24" t="str">
        <f aca="false">IF(IFERROR(INDEX(tsk_Name,(ROW()-ROW(MSPTasks[[#Headers],[ID]])))="",TRUE()),"",INDEX(tsk_Level,(ROW()-ROW(MSPTasks[[#Headers],[ID]]))))</f>
        <v/>
      </c>
      <c r="E166" s="24" t="str">
        <f aca="false">IF(IFERROR(INDEX(tsk_Name,(ROW()-ROW(MSPTasks[[#Headers],[ID]])))="",TRUE()),"",IF(INDEX(tsk_Mode,(ROW()-ROW(MSPTasks[[#Headers],[ID]])))="Manual","Manually Scheduled","Auto Scheduled"))</f>
        <v/>
      </c>
      <c r="F166" s="24" t="str">
        <f aca="false">IF(IFERROR(INDEX(tsk_Name,(ROW()-ROW(MSPTasks[[#Headers],[ID]])))="",TRUE()),"",IF(INDEX(tsk_IsSummary,(ROW()-ROW(MSPTasks[[#Headers],[ID]]))),"",N(INDEX(tsk_Duration,(ROW()-ROW(MSPTasks[[#Headers],[ID]]))))&amp;"d"))</f>
        <v/>
      </c>
      <c r="G166" s="127" t="str">
        <f aca="false">IF(IFERROR(INDEX(tsk_Name,(ROW()-ROW(MSPTasks[[#Headers],[ID]])))="",TRUE()),"",INDEX(tsk_FcStart,(ROW()-ROW(MSPTasks[[#Headers],[ID]]))))</f>
        <v/>
      </c>
      <c r="H166" s="127" t="str">
        <f aca="false">IF(IFERROR(INDEX(tsk_Name,(ROW()-ROW(MSPTasks[[#Headers],[ID]])))="",TRUE()),"",INDEX(tsk_FcFinish,(ROW()-ROW(MSPTasks[[#Headers],[ID]]))))</f>
        <v/>
      </c>
      <c r="I166" s="24" t="str">
        <f aca="false">IF(IFERROR(INDEX(tsk_Name,(ROW()-ROW(MSPTasks[[#Headers],[ID]])))="",TRUE()),"",IF(INDEX(tsk_IsSummary,(ROW()-ROW(MSPTasks[[#Headers],[ID]]))),"",INDEX(tsk_Predecessors,(ROW()-ROW(MSPTasks[[#Headers],[ID]])))))</f>
        <v/>
      </c>
      <c r="J166" s="24" t="str">
        <f aca="false">IF(IFERROR(INDEX(tsk_Name,(ROW()-ROW(MSPTasks[[#Headers],[ID]])))="",TRUE()),"",IF(INDEX(tsk_IsSummary,(ROW()-ROW(MSPTasks[[#Headers],[ID]]))),"",INDEX(tsk_UIDPredecessors,(ROW()-ROW(MSPTasks[[#Headers],[ID]])))))</f>
        <v/>
      </c>
      <c r="K16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6" s="24" t="str">
        <f aca="false">IF(IFERROR(INDEX(tsk_Name,(ROW()-ROW(MSPTasks[[#Headers],[ID]])))="",TRUE()),"",IF(INDEX(tsk_IsSummary,(ROW()-ROW(MSPTasks[[#Headers],[ID]]))),"",ROUND(INDEX(tsk_Progress,(ROW()-ROW(MSPTasks[[#Headers],[ID]])))*100,0)))</f>
        <v/>
      </c>
      <c r="M166" s="127" t="str">
        <f aca="false">IF(IFERROR(INDEX(tsk_Name,(ROW()-ROW(MSPTasks[[#Headers],[ID]])))="",TRUE()),"",IF(N(INDEX(tsk_ActStart,(ROW()-ROW(MSPTasks[[#Headers],[ID]]))))=0,"",INDEX(tsk_ActStart,(ROW()-ROW(MSPTasks[[#Headers],[ID]])))))</f>
        <v/>
      </c>
      <c r="N166" s="127" t="str">
        <f aca="false">IF(IFERROR(INDEX(tsk_Name,(ROW()-ROW(MSPTasks[[#Headers],[ID]])))="",TRUE()),"",IF(N(INDEX(tsk_ActFinish,(ROW()-ROW(MSPTasks[[#Headers],[ID]]))))=0,"",INDEX(tsk_ActFinish,(ROW()-ROW(MSPTasks[[#Headers],[ID]])))))</f>
        <v/>
      </c>
      <c r="O166" s="127" t="str">
        <f aca="false">IF(IFERROR(INDEX(tsk_Name,(ROW()-ROW(MSPTasks[[#Headers],[ID]])))="",TRUE()),"",INDEX(tsk_PlanStart,(ROW()-ROW(MSPTasks[[#Headers],[ID]]))))</f>
        <v/>
      </c>
      <c r="P166" s="127" t="str">
        <f aca="false">IF(IFERROR(INDEX(tsk_Name,(ROW()-ROW(MSPTasks[[#Headers],[ID]])))="",TRUE()),"",INDEX(tsk_PlanFinish,(ROW()-ROW(MSPTasks[[#Headers],[ID]]))))</f>
        <v/>
      </c>
      <c r="Q166" s="24" t="str">
        <f aca="false">IF(IFERROR(INDEX(tsk_Name,(ROW()-ROW(MSPTasks[[#Headers],[ID]])))="",TRUE()),"",IF(INDEX(tsk_BaseDuration,(ROW()-ROW(MSPTasks[[#Headers],[ID]])))="","",N(INDEX(tsk_BaseDuration,(ROW()-ROW(MSPTasks[[#Headers],[ID]]))))&amp;"d"))</f>
        <v/>
      </c>
      <c r="R166" s="24" t="str">
        <f aca="false">IF(IFERROR(INDEX(tsk_Name,(ROW()-ROW(MSPTasks[[#Headers],[ID]])))="",TRUE()),"",IF(INDEX(tsk_BaseWork,(ROW()-ROW(MSPTasks[[#Headers],[ID]])))="","",N(INDEX(tsk_BaseWork,(ROW()-ROW(MSPTasks[[#Headers],[ID]]))))&amp;"h"))</f>
        <v/>
      </c>
      <c r="S166" s="24" t="str">
        <f aca="false">IF(IFERROR(INDEX(tsk_Name,(ROW()-ROW(MSPTasks[[#Headers],[ID]])))="",TRUE()),"",IF(INDEX(tsk_BaseCost,(ROW()-ROW(MSPTasks[[#Headers],[ID]])))="","",N(INDEX(tsk_BaseCost,(ROW()-ROW(MSPTasks[[#Headers],[ID]]))))))</f>
        <v/>
      </c>
      <c r="T166" s="24" t="str">
        <f aca="false">IF(IFERROR(INDEX(tsk_Name,(ROW()-ROW(MSPTasks[[#Headers],[ID]])))="",TRUE()),"",IF(INDEX(tsk_IsSummary,(ROW()-ROW(MSPTasks[[#Headers],[ID]]))),"",IF(N(INDEX(tsk_ActCostInput,(ROW()-ROW(MSPTasks[[#Headers],[ID]]))))=0,"",INDEX(tsk_ActCostInput,(ROW()-ROW(MSPTasks[[#Headers],[ID]]))))))</f>
        <v/>
      </c>
      <c r="U166" s="24" t="str">
        <f aca="false">IF(IFERROR(INDEX(tsk_Name,(ROW()-ROW(MSPTasks[[#Headers],[ID]])))="",TRUE()),"",IF(INDEX(tsk_IsSummary,(ROW()-ROW(MSPTasks[[#Headers],[ID]]))),"",IF(AND(INDEX(tsk_Mode,(ROW()-ROW(MSPTasks[[#Headers],[ID]])))&lt;&gt;"Manual",N(INDEX(tsk_Constraint,(ROW()-ROW(MSPTasks[[#Headers],[ID]]))))&gt;0),"Start No Earlier Than","As Soon As Possible")))</f>
        <v/>
      </c>
      <c r="V166" s="127" t="str">
        <f aca="false">IF(IFERROR(INDEX(tsk_Name,(ROW()-ROW(MSPTasks[[#Headers],[ID]])))="",TRUE()),"",IF(OR(INDEX(tsk_IsSummary,(ROW()-ROW(MSPTasks[[#Headers],[ID]]))),INDEX(tsk_Mode,(ROW()-ROW(MSPTasks[[#Headers],[ID]])))="Manual"),"",IF(N(INDEX(tsk_Constraint,(ROW()-ROW(MSPTasks[[#Headers],[ID]]))))=0,"",INDEX(tsk_Constraint,(ROW()-ROW(MSPTasks[[#Headers],[ID]]))))))</f>
        <v/>
      </c>
      <c r="W166" s="127" t="str">
        <f aca="false">IF(IFERROR(INDEX(tsk_Name,(ROW()-ROW(MSPTasks[[#Headers],[ID]])))="",TRUE()),"",IF(N(INDEX(tsk_Deadline,(ROW()-ROW(MSPTasks[[#Headers],[ID]]))))=0,"",INDEX(tsk_Deadline,(ROW()-ROW(MSPTasks[[#Headers],[ID]])))))</f>
        <v/>
      </c>
      <c r="X166" s="24" t="str">
        <f aca="false">IF(IFERROR(INDEX(tsk_Name,(ROW()-ROW(MSPTasks[[#Headers],[ID]])))="",TRUE()),"",IF(INDEX(tsk_IsSummary,(ROW()-ROW(MSPTasks[[#Headers],[ID]]))),"",INDEX(tsk_Sprint,(ROW()-ROW(MSPTasks[[#Headers],[ID]])))&amp;""))</f>
        <v/>
      </c>
      <c r="Y166" s="24" t="str">
        <f aca="false">IF(IFERROR(INDEX(tsk_Name,(ROW()-ROW(MSPTasks[[#Headers],[ID]])))="",TRUE()),"",IF(INDEX(tsk_IsSummary,(ROW()-ROW(MSPTasks[[#Headers],[ID]]))),"",IF(N(INDEX(tsk_StoryPoints,(ROW()-ROW(MSPTasks[[#Headers],[ID]]))))=0,"",INDEX(tsk_StoryPoints,(ROW()-ROW(MSPTasks[[#Headers],[ID]]))))))</f>
        <v/>
      </c>
      <c r="Z166" s="24" t="str">
        <f aca="false">IF(IFERROR(INDEX(tsk_Name,(ROW()-ROW(MSPTasks[[#Headers],[ID]])))="",TRUE()),"",INDEX(tsk_Notes,(ROW()-ROW(MSPTasks[[#Headers],[ID]])))&amp;"")</f>
        <v/>
      </c>
    </row>
    <row r="167" customFormat="false" ht="15" hidden="false" customHeight="false" outlineLevel="0" collapsed="false">
      <c r="A167" s="24" t="str">
        <f aca="false">IF(IFERROR(INDEX(tsk_Name,(ROW()-ROW(MSPTasks[[#Headers],[ID]])))="",TRUE()),"",INDEX(tsk_ID,(ROW()-ROW(MSPTasks[[#Headers],[ID]]))))</f>
        <v/>
      </c>
      <c r="B167" s="24" t="str">
        <f aca="false">IF(IFERROR(INDEX(tsk_Name,(ROW()-ROW(MSPTasks[[#Headers],[ID]])))="",TRUE()),"",INDEX(tsk_UID,(ROW()-ROW(MSPTasks[[#Headers],[ID]]))))</f>
        <v/>
      </c>
      <c r="C167" s="24" t="str">
        <f aca="false">IF(IFERROR(INDEX(tsk_Name,(ROW()-ROW(MSPTasks[[#Headers],[ID]])))="",TRUE()),"",INDEX(tsk_Name,(ROW()-ROW(MSPTasks[[#Headers],[ID]]))))</f>
        <v/>
      </c>
      <c r="D167" s="24" t="str">
        <f aca="false">IF(IFERROR(INDEX(tsk_Name,(ROW()-ROW(MSPTasks[[#Headers],[ID]])))="",TRUE()),"",INDEX(tsk_Level,(ROW()-ROW(MSPTasks[[#Headers],[ID]]))))</f>
        <v/>
      </c>
      <c r="E167" s="24" t="str">
        <f aca="false">IF(IFERROR(INDEX(tsk_Name,(ROW()-ROW(MSPTasks[[#Headers],[ID]])))="",TRUE()),"",IF(INDEX(tsk_Mode,(ROW()-ROW(MSPTasks[[#Headers],[ID]])))="Manual","Manually Scheduled","Auto Scheduled"))</f>
        <v/>
      </c>
      <c r="F167" s="24" t="str">
        <f aca="false">IF(IFERROR(INDEX(tsk_Name,(ROW()-ROW(MSPTasks[[#Headers],[ID]])))="",TRUE()),"",IF(INDEX(tsk_IsSummary,(ROW()-ROW(MSPTasks[[#Headers],[ID]]))),"",N(INDEX(tsk_Duration,(ROW()-ROW(MSPTasks[[#Headers],[ID]]))))&amp;"d"))</f>
        <v/>
      </c>
      <c r="G167" s="127" t="str">
        <f aca="false">IF(IFERROR(INDEX(tsk_Name,(ROW()-ROW(MSPTasks[[#Headers],[ID]])))="",TRUE()),"",INDEX(tsk_FcStart,(ROW()-ROW(MSPTasks[[#Headers],[ID]]))))</f>
        <v/>
      </c>
      <c r="H167" s="127" t="str">
        <f aca="false">IF(IFERROR(INDEX(tsk_Name,(ROW()-ROW(MSPTasks[[#Headers],[ID]])))="",TRUE()),"",INDEX(tsk_FcFinish,(ROW()-ROW(MSPTasks[[#Headers],[ID]]))))</f>
        <v/>
      </c>
      <c r="I167" s="24" t="str">
        <f aca="false">IF(IFERROR(INDEX(tsk_Name,(ROW()-ROW(MSPTasks[[#Headers],[ID]])))="",TRUE()),"",IF(INDEX(tsk_IsSummary,(ROW()-ROW(MSPTasks[[#Headers],[ID]]))),"",INDEX(tsk_Predecessors,(ROW()-ROW(MSPTasks[[#Headers],[ID]])))))</f>
        <v/>
      </c>
      <c r="J167" s="24" t="str">
        <f aca="false">IF(IFERROR(INDEX(tsk_Name,(ROW()-ROW(MSPTasks[[#Headers],[ID]])))="",TRUE()),"",IF(INDEX(tsk_IsSummary,(ROW()-ROW(MSPTasks[[#Headers],[ID]]))),"",INDEX(tsk_UIDPredecessors,(ROW()-ROW(MSPTasks[[#Headers],[ID]])))))</f>
        <v/>
      </c>
      <c r="K16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7" s="24" t="str">
        <f aca="false">IF(IFERROR(INDEX(tsk_Name,(ROW()-ROW(MSPTasks[[#Headers],[ID]])))="",TRUE()),"",IF(INDEX(tsk_IsSummary,(ROW()-ROW(MSPTasks[[#Headers],[ID]]))),"",ROUND(INDEX(tsk_Progress,(ROW()-ROW(MSPTasks[[#Headers],[ID]])))*100,0)))</f>
        <v/>
      </c>
      <c r="M167" s="127" t="str">
        <f aca="false">IF(IFERROR(INDEX(tsk_Name,(ROW()-ROW(MSPTasks[[#Headers],[ID]])))="",TRUE()),"",IF(N(INDEX(tsk_ActStart,(ROW()-ROW(MSPTasks[[#Headers],[ID]]))))=0,"",INDEX(tsk_ActStart,(ROW()-ROW(MSPTasks[[#Headers],[ID]])))))</f>
        <v/>
      </c>
      <c r="N167" s="127" t="str">
        <f aca="false">IF(IFERROR(INDEX(tsk_Name,(ROW()-ROW(MSPTasks[[#Headers],[ID]])))="",TRUE()),"",IF(N(INDEX(tsk_ActFinish,(ROW()-ROW(MSPTasks[[#Headers],[ID]]))))=0,"",INDEX(tsk_ActFinish,(ROW()-ROW(MSPTasks[[#Headers],[ID]])))))</f>
        <v/>
      </c>
      <c r="O167" s="127" t="str">
        <f aca="false">IF(IFERROR(INDEX(tsk_Name,(ROW()-ROW(MSPTasks[[#Headers],[ID]])))="",TRUE()),"",INDEX(tsk_PlanStart,(ROW()-ROW(MSPTasks[[#Headers],[ID]]))))</f>
        <v/>
      </c>
      <c r="P167" s="127" t="str">
        <f aca="false">IF(IFERROR(INDEX(tsk_Name,(ROW()-ROW(MSPTasks[[#Headers],[ID]])))="",TRUE()),"",INDEX(tsk_PlanFinish,(ROW()-ROW(MSPTasks[[#Headers],[ID]]))))</f>
        <v/>
      </c>
      <c r="Q167" s="24" t="str">
        <f aca="false">IF(IFERROR(INDEX(tsk_Name,(ROW()-ROW(MSPTasks[[#Headers],[ID]])))="",TRUE()),"",IF(INDEX(tsk_BaseDuration,(ROW()-ROW(MSPTasks[[#Headers],[ID]])))="","",N(INDEX(tsk_BaseDuration,(ROW()-ROW(MSPTasks[[#Headers],[ID]]))))&amp;"d"))</f>
        <v/>
      </c>
      <c r="R167" s="24" t="str">
        <f aca="false">IF(IFERROR(INDEX(tsk_Name,(ROW()-ROW(MSPTasks[[#Headers],[ID]])))="",TRUE()),"",IF(INDEX(tsk_BaseWork,(ROW()-ROW(MSPTasks[[#Headers],[ID]])))="","",N(INDEX(tsk_BaseWork,(ROW()-ROW(MSPTasks[[#Headers],[ID]]))))&amp;"h"))</f>
        <v/>
      </c>
      <c r="S167" s="24" t="str">
        <f aca="false">IF(IFERROR(INDEX(tsk_Name,(ROW()-ROW(MSPTasks[[#Headers],[ID]])))="",TRUE()),"",IF(INDEX(tsk_BaseCost,(ROW()-ROW(MSPTasks[[#Headers],[ID]])))="","",N(INDEX(tsk_BaseCost,(ROW()-ROW(MSPTasks[[#Headers],[ID]]))))))</f>
        <v/>
      </c>
      <c r="T167" s="24" t="str">
        <f aca="false">IF(IFERROR(INDEX(tsk_Name,(ROW()-ROW(MSPTasks[[#Headers],[ID]])))="",TRUE()),"",IF(INDEX(tsk_IsSummary,(ROW()-ROW(MSPTasks[[#Headers],[ID]]))),"",IF(N(INDEX(tsk_ActCostInput,(ROW()-ROW(MSPTasks[[#Headers],[ID]]))))=0,"",INDEX(tsk_ActCostInput,(ROW()-ROW(MSPTasks[[#Headers],[ID]]))))))</f>
        <v/>
      </c>
      <c r="U167" s="24" t="str">
        <f aca="false">IF(IFERROR(INDEX(tsk_Name,(ROW()-ROW(MSPTasks[[#Headers],[ID]])))="",TRUE()),"",IF(INDEX(tsk_IsSummary,(ROW()-ROW(MSPTasks[[#Headers],[ID]]))),"",IF(AND(INDEX(tsk_Mode,(ROW()-ROW(MSPTasks[[#Headers],[ID]])))&lt;&gt;"Manual",N(INDEX(tsk_Constraint,(ROW()-ROW(MSPTasks[[#Headers],[ID]]))))&gt;0),"Start No Earlier Than","As Soon As Possible")))</f>
        <v/>
      </c>
      <c r="V167" s="127" t="str">
        <f aca="false">IF(IFERROR(INDEX(tsk_Name,(ROW()-ROW(MSPTasks[[#Headers],[ID]])))="",TRUE()),"",IF(OR(INDEX(tsk_IsSummary,(ROW()-ROW(MSPTasks[[#Headers],[ID]]))),INDEX(tsk_Mode,(ROW()-ROW(MSPTasks[[#Headers],[ID]])))="Manual"),"",IF(N(INDEX(tsk_Constraint,(ROW()-ROW(MSPTasks[[#Headers],[ID]]))))=0,"",INDEX(tsk_Constraint,(ROW()-ROW(MSPTasks[[#Headers],[ID]]))))))</f>
        <v/>
      </c>
      <c r="W167" s="127" t="str">
        <f aca="false">IF(IFERROR(INDEX(tsk_Name,(ROW()-ROW(MSPTasks[[#Headers],[ID]])))="",TRUE()),"",IF(N(INDEX(tsk_Deadline,(ROW()-ROW(MSPTasks[[#Headers],[ID]]))))=0,"",INDEX(tsk_Deadline,(ROW()-ROW(MSPTasks[[#Headers],[ID]])))))</f>
        <v/>
      </c>
      <c r="X167" s="24" t="str">
        <f aca="false">IF(IFERROR(INDEX(tsk_Name,(ROW()-ROW(MSPTasks[[#Headers],[ID]])))="",TRUE()),"",IF(INDEX(tsk_IsSummary,(ROW()-ROW(MSPTasks[[#Headers],[ID]]))),"",INDEX(tsk_Sprint,(ROW()-ROW(MSPTasks[[#Headers],[ID]])))&amp;""))</f>
        <v/>
      </c>
      <c r="Y167" s="24" t="str">
        <f aca="false">IF(IFERROR(INDEX(tsk_Name,(ROW()-ROW(MSPTasks[[#Headers],[ID]])))="",TRUE()),"",IF(INDEX(tsk_IsSummary,(ROW()-ROW(MSPTasks[[#Headers],[ID]]))),"",IF(N(INDEX(tsk_StoryPoints,(ROW()-ROW(MSPTasks[[#Headers],[ID]]))))=0,"",INDEX(tsk_StoryPoints,(ROW()-ROW(MSPTasks[[#Headers],[ID]]))))))</f>
        <v/>
      </c>
      <c r="Z167" s="24" t="str">
        <f aca="false">IF(IFERROR(INDEX(tsk_Name,(ROW()-ROW(MSPTasks[[#Headers],[ID]])))="",TRUE()),"",INDEX(tsk_Notes,(ROW()-ROW(MSPTasks[[#Headers],[ID]])))&amp;"")</f>
        <v/>
      </c>
    </row>
    <row r="168" customFormat="false" ht="15" hidden="false" customHeight="false" outlineLevel="0" collapsed="false">
      <c r="A168" s="24" t="str">
        <f aca="false">IF(IFERROR(INDEX(tsk_Name,(ROW()-ROW(MSPTasks[[#Headers],[ID]])))="",TRUE()),"",INDEX(tsk_ID,(ROW()-ROW(MSPTasks[[#Headers],[ID]]))))</f>
        <v/>
      </c>
      <c r="B168" s="24" t="str">
        <f aca="false">IF(IFERROR(INDEX(tsk_Name,(ROW()-ROW(MSPTasks[[#Headers],[ID]])))="",TRUE()),"",INDEX(tsk_UID,(ROW()-ROW(MSPTasks[[#Headers],[ID]]))))</f>
        <v/>
      </c>
      <c r="C168" s="24" t="str">
        <f aca="false">IF(IFERROR(INDEX(tsk_Name,(ROW()-ROW(MSPTasks[[#Headers],[ID]])))="",TRUE()),"",INDEX(tsk_Name,(ROW()-ROW(MSPTasks[[#Headers],[ID]]))))</f>
        <v/>
      </c>
      <c r="D168" s="24" t="str">
        <f aca="false">IF(IFERROR(INDEX(tsk_Name,(ROW()-ROW(MSPTasks[[#Headers],[ID]])))="",TRUE()),"",INDEX(tsk_Level,(ROW()-ROW(MSPTasks[[#Headers],[ID]]))))</f>
        <v/>
      </c>
      <c r="E168" s="24" t="str">
        <f aca="false">IF(IFERROR(INDEX(tsk_Name,(ROW()-ROW(MSPTasks[[#Headers],[ID]])))="",TRUE()),"",IF(INDEX(tsk_Mode,(ROW()-ROW(MSPTasks[[#Headers],[ID]])))="Manual","Manually Scheduled","Auto Scheduled"))</f>
        <v/>
      </c>
      <c r="F168" s="24" t="str">
        <f aca="false">IF(IFERROR(INDEX(tsk_Name,(ROW()-ROW(MSPTasks[[#Headers],[ID]])))="",TRUE()),"",IF(INDEX(tsk_IsSummary,(ROW()-ROW(MSPTasks[[#Headers],[ID]]))),"",N(INDEX(tsk_Duration,(ROW()-ROW(MSPTasks[[#Headers],[ID]]))))&amp;"d"))</f>
        <v/>
      </c>
      <c r="G168" s="127" t="str">
        <f aca="false">IF(IFERROR(INDEX(tsk_Name,(ROW()-ROW(MSPTasks[[#Headers],[ID]])))="",TRUE()),"",INDEX(tsk_FcStart,(ROW()-ROW(MSPTasks[[#Headers],[ID]]))))</f>
        <v/>
      </c>
      <c r="H168" s="127" t="str">
        <f aca="false">IF(IFERROR(INDEX(tsk_Name,(ROW()-ROW(MSPTasks[[#Headers],[ID]])))="",TRUE()),"",INDEX(tsk_FcFinish,(ROW()-ROW(MSPTasks[[#Headers],[ID]]))))</f>
        <v/>
      </c>
      <c r="I168" s="24" t="str">
        <f aca="false">IF(IFERROR(INDEX(tsk_Name,(ROW()-ROW(MSPTasks[[#Headers],[ID]])))="",TRUE()),"",IF(INDEX(tsk_IsSummary,(ROW()-ROW(MSPTasks[[#Headers],[ID]]))),"",INDEX(tsk_Predecessors,(ROW()-ROW(MSPTasks[[#Headers],[ID]])))))</f>
        <v/>
      </c>
      <c r="J168" s="24" t="str">
        <f aca="false">IF(IFERROR(INDEX(tsk_Name,(ROW()-ROW(MSPTasks[[#Headers],[ID]])))="",TRUE()),"",IF(INDEX(tsk_IsSummary,(ROW()-ROW(MSPTasks[[#Headers],[ID]]))),"",INDEX(tsk_UIDPredecessors,(ROW()-ROW(MSPTasks[[#Headers],[ID]])))))</f>
        <v/>
      </c>
      <c r="K16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8" s="24" t="str">
        <f aca="false">IF(IFERROR(INDEX(tsk_Name,(ROW()-ROW(MSPTasks[[#Headers],[ID]])))="",TRUE()),"",IF(INDEX(tsk_IsSummary,(ROW()-ROW(MSPTasks[[#Headers],[ID]]))),"",ROUND(INDEX(tsk_Progress,(ROW()-ROW(MSPTasks[[#Headers],[ID]])))*100,0)))</f>
        <v/>
      </c>
      <c r="M168" s="127" t="str">
        <f aca="false">IF(IFERROR(INDEX(tsk_Name,(ROW()-ROW(MSPTasks[[#Headers],[ID]])))="",TRUE()),"",IF(N(INDEX(tsk_ActStart,(ROW()-ROW(MSPTasks[[#Headers],[ID]]))))=0,"",INDEX(tsk_ActStart,(ROW()-ROW(MSPTasks[[#Headers],[ID]])))))</f>
        <v/>
      </c>
      <c r="N168" s="127" t="str">
        <f aca="false">IF(IFERROR(INDEX(tsk_Name,(ROW()-ROW(MSPTasks[[#Headers],[ID]])))="",TRUE()),"",IF(N(INDEX(tsk_ActFinish,(ROW()-ROW(MSPTasks[[#Headers],[ID]]))))=0,"",INDEX(tsk_ActFinish,(ROW()-ROW(MSPTasks[[#Headers],[ID]])))))</f>
        <v/>
      </c>
      <c r="O168" s="127" t="str">
        <f aca="false">IF(IFERROR(INDEX(tsk_Name,(ROW()-ROW(MSPTasks[[#Headers],[ID]])))="",TRUE()),"",INDEX(tsk_PlanStart,(ROW()-ROW(MSPTasks[[#Headers],[ID]]))))</f>
        <v/>
      </c>
      <c r="P168" s="127" t="str">
        <f aca="false">IF(IFERROR(INDEX(tsk_Name,(ROW()-ROW(MSPTasks[[#Headers],[ID]])))="",TRUE()),"",INDEX(tsk_PlanFinish,(ROW()-ROW(MSPTasks[[#Headers],[ID]]))))</f>
        <v/>
      </c>
      <c r="Q168" s="24" t="str">
        <f aca="false">IF(IFERROR(INDEX(tsk_Name,(ROW()-ROW(MSPTasks[[#Headers],[ID]])))="",TRUE()),"",IF(INDEX(tsk_BaseDuration,(ROW()-ROW(MSPTasks[[#Headers],[ID]])))="","",N(INDEX(tsk_BaseDuration,(ROW()-ROW(MSPTasks[[#Headers],[ID]]))))&amp;"d"))</f>
        <v/>
      </c>
      <c r="R168" s="24" t="str">
        <f aca="false">IF(IFERROR(INDEX(tsk_Name,(ROW()-ROW(MSPTasks[[#Headers],[ID]])))="",TRUE()),"",IF(INDEX(tsk_BaseWork,(ROW()-ROW(MSPTasks[[#Headers],[ID]])))="","",N(INDEX(tsk_BaseWork,(ROW()-ROW(MSPTasks[[#Headers],[ID]]))))&amp;"h"))</f>
        <v/>
      </c>
      <c r="S168" s="24" t="str">
        <f aca="false">IF(IFERROR(INDEX(tsk_Name,(ROW()-ROW(MSPTasks[[#Headers],[ID]])))="",TRUE()),"",IF(INDEX(tsk_BaseCost,(ROW()-ROW(MSPTasks[[#Headers],[ID]])))="","",N(INDEX(tsk_BaseCost,(ROW()-ROW(MSPTasks[[#Headers],[ID]]))))))</f>
        <v/>
      </c>
      <c r="T168" s="24" t="str">
        <f aca="false">IF(IFERROR(INDEX(tsk_Name,(ROW()-ROW(MSPTasks[[#Headers],[ID]])))="",TRUE()),"",IF(INDEX(tsk_IsSummary,(ROW()-ROW(MSPTasks[[#Headers],[ID]]))),"",IF(N(INDEX(tsk_ActCostInput,(ROW()-ROW(MSPTasks[[#Headers],[ID]]))))=0,"",INDEX(tsk_ActCostInput,(ROW()-ROW(MSPTasks[[#Headers],[ID]]))))))</f>
        <v/>
      </c>
      <c r="U168" s="24" t="str">
        <f aca="false">IF(IFERROR(INDEX(tsk_Name,(ROW()-ROW(MSPTasks[[#Headers],[ID]])))="",TRUE()),"",IF(INDEX(tsk_IsSummary,(ROW()-ROW(MSPTasks[[#Headers],[ID]]))),"",IF(AND(INDEX(tsk_Mode,(ROW()-ROW(MSPTasks[[#Headers],[ID]])))&lt;&gt;"Manual",N(INDEX(tsk_Constraint,(ROW()-ROW(MSPTasks[[#Headers],[ID]]))))&gt;0),"Start No Earlier Than","As Soon As Possible")))</f>
        <v/>
      </c>
      <c r="V168" s="127" t="str">
        <f aca="false">IF(IFERROR(INDEX(tsk_Name,(ROW()-ROW(MSPTasks[[#Headers],[ID]])))="",TRUE()),"",IF(OR(INDEX(tsk_IsSummary,(ROW()-ROW(MSPTasks[[#Headers],[ID]]))),INDEX(tsk_Mode,(ROW()-ROW(MSPTasks[[#Headers],[ID]])))="Manual"),"",IF(N(INDEX(tsk_Constraint,(ROW()-ROW(MSPTasks[[#Headers],[ID]]))))=0,"",INDEX(tsk_Constraint,(ROW()-ROW(MSPTasks[[#Headers],[ID]]))))))</f>
        <v/>
      </c>
      <c r="W168" s="127" t="str">
        <f aca="false">IF(IFERROR(INDEX(tsk_Name,(ROW()-ROW(MSPTasks[[#Headers],[ID]])))="",TRUE()),"",IF(N(INDEX(tsk_Deadline,(ROW()-ROW(MSPTasks[[#Headers],[ID]]))))=0,"",INDEX(tsk_Deadline,(ROW()-ROW(MSPTasks[[#Headers],[ID]])))))</f>
        <v/>
      </c>
      <c r="X168" s="24" t="str">
        <f aca="false">IF(IFERROR(INDEX(tsk_Name,(ROW()-ROW(MSPTasks[[#Headers],[ID]])))="",TRUE()),"",IF(INDEX(tsk_IsSummary,(ROW()-ROW(MSPTasks[[#Headers],[ID]]))),"",INDEX(tsk_Sprint,(ROW()-ROW(MSPTasks[[#Headers],[ID]])))&amp;""))</f>
        <v/>
      </c>
      <c r="Y168" s="24" t="str">
        <f aca="false">IF(IFERROR(INDEX(tsk_Name,(ROW()-ROW(MSPTasks[[#Headers],[ID]])))="",TRUE()),"",IF(INDEX(tsk_IsSummary,(ROW()-ROW(MSPTasks[[#Headers],[ID]]))),"",IF(N(INDEX(tsk_StoryPoints,(ROW()-ROW(MSPTasks[[#Headers],[ID]]))))=0,"",INDEX(tsk_StoryPoints,(ROW()-ROW(MSPTasks[[#Headers],[ID]]))))))</f>
        <v/>
      </c>
      <c r="Z168" s="24" t="str">
        <f aca="false">IF(IFERROR(INDEX(tsk_Name,(ROW()-ROW(MSPTasks[[#Headers],[ID]])))="",TRUE()),"",INDEX(tsk_Notes,(ROW()-ROW(MSPTasks[[#Headers],[ID]])))&amp;"")</f>
        <v/>
      </c>
    </row>
    <row r="169" customFormat="false" ht="15" hidden="false" customHeight="false" outlineLevel="0" collapsed="false">
      <c r="A169" s="24" t="str">
        <f aca="false">IF(IFERROR(INDEX(tsk_Name,(ROW()-ROW(MSPTasks[[#Headers],[ID]])))="",TRUE()),"",INDEX(tsk_ID,(ROW()-ROW(MSPTasks[[#Headers],[ID]]))))</f>
        <v/>
      </c>
      <c r="B169" s="24" t="str">
        <f aca="false">IF(IFERROR(INDEX(tsk_Name,(ROW()-ROW(MSPTasks[[#Headers],[ID]])))="",TRUE()),"",INDEX(tsk_UID,(ROW()-ROW(MSPTasks[[#Headers],[ID]]))))</f>
        <v/>
      </c>
      <c r="C169" s="24" t="str">
        <f aca="false">IF(IFERROR(INDEX(tsk_Name,(ROW()-ROW(MSPTasks[[#Headers],[ID]])))="",TRUE()),"",INDEX(tsk_Name,(ROW()-ROW(MSPTasks[[#Headers],[ID]]))))</f>
        <v/>
      </c>
      <c r="D169" s="24" t="str">
        <f aca="false">IF(IFERROR(INDEX(tsk_Name,(ROW()-ROW(MSPTasks[[#Headers],[ID]])))="",TRUE()),"",INDEX(tsk_Level,(ROW()-ROW(MSPTasks[[#Headers],[ID]]))))</f>
        <v/>
      </c>
      <c r="E169" s="24" t="str">
        <f aca="false">IF(IFERROR(INDEX(tsk_Name,(ROW()-ROW(MSPTasks[[#Headers],[ID]])))="",TRUE()),"",IF(INDEX(tsk_Mode,(ROW()-ROW(MSPTasks[[#Headers],[ID]])))="Manual","Manually Scheduled","Auto Scheduled"))</f>
        <v/>
      </c>
      <c r="F169" s="24" t="str">
        <f aca="false">IF(IFERROR(INDEX(tsk_Name,(ROW()-ROW(MSPTasks[[#Headers],[ID]])))="",TRUE()),"",IF(INDEX(tsk_IsSummary,(ROW()-ROW(MSPTasks[[#Headers],[ID]]))),"",N(INDEX(tsk_Duration,(ROW()-ROW(MSPTasks[[#Headers],[ID]]))))&amp;"d"))</f>
        <v/>
      </c>
      <c r="G169" s="127" t="str">
        <f aca="false">IF(IFERROR(INDEX(tsk_Name,(ROW()-ROW(MSPTasks[[#Headers],[ID]])))="",TRUE()),"",INDEX(tsk_FcStart,(ROW()-ROW(MSPTasks[[#Headers],[ID]]))))</f>
        <v/>
      </c>
      <c r="H169" s="127" t="str">
        <f aca="false">IF(IFERROR(INDEX(tsk_Name,(ROW()-ROW(MSPTasks[[#Headers],[ID]])))="",TRUE()),"",INDEX(tsk_FcFinish,(ROW()-ROW(MSPTasks[[#Headers],[ID]]))))</f>
        <v/>
      </c>
      <c r="I169" s="24" t="str">
        <f aca="false">IF(IFERROR(INDEX(tsk_Name,(ROW()-ROW(MSPTasks[[#Headers],[ID]])))="",TRUE()),"",IF(INDEX(tsk_IsSummary,(ROW()-ROW(MSPTasks[[#Headers],[ID]]))),"",INDEX(tsk_Predecessors,(ROW()-ROW(MSPTasks[[#Headers],[ID]])))))</f>
        <v/>
      </c>
      <c r="J169" s="24" t="str">
        <f aca="false">IF(IFERROR(INDEX(tsk_Name,(ROW()-ROW(MSPTasks[[#Headers],[ID]])))="",TRUE()),"",IF(INDEX(tsk_IsSummary,(ROW()-ROW(MSPTasks[[#Headers],[ID]]))),"",INDEX(tsk_UIDPredecessors,(ROW()-ROW(MSPTasks[[#Headers],[ID]])))))</f>
        <v/>
      </c>
      <c r="K16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9" s="24" t="str">
        <f aca="false">IF(IFERROR(INDEX(tsk_Name,(ROW()-ROW(MSPTasks[[#Headers],[ID]])))="",TRUE()),"",IF(INDEX(tsk_IsSummary,(ROW()-ROW(MSPTasks[[#Headers],[ID]]))),"",ROUND(INDEX(tsk_Progress,(ROW()-ROW(MSPTasks[[#Headers],[ID]])))*100,0)))</f>
        <v/>
      </c>
      <c r="M169" s="127" t="str">
        <f aca="false">IF(IFERROR(INDEX(tsk_Name,(ROW()-ROW(MSPTasks[[#Headers],[ID]])))="",TRUE()),"",IF(N(INDEX(tsk_ActStart,(ROW()-ROW(MSPTasks[[#Headers],[ID]]))))=0,"",INDEX(tsk_ActStart,(ROW()-ROW(MSPTasks[[#Headers],[ID]])))))</f>
        <v/>
      </c>
      <c r="N169" s="127" t="str">
        <f aca="false">IF(IFERROR(INDEX(tsk_Name,(ROW()-ROW(MSPTasks[[#Headers],[ID]])))="",TRUE()),"",IF(N(INDEX(tsk_ActFinish,(ROW()-ROW(MSPTasks[[#Headers],[ID]]))))=0,"",INDEX(tsk_ActFinish,(ROW()-ROW(MSPTasks[[#Headers],[ID]])))))</f>
        <v/>
      </c>
      <c r="O169" s="127" t="str">
        <f aca="false">IF(IFERROR(INDEX(tsk_Name,(ROW()-ROW(MSPTasks[[#Headers],[ID]])))="",TRUE()),"",INDEX(tsk_PlanStart,(ROW()-ROW(MSPTasks[[#Headers],[ID]]))))</f>
        <v/>
      </c>
      <c r="P169" s="127" t="str">
        <f aca="false">IF(IFERROR(INDEX(tsk_Name,(ROW()-ROW(MSPTasks[[#Headers],[ID]])))="",TRUE()),"",INDEX(tsk_PlanFinish,(ROW()-ROW(MSPTasks[[#Headers],[ID]]))))</f>
        <v/>
      </c>
      <c r="Q169" s="24" t="str">
        <f aca="false">IF(IFERROR(INDEX(tsk_Name,(ROW()-ROW(MSPTasks[[#Headers],[ID]])))="",TRUE()),"",IF(INDEX(tsk_BaseDuration,(ROW()-ROW(MSPTasks[[#Headers],[ID]])))="","",N(INDEX(tsk_BaseDuration,(ROW()-ROW(MSPTasks[[#Headers],[ID]]))))&amp;"d"))</f>
        <v/>
      </c>
      <c r="R169" s="24" t="str">
        <f aca="false">IF(IFERROR(INDEX(tsk_Name,(ROW()-ROW(MSPTasks[[#Headers],[ID]])))="",TRUE()),"",IF(INDEX(tsk_BaseWork,(ROW()-ROW(MSPTasks[[#Headers],[ID]])))="","",N(INDEX(tsk_BaseWork,(ROW()-ROW(MSPTasks[[#Headers],[ID]]))))&amp;"h"))</f>
        <v/>
      </c>
      <c r="S169" s="24" t="str">
        <f aca="false">IF(IFERROR(INDEX(tsk_Name,(ROW()-ROW(MSPTasks[[#Headers],[ID]])))="",TRUE()),"",IF(INDEX(tsk_BaseCost,(ROW()-ROW(MSPTasks[[#Headers],[ID]])))="","",N(INDEX(tsk_BaseCost,(ROW()-ROW(MSPTasks[[#Headers],[ID]]))))))</f>
        <v/>
      </c>
      <c r="T169" s="24" t="str">
        <f aca="false">IF(IFERROR(INDEX(tsk_Name,(ROW()-ROW(MSPTasks[[#Headers],[ID]])))="",TRUE()),"",IF(INDEX(tsk_IsSummary,(ROW()-ROW(MSPTasks[[#Headers],[ID]]))),"",IF(N(INDEX(tsk_ActCostInput,(ROW()-ROW(MSPTasks[[#Headers],[ID]]))))=0,"",INDEX(tsk_ActCostInput,(ROW()-ROW(MSPTasks[[#Headers],[ID]]))))))</f>
        <v/>
      </c>
      <c r="U169" s="24" t="str">
        <f aca="false">IF(IFERROR(INDEX(tsk_Name,(ROW()-ROW(MSPTasks[[#Headers],[ID]])))="",TRUE()),"",IF(INDEX(tsk_IsSummary,(ROW()-ROW(MSPTasks[[#Headers],[ID]]))),"",IF(AND(INDEX(tsk_Mode,(ROW()-ROW(MSPTasks[[#Headers],[ID]])))&lt;&gt;"Manual",N(INDEX(tsk_Constraint,(ROW()-ROW(MSPTasks[[#Headers],[ID]]))))&gt;0),"Start No Earlier Than","As Soon As Possible")))</f>
        <v/>
      </c>
      <c r="V169" s="127" t="str">
        <f aca="false">IF(IFERROR(INDEX(tsk_Name,(ROW()-ROW(MSPTasks[[#Headers],[ID]])))="",TRUE()),"",IF(OR(INDEX(tsk_IsSummary,(ROW()-ROW(MSPTasks[[#Headers],[ID]]))),INDEX(tsk_Mode,(ROW()-ROW(MSPTasks[[#Headers],[ID]])))="Manual"),"",IF(N(INDEX(tsk_Constraint,(ROW()-ROW(MSPTasks[[#Headers],[ID]]))))=0,"",INDEX(tsk_Constraint,(ROW()-ROW(MSPTasks[[#Headers],[ID]]))))))</f>
        <v/>
      </c>
      <c r="W169" s="127" t="str">
        <f aca="false">IF(IFERROR(INDEX(tsk_Name,(ROW()-ROW(MSPTasks[[#Headers],[ID]])))="",TRUE()),"",IF(N(INDEX(tsk_Deadline,(ROW()-ROW(MSPTasks[[#Headers],[ID]]))))=0,"",INDEX(tsk_Deadline,(ROW()-ROW(MSPTasks[[#Headers],[ID]])))))</f>
        <v/>
      </c>
      <c r="X169" s="24" t="str">
        <f aca="false">IF(IFERROR(INDEX(tsk_Name,(ROW()-ROW(MSPTasks[[#Headers],[ID]])))="",TRUE()),"",IF(INDEX(tsk_IsSummary,(ROW()-ROW(MSPTasks[[#Headers],[ID]]))),"",INDEX(tsk_Sprint,(ROW()-ROW(MSPTasks[[#Headers],[ID]])))&amp;""))</f>
        <v/>
      </c>
      <c r="Y169" s="24" t="str">
        <f aca="false">IF(IFERROR(INDEX(tsk_Name,(ROW()-ROW(MSPTasks[[#Headers],[ID]])))="",TRUE()),"",IF(INDEX(tsk_IsSummary,(ROW()-ROW(MSPTasks[[#Headers],[ID]]))),"",IF(N(INDEX(tsk_StoryPoints,(ROW()-ROW(MSPTasks[[#Headers],[ID]]))))=0,"",INDEX(tsk_StoryPoints,(ROW()-ROW(MSPTasks[[#Headers],[ID]]))))))</f>
        <v/>
      </c>
      <c r="Z169" s="24" t="str">
        <f aca="false">IF(IFERROR(INDEX(tsk_Name,(ROW()-ROW(MSPTasks[[#Headers],[ID]])))="",TRUE()),"",INDEX(tsk_Notes,(ROW()-ROW(MSPTasks[[#Headers],[ID]])))&amp;"")</f>
        <v/>
      </c>
    </row>
    <row r="170" customFormat="false" ht="15" hidden="false" customHeight="false" outlineLevel="0" collapsed="false">
      <c r="A170" s="24" t="str">
        <f aca="false">IF(IFERROR(INDEX(tsk_Name,(ROW()-ROW(MSPTasks[[#Headers],[ID]])))="",TRUE()),"",INDEX(tsk_ID,(ROW()-ROW(MSPTasks[[#Headers],[ID]]))))</f>
        <v/>
      </c>
      <c r="B170" s="24" t="str">
        <f aca="false">IF(IFERROR(INDEX(tsk_Name,(ROW()-ROW(MSPTasks[[#Headers],[ID]])))="",TRUE()),"",INDEX(tsk_UID,(ROW()-ROW(MSPTasks[[#Headers],[ID]]))))</f>
        <v/>
      </c>
      <c r="C170" s="24" t="str">
        <f aca="false">IF(IFERROR(INDEX(tsk_Name,(ROW()-ROW(MSPTasks[[#Headers],[ID]])))="",TRUE()),"",INDEX(tsk_Name,(ROW()-ROW(MSPTasks[[#Headers],[ID]]))))</f>
        <v/>
      </c>
      <c r="D170" s="24" t="str">
        <f aca="false">IF(IFERROR(INDEX(tsk_Name,(ROW()-ROW(MSPTasks[[#Headers],[ID]])))="",TRUE()),"",INDEX(tsk_Level,(ROW()-ROW(MSPTasks[[#Headers],[ID]]))))</f>
        <v/>
      </c>
      <c r="E170" s="24" t="str">
        <f aca="false">IF(IFERROR(INDEX(tsk_Name,(ROW()-ROW(MSPTasks[[#Headers],[ID]])))="",TRUE()),"",IF(INDEX(tsk_Mode,(ROW()-ROW(MSPTasks[[#Headers],[ID]])))="Manual","Manually Scheduled","Auto Scheduled"))</f>
        <v/>
      </c>
      <c r="F170" s="24" t="str">
        <f aca="false">IF(IFERROR(INDEX(tsk_Name,(ROW()-ROW(MSPTasks[[#Headers],[ID]])))="",TRUE()),"",IF(INDEX(tsk_IsSummary,(ROW()-ROW(MSPTasks[[#Headers],[ID]]))),"",N(INDEX(tsk_Duration,(ROW()-ROW(MSPTasks[[#Headers],[ID]]))))&amp;"d"))</f>
        <v/>
      </c>
      <c r="G170" s="127" t="str">
        <f aca="false">IF(IFERROR(INDEX(tsk_Name,(ROW()-ROW(MSPTasks[[#Headers],[ID]])))="",TRUE()),"",INDEX(tsk_FcStart,(ROW()-ROW(MSPTasks[[#Headers],[ID]]))))</f>
        <v/>
      </c>
      <c r="H170" s="127" t="str">
        <f aca="false">IF(IFERROR(INDEX(tsk_Name,(ROW()-ROW(MSPTasks[[#Headers],[ID]])))="",TRUE()),"",INDEX(tsk_FcFinish,(ROW()-ROW(MSPTasks[[#Headers],[ID]]))))</f>
        <v/>
      </c>
      <c r="I170" s="24" t="str">
        <f aca="false">IF(IFERROR(INDEX(tsk_Name,(ROW()-ROW(MSPTasks[[#Headers],[ID]])))="",TRUE()),"",IF(INDEX(tsk_IsSummary,(ROW()-ROW(MSPTasks[[#Headers],[ID]]))),"",INDEX(tsk_Predecessors,(ROW()-ROW(MSPTasks[[#Headers],[ID]])))))</f>
        <v/>
      </c>
      <c r="J170" s="24" t="str">
        <f aca="false">IF(IFERROR(INDEX(tsk_Name,(ROW()-ROW(MSPTasks[[#Headers],[ID]])))="",TRUE()),"",IF(INDEX(tsk_IsSummary,(ROW()-ROW(MSPTasks[[#Headers],[ID]]))),"",INDEX(tsk_UIDPredecessors,(ROW()-ROW(MSPTasks[[#Headers],[ID]])))))</f>
        <v/>
      </c>
      <c r="K17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0" s="24" t="str">
        <f aca="false">IF(IFERROR(INDEX(tsk_Name,(ROW()-ROW(MSPTasks[[#Headers],[ID]])))="",TRUE()),"",IF(INDEX(tsk_IsSummary,(ROW()-ROW(MSPTasks[[#Headers],[ID]]))),"",ROUND(INDEX(tsk_Progress,(ROW()-ROW(MSPTasks[[#Headers],[ID]])))*100,0)))</f>
        <v/>
      </c>
      <c r="M170" s="127" t="str">
        <f aca="false">IF(IFERROR(INDEX(tsk_Name,(ROW()-ROW(MSPTasks[[#Headers],[ID]])))="",TRUE()),"",IF(N(INDEX(tsk_ActStart,(ROW()-ROW(MSPTasks[[#Headers],[ID]]))))=0,"",INDEX(tsk_ActStart,(ROW()-ROW(MSPTasks[[#Headers],[ID]])))))</f>
        <v/>
      </c>
      <c r="N170" s="127" t="str">
        <f aca="false">IF(IFERROR(INDEX(tsk_Name,(ROW()-ROW(MSPTasks[[#Headers],[ID]])))="",TRUE()),"",IF(N(INDEX(tsk_ActFinish,(ROW()-ROW(MSPTasks[[#Headers],[ID]]))))=0,"",INDEX(tsk_ActFinish,(ROW()-ROW(MSPTasks[[#Headers],[ID]])))))</f>
        <v/>
      </c>
      <c r="O170" s="127" t="str">
        <f aca="false">IF(IFERROR(INDEX(tsk_Name,(ROW()-ROW(MSPTasks[[#Headers],[ID]])))="",TRUE()),"",INDEX(tsk_PlanStart,(ROW()-ROW(MSPTasks[[#Headers],[ID]]))))</f>
        <v/>
      </c>
      <c r="P170" s="127" t="str">
        <f aca="false">IF(IFERROR(INDEX(tsk_Name,(ROW()-ROW(MSPTasks[[#Headers],[ID]])))="",TRUE()),"",INDEX(tsk_PlanFinish,(ROW()-ROW(MSPTasks[[#Headers],[ID]]))))</f>
        <v/>
      </c>
      <c r="Q170" s="24" t="str">
        <f aca="false">IF(IFERROR(INDEX(tsk_Name,(ROW()-ROW(MSPTasks[[#Headers],[ID]])))="",TRUE()),"",IF(INDEX(tsk_BaseDuration,(ROW()-ROW(MSPTasks[[#Headers],[ID]])))="","",N(INDEX(tsk_BaseDuration,(ROW()-ROW(MSPTasks[[#Headers],[ID]]))))&amp;"d"))</f>
        <v/>
      </c>
      <c r="R170" s="24" t="str">
        <f aca="false">IF(IFERROR(INDEX(tsk_Name,(ROW()-ROW(MSPTasks[[#Headers],[ID]])))="",TRUE()),"",IF(INDEX(tsk_BaseWork,(ROW()-ROW(MSPTasks[[#Headers],[ID]])))="","",N(INDEX(tsk_BaseWork,(ROW()-ROW(MSPTasks[[#Headers],[ID]]))))&amp;"h"))</f>
        <v/>
      </c>
      <c r="S170" s="24" t="str">
        <f aca="false">IF(IFERROR(INDEX(tsk_Name,(ROW()-ROW(MSPTasks[[#Headers],[ID]])))="",TRUE()),"",IF(INDEX(tsk_BaseCost,(ROW()-ROW(MSPTasks[[#Headers],[ID]])))="","",N(INDEX(tsk_BaseCost,(ROW()-ROW(MSPTasks[[#Headers],[ID]]))))))</f>
        <v/>
      </c>
      <c r="T170" s="24" t="str">
        <f aca="false">IF(IFERROR(INDEX(tsk_Name,(ROW()-ROW(MSPTasks[[#Headers],[ID]])))="",TRUE()),"",IF(INDEX(tsk_IsSummary,(ROW()-ROW(MSPTasks[[#Headers],[ID]]))),"",IF(N(INDEX(tsk_ActCostInput,(ROW()-ROW(MSPTasks[[#Headers],[ID]]))))=0,"",INDEX(tsk_ActCostInput,(ROW()-ROW(MSPTasks[[#Headers],[ID]]))))))</f>
        <v/>
      </c>
      <c r="U170" s="24" t="str">
        <f aca="false">IF(IFERROR(INDEX(tsk_Name,(ROW()-ROW(MSPTasks[[#Headers],[ID]])))="",TRUE()),"",IF(INDEX(tsk_IsSummary,(ROW()-ROW(MSPTasks[[#Headers],[ID]]))),"",IF(AND(INDEX(tsk_Mode,(ROW()-ROW(MSPTasks[[#Headers],[ID]])))&lt;&gt;"Manual",N(INDEX(tsk_Constraint,(ROW()-ROW(MSPTasks[[#Headers],[ID]]))))&gt;0),"Start No Earlier Than","As Soon As Possible")))</f>
        <v/>
      </c>
      <c r="V170" s="127" t="str">
        <f aca="false">IF(IFERROR(INDEX(tsk_Name,(ROW()-ROW(MSPTasks[[#Headers],[ID]])))="",TRUE()),"",IF(OR(INDEX(tsk_IsSummary,(ROW()-ROW(MSPTasks[[#Headers],[ID]]))),INDEX(tsk_Mode,(ROW()-ROW(MSPTasks[[#Headers],[ID]])))="Manual"),"",IF(N(INDEX(tsk_Constraint,(ROW()-ROW(MSPTasks[[#Headers],[ID]]))))=0,"",INDEX(tsk_Constraint,(ROW()-ROW(MSPTasks[[#Headers],[ID]]))))))</f>
        <v/>
      </c>
      <c r="W170" s="127" t="str">
        <f aca="false">IF(IFERROR(INDEX(tsk_Name,(ROW()-ROW(MSPTasks[[#Headers],[ID]])))="",TRUE()),"",IF(N(INDEX(tsk_Deadline,(ROW()-ROW(MSPTasks[[#Headers],[ID]]))))=0,"",INDEX(tsk_Deadline,(ROW()-ROW(MSPTasks[[#Headers],[ID]])))))</f>
        <v/>
      </c>
      <c r="X170" s="24" t="str">
        <f aca="false">IF(IFERROR(INDEX(tsk_Name,(ROW()-ROW(MSPTasks[[#Headers],[ID]])))="",TRUE()),"",IF(INDEX(tsk_IsSummary,(ROW()-ROW(MSPTasks[[#Headers],[ID]]))),"",INDEX(tsk_Sprint,(ROW()-ROW(MSPTasks[[#Headers],[ID]])))&amp;""))</f>
        <v/>
      </c>
      <c r="Y170" s="24" t="str">
        <f aca="false">IF(IFERROR(INDEX(tsk_Name,(ROW()-ROW(MSPTasks[[#Headers],[ID]])))="",TRUE()),"",IF(INDEX(tsk_IsSummary,(ROW()-ROW(MSPTasks[[#Headers],[ID]]))),"",IF(N(INDEX(tsk_StoryPoints,(ROW()-ROW(MSPTasks[[#Headers],[ID]]))))=0,"",INDEX(tsk_StoryPoints,(ROW()-ROW(MSPTasks[[#Headers],[ID]]))))))</f>
        <v/>
      </c>
      <c r="Z170" s="24" t="str">
        <f aca="false">IF(IFERROR(INDEX(tsk_Name,(ROW()-ROW(MSPTasks[[#Headers],[ID]])))="",TRUE()),"",INDEX(tsk_Notes,(ROW()-ROW(MSPTasks[[#Headers],[ID]])))&amp;"")</f>
        <v/>
      </c>
    </row>
    <row r="171" customFormat="false" ht="15" hidden="false" customHeight="false" outlineLevel="0" collapsed="false">
      <c r="A171" s="24" t="str">
        <f aca="false">IF(IFERROR(INDEX(tsk_Name,(ROW()-ROW(MSPTasks[[#Headers],[ID]])))="",TRUE()),"",INDEX(tsk_ID,(ROW()-ROW(MSPTasks[[#Headers],[ID]]))))</f>
        <v/>
      </c>
      <c r="B171" s="24" t="str">
        <f aca="false">IF(IFERROR(INDEX(tsk_Name,(ROW()-ROW(MSPTasks[[#Headers],[ID]])))="",TRUE()),"",INDEX(tsk_UID,(ROW()-ROW(MSPTasks[[#Headers],[ID]]))))</f>
        <v/>
      </c>
      <c r="C171" s="24" t="str">
        <f aca="false">IF(IFERROR(INDEX(tsk_Name,(ROW()-ROW(MSPTasks[[#Headers],[ID]])))="",TRUE()),"",INDEX(tsk_Name,(ROW()-ROW(MSPTasks[[#Headers],[ID]]))))</f>
        <v/>
      </c>
      <c r="D171" s="24" t="str">
        <f aca="false">IF(IFERROR(INDEX(tsk_Name,(ROW()-ROW(MSPTasks[[#Headers],[ID]])))="",TRUE()),"",INDEX(tsk_Level,(ROW()-ROW(MSPTasks[[#Headers],[ID]]))))</f>
        <v/>
      </c>
      <c r="E171" s="24" t="str">
        <f aca="false">IF(IFERROR(INDEX(tsk_Name,(ROW()-ROW(MSPTasks[[#Headers],[ID]])))="",TRUE()),"",IF(INDEX(tsk_Mode,(ROW()-ROW(MSPTasks[[#Headers],[ID]])))="Manual","Manually Scheduled","Auto Scheduled"))</f>
        <v/>
      </c>
      <c r="F171" s="24" t="str">
        <f aca="false">IF(IFERROR(INDEX(tsk_Name,(ROW()-ROW(MSPTasks[[#Headers],[ID]])))="",TRUE()),"",IF(INDEX(tsk_IsSummary,(ROW()-ROW(MSPTasks[[#Headers],[ID]]))),"",N(INDEX(tsk_Duration,(ROW()-ROW(MSPTasks[[#Headers],[ID]]))))&amp;"d"))</f>
        <v/>
      </c>
      <c r="G171" s="127" t="str">
        <f aca="false">IF(IFERROR(INDEX(tsk_Name,(ROW()-ROW(MSPTasks[[#Headers],[ID]])))="",TRUE()),"",INDEX(tsk_FcStart,(ROW()-ROW(MSPTasks[[#Headers],[ID]]))))</f>
        <v/>
      </c>
      <c r="H171" s="127" t="str">
        <f aca="false">IF(IFERROR(INDEX(tsk_Name,(ROW()-ROW(MSPTasks[[#Headers],[ID]])))="",TRUE()),"",INDEX(tsk_FcFinish,(ROW()-ROW(MSPTasks[[#Headers],[ID]]))))</f>
        <v/>
      </c>
      <c r="I171" s="24" t="str">
        <f aca="false">IF(IFERROR(INDEX(tsk_Name,(ROW()-ROW(MSPTasks[[#Headers],[ID]])))="",TRUE()),"",IF(INDEX(tsk_IsSummary,(ROW()-ROW(MSPTasks[[#Headers],[ID]]))),"",INDEX(tsk_Predecessors,(ROW()-ROW(MSPTasks[[#Headers],[ID]])))))</f>
        <v/>
      </c>
      <c r="J171" s="24" t="str">
        <f aca="false">IF(IFERROR(INDEX(tsk_Name,(ROW()-ROW(MSPTasks[[#Headers],[ID]])))="",TRUE()),"",IF(INDEX(tsk_IsSummary,(ROW()-ROW(MSPTasks[[#Headers],[ID]]))),"",INDEX(tsk_UIDPredecessors,(ROW()-ROW(MSPTasks[[#Headers],[ID]])))))</f>
        <v/>
      </c>
      <c r="K17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1" s="24" t="str">
        <f aca="false">IF(IFERROR(INDEX(tsk_Name,(ROW()-ROW(MSPTasks[[#Headers],[ID]])))="",TRUE()),"",IF(INDEX(tsk_IsSummary,(ROW()-ROW(MSPTasks[[#Headers],[ID]]))),"",ROUND(INDEX(tsk_Progress,(ROW()-ROW(MSPTasks[[#Headers],[ID]])))*100,0)))</f>
        <v/>
      </c>
      <c r="M171" s="127" t="str">
        <f aca="false">IF(IFERROR(INDEX(tsk_Name,(ROW()-ROW(MSPTasks[[#Headers],[ID]])))="",TRUE()),"",IF(N(INDEX(tsk_ActStart,(ROW()-ROW(MSPTasks[[#Headers],[ID]]))))=0,"",INDEX(tsk_ActStart,(ROW()-ROW(MSPTasks[[#Headers],[ID]])))))</f>
        <v/>
      </c>
      <c r="N171" s="127" t="str">
        <f aca="false">IF(IFERROR(INDEX(tsk_Name,(ROW()-ROW(MSPTasks[[#Headers],[ID]])))="",TRUE()),"",IF(N(INDEX(tsk_ActFinish,(ROW()-ROW(MSPTasks[[#Headers],[ID]]))))=0,"",INDEX(tsk_ActFinish,(ROW()-ROW(MSPTasks[[#Headers],[ID]])))))</f>
        <v/>
      </c>
      <c r="O171" s="127" t="str">
        <f aca="false">IF(IFERROR(INDEX(tsk_Name,(ROW()-ROW(MSPTasks[[#Headers],[ID]])))="",TRUE()),"",INDEX(tsk_PlanStart,(ROW()-ROW(MSPTasks[[#Headers],[ID]]))))</f>
        <v/>
      </c>
      <c r="P171" s="127" t="str">
        <f aca="false">IF(IFERROR(INDEX(tsk_Name,(ROW()-ROW(MSPTasks[[#Headers],[ID]])))="",TRUE()),"",INDEX(tsk_PlanFinish,(ROW()-ROW(MSPTasks[[#Headers],[ID]]))))</f>
        <v/>
      </c>
      <c r="Q171" s="24" t="str">
        <f aca="false">IF(IFERROR(INDEX(tsk_Name,(ROW()-ROW(MSPTasks[[#Headers],[ID]])))="",TRUE()),"",IF(INDEX(tsk_BaseDuration,(ROW()-ROW(MSPTasks[[#Headers],[ID]])))="","",N(INDEX(tsk_BaseDuration,(ROW()-ROW(MSPTasks[[#Headers],[ID]]))))&amp;"d"))</f>
        <v/>
      </c>
      <c r="R171" s="24" t="str">
        <f aca="false">IF(IFERROR(INDEX(tsk_Name,(ROW()-ROW(MSPTasks[[#Headers],[ID]])))="",TRUE()),"",IF(INDEX(tsk_BaseWork,(ROW()-ROW(MSPTasks[[#Headers],[ID]])))="","",N(INDEX(tsk_BaseWork,(ROW()-ROW(MSPTasks[[#Headers],[ID]]))))&amp;"h"))</f>
        <v/>
      </c>
      <c r="S171" s="24" t="str">
        <f aca="false">IF(IFERROR(INDEX(tsk_Name,(ROW()-ROW(MSPTasks[[#Headers],[ID]])))="",TRUE()),"",IF(INDEX(tsk_BaseCost,(ROW()-ROW(MSPTasks[[#Headers],[ID]])))="","",N(INDEX(tsk_BaseCost,(ROW()-ROW(MSPTasks[[#Headers],[ID]]))))))</f>
        <v/>
      </c>
      <c r="T171" s="24" t="str">
        <f aca="false">IF(IFERROR(INDEX(tsk_Name,(ROW()-ROW(MSPTasks[[#Headers],[ID]])))="",TRUE()),"",IF(INDEX(tsk_IsSummary,(ROW()-ROW(MSPTasks[[#Headers],[ID]]))),"",IF(N(INDEX(tsk_ActCostInput,(ROW()-ROW(MSPTasks[[#Headers],[ID]]))))=0,"",INDEX(tsk_ActCostInput,(ROW()-ROW(MSPTasks[[#Headers],[ID]]))))))</f>
        <v/>
      </c>
      <c r="U171" s="24" t="str">
        <f aca="false">IF(IFERROR(INDEX(tsk_Name,(ROW()-ROW(MSPTasks[[#Headers],[ID]])))="",TRUE()),"",IF(INDEX(tsk_IsSummary,(ROW()-ROW(MSPTasks[[#Headers],[ID]]))),"",IF(AND(INDEX(tsk_Mode,(ROW()-ROW(MSPTasks[[#Headers],[ID]])))&lt;&gt;"Manual",N(INDEX(tsk_Constraint,(ROW()-ROW(MSPTasks[[#Headers],[ID]]))))&gt;0),"Start No Earlier Than","As Soon As Possible")))</f>
        <v/>
      </c>
      <c r="V171" s="127" t="str">
        <f aca="false">IF(IFERROR(INDEX(tsk_Name,(ROW()-ROW(MSPTasks[[#Headers],[ID]])))="",TRUE()),"",IF(OR(INDEX(tsk_IsSummary,(ROW()-ROW(MSPTasks[[#Headers],[ID]]))),INDEX(tsk_Mode,(ROW()-ROW(MSPTasks[[#Headers],[ID]])))="Manual"),"",IF(N(INDEX(tsk_Constraint,(ROW()-ROW(MSPTasks[[#Headers],[ID]]))))=0,"",INDEX(tsk_Constraint,(ROW()-ROW(MSPTasks[[#Headers],[ID]]))))))</f>
        <v/>
      </c>
      <c r="W171" s="127" t="str">
        <f aca="false">IF(IFERROR(INDEX(tsk_Name,(ROW()-ROW(MSPTasks[[#Headers],[ID]])))="",TRUE()),"",IF(N(INDEX(tsk_Deadline,(ROW()-ROW(MSPTasks[[#Headers],[ID]]))))=0,"",INDEX(tsk_Deadline,(ROW()-ROW(MSPTasks[[#Headers],[ID]])))))</f>
        <v/>
      </c>
      <c r="X171" s="24" t="str">
        <f aca="false">IF(IFERROR(INDEX(tsk_Name,(ROW()-ROW(MSPTasks[[#Headers],[ID]])))="",TRUE()),"",IF(INDEX(tsk_IsSummary,(ROW()-ROW(MSPTasks[[#Headers],[ID]]))),"",INDEX(tsk_Sprint,(ROW()-ROW(MSPTasks[[#Headers],[ID]])))&amp;""))</f>
        <v/>
      </c>
      <c r="Y171" s="24" t="str">
        <f aca="false">IF(IFERROR(INDEX(tsk_Name,(ROW()-ROW(MSPTasks[[#Headers],[ID]])))="",TRUE()),"",IF(INDEX(tsk_IsSummary,(ROW()-ROW(MSPTasks[[#Headers],[ID]]))),"",IF(N(INDEX(tsk_StoryPoints,(ROW()-ROW(MSPTasks[[#Headers],[ID]]))))=0,"",INDEX(tsk_StoryPoints,(ROW()-ROW(MSPTasks[[#Headers],[ID]]))))))</f>
        <v/>
      </c>
      <c r="Z171" s="24" t="str">
        <f aca="false">IF(IFERROR(INDEX(tsk_Name,(ROW()-ROW(MSPTasks[[#Headers],[ID]])))="",TRUE()),"",INDEX(tsk_Notes,(ROW()-ROW(MSPTasks[[#Headers],[ID]])))&amp;"")</f>
        <v/>
      </c>
    </row>
    <row r="172" customFormat="false" ht="15" hidden="false" customHeight="false" outlineLevel="0" collapsed="false">
      <c r="A172" s="24" t="str">
        <f aca="false">IF(IFERROR(INDEX(tsk_Name,(ROW()-ROW(MSPTasks[[#Headers],[ID]])))="",TRUE()),"",INDEX(tsk_ID,(ROW()-ROW(MSPTasks[[#Headers],[ID]]))))</f>
        <v/>
      </c>
      <c r="B172" s="24" t="str">
        <f aca="false">IF(IFERROR(INDEX(tsk_Name,(ROW()-ROW(MSPTasks[[#Headers],[ID]])))="",TRUE()),"",INDEX(tsk_UID,(ROW()-ROW(MSPTasks[[#Headers],[ID]]))))</f>
        <v/>
      </c>
      <c r="C172" s="24" t="str">
        <f aca="false">IF(IFERROR(INDEX(tsk_Name,(ROW()-ROW(MSPTasks[[#Headers],[ID]])))="",TRUE()),"",INDEX(tsk_Name,(ROW()-ROW(MSPTasks[[#Headers],[ID]]))))</f>
        <v/>
      </c>
      <c r="D172" s="24" t="str">
        <f aca="false">IF(IFERROR(INDEX(tsk_Name,(ROW()-ROW(MSPTasks[[#Headers],[ID]])))="",TRUE()),"",INDEX(tsk_Level,(ROW()-ROW(MSPTasks[[#Headers],[ID]]))))</f>
        <v/>
      </c>
      <c r="E172" s="24" t="str">
        <f aca="false">IF(IFERROR(INDEX(tsk_Name,(ROW()-ROW(MSPTasks[[#Headers],[ID]])))="",TRUE()),"",IF(INDEX(tsk_Mode,(ROW()-ROW(MSPTasks[[#Headers],[ID]])))="Manual","Manually Scheduled","Auto Scheduled"))</f>
        <v/>
      </c>
      <c r="F172" s="24" t="str">
        <f aca="false">IF(IFERROR(INDEX(tsk_Name,(ROW()-ROW(MSPTasks[[#Headers],[ID]])))="",TRUE()),"",IF(INDEX(tsk_IsSummary,(ROW()-ROW(MSPTasks[[#Headers],[ID]]))),"",N(INDEX(tsk_Duration,(ROW()-ROW(MSPTasks[[#Headers],[ID]]))))&amp;"d"))</f>
        <v/>
      </c>
      <c r="G172" s="127" t="str">
        <f aca="false">IF(IFERROR(INDEX(tsk_Name,(ROW()-ROW(MSPTasks[[#Headers],[ID]])))="",TRUE()),"",INDEX(tsk_FcStart,(ROW()-ROW(MSPTasks[[#Headers],[ID]]))))</f>
        <v/>
      </c>
      <c r="H172" s="127" t="str">
        <f aca="false">IF(IFERROR(INDEX(tsk_Name,(ROW()-ROW(MSPTasks[[#Headers],[ID]])))="",TRUE()),"",INDEX(tsk_FcFinish,(ROW()-ROW(MSPTasks[[#Headers],[ID]]))))</f>
        <v/>
      </c>
      <c r="I172" s="24" t="str">
        <f aca="false">IF(IFERROR(INDEX(tsk_Name,(ROW()-ROW(MSPTasks[[#Headers],[ID]])))="",TRUE()),"",IF(INDEX(tsk_IsSummary,(ROW()-ROW(MSPTasks[[#Headers],[ID]]))),"",INDEX(tsk_Predecessors,(ROW()-ROW(MSPTasks[[#Headers],[ID]])))))</f>
        <v/>
      </c>
      <c r="J172" s="24" t="str">
        <f aca="false">IF(IFERROR(INDEX(tsk_Name,(ROW()-ROW(MSPTasks[[#Headers],[ID]])))="",TRUE()),"",IF(INDEX(tsk_IsSummary,(ROW()-ROW(MSPTasks[[#Headers],[ID]]))),"",INDEX(tsk_UIDPredecessors,(ROW()-ROW(MSPTasks[[#Headers],[ID]])))))</f>
        <v/>
      </c>
      <c r="K17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2" s="24" t="str">
        <f aca="false">IF(IFERROR(INDEX(tsk_Name,(ROW()-ROW(MSPTasks[[#Headers],[ID]])))="",TRUE()),"",IF(INDEX(tsk_IsSummary,(ROW()-ROW(MSPTasks[[#Headers],[ID]]))),"",ROUND(INDEX(tsk_Progress,(ROW()-ROW(MSPTasks[[#Headers],[ID]])))*100,0)))</f>
        <v/>
      </c>
      <c r="M172" s="127" t="str">
        <f aca="false">IF(IFERROR(INDEX(tsk_Name,(ROW()-ROW(MSPTasks[[#Headers],[ID]])))="",TRUE()),"",IF(N(INDEX(tsk_ActStart,(ROW()-ROW(MSPTasks[[#Headers],[ID]]))))=0,"",INDEX(tsk_ActStart,(ROW()-ROW(MSPTasks[[#Headers],[ID]])))))</f>
        <v/>
      </c>
      <c r="N172" s="127" t="str">
        <f aca="false">IF(IFERROR(INDEX(tsk_Name,(ROW()-ROW(MSPTasks[[#Headers],[ID]])))="",TRUE()),"",IF(N(INDEX(tsk_ActFinish,(ROW()-ROW(MSPTasks[[#Headers],[ID]]))))=0,"",INDEX(tsk_ActFinish,(ROW()-ROW(MSPTasks[[#Headers],[ID]])))))</f>
        <v/>
      </c>
      <c r="O172" s="127" t="str">
        <f aca="false">IF(IFERROR(INDEX(tsk_Name,(ROW()-ROW(MSPTasks[[#Headers],[ID]])))="",TRUE()),"",INDEX(tsk_PlanStart,(ROW()-ROW(MSPTasks[[#Headers],[ID]]))))</f>
        <v/>
      </c>
      <c r="P172" s="127" t="str">
        <f aca="false">IF(IFERROR(INDEX(tsk_Name,(ROW()-ROW(MSPTasks[[#Headers],[ID]])))="",TRUE()),"",INDEX(tsk_PlanFinish,(ROW()-ROW(MSPTasks[[#Headers],[ID]]))))</f>
        <v/>
      </c>
      <c r="Q172" s="24" t="str">
        <f aca="false">IF(IFERROR(INDEX(tsk_Name,(ROW()-ROW(MSPTasks[[#Headers],[ID]])))="",TRUE()),"",IF(INDEX(tsk_BaseDuration,(ROW()-ROW(MSPTasks[[#Headers],[ID]])))="","",N(INDEX(tsk_BaseDuration,(ROW()-ROW(MSPTasks[[#Headers],[ID]]))))&amp;"d"))</f>
        <v/>
      </c>
      <c r="R172" s="24" t="str">
        <f aca="false">IF(IFERROR(INDEX(tsk_Name,(ROW()-ROW(MSPTasks[[#Headers],[ID]])))="",TRUE()),"",IF(INDEX(tsk_BaseWork,(ROW()-ROW(MSPTasks[[#Headers],[ID]])))="","",N(INDEX(tsk_BaseWork,(ROW()-ROW(MSPTasks[[#Headers],[ID]]))))&amp;"h"))</f>
        <v/>
      </c>
      <c r="S172" s="24" t="str">
        <f aca="false">IF(IFERROR(INDEX(tsk_Name,(ROW()-ROW(MSPTasks[[#Headers],[ID]])))="",TRUE()),"",IF(INDEX(tsk_BaseCost,(ROW()-ROW(MSPTasks[[#Headers],[ID]])))="","",N(INDEX(tsk_BaseCost,(ROW()-ROW(MSPTasks[[#Headers],[ID]]))))))</f>
        <v/>
      </c>
      <c r="T172" s="24" t="str">
        <f aca="false">IF(IFERROR(INDEX(tsk_Name,(ROW()-ROW(MSPTasks[[#Headers],[ID]])))="",TRUE()),"",IF(INDEX(tsk_IsSummary,(ROW()-ROW(MSPTasks[[#Headers],[ID]]))),"",IF(N(INDEX(tsk_ActCostInput,(ROW()-ROW(MSPTasks[[#Headers],[ID]]))))=0,"",INDEX(tsk_ActCostInput,(ROW()-ROW(MSPTasks[[#Headers],[ID]]))))))</f>
        <v/>
      </c>
      <c r="U172" s="24" t="str">
        <f aca="false">IF(IFERROR(INDEX(tsk_Name,(ROW()-ROW(MSPTasks[[#Headers],[ID]])))="",TRUE()),"",IF(INDEX(tsk_IsSummary,(ROW()-ROW(MSPTasks[[#Headers],[ID]]))),"",IF(AND(INDEX(tsk_Mode,(ROW()-ROW(MSPTasks[[#Headers],[ID]])))&lt;&gt;"Manual",N(INDEX(tsk_Constraint,(ROW()-ROW(MSPTasks[[#Headers],[ID]]))))&gt;0),"Start No Earlier Than","As Soon As Possible")))</f>
        <v/>
      </c>
      <c r="V172" s="127" t="str">
        <f aca="false">IF(IFERROR(INDEX(tsk_Name,(ROW()-ROW(MSPTasks[[#Headers],[ID]])))="",TRUE()),"",IF(OR(INDEX(tsk_IsSummary,(ROW()-ROW(MSPTasks[[#Headers],[ID]]))),INDEX(tsk_Mode,(ROW()-ROW(MSPTasks[[#Headers],[ID]])))="Manual"),"",IF(N(INDEX(tsk_Constraint,(ROW()-ROW(MSPTasks[[#Headers],[ID]]))))=0,"",INDEX(tsk_Constraint,(ROW()-ROW(MSPTasks[[#Headers],[ID]]))))))</f>
        <v/>
      </c>
      <c r="W172" s="127" t="str">
        <f aca="false">IF(IFERROR(INDEX(tsk_Name,(ROW()-ROW(MSPTasks[[#Headers],[ID]])))="",TRUE()),"",IF(N(INDEX(tsk_Deadline,(ROW()-ROW(MSPTasks[[#Headers],[ID]]))))=0,"",INDEX(tsk_Deadline,(ROW()-ROW(MSPTasks[[#Headers],[ID]])))))</f>
        <v/>
      </c>
      <c r="X172" s="24" t="str">
        <f aca="false">IF(IFERROR(INDEX(tsk_Name,(ROW()-ROW(MSPTasks[[#Headers],[ID]])))="",TRUE()),"",IF(INDEX(tsk_IsSummary,(ROW()-ROW(MSPTasks[[#Headers],[ID]]))),"",INDEX(tsk_Sprint,(ROW()-ROW(MSPTasks[[#Headers],[ID]])))&amp;""))</f>
        <v/>
      </c>
      <c r="Y172" s="24" t="str">
        <f aca="false">IF(IFERROR(INDEX(tsk_Name,(ROW()-ROW(MSPTasks[[#Headers],[ID]])))="",TRUE()),"",IF(INDEX(tsk_IsSummary,(ROW()-ROW(MSPTasks[[#Headers],[ID]]))),"",IF(N(INDEX(tsk_StoryPoints,(ROW()-ROW(MSPTasks[[#Headers],[ID]]))))=0,"",INDEX(tsk_StoryPoints,(ROW()-ROW(MSPTasks[[#Headers],[ID]]))))))</f>
        <v/>
      </c>
      <c r="Z172" s="24" t="str">
        <f aca="false">IF(IFERROR(INDEX(tsk_Name,(ROW()-ROW(MSPTasks[[#Headers],[ID]])))="",TRUE()),"",INDEX(tsk_Notes,(ROW()-ROW(MSPTasks[[#Headers],[ID]])))&amp;"")</f>
        <v/>
      </c>
    </row>
    <row r="173" customFormat="false" ht="15" hidden="false" customHeight="false" outlineLevel="0" collapsed="false">
      <c r="A173" s="24" t="str">
        <f aca="false">IF(IFERROR(INDEX(tsk_Name,(ROW()-ROW(MSPTasks[[#Headers],[ID]])))="",TRUE()),"",INDEX(tsk_ID,(ROW()-ROW(MSPTasks[[#Headers],[ID]]))))</f>
        <v/>
      </c>
      <c r="B173" s="24" t="str">
        <f aca="false">IF(IFERROR(INDEX(tsk_Name,(ROW()-ROW(MSPTasks[[#Headers],[ID]])))="",TRUE()),"",INDEX(tsk_UID,(ROW()-ROW(MSPTasks[[#Headers],[ID]]))))</f>
        <v/>
      </c>
      <c r="C173" s="24" t="str">
        <f aca="false">IF(IFERROR(INDEX(tsk_Name,(ROW()-ROW(MSPTasks[[#Headers],[ID]])))="",TRUE()),"",INDEX(tsk_Name,(ROW()-ROW(MSPTasks[[#Headers],[ID]]))))</f>
        <v/>
      </c>
      <c r="D173" s="24" t="str">
        <f aca="false">IF(IFERROR(INDEX(tsk_Name,(ROW()-ROW(MSPTasks[[#Headers],[ID]])))="",TRUE()),"",INDEX(tsk_Level,(ROW()-ROW(MSPTasks[[#Headers],[ID]]))))</f>
        <v/>
      </c>
      <c r="E173" s="24" t="str">
        <f aca="false">IF(IFERROR(INDEX(tsk_Name,(ROW()-ROW(MSPTasks[[#Headers],[ID]])))="",TRUE()),"",IF(INDEX(tsk_Mode,(ROW()-ROW(MSPTasks[[#Headers],[ID]])))="Manual","Manually Scheduled","Auto Scheduled"))</f>
        <v/>
      </c>
      <c r="F173" s="24" t="str">
        <f aca="false">IF(IFERROR(INDEX(tsk_Name,(ROW()-ROW(MSPTasks[[#Headers],[ID]])))="",TRUE()),"",IF(INDEX(tsk_IsSummary,(ROW()-ROW(MSPTasks[[#Headers],[ID]]))),"",N(INDEX(tsk_Duration,(ROW()-ROW(MSPTasks[[#Headers],[ID]]))))&amp;"d"))</f>
        <v/>
      </c>
      <c r="G173" s="127" t="str">
        <f aca="false">IF(IFERROR(INDEX(tsk_Name,(ROW()-ROW(MSPTasks[[#Headers],[ID]])))="",TRUE()),"",INDEX(tsk_FcStart,(ROW()-ROW(MSPTasks[[#Headers],[ID]]))))</f>
        <v/>
      </c>
      <c r="H173" s="127" t="str">
        <f aca="false">IF(IFERROR(INDEX(tsk_Name,(ROW()-ROW(MSPTasks[[#Headers],[ID]])))="",TRUE()),"",INDEX(tsk_FcFinish,(ROW()-ROW(MSPTasks[[#Headers],[ID]]))))</f>
        <v/>
      </c>
      <c r="I173" s="24" t="str">
        <f aca="false">IF(IFERROR(INDEX(tsk_Name,(ROW()-ROW(MSPTasks[[#Headers],[ID]])))="",TRUE()),"",IF(INDEX(tsk_IsSummary,(ROW()-ROW(MSPTasks[[#Headers],[ID]]))),"",INDEX(tsk_Predecessors,(ROW()-ROW(MSPTasks[[#Headers],[ID]])))))</f>
        <v/>
      </c>
      <c r="J173" s="24" t="str">
        <f aca="false">IF(IFERROR(INDEX(tsk_Name,(ROW()-ROW(MSPTasks[[#Headers],[ID]])))="",TRUE()),"",IF(INDEX(tsk_IsSummary,(ROW()-ROW(MSPTasks[[#Headers],[ID]]))),"",INDEX(tsk_UIDPredecessors,(ROW()-ROW(MSPTasks[[#Headers],[ID]])))))</f>
        <v/>
      </c>
      <c r="K17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3" s="24" t="str">
        <f aca="false">IF(IFERROR(INDEX(tsk_Name,(ROW()-ROW(MSPTasks[[#Headers],[ID]])))="",TRUE()),"",IF(INDEX(tsk_IsSummary,(ROW()-ROW(MSPTasks[[#Headers],[ID]]))),"",ROUND(INDEX(tsk_Progress,(ROW()-ROW(MSPTasks[[#Headers],[ID]])))*100,0)))</f>
        <v/>
      </c>
      <c r="M173" s="127" t="str">
        <f aca="false">IF(IFERROR(INDEX(tsk_Name,(ROW()-ROW(MSPTasks[[#Headers],[ID]])))="",TRUE()),"",IF(N(INDEX(tsk_ActStart,(ROW()-ROW(MSPTasks[[#Headers],[ID]]))))=0,"",INDEX(tsk_ActStart,(ROW()-ROW(MSPTasks[[#Headers],[ID]])))))</f>
        <v/>
      </c>
      <c r="N173" s="127" t="str">
        <f aca="false">IF(IFERROR(INDEX(tsk_Name,(ROW()-ROW(MSPTasks[[#Headers],[ID]])))="",TRUE()),"",IF(N(INDEX(tsk_ActFinish,(ROW()-ROW(MSPTasks[[#Headers],[ID]]))))=0,"",INDEX(tsk_ActFinish,(ROW()-ROW(MSPTasks[[#Headers],[ID]])))))</f>
        <v/>
      </c>
      <c r="O173" s="127" t="str">
        <f aca="false">IF(IFERROR(INDEX(tsk_Name,(ROW()-ROW(MSPTasks[[#Headers],[ID]])))="",TRUE()),"",INDEX(tsk_PlanStart,(ROW()-ROW(MSPTasks[[#Headers],[ID]]))))</f>
        <v/>
      </c>
      <c r="P173" s="127" t="str">
        <f aca="false">IF(IFERROR(INDEX(tsk_Name,(ROW()-ROW(MSPTasks[[#Headers],[ID]])))="",TRUE()),"",INDEX(tsk_PlanFinish,(ROW()-ROW(MSPTasks[[#Headers],[ID]]))))</f>
        <v/>
      </c>
      <c r="Q173" s="24" t="str">
        <f aca="false">IF(IFERROR(INDEX(tsk_Name,(ROW()-ROW(MSPTasks[[#Headers],[ID]])))="",TRUE()),"",IF(INDEX(tsk_BaseDuration,(ROW()-ROW(MSPTasks[[#Headers],[ID]])))="","",N(INDEX(tsk_BaseDuration,(ROW()-ROW(MSPTasks[[#Headers],[ID]]))))&amp;"d"))</f>
        <v/>
      </c>
      <c r="R173" s="24" t="str">
        <f aca="false">IF(IFERROR(INDEX(tsk_Name,(ROW()-ROW(MSPTasks[[#Headers],[ID]])))="",TRUE()),"",IF(INDEX(tsk_BaseWork,(ROW()-ROW(MSPTasks[[#Headers],[ID]])))="","",N(INDEX(tsk_BaseWork,(ROW()-ROW(MSPTasks[[#Headers],[ID]]))))&amp;"h"))</f>
        <v/>
      </c>
      <c r="S173" s="24" t="str">
        <f aca="false">IF(IFERROR(INDEX(tsk_Name,(ROW()-ROW(MSPTasks[[#Headers],[ID]])))="",TRUE()),"",IF(INDEX(tsk_BaseCost,(ROW()-ROW(MSPTasks[[#Headers],[ID]])))="","",N(INDEX(tsk_BaseCost,(ROW()-ROW(MSPTasks[[#Headers],[ID]]))))))</f>
        <v/>
      </c>
      <c r="T173" s="24" t="str">
        <f aca="false">IF(IFERROR(INDEX(tsk_Name,(ROW()-ROW(MSPTasks[[#Headers],[ID]])))="",TRUE()),"",IF(INDEX(tsk_IsSummary,(ROW()-ROW(MSPTasks[[#Headers],[ID]]))),"",IF(N(INDEX(tsk_ActCostInput,(ROW()-ROW(MSPTasks[[#Headers],[ID]]))))=0,"",INDEX(tsk_ActCostInput,(ROW()-ROW(MSPTasks[[#Headers],[ID]]))))))</f>
        <v/>
      </c>
      <c r="U173" s="24" t="str">
        <f aca="false">IF(IFERROR(INDEX(tsk_Name,(ROW()-ROW(MSPTasks[[#Headers],[ID]])))="",TRUE()),"",IF(INDEX(tsk_IsSummary,(ROW()-ROW(MSPTasks[[#Headers],[ID]]))),"",IF(AND(INDEX(tsk_Mode,(ROW()-ROW(MSPTasks[[#Headers],[ID]])))&lt;&gt;"Manual",N(INDEX(tsk_Constraint,(ROW()-ROW(MSPTasks[[#Headers],[ID]]))))&gt;0),"Start No Earlier Than","As Soon As Possible")))</f>
        <v/>
      </c>
      <c r="V173" s="127" t="str">
        <f aca="false">IF(IFERROR(INDEX(tsk_Name,(ROW()-ROW(MSPTasks[[#Headers],[ID]])))="",TRUE()),"",IF(OR(INDEX(tsk_IsSummary,(ROW()-ROW(MSPTasks[[#Headers],[ID]]))),INDEX(tsk_Mode,(ROW()-ROW(MSPTasks[[#Headers],[ID]])))="Manual"),"",IF(N(INDEX(tsk_Constraint,(ROW()-ROW(MSPTasks[[#Headers],[ID]]))))=0,"",INDEX(tsk_Constraint,(ROW()-ROW(MSPTasks[[#Headers],[ID]]))))))</f>
        <v/>
      </c>
      <c r="W173" s="127" t="str">
        <f aca="false">IF(IFERROR(INDEX(tsk_Name,(ROW()-ROW(MSPTasks[[#Headers],[ID]])))="",TRUE()),"",IF(N(INDEX(tsk_Deadline,(ROW()-ROW(MSPTasks[[#Headers],[ID]]))))=0,"",INDEX(tsk_Deadline,(ROW()-ROW(MSPTasks[[#Headers],[ID]])))))</f>
        <v/>
      </c>
      <c r="X173" s="24" t="str">
        <f aca="false">IF(IFERROR(INDEX(tsk_Name,(ROW()-ROW(MSPTasks[[#Headers],[ID]])))="",TRUE()),"",IF(INDEX(tsk_IsSummary,(ROW()-ROW(MSPTasks[[#Headers],[ID]]))),"",INDEX(tsk_Sprint,(ROW()-ROW(MSPTasks[[#Headers],[ID]])))&amp;""))</f>
        <v/>
      </c>
      <c r="Y173" s="24" t="str">
        <f aca="false">IF(IFERROR(INDEX(tsk_Name,(ROW()-ROW(MSPTasks[[#Headers],[ID]])))="",TRUE()),"",IF(INDEX(tsk_IsSummary,(ROW()-ROW(MSPTasks[[#Headers],[ID]]))),"",IF(N(INDEX(tsk_StoryPoints,(ROW()-ROW(MSPTasks[[#Headers],[ID]]))))=0,"",INDEX(tsk_StoryPoints,(ROW()-ROW(MSPTasks[[#Headers],[ID]]))))))</f>
        <v/>
      </c>
      <c r="Z173" s="24" t="str">
        <f aca="false">IF(IFERROR(INDEX(tsk_Name,(ROW()-ROW(MSPTasks[[#Headers],[ID]])))="",TRUE()),"",INDEX(tsk_Notes,(ROW()-ROW(MSPTasks[[#Headers],[ID]])))&amp;"")</f>
        <v/>
      </c>
    </row>
    <row r="174" customFormat="false" ht="15" hidden="false" customHeight="false" outlineLevel="0" collapsed="false">
      <c r="A174" s="24" t="str">
        <f aca="false">IF(IFERROR(INDEX(tsk_Name,(ROW()-ROW(MSPTasks[[#Headers],[ID]])))="",TRUE()),"",INDEX(tsk_ID,(ROW()-ROW(MSPTasks[[#Headers],[ID]]))))</f>
        <v/>
      </c>
      <c r="B174" s="24" t="str">
        <f aca="false">IF(IFERROR(INDEX(tsk_Name,(ROW()-ROW(MSPTasks[[#Headers],[ID]])))="",TRUE()),"",INDEX(tsk_UID,(ROW()-ROW(MSPTasks[[#Headers],[ID]]))))</f>
        <v/>
      </c>
      <c r="C174" s="24" t="str">
        <f aca="false">IF(IFERROR(INDEX(tsk_Name,(ROW()-ROW(MSPTasks[[#Headers],[ID]])))="",TRUE()),"",INDEX(tsk_Name,(ROW()-ROW(MSPTasks[[#Headers],[ID]]))))</f>
        <v/>
      </c>
      <c r="D174" s="24" t="str">
        <f aca="false">IF(IFERROR(INDEX(tsk_Name,(ROW()-ROW(MSPTasks[[#Headers],[ID]])))="",TRUE()),"",INDEX(tsk_Level,(ROW()-ROW(MSPTasks[[#Headers],[ID]]))))</f>
        <v/>
      </c>
      <c r="E174" s="24" t="str">
        <f aca="false">IF(IFERROR(INDEX(tsk_Name,(ROW()-ROW(MSPTasks[[#Headers],[ID]])))="",TRUE()),"",IF(INDEX(tsk_Mode,(ROW()-ROW(MSPTasks[[#Headers],[ID]])))="Manual","Manually Scheduled","Auto Scheduled"))</f>
        <v/>
      </c>
      <c r="F174" s="24" t="str">
        <f aca="false">IF(IFERROR(INDEX(tsk_Name,(ROW()-ROW(MSPTasks[[#Headers],[ID]])))="",TRUE()),"",IF(INDEX(tsk_IsSummary,(ROW()-ROW(MSPTasks[[#Headers],[ID]]))),"",N(INDEX(tsk_Duration,(ROW()-ROW(MSPTasks[[#Headers],[ID]]))))&amp;"d"))</f>
        <v/>
      </c>
      <c r="G174" s="127" t="str">
        <f aca="false">IF(IFERROR(INDEX(tsk_Name,(ROW()-ROW(MSPTasks[[#Headers],[ID]])))="",TRUE()),"",INDEX(tsk_FcStart,(ROW()-ROW(MSPTasks[[#Headers],[ID]]))))</f>
        <v/>
      </c>
      <c r="H174" s="127" t="str">
        <f aca="false">IF(IFERROR(INDEX(tsk_Name,(ROW()-ROW(MSPTasks[[#Headers],[ID]])))="",TRUE()),"",INDEX(tsk_FcFinish,(ROW()-ROW(MSPTasks[[#Headers],[ID]]))))</f>
        <v/>
      </c>
      <c r="I174" s="24" t="str">
        <f aca="false">IF(IFERROR(INDEX(tsk_Name,(ROW()-ROW(MSPTasks[[#Headers],[ID]])))="",TRUE()),"",IF(INDEX(tsk_IsSummary,(ROW()-ROW(MSPTasks[[#Headers],[ID]]))),"",INDEX(tsk_Predecessors,(ROW()-ROW(MSPTasks[[#Headers],[ID]])))))</f>
        <v/>
      </c>
      <c r="J174" s="24" t="str">
        <f aca="false">IF(IFERROR(INDEX(tsk_Name,(ROW()-ROW(MSPTasks[[#Headers],[ID]])))="",TRUE()),"",IF(INDEX(tsk_IsSummary,(ROW()-ROW(MSPTasks[[#Headers],[ID]]))),"",INDEX(tsk_UIDPredecessors,(ROW()-ROW(MSPTasks[[#Headers],[ID]])))))</f>
        <v/>
      </c>
      <c r="K17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4" s="24" t="str">
        <f aca="false">IF(IFERROR(INDEX(tsk_Name,(ROW()-ROW(MSPTasks[[#Headers],[ID]])))="",TRUE()),"",IF(INDEX(tsk_IsSummary,(ROW()-ROW(MSPTasks[[#Headers],[ID]]))),"",ROUND(INDEX(tsk_Progress,(ROW()-ROW(MSPTasks[[#Headers],[ID]])))*100,0)))</f>
        <v/>
      </c>
      <c r="M174" s="127" t="str">
        <f aca="false">IF(IFERROR(INDEX(tsk_Name,(ROW()-ROW(MSPTasks[[#Headers],[ID]])))="",TRUE()),"",IF(N(INDEX(tsk_ActStart,(ROW()-ROW(MSPTasks[[#Headers],[ID]]))))=0,"",INDEX(tsk_ActStart,(ROW()-ROW(MSPTasks[[#Headers],[ID]])))))</f>
        <v/>
      </c>
      <c r="N174" s="127" t="str">
        <f aca="false">IF(IFERROR(INDEX(tsk_Name,(ROW()-ROW(MSPTasks[[#Headers],[ID]])))="",TRUE()),"",IF(N(INDEX(tsk_ActFinish,(ROW()-ROW(MSPTasks[[#Headers],[ID]]))))=0,"",INDEX(tsk_ActFinish,(ROW()-ROW(MSPTasks[[#Headers],[ID]])))))</f>
        <v/>
      </c>
      <c r="O174" s="127" t="str">
        <f aca="false">IF(IFERROR(INDEX(tsk_Name,(ROW()-ROW(MSPTasks[[#Headers],[ID]])))="",TRUE()),"",INDEX(tsk_PlanStart,(ROW()-ROW(MSPTasks[[#Headers],[ID]]))))</f>
        <v/>
      </c>
      <c r="P174" s="127" t="str">
        <f aca="false">IF(IFERROR(INDEX(tsk_Name,(ROW()-ROW(MSPTasks[[#Headers],[ID]])))="",TRUE()),"",INDEX(tsk_PlanFinish,(ROW()-ROW(MSPTasks[[#Headers],[ID]]))))</f>
        <v/>
      </c>
      <c r="Q174" s="24" t="str">
        <f aca="false">IF(IFERROR(INDEX(tsk_Name,(ROW()-ROW(MSPTasks[[#Headers],[ID]])))="",TRUE()),"",IF(INDEX(tsk_BaseDuration,(ROW()-ROW(MSPTasks[[#Headers],[ID]])))="","",N(INDEX(tsk_BaseDuration,(ROW()-ROW(MSPTasks[[#Headers],[ID]]))))&amp;"d"))</f>
        <v/>
      </c>
      <c r="R174" s="24" t="str">
        <f aca="false">IF(IFERROR(INDEX(tsk_Name,(ROW()-ROW(MSPTasks[[#Headers],[ID]])))="",TRUE()),"",IF(INDEX(tsk_BaseWork,(ROW()-ROW(MSPTasks[[#Headers],[ID]])))="","",N(INDEX(tsk_BaseWork,(ROW()-ROW(MSPTasks[[#Headers],[ID]]))))&amp;"h"))</f>
        <v/>
      </c>
      <c r="S174" s="24" t="str">
        <f aca="false">IF(IFERROR(INDEX(tsk_Name,(ROW()-ROW(MSPTasks[[#Headers],[ID]])))="",TRUE()),"",IF(INDEX(tsk_BaseCost,(ROW()-ROW(MSPTasks[[#Headers],[ID]])))="","",N(INDEX(tsk_BaseCost,(ROW()-ROW(MSPTasks[[#Headers],[ID]]))))))</f>
        <v/>
      </c>
      <c r="T174" s="24" t="str">
        <f aca="false">IF(IFERROR(INDEX(tsk_Name,(ROW()-ROW(MSPTasks[[#Headers],[ID]])))="",TRUE()),"",IF(INDEX(tsk_IsSummary,(ROW()-ROW(MSPTasks[[#Headers],[ID]]))),"",IF(N(INDEX(tsk_ActCostInput,(ROW()-ROW(MSPTasks[[#Headers],[ID]]))))=0,"",INDEX(tsk_ActCostInput,(ROW()-ROW(MSPTasks[[#Headers],[ID]]))))))</f>
        <v/>
      </c>
      <c r="U174" s="24" t="str">
        <f aca="false">IF(IFERROR(INDEX(tsk_Name,(ROW()-ROW(MSPTasks[[#Headers],[ID]])))="",TRUE()),"",IF(INDEX(tsk_IsSummary,(ROW()-ROW(MSPTasks[[#Headers],[ID]]))),"",IF(AND(INDEX(tsk_Mode,(ROW()-ROW(MSPTasks[[#Headers],[ID]])))&lt;&gt;"Manual",N(INDEX(tsk_Constraint,(ROW()-ROW(MSPTasks[[#Headers],[ID]]))))&gt;0),"Start No Earlier Than","As Soon As Possible")))</f>
        <v/>
      </c>
      <c r="V174" s="127" t="str">
        <f aca="false">IF(IFERROR(INDEX(tsk_Name,(ROW()-ROW(MSPTasks[[#Headers],[ID]])))="",TRUE()),"",IF(OR(INDEX(tsk_IsSummary,(ROW()-ROW(MSPTasks[[#Headers],[ID]]))),INDEX(tsk_Mode,(ROW()-ROW(MSPTasks[[#Headers],[ID]])))="Manual"),"",IF(N(INDEX(tsk_Constraint,(ROW()-ROW(MSPTasks[[#Headers],[ID]]))))=0,"",INDEX(tsk_Constraint,(ROW()-ROW(MSPTasks[[#Headers],[ID]]))))))</f>
        <v/>
      </c>
      <c r="W174" s="127" t="str">
        <f aca="false">IF(IFERROR(INDEX(tsk_Name,(ROW()-ROW(MSPTasks[[#Headers],[ID]])))="",TRUE()),"",IF(N(INDEX(tsk_Deadline,(ROW()-ROW(MSPTasks[[#Headers],[ID]]))))=0,"",INDEX(tsk_Deadline,(ROW()-ROW(MSPTasks[[#Headers],[ID]])))))</f>
        <v/>
      </c>
      <c r="X174" s="24" t="str">
        <f aca="false">IF(IFERROR(INDEX(tsk_Name,(ROW()-ROW(MSPTasks[[#Headers],[ID]])))="",TRUE()),"",IF(INDEX(tsk_IsSummary,(ROW()-ROW(MSPTasks[[#Headers],[ID]]))),"",INDEX(tsk_Sprint,(ROW()-ROW(MSPTasks[[#Headers],[ID]])))&amp;""))</f>
        <v/>
      </c>
      <c r="Y174" s="24" t="str">
        <f aca="false">IF(IFERROR(INDEX(tsk_Name,(ROW()-ROW(MSPTasks[[#Headers],[ID]])))="",TRUE()),"",IF(INDEX(tsk_IsSummary,(ROW()-ROW(MSPTasks[[#Headers],[ID]]))),"",IF(N(INDEX(tsk_StoryPoints,(ROW()-ROW(MSPTasks[[#Headers],[ID]]))))=0,"",INDEX(tsk_StoryPoints,(ROW()-ROW(MSPTasks[[#Headers],[ID]]))))))</f>
        <v/>
      </c>
      <c r="Z174" s="24" t="str">
        <f aca="false">IF(IFERROR(INDEX(tsk_Name,(ROW()-ROW(MSPTasks[[#Headers],[ID]])))="",TRUE()),"",INDEX(tsk_Notes,(ROW()-ROW(MSPTasks[[#Headers],[ID]])))&amp;"")</f>
        <v/>
      </c>
    </row>
    <row r="175" customFormat="false" ht="15" hidden="false" customHeight="false" outlineLevel="0" collapsed="false">
      <c r="A175" s="24" t="str">
        <f aca="false">IF(IFERROR(INDEX(tsk_Name,(ROW()-ROW(MSPTasks[[#Headers],[ID]])))="",TRUE()),"",INDEX(tsk_ID,(ROW()-ROW(MSPTasks[[#Headers],[ID]]))))</f>
        <v/>
      </c>
      <c r="B175" s="24" t="str">
        <f aca="false">IF(IFERROR(INDEX(tsk_Name,(ROW()-ROW(MSPTasks[[#Headers],[ID]])))="",TRUE()),"",INDEX(tsk_UID,(ROW()-ROW(MSPTasks[[#Headers],[ID]]))))</f>
        <v/>
      </c>
      <c r="C175" s="24" t="str">
        <f aca="false">IF(IFERROR(INDEX(tsk_Name,(ROW()-ROW(MSPTasks[[#Headers],[ID]])))="",TRUE()),"",INDEX(tsk_Name,(ROW()-ROW(MSPTasks[[#Headers],[ID]]))))</f>
        <v/>
      </c>
      <c r="D175" s="24" t="str">
        <f aca="false">IF(IFERROR(INDEX(tsk_Name,(ROW()-ROW(MSPTasks[[#Headers],[ID]])))="",TRUE()),"",INDEX(tsk_Level,(ROW()-ROW(MSPTasks[[#Headers],[ID]]))))</f>
        <v/>
      </c>
      <c r="E175" s="24" t="str">
        <f aca="false">IF(IFERROR(INDEX(tsk_Name,(ROW()-ROW(MSPTasks[[#Headers],[ID]])))="",TRUE()),"",IF(INDEX(tsk_Mode,(ROW()-ROW(MSPTasks[[#Headers],[ID]])))="Manual","Manually Scheduled","Auto Scheduled"))</f>
        <v/>
      </c>
      <c r="F175" s="24" t="str">
        <f aca="false">IF(IFERROR(INDEX(tsk_Name,(ROW()-ROW(MSPTasks[[#Headers],[ID]])))="",TRUE()),"",IF(INDEX(tsk_IsSummary,(ROW()-ROW(MSPTasks[[#Headers],[ID]]))),"",N(INDEX(tsk_Duration,(ROW()-ROW(MSPTasks[[#Headers],[ID]]))))&amp;"d"))</f>
        <v/>
      </c>
      <c r="G175" s="127" t="str">
        <f aca="false">IF(IFERROR(INDEX(tsk_Name,(ROW()-ROW(MSPTasks[[#Headers],[ID]])))="",TRUE()),"",INDEX(tsk_FcStart,(ROW()-ROW(MSPTasks[[#Headers],[ID]]))))</f>
        <v/>
      </c>
      <c r="H175" s="127" t="str">
        <f aca="false">IF(IFERROR(INDEX(tsk_Name,(ROW()-ROW(MSPTasks[[#Headers],[ID]])))="",TRUE()),"",INDEX(tsk_FcFinish,(ROW()-ROW(MSPTasks[[#Headers],[ID]]))))</f>
        <v/>
      </c>
      <c r="I175" s="24" t="str">
        <f aca="false">IF(IFERROR(INDEX(tsk_Name,(ROW()-ROW(MSPTasks[[#Headers],[ID]])))="",TRUE()),"",IF(INDEX(tsk_IsSummary,(ROW()-ROW(MSPTasks[[#Headers],[ID]]))),"",INDEX(tsk_Predecessors,(ROW()-ROW(MSPTasks[[#Headers],[ID]])))))</f>
        <v/>
      </c>
      <c r="J175" s="24" t="str">
        <f aca="false">IF(IFERROR(INDEX(tsk_Name,(ROW()-ROW(MSPTasks[[#Headers],[ID]])))="",TRUE()),"",IF(INDEX(tsk_IsSummary,(ROW()-ROW(MSPTasks[[#Headers],[ID]]))),"",INDEX(tsk_UIDPredecessors,(ROW()-ROW(MSPTasks[[#Headers],[ID]])))))</f>
        <v/>
      </c>
      <c r="K17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5" s="24" t="str">
        <f aca="false">IF(IFERROR(INDEX(tsk_Name,(ROW()-ROW(MSPTasks[[#Headers],[ID]])))="",TRUE()),"",IF(INDEX(tsk_IsSummary,(ROW()-ROW(MSPTasks[[#Headers],[ID]]))),"",ROUND(INDEX(tsk_Progress,(ROW()-ROW(MSPTasks[[#Headers],[ID]])))*100,0)))</f>
        <v/>
      </c>
      <c r="M175" s="127" t="str">
        <f aca="false">IF(IFERROR(INDEX(tsk_Name,(ROW()-ROW(MSPTasks[[#Headers],[ID]])))="",TRUE()),"",IF(N(INDEX(tsk_ActStart,(ROW()-ROW(MSPTasks[[#Headers],[ID]]))))=0,"",INDEX(tsk_ActStart,(ROW()-ROW(MSPTasks[[#Headers],[ID]])))))</f>
        <v/>
      </c>
      <c r="N175" s="127" t="str">
        <f aca="false">IF(IFERROR(INDEX(tsk_Name,(ROW()-ROW(MSPTasks[[#Headers],[ID]])))="",TRUE()),"",IF(N(INDEX(tsk_ActFinish,(ROW()-ROW(MSPTasks[[#Headers],[ID]]))))=0,"",INDEX(tsk_ActFinish,(ROW()-ROW(MSPTasks[[#Headers],[ID]])))))</f>
        <v/>
      </c>
      <c r="O175" s="127" t="str">
        <f aca="false">IF(IFERROR(INDEX(tsk_Name,(ROW()-ROW(MSPTasks[[#Headers],[ID]])))="",TRUE()),"",INDEX(tsk_PlanStart,(ROW()-ROW(MSPTasks[[#Headers],[ID]]))))</f>
        <v/>
      </c>
      <c r="P175" s="127" t="str">
        <f aca="false">IF(IFERROR(INDEX(tsk_Name,(ROW()-ROW(MSPTasks[[#Headers],[ID]])))="",TRUE()),"",INDEX(tsk_PlanFinish,(ROW()-ROW(MSPTasks[[#Headers],[ID]]))))</f>
        <v/>
      </c>
      <c r="Q175" s="24" t="str">
        <f aca="false">IF(IFERROR(INDEX(tsk_Name,(ROW()-ROW(MSPTasks[[#Headers],[ID]])))="",TRUE()),"",IF(INDEX(tsk_BaseDuration,(ROW()-ROW(MSPTasks[[#Headers],[ID]])))="","",N(INDEX(tsk_BaseDuration,(ROW()-ROW(MSPTasks[[#Headers],[ID]]))))&amp;"d"))</f>
        <v/>
      </c>
      <c r="R175" s="24" t="str">
        <f aca="false">IF(IFERROR(INDEX(tsk_Name,(ROW()-ROW(MSPTasks[[#Headers],[ID]])))="",TRUE()),"",IF(INDEX(tsk_BaseWork,(ROW()-ROW(MSPTasks[[#Headers],[ID]])))="","",N(INDEX(tsk_BaseWork,(ROW()-ROW(MSPTasks[[#Headers],[ID]]))))&amp;"h"))</f>
        <v/>
      </c>
      <c r="S175" s="24" t="str">
        <f aca="false">IF(IFERROR(INDEX(tsk_Name,(ROW()-ROW(MSPTasks[[#Headers],[ID]])))="",TRUE()),"",IF(INDEX(tsk_BaseCost,(ROW()-ROW(MSPTasks[[#Headers],[ID]])))="","",N(INDEX(tsk_BaseCost,(ROW()-ROW(MSPTasks[[#Headers],[ID]]))))))</f>
        <v/>
      </c>
      <c r="T175" s="24" t="str">
        <f aca="false">IF(IFERROR(INDEX(tsk_Name,(ROW()-ROW(MSPTasks[[#Headers],[ID]])))="",TRUE()),"",IF(INDEX(tsk_IsSummary,(ROW()-ROW(MSPTasks[[#Headers],[ID]]))),"",IF(N(INDEX(tsk_ActCostInput,(ROW()-ROW(MSPTasks[[#Headers],[ID]]))))=0,"",INDEX(tsk_ActCostInput,(ROW()-ROW(MSPTasks[[#Headers],[ID]]))))))</f>
        <v/>
      </c>
      <c r="U175" s="24" t="str">
        <f aca="false">IF(IFERROR(INDEX(tsk_Name,(ROW()-ROW(MSPTasks[[#Headers],[ID]])))="",TRUE()),"",IF(INDEX(tsk_IsSummary,(ROW()-ROW(MSPTasks[[#Headers],[ID]]))),"",IF(AND(INDEX(tsk_Mode,(ROW()-ROW(MSPTasks[[#Headers],[ID]])))&lt;&gt;"Manual",N(INDEX(tsk_Constraint,(ROW()-ROW(MSPTasks[[#Headers],[ID]]))))&gt;0),"Start No Earlier Than","As Soon As Possible")))</f>
        <v/>
      </c>
      <c r="V175" s="127" t="str">
        <f aca="false">IF(IFERROR(INDEX(tsk_Name,(ROW()-ROW(MSPTasks[[#Headers],[ID]])))="",TRUE()),"",IF(OR(INDEX(tsk_IsSummary,(ROW()-ROW(MSPTasks[[#Headers],[ID]]))),INDEX(tsk_Mode,(ROW()-ROW(MSPTasks[[#Headers],[ID]])))="Manual"),"",IF(N(INDEX(tsk_Constraint,(ROW()-ROW(MSPTasks[[#Headers],[ID]]))))=0,"",INDEX(tsk_Constraint,(ROW()-ROW(MSPTasks[[#Headers],[ID]]))))))</f>
        <v/>
      </c>
      <c r="W175" s="127" t="str">
        <f aca="false">IF(IFERROR(INDEX(tsk_Name,(ROW()-ROW(MSPTasks[[#Headers],[ID]])))="",TRUE()),"",IF(N(INDEX(tsk_Deadline,(ROW()-ROW(MSPTasks[[#Headers],[ID]]))))=0,"",INDEX(tsk_Deadline,(ROW()-ROW(MSPTasks[[#Headers],[ID]])))))</f>
        <v/>
      </c>
      <c r="X175" s="24" t="str">
        <f aca="false">IF(IFERROR(INDEX(tsk_Name,(ROW()-ROW(MSPTasks[[#Headers],[ID]])))="",TRUE()),"",IF(INDEX(tsk_IsSummary,(ROW()-ROW(MSPTasks[[#Headers],[ID]]))),"",INDEX(tsk_Sprint,(ROW()-ROW(MSPTasks[[#Headers],[ID]])))&amp;""))</f>
        <v/>
      </c>
      <c r="Y175" s="24" t="str">
        <f aca="false">IF(IFERROR(INDEX(tsk_Name,(ROW()-ROW(MSPTasks[[#Headers],[ID]])))="",TRUE()),"",IF(INDEX(tsk_IsSummary,(ROW()-ROW(MSPTasks[[#Headers],[ID]]))),"",IF(N(INDEX(tsk_StoryPoints,(ROW()-ROW(MSPTasks[[#Headers],[ID]]))))=0,"",INDEX(tsk_StoryPoints,(ROW()-ROW(MSPTasks[[#Headers],[ID]]))))))</f>
        <v/>
      </c>
      <c r="Z175" s="24" t="str">
        <f aca="false">IF(IFERROR(INDEX(tsk_Name,(ROW()-ROW(MSPTasks[[#Headers],[ID]])))="",TRUE()),"",INDEX(tsk_Notes,(ROW()-ROW(MSPTasks[[#Headers],[ID]])))&amp;"")</f>
        <v/>
      </c>
    </row>
    <row r="176" customFormat="false" ht="15" hidden="false" customHeight="false" outlineLevel="0" collapsed="false">
      <c r="A176" s="24" t="str">
        <f aca="false">IF(IFERROR(INDEX(tsk_Name,(ROW()-ROW(MSPTasks[[#Headers],[ID]])))="",TRUE()),"",INDEX(tsk_ID,(ROW()-ROW(MSPTasks[[#Headers],[ID]]))))</f>
        <v/>
      </c>
      <c r="B176" s="24" t="str">
        <f aca="false">IF(IFERROR(INDEX(tsk_Name,(ROW()-ROW(MSPTasks[[#Headers],[ID]])))="",TRUE()),"",INDEX(tsk_UID,(ROW()-ROW(MSPTasks[[#Headers],[ID]]))))</f>
        <v/>
      </c>
      <c r="C176" s="24" t="str">
        <f aca="false">IF(IFERROR(INDEX(tsk_Name,(ROW()-ROW(MSPTasks[[#Headers],[ID]])))="",TRUE()),"",INDEX(tsk_Name,(ROW()-ROW(MSPTasks[[#Headers],[ID]]))))</f>
        <v/>
      </c>
      <c r="D176" s="24" t="str">
        <f aca="false">IF(IFERROR(INDEX(tsk_Name,(ROW()-ROW(MSPTasks[[#Headers],[ID]])))="",TRUE()),"",INDEX(tsk_Level,(ROW()-ROW(MSPTasks[[#Headers],[ID]]))))</f>
        <v/>
      </c>
      <c r="E176" s="24" t="str">
        <f aca="false">IF(IFERROR(INDEX(tsk_Name,(ROW()-ROW(MSPTasks[[#Headers],[ID]])))="",TRUE()),"",IF(INDEX(tsk_Mode,(ROW()-ROW(MSPTasks[[#Headers],[ID]])))="Manual","Manually Scheduled","Auto Scheduled"))</f>
        <v/>
      </c>
      <c r="F176" s="24" t="str">
        <f aca="false">IF(IFERROR(INDEX(tsk_Name,(ROW()-ROW(MSPTasks[[#Headers],[ID]])))="",TRUE()),"",IF(INDEX(tsk_IsSummary,(ROW()-ROW(MSPTasks[[#Headers],[ID]]))),"",N(INDEX(tsk_Duration,(ROW()-ROW(MSPTasks[[#Headers],[ID]]))))&amp;"d"))</f>
        <v/>
      </c>
      <c r="G176" s="127" t="str">
        <f aca="false">IF(IFERROR(INDEX(tsk_Name,(ROW()-ROW(MSPTasks[[#Headers],[ID]])))="",TRUE()),"",INDEX(tsk_FcStart,(ROW()-ROW(MSPTasks[[#Headers],[ID]]))))</f>
        <v/>
      </c>
      <c r="H176" s="127" t="str">
        <f aca="false">IF(IFERROR(INDEX(tsk_Name,(ROW()-ROW(MSPTasks[[#Headers],[ID]])))="",TRUE()),"",INDEX(tsk_FcFinish,(ROW()-ROW(MSPTasks[[#Headers],[ID]]))))</f>
        <v/>
      </c>
      <c r="I176" s="24" t="str">
        <f aca="false">IF(IFERROR(INDEX(tsk_Name,(ROW()-ROW(MSPTasks[[#Headers],[ID]])))="",TRUE()),"",IF(INDEX(tsk_IsSummary,(ROW()-ROW(MSPTasks[[#Headers],[ID]]))),"",INDEX(tsk_Predecessors,(ROW()-ROW(MSPTasks[[#Headers],[ID]])))))</f>
        <v/>
      </c>
      <c r="J176" s="24" t="str">
        <f aca="false">IF(IFERROR(INDEX(tsk_Name,(ROW()-ROW(MSPTasks[[#Headers],[ID]])))="",TRUE()),"",IF(INDEX(tsk_IsSummary,(ROW()-ROW(MSPTasks[[#Headers],[ID]]))),"",INDEX(tsk_UIDPredecessors,(ROW()-ROW(MSPTasks[[#Headers],[ID]])))))</f>
        <v/>
      </c>
      <c r="K17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6" s="24" t="str">
        <f aca="false">IF(IFERROR(INDEX(tsk_Name,(ROW()-ROW(MSPTasks[[#Headers],[ID]])))="",TRUE()),"",IF(INDEX(tsk_IsSummary,(ROW()-ROW(MSPTasks[[#Headers],[ID]]))),"",ROUND(INDEX(tsk_Progress,(ROW()-ROW(MSPTasks[[#Headers],[ID]])))*100,0)))</f>
        <v/>
      </c>
      <c r="M176" s="127" t="str">
        <f aca="false">IF(IFERROR(INDEX(tsk_Name,(ROW()-ROW(MSPTasks[[#Headers],[ID]])))="",TRUE()),"",IF(N(INDEX(tsk_ActStart,(ROW()-ROW(MSPTasks[[#Headers],[ID]]))))=0,"",INDEX(tsk_ActStart,(ROW()-ROW(MSPTasks[[#Headers],[ID]])))))</f>
        <v/>
      </c>
      <c r="N176" s="127" t="str">
        <f aca="false">IF(IFERROR(INDEX(tsk_Name,(ROW()-ROW(MSPTasks[[#Headers],[ID]])))="",TRUE()),"",IF(N(INDEX(tsk_ActFinish,(ROW()-ROW(MSPTasks[[#Headers],[ID]]))))=0,"",INDEX(tsk_ActFinish,(ROW()-ROW(MSPTasks[[#Headers],[ID]])))))</f>
        <v/>
      </c>
      <c r="O176" s="127" t="str">
        <f aca="false">IF(IFERROR(INDEX(tsk_Name,(ROW()-ROW(MSPTasks[[#Headers],[ID]])))="",TRUE()),"",INDEX(tsk_PlanStart,(ROW()-ROW(MSPTasks[[#Headers],[ID]]))))</f>
        <v/>
      </c>
      <c r="P176" s="127" t="str">
        <f aca="false">IF(IFERROR(INDEX(tsk_Name,(ROW()-ROW(MSPTasks[[#Headers],[ID]])))="",TRUE()),"",INDEX(tsk_PlanFinish,(ROW()-ROW(MSPTasks[[#Headers],[ID]]))))</f>
        <v/>
      </c>
      <c r="Q176" s="24" t="str">
        <f aca="false">IF(IFERROR(INDEX(tsk_Name,(ROW()-ROW(MSPTasks[[#Headers],[ID]])))="",TRUE()),"",IF(INDEX(tsk_BaseDuration,(ROW()-ROW(MSPTasks[[#Headers],[ID]])))="","",N(INDEX(tsk_BaseDuration,(ROW()-ROW(MSPTasks[[#Headers],[ID]]))))&amp;"d"))</f>
        <v/>
      </c>
      <c r="R176" s="24" t="str">
        <f aca="false">IF(IFERROR(INDEX(tsk_Name,(ROW()-ROW(MSPTasks[[#Headers],[ID]])))="",TRUE()),"",IF(INDEX(tsk_BaseWork,(ROW()-ROW(MSPTasks[[#Headers],[ID]])))="","",N(INDEX(tsk_BaseWork,(ROW()-ROW(MSPTasks[[#Headers],[ID]]))))&amp;"h"))</f>
        <v/>
      </c>
      <c r="S176" s="24" t="str">
        <f aca="false">IF(IFERROR(INDEX(tsk_Name,(ROW()-ROW(MSPTasks[[#Headers],[ID]])))="",TRUE()),"",IF(INDEX(tsk_BaseCost,(ROW()-ROW(MSPTasks[[#Headers],[ID]])))="","",N(INDEX(tsk_BaseCost,(ROW()-ROW(MSPTasks[[#Headers],[ID]]))))))</f>
        <v/>
      </c>
      <c r="T176" s="24" t="str">
        <f aca="false">IF(IFERROR(INDEX(tsk_Name,(ROW()-ROW(MSPTasks[[#Headers],[ID]])))="",TRUE()),"",IF(INDEX(tsk_IsSummary,(ROW()-ROW(MSPTasks[[#Headers],[ID]]))),"",IF(N(INDEX(tsk_ActCostInput,(ROW()-ROW(MSPTasks[[#Headers],[ID]]))))=0,"",INDEX(tsk_ActCostInput,(ROW()-ROW(MSPTasks[[#Headers],[ID]]))))))</f>
        <v/>
      </c>
      <c r="U176" s="24" t="str">
        <f aca="false">IF(IFERROR(INDEX(tsk_Name,(ROW()-ROW(MSPTasks[[#Headers],[ID]])))="",TRUE()),"",IF(INDEX(tsk_IsSummary,(ROW()-ROW(MSPTasks[[#Headers],[ID]]))),"",IF(AND(INDEX(tsk_Mode,(ROW()-ROW(MSPTasks[[#Headers],[ID]])))&lt;&gt;"Manual",N(INDEX(tsk_Constraint,(ROW()-ROW(MSPTasks[[#Headers],[ID]]))))&gt;0),"Start No Earlier Than","As Soon As Possible")))</f>
        <v/>
      </c>
      <c r="V176" s="127" t="str">
        <f aca="false">IF(IFERROR(INDEX(tsk_Name,(ROW()-ROW(MSPTasks[[#Headers],[ID]])))="",TRUE()),"",IF(OR(INDEX(tsk_IsSummary,(ROW()-ROW(MSPTasks[[#Headers],[ID]]))),INDEX(tsk_Mode,(ROW()-ROW(MSPTasks[[#Headers],[ID]])))="Manual"),"",IF(N(INDEX(tsk_Constraint,(ROW()-ROW(MSPTasks[[#Headers],[ID]]))))=0,"",INDEX(tsk_Constraint,(ROW()-ROW(MSPTasks[[#Headers],[ID]]))))))</f>
        <v/>
      </c>
      <c r="W176" s="127" t="str">
        <f aca="false">IF(IFERROR(INDEX(tsk_Name,(ROW()-ROW(MSPTasks[[#Headers],[ID]])))="",TRUE()),"",IF(N(INDEX(tsk_Deadline,(ROW()-ROW(MSPTasks[[#Headers],[ID]]))))=0,"",INDEX(tsk_Deadline,(ROW()-ROW(MSPTasks[[#Headers],[ID]])))))</f>
        <v/>
      </c>
      <c r="X176" s="24" t="str">
        <f aca="false">IF(IFERROR(INDEX(tsk_Name,(ROW()-ROW(MSPTasks[[#Headers],[ID]])))="",TRUE()),"",IF(INDEX(tsk_IsSummary,(ROW()-ROW(MSPTasks[[#Headers],[ID]]))),"",INDEX(tsk_Sprint,(ROW()-ROW(MSPTasks[[#Headers],[ID]])))&amp;""))</f>
        <v/>
      </c>
      <c r="Y176" s="24" t="str">
        <f aca="false">IF(IFERROR(INDEX(tsk_Name,(ROW()-ROW(MSPTasks[[#Headers],[ID]])))="",TRUE()),"",IF(INDEX(tsk_IsSummary,(ROW()-ROW(MSPTasks[[#Headers],[ID]]))),"",IF(N(INDEX(tsk_StoryPoints,(ROW()-ROW(MSPTasks[[#Headers],[ID]]))))=0,"",INDEX(tsk_StoryPoints,(ROW()-ROW(MSPTasks[[#Headers],[ID]]))))))</f>
        <v/>
      </c>
      <c r="Z176" s="24" t="str">
        <f aca="false">IF(IFERROR(INDEX(tsk_Name,(ROW()-ROW(MSPTasks[[#Headers],[ID]])))="",TRUE()),"",INDEX(tsk_Notes,(ROW()-ROW(MSPTasks[[#Headers],[ID]])))&amp;"")</f>
        <v/>
      </c>
    </row>
    <row r="177" customFormat="false" ht="15" hidden="false" customHeight="false" outlineLevel="0" collapsed="false">
      <c r="A177" s="24" t="str">
        <f aca="false">IF(IFERROR(INDEX(tsk_Name,(ROW()-ROW(MSPTasks[[#Headers],[ID]])))="",TRUE()),"",INDEX(tsk_ID,(ROW()-ROW(MSPTasks[[#Headers],[ID]]))))</f>
        <v/>
      </c>
      <c r="B177" s="24" t="str">
        <f aca="false">IF(IFERROR(INDEX(tsk_Name,(ROW()-ROW(MSPTasks[[#Headers],[ID]])))="",TRUE()),"",INDEX(tsk_UID,(ROW()-ROW(MSPTasks[[#Headers],[ID]]))))</f>
        <v/>
      </c>
      <c r="C177" s="24" t="str">
        <f aca="false">IF(IFERROR(INDEX(tsk_Name,(ROW()-ROW(MSPTasks[[#Headers],[ID]])))="",TRUE()),"",INDEX(tsk_Name,(ROW()-ROW(MSPTasks[[#Headers],[ID]]))))</f>
        <v/>
      </c>
      <c r="D177" s="24" t="str">
        <f aca="false">IF(IFERROR(INDEX(tsk_Name,(ROW()-ROW(MSPTasks[[#Headers],[ID]])))="",TRUE()),"",INDEX(tsk_Level,(ROW()-ROW(MSPTasks[[#Headers],[ID]]))))</f>
        <v/>
      </c>
      <c r="E177" s="24" t="str">
        <f aca="false">IF(IFERROR(INDEX(tsk_Name,(ROW()-ROW(MSPTasks[[#Headers],[ID]])))="",TRUE()),"",IF(INDEX(tsk_Mode,(ROW()-ROW(MSPTasks[[#Headers],[ID]])))="Manual","Manually Scheduled","Auto Scheduled"))</f>
        <v/>
      </c>
      <c r="F177" s="24" t="str">
        <f aca="false">IF(IFERROR(INDEX(tsk_Name,(ROW()-ROW(MSPTasks[[#Headers],[ID]])))="",TRUE()),"",IF(INDEX(tsk_IsSummary,(ROW()-ROW(MSPTasks[[#Headers],[ID]]))),"",N(INDEX(tsk_Duration,(ROW()-ROW(MSPTasks[[#Headers],[ID]]))))&amp;"d"))</f>
        <v/>
      </c>
      <c r="G177" s="127" t="str">
        <f aca="false">IF(IFERROR(INDEX(tsk_Name,(ROW()-ROW(MSPTasks[[#Headers],[ID]])))="",TRUE()),"",INDEX(tsk_FcStart,(ROW()-ROW(MSPTasks[[#Headers],[ID]]))))</f>
        <v/>
      </c>
      <c r="H177" s="127" t="str">
        <f aca="false">IF(IFERROR(INDEX(tsk_Name,(ROW()-ROW(MSPTasks[[#Headers],[ID]])))="",TRUE()),"",INDEX(tsk_FcFinish,(ROW()-ROW(MSPTasks[[#Headers],[ID]]))))</f>
        <v/>
      </c>
      <c r="I177" s="24" t="str">
        <f aca="false">IF(IFERROR(INDEX(tsk_Name,(ROW()-ROW(MSPTasks[[#Headers],[ID]])))="",TRUE()),"",IF(INDEX(tsk_IsSummary,(ROW()-ROW(MSPTasks[[#Headers],[ID]]))),"",INDEX(tsk_Predecessors,(ROW()-ROW(MSPTasks[[#Headers],[ID]])))))</f>
        <v/>
      </c>
      <c r="J177" s="24" t="str">
        <f aca="false">IF(IFERROR(INDEX(tsk_Name,(ROW()-ROW(MSPTasks[[#Headers],[ID]])))="",TRUE()),"",IF(INDEX(tsk_IsSummary,(ROW()-ROW(MSPTasks[[#Headers],[ID]]))),"",INDEX(tsk_UIDPredecessors,(ROW()-ROW(MSPTasks[[#Headers],[ID]])))))</f>
        <v/>
      </c>
      <c r="K17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7" s="24" t="str">
        <f aca="false">IF(IFERROR(INDEX(tsk_Name,(ROW()-ROW(MSPTasks[[#Headers],[ID]])))="",TRUE()),"",IF(INDEX(tsk_IsSummary,(ROW()-ROW(MSPTasks[[#Headers],[ID]]))),"",ROUND(INDEX(tsk_Progress,(ROW()-ROW(MSPTasks[[#Headers],[ID]])))*100,0)))</f>
        <v/>
      </c>
      <c r="M177" s="127" t="str">
        <f aca="false">IF(IFERROR(INDEX(tsk_Name,(ROW()-ROW(MSPTasks[[#Headers],[ID]])))="",TRUE()),"",IF(N(INDEX(tsk_ActStart,(ROW()-ROW(MSPTasks[[#Headers],[ID]]))))=0,"",INDEX(tsk_ActStart,(ROW()-ROW(MSPTasks[[#Headers],[ID]])))))</f>
        <v/>
      </c>
      <c r="N177" s="127" t="str">
        <f aca="false">IF(IFERROR(INDEX(tsk_Name,(ROW()-ROW(MSPTasks[[#Headers],[ID]])))="",TRUE()),"",IF(N(INDEX(tsk_ActFinish,(ROW()-ROW(MSPTasks[[#Headers],[ID]]))))=0,"",INDEX(tsk_ActFinish,(ROW()-ROW(MSPTasks[[#Headers],[ID]])))))</f>
        <v/>
      </c>
      <c r="O177" s="127" t="str">
        <f aca="false">IF(IFERROR(INDEX(tsk_Name,(ROW()-ROW(MSPTasks[[#Headers],[ID]])))="",TRUE()),"",INDEX(tsk_PlanStart,(ROW()-ROW(MSPTasks[[#Headers],[ID]]))))</f>
        <v/>
      </c>
      <c r="P177" s="127" t="str">
        <f aca="false">IF(IFERROR(INDEX(tsk_Name,(ROW()-ROW(MSPTasks[[#Headers],[ID]])))="",TRUE()),"",INDEX(tsk_PlanFinish,(ROW()-ROW(MSPTasks[[#Headers],[ID]]))))</f>
        <v/>
      </c>
      <c r="Q177" s="24" t="str">
        <f aca="false">IF(IFERROR(INDEX(tsk_Name,(ROW()-ROW(MSPTasks[[#Headers],[ID]])))="",TRUE()),"",IF(INDEX(tsk_BaseDuration,(ROW()-ROW(MSPTasks[[#Headers],[ID]])))="","",N(INDEX(tsk_BaseDuration,(ROW()-ROW(MSPTasks[[#Headers],[ID]]))))&amp;"d"))</f>
        <v/>
      </c>
      <c r="R177" s="24" t="str">
        <f aca="false">IF(IFERROR(INDEX(tsk_Name,(ROW()-ROW(MSPTasks[[#Headers],[ID]])))="",TRUE()),"",IF(INDEX(tsk_BaseWork,(ROW()-ROW(MSPTasks[[#Headers],[ID]])))="","",N(INDEX(tsk_BaseWork,(ROW()-ROW(MSPTasks[[#Headers],[ID]]))))&amp;"h"))</f>
        <v/>
      </c>
      <c r="S177" s="24" t="str">
        <f aca="false">IF(IFERROR(INDEX(tsk_Name,(ROW()-ROW(MSPTasks[[#Headers],[ID]])))="",TRUE()),"",IF(INDEX(tsk_BaseCost,(ROW()-ROW(MSPTasks[[#Headers],[ID]])))="","",N(INDEX(tsk_BaseCost,(ROW()-ROW(MSPTasks[[#Headers],[ID]]))))))</f>
        <v/>
      </c>
      <c r="T177" s="24" t="str">
        <f aca="false">IF(IFERROR(INDEX(tsk_Name,(ROW()-ROW(MSPTasks[[#Headers],[ID]])))="",TRUE()),"",IF(INDEX(tsk_IsSummary,(ROW()-ROW(MSPTasks[[#Headers],[ID]]))),"",IF(N(INDEX(tsk_ActCostInput,(ROW()-ROW(MSPTasks[[#Headers],[ID]]))))=0,"",INDEX(tsk_ActCostInput,(ROW()-ROW(MSPTasks[[#Headers],[ID]]))))))</f>
        <v/>
      </c>
      <c r="U177" s="24" t="str">
        <f aca="false">IF(IFERROR(INDEX(tsk_Name,(ROW()-ROW(MSPTasks[[#Headers],[ID]])))="",TRUE()),"",IF(INDEX(tsk_IsSummary,(ROW()-ROW(MSPTasks[[#Headers],[ID]]))),"",IF(AND(INDEX(tsk_Mode,(ROW()-ROW(MSPTasks[[#Headers],[ID]])))&lt;&gt;"Manual",N(INDEX(tsk_Constraint,(ROW()-ROW(MSPTasks[[#Headers],[ID]]))))&gt;0),"Start No Earlier Than","As Soon As Possible")))</f>
        <v/>
      </c>
      <c r="V177" s="127" t="str">
        <f aca="false">IF(IFERROR(INDEX(tsk_Name,(ROW()-ROW(MSPTasks[[#Headers],[ID]])))="",TRUE()),"",IF(OR(INDEX(tsk_IsSummary,(ROW()-ROW(MSPTasks[[#Headers],[ID]]))),INDEX(tsk_Mode,(ROW()-ROW(MSPTasks[[#Headers],[ID]])))="Manual"),"",IF(N(INDEX(tsk_Constraint,(ROW()-ROW(MSPTasks[[#Headers],[ID]]))))=0,"",INDEX(tsk_Constraint,(ROW()-ROW(MSPTasks[[#Headers],[ID]]))))))</f>
        <v/>
      </c>
      <c r="W177" s="127" t="str">
        <f aca="false">IF(IFERROR(INDEX(tsk_Name,(ROW()-ROW(MSPTasks[[#Headers],[ID]])))="",TRUE()),"",IF(N(INDEX(tsk_Deadline,(ROW()-ROW(MSPTasks[[#Headers],[ID]]))))=0,"",INDEX(tsk_Deadline,(ROW()-ROW(MSPTasks[[#Headers],[ID]])))))</f>
        <v/>
      </c>
      <c r="X177" s="24" t="str">
        <f aca="false">IF(IFERROR(INDEX(tsk_Name,(ROW()-ROW(MSPTasks[[#Headers],[ID]])))="",TRUE()),"",IF(INDEX(tsk_IsSummary,(ROW()-ROW(MSPTasks[[#Headers],[ID]]))),"",INDEX(tsk_Sprint,(ROW()-ROW(MSPTasks[[#Headers],[ID]])))&amp;""))</f>
        <v/>
      </c>
      <c r="Y177" s="24" t="str">
        <f aca="false">IF(IFERROR(INDEX(tsk_Name,(ROW()-ROW(MSPTasks[[#Headers],[ID]])))="",TRUE()),"",IF(INDEX(tsk_IsSummary,(ROW()-ROW(MSPTasks[[#Headers],[ID]]))),"",IF(N(INDEX(tsk_StoryPoints,(ROW()-ROW(MSPTasks[[#Headers],[ID]]))))=0,"",INDEX(tsk_StoryPoints,(ROW()-ROW(MSPTasks[[#Headers],[ID]]))))))</f>
        <v/>
      </c>
      <c r="Z177" s="24" t="str">
        <f aca="false">IF(IFERROR(INDEX(tsk_Name,(ROW()-ROW(MSPTasks[[#Headers],[ID]])))="",TRUE()),"",INDEX(tsk_Notes,(ROW()-ROW(MSPTasks[[#Headers],[ID]])))&amp;"")</f>
        <v/>
      </c>
    </row>
    <row r="178" customFormat="false" ht="15" hidden="false" customHeight="false" outlineLevel="0" collapsed="false">
      <c r="A178" s="24" t="str">
        <f aca="false">IF(IFERROR(INDEX(tsk_Name,(ROW()-ROW(MSPTasks[[#Headers],[ID]])))="",TRUE()),"",INDEX(tsk_ID,(ROW()-ROW(MSPTasks[[#Headers],[ID]]))))</f>
        <v/>
      </c>
      <c r="B178" s="24" t="str">
        <f aca="false">IF(IFERROR(INDEX(tsk_Name,(ROW()-ROW(MSPTasks[[#Headers],[ID]])))="",TRUE()),"",INDEX(tsk_UID,(ROW()-ROW(MSPTasks[[#Headers],[ID]]))))</f>
        <v/>
      </c>
      <c r="C178" s="24" t="str">
        <f aca="false">IF(IFERROR(INDEX(tsk_Name,(ROW()-ROW(MSPTasks[[#Headers],[ID]])))="",TRUE()),"",INDEX(tsk_Name,(ROW()-ROW(MSPTasks[[#Headers],[ID]]))))</f>
        <v/>
      </c>
      <c r="D178" s="24" t="str">
        <f aca="false">IF(IFERROR(INDEX(tsk_Name,(ROW()-ROW(MSPTasks[[#Headers],[ID]])))="",TRUE()),"",INDEX(tsk_Level,(ROW()-ROW(MSPTasks[[#Headers],[ID]]))))</f>
        <v/>
      </c>
      <c r="E178" s="24" t="str">
        <f aca="false">IF(IFERROR(INDEX(tsk_Name,(ROW()-ROW(MSPTasks[[#Headers],[ID]])))="",TRUE()),"",IF(INDEX(tsk_Mode,(ROW()-ROW(MSPTasks[[#Headers],[ID]])))="Manual","Manually Scheduled","Auto Scheduled"))</f>
        <v/>
      </c>
      <c r="F178" s="24" t="str">
        <f aca="false">IF(IFERROR(INDEX(tsk_Name,(ROW()-ROW(MSPTasks[[#Headers],[ID]])))="",TRUE()),"",IF(INDEX(tsk_IsSummary,(ROW()-ROW(MSPTasks[[#Headers],[ID]]))),"",N(INDEX(tsk_Duration,(ROW()-ROW(MSPTasks[[#Headers],[ID]]))))&amp;"d"))</f>
        <v/>
      </c>
      <c r="G178" s="127" t="str">
        <f aca="false">IF(IFERROR(INDEX(tsk_Name,(ROW()-ROW(MSPTasks[[#Headers],[ID]])))="",TRUE()),"",INDEX(tsk_FcStart,(ROW()-ROW(MSPTasks[[#Headers],[ID]]))))</f>
        <v/>
      </c>
      <c r="H178" s="127" t="str">
        <f aca="false">IF(IFERROR(INDEX(tsk_Name,(ROW()-ROW(MSPTasks[[#Headers],[ID]])))="",TRUE()),"",INDEX(tsk_FcFinish,(ROW()-ROW(MSPTasks[[#Headers],[ID]]))))</f>
        <v/>
      </c>
      <c r="I178" s="24" t="str">
        <f aca="false">IF(IFERROR(INDEX(tsk_Name,(ROW()-ROW(MSPTasks[[#Headers],[ID]])))="",TRUE()),"",IF(INDEX(tsk_IsSummary,(ROW()-ROW(MSPTasks[[#Headers],[ID]]))),"",INDEX(tsk_Predecessors,(ROW()-ROW(MSPTasks[[#Headers],[ID]])))))</f>
        <v/>
      </c>
      <c r="J178" s="24" t="str">
        <f aca="false">IF(IFERROR(INDEX(tsk_Name,(ROW()-ROW(MSPTasks[[#Headers],[ID]])))="",TRUE()),"",IF(INDEX(tsk_IsSummary,(ROW()-ROW(MSPTasks[[#Headers],[ID]]))),"",INDEX(tsk_UIDPredecessors,(ROW()-ROW(MSPTasks[[#Headers],[ID]])))))</f>
        <v/>
      </c>
      <c r="K17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8" s="24" t="str">
        <f aca="false">IF(IFERROR(INDEX(tsk_Name,(ROW()-ROW(MSPTasks[[#Headers],[ID]])))="",TRUE()),"",IF(INDEX(tsk_IsSummary,(ROW()-ROW(MSPTasks[[#Headers],[ID]]))),"",ROUND(INDEX(tsk_Progress,(ROW()-ROW(MSPTasks[[#Headers],[ID]])))*100,0)))</f>
        <v/>
      </c>
      <c r="M178" s="127" t="str">
        <f aca="false">IF(IFERROR(INDEX(tsk_Name,(ROW()-ROW(MSPTasks[[#Headers],[ID]])))="",TRUE()),"",IF(N(INDEX(tsk_ActStart,(ROW()-ROW(MSPTasks[[#Headers],[ID]]))))=0,"",INDEX(tsk_ActStart,(ROW()-ROW(MSPTasks[[#Headers],[ID]])))))</f>
        <v/>
      </c>
      <c r="N178" s="127" t="str">
        <f aca="false">IF(IFERROR(INDEX(tsk_Name,(ROW()-ROW(MSPTasks[[#Headers],[ID]])))="",TRUE()),"",IF(N(INDEX(tsk_ActFinish,(ROW()-ROW(MSPTasks[[#Headers],[ID]]))))=0,"",INDEX(tsk_ActFinish,(ROW()-ROW(MSPTasks[[#Headers],[ID]])))))</f>
        <v/>
      </c>
      <c r="O178" s="127" t="str">
        <f aca="false">IF(IFERROR(INDEX(tsk_Name,(ROW()-ROW(MSPTasks[[#Headers],[ID]])))="",TRUE()),"",INDEX(tsk_PlanStart,(ROW()-ROW(MSPTasks[[#Headers],[ID]]))))</f>
        <v/>
      </c>
      <c r="P178" s="127" t="str">
        <f aca="false">IF(IFERROR(INDEX(tsk_Name,(ROW()-ROW(MSPTasks[[#Headers],[ID]])))="",TRUE()),"",INDEX(tsk_PlanFinish,(ROW()-ROW(MSPTasks[[#Headers],[ID]]))))</f>
        <v/>
      </c>
      <c r="Q178" s="24" t="str">
        <f aca="false">IF(IFERROR(INDEX(tsk_Name,(ROW()-ROW(MSPTasks[[#Headers],[ID]])))="",TRUE()),"",IF(INDEX(tsk_BaseDuration,(ROW()-ROW(MSPTasks[[#Headers],[ID]])))="","",N(INDEX(tsk_BaseDuration,(ROW()-ROW(MSPTasks[[#Headers],[ID]]))))&amp;"d"))</f>
        <v/>
      </c>
      <c r="R178" s="24" t="str">
        <f aca="false">IF(IFERROR(INDEX(tsk_Name,(ROW()-ROW(MSPTasks[[#Headers],[ID]])))="",TRUE()),"",IF(INDEX(tsk_BaseWork,(ROW()-ROW(MSPTasks[[#Headers],[ID]])))="","",N(INDEX(tsk_BaseWork,(ROW()-ROW(MSPTasks[[#Headers],[ID]]))))&amp;"h"))</f>
        <v/>
      </c>
      <c r="S178" s="24" t="str">
        <f aca="false">IF(IFERROR(INDEX(tsk_Name,(ROW()-ROW(MSPTasks[[#Headers],[ID]])))="",TRUE()),"",IF(INDEX(tsk_BaseCost,(ROW()-ROW(MSPTasks[[#Headers],[ID]])))="","",N(INDEX(tsk_BaseCost,(ROW()-ROW(MSPTasks[[#Headers],[ID]]))))))</f>
        <v/>
      </c>
      <c r="T178" s="24" t="str">
        <f aca="false">IF(IFERROR(INDEX(tsk_Name,(ROW()-ROW(MSPTasks[[#Headers],[ID]])))="",TRUE()),"",IF(INDEX(tsk_IsSummary,(ROW()-ROW(MSPTasks[[#Headers],[ID]]))),"",IF(N(INDEX(tsk_ActCostInput,(ROW()-ROW(MSPTasks[[#Headers],[ID]]))))=0,"",INDEX(tsk_ActCostInput,(ROW()-ROW(MSPTasks[[#Headers],[ID]]))))))</f>
        <v/>
      </c>
      <c r="U178" s="24" t="str">
        <f aca="false">IF(IFERROR(INDEX(tsk_Name,(ROW()-ROW(MSPTasks[[#Headers],[ID]])))="",TRUE()),"",IF(INDEX(tsk_IsSummary,(ROW()-ROW(MSPTasks[[#Headers],[ID]]))),"",IF(AND(INDEX(tsk_Mode,(ROW()-ROW(MSPTasks[[#Headers],[ID]])))&lt;&gt;"Manual",N(INDEX(tsk_Constraint,(ROW()-ROW(MSPTasks[[#Headers],[ID]]))))&gt;0),"Start No Earlier Than","As Soon As Possible")))</f>
        <v/>
      </c>
      <c r="V178" s="127" t="str">
        <f aca="false">IF(IFERROR(INDEX(tsk_Name,(ROW()-ROW(MSPTasks[[#Headers],[ID]])))="",TRUE()),"",IF(OR(INDEX(tsk_IsSummary,(ROW()-ROW(MSPTasks[[#Headers],[ID]]))),INDEX(tsk_Mode,(ROW()-ROW(MSPTasks[[#Headers],[ID]])))="Manual"),"",IF(N(INDEX(tsk_Constraint,(ROW()-ROW(MSPTasks[[#Headers],[ID]]))))=0,"",INDEX(tsk_Constraint,(ROW()-ROW(MSPTasks[[#Headers],[ID]]))))))</f>
        <v/>
      </c>
      <c r="W178" s="127" t="str">
        <f aca="false">IF(IFERROR(INDEX(tsk_Name,(ROW()-ROW(MSPTasks[[#Headers],[ID]])))="",TRUE()),"",IF(N(INDEX(tsk_Deadline,(ROW()-ROW(MSPTasks[[#Headers],[ID]]))))=0,"",INDEX(tsk_Deadline,(ROW()-ROW(MSPTasks[[#Headers],[ID]])))))</f>
        <v/>
      </c>
      <c r="X178" s="24" t="str">
        <f aca="false">IF(IFERROR(INDEX(tsk_Name,(ROW()-ROW(MSPTasks[[#Headers],[ID]])))="",TRUE()),"",IF(INDEX(tsk_IsSummary,(ROW()-ROW(MSPTasks[[#Headers],[ID]]))),"",INDEX(tsk_Sprint,(ROW()-ROW(MSPTasks[[#Headers],[ID]])))&amp;""))</f>
        <v/>
      </c>
      <c r="Y178" s="24" t="str">
        <f aca="false">IF(IFERROR(INDEX(tsk_Name,(ROW()-ROW(MSPTasks[[#Headers],[ID]])))="",TRUE()),"",IF(INDEX(tsk_IsSummary,(ROW()-ROW(MSPTasks[[#Headers],[ID]]))),"",IF(N(INDEX(tsk_StoryPoints,(ROW()-ROW(MSPTasks[[#Headers],[ID]]))))=0,"",INDEX(tsk_StoryPoints,(ROW()-ROW(MSPTasks[[#Headers],[ID]]))))))</f>
        <v/>
      </c>
      <c r="Z178" s="24" t="str">
        <f aca="false">IF(IFERROR(INDEX(tsk_Name,(ROW()-ROW(MSPTasks[[#Headers],[ID]])))="",TRUE()),"",INDEX(tsk_Notes,(ROW()-ROW(MSPTasks[[#Headers],[ID]])))&amp;"")</f>
        <v/>
      </c>
    </row>
    <row r="179" customFormat="false" ht="15" hidden="false" customHeight="false" outlineLevel="0" collapsed="false">
      <c r="A179" s="24" t="str">
        <f aca="false">IF(IFERROR(INDEX(tsk_Name,(ROW()-ROW(MSPTasks[[#Headers],[ID]])))="",TRUE()),"",INDEX(tsk_ID,(ROW()-ROW(MSPTasks[[#Headers],[ID]]))))</f>
        <v/>
      </c>
      <c r="B179" s="24" t="str">
        <f aca="false">IF(IFERROR(INDEX(tsk_Name,(ROW()-ROW(MSPTasks[[#Headers],[ID]])))="",TRUE()),"",INDEX(tsk_UID,(ROW()-ROW(MSPTasks[[#Headers],[ID]]))))</f>
        <v/>
      </c>
      <c r="C179" s="24" t="str">
        <f aca="false">IF(IFERROR(INDEX(tsk_Name,(ROW()-ROW(MSPTasks[[#Headers],[ID]])))="",TRUE()),"",INDEX(tsk_Name,(ROW()-ROW(MSPTasks[[#Headers],[ID]]))))</f>
        <v/>
      </c>
      <c r="D179" s="24" t="str">
        <f aca="false">IF(IFERROR(INDEX(tsk_Name,(ROW()-ROW(MSPTasks[[#Headers],[ID]])))="",TRUE()),"",INDEX(tsk_Level,(ROW()-ROW(MSPTasks[[#Headers],[ID]]))))</f>
        <v/>
      </c>
      <c r="E179" s="24" t="str">
        <f aca="false">IF(IFERROR(INDEX(tsk_Name,(ROW()-ROW(MSPTasks[[#Headers],[ID]])))="",TRUE()),"",IF(INDEX(tsk_Mode,(ROW()-ROW(MSPTasks[[#Headers],[ID]])))="Manual","Manually Scheduled","Auto Scheduled"))</f>
        <v/>
      </c>
      <c r="F179" s="24" t="str">
        <f aca="false">IF(IFERROR(INDEX(tsk_Name,(ROW()-ROW(MSPTasks[[#Headers],[ID]])))="",TRUE()),"",IF(INDEX(tsk_IsSummary,(ROW()-ROW(MSPTasks[[#Headers],[ID]]))),"",N(INDEX(tsk_Duration,(ROW()-ROW(MSPTasks[[#Headers],[ID]]))))&amp;"d"))</f>
        <v/>
      </c>
      <c r="G179" s="127" t="str">
        <f aca="false">IF(IFERROR(INDEX(tsk_Name,(ROW()-ROW(MSPTasks[[#Headers],[ID]])))="",TRUE()),"",INDEX(tsk_FcStart,(ROW()-ROW(MSPTasks[[#Headers],[ID]]))))</f>
        <v/>
      </c>
      <c r="H179" s="127" t="str">
        <f aca="false">IF(IFERROR(INDEX(tsk_Name,(ROW()-ROW(MSPTasks[[#Headers],[ID]])))="",TRUE()),"",INDEX(tsk_FcFinish,(ROW()-ROW(MSPTasks[[#Headers],[ID]]))))</f>
        <v/>
      </c>
      <c r="I179" s="24" t="str">
        <f aca="false">IF(IFERROR(INDEX(tsk_Name,(ROW()-ROW(MSPTasks[[#Headers],[ID]])))="",TRUE()),"",IF(INDEX(tsk_IsSummary,(ROW()-ROW(MSPTasks[[#Headers],[ID]]))),"",INDEX(tsk_Predecessors,(ROW()-ROW(MSPTasks[[#Headers],[ID]])))))</f>
        <v/>
      </c>
      <c r="J179" s="24" t="str">
        <f aca="false">IF(IFERROR(INDEX(tsk_Name,(ROW()-ROW(MSPTasks[[#Headers],[ID]])))="",TRUE()),"",IF(INDEX(tsk_IsSummary,(ROW()-ROW(MSPTasks[[#Headers],[ID]]))),"",INDEX(tsk_UIDPredecessors,(ROW()-ROW(MSPTasks[[#Headers],[ID]])))))</f>
        <v/>
      </c>
      <c r="K17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9" s="24" t="str">
        <f aca="false">IF(IFERROR(INDEX(tsk_Name,(ROW()-ROW(MSPTasks[[#Headers],[ID]])))="",TRUE()),"",IF(INDEX(tsk_IsSummary,(ROW()-ROW(MSPTasks[[#Headers],[ID]]))),"",ROUND(INDEX(tsk_Progress,(ROW()-ROW(MSPTasks[[#Headers],[ID]])))*100,0)))</f>
        <v/>
      </c>
      <c r="M179" s="127" t="str">
        <f aca="false">IF(IFERROR(INDEX(tsk_Name,(ROW()-ROW(MSPTasks[[#Headers],[ID]])))="",TRUE()),"",IF(N(INDEX(tsk_ActStart,(ROW()-ROW(MSPTasks[[#Headers],[ID]]))))=0,"",INDEX(tsk_ActStart,(ROW()-ROW(MSPTasks[[#Headers],[ID]])))))</f>
        <v/>
      </c>
      <c r="N179" s="127" t="str">
        <f aca="false">IF(IFERROR(INDEX(tsk_Name,(ROW()-ROW(MSPTasks[[#Headers],[ID]])))="",TRUE()),"",IF(N(INDEX(tsk_ActFinish,(ROW()-ROW(MSPTasks[[#Headers],[ID]]))))=0,"",INDEX(tsk_ActFinish,(ROW()-ROW(MSPTasks[[#Headers],[ID]])))))</f>
        <v/>
      </c>
      <c r="O179" s="127" t="str">
        <f aca="false">IF(IFERROR(INDEX(tsk_Name,(ROW()-ROW(MSPTasks[[#Headers],[ID]])))="",TRUE()),"",INDEX(tsk_PlanStart,(ROW()-ROW(MSPTasks[[#Headers],[ID]]))))</f>
        <v/>
      </c>
      <c r="P179" s="127" t="str">
        <f aca="false">IF(IFERROR(INDEX(tsk_Name,(ROW()-ROW(MSPTasks[[#Headers],[ID]])))="",TRUE()),"",INDEX(tsk_PlanFinish,(ROW()-ROW(MSPTasks[[#Headers],[ID]]))))</f>
        <v/>
      </c>
      <c r="Q179" s="24" t="str">
        <f aca="false">IF(IFERROR(INDEX(tsk_Name,(ROW()-ROW(MSPTasks[[#Headers],[ID]])))="",TRUE()),"",IF(INDEX(tsk_BaseDuration,(ROW()-ROW(MSPTasks[[#Headers],[ID]])))="","",N(INDEX(tsk_BaseDuration,(ROW()-ROW(MSPTasks[[#Headers],[ID]]))))&amp;"d"))</f>
        <v/>
      </c>
      <c r="R179" s="24" t="str">
        <f aca="false">IF(IFERROR(INDEX(tsk_Name,(ROW()-ROW(MSPTasks[[#Headers],[ID]])))="",TRUE()),"",IF(INDEX(tsk_BaseWork,(ROW()-ROW(MSPTasks[[#Headers],[ID]])))="","",N(INDEX(tsk_BaseWork,(ROW()-ROW(MSPTasks[[#Headers],[ID]]))))&amp;"h"))</f>
        <v/>
      </c>
      <c r="S179" s="24" t="str">
        <f aca="false">IF(IFERROR(INDEX(tsk_Name,(ROW()-ROW(MSPTasks[[#Headers],[ID]])))="",TRUE()),"",IF(INDEX(tsk_BaseCost,(ROW()-ROW(MSPTasks[[#Headers],[ID]])))="","",N(INDEX(tsk_BaseCost,(ROW()-ROW(MSPTasks[[#Headers],[ID]]))))))</f>
        <v/>
      </c>
      <c r="T179" s="24" t="str">
        <f aca="false">IF(IFERROR(INDEX(tsk_Name,(ROW()-ROW(MSPTasks[[#Headers],[ID]])))="",TRUE()),"",IF(INDEX(tsk_IsSummary,(ROW()-ROW(MSPTasks[[#Headers],[ID]]))),"",IF(N(INDEX(tsk_ActCostInput,(ROW()-ROW(MSPTasks[[#Headers],[ID]]))))=0,"",INDEX(tsk_ActCostInput,(ROW()-ROW(MSPTasks[[#Headers],[ID]]))))))</f>
        <v/>
      </c>
      <c r="U179" s="24" t="str">
        <f aca="false">IF(IFERROR(INDEX(tsk_Name,(ROW()-ROW(MSPTasks[[#Headers],[ID]])))="",TRUE()),"",IF(INDEX(tsk_IsSummary,(ROW()-ROW(MSPTasks[[#Headers],[ID]]))),"",IF(AND(INDEX(tsk_Mode,(ROW()-ROW(MSPTasks[[#Headers],[ID]])))&lt;&gt;"Manual",N(INDEX(tsk_Constraint,(ROW()-ROW(MSPTasks[[#Headers],[ID]]))))&gt;0),"Start No Earlier Than","As Soon As Possible")))</f>
        <v/>
      </c>
      <c r="V179" s="127" t="str">
        <f aca="false">IF(IFERROR(INDEX(tsk_Name,(ROW()-ROW(MSPTasks[[#Headers],[ID]])))="",TRUE()),"",IF(OR(INDEX(tsk_IsSummary,(ROW()-ROW(MSPTasks[[#Headers],[ID]]))),INDEX(tsk_Mode,(ROW()-ROW(MSPTasks[[#Headers],[ID]])))="Manual"),"",IF(N(INDEX(tsk_Constraint,(ROW()-ROW(MSPTasks[[#Headers],[ID]]))))=0,"",INDEX(tsk_Constraint,(ROW()-ROW(MSPTasks[[#Headers],[ID]]))))))</f>
        <v/>
      </c>
      <c r="W179" s="127" t="str">
        <f aca="false">IF(IFERROR(INDEX(tsk_Name,(ROW()-ROW(MSPTasks[[#Headers],[ID]])))="",TRUE()),"",IF(N(INDEX(tsk_Deadline,(ROW()-ROW(MSPTasks[[#Headers],[ID]]))))=0,"",INDEX(tsk_Deadline,(ROW()-ROW(MSPTasks[[#Headers],[ID]])))))</f>
        <v/>
      </c>
      <c r="X179" s="24" t="str">
        <f aca="false">IF(IFERROR(INDEX(tsk_Name,(ROW()-ROW(MSPTasks[[#Headers],[ID]])))="",TRUE()),"",IF(INDEX(tsk_IsSummary,(ROW()-ROW(MSPTasks[[#Headers],[ID]]))),"",INDEX(tsk_Sprint,(ROW()-ROW(MSPTasks[[#Headers],[ID]])))&amp;""))</f>
        <v/>
      </c>
      <c r="Y179" s="24" t="str">
        <f aca="false">IF(IFERROR(INDEX(tsk_Name,(ROW()-ROW(MSPTasks[[#Headers],[ID]])))="",TRUE()),"",IF(INDEX(tsk_IsSummary,(ROW()-ROW(MSPTasks[[#Headers],[ID]]))),"",IF(N(INDEX(tsk_StoryPoints,(ROW()-ROW(MSPTasks[[#Headers],[ID]]))))=0,"",INDEX(tsk_StoryPoints,(ROW()-ROW(MSPTasks[[#Headers],[ID]]))))))</f>
        <v/>
      </c>
      <c r="Z179" s="24" t="str">
        <f aca="false">IF(IFERROR(INDEX(tsk_Name,(ROW()-ROW(MSPTasks[[#Headers],[ID]])))="",TRUE()),"",INDEX(tsk_Notes,(ROW()-ROW(MSPTasks[[#Headers],[ID]])))&amp;"")</f>
        <v/>
      </c>
    </row>
    <row r="180" customFormat="false" ht="15" hidden="false" customHeight="false" outlineLevel="0" collapsed="false">
      <c r="A180" s="24" t="str">
        <f aca="false">IF(IFERROR(INDEX(tsk_Name,(ROW()-ROW(MSPTasks[[#Headers],[ID]])))="",TRUE()),"",INDEX(tsk_ID,(ROW()-ROW(MSPTasks[[#Headers],[ID]]))))</f>
        <v/>
      </c>
      <c r="B180" s="24" t="str">
        <f aca="false">IF(IFERROR(INDEX(tsk_Name,(ROW()-ROW(MSPTasks[[#Headers],[ID]])))="",TRUE()),"",INDEX(tsk_UID,(ROW()-ROW(MSPTasks[[#Headers],[ID]]))))</f>
        <v/>
      </c>
      <c r="C180" s="24" t="str">
        <f aca="false">IF(IFERROR(INDEX(tsk_Name,(ROW()-ROW(MSPTasks[[#Headers],[ID]])))="",TRUE()),"",INDEX(tsk_Name,(ROW()-ROW(MSPTasks[[#Headers],[ID]]))))</f>
        <v/>
      </c>
      <c r="D180" s="24" t="str">
        <f aca="false">IF(IFERROR(INDEX(tsk_Name,(ROW()-ROW(MSPTasks[[#Headers],[ID]])))="",TRUE()),"",INDEX(tsk_Level,(ROW()-ROW(MSPTasks[[#Headers],[ID]]))))</f>
        <v/>
      </c>
      <c r="E180" s="24" t="str">
        <f aca="false">IF(IFERROR(INDEX(tsk_Name,(ROW()-ROW(MSPTasks[[#Headers],[ID]])))="",TRUE()),"",IF(INDEX(tsk_Mode,(ROW()-ROW(MSPTasks[[#Headers],[ID]])))="Manual","Manually Scheduled","Auto Scheduled"))</f>
        <v/>
      </c>
      <c r="F180" s="24" t="str">
        <f aca="false">IF(IFERROR(INDEX(tsk_Name,(ROW()-ROW(MSPTasks[[#Headers],[ID]])))="",TRUE()),"",IF(INDEX(tsk_IsSummary,(ROW()-ROW(MSPTasks[[#Headers],[ID]]))),"",N(INDEX(tsk_Duration,(ROW()-ROW(MSPTasks[[#Headers],[ID]]))))&amp;"d"))</f>
        <v/>
      </c>
      <c r="G180" s="127" t="str">
        <f aca="false">IF(IFERROR(INDEX(tsk_Name,(ROW()-ROW(MSPTasks[[#Headers],[ID]])))="",TRUE()),"",INDEX(tsk_FcStart,(ROW()-ROW(MSPTasks[[#Headers],[ID]]))))</f>
        <v/>
      </c>
      <c r="H180" s="127" t="str">
        <f aca="false">IF(IFERROR(INDEX(tsk_Name,(ROW()-ROW(MSPTasks[[#Headers],[ID]])))="",TRUE()),"",INDEX(tsk_FcFinish,(ROW()-ROW(MSPTasks[[#Headers],[ID]]))))</f>
        <v/>
      </c>
      <c r="I180" s="24" t="str">
        <f aca="false">IF(IFERROR(INDEX(tsk_Name,(ROW()-ROW(MSPTasks[[#Headers],[ID]])))="",TRUE()),"",IF(INDEX(tsk_IsSummary,(ROW()-ROW(MSPTasks[[#Headers],[ID]]))),"",INDEX(tsk_Predecessors,(ROW()-ROW(MSPTasks[[#Headers],[ID]])))))</f>
        <v/>
      </c>
      <c r="J180" s="24" t="str">
        <f aca="false">IF(IFERROR(INDEX(tsk_Name,(ROW()-ROW(MSPTasks[[#Headers],[ID]])))="",TRUE()),"",IF(INDEX(tsk_IsSummary,(ROW()-ROW(MSPTasks[[#Headers],[ID]]))),"",INDEX(tsk_UIDPredecessors,(ROW()-ROW(MSPTasks[[#Headers],[ID]])))))</f>
        <v/>
      </c>
      <c r="K18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0" s="24" t="str">
        <f aca="false">IF(IFERROR(INDEX(tsk_Name,(ROW()-ROW(MSPTasks[[#Headers],[ID]])))="",TRUE()),"",IF(INDEX(tsk_IsSummary,(ROW()-ROW(MSPTasks[[#Headers],[ID]]))),"",ROUND(INDEX(tsk_Progress,(ROW()-ROW(MSPTasks[[#Headers],[ID]])))*100,0)))</f>
        <v/>
      </c>
      <c r="M180" s="127" t="str">
        <f aca="false">IF(IFERROR(INDEX(tsk_Name,(ROW()-ROW(MSPTasks[[#Headers],[ID]])))="",TRUE()),"",IF(N(INDEX(tsk_ActStart,(ROW()-ROW(MSPTasks[[#Headers],[ID]]))))=0,"",INDEX(tsk_ActStart,(ROW()-ROW(MSPTasks[[#Headers],[ID]])))))</f>
        <v/>
      </c>
      <c r="N180" s="127" t="str">
        <f aca="false">IF(IFERROR(INDEX(tsk_Name,(ROW()-ROW(MSPTasks[[#Headers],[ID]])))="",TRUE()),"",IF(N(INDEX(tsk_ActFinish,(ROW()-ROW(MSPTasks[[#Headers],[ID]]))))=0,"",INDEX(tsk_ActFinish,(ROW()-ROW(MSPTasks[[#Headers],[ID]])))))</f>
        <v/>
      </c>
      <c r="O180" s="127" t="str">
        <f aca="false">IF(IFERROR(INDEX(tsk_Name,(ROW()-ROW(MSPTasks[[#Headers],[ID]])))="",TRUE()),"",INDEX(tsk_PlanStart,(ROW()-ROW(MSPTasks[[#Headers],[ID]]))))</f>
        <v/>
      </c>
      <c r="P180" s="127" t="str">
        <f aca="false">IF(IFERROR(INDEX(tsk_Name,(ROW()-ROW(MSPTasks[[#Headers],[ID]])))="",TRUE()),"",INDEX(tsk_PlanFinish,(ROW()-ROW(MSPTasks[[#Headers],[ID]]))))</f>
        <v/>
      </c>
      <c r="Q180" s="24" t="str">
        <f aca="false">IF(IFERROR(INDEX(tsk_Name,(ROW()-ROW(MSPTasks[[#Headers],[ID]])))="",TRUE()),"",IF(INDEX(tsk_BaseDuration,(ROW()-ROW(MSPTasks[[#Headers],[ID]])))="","",N(INDEX(tsk_BaseDuration,(ROW()-ROW(MSPTasks[[#Headers],[ID]]))))&amp;"d"))</f>
        <v/>
      </c>
      <c r="R180" s="24" t="str">
        <f aca="false">IF(IFERROR(INDEX(tsk_Name,(ROW()-ROW(MSPTasks[[#Headers],[ID]])))="",TRUE()),"",IF(INDEX(tsk_BaseWork,(ROW()-ROW(MSPTasks[[#Headers],[ID]])))="","",N(INDEX(tsk_BaseWork,(ROW()-ROW(MSPTasks[[#Headers],[ID]]))))&amp;"h"))</f>
        <v/>
      </c>
      <c r="S180" s="24" t="str">
        <f aca="false">IF(IFERROR(INDEX(tsk_Name,(ROW()-ROW(MSPTasks[[#Headers],[ID]])))="",TRUE()),"",IF(INDEX(tsk_BaseCost,(ROW()-ROW(MSPTasks[[#Headers],[ID]])))="","",N(INDEX(tsk_BaseCost,(ROW()-ROW(MSPTasks[[#Headers],[ID]]))))))</f>
        <v/>
      </c>
      <c r="T180" s="24" t="str">
        <f aca="false">IF(IFERROR(INDEX(tsk_Name,(ROW()-ROW(MSPTasks[[#Headers],[ID]])))="",TRUE()),"",IF(INDEX(tsk_IsSummary,(ROW()-ROW(MSPTasks[[#Headers],[ID]]))),"",IF(N(INDEX(tsk_ActCostInput,(ROW()-ROW(MSPTasks[[#Headers],[ID]]))))=0,"",INDEX(tsk_ActCostInput,(ROW()-ROW(MSPTasks[[#Headers],[ID]]))))))</f>
        <v/>
      </c>
      <c r="U180" s="24" t="str">
        <f aca="false">IF(IFERROR(INDEX(tsk_Name,(ROW()-ROW(MSPTasks[[#Headers],[ID]])))="",TRUE()),"",IF(INDEX(tsk_IsSummary,(ROW()-ROW(MSPTasks[[#Headers],[ID]]))),"",IF(AND(INDEX(tsk_Mode,(ROW()-ROW(MSPTasks[[#Headers],[ID]])))&lt;&gt;"Manual",N(INDEX(tsk_Constraint,(ROW()-ROW(MSPTasks[[#Headers],[ID]]))))&gt;0),"Start No Earlier Than","As Soon As Possible")))</f>
        <v/>
      </c>
      <c r="V180" s="127" t="str">
        <f aca="false">IF(IFERROR(INDEX(tsk_Name,(ROW()-ROW(MSPTasks[[#Headers],[ID]])))="",TRUE()),"",IF(OR(INDEX(tsk_IsSummary,(ROW()-ROW(MSPTasks[[#Headers],[ID]]))),INDEX(tsk_Mode,(ROW()-ROW(MSPTasks[[#Headers],[ID]])))="Manual"),"",IF(N(INDEX(tsk_Constraint,(ROW()-ROW(MSPTasks[[#Headers],[ID]]))))=0,"",INDEX(tsk_Constraint,(ROW()-ROW(MSPTasks[[#Headers],[ID]]))))))</f>
        <v/>
      </c>
      <c r="W180" s="127" t="str">
        <f aca="false">IF(IFERROR(INDEX(tsk_Name,(ROW()-ROW(MSPTasks[[#Headers],[ID]])))="",TRUE()),"",IF(N(INDEX(tsk_Deadline,(ROW()-ROW(MSPTasks[[#Headers],[ID]]))))=0,"",INDEX(tsk_Deadline,(ROW()-ROW(MSPTasks[[#Headers],[ID]])))))</f>
        <v/>
      </c>
      <c r="X180" s="24" t="str">
        <f aca="false">IF(IFERROR(INDEX(tsk_Name,(ROW()-ROW(MSPTasks[[#Headers],[ID]])))="",TRUE()),"",IF(INDEX(tsk_IsSummary,(ROW()-ROW(MSPTasks[[#Headers],[ID]]))),"",INDEX(tsk_Sprint,(ROW()-ROW(MSPTasks[[#Headers],[ID]])))&amp;""))</f>
        <v/>
      </c>
      <c r="Y180" s="24" t="str">
        <f aca="false">IF(IFERROR(INDEX(tsk_Name,(ROW()-ROW(MSPTasks[[#Headers],[ID]])))="",TRUE()),"",IF(INDEX(tsk_IsSummary,(ROW()-ROW(MSPTasks[[#Headers],[ID]]))),"",IF(N(INDEX(tsk_StoryPoints,(ROW()-ROW(MSPTasks[[#Headers],[ID]]))))=0,"",INDEX(tsk_StoryPoints,(ROW()-ROW(MSPTasks[[#Headers],[ID]]))))))</f>
        <v/>
      </c>
      <c r="Z180" s="24" t="str">
        <f aca="false">IF(IFERROR(INDEX(tsk_Name,(ROW()-ROW(MSPTasks[[#Headers],[ID]])))="",TRUE()),"",INDEX(tsk_Notes,(ROW()-ROW(MSPTasks[[#Headers],[ID]])))&amp;"")</f>
        <v/>
      </c>
    </row>
    <row r="181" customFormat="false" ht="15" hidden="false" customHeight="false" outlineLevel="0" collapsed="false">
      <c r="A181" s="24" t="str">
        <f aca="false">IF(IFERROR(INDEX(tsk_Name,(ROW()-ROW(MSPTasks[[#Headers],[ID]])))="",TRUE()),"",INDEX(tsk_ID,(ROW()-ROW(MSPTasks[[#Headers],[ID]]))))</f>
        <v/>
      </c>
      <c r="B181" s="24" t="str">
        <f aca="false">IF(IFERROR(INDEX(tsk_Name,(ROW()-ROW(MSPTasks[[#Headers],[ID]])))="",TRUE()),"",INDEX(tsk_UID,(ROW()-ROW(MSPTasks[[#Headers],[ID]]))))</f>
        <v/>
      </c>
      <c r="C181" s="24" t="str">
        <f aca="false">IF(IFERROR(INDEX(tsk_Name,(ROW()-ROW(MSPTasks[[#Headers],[ID]])))="",TRUE()),"",INDEX(tsk_Name,(ROW()-ROW(MSPTasks[[#Headers],[ID]]))))</f>
        <v/>
      </c>
      <c r="D181" s="24" t="str">
        <f aca="false">IF(IFERROR(INDEX(tsk_Name,(ROW()-ROW(MSPTasks[[#Headers],[ID]])))="",TRUE()),"",INDEX(tsk_Level,(ROW()-ROW(MSPTasks[[#Headers],[ID]]))))</f>
        <v/>
      </c>
      <c r="E181" s="24" t="str">
        <f aca="false">IF(IFERROR(INDEX(tsk_Name,(ROW()-ROW(MSPTasks[[#Headers],[ID]])))="",TRUE()),"",IF(INDEX(tsk_Mode,(ROW()-ROW(MSPTasks[[#Headers],[ID]])))="Manual","Manually Scheduled","Auto Scheduled"))</f>
        <v/>
      </c>
      <c r="F181" s="24" t="str">
        <f aca="false">IF(IFERROR(INDEX(tsk_Name,(ROW()-ROW(MSPTasks[[#Headers],[ID]])))="",TRUE()),"",IF(INDEX(tsk_IsSummary,(ROW()-ROW(MSPTasks[[#Headers],[ID]]))),"",N(INDEX(tsk_Duration,(ROW()-ROW(MSPTasks[[#Headers],[ID]]))))&amp;"d"))</f>
        <v/>
      </c>
      <c r="G181" s="127" t="str">
        <f aca="false">IF(IFERROR(INDEX(tsk_Name,(ROW()-ROW(MSPTasks[[#Headers],[ID]])))="",TRUE()),"",INDEX(tsk_FcStart,(ROW()-ROW(MSPTasks[[#Headers],[ID]]))))</f>
        <v/>
      </c>
      <c r="H181" s="127" t="str">
        <f aca="false">IF(IFERROR(INDEX(tsk_Name,(ROW()-ROW(MSPTasks[[#Headers],[ID]])))="",TRUE()),"",INDEX(tsk_FcFinish,(ROW()-ROW(MSPTasks[[#Headers],[ID]]))))</f>
        <v/>
      </c>
      <c r="I181" s="24" t="str">
        <f aca="false">IF(IFERROR(INDEX(tsk_Name,(ROW()-ROW(MSPTasks[[#Headers],[ID]])))="",TRUE()),"",IF(INDEX(tsk_IsSummary,(ROW()-ROW(MSPTasks[[#Headers],[ID]]))),"",INDEX(tsk_Predecessors,(ROW()-ROW(MSPTasks[[#Headers],[ID]])))))</f>
        <v/>
      </c>
      <c r="J181" s="24" t="str">
        <f aca="false">IF(IFERROR(INDEX(tsk_Name,(ROW()-ROW(MSPTasks[[#Headers],[ID]])))="",TRUE()),"",IF(INDEX(tsk_IsSummary,(ROW()-ROW(MSPTasks[[#Headers],[ID]]))),"",INDEX(tsk_UIDPredecessors,(ROW()-ROW(MSPTasks[[#Headers],[ID]])))))</f>
        <v/>
      </c>
      <c r="K18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1" s="24" t="str">
        <f aca="false">IF(IFERROR(INDEX(tsk_Name,(ROW()-ROW(MSPTasks[[#Headers],[ID]])))="",TRUE()),"",IF(INDEX(tsk_IsSummary,(ROW()-ROW(MSPTasks[[#Headers],[ID]]))),"",ROUND(INDEX(tsk_Progress,(ROW()-ROW(MSPTasks[[#Headers],[ID]])))*100,0)))</f>
        <v/>
      </c>
      <c r="M181" s="127" t="str">
        <f aca="false">IF(IFERROR(INDEX(tsk_Name,(ROW()-ROW(MSPTasks[[#Headers],[ID]])))="",TRUE()),"",IF(N(INDEX(tsk_ActStart,(ROW()-ROW(MSPTasks[[#Headers],[ID]]))))=0,"",INDEX(tsk_ActStart,(ROW()-ROW(MSPTasks[[#Headers],[ID]])))))</f>
        <v/>
      </c>
      <c r="N181" s="127" t="str">
        <f aca="false">IF(IFERROR(INDEX(tsk_Name,(ROW()-ROW(MSPTasks[[#Headers],[ID]])))="",TRUE()),"",IF(N(INDEX(tsk_ActFinish,(ROW()-ROW(MSPTasks[[#Headers],[ID]]))))=0,"",INDEX(tsk_ActFinish,(ROW()-ROW(MSPTasks[[#Headers],[ID]])))))</f>
        <v/>
      </c>
      <c r="O181" s="127" t="str">
        <f aca="false">IF(IFERROR(INDEX(tsk_Name,(ROW()-ROW(MSPTasks[[#Headers],[ID]])))="",TRUE()),"",INDEX(tsk_PlanStart,(ROW()-ROW(MSPTasks[[#Headers],[ID]]))))</f>
        <v/>
      </c>
      <c r="P181" s="127" t="str">
        <f aca="false">IF(IFERROR(INDEX(tsk_Name,(ROW()-ROW(MSPTasks[[#Headers],[ID]])))="",TRUE()),"",INDEX(tsk_PlanFinish,(ROW()-ROW(MSPTasks[[#Headers],[ID]]))))</f>
        <v/>
      </c>
      <c r="Q181" s="24" t="str">
        <f aca="false">IF(IFERROR(INDEX(tsk_Name,(ROW()-ROW(MSPTasks[[#Headers],[ID]])))="",TRUE()),"",IF(INDEX(tsk_BaseDuration,(ROW()-ROW(MSPTasks[[#Headers],[ID]])))="","",N(INDEX(tsk_BaseDuration,(ROW()-ROW(MSPTasks[[#Headers],[ID]]))))&amp;"d"))</f>
        <v/>
      </c>
      <c r="R181" s="24" t="str">
        <f aca="false">IF(IFERROR(INDEX(tsk_Name,(ROW()-ROW(MSPTasks[[#Headers],[ID]])))="",TRUE()),"",IF(INDEX(tsk_BaseWork,(ROW()-ROW(MSPTasks[[#Headers],[ID]])))="","",N(INDEX(tsk_BaseWork,(ROW()-ROW(MSPTasks[[#Headers],[ID]]))))&amp;"h"))</f>
        <v/>
      </c>
      <c r="S181" s="24" t="str">
        <f aca="false">IF(IFERROR(INDEX(tsk_Name,(ROW()-ROW(MSPTasks[[#Headers],[ID]])))="",TRUE()),"",IF(INDEX(tsk_BaseCost,(ROW()-ROW(MSPTasks[[#Headers],[ID]])))="","",N(INDEX(tsk_BaseCost,(ROW()-ROW(MSPTasks[[#Headers],[ID]]))))))</f>
        <v/>
      </c>
      <c r="T181" s="24" t="str">
        <f aca="false">IF(IFERROR(INDEX(tsk_Name,(ROW()-ROW(MSPTasks[[#Headers],[ID]])))="",TRUE()),"",IF(INDEX(tsk_IsSummary,(ROW()-ROW(MSPTasks[[#Headers],[ID]]))),"",IF(N(INDEX(tsk_ActCostInput,(ROW()-ROW(MSPTasks[[#Headers],[ID]]))))=0,"",INDEX(tsk_ActCostInput,(ROW()-ROW(MSPTasks[[#Headers],[ID]]))))))</f>
        <v/>
      </c>
      <c r="U181" s="24" t="str">
        <f aca="false">IF(IFERROR(INDEX(tsk_Name,(ROW()-ROW(MSPTasks[[#Headers],[ID]])))="",TRUE()),"",IF(INDEX(tsk_IsSummary,(ROW()-ROW(MSPTasks[[#Headers],[ID]]))),"",IF(AND(INDEX(tsk_Mode,(ROW()-ROW(MSPTasks[[#Headers],[ID]])))&lt;&gt;"Manual",N(INDEX(tsk_Constraint,(ROW()-ROW(MSPTasks[[#Headers],[ID]]))))&gt;0),"Start No Earlier Than","As Soon As Possible")))</f>
        <v/>
      </c>
      <c r="V181" s="127" t="str">
        <f aca="false">IF(IFERROR(INDEX(tsk_Name,(ROW()-ROW(MSPTasks[[#Headers],[ID]])))="",TRUE()),"",IF(OR(INDEX(tsk_IsSummary,(ROW()-ROW(MSPTasks[[#Headers],[ID]]))),INDEX(tsk_Mode,(ROW()-ROW(MSPTasks[[#Headers],[ID]])))="Manual"),"",IF(N(INDEX(tsk_Constraint,(ROW()-ROW(MSPTasks[[#Headers],[ID]]))))=0,"",INDEX(tsk_Constraint,(ROW()-ROW(MSPTasks[[#Headers],[ID]]))))))</f>
        <v/>
      </c>
      <c r="W181" s="127" t="str">
        <f aca="false">IF(IFERROR(INDEX(tsk_Name,(ROW()-ROW(MSPTasks[[#Headers],[ID]])))="",TRUE()),"",IF(N(INDEX(tsk_Deadline,(ROW()-ROW(MSPTasks[[#Headers],[ID]]))))=0,"",INDEX(tsk_Deadline,(ROW()-ROW(MSPTasks[[#Headers],[ID]])))))</f>
        <v/>
      </c>
      <c r="X181" s="24" t="str">
        <f aca="false">IF(IFERROR(INDEX(tsk_Name,(ROW()-ROW(MSPTasks[[#Headers],[ID]])))="",TRUE()),"",IF(INDEX(tsk_IsSummary,(ROW()-ROW(MSPTasks[[#Headers],[ID]]))),"",INDEX(tsk_Sprint,(ROW()-ROW(MSPTasks[[#Headers],[ID]])))&amp;""))</f>
        <v/>
      </c>
      <c r="Y181" s="24" t="str">
        <f aca="false">IF(IFERROR(INDEX(tsk_Name,(ROW()-ROW(MSPTasks[[#Headers],[ID]])))="",TRUE()),"",IF(INDEX(tsk_IsSummary,(ROW()-ROW(MSPTasks[[#Headers],[ID]]))),"",IF(N(INDEX(tsk_StoryPoints,(ROW()-ROW(MSPTasks[[#Headers],[ID]]))))=0,"",INDEX(tsk_StoryPoints,(ROW()-ROW(MSPTasks[[#Headers],[ID]]))))))</f>
        <v/>
      </c>
      <c r="Z181" s="24" t="str">
        <f aca="false">IF(IFERROR(INDEX(tsk_Name,(ROW()-ROW(MSPTasks[[#Headers],[ID]])))="",TRUE()),"",INDEX(tsk_Notes,(ROW()-ROW(MSPTasks[[#Headers],[ID]])))&amp;"")</f>
        <v/>
      </c>
    </row>
    <row r="182" customFormat="false" ht="15" hidden="false" customHeight="false" outlineLevel="0" collapsed="false">
      <c r="A182" s="24" t="str">
        <f aca="false">IF(IFERROR(INDEX(tsk_Name,(ROW()-ROW(MSPTasks[[#Headers],[ID]])))="",TRUE()),"",INDEX(tsk_ID,(ROW()-ROW(MSPTasks[[#Headers],[ID]]))))</f>
        <v/>
      </c>
      <c r="B182" s="24" t="str">
        <f aca="false">IF(IFERROR(INDEX(tsk_Name,(ROW()-ROW(MSPTasks[[#Headers],[ID]])))="",TRUE()),"",INDEX(tsk_UID,(ROW()-ROW(MSPTasks[[#Headers],[ID]]))))</f>
        <v/>
      </c>
      <c r="C182" s="24" t="str">
        <f aca="false">IF(IFERROR(INDEX(tsk_Name,(ROW()-ROW(MSPTasks[[#Headers],[ID]])))="",TRUE()),"",INDEX(tsk_Name,(ROW()-ROW(MSPTasks[[#Headers],[ID]]))))</f>
        <v/>
      </c>
      <c r="D182" s="24" t="str">
        <f aca="false">IF(IFERROR(INDEX(tsk_Name,(ROW()-ROW(MSPTasks[[#Headers],[ID]])))="",TRUE()),"",INDEX(tsk_Level,(ROW()-ROW(MSPTasks[[#Headers],[ID]]))))</f>
        <v/>
      </c>
      <c r="E182" s="24" t="str">
        <f aca="false">IF(IFERROR(INDEX(tsk_Name,(ROW()-ROW(MSPTasks[[#Headers],[ID]])))="",TRUE()),"",IF(INDEX(tsk_Mode,(ROW()-ROW(MSPTasks[[#Headers],[ID]])))="Manual","Manually Scheduled","Auto Scheduled"))</f>
        <v/>
      </c>
      <c r="F182" s="24" t="str">
        <f aca="false">IF(IFERROR(INDEX(tsk_Name,(ROW()-ROW(MSPTasks[[#Headers],[ID]])))="",TRUE()),"",IF(INDEX(tsk_IsSummary,(ROW()-ROW(MSPTasks[[#Headers],[ID]]))),"",N(INDEX(tsk_Duration,(ROW()-ROW(MSPTasks[[#Headers],[ID]]))))&amp;"d"))</f>
        <v/>
      </c>
      <c r="G182" s="127" t="str">
        <f aca="false">IF(IFERROR(INDEX(tsk_Name,(ROW()-ROW(MSPTasks[[#Headers],[ID]])))="",TRUE()),"",INDEX(tsk_FcStart,(ROW()-ROW(MSPTasks[[#Headers],[ID]]))))</f>
        <v/>
      </c>
      <c r="H182" s="127" t="str">
        <f aca="false">IF(IFERROR(INDEX(tsk_Name,(ROW()-ROW(MSPTasks[[#Headers],[ID]])))="",TRUE()),"",INDEX(tsk_FcFinish,(ROW()-ROW(MSPTasks[[#Headers],[ID]]))))</f>
        <v/>
      </c>
      <c r="I182" s="24" t="str">
        <f aca="false">IF(IFERROR(INDEX(tsk_Name,(ROW()-ROW(MSPTasks[[#Headers],[ID]])))="",TRUE()),"",IF(INDEX(tsk_IsSummary,(ROW()-ROW(MSPTasks[[#Headers],[ID]]))),"",INDEX(tsk_Predecessors,(ROW()-ROW(MSPTasks[[#Headers],[ID]])))))</f>
        <v/>
      </c>
      <c r="J182" s="24" t="str">
        <f aca="false">IF(IFERROR(INDEX(tsk_Name,(ROW()-ROW(MSPTasks[[#Headers],[ID]])))="",TRUE()),"",IF(INDEX(tsk_IsSummary,(ROW()-ROW(MSPTasks[[#Headers],[ID]]))),"",INDEX(tsk_UIDPredecessors,(ROW()-ROW(MSPTasks[[#Headers],[ID]])))))</f>
        <v/>
      </c>
      <c r="K18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2" s="24" t="str">
        <f aca="false">IF(IFERROR(INDEX(tsk_Name,(ROW()-ROW(MSPTasks[[#Headers],[ID]])))="",TRUE()),"",IF(INDEX(tsk_IsSummary,(ROW()-ROW(MSPTasks[[#Headers],[ID]]))),"",ROUND(INDEX(tsk_Progress,(ROW()-ROW(MSPTasks[[#Headers],[ID]])))*100,0)))</f>
        <v/>
      </c>
      <c r="M182" s="127" t="str">
        <f aca="false">IF(IFERROR(INDEX(tsk_Name,(ROW()-ROW(MSPTasks[[#Headers],[ID]])))="",TRUE()),"",IF(N(INDEX(tsk_ActStart,(ROW()-ROW(MSPTasks[[#Headers],[ID]]))))=0,"",INDEX(tsk_ActStart,(ROW()-ROW(MSPTasks[[#Headers],[ID]])))))</f>
        <v/>
      </c>
      <c r="N182" s="127" t="str">
        <f aca="false">IF(IFERROR(INDEX(tsk_Name,(ROW()-ROW(MSPTasks[[#Headers],[ID]])))="",TRUE()),"",IF(N(INDEX(tsk_ActFinish,(ROW()-ROW(MSPTasks[[#Headers],[ID]]))))=0,"",INDEX(tsk_ActFinish,(ROW()-ROW(MSPTasks[[#Headers],[ID]])))))</f>
        <v/>
      </c>
      <c r="O182" s="127" t="str">
        <f aca="false">IF(IFERROR(INDEX(tsk_Name,(ROW()-ROW(MSPTasks[[#Headers],[ID]])))="",TRUE()),"",INDEX(tsk_PlanStart,(ROW()-ROW(MSPTasks[[#Headers],[ID]]))))</f>
        <v/>
      </c>
      <c r="P182" s="127" t="str">
        <f aca="false">IF(IFERROR(INDEX(tsk_Name,(ROW()-ROW(MSPTasks[[#Headers],[ID]])))="",TRUE()),"",INDEX(tsk_PlanFinish,(ROW()-ROW(MSPTasks[[#Headers],[ID]]))))</f>
        <v/>
      </c>
      <c r="Q182" s="24" t="str">
        <f aca="false">IF(IFERROR(INDEX(tsk_Name,(ROW()-ROW(MSPTasks[[#Headers],[ID]])))="",TRUE()),"",IF(INDEX(tsk_BaseDuration,(ROW()-ROW(MSPTasks[[#Headers],[ID]])))="","",N(INDEX(tsk_BaseDuration,(ROW()-ROW(MSPTasks[[#Headers],[ID]]))))&amp;"d"))</f>
        <v/>
      </c>
      <c r="R182" s="24" t="str">
        <f aca="false">IF(IFERROR(INDEX(tsk_Name,(ROW()-ROW(MSPTasks[[#Headers],[ID]])))="",TRUE()),"",IF(INDEX(tsk_BaseWork,(ROW()-ROW(MSPTasks[[#Headers],[ID]])))="","",N(INDEX(tsk_BaseWork,(ROW()-ROW(MSPTasks[[#Headers],[ID]]))))&amp;"h"))</f>
        <v/>
      </c>
      <c r="S182" s="24" t="str">
        <f aca="false">IF(IFERROR(INDEX(tsk_Name,(ROW()-ROW(MSPTasks[[#Headers],[ID]])))="",TRUE()),"",IF(INDEX(tsk_BaseCost,(ROW()-ROW(MSPTasks[[#Headers],[ID]])))="","",N(INDEX(tsk_BaseCost,(ROW()-ROW(MSPTasks[[#Headers],[ID]]))))))</f>
        <v/>
      </c>
      <c r="T182" s="24" t="str">
        <f aca="false">IF(IFERROR(INDEX(tsk_Name,(ROW()-ROW(MSPTasks[[#Headers],[ID]])))="",TRUE()),"",IF(INDEX(tsk_IsSummary,(ROW()-ROW(MSPTasks[[#Headers],[ID]]))),"",IF(N(INDEX(tsk_ActCostInput,(ROW()-ROW(MSPTasks[[#Headers],[ID]]))))=0,"",INDEX(tsk_ActCostInput,(ROW()-ROW(MSPTasks[[#Headers],[ID]]))))))</f>
        <v/>
      </c>
      <c r="U182" s="24" t="str">
        <f aca="false">IF(IFERROR(INDEX(tsk_Name,(ROW()-ROW(MSPTasks[[#Headers],[ID]])))="",TRUE()),"",IF(INDEX(tsk_IsSummary,(ROW()-ROW(MSPTasks[[#Headers],[ID]]))),"",IF(AND(INDEX(tsk_Mode,(ROW()-ROW(MSPTasks[[#Headers],[ID]])))&lt;&gt;"Manual",N(INDEX(tsk_Constraint,(ROW()-ROW(MSPTasks[[#Headers],[ID]]))))&gt;0),"Start No Earlier Than","As Soon As Possible")))</f>
        <v/>
      </c>
      <c r="V182" s="127" t="str">
        <f aca="false">IF(IFERROR(INDEX(tsk_Name,(ROW()-ROW(MSPTasks[[#Headers],[ID]])))="",TRUE()),"",IF(OR(INDEX(tsk_IsSummary,(ROW()-ROW(MSPTasks[[#Headers],[ID]]))),INDEX(tsk_Mode,(ROW()-ROW(MSPTasks[[#Headers],[ID]])))="Manual"),"",IF(N(INDEX(tsk_Constraint,(ROW()-ROW(MSPTasks[[#Headers],[ID]]))))=0,"",INDEX(tsk_Constraint,(ROW()-ROW(MSPTasks[[#Headers],[ID]]))))))</f>
        <v/>
      </c>
      <c r="W182" s="127" t="str">
        <f aca="false">IF(IFERROR(INDEX(tsk_Name,(ROW()-ROW(MSPTasks[[#Headers],[ID]])))="",TRUE()),"",IF(N(INDEX(tsk_Deadline,(ROW()-ROW(MSPTasks[[#Headers],[ID]]))))=0,"",INDEX(tsk_Deadline,(ROW()-ROW(MSPTasks[[#Headers],[ID]])))))</f>
        <v/>
      </c>
      <c r="X182" s="24" t="str">
        <f aca="false">IF(IFERROR(INDEX(tsk_Name,(ROW()-ROW(MSPTasks[[#Headers],[ID]])))="",TRUE()),"",IF(INDEX(tsk_IsSummary,(ROW()-ROW(MSPTasks[[#Headers],[ID]]))),"",INDEX(tsk_Sprint,(ROW()-ROW(MSPTasks[[#Headers],[ID]])))&amp;""))</f>
        <v/>
      </c>
      <c r="Y182" s="24" t="str">
        <f aca="false">IF(IFERROR(INDEX(tsk_Name,(ROW()-ROW(MSPTasks[[#Headers],[ID]])))="",TRUE()),"",IF(INDEX(tsk_IsSummary,(ROW()-ROW(MSPTasks[[#Headers],[ID]]))),"",IF(N(INDEX(tsk_StoryPoints,(ROW()-ROW(MSPTasks[[#Headers],[ID]]))))=0,"",INDEX(tsk_StoryPoints,(ROW()-ROW(MSPTasks[[#Headers],[ID]]))))))</f>
        <v/>
      </c>
      <c r="Z182" s="24" t="str">
        <f aca="false">IF(IFERROR(INDEX(tsk_Name,(ROW()-ROW(MSPTasks[[#Headers],[ID]])))="",TRUE()),"",INDEX(tsk_Notes,(ROW()-ROW(MSPTasks[[#Headers],[ID]])))&amp;"")</f>
        <v/>
      </c>
    </row>
    <row r="183" customFormat="false" ht="15" hidden="false" customHeight="false" outlineLevel="0" collapsed="false">
      <c r="A183" s="24" t="str">
        <f aca="false">IF(IFERROR(INDEX(tsk_Name,(ROW()-ROW(MSPTasks[[#Headers],[ID]])))="",TRUE()),"",INDEX(tsk_ID,(ROW()-ROW(MSPTasks[[#Headers],[ID]]))))</f>
        <v/>
      </c>
      <c r="B183" s="24" t="str">
        <f aca="false">IF(IFERROR(INDEX(tsk_Name,(ROW()-ROW(MSPTasks[[#Headers],[ID]])))="",TRUE()),"",INDEX(tsk_UID,(ROW()-ROW(MSPTasks[[#Headers],[ID]]))))</f>
        <v/>
      </c>
      <c r="C183" s="24" t="str">
        <f aca="false">IF(IFERROR(INDEX(tsk_Name,(ROW()-ROW(MSPTasks[[#Headers],[ID]])))="",TRUE()),"",INDEX(tsk_Name,(ROW()-ROW(MSPTasks[[#Headers],[ID]]))))</f>
        <v/>
      </c>
      <c r="D183" s="24" t="str">
        <f aca="false">IF(IFERROR(INDEX(tsk_Name,(ROW()-ROW(MSPTasks[[#Headers],[ID]])))="",TRUE()),"",INDEX(tsk_Level,(ROW()-ROW(MSPTasks[[#Headers],[ID]]))))</f>
        <v/>
      </c>
      <c r="E183" s="24" t="str">
        <f aca="false">IF(IFERROR(INDEX(tsk_Name,(ROW()-ROW(MSPTasks[[#Headers],[ID]])))="",TRUE()),"",IF(INDEX(tsk_Mode,(ROW()-ROW(MSPTasks[[#Headers],[ID]])))="Manual","Manually Scheduled","Auto Scheduled"))</f>
        <v/>
      </c>
      <c r="F183" s="24" t="str">
        <f aca="false">IF(IFERROR(INDEX(tsk_Name,(ROW()-ROW(MSPTasks[[#Headers],[ID]])))="",TRUE()),"",IF(INDEX(tsk_IsSummary,(ROW()-ROW(MSPTasks[[#Headers],[ID]]))),"",N(INDEX(tsk_Duration,(ROW()-ROW(MSPTasks[[#Headers],[ID]]))))&amp;"d"))</f>
        <v/>
      </c>
      <c r="G183" s="127" t="str">
        <f aca="false">IF(IFERROR(INDEX(tsk_Name,(ROW()-ROW(MSPTasks[[#Headers],[ID]])))="",TRUE()),"",INDEX(tsk_FcStart,(ROW()-ROW(MSPTasks[[#Headers],[ID]]))))</f>
        <v/>
      </c>
      <c r="H183" s="127" t="str">
        <f aca="false">IF(IFERROR(INDEX(tsk_Name,(ROW()-ROW(MSPTasks[[#Headers],[ID]])))="",TRUE()),"",INDEX(tsk_FcFinish,(ROW()-ROW(MSPTasks[[#Headers],[ID]]))))</f>
        <v/>
      </c>
      <c r="I183" s="24" t="str">
        <f aca="false">IF(IFERROR(INDEX(tsk_Name,(ROW()-ROW(MSPTasks[[#Headers],[ID]])))="",TRUE()),"",IF(INDEX(tsk_IsSummary,(ROW()-ROW(MSPTasks[[#Headers],[ID]]))),"",INDEX(tsk_Predecessors,(ROW()-ROW(MSPTasks[[#Headers],[ID]])))))</f>
        <v/>
      </c>
      <c r="J183" s="24" t="str">
        <f aca="false">IF(IFERROR(INDEX(tsk_Name,(ROW()-ROW(MSPTasks[[#Headers],[ID]])))="",TRUE()),"",IF(INDEX(tsk_IsSummary,(ROW()-ROW(MSPTasks[[#Headers],[ID]]))),"",INDEX(tsk_UIDPredecessors,(ROW()-ROW(MSPTasks[[#Headers],[ID]])))))</f>
        <v/>
      </c>
      <c r="K18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3" s="24" t="str">
        <f aca="false">IF(IFERROR(INDEX(tsk_Name,(ROW()-ROW(MSPTasks[[#Headers],[ID]])))="",TRUE()),"",IF(INDEX(tsk_IsSummary,(ROW()-ROW(MSPTasks[[#Headers],[ID]]))),"",ROUND(INDEX(tsk_Progress,(ROW()-ROW(MSPTasks[[#Headers],[ID]])))*100,0)))</f>
        <v/>
      </c>
      <c r="M183" s="127" t="str">
        <f aca="false">IF(IFERROR(INDEX(tsk_Name,(ROW()-ROW(MSPTasks[[#Headers],[ID]])))="",TRUE()),"",IF(N(INDEX(tsk_ActStart,(ROW()-ROW(MSPTasks[[#Headers],[ID]]))))=0,"",INDEX(tsk_ActStart,(ROW()-ROW(MSPTasks[[#Headers],[ID]])))))</f>
        <v/>
      </c>
      <c r="N183" s="127" t="str">
        <f aca="false">IF(IFERROR(INDEX(tsk_Name,(ROW()-ROW(MSPTasks[[#Headers],[ID]])))="",TRUE()),"",IF(N(INDEX(tsk_ActFinish,(ROW()-ROW(MSPTasks[[#Headers],[ID]]))))=0,"",INDEX(tsk_ActFinish,(ROW()-ROW(MSPTasks[[#Headers],[ID]])))))</f>
        <v/>
      </c>
      <c r="O183" s="127" t="str">
        <f aca="false">IF(IFERROR(INDEX(tsk_Name,(ROW()-ROW(MSPTasks[[#Headers],[ID]])))="",TRUE()),"",INDEX(tsk_PlanStart,(ROW()-ROW(MSPTasks[[#Headers],[ID]]))))</f>
        <v/>
      </c>
      <c r="P183" s="127" t="str">
        <f aca="false">IF(IFERROR(INDEX(tsk_Name,(ROW()-ROW(MSPTasks[[#Headers],[ID]])))="",TRUE()),"",INDEX(tsk_PlanFinish,(ROW()-ROW(MSPTasks[[#Headers],[ID]]))))</f>
        <v/>
      </c>
      <c r="Q183" s="24" t="str">
        <f aca="false">IF(IFERROR(INDEX(tsk_Name,(ROW()-ROW(MSPTasks[[#Headers],[ID]])))="",TRUE()),"",IF(INDEX(tsk_BaseDuration,(ROW()-ROW(MSPTasks[[#Headers],[ID]])))="","",N(INDEX(tsk_BaseDuration,(ROW()-ROW(MSPTasks[[#Headers],[ID]]))))&amp;"d"))</f>
        <v/>
      </c>
      <c r="R183" s="24" t="str">
        <f aca="false">IF(IFERROR(INDEX(tsk_Name,(ROW()-ROW(MSPTasks[[#Headers],[ID]])))="",TRUE()),"",IF(INDEX(tsk_BaseWork,(ROW()-ROW(MSPTasks[[#Headers],[ID]])))="","",N(INDEX(tsk_BaseWork,(ROW()-ROW(MSPTasks[[#Headers],[ID]]))))&amp;"h"))</f>
        <v/>
      </c>
      <c r="S183" s="24" t="str">
        <f aca="false">IF(IFERROR(INDEX(tsk_Name,(ROW()-ROW(MSPTasks[[#Headers],[ID]])))="",TRUE()),"",IF(INDEX(tsk_BaseCost,(ROW()-ROW(MSPTasks[[#Headers],[ID]])))="","",N(INDEX(tsk_BaseCost,(ROW()-ROW(MSPTasks[[#Headers],[ID]]))))))</f>
        <v/>
      </c>
      <c r="T183" s="24" t="str">
        <f aca="false">IF(IFERROR(INDEX(tsk_Name,(ROW()-ROW(MSPTasks[[#Headers],[ID]])))="",TRUE()),"",IF(INDEX(tsk_IsSummary,(ROW()-ROW(MSPTasks[[#Headers],[ID]]))),"",IF(N(INDEX(tsk_ActCostInput,(ROW()-ROW(MSPTasks[[#Headers],[ID]]))))=0,"",INDEX(tsk_ActCostInput,(ROW()-ROW(MSPTasks[[#Headers],[ID]]))))))</f>
        <v/>
      </c>
      <c r="U183" s="24" t="str">
        <f aca="false">IF(IFERROR(INDEX(tsk_Name,(ROW()-ROW(MSPTasks[[#Headers],[ID]])))="",TRUE()),"",IF(INDEX(tsk_IsSummary,(ROW()-ROW(MSPTasks[[#Headers],[ID]]))),"",IF(AND(INDEX(tsk_Mode,(ROW()-ROW(MSPTasks[[#Headers],[ID]])))&lt;&gt;"Manual",N(INDEX(tsk_Constraint,(ROW()-ROW(MSPTasks[[#Headers],[ID]]))))&gt;0),"Start No Earlier Than","As Soon As Possible")))</f>
        <v/>
      </c>
      <c r="V183" s="127" t="str">
        <f aca="false">IF(IFERROR(INDEX(tsk_Name,(ROW()-ROW(MSPTasks[[#Headers],[ID]])))="",TRUE()),"",IF(OR(INDEX(tsk_IsSummary,(ROW()-ROW(MSPTasks[[#Headers],[ID]]))),INDEX(tsk_Mode,(ROW()-ROW(MSPTasks[[#Headers],[ID]])))="Manual"),"",IF(N(INDEX(tsk_Constraint,(ROW()-ROW(MSPTasks[[#Headers],[ID]]))))=0,"",INDEX(tsk_Constraint,(ROW()-ROW(MSPTasks[[#Headers],[ID]]))))))</f>
        <v/>
      </c>
      <c r="W183" s="127" t="str">
        <f aca="false">IF(IFERROR(INDEX(tsk_Name,(ROW()-ROW(MSPTasks[[#Headers],[ID]])))="",TRUE()),"",IF(N(INDEX(tsk_Deadline,(ROW()-ROW(MSPTasks[[#Headers],[ID]]))))=0,"",INDEX(tsk_Deadline,(ROW()-ROW(MSPTasks[[#Headers],[ID]])))))</f>
        <v/>
      </c>
      <c r="X183" s="24" t="str">
        <f aca="false">IF(IFERROR(INDEX(tsk_Name,(ROW()-ROW(MSPTasks[[#Headers],[ID]])))="",TRUE()),"",IF(INDEX(tsk_IsSummary,(ROW()-ROW(MSPTasks[[#Headers],[ID]]))),"",INDEX(tsk_Sprint,(ROW()-ROW(MSPTasks[[#Headers],[ID]])))&amp;""))</f>
        <v/>
      </c>
      <c r="Y183" s="24" t="str">
        <f aca="false">IF(IFERROR(INDEX(tsk_Name,(ROW()-ROW(MSPTasks[[#Headers],[ID]])))="",TRUE()),"",IF(INDEX(tsk_IsSummary,(ROW()-ROW(MSPTasks[[#Headers],[ID]]))),"",IF(N(INDEX(tsk_StoryPoints,(ROW()-ROW(MSPTasks[[#Headers],[ID]]))))=0,"",INDEX(tsk_StoryPoints,(ROW()-ROW(MSPTasks[[#Headers],[ID]]))))))</f>
        <v/>
      </c>
      <c r="Z183" s="24" t="str">
        <f aca="false">IF(IFERROR(INDEX(tsk_Name,(ROW()-ROW(MSPTasks[[#Headers],[ID]])))="",TRUE()),"",INDEX(tsk_Notes,(ROW()-ROW(MSPTasks[[#Headers],[ID]])))&amp;"")</f>
        <v/>
      </c>
    </row>
    <row r="184" customFormat="false" ht="15" hidden="false" customHeight="false" outlineLevel="0" collapsed="false">
      <c r="A184" s="24" t="str">
        <f aca="false">IF(IFERROR(INDEX(tsk_Name,(ROW()-ROW(MSPTasks[[#Headers],[ID]])))="",TRUE()),"",INDEX(tsk_ID,(ROW()-ROW(MSPTasks[[#Headers],[ID]]))))</f>
        <v/>
      </c>
      <c r="B184" s="24" t="str">
        <f aca="false">IF(IFERROR(INDEX(tsk_Name,(ROW()-ROW(MSPTasks[[#Headers],[ID]])))="",TRUE()),"",INDEX(tsk_UID,(ROW()-ROW(MSPTasks[[#Headers],[ID]]))))</f>
        <v/>
      </c>
      <c r="C184" s="24" t="str">
        <f aca="false">IF(IFERROR(INDEX(tsk_Name,(ROW()-ROW(MSPTasks[[#Headers],[ID]])))="",TRUE()),"",INDEX(tsk_Name,(ROW()-ROW(MSPTasks[[#Headers],[ID]]))))</f>
        <v/>
      </c>
      <c r="D184" s="24" t="str">
        <f aca="false">IF(IFERROR(INDEX(tsk_Name,(ROW()-ROW(MSPTasks[[#Headers],[ID]])))="",TRUE()),"",INDEX(tsk_Level,(ROW()-ROW(MSPTasks[[#Headers],[ID]]))))</f>
        <v/>
      </c>
      <c r="E184" s="24" t="str">
        <f aca="false">IF(IFERROR(INDEX(tsk_Name,(ROW()-ROW(MSPTasks[[#Headers],[ID]])))="",TRUE()),"",IF(INDEX(tsk_Mode,(ROW()-ROW(MSPTasks[[#Headers],[ID]])))="Manual","Manually Scheduled","Auto Scheduled"))</f>
        <v/>
      </c>
      <c r="F184" s="24" t="str">
        <f aca="false">IF(IFERROR(INDEX(tsk_Name,(ROW()-ROW(MSPTasks[[#Headers],[ID]])))="",TRUE()),"",IF(INDEX(tsk_IsSummary,(ROW()-ROW(MSPTasks[[#Headers],[ID]]))),"",N(INDEX(tsk_Duration,(ROW()-ROW(MSPTasks[[#Headers],[ID]]))))&amp;"d"))</f>
        <v/>
      </c>
      <c r="G184" s="127" t="str">
        <f aca="false">IF(IFERROR(INDEX(tsk_Name,(ROW()-ROW(MSPTasks[[#Headers],[ID]])))="",TRUE()),"",INDEX(tsk_FcStart,(ROW()-ROW(MSPTasks[[#Headers],[ID]]))))</f>
        <v/>
      </c>
      <c r="H184" s="127" t="str">
        <f aca="false">IF(IFERROR(INDEX(tsk_Name,(ROW()-ROW(MSPTasks[[#Headers],[ID]])))="",TRUE()),"",INDEX(tsk_FcFinish,(ROW()-ROW(MSPTasks[[#Headers],[ID]]))))</f>
        <v/>
      </c>
      <c r="I184" s="24" t="str">
        <f aca="false">IF(IFERROR(INDEX(tsk_Name,(ROW()-ROW(MSPTasks[[#Headers],[ID]])))="",TRUE()),"",IF(INDEX(tsk_IsSummary,(ROW()-ROW(MSPTasks[[#Headers],[ID]]))),"",INDEX(tsk_Predecessors,(ROW()-ROW(MSPTasks[[#Headers],[ID]])))))</f>
        <v/>
      </c>
      <c r="J184" s="24" t="str">
        <f aca="false">IF(IFERROR(INDEX(tsk_Name,(ROW()-ROW(MSPTasks[[#Headers],[ID]])))="",TRUE()),"",IF(INDEX(tsk_IsSummary,(ROW()-ROW(MSPTasks[[#Headers],[ID]]))),"",INDEX(tsk_UIDPredecessors,(ROW()-ROW(MSPTasks[[#Headers],[ID]])))))</f>
        <v/>
      </c>
      <c r="K18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4" s="24" t="str">
        <f aca="false">IF(IFERROR(INDEX(tsk_Name,(ROW()-ROW(MSPTasks[[#Headers],[ID]])))="",TRUE()),"",IF(INDEX(tsk_IsSummary,(ROW()-ROW(MSPTasks[[#Headers],[ID]]))),"",ROUND(INDEX(tsk_Progress,(ROW()-ROW(MSPTasks[[#Headers],[ID]])))*100,0)))</f>
        <v/>
      </c>
      <c r="M184" s="127" t="str">
        <f aca="false">IF(IFERROR(INDEX(tsk_Name,(ROW()-ROW(MSPTasks[[#Headers],[ID]])))="",TRUE()),"",IF(N(INDEX(tsk_ActStart,(ROW()-ROW(MSPTasks[[#Headers],[ID]]))))=0,"",INDEX(tsk_ActStart,(ROW()-ROW(MSPTasks[[#Headers],[ID]])))))</f>
        <v/>
      </c>
      <c r="N184" s="127" t="str">
        <f aca="false">IF(IFERROR(INDEX(tsk_Name,(ROW()-ROW(MSPTasks[[#Headers],[ID]])))="",TRUE()),"",IF(N(INDEX(tsk_ActFinish,(ROW()-ROW(MSPTasks[[#Headers],[ID]]))))=0,"",INDEX(tsk_ActFinish,(ROW()-ROW(MSPTasks[[#Headers],[ID]])))))</f>
        <v/>
      </c>
      <c r="O184" s="127" t="str">
        <f aca="false">IF(IFERROR(INDEX(tsk_Name,(ROW()-ROW(MSPTasks[[#Headers],[ID]])))="",TRUE()),"",INDEX(tsk_PlanStart,(ROW()-ROW(MSPTasks[[#Headers],[ID]]))))</f>
        <v/>
      </c>
      <c r="P184" s="127" t="str">
        <f aca="false">IF(IFERROR(INDEX(tsk_Name,(ROW()-ROW(MSPTasks[[#Headers],[ID]])))="",TRUE()),"",INDEX(tsk_PlanFinish,(ROW()-ROW(MSPTasks[[#Headers],[ID]]))))</f>
        <v/>
      </c>
      <c r="Q184" s="24" t="str">
        <f aca="false">IF(IFERROR(INDEX(tsk_Name,(ROW()-ROW(MSPTasks[[#Headers],[ID]])))="",TRUE()),"",IF(INDEX(tsk_BaseDuration,(ROW()-ROW(MSPTasks[[#Headers],[ID]])))="","",N(INDEX(tsk_BaseDuration,(ROW()-ROW(MSPTasks[[#Headers],[ID]]))))&amp;"d"))</f>
        <v/>
      </c>
      <c r="R184" s="24" t="str">
        <f aca="false">IF(IFERROR(INDEX(tsk_Name,(ROW()-ROW(MSPTasks[[#Headers],[ID]])))="",TRUE()),"",IF(INDEX(tsk_BaseWork,(ROW()-ROW(MSPTasks[[#Headers],[ID]])))="","",N(INDEX(tsk_BaseWork,(ROW()-ROW(MSPTasks[[#Headers],[ID]]))))&amp;"h"))</f>
        <v/>
      </c>
      <c r="S184" s="24" t="str">
        <f aca="false">IF(IFERROR(INDEX(tsk_Name,(ROW()-ROW(MSPTasks[[#Headers],[ID]])))="",TRUE()),"",IF(INDEX(tsk_BaseCost,(ROW()-ROW(MSPTasks[[#Headers],[ID]])))="","",N(INDEX(tsk_BaseCost,(ROW()-ROW(MSPTasks[[#Headers],[ID]]))))))</f>
        <v/>
      </c>
      <c r="T184" s="24" t="str">
        <f aca="false">IF(IFERROR(INDEX(tsk_Name,(ROW()-ROW(MSPTasks[[#Headers],[ID]])))="",TRUE()),"",IF(INDEX(tsk_IsSummary,(ROW()-ROW(MSPTasks[[#Headers],[ID]]))),"",IF(N(INDEX(tsk_ActCostInput,(ROW()-ROW(MSPTasks[[#Headers],[ID]]))))=0,"",INDEX(tsk_ActCostInput,(ROW()-ROW(MSPTasks[[#Headers],[ID]]))))))</f>
        <v/>
      </c>
      <c r="U184" s="24" t="str">
        <f aca="false">IF(IFERROR(INDEX(tsk_Name,(ROW()-ROW(MSPTasks[[#Headers],[ID]])))="",TRUE()),"",IF(INDEX(tsk_IsSummary,(ROW()-ROW(MSPTasks[[#Headers],[ID]]))),"",IF(AND(INDEX(tsk_Mode,(ROW()-ROW(MSPTasks[[#Headers],[ID]])))&lt;&gt;"Manual",N(INDEX(tsk_Constraint,(ROW()-ROW(MSPTasks[[#Headers],[ID]]))))&gt;0),"Start No Earlier Than","As Soon As Possible")))</f>
        <v/>
      </c>
      <c r="V184" s="127" t="str">
        <f aca="false">IF(IFERROR(INDEX(tsk_Name,(ROW()-ROW(MSPTasks[[#Headers],[ID]])))="",TRUE()),"",IF(OR(INDEX(tsk_IsSummary,(ROW()-ROW(MSPTasks[[#Headers],[ID]]))),INDEX(tsk_Mode,(ROW()-ROW(MSPTasks[[#Headers],[ID]])))="Manual"),"",IF(N(INDEX(tsk_Constraint,(ROW()-ROW(MSPTasks[[#Headers],[ID]]))))=0,"",INDEX(tsk_Constraint,(ROW()-ROW(MSPTasks[[#Headers],[ID]]))))))</f>
        <v/>
      </c>
      <c r="W184" s="127" t="str">
        <f aca="false">IF(IFERROR(INDEX(tsk_Name,(ROW()-ROW(MSPTasks[[#Headers],[ID]])))="",TRUE()),"",IF(N(INDEX(tsk_Deadline,(ROW()-ROW(MSPTasks[[#Headers],[ID]]))))=0,"",INDEX(tsk_Deadline,(ROW()-ROW(MSPTasks[[#Headers],[ID]])))))</f>
        <v/>
      </c>
      <c r="X184" s="24" t="str">
        <f aca="false">IF(IFERROR(INDEX(tsk_Name,(ROW()-ROW(MSPTasks[[#Headers],[ID]])))="",TRUE()),"",IF(INDEX(tsk_IsSummary,(ROW()-ROW(MSPTasks[[#Headers],[ID]]))),"",INDEX(tsk_Sprint,(ROW()-ROW(MSPTasks[[#Headers],[ID]])))&amp;""))</f>
        <v/>
      </c>
      <c r="Y184" s="24" t="str">
        <f aca="false">IF(IFERROR(INDEX(tsk_Name,(ROW()-ROW(MSPTasks[[#Headers],[ID]])))="",TRUE()),"",IF(INDEX(tsk_IsSummary,(ROW()-ROW(MSPTasks[[#Headers],[ID]]))),"",IF(N(INDEX(tsk_StoryPoints,(ROW()-ROW(MSPTasks[[#Headers],[ID]]))))=0,"",INDEX(tsk_StoryPoints,(ROW()-ROW(MSPTasks[[#Headers],[ID]]))))))</f>
        <v/>
      </c>
      <c r="Z184" s="24" t="str">
        <f aca="false">IF(IFERROR(INDEX(tsk_Name,(ROW()-ROW(MSPTasks[[#Headers],[ID]])))="",TRUE()),"",INDEX(tsk_Notes,(ROW()-ROW(MSPTasks[[#Headers],[ID]])))&amp;"")</f>
        <v/>
      </c>
    </row>
    <row r="185" customFormat="false" ht="15" hidden="false" customHeight="false" outlineLevel="0" collapsed="false">
      <c r="A185" s="24" t="str">
        <f aca="false">IF(IFERROR(INDEX(tsk_Name,(ROW()-ROW(MSPTasks[[#Headers],[ID]])))="",TRUE()),"",INDEX(tsk_ID,(ROW()-ROW(MSPTasks[[#Headers],[ID]]))))</f>
        <v/>
      </c>
      <c r="B185" s="24" t="str">
        <f aca="false">IF(IFERROR(INDEX(tsk_Name,(ROW()-ROW(MSPTasks[[#Headers],[ID]])))="",TRUE()),"",INDEX(tsk_UID,(ROW()-ROW(MSPTasks[[#Headers],[ID]]))))</f>
        <v/>
      </c>
      <c r="C185" s="24" t="str">
        <f aca="false">IF(IFERROR(INDEX(tsk_Name,(ROW()-ROW(MSPTasks[[#Headers],[ID]])))="",TRUE()),"",INDEX(tsk_Name,(ROW()-ROW(MSPTasks[[#Headers],[ID]]))))</f>
        <v/>
      </c>
      <c r="D185" s="24" t="str">
        <f aca="false">IF(IFERROR(INDEX(tsk_Name,(ROW()-ROW(MSPTasks[[#Headers],[ID]])))="",TRUE()),"",INDEX(tsk_Level,(ROW()-ROW(MSPTasks[[#Headers],[ID]]))))</f>
        <v/>
      </c>
      <c r="E185" s="24" t="str">
        <f aca="false">IF(IFERROR(INDEX(tsk_Name,(ROW()-ROW(MSPTasks[[#Headers],[ID]])))="",TRUE()),"",IF(INDEX(tsk_Mode,(ROW()-ROW(MSPTasks[[#Headers],[ID]])))="Manual","Manually Scheduled","Auto Scheduled"))</f>
        <v/>
      </c>
      <c r="F185" s="24" t="str">
        <f aca="false">IF(IFERROR(INDEX(tsk_Name,(ROW()-ROW(MSPTasks[[#Headers],[ID]])))="",TRUE()),"",IF(INDEX(tsk_IsSummary,(ROW()-ROW(MSPTasks[[#Headers],[ID]]))),"",N(INDEX(tsk_Duration,(ROW()-ROW(MSPTasks[[#Headers],[ID]]))))&amp;"d"))</f>
        <v/>
      </c>
      <c r="G185" s="127" t="str">
        <f aca="false">IF(IFERROR(INDEX(tsk_Name,(ROW()-ROW(MSPTasks[[#Headers],[ID]])))="",TRUE()),"",INDEX(tsk_FcStart,(ROW()-ROW(MSPTasks[[#Headers],[ID]]))))</f>
        <v/>
      </c>
      <c r="H185" s="127" t="str">
        <f aca="false">IF(IFERROR(INDEX(tsk_Name,(ROW()-ROW(MSPTasks[[#Headers],[ID]])))="",TRUE()),"",INDEX(tsk_FcFinish,(ROW()-ROW(MSPTasks[[#Headers],[ID]]))))</f>
        <v/>
      </c>
      <c r="I185" s="24" t="str">
        <f aca="false">IF(IFERROR(INDEX(tsk_Name,(ROW()-ROW(MSPTasks[[#Headers],[ID]])))="",TRUE()),"",IF(INDEX(tsk_IsSummary,(ROW()-ROW(MSPTasks[[#Headers],[ID]]))),"",INDEX(tsk_Predecessors,(ROW()-ROW(MSPTasks[[#Headers],[ID]])))))</f>
        <v/>
      </c>
      <c r="J185" s="24" t="str">
        <f aca="false">IF(IFERROR(INDEX(tsk_Name,(ROW()-ROW(MSPTasks[[#Headers],[ID]])))="",TRUE()),"",IF(INDEX(tsk_IsSummary,(ROW()-ROW(MSPTasks[[#Headers],[ID]]))),"",INDEX(tsk_UIDPredecessors,(ROW()-ROW(MSPTasks[[#Headers],[ID]])))))</f>
        <v/>
      </c>
      <c r="K18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5" s="24" t="str">
        <f aca="false">IF(IFERROR(INDEX(tsk_Name,(ROW()-ROW(MSPTasks[[#Headers],[ID]])))="",TRUE()),"",IF(INDEX(tsk_IsSummary,(ROW()-ROW(MSPTasks[[#Headers],[ID]]))),"",ROUND(INDEX(tsk_Progress,(ROW()-ROW(MSPTasks[[#Headers],[ID]])))*100,0)))</f>
        <v/>
      </c>
      <c r="M185" s="127" t="str">
        <f aca="false">IF(IFERROR(INDEX(tsk_Name,(ROW()-ROW(MSPTasks[[#Headers],[ID]])))="",TRUE()),"",IF(N(INDEX(tsk_ActStart,(ROW()-ROW(MSPTasks[[#Headers],[ID]]))))=0,"",INDEX(tsk_ActStart,(ROW()-ROW(MSPTasks[[#Headers],[ID]])))))</f>
        <v/>
      </c>
      <c r="N185" s="127" t="str">
        <f aca="false">IF(IFERROR(INDEX(tsk_Name,(ROW()-ROW(MSPTasks[[#Headers],[ID]])))="",TRUE()),"",IF(N(INDEX(tsk_ActFinish,(ROW()-ROW(MSPTasks[[#Headers],[ID]]))))=0,"",INDEX(tsk_ActFinish,(ROW()-ROW(MSPTasks[[#Headers],[ID]])))))</f>
        <v/>
      </c>
      <c r="O185" s="127" t="str">
        <f aca="false">IF(IFERROR(INDEX(tsk_Name,(ROW()-ROW(MSPTasks[[#Headers],[ID]])))="",TRUE()),"",INDEX(tsk_PlanStart,(ROW()-ROW(MSPTasks[[#Headers],[ID]]))))</f>
        <v/>
      </c>
      <c r="P185" s="127" t="str">
        <f aca="false">IF(IFERROR(INDEX(tsk_Name,(ROW()-ROW(MSPTasks[[#Headers],[ID]])))="",TRUE()),"",INDEX(tsk_PlanFinish,(ROW()-ROW(MSPTasks[[#Headers],[ID]]))))</f>
        <v/>
      </c>
      <c r="Q185" s="24" t="str">
        <f aca="false">IF(IFERROR(INDEX(tsk_Name,(ROW()-ROW(MSPTasks[[#Headers],[ID]])))="",TRUE()),"",IF(INDEX(tsk_BaseDuration,(ROW()-ROW(MSPTasks[[#Headers],[ID]])))="","",N(INDEX(tsk_BaseDuration,(ROW()-ROW(MSPTasks[[#Headers],[ID]]))))&amp;"d"))</f>
        <v/>
      </c>
      <c r="R185" s="24" t="str">
        <f aca="false">IF(IFERROR(INDEX(tsk_Name,(ROW()-ROW(MSPTasks[[#Headers],[ID]])))="",TRUE()),"",IF(INDEX(tsk_BaseWork,(ROW()-ROW(MSPTasks[[#Headers],[ID]])))="","",N(INDEX(tsk_BaseWork,(ROW()-ROW(MSPTasks[[#Headers],[ID]]))))&amp;"h"))</f>
        <v/>
      </c>
      <c r="S185" s="24" t="str">
        <f aca="false">IF(IFERROR(INDEX(tsk_Name,(ROW()-ROW(MSPTasks[[#Headers],[ID]])))="",TRUE()),"",IF(INDEX(tsk_BaseCost,(ROW()-ROW(MSPTasks[[#Headers],[ID]])))="","",N(INDEX(tsk_BaseCost,(ROW()-ROW(MSPTasks[[#Headers],[ID]]))))))</f>
        <v/>
      </c>
      <c r="T185" s="24" t="str">
        <f aca="false">IF(IFERROR(INDEX(tsk_Name,(ROW()-ROW(MSPTasks[[#Headers],[ID]])))="",TRUE()),"",IF(INDEX(tsk_IsSummary,(ROW()-ROW(MSPTasks[[#Headers],[ID]]))),"",IF(N(INDEX(tsk_ActCostInput,(ROW()-ROW(MSPTasks[[#Headers],[ID]]))))=0,"",INDEX(tsk_ActCostInput,(ROW()-ROW(MSPTasks[[#Headers],[ID]]))))))</f>
        <v/>
      </c>
      <c r="U185" s="24" t="str">
        <f aca="false">IF(IFERROR(INDEX(tsk_Name,(ROW()-ROW(MSPTasks[[#Headers],[ID]])))="",TRUE()),"",IF(INDEX(tsk_IsSummary,(ROW()-ROW(MSPTasks[[#Headers],[ID]]))),"",IF(AND(INDEX(tsk_Mode,(ROW()-ROW(MSPTasks[[#Headers],[ID]])))&lt;&gt;"Manual",N(INDEX(tsk_Constraint,(ROW()-ROW(MSPTasks[[#Headers],[ID]]))))&gt;0),"Start No Earlier Than","As Soon As Possible")))</f>
        <v/>
      </c>
      <c r="V185" s="127" t="str">
        <f aca="false">IF(IFERROR(INDEX(tsk_Name,(ROW()-ROW(MSPTasks[[#Headers],[ID]])))="",TRUE()),"",IF(OR(INDEX(tsk_IsSummary,(ROW()-ROW(MSPTasks[[#Headers],[ID]]))),INDEX(tsk_Mode,(ROW()-ROW(MSPTasks[[#Headers],[ID]])))="Manual"),"",IF(N(INDEX(tsk_Constraint,(ROW()-ROW(MSPTasks[[#Headers],[ID]]))))=0,"",INDEX(tsk_Constraint,(ROW()-ROW(MSPTasks[[#Headers],[ID]]))))))</f>
        <v/>
      </c>
      <c r="W185" s="127" t="str">
        <f aca="false">IF(IFERROR(INDEX(tsk_Name,(ROW()-ROW(MSPTasks[[#Headers],[ID]])))="",TRUE()),"",IF(N(INDEX(tsk_Deadline,(ROW()-ROW(MSPTasks[[#Headers],[ID]]))))=0,"",INDEX(tsk_Deadline,(ROW()-ROW(MSPTasks[[#Headers],[ID]])))))</f>
        <v/>
      </c>
      <c r="X185" s="24" t="str">
        <f aca="false">IF(IFERROR(INDEX(tsk_Name,(ROW()-ROW(MSPTasks[[#Headers],[ID]])))="",TRUE()),"",IF(INDEX(tsk_IsSummary,(ROW()-ROW(MSPTasks[[#Headers],[ID]]))),"",INDEX(tsk_Sprint,(ROW()-ROW(MSPTasks[[#Headers],[ID]])))&amp;""))</f>
        <v/>
      </c>
      <c r="Y185" s="24" t="str">
        <f aca="false">IF(IFERROR(INDEX(tsk_Name,(ROW()-ROW(MSPTasks[[#Headers],[ID]])))="",TRUE()),"",IF(INDEX(tsk_IsSummary,(ROW()-ROW(MSPTasks[[#Headers],[ID]]))),"",IF(N(INDEX(tsk_StoryPoints,(ROW()-ROW(MSPTasks[[#Headers],[ID]]))))=0,"",INDEX(tsk_StoryPoints,(ROW()-ROW(MSPTasks[[#Headers],[ID]]))))))</f>
        <v/>
      </c>
      <c r="Z185" s="24" t="str">
        <f aca="false">IF(IFERROR(INDEX(tsk_Name,(ROW()-ROW(MSPTasks[[#Headers],[ID]])))="",TRUE()),"",INDEX(tsk_Notes,(ROW()-ROW(MSPTasks[[#Headers],[ID]])))&amp;"")</f>
        <v/>
      </c>
    </row>
    <row r="186" customFormat="false" ht="15" hidden="false" customHeight="false" outlineLevel="0" collapsed="false">
      <c r="A186" s="24" t="str">
        <f aca="false">IF(IFERROR(INDEX(tsk_Name,(ROW()-ROW(MSPTasks[[#Headers],[ID]])))="",TRUE()),"",INDEX(tsk_ID,(ROW()-ROW(MSPTasks[[#Headers],[ID]]))))</f>
        <v/>
      </c>
      <c r="B186" s="24" t="str">
        <f aca="false">IF(IFERROR(INDEX(tsk_Name,(ROW()-ROW(MSPTasks[[#Headers],[ID]])))="",TRUE()),"",INDEX(tsk_UID,(ROW()-ROW(MSPTasks[[#Headers],[ID]]))))</f>
        <v/>
      </c>
      <c r="C186" s="24" t="str">
        <f aca="false">IF(IFERROR(INDEX(tsk_Name,(ROW()-ROW(MSPTasks[[#Headers],[ID]])))="",TRUE()),"",INDEX(tsk_Name,(ROW()-ROW(MSPTasks[[#Headers],[ID]]))))</f>
        <v/>
      </c>
      <c r="D186" s="24" t="str">
        <f aca="false">IF(IFERROR(INDEX(tsk_Name,(ROW()-ROW(MSPTasks[[#Headers],[ID]])))="",TRUE()),"",INDEX(tsk_Level,(ROW()-ROW(MSPTasks[[#Headers],[ID]]))))</f>
        <v/>
      </c>
      <c r="E186" s="24" t="str">
        <f aca="false">IF(IFERROR(INDEX(tsk_Name,(ROW()-ROW(MSPTasks[[#Headers],[ID]])))="",TRUE()),"",IF(INDEX(tsk_Mode,(ROW()-ROW(MSPTasks[[#Headers],[ID]])))="Manual","Manually Scheduled","Auto Scheduled"))</f>
        <v/>
      </c>
      <c r="F186" s="24" t="str">
        <f aca="false">IF(IFERROR(INDEX(tsk_Name,(ROW()-ROW(MSPTasks[[#Headers],[ID]])))="",TRUE()),"",IF(INDEX(tsk_IsSummary,(ROW()-ROW(MSPTasks[[#Headers],[ID]]))),"",N(INDEX(tsk_Duration,(ROW()-ROW(MSPTasks[[#Headers],[ID]]))))&amp;"d"))</f>
        <v/>
      </c>
      <c r="G186" s="127" t="str">
        <f aca="false">IF(IFERROR(INDEX(tsk_Name,(ROW()-ROW(MSPTasks[[#Headers],[ID]])))="",TRUE()),"",INDEX(tsk_FcStart,(ROW()-ROW(MSPTasks[[#Headers],[ID]]))))</f>
        <v/>
      </c>
      <c r="H186" s="127" t="str">
        <f aca="false">IF(IFERROR(INDEX(tsk_Name,(ROW()-ROW(MSPTasks[[#Headers],[ID]])))="",TRUE()),"",INDEX(tsk_FcFinish,(ROW()-ROW(MSPTasks[[#Headers],[ID]]))))</f>
        <v/>
      </c>
      <c r="I186" s="24" t="str">
        <f aca="false">IF(IFERROR(INDEX(tsk_Name,(ROW()-ROW(MSPTasks[[#Headers],[ID]])))="",TRUE()),"",IF(INDEX(tsk_IsSummary,(ROW()-ROW(MSPTasks[[#Headers],[ID]]))),"",INDEX(tsk_Predecessors,(ROW()-ROW(MSPTasks[[#Headers],[ID]])))))</f>
        <v/>
      </c>
      <c r="J186" s="24" t="str">
        <f aca="false">IF(IFERROR(INDEX(tsk_Name,(ROW()-ROW(MSPTasks[[#Headers],[ID]])))="",TRUE()),"",IF(INDEX(tsk_IsSummary,(ROW()-ROW(MSPTasks[[#Headers],[ID]]))),"",INDEX(tsk_UIDPredecessors,(ROW()-ROW(MSPTasks[[#Headers],[ID]])))))</f>
        <v/>
      </c>
      <c r="K18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6" s="24" t="str">
        <f aca="false">IF(IFERROR(INDEX(tsk_Name,(ROW()-ROW(MSPTasks[[#Headers],[ID]])))="",TRUE()),"",IF(INDEX(tsk_IsSummary,(ROW()-ROW(MSPTasks[[#Headers],[ID]]))),"",ROUND(INDEX(tsk_Progress,(ROW()-ROW(MSPTasks[[#Headers],[ID]])))*100,0)))</f>
        <v/>
      </c>
      <c r="M186" s="127" t="str">
        <f aca="false">IF(IFERROR(INDEX(tsk_Name,(ROW()-ROW(MSPTasks[[#Headers],[ID]])))="",TRUE()),"",IF(N(INDEX(tsk_ActStart,(ROW()-ROW(MSPTasks[[#Headers],[ID]]))))=0,"",INDEX(tsk_ActStart,(ROW()-ROW(MSPTasks[[#Headers],[ID]])))))</f>
        <v/>
      </c>
      <c r="N186" s="127" t="str">
        <f aca="false">IF(IFERROR(INDEX(tsk_Name,(ROW()-ROW(MSPTasks[[#Headers],[ID]])))="",TRUE()),"",IF(N(INDEX(tsk_ActFinish,(ROW()-ROW(MSPTasks[[#Headers],[ID]]))))=0,"",INDEX(tsk_ActFinish,(ROW()-ROW(MSPTasks[[#Headers],[ID]])))))</f>
        <v/>
      </c>
      <c r="O186" s="127" t="str">
        <f aca="false">IF(IFERROR(INDEX(tsk_Name,(ROW()-ROW(MSPTasks[[#Headers],[ID]])))="",TRUE()),"",INDEX(tsk_PlanStart,(ROW()-ROW(MSPTasks[[#Headers],[ID]]))))</f>
        <v/>
      </c>
      <c r="P186" s="127" t="str">
        <f aca="false">IF(IFERROR(INDEX(tsk_Name,(ROW()-ROW(MSPTasks[[#Headers],[ID]])))="",TRUE()),"",INDEX(tsk_PlanFinish,(ROW()-ROW(MSPTasks[[#Headers],[ID]]))))</f>
        <v/>
      </c>
      <c r="Q186" s="24" t="str">
        <f aca="false">IF(IFERROR(INDEX(tsk_Name,(ROW()-ROW(MSPTasks[[#Headers],[ID]])))="",TRUE()),"",IF(INDEX(tsk_BaseDuration,(ROW()-ROW(MSPTasks[[#Headers],[ID]])))="","",N(INDEX(tsk_BaseDuration,(ROW()-ROW(MSPTasks[[#Headers],[ID]]))))&amp;"d"))</f>
        <v/>
      </c>
      <c r="R186" s="24" t="str">
        <f aca="false">IF(IFERROR(INDEX(tsk_Name,(ROW()-ROW(MSPTasks[[#Headers],[ID]])))="",TRUE()),"",IF(INDEX(tsk_BaseWork,(ROW()-ROW(MSPTasks[[#Headers],[ID]])))="","",N(INDEX(tsk_BaseWork,(ROW()-ROW(MSPTasks[[#Headers],[ID]]))))&amp;"h"))</f>
        <v/>
      </c>
      <c r="S186" s="24" t="str">
        <f aca="false">IF(IFERROR(INDEX(tsk_Name,(ROW()-ROW(MSPTasks[[#Headers],[ID]])))="",TRUE()),"",IF(INDEX(tsk_BaseCost,(ROW()-ROW(MSPTasks[[#Headers],[ID]])))="","",N(INDEX(tsk_BaseCost,(ROW()-ROW(MSPTasks[[#Headers],[ID]]))))))</f>
        <v/>
      </c>
      <c r="T186" s="24" t="str">
        <f aca="false">IF(IFERROR(INDEX(tsk_Name,(ROW()-ROW(MSPTasks[[#Headers],[ID]])))="",TRUE()),"",IF(INDEX(tsk_IsSummary,(ROW()-ROW(MSPTasks[[#Headers],[ID]]))),"",IF(N(INDEX(tsk_ActCostInput,(ROW()-ROW(MSPTasks[[#Headers],[ID]]))))=0,"",INDEX(tsk_ActCostInput,(ROW()-ROW(MSPTasks[[#Headers],[ID]]))))))</f>
        <v/>
      </c>
      <c r="U186" s="24" t="str">
        <f aca="false">IF(IFERROR(INDEX(tsk_Name,(ROW()-ROW(MSPTasks[[#Headers],[ID]])))="",TRUE()),"",IF(INDEX(tsk_IsSummary,(ROW()-ROW(MSPTasks[[#Headers],[ID]]))),"",IF(AND(INDEX(tsk_Mode,(ROW()-ROW(MSPTasks[[#Headers],[ID]])))&lt;&gt;"Manual",N(INDEX(tsk_Constraint,(ROW()-ROW(MSPTasks[[#Headers],[ID]]))))&gt;0),"Start No Earlier Than","As Soon As Possible")))</f>
        <v/>
      </c>
      <c r="V186" s="127" t="str">
        <f aca="false">IF(IFERROR(INDEX(tsk_Name,(ROW()-ROW(MSPTasks[[#Headers],[ID]])))="",TRUE()),"",IF(OR(INDEX(tsk_IsSummary,(ROW()-ROW(MSPTasks[[#Headers],[ID]]))),INDEX(tsk_Mode,(ROW()-ROW(MSPTasks[[#Headers],[ID]])))="Manual"),"",IF(N(INDEX(tsk_Constraint,(ROW()-ROW(MSPTasks[[#Headers],[ID]]))))=0,"",INDEX(tsk_Constraint,(ROW()-ROW(MSPTasks[[#Headers],[ID]]))))))</f>
        <v/>
      </c>
      <c r="W186" s="127" t="str">
        <f aca="false">IF(IFERROR(INDEX(tsk_Name,(ROW()-ROW(MSPTasks[[#Headers],[ID]])))="",TRUE()),"",IF(N(INDEX(tsk_Deadline,(ROW()-ROW(MSPTasks[[#Headers],[ID]]))))=0,"",INDEX(tsk_Deadline,(ROW()-ROW(MSPTasks[[#Headers],[ID]])))))</f>
        <v/>
      </c>
      <c r="X186" s="24" t="str">
        <f aca="false">IF(IFERROR(INDEX(tsk_Name,(ROW()-ROW(MSPTasks[[#Headers],[ID]])))="",TRUE()),"",IF(INDEX(tsk_IsSummary,(ROW()-ROW(MSPTasks[[#Headers],[ID]]))),"",INDEX(tsk_Sprint,(ROW()-ROW(MSPTasks[[#Headers],[ID]])))&amp;""))</f>
        <v/>
      </c>
      <c r="Y186" s="24" t="str">
        <f aca="false">IF(IFERROR(INDEX(tsk_Name,(ROW()-ROW(MSPTasks[[#Headers],[ID]])))="",TRUE()),"",IF(INDEX(tsk_IsSummary,(ROW()-ROW(MSPTasks[[#Headers],[ID]]))),"",IF(N(INDEX(tsk_StoryPoints,(ROW()-ROW(MSPTasks[[#Headers],[ID]]))))=0,"",INDEX(tsk_StoryPoints,(ROW()-ROW(MSPTasks[[#Headers],[ID]]))))))</f>
        <v/>
      </c>
      <c r="Z186" s="24" t="str">
        <f aca="false">IF(IFERROR(INDEX(tsk_Name,(ROW()-ROW(MSPTasks[[#Headers],[ID]])))="",TRUE()),"",INDEX(tsk_Notes,(ROW()-ROW(MSPTasks[[#Headers],[ID]])))&amp;"")</f>
        <v/>
      </c>
    </row>
    <row r="187" customFormat="false" ht="15" hidden="false" customHeight="false" outlineLevel="0" collapsed="false">
      <c r="A187" s="24" t="str">
        <f aca="false">IF(IFERROR(INDEX(tsk_Name,(ROW()-ROW(MSPTasks[[#Headers],[ID]])))="",TRUE()),"",INDEX(tsk_ID,(ROW()-ROW(MSPTasks[[#Headers],[ID]]))))</f>
        <v/>
      </c>
      <c r="B187" s="24" t="str">
        <f aca="false">IF(IFERROR(INDEX(tsk_Name,(ROW()-ROW(MSPTasks[[#Headers],[ID]])))="",TRUE()),"",INDEX(tsk_UID,(ROW()-ROW(MSPTasks[[#Headers],[ID]]))))</f>
        <v/>
      </c>
      <c r="C187" s="24" t="str">
        <f aca="false">IF(IFERROR(INDEX(tsk_Name,(ROW()-ROW(MSPTasks[[#Headers],[ID]])))="",TRUE()),"",INDEX(tsk_Name,(ROW()-ROW(MSPTasks[[#Headers],[ID]]))))</f>
        <v/>
      </c>
      <c r="D187" s="24" t="str">
        <f aca="false">IF(IFERROR(INDEX(tsk_Name,(ROW()-ROW(MSPTasks[[#Headers],[ID]])))="",TRUE()),"",INDEX(tsk_Level,(ROW()-ROW(MSPTasks[[#Headers],[ID]]))))</f>
        <v/>
      </c>
      <c r="E187" s="24" t="str">
        <f aca="false">IF(IFERROR(INDEX(tsk_Name,(ROW()-ROW(MSPTasks[[#Headers],[ID]])))="",TRUE()),"",IF(INDEX(tsk_Mode,(ROW()-ROW(MSPTasks[[#Headers],[ID]])))="Manual","Manually Scheduled","Auto Scheduled"))</f>
        <v/>
      </c>
      <c r="F187" s="24" t="str">
        <f aca="false">IF(IFERROR(INDEX(tsk_Name,(ROW()-ROW(MSPTasks[[#Headers],[ID]])))="",TRUE()),"",IF(INDEX(tsk_IsSummary,(ROW()-ROW(MSPTasks[[#Headers],[ID]]))),"",N(INDEX(tsk_Duration,(ROW()-ROW(MSPTasks[[#Headers],[ID]]))))&amp;"d"))</f>
        <v/>
      </c>
      <c r="G187" s="127" t="str">
        <f aca="false">IF(IFERROR(INDEX(tsk_Name,(ROW()-ROW(MSPTasks[[#Headers],[ID]])))="",TRUE()),"",INDEX(tsk_FcStart,(ROW()-ROW(MSPTasks[[#Headers],[ID]]))))</f>
        <v/>
      </c>
      <c r="H187" s="127" t="str">
        <f aca="false">IF(IFERROR(INDEX(tsk_Name,(ROW()-ROW(MSPTasks[[#Headers],[ID]])))="",TRUE()),"",INDEX(tsk_FcFinish,(ROW()-ROW(MSPTasks[[#Headers],[ID]]))))</f>
        <v/>
      </c>
      <c r="I187" s="24" t="str">
        <f aca="false">IF(IFERROR(INDEX(tsk_Name,(ROW()-ROW(MSPTasks[[#Headers],[ID]])))="",TRUE()),"",IF(INDEX(tsk_IsSummary,(ROW()-ROW(MSPTasks[[#Headers],[ID]]))),"",INDEX(tsk_Predecessors,(ROW()-ROW(MSPTasks[[#Headers],[ID]])))))</f>
        <v/>
      </c>
      <c r="J187" s="24" t="str">
        <f aca="false">IF(IFERROR(INDEX(tsk_Name,(ROW()-ROW(MSPTasks[[#Headers],[ID]])))="",TRUE()),"",IF(INDEX(tsk_IsSummary,(ROW()-ROW(MSPTasks[[#Headers],[ID]]))),"",INDEX(tsk_UIDPredecessors,(ROW()-ROW(MSPTasks[[#Headers],[ID]])))))</f>
        <v/>
      </c>
      <c r="K18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7" s="24" t="str">
        <f aca="false">IF(IFERROR(INDEX(tsk_Name,(ROW()-ROW(MSPTasks[[#Headers],[ID]])))="",TRUE()),"",IF(INDEX(tsk_IsSummary,(ROW()-ROW(MSPTasks[[#Headers],[ID]]))),"",ROUND(INDEX(tsk_Progress,(ROW()-ROW(MSPTasks[[#Headers],[ID]])))*100,0)))</f>
        <v/>
      </c>
      <c r="M187" s="127" t="str">
        <f aca="false">IF(IFERROR(INDEX(tsk_Name,(ROW()-ROW(MSPTasks[[#Headers],[ID]])))="",TRUE()),"",IF(N(INDEX(tsk_ActStart,(ROW()-ROW(MSPTasks[[#Headers],[ID]]))))=0,"",INDEX(tsk_ActStart,(ROW()-ROW(MSPTasks[[#Headers],[ID]])))))</f>
        <v/>
      </c>
      <c r="N187" s="127" t="str">
        <f aca="false">IF(IFERROR(INDEX(tsk_Name,(ROW()-ROW(MSPTasks[[#Headers],[ID]])))="",TRUE()),"",IF(N(INDEX(tsk_ActFinish,(ROW()-ROW(MSPTasks[[#Headers],[ID]]))))=0,"",INDEX(tsk_ActFinish,(ROW()-ROW(MSPTasks[[#Headers],[ID]])))))</f>
        <v/>
      </c>
      <c r="O187" s="127" t="str">
        <f aca="false">IF(IFERROR(INDEX(tsk_Name,(ROW()-ROW(MSPTasks[[#Headers],[ID]])))="",TRUE()),"",INDEX(tsk_PlanStart,(ROW()-ROW(MSPTasks[[#Headers],[ID]]))))</f>
        <v/>
      </c>
      <c r="P187" s="127" t="str">
        <f aca="false">IF(IFERROR(INDEX(tsk_Name,(ROW()-ROW(MSPTasks[[#Headers],[ID]])))="",TRUE()),"",INDEX(tsk_PlanFinish,(ROW()-ROW(MSPTasks[[#Headers],[ID]]))))</f>
        <v/>
      </c>
      <c r="Q187" s="24" t="str">
        <f aca="false">IF(IFERROR(INDEX(tsk_Name,(ROW()-ROW(MSPTasks[[#Headers],[ID]])))="",TRUE()),"",IF(INDEX(tsk_BaseDuration,(ROW()-ROW(MSPTasks[[#Headers],[ID]])))="","",N(INDEX(tsk_BaseDuration,(ROW()-ROW(MSPTasks[[#Headers],[ID]]))))&amp;"d"))</f>
        <v/>
      </c>
      <c r="R187" s="24" t="str">
        <f aca="false">IF(IFERROR(INDEX(tsk_Name,(ROW()-ROW(MSPTasks[[#Headers],[ID]])))="",TRUE()),"",IF(INDEX(tsk_BaseWork,(ROW()-ROW(MSPTasks[[#Headers],[ID]])))="","",N(INDEX(tsk_BaseWork,(ROW()-ROW(MSPTasks[[#Headers],[ID]]))))&amp;"h"))</f>
        <v/>
      </c>
      <c r="S187" s="24" t="str">
        <f aca="false">IF(IFERROR(INDEX(tsk_Name,(ROW()-ROW(MSPTasks[[#Headers],[ID]])))="",TRUE()),"",IF(INDEX(tsk_BaseCost,(ROW()-ROW(MSPTasks[[#Headers],[ID]])))="","",N(INDEX(tsk_BaseCost,(ROW()-ROW(MSPTasks[[#Headers],[ID]]))))))</f>
        <v/>
      </c>
      <c r="T187" s="24" t="str">
        <f aca="false">IF(IFERROR(INDEX(tsk_Name,(ROW()-ROW(MSPTasks[[#Headers],[ID]])))="",TRUE()),"",IF(INDEX(tsk_IsSummary,(ROW()-ROW(MSPTasks[[#Headers],[ID]]))),"",IF(N(INDEX(tsk_ActCostInput,(ROW()-ROW(MSPTasks[[#Headers],[ID]]))))=0,"",INDEX(tsk_ActCostInput,(ROW()-ROW(MSPTasks[[#Headers],[ID]]))))))</f>
        <v/>
      </c>
      <c r="U187" s="24" t="str">
        <f aca="false">IF(IFERROR(INDEX(tsk_Name,(ROW()-ROW(MSPTasks[[#Headers],[ID]])))="",TRUE()),"",IF(INDEX(tsk_IsSummary,(ROW()-ROW(MSPTasks[[#Headers],[ID]]))),"",IF(AND(INDEX(tsk_Mode,(ROW()-ROW(MSPTasks[[#Headers],[ID]])))&lt;&gt;"Manual",N(INDEX(tsk_Constraint,(ROW()-ROW(MSPTasks[[#Headers],[ID]]))))&gt;0),"Start No Earlier Than","As Soon As Possible")))</f>
        <v/>
      </c>
      <c r="V187" s="127" t="str">
        <f aca="false">IF(IFERROR(INDEX(tsk_Name,(ROW()-ROW(MSPTasks[[#Headers],[ID]])))="",TRUE()),"",IF(OR(INDEX(tsk_IsSummary,(ROW()-ROW(MSPTasks[[#Headers],[ID]]))),INDEX(tsk_Mode,(ROW()-ROW(MSPTasks[[#Headers],[ID]])))="Manual"),"",IF(N(INDEX(tsk_Constraint,(ROW()-ROW(MSPTasks[[#Headers],[ID]]))))=0,"",INDEX(tsk_Constraint,(ROW()-ROW(MSPTasks[[#Headers],[ID]]))))))</f>
        <v/>
      </c>
      <c r="W187" s="127" t="str">
        <f aca="false">IF(IFERROR(INDEX(tsk_Name,(ROW()-ROW(MSPTasks[[#Headers],[ID]])))="",TRUE()),"",IF(N(INDEX(tsk_Deadline,(ROW()-ROW(MSPTasks[[#Headers],[ID]]))))=0,"",INDEX(tsk_Deadline,(ROW()-ROW(MSPTasks[[#Headers],[ID]])))))</f>
        <v/>
      </c>
      <c r="X187" s="24" t="str">
        <f aca="false">IF(IFERROR(INDEX(tsk_Name,(ROW()-ROW(MSPTasks[[#Headers],[ID]])))="",TRUE()),"",IF(INDEX(tsk_IsSummary,(ROW()-ROW(MSPTasks[[#Headers],[ID]]))),"",INDEX(tsk_Sprint,(ROW()-ROW(MSPTasks[[#Headers],[ID]])))&amp;""))</f>
        <v/>
      </c>
      <c r="Y187" s="24" t="str">
        <f aca="false">IF(IFERROR(INDEX(tsk_Name,(ROW()-ROW(MSPTasks[[#Headers],[ID]])))="",TRUE()),"",IF(INDEX(tsk_IsSummary,(ROW()-ROW(MSPTasks[[#Headers],[ID]]))),"",IF(N(INDEX(tsk_StoryPoints,(ROW()-ROW(MSPTasks[[#Headers],[ID]]))))=0,"",INDEX(tsk_StoryPoints,(ROW()-ROW(MSPTasks[[#Headers],[ID]]))))))</f>
        <v/>
      </c>
      <c r="Z187" s="24" t="str">
        <f aca="false">IF(IFERROR(INDEX(tsk_Name,(ROW()-ROW(MSPTasks[[#Headers],[ID]])))="",TRUE()),"",INDEX(tsk_Notes,(ROW()-ROW(MSPTasks[[#Headers],[ID]])))&amp;"")</f>
        <v/>
      </c>
    </row>
    <row r="188" customFormat="false" ht="15" hidden="false" customHeight="false" outlineLevel="0" collapsed="false">
      <c r="A188" s="24" t="str">
        <f aca="false">IF(IFERROR(INDEX(tsk_Name,(ROW()-ROW(MSPTasks[[#Headers],[ID]])))="",TRUE()),"",INDEX(tsk_ID,(ROW()-ROW(MSPTasks[[#Headers],[ID]]))))</f>
        <v/>
      </c>
      <c r="B188" s="24" t="str">
        <f aca="false">IF(IFERROR(INDEX(tsk_Name,(ROW()-ROW(MSPTasks[[#Headers],[ID]])))="",TRUE()),"",INDEX(tsk_UID,(ROW()-ROW(MSPTasks[[#Headers],[ID]]))))</f>
        <v/>
      </c>
      <c r="C188" s="24" t="str">
        <f aca="false">IF(IFERROR(INDEX(tsk_Name,(ROW()-ROW(MSPTasks[[#Headers],[ID]])))="",TRUE()),"",INDEX(tsk_Name,(ROW()-ROW(MSPTasks[[#Headers],[ID]]))))</f>
        <v/>
      </c>
      <c r="D188" s="24" t="str">
        <f aca="false">IF(IFERROR(INDEX(tsk_Name,(ROW()-ROW(MSPTasks[[#Headers],[ID]])))="",TRUE()),"",INDEX(tsk_Level,(ROW()-ROW(MSPTasks[[#Headers],[ID]]))))</f>
        <v/>
      </c>
      <c r="E188" s="24" t="str">
        <f aca="false">IF(IFERROR(INDEX(tsk_Name,(ROW()-ROW(MSPTasks[[#Headers],[ID]])))="",TRUE()),"",IF(INDEX(tsk_Mode,(ROW()-ROW(MSPTasks[[#Headers],[ID]])))="Manual","Manually Scheduled","Auto Scheduled"))</f>
        <v/>
      </c>
      <c r="F188" s="24" t="str">
        <f aca="false">IF(IFERROR(INDEX(tsk_Name,(ROW()-ROW(MSPTasks[[#Headers],[ID]])))="",TRUE()),"",IF(INDEX(tsk_IsSummary,(ROW()-ROW(MSPTasks[[#Headers],[ID]]))),"",N(INDEX(tsk_Duration,(ROW()-ROW(MSPTasks[[#Headers],[ID]]))))&amp;"d"))</f>
        <v/>
      </c>
      <c r="G188" s="127" t="str">
        <f aca="false">IF(IFERROR(INDEX(tsk_Name,(ROW()-ROW(MSPTasks[[#Headers],[ID]])))="",TRUE()),"",INDEX(tsk_FcStart,(ROW()-ROW(MSPTasks[[#Headers],[ID]]))))</f>
        <v/>
      </c>
      <c r="H188" s="127" t="str">
        <f aca="false">IF(IFERROR(INDEX(tsk_Name,(ROW()-ROW(MSPTasks[[#Headers],[ID]])))="",TRUE()),"",INDEX(tsk_FcFinish,(ROW()-ROW(MSPTasks[[#Headers],[ID]]))))</f>
        <v/>
      </c>
      <c r="I188" s="24" t="str">
        <f aca="false">IF(IFERROR(INDEX(tsk_Name,(ROW()-ROW(MSPTasks[[#Headers],[ID]])))="",TRUE()),"",IF(INDEX(tsk_IsSummary,(ROW()-ROW(MSPTasks[[#Headers],[ID]]))),"",INDEX(tsk_Predecessors,(ROW()-ROW(MSPTasks[[#Headers],[ID]])))))</f>
        <v/>
      </c>
      <c r="J188" s="24" t="str">
        <f aca="false">IF(IFERROR(INDEX(tsk_Name,(ROW()-ROW(MSPTasks[[#Headers],[ID]])))="",TRUE()),"",IF(INDEX(tsk_IsSummary,(ROW()-ROW(MSPTasks[[#Headers],[ID]]))),"",INDEX(tsk_UIDPredecessors,(ROW()-ROW(MSPTasks[[#Headers],[ID]])))))</f>
        <v/>
      </c>
      <c r="K18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8" s="24" t="str">
        <f aca="false">IF(IFERROR(INDEX(tsk_Name,(ROW()-ROW(MSPTasks[[#Headers],[ID]])))="",TRUE()),"",IF(INDEX(tsk_IsSummary,(ROW()-ROW(MSPTasks[[#Headers],[ID]]))),"",ROUND(INDEX(tsk_Progress,(ROW()-ROW(MSPTasks[[#Headers],[ID]])))*100,0)))</f>
        <v/>
      </c>
      <c r="M188" s="127" t="str">
        <f aca="false">IF(IFERROR(INDEX(tsk_Name,(ROW()-ROW(MSPTasks[[#Headers],[ID]])))="",TRUE()),"",IF(N(INDEX(tsk_ActStart,(ROW()-ROW(MSPTasks[[#Headers],[ID]]))))=0,"",INDEX(tsk_ActStart,(ROW()-ROW(MSPTasks[[#Headers],[ID]])))))</f>
        <v/>
      </c>
      <c r="N188" s="127" t="str">
        <f aca="false">IF(IFERROR(INDEX(tsk_Name,(ROW()-ROW(MSPTasks[[#Headers],[ID]])))="",TRUE()),"",IF(N(INDEX(tsk_ActFinish,(ROW()-ROW(MSPTasks[[#Headers],[ID]]))))=0,"",INDEX(tsk_ActFinish,(ROW()-ROW(MSPTasks[[#Headers],[ID]])))))</f>
        <v/>
      </c>
      <c r="O188" s="127" t="str">
        <f aca="false">IF(IFERROR(INDEX(tsk_Name,(ROW()-ROW(MSPTasks[[#Headers],[ID]])))="",TRUE()),"",INDEX(tsk_PlanStart,(ROW()-ROW(MSPTasks[[#Headers],[ID]]))))</f>
        <v/>
      </c>
      <c r="P188" s="127" t="str">
        <f aca="false">IF(IFERROR(INDEX(tsk_Name,(ROW()-ROW(MSPTasks[[#Headers],[ID]])))="",TRUE()),"",INDEX(tsk_PlanFinish,(ROW()-ROW(MSPTasks[[#Headers],[ID]]))))</f>
        <v/>
      </c>
      <c r="Q188" s="24" t="str">
        <f aca="false">IF(IFERROR(INDEX(tsk_Name,(ROW()-ROW(MSPTasks[[#Headers],[ID]])))="",TRUE()),"",IF(INDEX(tsk_BaseDuration,(ROW()-ROW(MSPTasks[[#Headers],[ID]])))="","",N(INDEX(tsk_BaseDuration,(ROW()-ROW(MSPTasks[[#Headers],[ID]]))))&amp;"d"))</f>
        <v/>
      </c>
      <c r="R188" s="24" t="str">
        <f aca="false">IF(IFERROR(INDEX(tsk_Name,(ROW()-ROW(MSPTasks[[#Headers],[ID]])))="",TRUE()),"",IF(INDEX(tsk_BaseWork,(ROW()-ROW(MSPTasks[[#Headers],[ID]])))="","",N(INDEX(tsk_BaseWork,(ROW()-ROW(MSPTasks[[#Headers],[ID]]))))&amp;"h"))</f>
        <v/>
      </c>
      <c r="S188" s="24" t="str">
        <f aca="false">IF(IFERROR(INDEX(tsk_Name,(ROW()-ROW(MSPTasks[[#Headers],[ID]])))="",TRUE()),"",IF(INDEX(tsk_BaseCost,(ROW()-ROW(MSPTasks[[#Headers],[ID]])))="","",N(INDEX(tsk_BaseCost,(ROW()-ROW(MSPTasks[[#Headers],[ID]]))))))</f>
        <v/>
      </c>
      <c r="T188" s="24" t="str">
        <f aca="false">IF(IFERROR(INDEX(tsk_Name,(ROW()-ROW(MSPTasks[[#Headers],[ID]])))="",TRUE()),"",IF(INDEX(tsk_IsSummary,(ROW()-ROW(MSPTasks[[#Headers],[ID]]))),"",IF(N(INDEX(tsk_ActCostInput,(ROW()-ROW(MSPTasks[[#Headers],[ID]]))))=0,"",INDEX(tsk_ActCostInput,(ROW()-ROW(MSPTasks[[#Headers],[ID]]))))))</f>
        <v/>
      </c>
      <c r="U188" s="24" t="str">
        <f aca="false">IF(IFERROR(INDEX(tsk_Name,(ROW()-ROW(MSPTasks[[#Headers],[ID]])))="",TRUE()),"",IF(INDEX(tsk_IsSummary,(ROW()-ROW(MSPTasks[[#Headers],[ID]]))),"",IF(AND(INDEX(tsk_Mode,(ROW()-ROW(MSPTasks[[#Headers],[ID]])))&lt;&gt;"Manual",N(INDEX(tsk_Constraint,(ROW()-ROW(MSPTasks[[#Headers],[ID]]))))&gt;0),"Start No Earlier Than","As Soon As Possible")))</f>
        <v/>
      </c>
      <c r="V188" s="127" t="str">
        <f aca="false">IF(IFERROR(INDEX(tsk_Name,(ROW()-ROW(MSPTasks[[#Headers],[ID]])))="",TRUE()),"",IF(OR(INDEX(tsk_IsSummary,(ROW()-ROW(MSPTasks[[#Headers],[ID]]))),INDEX(tsk_Mode,(ROW()-ROW(MSPTasks[[#Headers],[ID]])))="Manual"),"",IF(N(INDEX(tsk_Constraint,(ROW()-ROW(MSPTasks[[#Headers],[ID]]))))=0,"",INDEX(tsk_Constraint,(ROW()-ROW(MSPTasks[[#Headers],[ID]]))))))</f>
        <v/>
      </c>
      <c r="W188" s="127" t="str">
        <f aca="false">IF(IFERROR(INDEX(tsk_Name,(ROW()-ROW(MSPTasks[[#Headers],[ID]])))="",TRUE()),"",IF(N(INDEX(tsk_Deadline,(ROW()-ROW(MSPTasks[[#Headers],[ID]]))))=0,"",INDEX(tsk_Deadline,(ROW()-ROW(MSPTasks[[#Headers],[ID]])))))</f>
        <v/>
      </c>
      <c r="X188" s="24" t="str">
        <f aca="false">IF(IFERROR(INDEX(tsk_Name,(ROW()-ROW(MSPTasks[[#Headers],[ID]])))="",TRUE()),"",IF(INDEX(tsk_IsSummary,(ROW()-ROW(MSPTasks[[#Headers],[ID]]))),"",INDEX(tsk_Sprint,(ROW()-ROW(MSPTasks[[#Headers],[ID]])))&amp;""))</f>
        <v/>
      </c>
      <c r="Y188" s="24" t="str">
        <f aca="false">IF(IFERROR(INDEX(tsk_Name,(ROW()-ROW(MSPTasks[[#Headers],[ID]])))="",TRUE()),"",IF(INDEX(tsk_IsSummary,(ROW()-ROW(MSPTasks[[#Headers],[ID]]))),"",IF(N(INDEX(tsk_StoryPoints,(ROW()-ROW(MSPTasks[[#Headers],[ID]]))))=0,"",INDEX(tsk_StoryPoints,(ROW()-ROW(MSPTasks[[#Headers],[ID]]))))))</f>
        <v/>
      </c>
      <c r="Z188" s="24" t="str">
        <f aca="false">IF(IFERROR(INDEX(tsk_Name,(ROW()-ROW(MSPTasks[[#Headers],[ID]])))="",TRUE()),"",INDEX(tsk_Notes,(ROW()-ROW(MSPTasks[[#Headers],[ID]])))&amp;"")</f>
        <v/>
      </c>
    </row>
    <row r="189" customFormat="false" ht="15" hidden="false" customHeight="false" outlineLevel="0" collapsed="false">
      <c r="A189" s="24" t="str">
        <f aca="false">IF(IFERROR(INDEX(tsk_Name,(ROW()-ROW(MSPTasks[[#Headers],[ID]])))="",TRUE()),"",INDEX(tsk_ID,(ROW()-ROW(MSPTasks[[#Headers],[ID]]))))</f>
        <v/>
      </c>
      <c r="B189" s="24" t="str">
        <f aca="false">IF(IFERROR(INDEX(tsk_Name,(ROW()-ROW(MSPTasks[[#Headers],[ID]])))="",TRUE()),"",INDEX(tsk_UID,(ROW()-ROW(MSPTasks[[#Headers],[ID]]))))</f>
        <v/>
      </c>
      <c r="C189" s="24" t="str">
        <f aca="false">IF(IFERROR(INDEX(tsk_Name,(ROW()-ROW(MSPTasks[[#Headers],[ID]])))="",TRUE()),"",INDEX(tsk_Name,(ROW()-ROW(MSPTasks[[#Headers],[ID]]))))</f>
        <v/>
      </c>
      <c r="D189" s="24" t="str">
        <f aca="false">IF(IFERROR(INDEX(tsk_Name,(ROW()-ROW(MSPTasks[[#Headers],[ID]])))="",TRUE()),"",INDEX(tsk_Level,(ROW()-ROW(MSPTasks[[#Headers],[ID]]))))</f>
        <v/>
      </c>
      <c r="E189" s="24" t="str">
        <f aca="false">IF(IFERROR(INDEX(tsk_Name,(ROW()-ROW(MSPTasks[[#Headers],[ID]])))="",TRUE()),"",IF(INDEX(tsk_Mode,(ROW()-ROW(MSPTasks[[#Headers],[ID]])))="Manual","Manually Scheduled","Auto Scheduled"))</f>
        <v/>
      </c>
      <c r="F189" s="24" t="str">
        <f aca="false">IF(IFERROR(INDEX(tsk_Name,(ROW()-ROW(MSPTasks[[#Headers],[ID]])))="",TRUE()),"",IF(INDEX(tsk_IsSummary,(ROW()-ROW(MSPTasks[[#Headers],[ID]]))),"",N(INDEX(tsk_Duration,(ROW()-ROW(MSPTasks[[#Headers],[ID]]))))&amp;"d"))</f>
        <v/>
      </c>
      <c r="G189" s="127" t="str">
        <f aca="false">IF(IFERROR(INDEX(tsk_Name,(ROW()-ROW(MSPTasks[[#Headers],[ID]])))="",TRUE()),"",INDEX(tsk_FcStart,(ROW()-ROW(MSPTasks[[#Headers],[ID]]))))</f>
        <v/>
      </c>
      <c r="H189" s="127" t="str">
        <f aca="false">IF(IFERROR(INDEX(tsk_Name,(ROW()-ROW(MSPTasks[[#Headers],[ID]])))="",TRUE()),"",INDEX(tsk_FcFinish,(ROW()-ROW(MSPTasks[[#Headers],[ID]]))))</f>
        <v/>
      </c>
      <c r="I189" s="24" t="str">
        <f aca="false">IF(IFERROR(INDEX(tsk_Name,(ROW()-ROW(MSPTasks[[#Headers],[ID]])))="",TRUE()),"",IF(INDEX(tsk_IsSummary,(ROW()-ROW(MSPTasks[[#Headers],[ID]]))),"",INDEX(tsk_Predecessors,(ROW()-ROW(MSPTasks[[#Headers],[ID]])))))</f>
        <v/>
      </c>
      <c r="J189" s="24" t="str">
        <f aca="false">IF(IFERROR(INDEX(tsk_Name,(ROW()-ROW(MSPTasks[[#Headers],[ID]])))="",TRUE()),"",IF(INDEX(tsk_IsSummary,(ROW()-ROW(MSPTasks[[#Headers],[ID]]))),"",INDEX(tsk_UIDPredecessors,(ROW()-ROW(MSPTasks[[#Headers],[ID]])))))</f>
        <v/>
      </c>
      <c r="K18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9" s="24" t="str">
        <f aca="false">IF(IFERROR(INDEX(tsk_Name,(ROW()-ROW(MSPTasks[[#Headers],[ID]])))="",TRUE()),"",IF(INDEX(tsk_IsSummary,(ROW()-ROW(MSPTasks[[#Headers],[ID]]))),"",ROUND(INDEX(tsk_Progress,(ROW()-ROW(MSPTasks[[#Headers],[ID]])))*100,0)))</f>
        <v/>
      </c>
      <c r="M189" s="127" t="str">
        <f aca="false">IF(IFERROR(INDEX(tsk_Name,(ROW()-ROW(MSPTasks[[#Headers],[ID]])))="",TRUE()),"",IF(N(INDEX(tsk_ActStart,(ROW()-ROW(MSPTasks[[#Headers],[ID]]))))=0,"",INDEX(tsk_ActStart,(ROW()-ROW(MSPTasks[[#Headers],[ID]])))))</f>
        <v/>
      </c>
      <c r="N189" s="127" t="str">
        <f aca="false">IF(IFERROR(INDEX(tsk_Name,(ROW()-ROW(MSPTasks[[#Headers],[ID]])))="",TRUE()),"",IF(N(INDEX(tsk_ActFinish,(ROW()-ROW(MSPTasks[[#Headers],[ID]]))))=0,"",INDEX(tsk_ActFinish,(ROW()-ROW(MSPTasks[[#Headers],[ID]])))))</f>
        <v/>
      </c>
      <c r="O189" s="127" t="str">
        <f aca="false">IF(IFERROR(INDEX(tsk_Name,(ROW()-ROW(MSPTasks[[#Headers],[ID]])))="",TRUE()),"",INDEX(tsk_PlanStart,(ROW()-ROW(MSPTasks[[#Headers],[ID]]))))</f>
        <v/>
      </c>
      <c r="P189" s="127" t="str">
        <f aca="false">IF(IFERROR(INDEX(tsk_Name,(ROW()-ROW(MSPTasks[[#Headers],[ID]])))="",TRUE()),"",INDEX(tsk_PlanFinish,(ROW()-ROW(MSPTasks[[#Headers],[ID]]))))</f>
        <v/>
      </c>
      <c r="Q189" s="24" t="str">
        <f aca="false">IF(IFERROR(INDEX(tsk_Name,(ROW()-ROW(MSPTasks[[#Headers],[ID]])))="",TRUE()),"",IF(INDEX(tsk_BaseDuration,(ROW()-ROW(MSPTasks[[#Headers],[ID]])))="","",N(INDEX(tsk_BaseDuration,(ROW()-ROW(MSPTasks[[#Headers],[ID]]))))&amp;"d"))</f>
        <v/>
      </c>
      <c r="R189" s="24" t="str">
        <f aca="false">IF(IFERROR(INDEX(tsk_Name,(ROW()-ROW(MSPTasks[[#Headers],[ID]])))="",TRUE()),"",IF(INDEX(tsk_BaseWork,(ROW()-ROW(MSPTasks[[#Headers],[ID]])))="","",N(INDEX(tsk_BaseWork,(ROW()-ROW(MSPTasks[[#Headers],[ID]]))))&amp;"h"))</f>
        <v/>
      </c>
      <c r="S189" s="24" t="str">
        <f aca="false">IF(IFERROR(INDEX(tsk_Name,(ROW()-ROW(MSPTasks[[#Headers],[ID]])))="",TRUE()),"",IF(INDEX(tsk_BaseCost,(ROW()-ROW(MSPTasks[[#Headers],[ID]])))="","",N(INDEX(tsk_BaseCost,(ROW()-ROW(MSPTasks[[#Headers],[ID]]))))))</f>
        <v/>
      </c>
      <c r="T189" s="24" t="str">
        <f aca="false">IF(IFERROR(INDEX(tsk_Name,(ROW()-ROW(MSPTasks[[#Headers],[ID]])))="",TRUE()),"",IF(INDEX(tsk_IsSummary,(ROW()-ROW(MSPTasks[[#Headers],[ID]]))),"",IF(N(INDEX(tsk_ActCostInput,(ROW()-ROW(MSPTasks[[#Headers],[ID]]))))=0,"",INDEX(tsk_ActCostInput,(ROW()-ROW(MSPTasks[[#Headers],[ID]]))))))</f>
        <v/>
      </c>
      <c r="U189" s="24" t="str">
        <f aca="false">IF(IFERROR(INDEX(tsk_Name,(ROW()-ROW(MSPTasks[[#Headers],[ID]])))="",TRUE()),"",IF(INDEX(tsk_IsSummary,(ROW()-ROW(MSPTasks[[#Headers],[ID]]))),"",IF(AND(INDEX(tsk_Mode,(ROW()-ROW(MSPTasks[[#Headers],[ID]])))&lt;&gt;"Manual",N(INDEX(tsk_Constraint,(ROW()-ROW(MSPTasks[[#Headers],[ID]]))))&gt;0),"Start No Earlier Than","As Soon As Possible")))</f>
        <v/>
      </c>
      <c r="V189" s="127" t="str">
        <f aca="false">IF(IFERROR(INDEX(tsk_Name,(ROW()-ROW(MSPTasks[[#Headers],[ID]])))="",TRUE()),"",IF(OR(INDEX(tsk_IsSummary,(ROW()-ROW(MSPTasks[[#Headers],[ID]]))),INDEX(tsk_Mode,(ROW()-ROW(MSPTasks[[#Headers],[ID]])))="Manual"),"",IF(N(INDEX(tsk_Constraint,(ROW()-ROW(MSPTasks[[#Headers],[ID]]))))=0,"",INDEX(tsk_Constraint,(ROW()-ROW(MSPTasks[[#Headers],[ID]]))))))</f>
        <v/>
      </c>
      <c r="W189" s="127" t="str">
        <f aca="false">IF(IFERROR(INDEX(tsk_Name,(ROW()-ROW(MSPTasks[[#Headers],[ID]])))="",TRUE()),"",IF(N(INDEX(tsk_Deadline,(ROW()-ROW(MSPTasks[[#Headers],[ID]]))))=0,"",INDEX(tsk_Deadline,(ROW()-ROW(MSPTasks[[#Headers],[ID]])))))</f>
        <v/>
      </c>
      <c r="X189" s="24" t="str">
        <f aca="false">IF(IFERROR(INDEX(tsk_Name,(ROW()-ROW(MSPTasks[[#Headers],[ID]])))="",TRUE()),"",IF(INDEX(tsk_IsSummary,(ROW()-ROW(MSPTasks[[#Headers],[ID]]))),"",INDEX(tsk_Sprint,(ROW()-ROW(MSPTasks[[#Headers],[ID]])))&amp;""))</f>
        <v/>
      </c>
      <c r="Y189" s="24" t="str">
        <f aca="false">IF(IFERROR(INDEX(tsk_Name,(ROW()-ROW(MSPTasks[[#Headers],[ID]])))="",TRUE()),"",IF(INDEX(tsk_IsSummary,(ROW()-ROW(MSPTasks[[#Headers],[ID]]))),"",IF(N(INDEX(tsk_StoryPoints,(ROW()-ROW(MSPTasks[[#Headers],[ID]]))))=0,"",INDEX(tsk_StoryPoints,(ROW()-ROW(MSPTasks[[#Headers],[ID]]))))))</f>
        <v/>
      </c>
      <c r="Z189" s="24" t="str">
        <f aca="false">IF(IFERROR(INDEX(tsk_Name,(ROW()-ROW(MSPTasks[[#Headers],[ID]])))="",TRUE()),"",INDEX(tsk_Notes,(ROW()-ROW(MSPTasks[[#Headers],[ID]])))&amp;"")</f>
        <v/>
      </c>
    </row>
    <row r="190" customFormat="false" ht="15" hidden="false" customHeight="false" outlineLevel="0" collapsed="false">
      <c r="A190" s="24" t="str">
        <f aca="false">IF(IFERROR(INDEX(tsk_Name,(ROW()-ROW(MSPTasks[[#Headers],[ID]])))="",TRUE()),"",INDEX(tsk_ID,(ROW()-ROW(MSPTasks[[#Headers],[ID]]))))</f>
        <v/>
      </c>
      <c r="B190" s="24" t="str">
        <f aca="false">IF(IFERROR(INDEX(tsk_Name,(ROW()-ROW(MSPTasks[[#Headers],[ID]])))="",TRUE()),"",INDEX(tsk_UID,(ROW()-ROW(MSPTasks[[#Headers],[ID]]))))</f>
        <v/>
      </c>
      <c r="C190" s="24" t="str">
        <f aca="false">IF(IFERROR(INDEX(tsk_Name,(ROW()-ROW(MSPTasks[[#Headers],[ID]])))="",TRUE()),"",INDEX(tsk_Name,(ROW()-ROW(MSPTasks[[#Headers],[ID]]))))</f>
        <v/>
      </c>
      <c r="D190" s="24" t="str">
        <f aca="false">IF(IFERROR(INDEX(tsk_Name,(ROW()-ROW(MSPTasks[[#Headers],[ID]])))="",TRUE()),"",INDEX(tsk_Level,(ROW()-ROW(MSPTasks[[#Headers],[ID]]))))</f>
        <v/>
      </c>
      <c r="E190" s="24" t="str">
        <f aca="false">IF(IFERROR(INDEX(tsk_Name,(ROW()-ROW(MSPTasks[[#Headers],[ID]])))="",TRUE()),"",IF(INDEX(tsk_Mode,(ROW()-ROW(MSPTasks[[#Headers],[ID]])))="Manual","Manually Scheduled","Auto Scheduled"))</f>
        <v/>
      </c>
      <c r="F190" s="24" t="str">
        <f aca="false">IF(IFERROR(INDEX(tsk_Name,(ROW()-ROW(MSPTasks[[#Headers],[ID]])))="",TRUE()),"",IF(INDEX(tsk_IsSummary,(ROW()-ROW(MSPTasks[[#Headers],[ID]]))),"",N(INDEX(tsk_Duration,(ROW()-ROW(MSPTasks[[#Headers],[ID]]))))&amp;"d"))</f>
        <v/>
      </c>
      <c r="G190" s="127" t="str">
        <f aca="false">IF(IFERROR(INDEX(tsk_Name,(ROW()-ROW(MSPTasks[[#Headers],[ID]])))="",TRUE()),"",INDEX(tsk_FcStart,(ROW()-ROW(MSPTasks[[#Headers],[ID]]))))</f>
        <v/>
      </c>
      <c r="H190" s="127" t="str">
        <f aca="false">IF(IFERROR(INDEX(tsk_Name,(ROW()-ROW(MSPTasks[[#Headers],[ID]])))="",TRUE()),"",INDEX(tsk_FcFinish,(ROW()-ROW(MSPTasks[[#Headers],[ID]]))))</f>
        <v/>
      </c>
      <c r="I190" s="24" t="str">
        <f aca="false">IF(IFERROR(INDEX(tsk_Name,(ROW()-ROW(MSPTasks[[#Headers],[ID]])))="",TRUE()),"",IF(INDEX(tsk_IsSummary,(ROW()-ROW(MSPTasks[[#Headers],[ID]]))),"",INDEX(tsk_Predecessors,(ROW()-ROW(MSPTasks[[#Headers],[ID]])))))</f>
        <v/>
      </c>
      <c r="J190" s="24" t="str">
        <f aca="false">IF(IFERROR(INDEX(tsk_Name,(ROW()-ROW(MSPTasks[[#Headers],[ID]])))="",TRUE()),"",IF(INDEX(tsk_IsSummary,(ROW()-ROW(MSPTasks[[#Headers],[ID]]))),"",INDEX(tsk_UIDPredecessors,(ROW()-ROW(MSPTasks[[#Headers],[ID]])))))</f>
        <v/>
      </c>
      <c r="K19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0" s="24" t="str">
        <f aca="false">IF(IFERROR(INDEX(tsk_Name,(ROW()-ROW(MSPTasks[[#Headers],[ID]])))="",TRUE()),"",IF(INDEX(tsk_IsSummary,(ROW()-ROW(MSPTasks[[#Headers],[ID]]))),"",ROUND(INDEX(tsk_Progress,(ROW()-ROW(MSPTasks[[#Headers],[ID]])))*100,0)))</f>
        <v/>
      </c>
      <c r="M190" s="127" t="str">
        <f aca="false">IF(IFERROR(INDEX(tsk_Name,(ROW()-ROW(MSPTasks[[#Headers],[ID]])))="",TRUE()),"",IF(N(INDEX(tsk_ActStart,(ROW()-ROW(MSPTasks[[#Headers],[ID]]))))=0,"",INDEX(tsk_ActStart,(ROW()-ROW(MSPTasks[[#Headers],[ID]])))))</f>
        <v/>
      </c>
      <c r="N190" s="127" t="str">
        <f aca="false">IF(IFERROR(INDEX(tsk_Name,(ROW()-ROW(MSPTasks[[#Headers],[ID]])))="",TRUE()),"",IF(N(INDEX(tsk_ActFinish,(ROW()-ROW(MSPTasks[[#Headers],[ID]]))))=0,"",INDEX(tsk_ActFinish,(ROW()-ROW(MSPTasks[[#Headers],[ID]])))))</f>
        <v/>
      </c>
      <c r="O190" s="127" t="str">
        <f aca="false">IF(IFERROR(INDEX(tsk_Name,(ROW()-ROW(MSPTasks[[#Headers],[ID]])))="",TRUE()),"",INDEX(tsk_PlanStart,(ROW()-ROW(MSPTasks[[#Headers],[ID]]))))</f>
        <v/>
      </c>
      <c r="P190" s="127" t="str">
        <f aca="false">IF(IFERROR(INDEX(tsk_Name,(ROW()-ROW(MSPTasks[[#Headers],[ID]])))="",TRUE()),"",INDEX(tsk_PlanFinish,(ROW()-ROW(MSPTasks[[#Headers],[ID]]))))</f>
        <v/>
      </c>
      <c r="Q190" s="24" t="str">
        <f aca="false">IF(IFERROR(INDEX(tsk_Name,(ROW()-ROW(MSPTasks[[#Headers],[ID]])))="",TRUE()),"",IF(INDEX(tsk_BaseDuration,(ROW()-ROW(MSPTasks[[#Headers],[ID]])))="","",N(INDEX(tsk_BaseDuration,(ROW()-ROW(MSPTasks[[#Headers],[ID]]))))&amp;"d"))</f>
        <v/>
      </c>
      <c r="R190" s="24" t="str">
        <f aca="false">IF(IFERROR(INDEX(tsk_Name,(ROW()-ROW(MSPTasks[[#Headers],[ID]])))="",TRUE()),"",IF(INDEX(tsk_BaseWork,(ROW()-ROW(MSPTasks[[#Headers],[ID]])))="","",N(INDEX(tsk_BaseWork,(ROW()-ROW(MSPTasks[[#Headers],[ID]]))))&amp;"h"))</f>
        <v/>
      </c>
      <c r="S190" s="24" t="str">
        <f aca="false">IF(IFERROR(INDEX(tsk_Name,(ROW()-ROW(MSPTasks[[#Headers],[ID]])))="",TRUE()),"",IF(INDEX(tsk_BaseCost,(ROW()-ROW(MSPTasks[[#Headers],[ID]])))="","",N(INDEX(tsk_BaseCost,(ROW()-ROW(MSPTasks[[#Headers],[ID]]))))))</f>
        <v/>
      </c>
      <c r="T190" s="24" t="str">
        <f aca="false">IF(IFERROR(INDEX(tsk_Name,(ROW()-ROW(MSPTasks[[#Headers],[ID]])))="",TRUE()),"",IF(INDEX(tsk_IsSummary,(ROW()-ROW(MSPTasks[[#Headers],[ID]]))),"",IF(N(INDEX(tsk_ActCostInput,(ROW()-ROW(MSPTasks[[#Headers],[ID]]))))=0,"",INDEX(tsk_ActCostInput,(ROW()-ROW(MSPTasks[[#Headers],[ID]]))))))</f>
        <v/>
      </c>
      <c r="U190" s="24" t="str">
        <f aca="false">IF(IFERROR(INDEX(tsk_Name,(ROW()-ROW(MSPTasks[[#Headers],[ID]])))="",TRUE()),"",IF(INDEX(tsk_IsSummary,(ROW()-ROW(MSPTasks[[#Headers],[ID]]))),"",IF(AND(INDEX(tsk_Mode,(ROW()-ROW(MSPTasks[[#Headers],[ID]])))&lt;&gt;"Manual",N(INDEX(tsk_Constraint,(ROW()-ROW(MSPTasks[[#Headers],[ID]]))))&gt;0),"Start No Earlier Than","As Soon As Possible")))</f>
        <v/>
      </c>
      <c r="V190" s="127" t="str">
        <f aca="false">IF(IFERROR(INDEX(tsk_Name,(ROW()-ROW(MSPTasks[[#Headers],[ID]])))="",TRUE()),"",IF(OR(INDEX(tsk_IsSummary,(ROW()-ROW(MSPTasks[[#Headers],[ID]]))),INDEX(tsk_Mode,(ROW()-ROW(MSPTasks[[#Headers],[ID]])))="Manual"),"",IF(N(INDEX(tsk_Constraint,(ROW()-ROW(MSPTasks[[#Headers],[ID]]))))=0,"",INDEX(tsk_Constraint,(ROW()-ROW(MSPTasks[[#Headers],[ID]]))))))</f>
        <v/>
      </c>
      <c r="W190" s="127" t="str">
        <f aca="false">IF(IFERROR(INDEX(tsk_Name,(ROW()-ROW(MSPTasks[[#Headers],[ID]])))="",TRUE()),"",IF(N(INDEX(tsk_Deadline,(ROW()-ROW(MSPTasks[[#Headers],[ID]]))))=0,"",INDEX(tsk_Deadline,(ROW()-ROW(MSPTasks[[#Headers],[ID]])))))</f>
        <v/>
      </c>
      <c r="X190" s="24" t="str">
        <f aca="false">IF(IFERROR(INDEX(tsk_Name,(ROW()-ROW(MSPTasks[[#Headers],[ID]])))="",TRUE()),"",IF(INDEX(tsk_IsSummary,(ROW()-ROW(MSPTasks[[#Headers],[ID]]))),"",INDEX(tsk_Sprint,(ROW()-ROW(MSPTasks[[#Headers],[ID]])))&amp;""))</f>
        <v/>
      </c>
      <c r="Y190" s="24" t="str">
        <f aca="false">IF(IFERROR(INDEX(tsk_Name,(ROW()-ROW(MSPTasks[[#Headers],[ID]])))="",TRUE()),"",IF(INDEX(tsk_IsSummary,(ROW()-ROW(MSPTasks[[#Headers],[ID]]))),"",IF(N(INDEX(tsk_StoryPoints,(ROW()-ROW(MSPTasks[[#Headers],[ID]]))))=0,"",INDEX(tsk_StoryPoints,(ROW()-ROW(MSPTasks[[#Headers],[ID]]))))))</f>
        <v/>
      </c>
      <c r="Z190" s="24" t="str">
        <f aca="false">IF(IFERROR(INDEX(tsk_Name,(ROW()-ROW(MSPTasks[[#Headers],[ID]])))="",TRUE()),"",INDEX(tsk_Notes,(ROW()-ROW(MSPTasks[[#Headers],[ID]])))&amp;"")</f>
        <v/>
      </c>
    </row>
    <row r="191" customFormat="false" ht="15" hidden="false" customHeight="false" outlineLevel="0" collapsed="false">
      <c r="A191" s="24" t="str">
        <f aca="false">IF(IFERROR(INDEX(tsk_Name,(ROW()-ROW(MSPTasks[[#Headers],[ID]])))="",TRUE()),"",INDEX(tsk_ID,(ROW()-ROW(MSPTasks[[#Headers],[ID]]))))</f>
        <v/>
      </c>
      <c r="B191" s="24" t="str">
        <f aca="false">IF(IFERROR(INDEX(tsk_Name,(ROW()-ROW(MSPTasks[[#Headers],[ID]])))="",TRUE()),"",INDEX(tsk_UID,(ROW()-ROW(MSPTasks[[#Headers],[ID]]))))</f>
        <v/>
      </c>
      <c r="C191" s="24" t="str">
        <f aca="false">IF(IFERROR(INDEX(tsk_Name,(ROW()-ROW(MSPTasks[[#Headers],[ID]])))="",TRUE()),"",INDEX(tsk_Name,(ROW()-ROW(MSPTasks[[#Headers],[ID]]))))</f>
        <v/>
      </c>
      <c r="D191" s="24" t="str">
        <f aca="false">IF(IFERROR(INDEX(tsk_Name,(ROW()-ROW(MSPTasks[[#Headers],[ID]])))="",TRUE()),"",INDEX(tsk_Level,(ROW()-ROW(MSPTasks[[#Headers],[ID]]))))</f>
        <v/>
      </c>
      <c r="E191" s="24" t="str">
        <f aca="false">IF(IFERROR(INDEX(tsk_Name,(ROW()-ROW(MSPTasks[[#Headers],[ID]])))="",TRUE()),"",IF(INDEX(tsk_Mode,(ROW()-ROW(MSPTasks[[#Headers],[ID]])))="Manual","Manually Scheduled","Auto Scheduled"))</f>
        <v/>
      </c>
      <c r="F191" s="24" t="str">
        <f aca="false">IF(IFERROR(INDEX(tsk_Name,(ROW()-ROW(MSPTasks[[#Headers],[ID]])))="",TRUE()),"",IF(INDEX(tsk_IsSummary,(ROW()-ROW(MSPTasks[[#Headers],[ID]]))),"",N(INDEX(tsk_Duration,(ROW()-ROW(MSPTasks[[#Headers],[ID]]))))&amp;"d"))</f>
        <v/>
      </c>
      <c r="G191" s="127" t="str">
        <f aca="false">IF(IFERROR(INDEX(tsk_Name,(ROW()-ROW(MSPTasks[[#Headers],[ID]])))="",TRUE()),"",INDEX(tsk_FcStart,(ROW()-ROW(MSPTasks[[#Headers],[ID]]))))</f>
        <v/>
      </c>
      <c r="H191" s="127" t="str">
        <f aca="false">IF(IFERROR(INDEX(tsk_Name,(ROW()-ROW(MSPTasks[[#Headers],[ID]])))="",TRUE()),"",INDEX(tsk_FcFinish,(ROW()-ROW(MSPTasks[[#Headers],[ID]]))))</f>
        <v/>
      </c>
      <c r="I191" s="24" t="str">
        <f aca="false">IF(IFERROR(INDEX(tsk_Name,(ROW()-ROW(MSPTasks[[#Headers],[ID]])))="",TRUE()),"",IF(INDEX(tsk_IsSummary,(ROW()-ROW(MSPTasks[[#Headers],[ID]]))),"",INDEX(tsk_Predecessors,(ROW()-ROW(MSPTasks[[#Headers],[ID]])))))</f>
        <v/>
      </c>
      <c r="J191" s="24" t="str">
        <f aca="false">IF(IFERROR(INDEX(tsk_Name,(ROW()-ROW(MSPTasks[[#Headers],[ID]])))="",TRUE()),"",IF(INDEX(tsk_IsSummary,(ROW()-ROW(MSPTasks[[#Headers],[ID]]))),"",INDEX(tsk_UIDPredecessors,(ROW()-ROW(MSPTasks[[#Headers],[ID]])))))</f>
        <v/>
      </c>
      <c r="K19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1" s="24" t="str">
        <f aca="false">IF(IFERROR(INDEX(tsk_Name,(ROW()-ROW(MSPTasks[[#Headers],[ID]])))="",TRUE()),"",IF(INDEX(tsk_IsSummary,(ROW()-ROW(MSPTasks[[#Headers],[ID]]))),"",ROUND(INDEX(tsk_Progress,(ROW()-ROW(MSPTasks[[#Headers],[ID]])))*100,0)))</f>
        <v/>
      </c>
      <c r="M191" s="127" t="str">
        <f aca="false">IF(IFERROR(INDEX(tsk_Name,(ROW()-ROW(MSPTasks[[#Headers],[ID]])))="",TRUE()),"",IF(N(INDEX(tsk_ActStart,(ROW()-ROW(MSPTasks[[#Headers],[ID]]))))=0,"",INDEX(tsk_ActStart,(ROW()-ROW(MSPTasks[[#Headers],[ID]])))))</f>
        <v/>
      </c>
      <c r="N191" s="127" t="str">
        <f aca="false">IF(IFERROR(INDEX(tsk_Name,(ROW()-ROW(MSPTasks[[#Headers],[ID]])))="",TRUE()),"",IF(N(INDEX(tsk_ActFinish,(ROW()-ROW(MSPTasks[[#Headers],[ID]]))))=0,"",INDEX(tsk_ActFinish,(ROW()-ROW(MSPTasks[[#Headers],[ID]])))))</f>
        <v/>
      </c>
      <c r="O191" s="127" t="str">
        <f aca="false">IF(IFERROR(INDEX(tsk_Name,(ROW()-ROW(MSPTasks[[#Headers],[ID]])))="",TRUE()),"",INDEX(tsk_PlanStart,(ROW()-ROW(MSPTasks[[#Headers],[ID]]))))</f>
        <v/>
      </c>
      <c r="P191" s="127" t="str">
        <f aca="false">IF(IFERROR(INDEX(tsk_Name,(ROW()-ROW(MSPTasks[[#Headers],[ID]])))="",TRUE()),"",INDEX(tsk_PlanFinish,(ROW()-ROW(MSPTasks[[#Headers],[ID]]))))</f>
        <v/>
      </c>
      <c r="Q191" s="24" t="str">
        <f aca="false">IF(IFERROR(INDEX(tsk_Name,(ROW()-ROW(MSPTasks[[#Headers],[ID]])))="",TRUE()),"",IF(INDEX(tsk_BaseDuration,(ROW()-ROW(MSPTasks[[#Headers],[ID]])))="","",N(INDEX(tsk_BaseDuration,(ROW()-ROW(MSPTasks[[#Headers],[ID]]))))&amp;"d"))</f>
        <v/>
      </c>
      <c r="R191" s="24" t="str">
        <f aca="false">IF(IFERROR(INDEX(tsk_Name,(ROW()-ROW(MSPTasks[[#Headers],[ID]])))="",TRUE()),"",IF(INDEX(tsk_BaseWork,(ROW()-ROW(MSPTasks[[#Headers],[ID]])))="","",N(INDEX(tsk_BaseWork,(ROW()-ROW(MSPTasks[[#Headers],[ID]]))))&amp;"h"))</f>
        <v/>
      </c>
      <c r="S191" s="24" t="str">
        <f aca="false">IF(IFERROR(INDEX(tsk_Name,(ROW()-ROW(MSPTasks[[#Headers],[ID]])))="",TRUE()),"",IF(INDEX(tsk_BaseCost,(ROW()-ROW(MSPTasks[[#Headers],[ID]])))="","",N(INDEX(tsk_BaseCost,(ROW()-ROW(MSPTasks[[#Headers],[ID]]))))))</f>
        <v/>
      </c>
      <c r="T191" s="24" t="str">
        <f aca="false">IF(IFERROR(INDEX(tsk_Name,(ROW()-ROW(MSPTasks[[#Headers],[ID]])))="",TRUE()),"",IF(INDEX(tsk_IsSummary,(ROW()-ROW(MSPTasks[[#Headers],[ID]]))),"",IF(N(INDEX(tsk_ActCostInput,(ROW()-ROW(MSPTasks[[#Headers],[ID]]))))=0,"",INDEX(tsk_ActCostInput,(ROW()-ROW(MSPTasks[[#Headers],[ID]]))))))</f>
        <v/>
      </c>
      <c r="U191" s="24" t="str">
        <f aca="false">IF(IFERROR(INDEX(tsk_Name,(ROW()-ROW(MSPTasks[[#Headers],[ID]])))="",TRUE()),"",IF(INDEX(tsk_IsSummary,(ROW()-ROW(MSPTasks[[#Headers],[ID]]))),"",IF(AND(INDEX(tsk_Mode,(ROW()-ROW(MSPTasks[[#Headers],[ID]])))&lt;&gt;"Manual",N(INDEX(tsk_Constraint,(ROW()-ROW(MSPTasks[[#Headers],[ID]]))))&gt;0),"Start No Earlier Than","As Soon As Possible")))</f>
        <v/>
      </c>
      <c r="V191" s="127" t="str">
        <f aca="false">IF(IFERROR(INDEX(tsk_Name,(ROW()-ROW(MSPTasks[[#Headers],[ID]])))="",TRUE()),"",IF(OR(INDEX(tsk_IsSummary,(ROW()-ROW(MSPTasks[[#Headers],[ID]]))),INDEX(tsk_Mode,(ROW()-ROW(MSPTasks[[#Headers],[ID]])))="Manual"),"",IF(N(INDEX(tsk_Constraint,(ROW()-ROW(MSPTasks[[#Headers],[ID]]))))=0,"",INDEX(tsk_Constraint,(ROW()-ROW(MSPTasks[[#Headers],[ID]]))))))</f>
        <v/>
      </c>
      <c r="W191" s="127" t="str">
        <f aca="false">IF(IFERROR(INDEX(tsk_Name,(ROW()-ROW(MSPTasks[[#Headers],[ID]])))="",TRUE()),"",IF(N(INDEX(tsk_Deadline,(ROW()-ROW(MSPTasks[[#Headers],[ID]]))))=0,"",INDEX(tsk_Deadline,(ROW()-ROW(MSPTasks[[#Headers],[ID]])))))</f>
        <v/>
      </c>
      <c r="X191" s="24" t="str">
        <f aca="false">IF(IFERROR(INDEX(tsk_Name,(ROW()-ROW(MSPTasks[[#Headers],[ID]])))="",TRUE()),"",IF(INDEX(tsk_IsSummary,(ROW()-ROW(MSPTasks[[#Headers],[ID]]))),"",INDEX(tsk_Sprint,(ROW()-ROW(MSPTasks[[#Headers],[ID]])))&amp;""))</f>
        <v/>
      </c>
      <c r="Y191" s="24" t="str">
        <f aca="false">IF(IFERROR(INDEX(tsk_Name,(ROW()-ROW(MSPTasks[[#Headers],[ID]])))="",TRUE()),"",IF(INDEX(tsk_IsSummary,(ROW()-ROW(MSPTasks[[#Headers],[ID]]))),"",IF(N(INDEX(tsk_StoryPoints,(ROW()-ROW(MSPTasks[[#Headers],[ID]]))))=0,"",INDEX(tsk_StoryPoints,(ROW()-ROW(MSPTasks[[#Headers],[ID]]))))))</f>
        <v/>
      </c>
      <c r="Z191" s="24" t="str">
        <f aca="false">IF(IFERROR(INDEX(tsk_Name,(ROW()-ROW(MSPTasks[[#Headers],[ID]])))="",TRUE()),"",INDEX(tsk_Notes,(ROW()-ROW(MSPTasks[[#Headers],[ID]])))&amp;"")</f>
        <v/>
      </c>
    </row>
    <row r="192" customFormat="false" ht="15" hidden="false" customHeight="false" outlineLevel="0" collapsed="false">
      <c r="A192" s="24" t="str">
        <f aca="false">IF(IFERROR(INDEX(tsk_Name,(ROW()-ROW(MSPTasks[[#Headers],[ID]])))="",TRUE()),"",INDEX(tsk_ID,(ROW()-ROW(MSPTasks[[#Headers],[ID]]))))</f>
        <v/>
      </c>
      <c r="B192" s="24" t="str">
        <f aca="false">IF(IFERROR(INDEX(tsk_Name,(ROW()-ROW(MSPTasks[[#Headers],[ID]])))="",TRUE()),"",INDEX(tsk_UID,(ROW()-ROW(MSPTasks[[#Headers],[ID]]))))</f>
        <v/>
      </c>
      <c r="C192" s="24" t="str">
        <f aca="false">IF(IFERROR(INDEX(tsk_Name,(ROW()-ROW(MSPTasks[[#Headers],[ID]])))="",TRUE()),"",INDEX(tsk_Name,(ROW()-ROW(MSPTasks[[#Headers],[ID]]))))</f>
        <v/>
      </c>
      <c r="D192" s="24" t="str">
        <f aca="false">IF(IFERROR(INDEX(tsk_Name,(ROW()-ROW(MSPTasks[[#Headers],[ID]])))="",TRUE()),"",INDEX(tsk_Level,(ROW()-ROW(MSPTasks[[#Headers],[ID]]))))</f>
        <v/>
      </c>
      <c r="E192" s="24" t="str">
        <f aca="false">IF(IFERROR(INDEX(tsk_Name,(ROW()-ROW(MSPTasks[[#Headers],[ID]])))="",TRUE()),"",IF(INDEX(tsk_Mode,(ROW()-ROW(MSPTasks[[#Headers],[ID]])))="Manual","Manually Scheduled","Auto Scheduled"))</f>
        <v/>
      </c>
      <c r="F192" s="24" t="str">
        <f aca="false">IF(IFERROR(INDEX(tsk_Name,(ROW()-ROW(MSPTasks[[#Headers],[ID]])))="",TRUE()),"",IF(INDEX(tsk_IsSummary,(ROW()-ROW(MSPTasks[[#Headers],[ID]]))),"",N(INDEX(tsk_Duration,(ROW()-ROW(MSPTasks[[#Headers],[ID]]))))&amp;"d"))</f>
        <v/>
      </c>
      <c r="G192" s="127" t="str">
        <f aca="false">IF(IFERROR(INDEX(tsk_Name,(ROW()-ROW(MSPTasks[[#Headers],[ID]])))="",TRUE()),"",INDEX(tsk_FcStart,(ROW()-ROW(MSPTasks[[#Headers],[ID]]))))</f>
        <v/>
      </c>
      <c r="H192" s="127" t="str">
        <f aca="false">IF(IFERROR(INDEX(tsk_Name,(ROW()-ROW(MSPTasks[[#Headers],[ID]])))="",TRUE()),"",INDEX(tsk_FcFinish,(ROW()-ROW(MSPTasks[[#Headers],[ID]]))))</f>
        <v/>
      </c>
      <c r="I192" s="24" t="str">
        <f aca="false">IF(IFERROR(INDEX(tsk_Name,(ROW()-ROW(MSPTasks[[#Headers],[ID]])))="",TRUE()),"",IF(INDEX(tsk_IsSummary,(ROW()-ROW(MSPTasks[[#Headers],[ID]]))),"",INDEX(tsk_Predecessors,(ROW()-ROW(MSPTasks[[#Headers],[ID]])))))</f>
        <v/>
      </c>
      <c r="J192" s="24" t="str">
        <f aca="false">IF(IFERROR(INDEX(tsk_Name,(ROW()-ROW(MSPTasks[[#Headers],[ID]])))="",TRUE()),"",IF(INDEX(tsk_IsSummary,(ROW()-ROW(MSPTasks[[#Headers],[ID]]))),"",INDEX(tsk_UIDPredecessors,(ROW()-ROW(MSPTasks[[#Headers],[ID]])))))</f>
        <v/>
      </c>
      <c r="K19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2" s="24" t="str">
        <f aca="false">IF(IFERROR(INDEX(tsk_Name,(ROW()-ROW(MSPTasks[[#Headers],[ID]])))="",TRUE()),"",IF(INDEX(tsk_IsSummary,(ROW()-ROW(MSPTasks[[#Headers],[ID]]))),"",ROUND(INDEX(tsk_Progress,(ROW()-ROW(MSPTasks[[#Headers],[ID]])))*100,0)))</f>
        <v/>
      </c>
      <c r="M192" s="127" t="str">
        <f aca="false">IF(IFERROR(INDEX(tsk_Name,(ROW()-ROW(MSPTasks[[#Headers],[ID]])))="",TRUE()),"",IF(N(INDEX(tsk_ActStart,(ROW()-ROW(MSPTasks[[#Headers],[ID]]))))=0,"",INDEX(tsk_ActStart,(ROW()-ROW(MSPTasks[[#Headers],[ID]])))))</f>
        <v/>
      </c>
      <c r="N192" s="127" t="str">
        <f aca="false">IF(IFERROR(INDEX(tsk_Name,(ROW()-ROW(MSPTasks[[#Headers],[ID]])))="",TRUE()),"",IF(N(INDEX(tsk_ActFinish,(ROW()-ROW(MSPTasks[[#Headers],[ID]]))))=0,"",INDEX(tsk_ActFinish,(ROW()-ROW(MSPTasks[[#Headers],[ID]])))))</f>
        <v/>
      </c>
      <c r="O192" s="127" t="str">
        <f aca="false">IF(IFERROR(INDEX(tsk_Name,(ROW()-ROW(MSPTasks[[#Headers],[ID]])))="",TRUE()),"",INDEX(tsk_PlanStart,(ROW()-ROW(MSPTasks[[#Headers],[ID]]))))</f>
        <v/>
      </c>
      <c r="P192" s="127" t="str">
        <f aca="false">IF(IFERROR(INDEX(tsk_Name,(ROW()-ROW(MSPTasks[[#Headers],[ID]])))="",TRUE()),"",INDEX(tsk_PlanFinish,(ROW()-ROW(MSPTasks[[#Headers],[ID]]))))</f>
        <v/>
      </c>
      <c r="Q192" s="24" t="str">
        <f aca="false">IF(IFERROR(INDEX(tsk_Name,(ROW()-ROW(MSPTasks[[#Headers],[ID]])))="",TRUE()),"",IF(INDEX(tsk_BaseDuration,(ROW()-ROW(MSPTasks[[#Headers],[ID]])))="","",N(INDEX(tsk_BaseDuration,(ROW()-ROW(MSPTasks[[#Headers],[ID]]))))&amp;"d"))</f>
        <v/>
      </c>
      <c r="R192" s="24" t="str">
        <f aca="false">IF(IFERROR(INDEX(tsk_Name,(ROW()-ROW(MSPTasks[[#Headers],[ID]])))="",TRUE()),"",IF(INDEX(tsk_BaseWork,(ROW()-ROW(MSPTasks[[#Headers],[ID]])))="","",N(INDEX(tsk_BaseWork,(ROW()-ROW(MSPTasks[[#Headers],[ID]]))))&amp;"h"))</f>
        <v/>
      </c>
      <c r="S192" s="24" t="str">
        <f aca="false">IF(IFERROR(INDEX(tsk_Name,(ROW()-ROW(MSPTasks[[#Headers],[ID]])))="",TRUE()),"",IF(INDEX(tsk_BaseCost,(ROW()-ROW(MSPTasks[[#Headers],[ID]])))="","",N(INDEX(tsk_BaseCost,(ROW()-ROW(MSPTasks[[#Headers],[ID]]))))))</f>
        <v/>
      </c>
      <c r="T192" s="24" t="str">
        <f aca="false">IF(IFERROR(INDEX(tsk_Name,(ROW()-ROW(MSPTasks[[#Headers],[ID]])))="",TRUE()),"",IF(INDEX(tsk_IsSummary,(ROW()-ROW(MSPTasks[[#Headers],[ID]]))),"",IF(N(INDEX(tsk_ActCostInput,(ROW()-ROW(MSPTasks[[#Headers],[ID]]))))=0,"",INDEX(tsk_ActCostInput,(ROW()-ROW(MSPTasks[[#Headers],[ID]]))))))</f>
        <v/>
      </c>
      <c r="U192" s="24" t="str">
        <f aca="false">IF(IFERROR(INDEX(tsk_Name,(ROW()-ROW(MSPTasks[[#Headers],[ID]])))="",TRUE()),"",IF(INDEX(tsk_IsSummary,(ROW()-ROW(MSPTasks[[#Headers],[ID]]))),"",IF(AND(INDEX(tsk_Mode,(ROW()-ROW(MSPTasks[[#Headers],[ID]])))&lt;&gt;"Manual",N(INDEX(tsk_Constraint,(ROW()-ROW(MSPTasks[[#Headers],[ID]]))))&gt;0),"Start No Earlier Than","As Soon As Possible")))</f>
        <v/>
      </c>
      <c r="V192" s="127" t="str">
        <f aca="false">IF(IFERROR(INDEX(tsk_Name,(ROW()-ROW(MSPTasks[[#Headers],[ID]])))="",TRUE()),"",IF(OR(INDEX(tsk_IsSummary,(ROW()-ROW(MSPTasks[[#Headers],[ID]]))),INDEX(tsk_Mode,(ROW()-ROW(MSPTasks[[#Headers],[ID]])))="Manual"),"",IF(N(INDEX(tsk_Constraint,(ROW()-ROW(MSPTasks[[#Headers],[ID]]))))=0,"",INDEX(tsk_Constraint,(ROW()-ROW(MSPTasks[[#Headers],[ID]]))))))</f>
        <v/>
      </c>
      <c r="W192" s="127" t="str">
        <f aca="false">IF(IFERROR(INDEX(tsk_Name,(ROW()-ROW(MSPTasks[[#Headers],[ID]])))="",TRUE()),"",IF(N(INDEX(tsk_Deadline,(ROW()-ROW(MSPTasks[[#Headers],[ID]]))))=0,"",INDEX(tsk_Deadline,(ROW()-ROW(MSPTasks[[#Headers],[ID]])))))</f>
        <v/>
      </c>
      <c r="X192" s="24" t="str">
        <f aca="false">IF(IFERROR(INDEX(tsk_Name,(ROW()-ROW(MSPTasks[[#Headers],[ID]])))="",TRUE()),"",IF(INDEX(tsk_IsSummary,(ROW()-ROW(MSPTasks[[#Headers],[ID]]))),"",INDEX(tsk_Sprint,(ROW()-ROW(MSPTasks[[#Headers],[ID]])))&amp;""))</f>
        <v/>
      </c>
      <c r="Y192" s="24" t="str">
        <f aca="false">IF(IFERROR(INDEX(tsk_Name,(ROW()-ROW(MSPTasks[[#Headers],[ID]])))="",TRUE()),"",IF(INDEX(tsk_IsSummary,(ROW()-ROW(MSPTasks[[#Headers],[ID]]))),"",IF(N(INDEX(tsk_StoryPoints,(ROW()-ROW(MSPTasks[[#Headers],[ID]]))))=0,"",INDEX(tsk_StoryPoints,(ROW()-ROW(MSPTasks[[#Headers],[ID]]))))))</f>
        <v/>
      </c>
      <c r="Z192" s="24" t="str">
        <f aca="false">IF(IFERROR(INDEX(tsk_Name,(ROW()-ROW(MSPTasks[[#Headers],[ID]])))="",TRUE()),"",INDEX(tsk_Notes,(ROW()-ROW(MSPTasks[[#Headers],[ID]])))&amp;"")</f>
        <v/>
      </c>
    </row>
    <row r="193" customFormat="false" ht="15" hidden="false" customHeight="false" outlineLevel="0" collapsed="false">
      <c r="A193" s="24" t="str">
        <f aca="false">IF(IFERROR(INDEX(tsk_Name,(ROW()-ROW(MSPTasks[[#Headers],[ID]])))="",TRUE()),"",INDEX(tsk_ID,(ROW()-ROW(MSPTasks[[#Headers],[ID]]))))</f>
        <v/>
      </c>
      <c r="B193" s="24" t="str">
        <f aca="false">IF(IFERROR(INDEX(tsk_Name,(ROW()-ROW(MSPTasks[[#Headers],[ID]])))="",TRUE()),"",INDEX(tsk_UID,(ROW()-ROW(MSPTasks[[#Headers],[ID]]))))</f>
        <v/>
      </c>
      <c r="C193" s="24" t="str">
        <f aca="false">IF(IFERROR(INDEX(tsk_Name,(ROW()-ROW(MSPTasks[[#Headers],[ID]])))="",TRUE()),"",INDEX(tsk_Name,(ROW()-ROW(MSPTasks[[#Headers],[ID]]))))</f>
        <v/>
      </c>
      <c r="D193" s="24" t="str">
        <f aca="false">IF(IFERROR(INDEX(tsk_Name,(ROW()-ROW(MSPTasks[[#Headers],[ID]])))="",TRUE()),"",INDEX(tsk_Level,(ROW()-ROW(MSPTasks[[#Headers],[ID]]))))</f>
        <v/>
      </c>
      <c r="E193" s="24" t="str">
        <f aca="false">IF(IFERROR(INDEX(tsk_Name,(ROW()-ROW(MSPTasks[[#Headers],[ID]])))="",TRUE()),"",IF(INDEX(tsk_Mode,(ROW()-ROW(MSPTasks[[#Headers],[ID]])))="Manual","Manually Scheduled","Auto Scheduled"))</f>
        <v/>
      </c>
      <c r="F193" s="24" t="str">
        <f aca="false">IF(IFERROR(INDEX(tsk_Name,(ROW()-ROW(MSPTasks[[#Headers],[ID]])))="",TRUE()),"",IF(INDEX(tsk_IsSummary,(ROW()-ROW(MSPTasks[[#Headers],[ID]]))),"",N(INDEX(tsk_Duration,(ROW()-ROW(MSPTasks[[#Headers],[ID]]))))&amp;"d"))</f>
        <v/>
      </c>
      <c r="G193" s="127" t="str">
        <f aca="false">IF(IFERROR(INDEX(tsk_Name,(ROW()-ROW(MSPTasks[[#Headers],[ID]])))="",TRUE()),"",INDEX(tsk_FcStart,(ROW()-ROW(MSPTasks[[#Headers],[ID]]))))</f>
        <v/>
      </c>
      <c r="H193" s="127" t="str">
        <f aca="false">IF(IFERROR(INDEX(tsk_Name,(ROW()-ROW(MSPTasks[[#Headers],[ID]])))="",TRUE()),"",INDEX(tsk_FcFinish,(ROW()-ROW(MSPTasks[[#Headers],[ID]]))))</f>
        <v/>
      </c>
      <c r="I193" s="24" t="str">
        <f aca="false">IF(IFERROR(INDEX(tsk_Name,(ROW()-ROW(MSPTasks[[#Headers],[ID]])))="",TRUE()),"",IF(INDEX(tsk_IsSummary,(ROW()-ROW(MSPTasks[[#Headers],[ID]]))),"",INDEX(tsk_Predecessors,(ROW()-ROW(MSPTasks[[#Headers],[ID]])))))</f>
        <v/>
      </c>
      <c r="J193" s="24" t="str">
        <f aca="false">IF(IFERROR(INDEX(tsk_Name,(ROW()-ROW(MSPTasks[[#Headers],[ID]])))="",TRUE()),"",IF(INDEX(tsk_IsSummary,(ROW()-ROW(MSPTasks[[#Headers],[ID]]))),"",INDEX(tsk_UIDPredecessors,(ROW()-ROW(MSPTasks[[#Headers],[ID]])))))</f>
        <v/>
      </c>
      <c r="K19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3" s="24" t="str">
        <f aca="false">IF(IFERROR(INDEX(tsk_Name,(ROW()-ROW(MSPTasks[[#Headers],[ID]])))="",TRUE()),"",IF(INDEX(tsk_IsSummary,(ROW()-ROW(MSPTasks[[#Headers],[ID]]))),"",ROUND(INDEX(tsk_Progress,(ROW()-ROW(MSPTasks[[#Headers],[ID]])))*100,0)))</f>
        <v/>
      </c>
      <c r="M193" s="127" t="str">
        <f aca="false">IF(IFERROR(INDEX(tsk_Name,(ROW()-ROW(MSPTasks[[#Headers],[ID]])))="",TRUE()),"",IF(N(INDEX(tsk_ActStart,(ROW()-ROW(MSPTasks[[#Headers],[ID]]))))=0,"",INDEX(tsk_ActStart,(ROW()-ROW(MSPTasks[[#Headers],[ID]])))))</f>
        <v/>
      </c>
      <c r="N193" s="127" t="str">
        <f aca="false">IF(IFERROR(INDEX(tsk_Name,(ROW()-ROW(MSPTasks[[#Headers],[ID]])))="",TRUE()),"",IF(N(INDEX(tsk_ActFinish,(ROW()-ROW(MSPTasks[[#Headers],[ID]]))))=0,"",INDEX(tsk_ActFinish,(ROW()-ROW(MSPTasks[[#Headers],[ID]])))))</f>
        <v/>
      </c>
      <c r="O193" s="127" t="str">
        <f aca="false">IF(IFERROR(INDEX(tsk_Name,(ROW()-ROW(MSPTasks[[#Headers],[ID]])))="",TRUE()),"",INDEX(tsk_PlanStart,(ROW()-ROW(MSPTasks[[#Headers],[ID]]))))</f>
        <v/>
      </c>
      <c r="P193" s="127" t="str">
        <f aca="false">IF(IFERROR(INDEX(tsk_Name,(ROW()-ROW(MSPTasks[[#Headers],[ID]])))="",TRUE()),"",INDEX(tsk_PlanFinish,(ROW()-ROW(MSPTasks[[#Headers],[ID]]))))</f>
        <v/>
      </c>
      <c r="Q193" s="24" t="str">
        <f aca="false">IF(IFERROR(INDEX(tsk_Name,(ROW()-ROW(MSPTasks[[#Headers],[ID]])))="",TRUE()),"",IF(INDEX(tsk_BaseDuration,(ROW()-ROW(MSPTasks[[#Headers],[ID]])))="","",N(INDEX(tsk_BaseDuration,(ROW()-ROW(MSPTasks[[#Headers],[ID]]))))&amp;"d"))</f>
        <v/>
      </c>
      <c r="R193" s="24" t="str">
        <f aca="false">IF(IFERROR(INDEX(tsk_Name,(ROW()-ROW(MSPTasks[[#Headers],[ID]])))="",TRUE()),"",IF(INDEX(tsk_BaseWork,(ROW()-ROW(MSPTasks[[#Headers],[ID]])))="","",N(INDEX(tsk_BaseWork,(ROW()-ROW(MSPTasks[[#Headers],[ID]]))))&amp;"h"))</f>
        <v/>
      </c>
      <c r="S193" s="24" t="str">
        <f aca="false">IF(IFERROR(INDEX(tsk_Name,(ROW()-ROW(MSPTasks[[#Headers],[ID]])))="",TRUE()),"",IF(INDEX(tsk_BaseCost,(ROW()-ROW(MSPTasks[[#Headers],[ID]])))="","",N(INDEX(tsk_BaseCost,(ROW()-ROW(MSPTasks[[#Headers],[ID]]))))))</f>
        <v/>
      </c>
      <c r="T193" s="24" t="str">
        <f aca="false">IF(IFERROR(INDEX(tsk_Name,(ROW()-ROW(MSPTasks[[#Headers],[ID]])))="",TRUE()),"",IF(INDEX(tsk_IsSummary,(ROW()-ROW(MSPTasks[[#Headers],[ID]]))),"",IF(N(INDEX(tsk_ActCostInput,(ROW()-ROW(MSPTasks[[#Headers],[ID]]))))=0,"",INDEX(tsk_ActCostInput,(ROW()-ROW(MSPTasks[[#Headers],[ID]]))))))</f>
        <v/>
      </c>
      <c r="U193" s="24" t="str">
        <f aca="false">IF(IFERROR(INDEX(tsk_Name,(ROW()-ROW(MSPTasks[[#Headers],[ID]])))="",TRUE()),"",IF(INDEX(tsk_IsSummary,(ROW()-ROW(MSPTasks[[#Headers],[ID]]))),"",IF(AND(INDEX(tsk_Mode,(ROW()-ROW(MSPTasks[[#Headers],[ID]])))&lt;&gt;"Manual",N(INDEX(tsk_Constraint,(ROW()-ROW(MSPTasks[[#Headers],[ID]]))))&gt;0),"Start No Earlier Than","As Soon As Possible")))</f>
        <v/>
      </c>
      <c r="V193" s="127" t="str">
        <f aca="false">IF(IFERROR(INDEX(tsk_Name,(ROW()-ROW(MSPTasks[[#Headers],[ID]])))="",TRUE()),"",IF(OR(INDEX(tsk_IsSummary,(ROW()-ROW(MSPTasks[[#Headers],[ID]]))),INDEX(tsk_Mode,(ROW()-ROW(MSPTasks[[#Headers],[ID]])))="Manual"),"",IF(N(INDEX(tsk_Constraint,(ROW()-ROW(MSPTasks[[#Headers],[ID]]))))=0,"",INDEX(tsk_Constraint,(ROW()-ROW(MSPTasks[[#Headers],[ID]]))))))</f>
        <v/>
      </c>
      <c r="W193" s="127" t="str">
        <f aca="false">IF(IFERROR(INDEX(tsk_Name,(ROW()-ROW(MSPTasks[[#Headers],[ID]])))="",TRUE()),"",IF(N(INDEX(tsk_Deadline,(ROW()-ROW(MSPTasks[[#Headers],[ID]]))))=0,"",INDEX(tsk_Deadline,(ROW()-ROW(MSPTasks[[#Headers],[ID]])))))</f>
        <v/>
      </c>
      <c r="X193" s="24" t="str">
        <f aca="false">IF(IFERROR(INDEX(tsk_Name,(ROW()-ROW(MSPTasks[[#Headers],[ID]])))="",TRUE()),"",IF(INDEX(tsk_IsSummary,(ROW()-ROW(MSPTasks[[#Headers],[ID]]))),"",INDEX(tsk_Sprint,(ROW()-ROW(MSPTasks[[#Headers],[ID]])))&amp;""))</f>
        <v/>
      </c>
      <c r="Y193" s="24" t="str">
        <f aca="false">IF(IFERROR(INDEX(tsk_Name,(ROW()-ROW(MSPTasks[[#Headers],[ID]])))="",TRUE()),"",IF(INDEX(tsk_IsSummary,(ROW()-ROW(MSPTasks[[#Headers],[ID]]))),"",IF(N(INDEX(tsk_StoryPoints,(ROW()-ROW(MSPTasks[[#Headers],[ID]]))))=0,"",INDEX(tsk_StoryPoints,(ROW()-ROW(MSPTasks[[#Headers],[ID]]))))))</f>
        <v/>
      </c>
      <c r="Z193" s="24" t="str">
        <f aca="false">IF(IFERROR(INDEX(tsk_Name,(ROW()-ROW(MSPTasks[[#Headers],[ID]])))="",TRUE()),"",INDEX(tsk_Notes,(ROW()-ROW(MSPTasks[[#Headers],[ID]])))&amp;"")</f>
        <v/>
      </c>
    </row>
    <row r="194" customFormat="false" ht="15" hidden="false" customHeight="false" outlineLevel="0" collapsed="false">
      <c r="A194" s="24" t="str">
        <f aca="false">IF(IFERROR(INDEX(tsk_Name,(ROW()-ROW(MSPTasks[[#Headers],[ID]])))="",TRUE()),"",INDEX(tsk_ID,(ROW()-ROW(MSPTasks[[#Headers],[ID]]))))</f>
        <v/>
      </c>
      <c r="B194" s="24" t="str">
        <f aca="false">IF(IFERROR(INDEX(tsk_Name,(ROW()-ROW(MSPTasks[[#Headers],[ID]])))="",TRUE()),"",INDEX(tsk_UID,(ROW()-ROW(MSPTasks[[#Headers],[ID]]))))</f>
        <v/>
      </c>
      <c r="C194" s="24" t="str">
        <f aca="false">IF(IFERROR(INDEX(tsk_Name,(ROW()-ROW(MSPTasks[[#Headers],[ID]])))="",TRUE()),"",INDEX(tsk_Name,(ROW()-ROW(MSPTasks[[#Headers],[ID]]))))</f>
        <v/>
      </c>
      <c r="D194" s="24" t="str">
        <f aca="false">IF(IFERROR(INDEX(tsk_Name,(ROW()-ROW(MSPTasks[[#Headers],[ID]])))="",TRUE()),"",INDEX(tsk_Level,(ROW()-ROW(MSPTasks[[#Headers],[ID]]))))</f>
        <v/>
      </c>
      <c r="E194" s="24" t="str">
        <f aca="false">IF(IFERROR(INDEX(tsk_Name,(ROW()-ROW(MSPTasks[[#Headers],[ID]])))="",TRUE()),"",IF(INDEX(tsk_Mode,(ROW()-ROW(MSPTasks[[#Headers],[ID]])))="Manual","Manually Scheduled","Auto Scheduled"))</f>
        <v/>
      </c>
      <c r="F194" s="24" t="str">
        <f aca="false">IF(IFERROR(INDEX(tsk_Name,(ROW()-ROW(MSPTasks[[#Headers],[ID]])))="",TRUE()),"",IF(INDEX(tsk_IsSummary,(ROW()-ROW(MSPTasks[[#Headers],[ID]]))),"",N(INDEX(tsk_Duration,(ROW()-ROW(MSPTasks[[#Headers],[ID]]))))&amp;"d"))</f>
        <v/>
      </c>
      <c r="G194" s="127" t="str">
        <f aca="false">IF(IFERROR(INDEX(tsk_Name,(ROW()-ROW(MSPTasks[[#Headers],[ID]])))="",TRUE()),"",INDEX(tsk_FcStart,(ROW()-ROW(MSPTasks[[#Headers],[ID]]))))</f>
        <v/>
      </c>
      <c r="H194" s="127" t="str">
        <f aca="false">IF(IFERROR(INDEX(tsk_Name,(ROW()-ROW(MSPTasks[[#Headers],[ID]])))="",TRUE()),"",INDEX(tsk_FcFinish,(ROW()-ROW(MSPTasks[[#Headers],[ID]]))))</f>
        <v/>
      </c>
      <c r="I194" s="24" t="str">
        <f aca="false">IF(IFERROR(INDEX(tsk_Name,(ROW()-ROW(MSPTasks[[#Headers],[ID]])))="",TRUE()),"",IF(INDEX(tsk_IsSummary,(ROW()-ROW(MSPTasks[[#Headers],[ID]]))),"",INDEX(tsk_Predecessors,(ROW()-ROW(MSPTasks[[#Headers],[ID]])))))</f>
        <v/>
      </c>
      <c r="J194" s="24" t="str">
        <f aca="false">IF(IFERROR(INDEX(tsk_Name,(ROW()-ROW(MSPTasks[[#Headers],[ID]])))="",TRUE()),"",IF(INDEX(tsk_IsSummary,(ROW()-ROW(MSPTasks[[#Headers],[ID]]))),"",INDEX(tsk_UIDPredecessors,(ROW()-ROW(MSPTasks[[#Headers],[ID]])))))</f>
        <v/>
      </c>
      <c r="K19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4" s="24" t="str">
        <f aca="false">IF(IFERROR(INDEX(tsk_Name,(ROW()-ROW(MSPTasks[[#Headers],[ID]])))="",TRUE()),"",IF(INDEX(tsk_IsSummary,(ROW()-ROW(MSPTasks[[#Headers],[ID]]))),"",ROUND(INDEX(tsk_Progress,(ROW()-ROW(MSPTasks[[#Headers],[ID]])))*100,0)))</f>
        <v/>
      </c>
      <c r="M194" s="127" t="str">
        <f aca="false">IF(IFERROR(INDEX(tsk_Name,(ROW()-ROW(MSPTasks[[#Headers],[ID]])))="",TRUE()),"",IF(N(INDEX(tsk_ActStart,(ROW()-ROW(MSPTasks[[#Headers],[ID]]))))=0,"",INDEX(tsk_ActStart,(ROW()-ROW(MSPTasks[[#Headers],[ID]])))))</f>
        <v/>
      </c>
      <c r="N194" s="127" t="str">
        <f aca="false">IF(IFERROR(INDEX(tsk_Name,(ROW()-ROW(MSPTasks[[#Headers],[ID]])))="",TRUE()),"",IF(N(INDEX(tsk_ActFinish,(ROW()-ROW(MSPTasks[[#Headers],[ID]]))))=0,"",INDEX(tsk_ActFinish,(ROW()-ROW(MSPTasks[[#Headers],[ID]])))))</f>
        <v/>
      </c>
      <c r="O194" s="127" t="str">
        <f aca="false">IF(IFERROR(INDEX(tsk_Name,(ROW()-ROW(MSPTasks[[#Headers],[ID]])))="",TRUE()),"",INDEX(tsk_PlanStart,(ROW()-ROW(MSPTasks[[#Headers],[ID]]))))</f>
        <v/>
      </c>
      <c r="P194" s="127" t="str">
        <f aca="false">IF(IFERROR(INDEX(tsk_Name,(ROW()-ROW(MSPTasks[[#Headers],[ID]])))="",TRUE()),"",INDEX(tsk_PlanFinish,(ROW()-ROW(MSPTasks[[#Headers],[ID]]))))</f>
        <v/>
      </c>
      <c r="Q194" s="24" t="str">
        <f aca="false">IF(IFERROR(INDEX(tsk_Name,(ROW()-ROW(MSPTasks[[#Headers],[ID]])))="",TRUE()),"",IF(INDEX(tsk_BaseDuration,(ROW()-ROW(MSPTasks[[#Headers],[ID]])))="","",N(INDEX(tsk_BaseDuration,(ROW()-ROW(MSPTasks[[#Headers],[ID]]))))&amp;"d"))</f>
        <v/>
      </c>
      <c r="R194" s="24" t="str">
        <f aca="false">IF(IFERROR(INDEX(tsk_Name,(ROW()-ROW(MSPTasks[[#Headers],[ID]])))="",TRUE()),"",IF(INDEX(tsk_BaseWork,(ROW()-ROW(MSPTasks[[#Headers],[ID]])))="","",N(INDEX(tsk_BaseWork,(ROW()-ROW(MSPTasks[[#Headers],[ID]]))))&amp;"h"))</f>
        <v/>
      </c>
      <c r="S194" s="24" t="str">
        <f aca="false">IF(IFERROR(INDEX(tsk_Name,(ROW()-ROW(MSPTasks[[#Headers],[ID]])))="",TRUE()),"",IF(INDEX(tsk_BaseCost,(ROW()-ROW(MSPTasks[[#Headers],[ID]])))="","",N(INDEX(tsk_BaseCost,(ROW()-ROW(MSPTasks[[#Headers],[ID]]))))))</f>
        <v/>
      </c>
      <c r="T194" s="24" t="str">
        <f aca="false">IF(IFERROR(INDEX(tsk_Name,(ROW()-ROW(MSPTasks[[#Headers],[ID]])))="",TRUE()),"",IF(INDEX(tsk_IsSummary,(ROW()-ROW(MSPTasks[[#Headers],[ID]]))),"",IF(N(INDEX(tsk_ActCostInput,(ROW()-ROW(MSPTasks[[#Headers],[ID]]))))=0,"",INDEX(tsk_ActCostInput,(ROW()-ROW(MSPTasks[[#Headers],[ID]]))))))</f>
        <v/>
      </c>
      <c r="U194" s="24" t="str">
        <f aca="false">IF(IFERROR(INDEX(tsk_Name,(ROW()-ROW(MSPTasks[[#Headers],[ID]])))="",TRUE()),"",IF(INDEX(tsk_IsSummary,(ROW()-ROW(MSPTasks[[#Headers],[ID]]))),"",IF(AND(INDEX(tsk_Mode,(ROW()-ROW(MSPTasks[[#Headers],[ID]])))&lt;&gt;"Manual",N(INDEX(tsk_Constraint,(ROW()-ROW(MSPTasks[[#Headers],[ID]]))))&gt;0),"Start No Earlier Than","As Soon As Possible")))</f>
        <v/>
      </c>
      <c r="V194" s="127" t="str">
        <f aca="false">IF(IFERROR(INDEX(tsk_Name,(ROW()-ROW(MSPTasks[[#Headers],[ID]])))="",TRUE()),"",IF(OR(INDEX(tsk_IsSummary,(ROW()-ROW(MSPTasks[[#Headers],[ID]]))),INDEX(tsk_Mode,(ROW()-ROW(MSPTasks[[#Headers],[ID]])))="Manual"),"",IF(N(INDEX(tsk_Constraint,(ROW()-ROW(MSPTasks[[#Headers],[ID]]))))=0,"",INDEX(tsk_Constraint,(ROW()-ROW(MSPTasks[[#Headers],[ID]]))))))</f>
        <v/>
      </c>
      <c r="W194" s="127" t="str">
        <f aca="false">IF(IFERROR(INDEX(tsk_Name,(ROW()-ROW(MSPTasks[[#Headers],[ID]])))="",TRUE()),"",IF(N(INDEX(tsk_Deadline,(ROW()-ROW(MSPTasks[[#Headers],[ID]]))))=0,"",INDEX(tsk_Deadline,(ROW()-ROW(MSPTasks[[#Headers],[ID]])))))</f>
        <v/>
      </c>
      <c r="X194" s="24" t="str">
        <f aca="false">IF(IFERROR(INDEX(tsk_Name,(ROW()-ROW(MSPTasks[[#Headers],[ID]])))="",TRUE()),"",IF(INDEX(tsk_IsSummary,(ROW()-ROW(MSPTasks[[#Headers],[ID]]))),"",INDEX(tsk_Sprint,(ROW()-ROW(MSPTasks[[#Headers],[ID]])))&amp;""))</f>
        <v/>
      </c>
      <c r="Y194" s="24" t="str">
        <f aca="false">IF(IFERROR(INDEX(tsk_Name,(ROW()-ROW(MSPTasks[[#Headers],[ID]])))="",TRUE()),"",IF(INDEX(tsk_IsSummary,(ROW()-ROW(MSPTasks[[#Headers],[ID]]))),"",IF(N(INDEX(tsk_StoryPoints,(ROW()-ROW(MSPTasks[[#Headers],[ID]]))))=0,"",INDEX(tsk_StoryPoints,(ROW()-ROW(MSPTasks[[#Headers],[ID]]))))))</f>
        <v/>
      </c>
      <c r="Z194" s="24" t="str">
        <f aca="false">IF(IFERROR(INDEX(tsk_Name,(ROW()-ROW(MSPTasks[[#Headers],[ID]])))="",TRUE()),"",INDEX(tsk_Notes,(ROW()-ROW(MSPTasks[[#Headers],[ID]])))&amp;"")</f>
        <v/>
      </c>
    </row>
    <row r="195" customFormat="false" ht="15" hidden="false" customHeight="false" outlineLevel="0" collapsed="false">
      <c r="A195" s="24" t="str">
        <f aca="false">IF(IFERROR(INDEX(tsk_Name,(ROW()-ROW(MSPTasks[[#Headers],[ID]])))="",TRUE()),"",INDEX(tsk_ID,(ROW()-ROW(MSPTasks[[#Headers],[ID]]))))</f>
        <v/>
      </c>
      <c r="B195" s="24" t="str">
        <f aca="false">IF(IFERROR(INDEX(tsk_Name,(ROW()-ROW(MSPTasks[[#Headers],[ID]])))="",TRUE()),"",INDEX(tsk_UID,(ROW()-ROW(MSPTasks[[#Headers],[ID]]))))</f>
        <v/>
      </c>
      <c r="C195" s="24" t="str">
        <f aca="false">IF(IFERROR(INDEX(tsk_Name,(ROW()-ROW(MSPTasks[[#Headers],[ID]])))="",TRUE()),"",INDEX(tsk_Name,(ROW()-ROW(MSPTasks[[#Headers],[ID]]))))</f>
        <v/>
      </c>
      <c r="D195" s="24" t="str">
        <f aca="false">IF(IFERROR(INDEX(tsk_Name,(ROW()-ROW(MSPTasks[[#Headers],[ID]])))="",TRUE()),"",INDEX(tsk_Level,(ROW()-ROW(MSPTasks[[#Headers],[ID]]))))</f>
        <v/>
      </c>
      <c r="E195" s="24" t="str">
        <f aca="false">IF(IFERROR(INDEX(tsk_Name,(ROW()-ROW(MSPTasks[[#Headers],[ID]])))="",TRUE()),"",IF(INDEX(tsk_Mode,(ROW()-ROW(MSPTasks[[#Headers],[ID]])))="Manual","Manually Scheduled","Auto Scheduled"))</f>
        <v/>
      </c>
      <c r="F195" s="24" t="str">
        <f aca="false">IF(IFERROR(INDEX(tsk_Name,(ROW()-ROW(MSPTasks[[#Headers],[ID]])))="",TRUE()),"",IF(INDEX(tsk_IsSummary,(ROW()-ROW(MSPTasks[[#Headers],[ID]]))),"",N(INDEX(tsk_Duration,(ROW()-ROW(MSPTasks[[#Headers],[ID]]))))&amp;"d"))</f>
        <v/>
      </c>
      <c r="G195" s="127" t="str">
        <f aca="false">IF(IFERROR(INDEX(tsk_Name,(ROW()-ROW(MSPTasks[[#Headers],[ID]])))="",TRUE()),"",INDEX(tsk_FcStart,(ROW()-ROW(MSPTasks[[#Headers],[ID]]))))</f>
        <v/>
      </c>
      <c r="H195" s="127" t="str">
        <f aca="false">IF(IFERROR(INDEX(tsk_Name,(ROW()-ROW(MSPTasks[[#Headers],[ID]])))="",TRUE()),"",INDEX(tsk_FcFinish,(ROW()-ROW(MSPTasks[[#Headers],[ID]]))))</f>
        <v/>
      </c>
      <c r="I195" s="24" t="str">
        <f aca="false">IF(IFERROR(INDEX(tsk_Name,(ROW()-ROW(MSPTasks[[#Headers],[ID]])))="",TRUE()),"",IF(INDEX(tsk_IsSummary,(ROW()-ROW(MSPTasks[[#Headers],[ID]]))),"",INDEX(tsk_Predecessors,(ROW()-ROW(MSPTasks[[#Headers],[ID]])))))</f>
        <v/>
      </c>
      <c r="J195" s="24" t="str">
        <f aca="false">IF(IFERROR(INDEX(tsk_Name,(ROW()-ROW(MSPTasks[[#Headers],[ID]])))="",TRUE()),"",IF(INDEX(tsk_IsSummary,(ROW()-ROW(MSPTasks[[#Headers],[ID]]))),"",INDEX(tsk_UIDPredecessors,(ROW()-ROW(MSPTasks[[#Headers],[ID]])))))</f>
        <v/>
      </c>
      <c r="K19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5" s="24" t="str">
        <f aca="false">IF(IFERROR(INDEX(tsk_Name,(ROW()-ROW(MSPTasks[[#Headers],[ID]])))="",TRUE()),"",IF(INDEX(tsk_IsSummary,(ROW()-ROW(MSPTasks[[#Headers],[ID]]))),"",ROUND(INDEX(tsk_Progress,(ROW()-ROW(MSPTasks[[#Headers],[ID]])))*100,0)))</f>
        <v/>
      </c>
      <c r="M195" s="127" t="str">
        <f aca="false">IF(IFERROR(INDEX(tsk_Name,(ROW()-ROW(MSPTasks[[#Headers],[ID]])))="",TRUE()),"",IF(N(INDEX(tsk_ActStart,(ROW()-ROW(MSPTasks[[#Headers],[ID]]))))=0,"",INDEX(tsk_ActStart,(ROW()-ROW(MSPTasks[[#Headers],[ID]])))))</f>
        <v/>
      </c>
      <c r="N195" s="127" t="str">
        <f aca="false">IF(IFERROR(INDEX(tsk_Name,(ROW()-ROW(MSPTasks[[#Headers],[ID]])))="",TRUE()),"",IF(N(INDEX(tsk_ActFinish,(ROW()-ROW(MSPTasks[[#Headers],[ID]]))))=0,"",INDEX(tsk_ActFinish,(ROW()-ROW(MSPTasks[[#Headers],[ID]])))))</f>
        <v/>
      </c>
      <c r="O195" s="127" t="str">
        <f aca="false">IF(IFERROR(INDEX(tsk_Name,(ROW()-ROW(MSPTasks[[#Headers],[ID]])))="",TRUE()),"",INDEX(tsk_PlanStart,(ROW()-ROW(MSPTasks[[#Headers],[ID]]))))</f>
        <v/>
      </c>
      <c r="P195" s="127" t="str">
        <f aca="false">IF(IFERROR(INDEX(tsk_Name,(ROW()-ROW(MSPTasks[[#Headers],[ID]])))="",TRUE()),"",INDEX(tsk_PlanFinish,(ROW()-ROW(MSPTasks[[#Headers],[ID]]))))</f>
        <v/>
      </c>
      <c r="Q195" s="24" t="str">
        <f aca="false">IF(IFERROR(INDEX(tsk_Name,(ROW()-ROW(MSPTasks[[#Headers],[ID]])))="",TRUE()),"",IF(INDEX(tsk_BaseDuration,(ROW()-ROW(MSPTasks[[#Headers],[ID]])))="","",N(INDEX(tsk_BaseDuration,(ROW()-ROW(MSPTasks[[#Headers],[ID]]))))&amp;"d"))</f>
        <v/>
      </c>
      <c r="R195" s="24" t="str">
        <f aca="false">IF(IFERROR(INDEX(tsk_Name,(ROW()-ROW(MSPTasks[[#Headers],[ID]])))="",TRUE()),"",IF(INDEX(tsk_BaseWork,(ROW()-ROW(MSPTasks[[#Headers],[ID]])))="","",N(INDEX(tsk_BaseWork,(ROW()-ROW(MSPTasks[[#Headers],[ID]]))))&amp;"h"))</f>
        <v/>
      </c>
      <c r="S195" s="24" t="str">
        <f aca="false">IF(IFERROR(INDEX(tsk_Name,(ROW()-ROW(MSPTasks[[#Headers],[ID]])))="",TRUE()),"",IF(INDEX(tsk_BaseCost,(ROW()-ROW(MSPTasks[[#Headers],[ID]])))="","",N(INDEX(tsk_BaseCost,(ROW()-ROW(MSPTasks[[#Headers],[ID]]))))))</f>
        <v/>
      </c>
      <c r="T195" s="24" t="str">
        <f aca="false">IF(IFERROR(INDEX(tsk_Name,(ROW()-ROW(MSPTasks[[#Headers],[ID]])))="",TRUE()),"",IF(INDEX(tsk_IsSummary,(ROW()-ROW(MSPTasks[[#Headers],[ID]]))),"",IF(N(INDEX(tsk_ActCostInput,(ROW()-ROW(MSPTasks[[#Headers],[ID]]))))=0,"",INDEX(tsk_ActCostInput,(ROW()-ROW(MSPTasks[[#Headers],[ID]]))))))</f>
        <v/>
      </c>
      <c r="U195" s="24" t="str">
        <f aca="false">IF(IFERROR(INDEX(tsk_Name,(ROW()-ROW(MSPTasks[[#Headers],[ID]])))="",TRUE()),"",IF(INDEX(tsk_IsSummary,(ROW()-ROW(MSPTasks[[#Headers],[ID]]))),"",IF(AND(INDEX(tsk_Mode,(ROW()-ROW(MSPTasks[[#Headers],[ID]])))&lt;&gt;"Manual",N(INDEX(tsk_Constraint,(ROW()-ROW(MSPTasks[[#Headers],[ID]]))))&gt;0),"Start No Earlier Than","As Soon As Possible")))</f>
        <v/>
      </c>
      <c r="V195" s="127" t="str">
        <f aca="false">IF(IFERROR(INDEX(tsk_Name,(ROW()-ROW(MSPTasks[[#Headers],[ID]])))="",TRUE()),"",IF(OR(INDEX(tsk_IsSummary,(ROW()-ROW(MSPTasks[[#Headers],[ID]]))),INDEX(tsk_Mode,(ROW()-ROW(MSPTasks[[#Headers],[ID]])))="Manual"),"",IF(N(INDEX(tsk_Constraint,(ROW()-ROW(MSPTasks[[#Headers],[ID]]))))=0,"",INDEX(tsk_Constraint,(ROW()-ROW(MSPTasks[[#Headers],[ID]]))))))</f>
        <v/>
      </c>
      <c r="W195" s="127" t="str">
        <f aca="false">IF(IFERROR(INDEX(tsk_Name,(ROW()-ROW(MSPTasks[[#Headers],[ID]])))="",TRUE()),"",IF(N(INDEX(tsk_Deadline,(ROW()-ROW(MSPTasks[[#Headers],[ID]]))))=0,"",INDEX(tsk_Deadline,(ROW()-ROW(MSPTasks[[#Headers],[ID]])))))</f>
        <v/>
      </c>
      <c r="X195" s="24" t="str">
        <f aca="false">IF(IFERROR(INDEX(tsk_Name,(ROW()-ROW(MSPTasks[[#Headers],[ID]])))="",TRUE()),"",IF(INDEX(tsk_IsSummary,(ROW()-ROW(MSPTasks[[#Headers],[ID]]))),"",INDEX(tsk_Sprint,(ROW()-ROW(MSPTasks[[#Headers],[ID]])))&amp;""))</f>
        <v/>
      </c>
      <c r="Y195" s="24" t="str">
        <f aca="false">IF(IFERROR(INDEX(tsk_Name,(ROW()-ROW(MSPTasks[[#Headers],[ID]])))="",TRUE()),"",IF(INDEX(tsk_IsSummary,(ROW()-ROW(MSPTasks[[#Headers],[ID]]))),"",IF(N(INDEX(tsk_StoryPoints,(ROW()-ROW(MSPTasks[[#Headers],[ID]]))))=0,"",INDEX(tsk_StoryPoints,(ROW()-ROW(MSPTasks[[#Headers],[ID]]))))))</f>
        <v/>
      </c>
      <c r="Z195" s="24" t="str">
        <f aca="false">IF(IFERROR(INDEX(tsk_Name,(ROW()-ROW(MSPTasks[[#Headers],[ID]])))="",TRUE()),"",INDEX(tsk_Notes,(ROW()-ROW(MSPTasks[[#Headers],[ID]])))&amp;"")</f>
        <v/>
      </c>
    </row>
    <row r="196" customFormat="false" ht="15" hidden="false" customHeight="false" outlineLevel="0" collapsed="false">
      <c r="A196" s="24" t="str">
        <f aca="false">IF(IFERROR(INDEX(tsk_Name,(ROW()-ROW(MSPTasks[[#Headers],[ID]])))="",TRUE()),"",INDEX(tsk_ID,(ROW()-ROW(MSPTasks[[#Headers],[ID]]))))</f>
        <v/>
      </c>
      <c r="B196" s="24" t="str">
        <f aca="false">IF(IFERROR(INDEX(tsk_Name,(ROW()-ROW(MSPTasks[[#Headers],[ID]])))="",TRUE()),"",INDEX(tsk_UID,(ROW()-ROW(MSPTasks[[#Headers],[ID]]))))</f>
        <v/>
      </c>
      <c r="C196" s="24" t="str">
        <f aca="false">IF(IFERROR(INDEX(tsk_Name,(ROW()-ROW(MSPTasks[[#Headers],[ID]])))="",TRUE()),"",INDEX(tsk_Name,(ROW()-ROW(MSPTasks[[#Headers],[ID]]))))</f>
        <v/>
      </c>
      <c r="D196" s="24" t="str">
        <f aca="false">IF(IFERROR(INDEX(tsk_Name,(ROW()-ROW(MSPTasks[[#Headers],[ID]])))="",TRUE()),"",INDEX(tsk_Level,(ROW()-ROW(MSPTasks[[#Headers],[ID]]))))</f>
        <v/>
      </c>
      <c r="E196" s="24" t="str">
        <f aca="false">IF(IFERROR(INDEX(tsk_Name,(ROW()-ROW(MSPTasks[[#Headers],[ID]])))="",TRUE()),"",IF(INDEX(tsk_Mode,(ROW()-ROW(MSPTasks[[#Headers],[ID]])))="Manual","Manually Scheduled","Auto Scheduled"))</f>
        <v/>
      </c>
      <c r="F196" s="24" t="str">
        <f aca="false">IF(IFERROR(INDEX(tsk_Name,(ROW()-ROW(MSPTasks[[#Headers],[ID]])))="",TRUE()),"",IF(INDEX(tsk_IsSummary,(ROW()-ROW(MSPTasks[[#Headers],[ID]]))),"",N(INDEX(tsk_Duration,(ROW()-ROW(MSPTasks[[#Headers],[ID]]))))&amp;"d"))</f>
        <v/>
      </c>
      <c r="G196" s="127" t="str">
        <f aca="false">IF(IFERROR(INDEX(tsk_Name,(ROW()-ROW(MSPTasks[[#Headers],[ID]])))="",TRUE()),"",INDEX(tsk_FcStart,(ROW()-ROW(MSPTasks[[#Headers],[ID]]))))</f>
        <v/>
      </c>
      <c r="H196" s="127" t="str">
        <f aca="false">IF(IFERROR(INDEX(tsk_Name,(ROW()-ROW(MSPTasks[[#Headers],[ID]])))="",TRUE()),"",INDEX(tsk_FcFinish,(ROW()-ROW(MSPTasks[[#Headers],[ID]]))))</f>
        <v/>
      </c>
      <c r="I196" s="24" t="str">
        <f aca="false">IF(IFERROR(INDEX(tsk_Name,(ROW()-ROW(MSPTasks[[#Headers],[ID]])))="",TRUE()),"",IF(INDEX(tsk_IsSummary,(ROW()-ROW(MSPTasks[[#Headers],[ID]]))),"",INDEX(tsk_Predecessors,(ROW()-ROW(MSPTasks[[#Headers],[ID]])))))</f>
        <v/>
      </c>
      <c r="J196" s="24" t="str">
        <f aca="false">IF(IFERROR(INDEX(tsk_Name,(ROW()-ROW(MSPTasks[[#Headers],[ID]])))="",TRUE()),"",IF(INDEX(tsk_IsSummary,(ROW()-ROW(MSPTasks[[#Headers],[ID]]))),"",INDEX(tsk_UIDPredecessors,(ROW()-ROW(MSPTasks[[#Headers],[ID]])))))</f>
        <v/>
      </c>
      <c r="K19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6" s="24" t="str">
        <f aca="false">IF(IFERROR(INDEX(tsk_Name,(ROW()-ROW(MSPTasks[[#Headers],[ID]])))="",TRUE()),"",IF(INDEX(tsk_IsSummary,(ROW()-ROW(MSPTasks[[#Headers],[ID]]))),"",ROUND(INDEX(tsk_Progress,(ROW()-ROW(MSPTasks[[#Headers],[ID]])))*100,0)))</f>
        <v/>
      </c>
      <c r="M196" s="127" t="str">
        <f aca="false">IF(IFERROR(INDEX(tsk_Name,(ROW()-ROW(MSPTasks[[#Headers],[ID]])))="",TRUE()),"",IF(N(INDEX(tsk_ActStart,(ROW()-ROW(MSPTasks[[#Headers],[ID]]))))=0,"",INDEX(tsk_ActStart,(ROW()-ROW(MSPTasks[[#Headers],[ID]])))))</f>
        <v/>
      </c>
      <c r="N196" s="127" t="str">
        <f aca="false">IF(IFERROR(INDEX(tsk_Name,(ROW()-ROW(MSPTasks[[#Headers],[ID]])))="",TRUE()),"",IF(N(INDEX(tsk_ActFinish,(ROW()-ROW(MSPTasks[[#Headers],[ID]]))))=0,"",INDEX(tsk_ActFinish,(ROW()-ROW(MSPTasks[[#Headers],[ID]])))))</f>
        <v/>
      </c>
      <c r="O196" s="127" t="str">
        <f aca="false">IF(IFERROR(INDEX(tsk_Name,(ROW()-ROW(MSPTasks[[#Headers],[ID]])))="",TRUE()),"",INDEX(tsk_PlanStart,(ROW()-ROW(MSPTasks[[#Headers],[ID]]))))</f>
        <v/>
      </c>
      <c r="P196" s="127" t="str">
        <f aca="false">IF(IFERROR(INDEX(tsk_Name,(ROW()-ROW(MSPTasks[[#Headers],[ID]])))="",TRUE()),"",INDEX(tsk_PlanFinish,(ROW()-ROW(MSPTasks[[#Headers],[ID]]))))</f>
        <v/>
      </c>
      <c r="Q196" s="24" t="str">
        <f aca="false">IF(IFERROR(INDEX(tsk_Name,(ROW()-ROW(MSPTasks[[#Headers],[ID]])))="",TRUE()),"",IF(INDEX(tsk_BaseDuration,(ROW()-ROW(MSPTasks[[#Headers],[ID]])))="","",N(INDEX(tsk_BaseDuration,(ROW()-ROW(MSPTasks[[#Headers],[ID]]))))&amp;"d"))</f>
        <v/>
      </c>
      <c r="R196" s="24" t="str">
        <f aca="false">IF(IFERROR(INDEX(tsk_Name,(ROW()-ROW(MSPTasks[[#Headers],[ID]])))="",TRUE()),"",IF(INDEX(tsk_BaseWork,(ROW()-ROW(MSPTasks[[#Headers],[ID]])))="","",N(INDEX(tsk_BaseWork,(ROW()-ROW(MSPTasks[[#Headers],[ID]]))))&amp;"h"))</f>
        <v/>
      </c>
      <c r="S196" s="24" t="str">
        <f aca="false">IF(IFERROR(INDEX(tsk_Name,(ROW()-ROW(MSPTasks[[#Headers],[ID]])))="",TRUE()),"",IF(INDEX(tsk_BaseCost,(ROW()-ROW(MSPTasks[[#Headers],[ID]])))="","",N(INDEX(tsk_BaseCost,(ROW()-ROW(MSPTasks[[#Headers],[ID]]))))))</f>
        <v/>
      </c>
      <c r="T196" s="24" t="str">
        <f aca="false">IF(IFERROR(INDEX(tsk_Name,(ROW()-ROW(MSPTasks[[#Headers],[ID]])))="",TRUE()),"",IF(INDEX(tsk_IsSummary,(ROW()-ROW(MSPTasks[[#Headers],[ID]]))),"",IF(N(INDEX(tsk_ActCostInput,(ROW()-ROW(MSPTasks[[#Headers],[ID]]))))=0,"",INDEX(tsk_ActCostInput,(ROW()-ROW(MSPTasks[[#Headers],[ID]]))))))</f>
        <v/>
      </c>
      <c r="U196" s="24" t="str">
        <f aca="false">IF(IFERROR(INDEX(tsk_Name,(ROW()-ROW(MSPTasks[[#Headers],[ID]])))="",TRUE()),"",IF(INDEX(tsk_IsSummary,(ROW()-ROW(MSPTasks[[#Headers],[ID]]))),"",IF(AND(INDEX(tsk_Mode,(ROW()-ROW(MSPTasks[[#Headers],[ID]])))&lt;&gt;"Manual",N(INDEX(tsk_Constraint,(ROW()-ROW(MSPTasks[[#Headers],[ID]]))))&gt;0),"Start No Earlier Than","As Soon As Possible")))</f>
        <v/>
      </c>
      <c r="V196" s="127" t="str">
        <f aca="false">IF(IFERROR(INDEX(tsk_Name,(ROW()-ROW(MSPTasks[[#Headers],[ID]])))="",TRUE()),"",IF(OR(INDEX(tsk_IsSummary,(ROW()-ROW(MSPTasks[[#Headers],[ID]]))),INDEX(tsk_Mode,(ROW()-ROW(MSPTasks[[#Headers],[ID]])))="Manual"),"",IF(N(INDEX(tsk_Constraint,(ROW()-ROW(MSPTasks[[#Headers],[ID]]))))=0,"",INDEX(tsk_Constraint,(ROW()-ROW(MSPTasks[[#Headers],[ID]]))))))</f>
        <v/>
      </c>
      <c r="W196" s="127" t="str">
        <f aca="false">IF(IFERROR(INDEX(tsk_Name,(ROW()-ROW(MSPTasks[[#Headers],[ID]])))="",TRUE()),"",IF(N(INDEX(tsk_Deadline,(ROW()-ROW(MSPTasks[[#Headers],[ID]]))))=0,"",INDEX(tsk_Deadline,(ROW()-ROW(MSPTasks[[#Headers],[ID]])))))</f>
        <v/>
      </c>
      <c r="X196" s="24" t="str">
        <f aca="false">IF(IFERROR(INDEX(tsk_Name,(ROW()-ROW(MSPTasks[[#Headers],[ID]])))="",TRUE()),"",IF(INDEX(tsk_IsSummary,(ROW()-ROW(MSPTasks[[#Headers],[ID]]))),"",INDEX(tsk_Sprint,(ROW()-ROW(MSPTasks[[#Headers],[ID]])))&amp;""))</f>
        <v/>
      </c>
      <c r="Y196" s="24" t="str">
        <f aca="false">IF(IFERROR(INDEX(tsk_Name,(ROW()-ROW(MSPTasks[[#Headers],[ID]])))="",TRUE()),"",IF(INDEX(tsk_IsSummary,(ROW()-ROW(MSPTasks[[#Headers],[ID]]))),"",IF(N(INDEX(tsk_StoryPoints,(ROW()-ROW(MSPTasks[[#Headers],[ID]]))))=0,"",INDEX(tsk_StoryPoints,(ROW()-ROW(MSPTasks[[#Headers],[ID]]))))))</f>
        <v/>
      </c>
      <c r="Z196" s="24" t="str">
        <f aca="false">IF(IFERROR(INDEX(tsk_Name,(ROW()-ROW(MSPTasks[[#Headers],[ID]])))="",TRUE()),"",INDEX(tsk_Notes,(ROW()-ROW(MSPTasks[[#Headers],[ID]])))&amp;"")</f>
        <v/>
      </c>
    </row>
    <row r="197" customFormat="false" ht="15" hidden="false" customHeight="false" outlineLevel="0" collapsed="false">
      <c r="A197" s="24" t="str">
        <f aca="false">IF(IFERROR(INDEX(tsk_Name,(ROW()-ROW(MSPTasks[[#Headers],[ID]])))="",TRUE()),"",INDEX(tsk_ID,(ROW()-ROW(MSPTasks[[#Headers],[ID]]))))</f>
        <v/>
      </c>
      <c r="B197" s="24" t="str">
        <f aca="false">IF(IFERROR(INDEX(tsk_Name,(ROW()-ROW(MSPTasks[[#Headers],[ID]])))="",TRUE()),"",INDEX(tsk_UID,(ROW()-ROW(MSPTasks[[#Headers],[ID]]))))</f>
        <v/>
      </c>
      <c r="C197" s="24" t="str">
        <f aca="false">IF(IFERROR(INDEX(tsk_Name,(ROW()-ROW(MSPTasks[[#Headers],[ID]])))="",TRUE()),"",INDEX(tsk_Name,(ROW()-ROW(MSPTasks[[#Headers],[ID]]))))</f>
        <v/>
      </c>
      <c r="D197" s="24" t="str">
        <f aca="false">IF(IFERROR(INDEX(tsk_Name,(ROW()-ROW(MSPTasks[[#Headers],[ID]])))="",TRUE()),"",INDEX(tsk_Level,(ROW()-ROW(MSPTasks[[#Headers],[ID]]))))</f>
        <v/>
      </c>
      <c r="E197" s="24" t="str">
        <f aca="false">IF(IFERROR(INDEX(tsk_Name,(ROW()-ROW(MSPTasks[[#Headers],[ID]])))="",TRUE()),"",IF(INDEX(tsk_Mode,(ROW()-ROW(MSPTasks[[#Headers],[ID]])))="Manual","Manually Scheduled","Auto Scheduled"))</f>
        <v/>
      </c>
      <c r="F197" s="24" t="str">
        <f aca="false">IF(IFERROR(INDEX(tsk_Name,(ROW()-ROW(MSPTasks[[#Headers],[ID]])))="",TRUE()),"",IF(INDEX(tsk_IsSummary,(ROW()-ROW(MSPTasks[[#Headers],[ID]]))),"",N(INDEX(tsk_Duration,(ROW()-ROW(MSPTasks[[#Headers],[ID]]))))&amp;"d"))</f>
        <v/>
      </c>
      <c r="G197" s="127" t="str">
        <f aca="false">IF(IFERROR(INDEX(tsk_Name,(ROW()-ROW(MSPTasks[[#Headers],[ID]])))="",TRUE()),"",INDEX(tsk_FcStart,(ROW()-ROW(MSPTasks[[#Headers],[ID]]))))</f>
        <v/>
      </c>
      <c r="H197" s="127" t="str">
        <f aca="false">IF(IFERROR(INDEX(tsk_Name,(ROW()-ROW(MSPTasks[[#Headers],[ID]])))="",TRUE()),"",INDEX(tsk_FcFinish,(ROW()-ROW(MSPTasks[[#Headers],[ID]]))))</f>
        <v/>
      </c>
      <c r="I197" s="24" t="str">
        <f aca="false">IF(IFERROR(INDEX(tsk_Name,(ROW()-ROW(MSPTasks[[#Headers],[ID]])))="",TRUE()),"",IF(INDEX(tsk_IsSummary,(ROW()-ROW(MSPTasks[[#Headers],[ID]]))),"",INDEX(tsk_Predecessors,(ROW()-ROW(MSPTasks[[#Headers],[ID]])))))</f>
        <v/>
      </c>
      <c r="J197" s="24" t="str">
        <f aca="false">IF(IFERROR(INDEX(tsk_Name,(ROW()-ROW(MSPTasks[[#Headers],[ID]])))="",TRUE()),"",IF(INDEX(tsk_IsSummary,(ROW()-ROW(MSPTasks[[#Headers],[ID]]))),"",INDEX(tsk_UIDPredecessors,(ROW()-ROW(MSPTasks[[#Headers],[ID]])))))</f>
        <v/>
      </c>
      <c r="K19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7" s="24" t="str">
        <f aca="false">IF(IFERROR(INDEX(tsk_Name,(ROW()-ROW(MSPTasks[[#Headers],[ID]])))="",TRUE()),"",IF(INDEX(tsk_IsSummary,(ROW()-ROW(MSPTasks[[#Headers],[ID]]))),"",ROUND(INDEX(tsk_Progress,(ROW()-ROW(MSPTasks[[#Headers],[ID]])))*100,0)))</f>
        <v/>
      </c>
      <c r="M197" s="127" t="str">
        <f aca="false">IF(IFERROR(INDEX(tsk_Name,(ROW()-ROW(MSPTasks[[#Headers],[ID]])))="",TRUE()),"",IF(N(INDEX(tsk_ActStart,(ROW()-ROW(MSPTasks[[#Headers],[ID]]))))=0,"",INDEX(tsk_ActStart,(ROW()-ROW(MSPTasks[[#Headers],[ID]])))))</f>
        <v/>
      </c>
      <c r="N197" s="127" t="str">
        <f aca="false">IF(IFERROR(INDEX(tsk_Name,(ROW()-ROW(MSPTasks[[#Headers],[ID]])))="",TRUE()),"",IF(N(INDEX(tsk_ActFinish,(ROW()-ROW(MSPTasks[[#Headers],[ID]]))))=0,"",INDEX(tsk_ActFinish,(ROW()-ROW(MSPTasks[[#Headers],[ID]])))))</f>
        <v/>
      </c>
      <c r="O197" s="127" t="str">
        <f aca="false">IF(IFERROR(INDEX(tsk_Name,(ROW()-ROW(MSPTasks[[#Headers],[ID]])))="",TRUE()),"",INDEX(tsk_PlanStart,(ROW()-ROW(MSPTasks[[#Headers],[ID]]))))</f>
        <v/>
      </c>
      <c r="P197" s="127" t="str">
        <f aca="false">IF(IFERROR(INDEX(tsk_Name,(ROW()-ROW(MSPTasks[[#Headers],[ID]])))="",TRUE()),"",INDEX(tsk_PlanFinish,(ROW()-ROW(MSPTasks[[#Headers],[ID]]))))</f>
        <v/>
      </c>
      <c r="Q197" s="24" t="str">
        <f aca="false">IF(IFERROR(INDEX(tsk_Name,(ROW()-ROW(MSPTasks[[#Headers],[ID]])))="",TRUE()),"",IF(INDEX(tsk_BaseDuration,(ROW()-ROW(MSPTasks[[#Headers],[ID]])))="","",N(INDEX(tsk_BaseDuration,(ROW()-ROW(MSPTasks[[#Headers],[ID]]))))&amp;"d"))</f>
        <v/>
      </c>
      <c r="R197" s="24" t="str">
        <f aca="false">IF(IFERROR(INDEX(tsk_Name,(ROW()-ROW(MSPTasks[[#Headers],[ID]])))="",TRUE()),"",IF(INDEX(tsk_BaseWork,(ROW()-ROW(MSPTasks[[#Headers],[ID]])))="","",N(INDEX(tsk_BaseWork,(ROW()-ROW(MSPTasks[[#Headers],[ID]]))))&amp;"h"))</f>
        <v/>
      </c>
      <c r="S197" s="24" t="str">
        <f aca="false">IF(IFERROR(INDEX(tsk_Name,(ROW()-ROW(MSPTasks[[#Headers],[ID]])))="",TRUE()),"",IF(INDEX(tsk_BaseCost,(ROW()-ROW(MSPTasks[[#Headers],[ID]])))="","",N(INDEX(tsk_BaseCost,(ROW()-ROW(MSPTasks[[#Headers],[ID]]))))))</f>
        <v/>
      </c>
      <c r="T197" s="24" t="str">
        <f aca="false">IF(IFERROR(INDEX(tsk_Name,(ROW()-ROW(MSPTasks[[#Headers],[ID]])))="",TRUE()),"",IF(INDEX(tsk_IsSummary,(ROW()-ROW(MSPTasks[[#Headers],[ID]]))),"",IF(N(INDEX(tsk_ActCostInput,(ROW()-ROW(MSPTasks[[#Headers],[ID]]))))=0,"",INDEX(tsk_ActCostInput,(ROW()-ROW(MSPTasks[[#Headers],[ID]]))))))</f>
        <v/>
      </c>
      <c r="U197" s="24" t="str">
        <f aca="false">IF(IFERROR(INDEX(tsk_Name,(ROW()-ROW(MSPTasks[[#Headers],[ID]])))="",TRUE()),"",IF(INDEX(tsk_IsSummary,(ROW()-ROW(MSPTasks[[#Headers],[ID]]))),"",IF(AND(INDEX(tsk_Mode,(ROW()-ROW(MSPTasks[[#Headers],[ID]])))&lt;&gt;"Manual",N(INDEX(tsk_Constraint,(ROW()-ROW(MSPTasks[[#Headers],[ID]]))))&gt;0),"Start No Earlier Than","As Soon As Possible")))</f>
        <v/>
      </c>
      <c r="V197" s="127" t="str">
        <f aca="false">IF(IFERROR(INDEX(tsk_Name,(ROW()-ROW(MSPTasks[[#Headers],[ID]])))="",TRUE()),"",IF(OR(INDEX(tsk_IsSummary,(ROW()-ROW(MSPTasks[[#Headers],[ID]]))),INDEX(tsk_Mode,(ROW()-ROW(MSPTasks[[#Headers],[ID]])))="Manual"),"",IF(N(INDEX(tsk_Constraint,(ROW()-ROW(MSPTasks[[#Headers],[ID]]))))=0,"",INDEX(tsk_Constraint,(ROW()-ROW(MSPTasks[[#Headers],[ID]]))))))</f>
        <v/>
      </c>
      <c r="W197" s="127" t="str">
        <f aca="false">IF(IFERROR(INDEX(tsk_Name,(ROW()-ROW(MSPTasks[[#Headers],[ID]])))="",TRUE()),"",IF(N(INDEX(tsk_Deadline,(ROW()-ROW(MSPTasks[[#Headers],[ID]]))))=0,"",INDEX(tsk_Deadline,(ROW()-ROW(MSPTasks[[#Headers],[ID]])))))</f>
        <v/>
      </c>
      <c r="X197" s="24" t="str">
        <f aca="false">IF(IFERROR(INDEX(tsk_Name,(ROW()-ROW(MSPTasks[[#Headers],[ID]])))="",TRUE()),"",IF(INDEX(tsk_IsSummary,(ROW()-ROW(MSPTasks[[#Headers],[ID]]))),"",INDEX(tsk_Sprint,(ROW()-ROW(MSPTasks[[#Headers],[ID]])))&amp;""))</f>
        <v/>
      </c>
      <c r="Y197" s="24" t="str">
        <f aca="false">IF(IFERROR(INDEX(tsk_Name,(ROW()-ROW(MSPTasks[[#Headers],[ID]])))="",TRUE()),"",IF(INDEX(tsk_IsSummary,(ROW()-ROW(MSPTasks[[#Headers],[ID]]))),"",IF(N(INDEX(tsk_StoryPoints,(ROW()-ROW(MSPTasks[[#Headers],[ID]]))))=0,"",INDEX(tsk_StoryPoints,(ROW()-ROW(MSPTasks[[#Headers],[ID]]))))))</f>
        <v/>
      </c>
      <c r="Z197" s="24" t="str">
        <f aca="false">IF(IFERROR(INDEX(tsk_Name,(ROW()-ROW(MSPTasks[[#Headers],[ID]])))="",TRUE()),"",INDEX(tsk_Notes,(ROW()-ROW(MSPTasks[[#Headers],[ID]])))&amp;"")</f>
        <v/>
      </c>
    </row>
    <row r="198" customFormat="false" ht="15" hidden="false" customHeight="false" outlineLevel="0" collapsed="false">
      <c r="A198" s="24" t="str">
        <f aca="false">IF(IFERROR(INDEX(tsk_Name,(ROW()-ROW(MSPTasks[[#Headers],[ID]])))="",TRUE()),"",INDEX(tsk_ID,(ROW()-ROW(MSPTasks[[#Headers],[ID]]))))</f>
        <v/>
      </c>
      <c r="B198" s="24" t="str">
        <f aca="false">IF(IFERROR(INDEX(tsk_Name,(ROW()-ROW(MSPTasks[[#Headers],[ID]])))="",TRUE()),"",INDEX(tsk_UID,(ROW()-ROW(MSPTasks[[#Headers],[ID]]))))</f>
        <v/>
      </c>
      <c r="C198" s="24" t="str">
        <f aca="false">IF(IFERROR(INDEX(tsk_Name,(ROW()-ROW(MSPTasks[[#Headers],[ID]])))="",TRUE()),"",INDEX(tsk_Name,(ROW()-ROW(MSPTasks[[#Headers],[ID]]))))</f>
        <v/>
      </c>
      <c r="D198" s="24" t="str">
        <f aca="false">IF(IFERROR(INDEX(tsk_Name,(ROW()-ROW(MSPTasks[[#Headers],[ID]])))="",TRUE()),"",INDEX(tsk_Level,(ROW()-ROW(MSPTasks[[#Headers],[ID]]))))</f>
        <v/>
      </c>
      <c r="E198" s="24" t="str">
        <f aca="false">IF(IFERROR(INDEX(tsk_Name,(ROW()-ROW(MSPTasks[[#Headers],[ID]])))="",TRUE()),"",IF(INDEX(tsk_Mode,(ROW()-ROW(MSPTasks[[#Headers],[ID]])))="Manual","Manually Scheduled","Auto Scheduled"))</f>
        <v/>
      </c>
      <c r="F198" s="24" t="str">
        <f aca="false">IF(IFERROR(INDEX(tsk_Name,(ROW()-ROW(MSPTasks[[#Headers],[ID]])))="",TRUE()),"",IF(INDEX(tsk_IsSummary,(ROW()-ROW(MSPTasks[[#Headers],[ID]]))),"",N(INDEX(tsk_Duration,(ROW()-ROW(MSPTasks[[#Headers],[ID]]))))&amp;"d"))</f>
        <v/>
      </c>
      <c r="G198" s="127" t="str">
        <f aca="false">IF(IFERROR(INDEX(tsk_Name,(ROW()-ROW(MSPTasks[[#Headers],[ID]])))="",TRUE()),"",INDEX(tsk_FcStart,(ROW()-ROW(MSPTasks[[#Headers],[ID]]))))</f>
        <v/>
      </c>
      <c r="H198" s="127" t="str">
        <f aca="false">IF(IFERROR(INDEX(tsk_Name,(ROW()-ROW(MSPTasks[[#Headers],[ID]])))="",TRUE()),"",INDEX(tsk_FcFinish,(ROW()-ROW(MSPTasks[[#Headers],[ID]]))))</f>
        <v/>
      </c>
      <c r="I198" s="24" t="str">
        <f aca="false">IF(IFERROR(INDEX(tsk_Name,(ROW()-ROW(MSPTasks[[#Headers],[ID]])))="",TRUE()),"",IF(INDEX(tsk_IsSummary,(ROW()-ROW(MSPTasks[[#Headers],[ID]]))),"",INDEX(tsk_Predecessors,(ROW()-ROW(MSPTasks[[#Headers],[ID]])))))</f>
        <v/>
      </c>
      <c r="J198" s="24" t="str">
        <f aca="false">IF(IFERROR(INDEX(tsk_Name,(ROW()-ROW(MSPTasks[[#Headers],[ID]])))="",TRUE()),"",IF(INDEX(tsk_IsSummary,(ROW()-ROW(MSPTasks[[#Headers],[ID]]))),"",INDEX(tsk_UIDPredecessors,(ROW()-ROW(MSPTasks[[#Headers],[ID]])))))</f>
        <v/>
      </c>
      <c r="K19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8" s="24" t="str">
        <f aca="false">IF(IFERROR(INDEX(tsk_Name,(ROW()-ROW(MSPTasks[[#Headers],[ID]])))="",TRUE()),"",IF(INDEX(tsk_IsSummary,(ROW()-ROW(MSPTasks[[#Headers],[ID]]))),"",ROUND(INDEX(tsk_Progress,(ROW()-ROW(MSPTasks[[#Headers],[ID]])))*100,0)))</f>
        <v/>
      </c>
      <c r="M198" s="127" t="str">
        <f aca="false">IF(IFERROR(INDEX(tsk_Name,(ROW()-ROW(MSPTasks[[#Headers],[ID]])))="",TRUE()),"",IF(N(INDEX(tsk_ActStart,(ROW()-ROW(MSPTasks[[#Headers],[ID]]))))=0,"",INDEX(tsk_ActStart,(ROW()-ROW(MSPTasks[[#Headers],[ID]])))))</f>
        <v/>
      </c>
      <c r="N198" s="127" t="str">
        <f aca="false">IF(IFERROR(INDEX(tsk_Name,(ROW()-ROW(MSPTasks[[#Headers],[ID]])))="",TRUE()),"",IF(N(INDEX(tsk_ActFinish,(ROW()-ROW(MSPTasks[[#Headers],[ID]]))))=0,"",INDEX(tsk_ActFinish,(ROW()-ROW(MSPTasks[[#Headers],[ID]])))))</f>
        <v/>
      </c>
      <c r="O198" s="127" t="str">
        <f aca="false">IF(IFERROR(INDEX(tsk_Name,(ROW()-ROW(MSPTasks[[#Headers],[ID]])))="",TRUE()),"",INDEX(tsk_PlanStart,(ROW()-ROW(MSPTasks[[#Headers],[ID]]))))</f>
        <v/>
      </c>
      <c r="P198" s="127" t="str">
        <f aca="false">IF(IFERROR(INDEX(tsk_Name,(ROW()-ROW(MSPTasks[[#Headers],[ID]])))="",TRUE()),"",INDEX(tsk_PlanFinish,(ROW()-ROW(MSPTasks[[#Headers],[ID]]))))</f>
        <v/>
      </c>
      <c r="Q198" s="24" t="str">
        <f aca="false">IF(IFERROR(INDEX(tsk_Name,(ROW()-ROW(MSPTasks[[#Headers],[ID]])))="",TRUE()),"",IF(INDEX(tsk_BaseDuration,(ROW()-ROW(MSPTasks[[#Headers],[ID]])))="","",N(INDEX(tsk_BaseDuration,(ROW()-ROW(MSPTasks[[#Headers],[ID]]))))&amp;"d"))</f>
        <v/>
      </c>
      <c r="R198" s="24" t="str">
        <f aca="false">IF(IFERROR(INDEX(tsk_Name,(ROW()-ROW(MSPTasks[[#Headers],[ID]])))="",TRUE()),"",IF(INDEX(tsk_BaseWork,(ROW()-ROW(MSPTasks[[#Headers],[ID]])))="","",N(INDEX(tsk_BaseWork,(ROW()-ROW(MSPTasks[[#Headers],[ID]]))))&amp;"h"))</f>
        <v/>
      </c>
      <c r="S198" s="24" t="str">
        <f aca="false">IF(IFERROR(INDEX(tsk_Name,(ROW()-ROW(MSPTasks[[#Headers],[ID]])))="",TRUE()),"",IF(INDEX(tsk_BaseCost,(ROW()-ROW(MSPTasks[[#Headers],[ID]])))="","",N(INDEX(tsk_BaseCost,(ROW()-ROW(MSPTasks[[#Headers],[ID]]))))))</f>
        <v/>
      </c>
      <c r="T198" s="24" t="str">
        <f aca="false">IF(IFERROR(INDEX(tsk_Name,(ROW()-ROW(MSPTasks[[#Headers],[ID]])))="",TRUE()),"",IF(INDEX(tsk_IsSummary,(ROW()-ROW(MSPTasks[[#Headers],[ID]]))),"",IF(N(INDEX(tsk_ActCostInput,(ROW()-ROW(MSPTasks[[#Headers],[ID]]))))=0,"",INDEX(tsk_ActCostInput,(ROW()-ROW(MSPTasks[[#Headers],[ID]]))))))</f>
        <v/>
      </c>
      <c r="U198" s="24" t="str">
        <f aca="false">IF(IFERROR(INDEX(tsk_Name,(ROW()-ROW(MSPTasks[[#Headers],[ID]])))="",TRUE()),"",IF(INDEX(tsk_IsSummary,(ROW()-ROW(MSPTasks[[#Headers],[ID]]))),"",IF(AND(INDEX(tsk_Mode,(ROW()-ROW(MSPTasks[[#Headers],[ID]])))&lt;&gt;"Manual",N(INDEX(tsk_Constraint,(ROW()-ROW(MSPTasks[[#Headers],[ID]]))))&gt;0),"Start No Earlier Than","As Soon As Possible")))</f>
        <v/>
      </c>
      <c r="V198" s="127" t="str">
        <f aca="false">IF(IFERROR(INDEX(tsk_Name,(ROW()-ROW(MSPTasks[[#Headers],[ID]])))="",TRUE()),"",IF(OR(INDEX(tsk_IsSummary,(ROW()-ROW(MSPTasks[[#Headers],[ID]]))),INDEX(tsk_Mode,(ROW()-ROW(MSPTasks[[#Headers],[ID]])))="Manual"),"",IF(N(INDEX(tsk_Constraint,(ROW()-ROW(MSPTasks[[#Headers],[ID]]))))=0,"",INDEX(tsk_Constraint,(ROW()-ROW(MSPTasks[[#Headers],[ID]]))))))</f>
        <v/>
      </c>
      <c r="W198" s="127" t="str">
        <f aca="false">IF(IFERROR(INDEX(tsk_Name,(ROW()-ROW(MSPTasks[[#Headers],[ID]])))="",TRUE()),"",IF(N(INDEX(tsk_Deadline,(ROW()-ROW(MSPTasks[[#Headers],[ID]]))))=0,"",INDEX(tsk_Deadline,(ROW()-ROW(MSPTasks[[#Headers],[ID]])))))</f>
        <v/>
      </c>
      <c r="X198" s="24" t="str">
        <f aca="false">IF(IFERROR(INDEX(tsk_Name,(ROW()-ROW(MSPTasks[[#Headers],[ID]])))="",TRUE()),"",IF(INDEX(tsk_IsSummary,(ROW()-ROW(MSPTasks[[#Headers],[ID]]))),"",INDEX(tsk_Sprint,(ROW()-ROW(MSPTasks[[#Headers],[ID]])))&amp;""))</f>
        <v/>
      </c>
      <c r="Y198" s="24" t="str">
        <f aca="false">IF(IFERROR(INDEX(tsk_Name,(ROW()-ROW(MSPTasks[[#Headers],[ID]])))="",TRUE()),"",IF(INDEX(tsk_IsSummary,(ROW()-ROW(MSPTasks[[#Headers],[ID]]))),"",IF(N(INDEX(tsk_StoryPoints,(ROW()-ROW(MSPTasks[[#Headers],[ID]]))))=0,"",INDEX(tsk_StoryPoints,(ROW()-ROW(MSPTasks[[#Headers],[ID]]))))))</f>
        <v/>
      </c>
      <c r="Z198" s="24" t="str">
        <f aca="false">IF(IFERROR(INDEX(tsk_Name,(ROW()-ROW(MSPTasks[[#Headers],[ID]])))="",TRUE()),"",INDEX(tsk_Notes,(ROW()-ROW(MSPTasks[[#Headers],[ID]])))&amp;"")</f>
        <v/>
      </c>
    </row>
    <row r="199" customFormat="false" ht="15" hidden="false" customHeight="false" outlineLevel="0" collapsed="false">
      <c r="A199" s="24" t="str">
        <f aca="false">IF(IFERROR(INDEX(tsk_Name,(ROW()-ROW(MSPTasks[[#Headers],[ID]])))="",TRUE()),"",INDEX(tsk_ID,(ROW()-ROW(MSPTasks[[#Headers],[ID]]))))</f>
        <v/>
      </c>
      <c r="B199" s="24" t="str">
        <f aca="false">IF(IFERROR(INDEX(tsk_Name,(ROW()-ROW(MSPTasks[[#Headers],[ID]])))="",TRUE()),"",INDEX(tsk_UID,(ROW()-ROW(MSPTasks[[#Headers],[ID]]))))</f>
        <v/>
      </c>
      <c r="C199" s="24" t="str">
        <f aca="false">IF(IFERROR(INDEX(tsk_Name,(ROW()-ROW(MSPTasks[[#Headers],[ID]])))="",TRUE()),"",INDEX(tsk_Name,(ROW()-ROW(MSPTasks[[#Headers],[ID]]))))</f>
        <v/>
      </c>
      <c r="D199" s="24" t="str">
        <f aca="false">IF(IFERROR(INDEX(tsk_Name,(ROW()-ROW(MSPTasks[[#Headers],[ID]])))="",TRUE()),"",INDEX(tsk_Level,(ROW()-ROW(MSPTasks[[#Headers],[ID]]))))</f>
        <v/>
      </c>
      <c r="E199" s="24" t="str">
        <f aca="false">IF(IFERROR(INDEX(tsk_Name,(ROW()-ROW(MSPTasks[[#Headers],[ID]])))="",TRUE()),"",IF(INDEX(tsk_Mode,(ROW()-ROW(MSPTasks[[#Headers],[ID]])))="Manual","Manually Scheduled","Auto Scheduled"))</f>
        <v/>
      </c>
      <c r="F199" s="24" t="str">
        <f aca="false">IF(IFERROR(INDEX(tsk_Name,(ROW()-ROW(MSPTasks[[#Headers],[ID]])))="",TRUE()),"",IF(INDEX(tsk_IsSummary,(ROW()-ROW(MSPTasks[[#Headers],[ID]]))),"",N(INDEX(tsk_Duration,(ROW()-ROW(MSPTasks[[#Headers],[ID]]))))&amp;"d"))</f>
        <v/>
      </c>
      <c r="G199" s="127" t="str">
        <f aca="false">IF(IFERROR(INDEX(tsk_Name,(ROW()-ROW(MSPTasks[[#Headers],[ID]])))="",TRUE()),"",INDEX(tsk_FcStart,(ROW()-ROW(MSPTasks[[#Headers],[ID]]))))</f>
        <v/>
      </c>
      <c r="H199" s="127" t="str">
        <f aca="false">IF(IFERROR(INDEX(tsk_Name,(ROW()-ROW(MSPTasks[[#Headers],[ID]])))="",TRUE()),"",INDEX(tsk_FcFinish,(ROW()-ROW(MSPTasks[[#Headers],[ID]]))))</f>
        <v/>
      </c>
      <c r="I199" s="24" t="str">
        <f aca="false">IF(IFERROR(INDEX(tsk_Name,(ROW()-ROW(MSPTasks[[#Headers],[ID]])))="",TRUE()),"",IF(INDEX(tsk_IsSummary,(ROW()-ROW(MSPTasks[[#Headers],[ID]]))),"",INDEX(tsk_Predecessors,(ROW()-ROW(MSPTasks[[#Headers],[ID]])))))</f>
        <v/>
      </c>
      <c r="J199" s="24" t="str">
        <f aca="false">IF(IFERROR(INDEX(tsk_Name,(ROW()-ROW(MSPTasks[[#Headers],[ID]])))="",TRUE()),"",IF(INDEX(tsk_IsSummary,(ROW()-ROW(MSPTasks[[#Headers],[ID]]))),"",INDEX(tsk_UIDPredecessors,(ROW()-ROW(MSPTasks[[#Headers],[ID]])))))</f>
        <v/>
      </c>
      <c r="K19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9" s="24" t="str">
        <f aca="false">IF(IFERROR(INDEX(tsk_Name,(ROW()-ROW(MSPTasks[[#Headers],[ID]])))="",TRUE()),"",IF(INDEX(tsk_IsSummary,(ROW()-ROW(MSPTasks[[#Headers],[ID]]))),"",ROUND(INDEX(tsk_Progress,(ROW()-ROW(MSPTasks[[#Headers],[ID]])))*100,0)))</f>
        <v/>
      </c>
      <c r="M199" s="127" t="str">
        <f aca="false">IF(IFERROR(INDEX(tsk_Name,(ROW()-ROW(MSPTasks[[#Headers],[ID]])))="",TRUE()),"",IF(N(INDEX(tsk_ActStart,(ROW()-ROW(MSPTasks[[#Headers],[ID]]))))=0,"",INDEX(tsk_ActStart,(ROW()-ROW(MSPTasks[[#Headers],[ID]])))))</f>
        <v/>
      </c>
      <c r="N199" s="127" t="str">
        <f aca="false">IF(IFERROR(INDEX(tsk_Name,(ROW()-ROW(MSPTasks[[#Headers],[ID]])))="",TRUE()),"",IF(N(INDEX(tsk_ActFinish,(ROW()-ROW(MSPTasks[[#Headers],[ID]]))))=0,"",INDEX(tsk_ActFinish,(ROW()-ROW(MSPTasks[[#Headers],[ID]])))))</f>
        <v/>
      </c>
      <c r="O199" s="127" t="str">
        <f aca="false">IF(IFERROR(INDEX(tsk_Name,(ROW()-ROW(MSPTasks[[#Headers],[ID]])))="",TRUE()),"",INDEX(tsk_PlanStart,(ROW()-ROW(MSPTasks[[#Headers],[ID]]))))</f>
        <v/>
      </c>
      <c r="P199" s="127" t="str">
        <f aca="false">IF(IFERROR(INDEX(tsk_Name,(ROW()-ROW(MSPTasks[[#Headers],[ID]])))="",TRUE()),"",INDEX(tsk_PlanFinish,(ROW()-ROW(MSPTasks[[#Headers],[ID]]))))</f>
        <v/>
      </c>
      <c r="Q199" s="24" t="str">
        <f aca="false">IF(IFERROR(INDEX(tsk_Name,(ROW()-ROW(MSPTasks[[#Headers],[ID]])))="",TRUE()),"",IF(INDEX(tsk_BaseDuration,(ROW()-ROW(MSPTasks[[#Headers],[ID]])))="","",N(INDEX(tsk_BaseDuration,(ROW()-ROW(MSPTasks[[#Headers],[ID]]))))&amp;"d"))</f>
        <v/>
      </c>
      <c r="R199" s="24" t="str">
        <f aca="false">IF(IFERROR(INDEX(tsk_Name,(ROW()-ROW(MSPTasks[[#Headers],[ID]])))="",TRUE()),"",IF(INDEX(tsk_BaseWork,(ROW()-ROW(MSPTasks[[#Headers],[ID]])))="","",N(INDEX(tsk_BaseWork,(ROW()-ROW(MSPTasks[[#Headers],[ID]]))))&amp;"h"))</f>
        <v/>
      </c>
      <c r="S199" s="24" t="str">
        <f aca="false">IF(IFERROR(INDEX(tsk_Name,(ROW()-ROW(MSPTasks[[#Headers],[ID]])))="",TRUE()),"",IF(INDEX(tsk_BaseCost,(ROW()-ROW(MSPTasks[[#Headers],[ID]])))="","",N(INDEX(tsk_BaseCost,(ROW()-ROW(MSPTasks[[#Headers],[ID]]))))))</f>
        <v/>
      </c>
      <c r="T199" s="24" t="str">
        <f aca="false">IF(IFERROR(INDEX(tsk_Name,(ROW()-ROW(MSPTasks[[#Headers],[ID]])))="",TRUE()),"",IF(INDEX(tsk_IsSummary,(ROW()-ROW(MSPTasks[[#Headers],[ID]]))),"",IF(N(INDEX(tsk_ActCostInput,(ROW()-ROW(MSPTasks[[#Headers],[ID]]))))=0,"",INDEX(tsk_ActCostInput,(ROW()-ROW(MSPTasks[[#Headers],[ID]]))))))</f>
        <v/>
      </c>
      <c r="U199" s="24" t="str">
        <f aca="false">IF(IFERROR(INDEX(tsk_Name,(ROW()-ROW(MSPTasks[[#Headers],[ID]])))="",TRUE()),"",IF(INDEX(tsk_IsSummary,(ROW()-ROW(MSPTasks[[#Headers],[ID]]))),"",IF(AND(INDEX(tsk_Mode,(ROW()-ROW(MSPTasks[[#Headers],[ID]])))&lt;&gt;"Manual",N(INDEX(tsk_Constraint,(ROW()-ROW(MSPTasks[[#Headers],[ID]]))))&gt;0),"Start No Earlier Than","As Soon As Possible")))</f>
        <v/>
      </c>
      <c r="V199" s="127" t="str">
        <f aca="false">IF(IFERROR(INDEX(tsk_Name,(ROW()-ROW(MSPTasks[[#Headers],[ID]])))="",TRUE()),"",IF(OR(INDEX(tsk_IsSummary,(ROW()-ROW(MSPTasks[[#Headers],[ID]]))),INDEX(tsk_Mode,(ROW()-ROW(MSPTasks[[#Headers],[ID]])))="Manual"),"",IF(N(INDEX(tsk_Constraint,(ROW()-ROW(MSPTasks[[#Headers],[ID]]))))=0,"",INDEX(tsk_Constraint,(ROW()-ROW(MSPTasks[[#Headers],[ID]]))))))</f>
        <v/>
      </c>
      <c r="W199" s="127" t="str">
        <f aca="false">IF(IFERROR(INDEX(tsk_Name,(ROW()-ROW(MSPTasks[[#Headers],[ID]])))="",TRUE()),"",IF(N(INDEX(tsk_Deadline,(ROW()-ROW(MSPTasks[[#Headers],[ID]]))))=0,"",INDEX(tsk_Deadline,(ROW()-ROW(MSPTasks[[#Headers],[ID]])))))</f>
        <v/>
      </c>
      <c r="X199" s="24" t="str">
        <f aca="false">IF(IFERROR(INDEX(tsk_Name,(ROW()-ROW(MSPTasks[[#Headers],[ID]])))="",TRUE()),"",IF(INDEX(tsk_IsSummary,(ROW()-ROW(MSPTasks[[#Headers],[ID]]))),"",INDEX(tsk_Sprint,(ROW()-ROW(MSPTasks[[#Headers],[ID]])))&amp;""))</f>
        <v/>
      </c>
      <c r="Y199" s="24" t="str">
        <f aca="false">IF(IFERROR(INDEX(tsk_Name,(ROW()-ROW(MSPTasks[[#Headers],[ID]])))="",TRUE()),"",IF(INDEX(tsk_IsSummary,(ROW()-ROW(MSPTasks[[#Headers],[ID]]))),"",IF(N(INDEX(tsk_StoryPoints,(ROW()-ROW(MSPTasks[[#Headers],[ID]]))))=0,"",INDEX(tsk_StoryPoints,(ROW()-ROW(MSPTasks[[#Headers],[ID]]))))))</f>
        <v/>
      </c>
      <c r="Z199" s="24" t="str">
        <f aca="false">IF(IFERROR(INDEX(tsk_Name,(ROW()-ROW(MSPTasks[[#Headers],[ID]])))="",TRUE()),"",INDEX(tsk_Notes,(ROW()-ROW(MSPTasks[[#Headers],[ID]])))&amp;"")</f>
        <v/>
      </c>
    </row>
    <row r="200" customFormat="false" ht="15" hidden="false" customHeight="false" outlineLevel="0" collapsed="false">
      <c r="A200" s="24" t="str">
        <f aca="false">IF(IFERROR(INDEX(tsk_Name,(ROW()-ROW(MSPTasks[[#Headers],[ID]])))="",TRUE()),"",INDEX(tsk_ID,(ROW()-ROW(MSPTasks[[#Headers],[ID]]))))</f>
        <v/>
      </c>
      <c r="B200" s="24" t="str">
        <f aca="false">IF(IFERROR(INDEX(tsk_Name,(ROW()-ROW(MSPTasks[[#Headers],[ID]])))="",TRUE()),"",INDEX(tsk_UID,(ROW()-ROW(MSPTasks[[#Headers],[ID]]))))</f>
        <v/>
      </c>
      <c r="C200" s="24" t="str">
        <f aca="false">IF(IFERROR(INDEX(tsk_Name,(ROW()-ROW(MSPTasks[[#Headers],[ID]])))="",TRUE()),"",INDEX(tsk_Name,(ROW()-ROW(MSPTasks[[#Headers],[ID]]))))</f>
        <v/>
      </c>
      <c r="D200" s="24" t="str">
        <f aca="false">IF(IFERROR(INDEX(tsk_Name,(ROW()-ROW(MSPTasks[[#Headers],[ID]])))="",TRUE()),"",INDEX(tsk_Level,(ROW()-ROW(MSPTasks[[#Headers],[ID]]))))</f>
        <v/>
      </c>
      <c r="E200" s="24" t="str">
        <f aca="false">IF(IFERROR(INDEX(tsk_Name,(ROW()-ROW(MSPTasks[[#Headers],[ID]])))="",TRUE()),"",IF(INDEX(tsk_Mode,(ROW()-ROW(MSPTasks[[#Headers],[ID]])))="Manual","Manually Scheduled","Auto Scheduled"))</f>
        <v/>
      </c>
      <c r="F200" s="24" t="str">
        <f aca="false">IF(IFERROR(INDEX(tsk_Name,(ROW()-ROW(MSPTasks[[#Headers],[ID]])))="",TRUE()),"",IF(INDEX(tsk_IsSummary,(ROW()-ROW(MSPTasks[[#Headers],[ID]]))),"",N(INDEX(tsk_Duration,(ROW()-ROW(MSPTasks[[#Headers],[ID]]))))&amp;"d"))</f>
        <v/>
      </c>
      <c r="G200" s="127" t="str">
        <f aca="false">IF(IFERROR(INDEX(tsk_Name,(ROW()-ROW(MSPTasks[[#Headers],[ID]])))="",TRUE()),"",INDEX(tsk_FcStart,(ROW()-ROW(MSPTasks[[#Headers],[ID]]))))</f>
        <v/>
      </c>
      <c r="H200" s="127" t="str">
        <f aca="false">IF(IFERROR(INDEX(tsk_Name,(ROW()-ROW(MSPTasks[[#Headers],[ID]])))="",TRUE()),"",INDEX(tsk_FcFinish,(ROW()-ROW(MSPTasks[[#Headers],[ID]]))))</f>
        <v/>
      </c>
      <c r="I200" s="24" t="str">
        <f aca="false">IF(IFERROR(INDEX(tsk_Name,(ROW()-ROW(MSPTasks[[#Headers],[ID]])))="",TRUE()),"",IF(INDEX(tsk_IsSummary,(ROW()-ROW(MSPTasks[[#Headers],[ID]]))),"",INDEX(tsk_Predecessors,(ROW()-ROW(MSPTasks[[#Headers],[ID]])))))</f>
        <v/>
      </c>
      <c r="J200" s="24" t="str">
        <f aca="false">IF(IFERROR(INDEX(tsk_Name,(ROW()-ROW(MSPTasks[[#Headers],[ID]])))="",TRUE()),"",IF(INDEX(tsk_IsSummary,(ROW()-ROW(MSPTasks[[#Headers],[ID]]))),"",INDEX(tsk_UIDPredecessors,(ROW()-ROW(MSPTasks[[#Headers],[ID]])))))</f>
        <v/>
      </c>
      <c r="K20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00" s="24" t="str">
        <f aca="false">IF(IFERROR(INDEX(tsk_Name,(ROW()-ROW(MSPTasks[[#Headers],[ID]])))="",TRUE()),"",IF(INDEX(tsk_IsSummary,(ROW()-ROW(MSPTasks[[#Headers],[ID]]))),"",ROUND(INDEX(tsk_Progress,(ROW()-ROW(MSPTasks[[#Headers],[ID]])))*100,0)))</f>
        <v/>
      </c>
      <c r="M200" s="127" t="str">
        <f aca="false">IF(IFERROR(INDEX(tsk_Name,(ROW()-ROW(MSPTasks[[#Headers],[ID]])))="",TRUE()),"",IF(N(INDEX(tsk_ActStart,(ROW()-ROW(MSPTasks[[#Headers],[ID]]))))=0,"",INDEX(tsk_ActStart,(ROW()-ROW(MSPTasks[[#Headers],[ID]])))))</f>
        <v/>
      </c>
      <c r="N200" s="127" t="str">
        <f aca="false">IF(IFERROR(INDEX(tsk_Name,(ROW()-ROW(MSPTasks[[#Headers],[ID]])))="",TRUE()),"",IF(N(INDEX(tsk_ActFinish,(ROW()-ROW(MSPTasks[[#Headers],[ID]]))))=0,"",INDEX(tsk_ActFinish,(ROW()-ROW(MSPTasks[[#Headers],[ID]])))))</f>
        <v/>
      </c>
      <c r="O200" s="127" t="str">
        <f aca="false">IF(IFERROR(INDEX(tsk_Name,(ROW()-ROW(MSPTasks[[#Headers],[ID]])))="",TRUE()),"",INDEX(tsk_PlanStart,(ROW()-ROW(MSPTasks[[#Headers],[ID]]))))</f>
        <v/>
      </c>
      <c r="P200" s="127" t="str">
        <f aca="false">IF(IFERROR(INDEX(tsk_Name,(ROW()-ROW(MSPTasks[[#Headers],[ID]])))="",TRUE()),"",INDEX(tsk_PlanFinish,(ROW()-ROW(MSPTasks[[#Headers],[ID]]))))</f>
        <v/>
      </c>
      <c r="Q200" s="24" t="str">
        <f aca="false">IF(IFERROR(INDEX(tsk_Name,(ROW()-ROW(MSPTasks[[#Headers],[ID]])))="",TRUE()),"",IF(INDEX(tsk_BaseDuration,(ROW()-ROW(MSPTasks[[#Headers],[ID]])))="","",N(INDEX(tsk_BaseDuration,(ROW()-ROW(MSPTasks[[#Headers],[ID]]))))&amp;"d"))</f>
        <v/>
      </c>
      <c r="R200" s="24" t="str">
        <f aca="false">IF(IFERROR(INDEX(tsk_Name,(ROW()-ROW(MSPTasks[[#Headers],[ID]])))="",TRUE()),"",IF(INDEX(tsk_BaseWork,(ROW()-ROW(MSPTasks[[#Headers],[ID]])))="","",N(INDEX(tsk_BaseWork,(ROW()-ROW(MSPTasks[[#Headers],[ID]]))))&amp;"h"))</f>
        <v/>
      </c>
      <c r="S200" s="24" t="str">
        <f aca="false">IF(IFERROR(INDEX(tsk_Name,(ROW()-ROW(MSPTasks[[#Headers],[ID]])))="",TRUE()),"",IF(INDEX(tsk_BaseCost,(ROW()-ROW(MSPTasks[[#Headers],[ID]])))="","",N(INDEX(tsk_BaseCost,(ROW()-ROW(MSPTasks[[#Headers],[ID]]))))))</f>
        <v/>
      </c>
      <c r="T200" s="24" t="str">
        <f aca="false">IF(IFERROR(INDEX(tsk_Name,(ROW()-ROW(MSPTasks[[#Headers],[ID]])))="",TRUE()),"",IF(INDEX(tsk_IsSummary,(ROW()-ROW(MSPTasks[[#Headers],[ID]]))),"",IF(N(INDEX(tsk_ActCostInput,(ROW()-ROW(MSPTasks[[#Headers],[ID]]))))=0,"",INDEX(tsk_ActCostInput,(ROW()-ROW(MSPTasks[[#Headers],[ID]]))))))</f>
        <v/>
      </c>
      <c r="U200" s="24" t="str">
        <f aca="false">IF(IFERROR(INDEX(tsk_Name,(ROW()-ROW(MSPTasks[[#Headers],[ID]])))="",TRUE()),"",IF(INDEX(tsk_IsSummary,(ROW()-ROW(MSPTasks[[#Headers],[ID]]))),"",IF(AND(INDEX(tsk_Mode,(ROW()-ROW(MSPTasks[[#Headers],[ID]])))&lt;&gt;"Manual",N(INDEX(tsk_Constraint,(ROW()-ROW(MSPTasks[[#Headers],[ID]]))))&gt;0),"Start No Earlier Than","As Soon As Possible")))</f>
        <v/>
      </c>
      <c r="V200" s="127" t="str">
        <f aca="false">IF(IFERROR(INDEX(tsk_Name,(ROW()-ROW(MSPTasks[[#Headers],[ID]])))="",TRUE()),"",IF(OR(INDEX(tsk_IsSummary,(ROW()-ROW(MSPTasks[[#Headers],[ID]]))),INDEX(tsk_Mode,(ROW()-ROW(MSPTasks[[#Headers],[ID]])))="Manual"),"",IF(N(INDEX(tsk_Constraint,(ROW()-ROW(MSPTasks[[#Headers],[ID]]))))=0,"",INDEX(tsk_Constraint,(ROW()-ROW(MSPTasks[[#Headers],[ID]]))))))</f>
        <v/>
      </c>
      <c r="W200" s="127" t="str">
        <f aca="false">IF(IFERROR(INDEX(tsk_Name,(ROW()-ROW(MSPTasks[[#Headers],[ID]])))="",TRUE()),"",IF(N(INDEX(tsk_Deadline,(ROW()-ROW(MSPTasks[[#Headers],[ID]]))))=0,"",INDEX(tsk_Deadline,(ROW()-ROW(MSPTasks[[#Headers],[ID]])))))</f>
        <v/>
      </c>
      <c r="X200" s="24" t="str">
        <f aca="false">IF(IFERROR(INDEX(tsk_Name,(ROW()-ROW(MSPTasks[[#Headers],[ID]])))="",TRUE()),"",IF(INDEX(tsk_IsSummary,(ROW()-ROW(MSPTasks[[#Headers],[ID]]))),"",INDEX(tsk_Sprint,(ROW()-ROW(MSPTasks[[#Headers],[ID]])))&amp;""))</f>
        <v/>
      </c>
      <c r="Y200" s="24" t="str">
        <f aca="false">IF(IFERROR(INDEX(tsk_Name,(ROW()-ROW(MSPTasks[[#Headers],[ID]])))="",TRUE()),"",IF(INDEX(tsk_IsSummary,(ROW()-ROW(MSPTasks[[#Headers],[ID]]))),"",IF(N(INDEX(tsk_StoryPoints,(ROW()-ROW(MSPTasks[[#Headers],[ID]]))))=0,"",INDEX(tsk_StoryPoints,(ROW()-ROW(MSPTasks[[#Headers],[ID]]))))))</f>
        <v/>
      </c>
      <c r="Z200" s="24" t="str">
        <f aca="false">IF(IFERROR(INDEX(tsk_Name,(ROW()-ROW(MSPTasks[[#Headers],[ID]])))="",TRUE()),"",INDEX(tsk_Notes,(ROW()-ROW(MSPTasks[[#Headers],[ID]])))&amp;"")</f>
        <v/>
      </c>
    </row>
    <row r="201" customFormat="false" ht="15" hidden="false" customHeight="false" outlineLevel="0" collapsed="false">
      <c r="A201" s="24" t="str">
        <f aca="false">IF(IFERROR(INDEX(tsk_Name,(ROW()-ROW(MSPTasks[[#Headers],[ID]])))="",TRUE()),"",INDEX(tsk_ID,(ROW()-ROW(MSPTasks[[#Headers],[ID]]))))</f>
        <v/>
      </c>
      <c r="B201" s="24" t="str">
        <f aca="false">IF(IFERROR(INDEX(tsk_Name,(ROW()-ROW(MSPTasks[[#Headers],[ID]])))="",TRUE()),"",INDEX(tsk_UID,(ROW()-ROW(MSPTasks[[#Headers],[ID]]))))</f>
        <v/>
      </c>
      <c r="C201" s="24" t="str">
        <f aca="false">IF(IFERROR(INDEX(tsk_Name,(ROW()-ROW(MSPTasks[[#Headers],[ID]])))="",TRUE()),"",INDEX(tsk_Name,(ROW()-ROW(MSPTasks[[#Headers],[ID]]))))</f>
        <v/>
      </c>
      <c r="D201" s="24" t="str">
        <f aca="false">IF(IFERROR(INDEX(tsk_Name,(ROW()-ROW(MSPTasks[[#Headers],[ID]])))="",TRUE()),"",INDEX(tsk_Level,(ROW()-ROW(MSPTasks[[#Headers],[ID]]))))</f>
        <v/>
      </c>
      <c r="E201" s="24" t="str">
        <f aca="false">IF(IFERROR(INDEX(tsk_Name,(ROW()-ROW(MSPTasks[[#Headers],[ID]])))="",TRUE()),"",IF(INDEX(tsk_Mode,(ROW()-ROW(MSPTasks[[#Headers],[ID]])))="Manual","Manually Scheduled","Auto Scheduled"))</f>
        <v/>
      </c>
      <c r="F201" s="24" t="str">
        <f aca="false">IF(IFERROR(INDEX(tsk_Name,(ROW()-ROW(MSPTasks[[#Headers],[ID]])))="",TRUE()),"",IF(INDEX(tsk_IsSummary,(ROW()-ROW(MSPTasks[[#Headers],[ID]]))),"",N(INDEX(tsk_Duration,(ROW()-ROW(MSPTasks[[#Headers],[ID]]))))&amp;"d"))</f>
        <v/>
      </c>
      <c r="G201" s="127" t="str">
        <f aca="false">IF(IFERROR(INDEX(tsk_Name,(ROW()-ROW(MSPTasks[[#Headers],[ID]])))="",TRUE()),"",INDEX(tsk_FcStart,(ROW()-ROW(MSPTasks[[#Headers],[ID]]))))</f>
        <v/>
      </c>
      <c r="H201" s="127" t="str">
        <f aca="false">IF(IFERROR(INDEX(tsk_Name,(ROW()-ROW(MSPTasks[[#Headers],[ID]])))="",TRUE()),"",INDEX(tsk_FcFinish,(ROW()-ROW(MSPTasks[[#Headers],[ID]]))))</f>
        <v/>
      </c>
      <c r="I201" s="24" t="str">
        <f aca="false">IF(IFERROR(INDEX(tsk_Name,(ROW()-ROW(MSPTasks[[#Headers],[ID]])))="",TRUE()),"",IF(INDEX(tsk_IsSummary,(ROW()-ROW(MSPTasks[[#Headers],[ID]]))),"",INDEX(tsk_Predecessors,(ROW()-ROW(MSPTasks[[#Headers],[ID]])))))</f>
        <v/>
      </c>
      <c r="J201" s="24" t="str">
        <f aca="false">IF(IFERROR(INDEX(tsk_Name,(ROW()-ROW(MSPTasks[[#Headers],[ID]])))="",TRUE()),"",IF(INDEX(tsk_IsSummary,(ROW()-ROW(MSPTasks[[#Headers],[ID]]))),"",INDEX(tsk_UIDPredecessors,(ROW()-ROW(MSPTasks[[#Headers],[ID]])))))</f>
        <v/>
      </c>
      <c r="K20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01" s="24" t="str">
        <f aca="false">IF(IFERROR(INDEX(tsk_Name,(ROW()-ROW(MSPTasks[[#Headers],[ID]])))="",TRUE()),"",IF(INDEX(tsk_IsSummary,(ROW()-ROW(MSPTasks[[#Headers],[ID]]))),"",ROUND(INDEX(tsk_Progress,(ROW()-ROW(MSPTasks[[#Headers],[ID]])))*100,0)))</f>
        <v/>
      </c>
      <c r="M201" s="127" t="str">
        <f aca="false">IF(IFERROR(INDEX(tsk_Name,(ROW()-ROW(MSPTasks[[#Headers],[ID]])))="",TRUE()),"",IF(N(INDEX(tsk_ActStart,(ROW()-ROW(MSPTasks[[#Headers],[ID]]))))=0,"",INDEX(tsk_ActStart,(ROW()-ROW(MSPTasks[[#Headers],[ID]])))))</f>
        <v/>
      </c>
      <c r="N201" s="127" t="str">
        <f aca="false">IF(IFERROR(INDEX(tsk_Name,(ROW()-ROW(MSPTasks[[#Headers],[ID]])))="",TRUE()),"",IF(N(INDEX(tsk_ActFinish,(ROW()-ROW(MSPTasks[[#Headers],[ID]]))))=0,"",INDEX(tsk_ActFinish,(ROW()-ROW(MSPTasks[[#Headers],[ID]])))))</f>
        <v/>
      </c>
      <c r="O201" s="127" t="str">
        <f aca="false">IF(IFERROR(INDEX(tsk_Name,(ROW()-ROW(MSPTasks[[#Headers],[ID]])))="",TRUE()),"",INDEX(tsk_PlanStart,(ROW()-ROW(MSPTasks[[#Headers],[ID]]))))</f>
        <v/>
      </c>
      <c r="P201" s="127" t="str">
        <f aca="false">IF(IFERROR(INDEX(tsk_Name,(ROW()-ROW(MSPTasks[[#Headers],[ID]])))="",TRUE()),"",INDEX(tsk_PlanFinish,(ROW()-ROW(MSPTasks[[#Headers],[ID]]))))</f>
        <v/>
      </c>
      <c r="Q201" s="24" t="str">
        <f aca="false">IF(IFERROR(INDEX(tsk_Name,(ROW()-ROW(MSPTasks[[#Headers],[ID]])))="",TRUE()),"",IF(INDEX(tsk_BaseDuration,(ROW()-ROW(MSPTasks[[#Headers],[ID]])))="","",N(INDEX(tsk_BaseDuration,(ROW()-ROW(MSPTasks[[#Headers],[ID]]))))&amp;"d"))</f>
        <v/>
      </c>
      <c r="R201" s="24" t="str">
        <f aca="false">IF(IFERROR(INDEX(tsk_Name,(ROW()-ROW(MSPTasks[[#Headers],[ID]])))="",TRUE()),"",IF(INDEX(tsk_BaseWork,(ROW()-ROW(MSPTasks[[#Headers],[ID]])))="","",N(INDEX(tsk_BaseWork,(ROW()-ROW(MSPTasks[[#Headers],[ID]]))))&amp;"h"))</f>
        <v/>
      </c>
      <c r="S201" s="24" t="str">
        <f aca="false">IF(IFERROR(INDEX(tsk_Name,(ROW()-ROW(MSPTasks[[#Headers],[ID]])))="",TRUE()),"",IF(INDEX(tsk_BaseCost,(ROW()-ROW(MSPTasks[[#Headers],[ID]])))="","",N(INDEX(tsk_BaseCost,(ROW()-ROW(MSPTasks[[#Headers],[ID]]))))))</f>
        <v/>
      </c>
      <c r="T201" s="24" t="str">
        <f aca="false">IF(IFERROR(INDEX(tsk_Name,(ROW()-ROW(MSPTasks[[#Headers],[ID]])))="",TRUE()),"",IF(INDEX(tsk_IsSummary,(ROW()-ROW(MSPTasks[[#Headers],[ID]]))),"",IF(N(INDEX(tsk_ActCostInput,(ROW()-ROW(MSPTasks[[#Headers],[ID]]))))=0,"",INDEX(tsk_ActCostInput,(ROW()-ROW(MSPTasks[[#Headers],[ID]]))))))</f>
        <v/>
      </c>
      <c r="U201" s="24" t="str">
        <f aca="false">IF(IFERROR(INDEX(tsk_Name,(ROW()-ROW(MSPTasks[[#Headers],[ID]])))="",TRUE()),"",IF(INDEX(tsk_IsSummary,(ROW()-ROW(MSPTasks[[#Headers],[ID]]))),"",IF(AND(INDEX(tsk_Mode,(ROW()-ROW(MSPTasks[[#Headers],[ID]])))&lt;&gt;"Manual",N(INDEX(tsk_Constraint,(ROW()-ROW(MSPTasks[[#Headers],[ID]]))))&gt;0),"Start No Earlier Than","As Soon As Possible")))</f>
        <v/>
      </c>
      <c r="V201" s="127" t="str">
        <f aca="false">IF(IFERROR(INDEX(tsk_Name,(ROW()-ROW(MSPTasks[[#Headers],[ID]])))="",TRUE()),"",IF(OR(INDEX(tsk_IsSummary,(ROW()-ROW(MSPTasks[[#Headers],[ID]]))),INDEX(tsk_Mode,(ROW()-ROW(MSPTasks[[#Headers],[ID]])))="Manual"),"",IF(N(INDEX(tsk_Constraint,(ROW()-ROW(MSPTasks[[#Headers],[ID]]))))=0,"",INDEX(tsk_Constraint,(ROW()-ROW(MSPTasks[[#Headers],[ID]]))))))</f>
        <v/>
      </c>
      <c r="W201" s="127" t="str">
        <f aca="false">IF(IFERROR(INDEX(tsk_Name,(ROW()-ROW(MSPTasks[[#Headers],[ID]])))="",TRUE()),"",IF(N(INDEX(tsk_Deadline,(ROW()-ROW(MSPTasks[[#Headers],[ID]]))))=0,"",INDEX(tsk_Deadline,(ROW()-ROW(MSPTasks[[#Headers],[ID]])))))</f>
        <v/>
      </c>
      <c r="X201" s="24" t="str">
        <f aca="false">IF(IFERROR(INDEX(tsk_Name,(ROW()-ROW(MSPTasks[[#Headers],[ID]])))="",TRUE()),"",IF(INDEX(tsk_IsSummary,(ROW()-ROW(MSPTasks[[#Headers],[ID]]))),"",INDEX(tsk_Sprint,(ROW()-ROW(MSPTasks[[#Headers],[ID]])))&amp;""))</f>
        <v/>
      </c>
      <c r="Y201" s="24" t="str">
        <f aca="false">IF(IFERROR(INDEX(tsk_Name,(ROW()-ROW(MSPTasks[[#Headers],[ID]])))="",TRUE()),"",IF(INDEX(tsk_IsSummary,(ROW()-ROW(MSPTasks[[#Headers],[ID]]))),"",IF(N(INDEX(tsk_StoryPoints,(ROW()-ROW(MSPTasks[[#Headers],[ID]]))))=0,"",INDEX(tsk_StoryPoints,(ROW()-ROW(MSPTasks[[#Headers],[ID]]))))))</f>
        <v/>
      </c>
      <c r="Z201" s="24" t="str">
        <f aca="false">IF(IFERROR(INDEX(tsk_Name,(ROW()-ROW(MSPTasks[[#Headers],[ID]])))="",TRUE()),"",INDEX(tsk_Notes,(ROW()-ROW(MSPTasks[[#Headers],[ID]])))&amp;"")</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false"/>
  </sheetPr>
  <dimension ref="A1:G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9"/>
    <col collapsed="false" customWidth="true" hidden="false" outlineLevel="0" max="3" min="3" style="0" width="20"/>
    <col collapsed="false" customWidth="true" hidden="false" outlineLevel="0" max="5" min="4" style="0" width="10"/>
    <col collapsed="false" customWidth="true" hidden="false" outlineLevel="0" max="6" min="6" style="0" width="12"/>
    <col collapsed="false" customWidth="true" hidden="false" outlineLevel="0" max="7" min="7" style="0" width="26"/>
  </cols>
  <sheetData>
    <row r="1" customFormat="false" ht="23.85" hidden="false" customHeight="false" outlineLevel="0" collapsed="false">
      <c r="A1" s="9" t="s">
        <v>716</v>
      </c>
      <c r="B1" s="9" t="s">
        <v>654</v>
      </c>
      <c r="C1" s="9" t="s">
        <v>655</v>
      </c>
      <c r="D1" s="9" t="s">
        <v>263</v>
      </c>
      <c r="E1" s="9" t="s">
        <v>224</v>
      </c>
      <c r="F1" s="9" t="s">
        <v>726</v>
      </c>
      <c r="G1" s="9" t="s">
        <v>727</v>
      </c>
    </row>
    <row r="2" customFormat="false" ht="15" hidden="false" customHeight="false" outlineLevel="0" collapsed="false">
      <c r="A2" s="24" t="str">
        <f aca="false">IF(IFERROR(INDEX(res_Name,(ROW()-ROW(MSPResources[[#Headers],[Name]])))="",TRUE()),"",INDEX(res_Name,(ROW()-ROW(MSPResources[[#Headers],[Name]])))&amp;"")</f>
        <v>Priya Sharma</v>
      </c>
      <c r="B2" s="24" t="str">
        <f aca="false">IF(IFERROR(INDEX(res_Name,(ROW()-ROW(MSPResources[[#Headers],[Name]])))="",TRUE()),"",INDEX(res_Initials,(ROW()-ROW(MSPResources[[#Headers],[Name]])))&amp;"")</f>
        <v>PS</v>
      </c>
      <c r="C2" s="24" t="str">
        <f aca="false">IF(IFERROR(INDEX(res_Name,(ROW()-ROW(MSPResources[[#Headers],[Name]])))="",TRUE()),"",INDEX(res_Group,(ROW()-ROW(MSPResources[[#Headers],[Name]])))&amp;"")</f>
        <v>Project Manager</v>
      </c>
      <c r="D2" s="24" t="str">
        <f aca="false">IF(IFERROR(INDEX(res_Name,(ROW()-ROW(MSPResources[[#Headers],[Name]])))="",TRUE()),"",INDEX(res_Type,(ROW()-ROW(MSPResources[[#Headers],[Name]])))&amp;"")</f>
        <v>Work</v>
      </c>
      <c r="E2" s="24" t="str">
        <f aca="false">IF(IFERROR(INDEX(res_Name,(ROW()-ROW(MSPResources[[#Headers],[Name]])))="",TRUE()),"",ROUND(INDEX(res_MaxUnits,(ROW()-ROW(MSPResources[[#Headers],[Name]])))*100,0)&amp;"%")</f>
        <v>50%</v>
      </c>
      <c r="F2" s="24" t="str">
        <f aca="false">IF(IFERROR(INDEX(res_Name,(ROW()-ROW(MSPResources[[#Headers],[Name]])))="",TRUE()),"",INDEX(res_Rate,(ROW()-ROW(MSPResources[[#Headers],[Name]])))&amp;"/h")</f>
        <v>95/h</v>
      </c>
      <c r="G2" s="24" t="str">
        <f aca="false">IF(IFERROR(INDEX(res_Name,(ROW()-ROW(MSPResources[[#Headers],[Name]])))="",TRUE()),"",INDEX(res_Email,(ROW()-ROW(MSPResources[[#Headers],[Name]])))&amp;"")</f>
        <v>priya@example.com</v>
      </c>
    </row>
    <row r="3" customFormat="false" ht="15" hidden="false" customHeight="false" outlineLevel="0" collapsed="false">
      <c r="A3" s="24" t="str">
        <f aca="false">IF(IFERROR(INDEX(res_Name,(ROW()-ROW(MSPResources[[#Headers],[Name]])))="",TRUE()),"",INDEX(res_Name,(ROW()-ROW(MSPResources[[#Headers],[Name]])))&amp;"")</f>
        <v>Morgan Patel</v>
      </c>
      <c r="B3" s="24" t="str">
        <f aca="false">IF(IFERROR(INDEX(res_Name,(ROW()-ROW(MSPResources[[#Headers],[Name]])))="",TRUE()),"",INDEX(res_Initials,(ROW()-ROW(MSPResources[[#Headers],[Name]])))&amp;"")</f>
        <v>MP</v>
      </c>
      <c r="C3" s="24" t="str">
        <f aca="false">IF(IFERROR(INDEX(res_Name,(ROW()-ROW(MSPResources[[#Headers],[Name]])))="",TRUE()),"",INDEX(res_Group,(ROW()-ROW(MSPResources[[#Headers],[Name]])))&amp;"")</f>
        <v>Business Analyst</v>
      </c>
      <c r="D3" s="24" t="str">
        <f aca="false">IF(IFERROR(INDEX(res_Name,(ROW()-ROW(MSPResources[[#Headers],[Name]])))="",TRUE()),"",INDEX(res_Type,(ROW()-ROW(MSPResources[[#Headers],[Name]])))&amp;"")</f>
        <v>Work</v>
      </c>
      <c r="E3" s="24" t="str">
        <f aca="false">IF(IFERROR(INDEX(res_Name,(ROW()-ROW(MSPResources[[#Headers],[Name]])))="",TRUE()),"",ROUND(INDEX(res_MaxUnits,(ROW()-ROW(MSPResources[[#Headers],[Name]])))*100,0)&amp;"%")</f>
        <v>100%</v>
      </c>
      <c r="F3" s="24" t="str">
        <f aca="false">IF(IFERROR(INDEX(res_Name,(ROW()-ROW(MSPResources[[#Headers],[Name]])))="",TRUE()),"",INDEX(res_Rate,(ROW()-ROW(MSPResources[[#Headers],[Name]])))&amp;"/h")</f>
        <v>70/h</v>
      </c>
      <c r="G3" s="24" t="str">
        <f aca="false">IF(IFERROR(INDEX(res_Name,(ROW()-ROW(MSPResources[[#Headers],[Name]])))="",TRUE()),"",INDEX(res_Email,(ROW()-ROW(MSPResources[[#Headers],[Name]])))&amp;"")</f>
        <v>morgan@example.com</v>
      </c>
    </row>
    <row r="4" customFormat="false" ht="15" hidden="false" customHeight="false" outlineLevel="0" collapsed="false">
      <c r="A4" s="24" t="str">
        <f aca="false">IF(IFERROR(INDEX(res_Name,(ROW()-ROW(MSPResources[[#Headers],[Name]])))="",TRUE()),"",INDEX(res_Name,(ROW()-ROW(MSPResources[[#Headers],[Name]])))&amp;"")</f>
        <v>Alex Chen</v>
      </c>
      <c r="B4" s="24" t="str">
        <f aca="false">IF(IFERROR(INDEX(res_Name,(ROW()-ROW(MSPResources[[#Headers],[Name]])))="",TRUE()),"",INDEX(res_Initials,(ROW()-ROW(MSPResources[[#Headers],[Name]])))&amp;"")</f>
        <v>AC</v>
      </c>
      <c r="C4" s="24" t="str">
        <f aca="false">IF(IFERROR(INDEX(res_Name,(ROW()-ROW(MSPResources[[#Headers],[Name]])))="",TRUE()),"",INDEX(res_Group,(ROW()-ROW(MSPResources[[#Headers],[Name]])))&amp;"")</f>
        <v>Solution Architect</v>
      </c>
      <c r="D4" s="24" t="str">
        <f aca="false">IF(IFERROR(INDEX(res_Name,(ROW()-ROW(MSPResources[[#Headers],[Name]])))="",TRUE()),"",INDEX(res_Type,(ROW()-ROW(MSPResources[[#Headers],[Name]])))&amp;"")</f>
        <v>Work</v>
      </c>
      <c r="E4" s="24" t="str">
        <f aca="false">IF(IFERROR(INDEX(res_Name,(ROW()-ROW(MSPResources[[#Headers],[Name]])))="",TRUE()),"",ROUND(INDEX(res_MaxUnits,(ROW()-ROW(MSPResources[[#Headers],[Name]])))*100,0)&amp;"%")</f>
        <v>50%</v>
      </c>
      <c r="F4" s="24" t="str">
        <f aca="false">IF(IFERROR(INDEX(res_Name,(ROW()-ROW(MSPResources[[#Headers],[Name]])))="",TRUE()),"",INDEX(res_Rate,(ROW()-ROW(MSPResources[[#Headers],[Name]])))&amp;"/h")</f>
        <v>110/h</v>
      </c>
      <c r="G4" s="24" t="str">
        <f aca="false">IF(IFERROR(INDEX(res_Name,(ROW()-ROW(MSPResources[[#Headers],[Name]])))="",TRUE()),"",INDEX(res_Email,(ROW()-ROW(MSPResources[[#Headers],[Name]])))&amp;"")</f>
        <v>alex@example.com</v>
      </c>
    </row>
    <row r="5" customFormat="false" ht="15" hidden="false" customHeight="false" outlineLevel="0" collapsed="false">
      <c r="A5" s="24" t="str">
        <f aca="false">IF(IFERROR(INDEX(res_Name,(ROW()-ROW(MSPResources[[#Headers],[Name]])))="",TRUE()),"",INDEX(res_Name,(ROW()-ROW(MSPResources[[#Headers],[Name]])))&amp;"")</f>
        <v>Casey Kim</v>
      </c>
      <c r="B5" s="24" t="str">
        <f aca="false">IF(IFERROR(INDEX(res_Name,(ROW()-ROW(MSPResources[[#Headers],[Name]])))="",TRUE()),"",INDEX(res_Initials,(ROW()-ROW(MSPResources[[#Headers],[Name]])))&amp;"")</f>
        <v>CK</v>
      </c>
      <c r="C5" s="24" t="str">
        <f aca="false">IF(IFERROR(INDEX(res_Name,(ROW()-ROW(MSPResources[[#Headers],[Name]])))="",TRUE()),"",INDEX(res_Group,(ROW()-ROW(MSPResources[[#Headers],[Name]])))&amp;"")</f>
        <v>UX Designer</v>
      </c>
      <c r="D5" s="24" t="str">
        <f aca="false">IF(IFERROR(INDEX(res_Name,(ROW()-ROW(MSPResources[[#Headers],[Name]])))="",TRUE()),"",INDEX(res_Type,(ROW()-ROW(MSPResources[[#Headers],[Name]])))&amp;"")</f>
        <v>Work</v>
      </c>
      <c r="E5" s="24" t="str">
        <f aca="false">IF(IFERROR(INDEX(res_Name,(ROW()-ROW(MSPResources[[#Headers],[Name]])))="",TRUE()),"",ROUND(INDEX(res_MaxUnits,(ROW()-ROW(MSPResources[[#Headers],[Name]])))*100,0)&amp;"%")</f>
        <v>100%</v>
      </c>
      <c r="F5" s="24" t="str">
        <f aca="false">IF(IFERROR(INDEX(res_Name,(ROW()-ROW(MSPResources[[#Headers],[Name]])))="",TRUE()),"",INDEX(res_Rate,(ROW()-ROW(MSPResources[[#Headers],[Name]])))&amp;"/h")</f>
        <v>75/h</v>
      </c>
      <c r="G5" s="24" t="str">
        <f aca="false">IF(IFERROR(INDEX(res_Name,(ROW()-ROW(MSPResources[[#Headers],[Name]])))="",TRUE()),"",INDEX(res_Email,(ROW()-ROW(MSPResources[[#Headers],[Name]])))&amp;"")</f>
        <v>casey@example.com</v>
      </c>
    </row>
    <row r="6" customFormat="false" ht="15" hidden="false" customHeight="false" outlineLevel="0" collapsed="false">
      <c r="A6" s="24" t="str">
        <f aca="false">IF(IFERROR(INDEX(res_Name,(ROW()-ROW(MSPResources[[#Headers],[Name]])))="",TRUE()),"",INDEX(res_Name,(ROW()-ROW(MSPResources[[#Headers],[Name]])))&amp;"")</f>
        <v>Jordan Lee</v>
      </c>
      <c r="B6" s="24" t="str">
        <f aca="false">IF(IFERROR(INDEX(res_Name,(ROW()-ROW(MSPResources[[#Headers],[Name]])))="",TRUE()),"",INDEX(res_Initials,(ROW()-ROW(MSPResources[[#Headers],[Name]])))&amp;"")</f>
        <v>JL</v>
      </c>
      <c r="C6" s="24" t="str">
        <f aca="false">IF(IFERROR(INDEX(res_Name,(ROW()-ROW(MSPResources[[#Headers],[Name]])))="",TRUE()),"",INDEX(res_Group,(ROW()-ROW(MSPResources[[#Headers],[Name]])))&amp;"")</f>
        <v>Backend Developer</v>
      </c>
      <c r="D6" s="24" t="str">
        <f aca="false">IF(IFERROR(INDEX(res_Name,(ROW()-ROW(MSPResources[[#Headers],[Name]])))="",TRUE()),"",INDEX(res_Type,(ROW()-ROW(MSPResources[[#Headers],[Name]])))&amp;"")</f>
        <v>Work</v>
      </c>
      <c r="E6" s="24" t="str">
        <f aca="false">IF(IFERROR(INDEX(res_Name,(ROW()-ROW(MSPResources[[#Headers],[Name]])))="",TRUE()),"",ROUND(INDEX(res_MaxUnits,(ROW()-ROW(MSPResources[[#Headers],[Name]])))*100,0)&amp;"%")</f>
        <v>100%</v>
      </c>
      <c r="F6" s="24" t="str">
        <f aca="false">IF(IFERROR(INDEX(res_Name,(ROW()-ROW(MSPResources[[#Headers],[Name]])))="",TRUE()),"",INDEX(res_Rate,(ROW()-ROW(MSPResources[[#Headers],[Name]])))&amp;"/h")</f>
        <v>85/h</v>
      </c>
      <c r="G6" s="24" t="str">
        <f aca="false">IF(IFERROR(INDEX(res_Name,(ROW()-ROW(MSPResources[[#Headers],[Name]])))="",TRUE()),"",INDEX(res_Email,(ROW()-ROW(MSPResources[[#Headers],[Name]])))&amp;"")</f>
        <v>jordan@example.com</v>
      </c>
    </row>
    <row r="7" customFormat="false" ht="15" hidden="false" customHeight="false" outlineLevel="0" collapsed="false">
      <c r="A7" s="24" t="str">
        <f aca="false">IF(IFERROR(INDEX(res_Name,(ROW()-ROW(MSPResources[[#Headers],[Name]])))="",TRUE()),"",INDEX(res_Name,(ROW()-ROW(MSPResources[[#Headers],[Name]])))&amp;"")</f>
        <v>Sam Rivera</v>
      </c>
      <c r="B7" s="24" t="str">
        <f aca="false">IF(IFERROR(INDEX(res_Name,(ROW()-ROW(MSPResources[[#Headers],[Name]])))="",TRUE()),"",INDEX(res_Initials,(ROW()-ROW(MSPResources[[#Headers],[Name]])))&amp;"")</f>
        <v>SR</v>
      </c>
      <c r="C7" s="24" t="str">
        <f aca="false">IF(IFERROR(INDEX(res_Name,(ROW()-ROW(MSPResources[[#Headers],[Name]])))="",TRUE()),"",INDEX(res_Group,(ROW()-ROW(MSPResources[[#Headers],[Name]])))&amp;"")</f>
        <v>Frontend Developer</v>
      </c>
      <c r="D7" s="24" t="str">
        <f aca="false">IF(IFERROR(INDEX(res_Name,(ROW()-ROW(MSPResources[[#Headers],[Name]])))="",TRUE()),"",INDEX(res_Type,(ROW()-ROW(MSPResources[[#Headers],[Name]])))&amp;"")</f>
        <v>Work</v>
      </c>
      <c r="E7" s="24" t="str">
        <f aca="false">IF(IFERROR(INDEX(res_Name,(ROW()-ROW(MSPResources[[#Headers],[Name]])))="",TRUE()),"",ROUND(INDEX(res_MaxUnits,(ROW()-ROW(MSPResources[[#Headers],[Name]])))*100,0)&amp;"%")</f>
        <v>100%</v>
      </c>
      <c r="F7" s="24" t="str">
        <f aca="false">IF(IFERROR(INDEX(res_Name,(ROW()-ROW(MSPResources[[#Headers],[Name]])))="",TRUE()),"",INDEX(res_Rate,(ROW()-ROW(MSPResources[[#Headers],[Name]])))&amp;"/h")</f>
        <v>80/h</v>
      </c>
      <c r="G7" s="24" t="str">
        <f aca="false">IF(IFERROR(INDEX(res_Name,(ROW()-ROW(MSPResources[[#Headers],[Name]])))="",TRUE()),"",INDEX(res_Email,(ROW()-ROW(MSPResources[[#Headers],[Name]])))&amp;"")</f>
        <v>sam@example.com</v>
      </c>
    </row>
    <row r="8" customFormat="false" ht="15" hidden="false" customHeight="false" outlineLevel="0" collapsed="false">
      <c r="A8" s="24" t="str">
        <f aca="false">IF(IFERROR(INDEX(res_Name,(ROW()-ROW(MSPResources[[#Headers],[Name]])))="",TRUE()),"",INDEX(res_Name,(ROW()-ROW(MSPResources[[#Headers],[Name]])))&amp;"")</f>
        <v>Taylor Morgan</v>
      </c>
      <c r="B8" s="24" t="str">
        <f aca="false">IF(IFERROR(INDEX(res_Name,(ROW()-ROW(MSPResources[[#Headers],[Name]])))="",TRUE()),"",INDEX(res_Initials,(ROW()-ROW(MSPResources[[#Headers],[Name]])))&amp;"")</f>
        <v>TM</v>
      </c>
      <c r="C8" s="24" t="str">
        <f aca="false">IF(IFERROR(INDEX(res_Name,(ROW()-ROW(MSPResources[[#Headers],[Name]])))="",TRUE()),"",INDEX(res_Group,(ROW()-ROW(MSPResources[[#Headers],[Name]])))&amp;"")</f>
        <v>QA Engineer</v>
      </c>
      <c r="D8" s="24" t="str">
        <f aca="false">IF(IFERROR(INDEX(res_Name,(ROW()-ROW(MSPResources[[#Headers],[Name]])))="",TRUE()),"",INDEX(res_Type,(ROW()-ROW(MSPResources[[#Headers],[Name]])))&amp;"")</f>
        <v>Work</v>
      </c>
      <c r="E8" s="24" t="str">
        <f aca="false">IF(IFERROR(INDEX(res_Name,(ROW()-ROW(MSPResources[[#Headers],[Name]])))="",TRUE()),"",ROUND(INDEX(res_MaxUnits,(ROW()-ROW(MSPResources[[#Headers],[Name]])))*100,0)&amp;"%")</f>
        <v>100%</v>
      </c>
      <c r="F8" s="24" t="str">
        <f aca="false">IF(IFERROR(INDEX(res_Name,(ROW()-ROW(MSPResources[[#Headers],[Name]])))="",TRUE()),"",INDEX(res_Rate,(ROW()-ROW(MSPResources[[#Headers],[Name]])))&amp;"/h")</f>
        <v>65/h</v>
      </c>
      <c r="G8" s="24" t="str">
        <f aca="false">IF(IFERROR(INDEX(res_Name,(ROW()-ROW(MSPResources[[#Headers],[Name]])))="",TRUE()),"",INDEX(res_Email,(ROW()-ROW(MSPResources[[#Headers],[Name]])))&amp;"")</f>
        <v>taylor@example.com</v>
      </c>
    </row>
    <row r="9" customFormat="false" ht="15" hidden="false" customHeight="false" outlineLevel="0" collapsed="false">
      <c r="A9" s="24" t="str">
        <f aca="false">IF(IFERROR(INDEX(res_Name,(ROW()-ROW(MSPResources[[#Headers],[Name]])))="",TRUE()),"",INDEX(res_Name,(ROW()-ROW(MSPResources[[#Headers],[Name]])))&amp;"")</f>
        <v/>
      </c>
      <c r="B9" s="24" t="str">
        <f aca="false">IF(IFERROR(INDEX(res_Name,(ROW()-ROW(MSPResources[[#Headers],[Name]])))="",TRUE()),"",INDEX(res_Initials,(ROW()-ROW(MSPResources[[#Headers],[Name]])))&amp;"")</f>
        <v/>
      </c>
      <c r="C9" s="24" t="str">
        <f aca="false">IF(IFERROR(INDEX(res_Name,(ROW()-ROW(MSPResources[[#Headers],[Name]])))="",TRUE()),"",INDEX(res_Group,(ROW()-ROW(MSPResources[[#Headers],[Name]])))&amp;"")</f>
        <v/>
      </c>
      <c r="D9" s="24" t="str">
        <f aca="false">IF(IFERROR(INDEX(res_Name,(ROW()-ROW(MSPResources[[#Headers],[Name]])))="",TRUE()),"",INDEX(res_Type,(ROW()-ROW(MSPResources[[#Headers],[Name]])))&amp;"")</f>
        <v/>
      </c>
      <c r="E9" s="24" t="str">
        <f aca="false">IF(IFERROR(INDEX(res_Name,(ROW()-ROW(MSPResources[[#Headers],[Name]])))="",TRUE()),"",ROUND(INDEX(res_MaxUnits,(ROW()-ROW(MSPResources[[#Headers],[Name]])))*100,0)&amp;"%")</f>
        <v/>
      </c>
      <c r="F9" s="24" t="str">
        <f aca="false">IF(IFERROR(INDEX(res_Name,(ROW()-ROW(MSPResources[[#Headers],[Name]])))="",TRUE()),"",INDEX(res_Rate,(ROW()-ROW(MSPResources[[#Headers],[Name]])))&amp;"/h")</f>
        <v/>
      </c>
      <c r="G9" s="24" t="str">
        <f aca="false">IF(IFERROR(INDEX(res_Name,(ROW()-ROW(MSPResources[[#Headers],[Name]])))="",TRUE()),"",INDEX(res_Email,(ROW()-ROW(MSPResources[[#Headers],[Name]])))&amp;"")</f>
        <v/>
      </c>
    </row>
    <row r="10" customFormat="false" ht="15" hidden="false" customHeight="false" outlineLevel="0" collapsed="false">
      <c r="A10" s="24" t="str">
        <f aca="false">IF(IFERROR(INDEX(res_Name,(ROW()-ROW(MSPResources[[#Headers],[Name]])))="",TRUE()),"",INDEX(res_Name,(ROW()-ROW(MSPResources[[#Headers],[Name]])))&amp;"")</f>
        <v/>
      </c>
      <c r="B10" s="24" t="str">
        <f aca="false">IF(IFERROR(INDEX(res_Name,(ROW()-ROW(MSPResources[[#Headers],[Name]])))="",TRUE()),"",INDEX(res_Initials,(ROW()-ROW(MSPResources[[#Headers],[Name]])))&amp;"")</f>
        <v/>
      </c>
      <c r="C10" s="24" t="str">
        <f aca="false">IF(IFERROR(INDEX(res_Name,(ROW()-ROW(MSPResources[[#Headers],[Name]])))="",TRUE()),"",INDEX(res_Group,(ROW()-ROW(MSPResources[[#Headers],[Name]])))&amp;"")</f>
        <v/>
      </c>
      <c r="D10" s="24" t="str">
        <f aca="false">IF(IFERROR(INDEX(res_Name,(ROW()-ROW(MSPResources[[#Headers],[Name]])))="",TRUE()),"",INDEX(res_Type,(ROW()-ROW(MSPResources[[#Headers],[Name]])))&amp;"")</f>
        <v/>
      </c>
      <c r="E10" s="24" t="str">
        <f aca="false">IF(IFERROR(INDEX(res_Name,(ROW()-ROW(MSPResources[[#Headers],[Name]])))="",TRUE()),"",ROUND(INDEX(res_MaxUnits,(ROW()-ROW(MSPResources[[#Headers],[Name]])))*100,0)&amp;"%")</f>
        <v/>
      </c>
      <c r="F10" s="24" t="str">
        <f aca="false">IF(IFERROR(INDEX(res_Name,(ROW()-ROW(MSPResources[[#Headers],[Name]])))="",TRUE()),"",INDEX(res_Rate,(ROW()-ROW(MSPResources[[#Headers],[Name]])))&amp;"/h")</f>
        <v/>
      </c>
      <c r="G10" s="24" t="str">
        <f aca="false">IF(IFERROR(INDEX(res_Name,(ROW()-ROW(MSPResources[[#Headers],[Name]])))="",TRUE()),"",INDEX(res_Email,(ROW()-ROW(MSPResources[[#Headers],[Name]])))&amp;"")</f>
        <v/>
      </c>
    </row>
    <row r="11" customFormat="false" ht="15" hidden="false" customHeight="false" outlineLevel="0" collapsed="false">
      <c r="A11" s="24" t="str">
        <f aca="false">IF(IFERROR(INDEX(res_Name,(ROW()-ROW(MSPResources[[#Headers],[Name]])))="",TRUE()),"",INDEX(res_Name,(ROW()-ROW(MSPResources[[#Headers],[Name]])))&amp;"")</f>
        <v/>
      </c>
      <c r="B11" s="24" t="str">
        <f aca="false">IF(IFERROR(INDEX(res_Name,(ROW()-ROW(MSPResources[[#Headers],[Name]])))="",TRUE()),"",INDEX(res_Initials,(ROW()-ROW(MSPResources[[#Headers],[Name]])))&amp;"")</f>
        <v/>
      </c>
      <c r="C11" s="24" t="str">
        <f aca="false">IF(IFERROR(INDEX(res_Name,(ROW()-ROW(MSPResources[[#Headers],[Name]])))="",TRUE()),"",INDEX(res_Group,(ROW()-ROW(MSPResources[[#Headers],[Name]])))&amp;"")</f>
        <v/>
      </c>
      <c r="D11" s="24" t="str">
        <f aca="false">IF(IFERROR(INDEX(res_Name,(ROW()-ROW(MSPResources[[#Headers],[Name]])))="",TRUE()),"",INDEX(res_Type,(ROW()-ROW(MSPResources[[#Headers],[Name]])))&amp;"")</f>
        <v/>
      </c>
      <c r="E11" s="24" t="str">
        <f aca="false">IF(IFERROR(INDEX(res_Name,(ROW()-ROW(MSPResources[[#Headers],[Name]])))="",TRUE()),"",ROUND(INDEX(res_MaxUnits,(ROW()-ROW(MSPResources[[#Headers],[Name]])))*100,0)&amp;"%")</f>
        <v/>
      </c>
      <c r="F11" s="24" t="str">
        <f aca="false">IF(IFERROR(INDEX(res_Name,(ROW()-ROW(MSPResources[[#Headers],[Name]])))="",TRUE()),"",INDEX(res_Rate,(ROW()-ROW(MSPResources[[#Headers],[Name]])))&amp;"/h")</f>
        <v/>
      </c>
      <c r="G11" s="24" t="str">
        <f aca="false">IF(IFERROR(INDEX(res_Name,(ROW()-ROW(MSPResources[[#Headers],[Name]])))="",TRUE()),"",INDEX(res_Email,(ROW()-ROW(MSPResources[[#Headers],[Name]])))&amp;"")</f>
        <v/>
      </c>
    </row>
    <row r="12" customFormat="false" ht="15" hidden="false" customHeight="false" outlineLevel="0" collapsed="false">
      <c r="A12" s="24" t="str">
        <f aca="false">IF(IFERROR(INDEX(res_Name,(ROW()-ROW(MSPResources[[#Headers],[Name]])))="",TRUE()),"",INDEX(res_Name,(ROW()-ROW(MSPResources[[#Headers],[Name]])))&amp;"")</f>
        <v/>
      </c>
      <c r="B12" s="24" t="str">
        <f aca="false">IF(IFERROR(INDEX(res_Name,(ROW()-ROW(MSPResources[[#Headers],[Name]])))="",TRUE()),"",INDEX(res_Initials,(ROW()-ROW(MSPResources[[#Headers],[Name]])))&amp;"")</f>
        <v/>
      </c>
      <c r="C12" s="24" t="str">
        <f aca="false">IF(IFERROR(INDEX(res_Name,(ROW()-ROW(MSPResources[[#Headers],[Name]])))="",TRUE()),"",INDEX(res_Group,(ROW()-ROW(MSPResources[[#Headers],[Name]])))&amp;"")</f>
        <v/>
      </c>
      <c r="D12" s="24" t="str">
        <f aca="false">IF(IFERROR(INDEX(res_Name,(ROW()-ROW(MSPResources[[#Headers],[Name]])))="",TRUE()),"",INDEX(res_Type,(ROW()-ROW(MSPResources[[#Headers],[Name]])))&amp;"")</f>
        <v/>
      </c>
      <c r="E12" s="24" t="str">
        <f aca="false">IF(IFERROR(INDEX(res_Name,(ROW()-ROW(MSPResources[[#Headers],[Name]])))="",TRUE()),"",ROUND(INDEX(res_MaxUnits,(ROW()-ROW(MSPResources[[#Headers],[Name]])))*100,0)&amp;"%")</f>
        <v/>
      </c>
      <c r="F12" s="24" t="str">
        <f aca="false">IF(IFERROR(INDEX(res_Name,(ROW()-ROW(MSPResources[[#Headers],[Name]])))="",TRUE()),"",INDEX(res_Rate,(ROW()-ROW(MSPResources[[#Headers],[Name]])))&amp;"/h")</f>
        <v/>
      </c>
      <c r="G12" s="24" t="str">
        <f aca="false">IF(IFERROR(INDEX(res_Name,(ROW()-ROW(MSPResources[[#Headers],[Name]])))="",TRUE()),"",INDEX(res_Email,(ROW()-ROW(MSPResources[[#Headers],[Name]])))&amp;"")</f>
        <v/>
      </c>
    </row>
    <row r="13" customFormat="false" ht="15" hidden="false" customHeight="false" outlineLevel="0" collapsed="false">
      <c r="A13" s="24" t="str">
        <f aca="false">IF(IFERROR(INDEX(res_Name,(ROW()-ROW(MSPResources[[#Headers],[Name]])))="",TRUE()),"",INDEX(res_Name,(ROW()-ROW(MSPResources[[#Headers],[Name]])))&amp;"")</f>
        <v/>
      </c>
      <c r="B13" s="24" t="str">
        <f aca="false">IF(IFERROR(INDEX(res_Name,(ROW()-ROW(MSPResources[[#Headers],[Name]])))="",TRUE()),"",INDEX(res_Initials,(ROW()-ROW(MSPResources[[#Headers],[Name]])))&amp;"")</f>
        <v/>
      </c>
      <c r="C13" s="24" t="str">
        <f aca="false">IF(IFERROR(INDEX(res_Name,(ROW()-ROW(MSPResources[[#Headers],[Name]])))="",TRUE()),"",INDEX(res_Group,(ROW()-ROW(MSPResources[[#Headers],[Name]])))&amp;"")</f>
        <v/>
      </c>
      <c r="D13" s="24" t="str">
        <f aca="false">IF(IFERROR(INDEX(res_Name,(ROW()-ROW(MSPResources[[#Headers],[Name]])))="",TRUE()),"",INDEX(res_Type,(ROW()-ROW(MSPResources[[#Headers],[Name]])))&amp;"")</f>
        <v/>
      </c>
      <c r="E13" s="24" t="str">
        <f aca="false">IF(IFERROR(INDEX(res_Name,(ROW()-ROW(MSPResources[[#Headers],[Name]])))="",TRUE()),"",ROUND(INDEX(res_MaxUnits,(ROW()-ROW(MSPResources[[#Headers],[Name]])))*100,0)&amp;"%")</f>
        <v/>
      </c>
      <c r="F13" s="24" t="str">
        <f aca="false">IF(IFERROR(INDEX(res_Name,(ROW()-ROW(MSPResources[[#Headers],[Name]])))="",TRUE()),"",INDEX(res_Rate,(ROW()-ROW(MSPResources[[#Headers],[Name]])))&amp;"/h")</f>
        <v/>
      </c>
      <c r="G13" s="24" t="str">
        <f aca="false">IF(IFERROR(INDEX(res_Name,(ROW()-ROW(MSPResources[[#Headers],[Name]])))="",TRUE()),"",INDEX(res_Email,(ROW()-ROW(MSPResources[[#Headers],[Name]])))&amp;"")</f>
        <v/>
      </c>
    </row>
    <row r="14" customFormat="false" ht="15" hidden="false" customHeight="false" outlineLevel="0" collapsed="false">
      <c r="A14" s="24" t="str">
        <f aca="false">IF(IFERROR(INDEX(res_Name,(ROW()-ROW(MSPResources[[#Headers],[Name]])))="",TRUE()),"",INDEX(res_Name,(ROW()-ROW(MSPResources[[#Headers],[Name]])))&amp;"")</f>
        <v/>
      </c>
      <c r="B14" s="24" t="str">
        <f aca="false">IF(IFERROR(INDEX(res_Name,(ROW()-ROW(MSPResources[[#Headers],[Name]])))="",TRUE()),"",INDEX(res_Initials,(ROW()-ROW(MSPResources[[#Headers],[Name]])))&amp;"")</f>
        <v/>
      </c>
      <c r="C14" s="24" t="str">
        <f aca="false">IF(IFERROR(INDEX(res_Name,(ROW()-ROW(MSPResources[[#Headers],[Name]])))="",TRUE()),"",INDEX(res_Group,(ROW()-ROW(MSPResources[[#Headers],[Name]])))&amp;"")</f>
        <v/>
      </c>
      <c r="D14" s="24" t="str">
        <f aca="false">IF(IFERROR(INDEX(res_Name,(ROW()-ROW(MSPResources[[#Headers],[Name]])))="",TRUE()),"",INDEX(res_Type,(ROW()-ROW(MSPResources[[#Headers],[Name]])))&amp;"")</f>
        <v/>
      </c>
      <c r="E14" s="24" t="str">
        <f aca="false">IF(IFERROR(INDEX(res_Name,(ROW()-ROW(MSPResources[[#Headers],[Name]])))="",TRUE()),"",ROUND(INDEX(res_MaxUnits,(ROW()-ROW(MSPResources[[#Headers],[Name]])))*100,0)&amp;"%")</f>
        <v/>
      </c>
      <c r="F14" s="24" t="str">
        <f aca="false">IF(IFERROR(INDEX(res_Name,(ROW()-ROW(MSPResources[[#Headers],[Name]])))="",TRUE()),"",INDEX(res_Rate,(ROW()-ROW(MSPResources[[#Headers],[Name]])))&amp;"/h")</f>
        <v/>
      </c>
      <c r="G14" s="24" t="str">
        <f aca="false">IF(IFERROR(INDEX(res_Name,(ROW()-ROW(MSPResources[[#Headers],[Name]])))="",TRUE()),"",INDEX(res_Email,(ROW()-ROW(MSPResources[[#Headers],[Name]])))&amp;"")</f>
        <v/>
      </c>
    </row>
    <row r="15" customFormat="false" ht="15" hidden="false" customHeight="false" outlineLevel="0" collapsed="false">
      <c r="A15" s="24" t="str">
        <f aca="false">IF(IFERROR(INDEX(res_Name,(ROW()-ROW(MSPResources[[#Headers],[Name]])))="",TRUE()),"",INDEX(res_Name,(ROW()-ROW(MSPResources[[#Headers],[Name]])))&amp;"")</f>
        <v/>
      </c>
      <c r="B15" s="24" t="str">
        <f aca="false">IF(IFERROR(INDEX(res_Name,(ROW()-ROW(MSPResources[[#Headers],[Name]])))="",TRUE()),"",INDEX(res_Initials,(ROW()-ROW(MSPResources[[#Headers],[Name]])))&amp;"")</f>
        <v/>
      </c>
      <c r="C15" s="24" t="str">
        <f aca="false">IF(IFERROR(INDEX(res_Name,(ROW()-ROW(MSPResources[[#Headers],[Name]])))="",TRUE()),"",INDEX(res_Group,(ROW()-ROW(MSPResources[[#Headers],[Name]])))&amp;"")</f>
        <v/>
      </c>
      <c r="D15" s="24" t="str">
        <f aca="false">IF(IFERROR(INDEX(res_Name,(ROW()-ROW(MSPResources[[#Headers],[Name]])))="",TRUE()),"",INDEX(res_Type,(ROW()-ROW(MSPResources[[#Headers],[Name]])))&amp;"")</f>
        <v/>
      </c>
      <c r="E15" s="24" t="str">
        <f aca="false">IF(IFERROR(INDEX(res_Name,(ROW()-ROW(MSPResources[[#Headers],[Name]])))="",TRUE()),"",ROUND(INDEX(res_MaxUnits,(ROW()-ROW(MSPResources[[#Headers],[Name]])))*100,0)&amp;"%")</f>
        <v/>
      </c>
      <c r="F15" s="24" t="str">
        <f aca="false">IF(IFERROR(INDEX(res_Name,(ROW()-ROW(MSPResources[[#Headers],[Name]])))="",TRUE()),"",INDEX(res_Rate,(ROW()-ROW(MSPResources[[#Headers],[Name]])))&amp;"/h")</f>
        <v/>
      </c>
      <c r="G15" s="24" t="str">
        <f aca="false">IF(IFERROR(INDEX(res_Name,(ROW()-ROW(MSPResources[[#Headers],[Name]])))="",TRUE()),"",INDEX(res_Email,(ROW()-ROW(MSPResources[[#Headers],[Name]])))&amp;"")</f>
        <v/>
      </c>
    </row>
    <row r="16" customFormat="false" ht="15" hidden="false" customHeight="false" outlineLevel="0" collapsed="false">
      <c r="A16" s="24" t="str">
        <f aca="false">IF(IFERROR(INDEX(res_Name,(ROW()-ROW(MSPResources[[#Headers],[Name]])))="",TRUE()),"",INDEX(res_Name,(ROW()-ROW(MSPResources[[#Headers],[Name]])))&amp;"")</f>
        <v/>
      </c>
      <c r="B16" s="24" t="str">
        <f aca="false">IF(IFERROR(INDEX(res_Name,(ROW()-ROW(MSPResources[[#Headers],[Name]])))="",TRUE()),"",INDEX(res_Initials,(ROW()-ROW(MSPResources[[#Headers],[Name]])))&amp;"")</f>
        <v/>
      </c>
      <c r="C16" s="24" t="str">
        <f aca="false">IF(IFERROR(INDEX(res_Name,(ROW()-ROW(MSPResources[[#Headers],[Name]])))="",TRUE()),"",INDEX(res_Group,(ROW()-ROW(MSPResources[[#Headers],[Name]])))&amp;"")</f>
        <v/>
      </c>
      <c r="D16" s="24" t="str">
        <f aca="false">IF(IFERROR(INDEX(res_Name,(ROW()-ROW(MSPResources[[#Headers],[Name]])))="",TRUE()),"",INDEX(res_Type,(ROW()-ROW(MSPResources[[#Headers],[Name]])))&amp;"")</f>
        <v/>
      </c>
      <c r="E16" s="24" t="str">
        <f aca="false">IF(IFERROR(INDEX(res_Name,(ROW()-ROW(MSPResources[[#Headers],[Name]])))="",TRUE()),"",ROUND(INDEX(res_MaxUnits,(ROW()-ROW(MSPResources[[#Headers],[Name]])))*100,0)&amp;"%")</f>
        <v/>
      </c>
      <c r="F16" s="24" t="str">
        <f aca="false">IF(IFERROR(INDEX(res_Name,(ROW()-ROW(MSPResources[[#Headers],[Name]])))="",TRUE()),"",INDEX(res_Rate,(ROW()-ROW(MSPResources[[#Headers],[Name]])))&amp;"/h")</f>
        <v/>
      </c>
      <c r="G16" s="24" t="str">
        <f aca="false">IF(IFERROR(INDEX(res_Name,(ROW()-ROW(MSPResources[[#Headers],[Name]])))="",TRUE()),"",INDEX(res_Email,(ROW()-ROW(MSPResources[[#Headers],[Name]])))&amp;"")</f>
        <v/>
      </c>
    </row>
    <row r="17" customFormat="false" ht="15" hidden="false" customHeight="false" outlineLevel="0" collapsed="false">
      <c r="A17" s="24" t="str">
        <f aca="false">IF(IFERROR(INDEX(res_Name,(ROW()-ROW(MSPResources[[#Headers],[Name]])))="",TRUE()),"",INDEX(res_Name,(ROW()-ROW(MSPResources[[#Headers],[Name]])))&amp;"")</f>
        <v/>
      </c>
      <c r="B17" s="24" t="str">
        <f aca="false">IF(IFERROR(INDEX(res_Name,(ROW()-ROW(MSPResources[[#Headers],[Name]])))="",TRUE()),"",INDEX(res_Initials,(ROW()-ROW(MSPResources[[#Headers],[Name]])))&amp;"")</f>
        <v/>
      </c>
      <c r="C17" s="24" t="str">
        <f aca="false">IF(IFERROR(INDEX(res_Name,(ROW()-ROW(MSPResources[[#Headers],[Name]])))="",TRUE()),"",INDEX(res_Group,(ROW()-ROW(MSPResources[[#Headers],[Name]])))&amp;"")</f>
        <v/>
      </c>
      <c r="D17" s="24" t="str">
        <f aca="false">IF(IFERROR(INDEX(res_Name,(ROW()-ROW(MSPResources[[#Headers],[Name]])))="",TRUE()),"",INDEX(res_Type,(ROW()-ROW(MSPResources[[#Headers],[Name]])))&amp;"")</f>
        <v/>
      </c>
      <c r="E17" s="24" t="str">
        <f aca="false">IF(IFERROR(INDEX(res_Name,(ROW()-ROW(MSPResources[[#Headers],[Name]])))="",TRUE()),"",ROUND(INDEX(res_MaxUnits,(ROW()-ROW(MSPResources[[#Headers],[Name]])))*100,0)&amp;"%")</f>
        <v/>
      </c>
      <c r="F17" s="24" t="str">
        <f aca="false">IF(IFERROR(INDEX(res_Name,(ROW()-ROW(MSPResources[[#Headers],[Name]])))="",TRUE()),"",INDEX(res_Rate,(ROW()-ROW(MSPResources[[#Headers],[Name]])))&amp;"/h")</f>
        <v/>
      </c>
      <c r="G17" s="24" t="str">
        <f aca="false">IF(IFERROR(INDEX(res_Name,(ROW()-ROW(MSPResources[[#Headers],[Name]])))="",TRUE()),"",INDEX(res_Email,(ROW()-ROW(MSPResources[[#Headers],[Name]])))&amp;"")</f>
        <v/>
      </c>
    </row>
    <row r="18" customFormat="false" ht="15" hidden="false" customHeight="false" outlineLevel="0" collapsed="false">
      <c r="A18" s="24" t="str">
        <f aca="false">IF(IFERROR(INDEX(res_Name,(ROW()-ROW(MSPResources[[#Headers],[Name]])))="",TRUE()),"",INDEX(res_Name,(ROW()-ROW(MSPResources[[#Headers],[Name]])))&amp;"")</f>
        <v/>
      </c>
      <c r="B18" s="24" t="str">
        <f aca="false">IF(IFERROR(INDEX(res_Name,(ROW()-ROW(MSPResources[[#Headers],[Name]])))="",TRUE()),"",INDEX(res_Initials,(ROW()-ROW(MSPResources[[#Headers],[Name]])))&amp;"")</f>
        <v/>
      </c>
      <c r="C18" s="24" t="str">
        <f aca="false">IF(IFERROR(INDEX(res_Name,(ROW()-ROW(MSPResources[[#Headers],[Name]])))="",TRUE()),"",INDEX(res_Group,(ROW()-ROW(MSPResources[[#Headers],[Name]])))&amp;"")</f>
        <v/>
      </c>
      <c r="D18" s="24" t="str">
        <f aca="false">IF(IFERROR(INDEX(res_Name,(ROW()-ROW(MSPResources[[#Headers],[Name]])))="",TRUE()),"",INDEX(res_Type,(ROW()-ROW(MSPResources[[#Headers],[Name]])))&amp;"")</f>
        <v/>
      </c>
      <c r="E18" s="24" t="str">
        <f aca="false">IF(IFERROR(INDEX(res_Name,(ROW()-ROW(MSPResources[[#Headers],[Name]])))="",TRUE()),"",ROUND(INDEX(res_MaxUnits,(ROW()-ROW(MSPResources[[#Headers],[Name]])))*100,0)&amp;"%")</f>
        <v/>
      </c>
      <c r="F18" s="24" t="str">
        <f aca="false">IF(IFERROR(INDEX(res_Name,(ROW()-ROW(MSPResources[[#Headers],[Name]])))="",TRUE()),"",INDEX(res_Rate,(ROW()-ROW(MSPResources[[#Headers],[Name]])))&amp;"/h")</f>
        <v/>
      </c>
      <c r="G18" s="24" t="str">
        <f aca="false">IF(IFERROR(INDEX(res_Name,(ROW()-ROW(MSPResources[[#Headers],[Name]])))="",TRUE()),"",INDEX(res_Email,(ROW()-ROW(MSPResources[[#Headers],[Name]])))&amp;"")</f>
        <v/>
      </c>
    </row>
    <row r="19" customFormat="false" ht="15" hidden="false" customHeight="false" outlineLevel="0" collapsed="false">
      <c r="A19" s="24" t="str">
        <f aca="false">IF(IFERROR(INDEX(res_Name,(ROW()-ROW(MSPResources[[#Headers],[Name]])))="",TRUE()),"",INDEX(res_Name,(ROW()-ROW(MSPResources[[#Headers],[Name]])))&amp;"")</f>
        <v/>
      </c>
      <c r="B19" s="24" t="str">
        <f aca="false">IF(IFERROR(INDEX(res_Name,(ROW()-ROW(MSPResources[[#Headers],[Name]])))="",TRUE()),"",INDEX(res_Initials,(ROW()-ROW(MSPResources[[#Headers],[Name]])))&amp;"")</f>
        <v/>
      </c>
      <c r="C19" s="24" t="str">
        <f aca="false">IF(IFERROR(INDEX(res_Name,(ROW()-ROW(MSPResources[[#Headers],[Name]])))="",TRUE()),"",INDEX(res_Group,(ROW()-ROW(MSPResources[[#Headers],[Name]])))&amp;"")</f>
        <v/>
      </c>
      <c r="D19" s="24" t="str">
        <f aca="false">IF(IFERROR(INDEX(res_Name,(ROW()-ROW(MSPResources[[#Headers],[Name]])))="",TRUE()),"",INDEX(res_Type,(ROW()-ROW(MSPResources[[#Headers],[Name]])))&amp;"")</f>
        <v/>
      </c>
      <c r="E19" s="24" t="str">
        <f aca="false">IF(IFERROR(INDEX(res_Name,(ROW()-ROW(MSPResources[[#Headers],[Name]])))="",TRUE()),"",ROUND(INDEX(res_MaxUnits,(ROW()-ROW(MSPResources[[#Headers],[Name]])))*100,0)&amp;"%")</f>
        <v/>
      </c>
      <c r="F19" s="24" t="str">
        <f aca="false">IF(IFERROR(INDEX(res_Name,(ROW()-ROW(MSPResources[[#Headers],[Name]])))="",TRUE()),"",INDEX(res_Rate,(ROW()-ROW(MSPResources[[#Headers],[Name]])))&amp;"/h")</f>
        <v/>
      </c>
      <c r="G19" s="24" t="str">
        <f aca="false">IF(IFERROR(INDEX(res_Name,(ROW()-ROW(MSPResources[[#Headers],[Name]])))="",TRUE()),"",INDEX(res_Email,(ROW()-ROW(MSPResources[[#Headers],[Name]])))&amp;"")</f>
        <v/>
      </c>
    </row>
    <row r="20" customFormat="false" ht="15" hidden="false" customHeight="false" outlineLevel="0" collapsed="false">
      <c r="A20" s="24" t="str">
        <f aca="false">IF(IFERROR(INDEX(res_Name,(ROW()-ROW(MSPResources[[#Headers],[Name]])))="",TRUE()),"",INDEX(res_Name,(ROW()-ROW(MSPResources[[#Headers],[Name]])))&amp;"")</f>
        <v/>
      </c>
      <c r="B20" s="24" t="str">
        <f aca="false">IF(IFERROR(INDEX(res_Name,(ROW()-ROW(MSPResources[[#Headers],[Name]])))="",TRUE()),"",INDEX(res_Initials,(ROW()-ROW(MSPResources[[#Headers],[Name]])))&amp;"")</f>
        <v/>
      </c>
      <c r="C20" s="24" t="str">
        <f aca="false">IF(IFERROR(INDEX(res_Name,(ROW()-ROW(MSPResources[[#Headers],[Name]])))="",TRUE()),"",INDEX(res_Group,(ROW()-ROW(MSPResources[[#Headers],[Name]])))&amp;"")</f>
        <v/>
      </c>
      <c r="D20" s="24" t="str">
        <f aca="false">IF(IFERROR(INDEX(res_Name,(ROW()-ROW(MSPResources[[#Headers],[Name]])))="",TRUE()),"",INDEX(res_Type,(ROW()-ROW(MSPResources[[#Headers],[Name]])))&amp;"")</f>
        <v/>
      </c>
      <c r="E20" s="24" t="str">
        <f aca="false">IF(IFERROR(INDEX(res_Name,(ROW()-ROW(MSPResources[[#Headers],[Name]])))="",TRUE()),"",ROUND(INDEX(res_MaxUnits,(ROW()-ROW(MSPResources[[#Headers],[Name]])))*100,0)&amp;"%")</f>
        <v/>
      </c>
      <c r="F20" s="24" t="str">
        <f aca="false">IF(IFERROR(INDEX(res_Name,(ROW()-ROW(MSPResources[[#Headers],[Name]])))="",TRUE()),"",INDEX(res_Rate,(ROW()-ROW(MSPResources[[#Headers],[Name]])))&amp;"/h")</f>
        <v/>
      </c>
      <c r="G20" s="24" t="str">
        <f aca="false">IF(IFERROR(INDEX(res_Name,(ROW()-ROW(MSPResources[[#Headers],[Name]])))="",TRUE()),"",INDEX(res_Email,(ROW()-ROW(MSPResources[[#Headers],[Name]])))&amp;"")</f>
        <v/>
      </c>
    </row>
    <row r="21" customFormat="false" ht="15" hidden="false" customHeight="false" outlineLevel="0" collapsed="false">
      <c r="A21" s="24" t="str">
        <f aca="false">IF(IFERROR(INDEX(res_Name,(ROW()-ROW(MSPResources[[#Headers],[Name]])))="",TRUE()),"",INDEX(res_Name,(ROW()-ROW(MSPResources[[#Headers],[Name]])))&amp;"")</f>
        <v/>
      </c>
      <c r="B21" s="24" t="str">
        <f aca="false">IF(IFERROR(INDEX(res_Name,(ROW()-ROW(MSPResources[[#Headers],[Name]])))="",TRUE()),"",INDEX(res_Initials,(ROW()-ROW(MSPResources[[#Headers],[Name]])))&amp;"")</f>
        <v/>
      </c>
      <c r="C21" s="24" t="str">
        <f aca="false">IF(IFERROR(INDEX(res_Name,(ROW()-ROW(MSPResources[[#Headers],[Name]])))="",TRUE()),"",INDEX(res_Group,(ROW()-ROW(MSPResources[[#Headers],[Name]])))&amp;"")</f>
        <v/>
      </c>
      <c r="D21" s="24" t="str">
        <f aca="false">IF(IFERROR(INDEX(res_Name,(ROW()-ROW(MSPResources[[#Headers],[Name]])))="",TRUE()),"",INDEX(res_Type,(ROW()-ROW(MSPResources[[#Headers],[Name]])))&amp;"")</f>
        <v/>
      </c>
      <c r="E21" s="24" t="str">
        <f aca="false">IF(IFERROR(INDEX(res_Name,(ROW()-ROW(MSPResources[[#Headers],[Name]])))="",TRUE()),"",ROUND(INDEX(res_MaxUnits,(ROW()-ROW(MSPResources[[#Headers],[Name]])))*100,0)&amp;"%")</f>
        <v/>
      </c>
      <c r="F21" s="24" t="str">
        <f aca="false">IF(IFERROR(INDEX(res_Name,(ROW()-ROW(MSPResources[[#Headers],[Name]])))="",TRUE()),"",INDEX(res_Rate,(ROW()-ROW(MSPResources[[#Headers],[Name]])))&amp;"/h")</f>
        <v/>
      </c>
      <c r="G21" s="24" t="str">
        <f aca="false">IF(IFERROR(INDEX(res_Name,(ROW()-ROW(MSPResources[[#Headers],[Name]])))="",TRUE()),"",INDEX(res_Email,(ROW()-ROW(MSPResources[[#Headers],[Name]])))&amp;"")</f>
        <v/>
      </c>
    </row>
    <row r="22" customFormat="false" ht="15" hidden="false" customHeight="false" outlineLevel="0" collapsed="false">
      <c r="A22" s="24" t="str">
        <f aca="false">IF(IFERROR(INDEX(res_Name,(ROW()-ROW(MSPResources[[#Headers],[Name]])))="",TRUE()),"",INDEX(res_Name,(ROW()-ROW(MSPResources[[#Headers],[Name]])))&amp;"")</f>
        <v/>
      </c>
      <c r="B22" s="24" t="str">
        <f aca="false">IF(IFERROR(INDEX(res_Name,(ROW()-ROW(MSPResources[[#Headers],[Name]])))="",TRUE()),"",INDEX(res_Initials,(ROW()-ROW(MSPResources[[#Headers],[Name]])))&amp;"")</f>
        <v/>
      </c>
      <c r="C22" s="24" t="str">
        <f aca="false">IF(IFERROR(INDEX(res_Name,(ROW()-ROW(MSPResources[[#Headers],[Name]])))="",TRUE()),"",INDEX(res_Group,(ROW()-ROW(MSPResources[[#Headers],[Name]])))&amp;"")</f>
        <v/>
      </c>
      <c r="D22" s="24" t="str">
        <f aca="false">IF(IFERROR(INDEX(res_Name,(ROW()-ROW(MSPResources[[#Headers],[Name]])))="",TRUE()),"",INDEX(res_Type,(ROW()-ROW(MSPResources[[#Headers],[Name]])))&amp;"")</f>
        <v/>
      </c>
      <c r="E22" s="24" t="str">
        <f aca="false">IF(IFERROR(INDEX(res_Name,(ROW()-ROW(MSPResources[[#Headers],[Name]])))="",TRUE()),"",ROUND(INDEX(res_MaxUnits,(ROW()-ROW(MSPResources[[#Headers],[Name]])))*100,0)&amp;"%")</f>
        <v/>
      </c>
      <c r="F22" s="24" t="str">
        <f aca="false">IF(IFERROR(INDEX(res_Name,(ROW()-ROW(MSPResources[[#Headers],[Name]])))="",TRUE()),"",INDEX(res_Rate,(ROW()-ROW(MSPResources[[#Headers],[Name]])))&amp;"/h")</f>
        <v/>
      </c>
      <c r="G22" s="24" t="str">
        <f aca="false">IF(IFERROR(INDEX(res_Name,(ROW()-ROW(MSPResources[[#Headers],[Name]])))="",TRUE()),"",INDEX(res_Email,(ROW()-ROW(MSPResources[[#Headers],[Name]])))&amp;"")</f>
        <v/>
      </c>
    </row>
    <row r="23" customFormat="false" ht="15" hidden="false" customHeight="false" outlineLevel="0" collapsed="false">
      <c r="A23" s="24" t="str">
        <f aca="false">IF(IFERROR(INDEX(res_Name,(ROW()-ROW(MSPResources[[#Headers],[Name]])))="",TRUE()),"",INDEX(res_Name,(ROW()-ROW(MSPResources[[#Headers],[Name]])))&amp;"")</f>
        <v/>
      </c>
      <c r="B23" s="24" t="str">
        <f aca="false">IF(IFERROR(INDEX(res_Name,(ROW()-ROW(MSPResources[[#Headers],[Name]])))="",TRUE()),"",INDEX(res_Initials,(ROW()-ROW(MSPResources[[#Headers],[Name]])))&amp;"")</f>
        <v/>
      </c>
      <c r="C23" s="24" t="str">
        <f aca="false">IF(IFERROR(INDEX(res_Name,(ROW()-ROW(MSPResources[[#Headers],[Name]])))="",TRUE()),"",INDEX(res_Group,(ROW()-ROW(MSPResources[[#Headers],[Name]])))&amp;"")</f>
        <v/>
      </c>
      <c r="D23" s="24" t="str">
        <f aca="false">IF(IFERROR(INDEX(res_Name,(ROW()-ROW(MSPResources[[#Headers],[Name]])))="",TRUE()),"",INDEX(res_Type,(ROW()-ROW(MSPResources[[#Headers],[Name]])))&amp;"")</f>
        <v/>
      </c>
      <c r="E23" s="24" t="str">
        <f aca="false">IF(IFERROR(INDEX(res_Name,(ROW()-ROW(MSPResources[[#Headers],[Name]])))="",TRUE()),"",ROUND(INDEX(res_MaxUnits,(ROW()-ROW(MSPResources[[#Headers],[Name]])))*100,0)&amp;"%")</f>
        <v/>
      </c>
      <c r="F23" s="24" t="str">
        <f aca="false">IF(IFERROR(INDEX(res_Name,(ROW()-ROW(MSPResources[[#Headers],[Name]])))="",TRUE()),"",INDEX(res_Rate,(ROW()-ROW(MSPResources[[#Headers],[Name]])))&amp;"/h")</f>
        <v/>
      </c>
      <c r="G23" s="24" t="str">
        <f aca="false">IF(IFERROR(INDEX(res_Name,(ROW()-ROW(MSPResources[[#Headers],[Name]])))="",TRUE()),"",INDEX(res_Email,(ROW()-ROW(MSPResources[[#Headers],[Name]])))&amp;"")</f>
        <v/>
      </c>
    </row>
    <row r="24" customFormat="false" ht="15" hidden="false" customHeight="false" outlineLevel="0" collapsed="false">
      <c r="A24" s="24" t="str">
        <f aca="false">IF(IFERROR(INDEX(res_Name,(ROW()-ROW(MSPResources[[#Headers],[Name]])))="",TRUE()),"",INDEX(res_Name,(ROW()-ROW(MSPResources[[#Headers],[Name]])))&amp;"")</f>
        <v/>
      </c>
      <c r="B24" s="24" t="str">
        <f aca="false">IF(IFERROR(INDEX(res_Name,(ROW()-ROW(MSPResources[[#Headers],[Name]])))="",TRUE()),"",INDEX(res_Initials,(ROW()-ROW(MSPResources[[#Headers],[Name]])))&amp;"")</f>
        <v/>
      </c>
      <c r="C24" s="24" t="str">
        <f aca="false">IF(IFERROR(INDEX(res_Name,(ROW()-ROW(MSPResources[[#Headers],[Name]])))="",TRUE()),"",INDEX(res_Group,(ROW()-ROW(MSPResources[[#Headers],[Name]])))&amp;"")</f>
        <v/>
      </c>
      <c r="D24" s="24" t="str">
        <f aca="false">IF(IFERROR(INDEX(res_Name,(ROW()-ROW(MSPResources[[#Headers],[Name]])))="",TRUE()),"",INDEX(res_Type,(ROW()-ROW(MSPResources[[#Headers],[Name]])))&amp;"")</f>
        <v/>
      </c>
      <c r="E24" s="24" t="str">
        <f aca="false">IF(IFERROR(INDEX(res_Name,(ROW()-ROW(MSPResources[[#Headers],[Name]])))="",TRUE()),"",ROUND(INDEX(res_MaxUnits,(ROW()-ROW(MSPResources[[#Headers],[Name]])))*100,0)&amp;"%")</f>
        <v/>
      </c>
      <c r="F24" s="24" t="str">
        <f aca="false">IF(IFERROR(INDEX(res_Name,(ROW()-ROW(MSPResources[[#Headers],[Name]])))="",TRUE()),"",INDEX(res_Rate,(ROW()-ROW(MSPResources[[#Headers],[Name]])))&amp;"/h")</f>
        <v/>
      </c>
      <c r="G24" s="24" t="str">
        <f aca="false">IF(IFERROR(INDEX(res_Name,(ROW()-ROW(MSPResources[[#Headers],[Name]])))="",TRUE()),"",INDEX(res_Email,(ROW()-ROW(MSPResources[[#Headers],[Name]])))&amp;"")</f>
        <v/>
      </c>
    </row>
    <row r="25" customFormat="false" ht="15" hidden="false" customHeight="false" outlineLevel="0" collapsed="false">
      <c r="A25" s="24" t="str">
        <f aca="false">IF(IFERROR(INDEX(res_Name,(ROW()-ROW(MSPResources[[#Headers],[Name]])))="",TRUE()),"",INDEX(res_Name,(ROW()-ROW(MSPResources[[#Headers],[Name]])))&amp;"")</f>
        <v/>
      </c>
      <c r="B25" s="24" t="str">
        <f aca="false">IF(IFERROR(INDEX(res_Name,(ROW()-ROW(MSPResources[[#Headers],[Name]])))="",TRUE()),"",INDEX(res_Initials,(ROW()-ROW(MSPResources[[#Headers],[Name]])))&amp;"")</f>
        <v/>
      </c>
      <c r="C25" s="24" t="str">
        <f aca="false">IF(IFERROR(INDEX(res_Name,(ROW()-ROW(MSPResources[[#Headers],[Name]])))="",TRUE()),"",INDEX(res_Group,(ROW()-ROW(MSPResources[[#Headers],[Name]])))&amp;"")</f>
        <v/>
      </c>
      <c r="D25" s="24" t="str">
        <f aca="false">IF(IFERROR(INDEX(res_Name,(ROW()-ROW(MSPResources[[#Headers],[Name]])))="",TRUE()),"",INDEX(res_Type,(ROW()-ROW(MSPResources[[#Headers],[Name]])))&amp;"")</f>
        <v/>
      </c>
      <c r="E25" s="24" t="str">
        <f aca="false">IF(IFERROR(INDEX(res_Name,(ROW()-ROW(MSPResources[[#Headers],[Name]])))="",TRUE()),"",ROUND(INDEX(res_MaxUnits,(ROW()-ROW(MSPResources[[#Headers],[Name]])))*100,0)&amp;"%")</f>
        <v/>
      </c>
      <c r="F25" s="24" t="str">
        <f aca="false">IF(IFERROR(INDEX(res_Name,(ROW()-ROW(MSPResources[[#Headers],[Name]])))="",TRUE()),"",INDEX(res_Rate,(ROW()-ROW(MSPResources[[#Headers],[Name]])))&amp;"/h")</f>
        <v/>
      </c>
      <c r="G25" s="24" t="str">
        <f aca="false">IF(IFERROR(INDEX(res_Name,(ROW()-ROW(MSPResources[[#Headers],[Name]])))="",TRUE()),"",INDEX(res_Email,(ROW()-ROW(MSPResources[[#Headers],[Name]])))&amp;"")</f>
        <v/>
      </c>
    </row>
    <row r="26" customFormat="false" ht="15" hidden="false" customHeight="false" outlineLevel="0" collapsed="false">
      <c r="A26" s="24" t="str">
        <f aca="false">IF(IFERROR(INDEX(res_Name,(ROW()-ROW(MSPResources[[#Headers],[Name]])))="",TRUE()),"",INDEX(res_Name,(ROW()-ROW(MSPResources[[#Headers],[Name]])))&amp;"")</f>
        <v/>
      </c>
      <c r="B26" s="24" t="str">
        <f aca="false">IF(IFERROR(INDEX(res_Name,(ROW()-ROW(MSPResources[[#Headers],[Name]])))="",TRUE()),"",INDEX(res_Initials,(ROW()-ROW(MSPResources[[#Headers],[Name]])))&amp;"")</f>
        <v/>
      </c>
      <c r="C26" s="24" t="str">
        <f aca="false">IF(IFERROR(INDEX(res_Name,(ROW()-ROW(MSPResources[[#Headers],[Name]])))="",TRUE()),"",INDEX(res_Group,(ROW()-ROW(MSPResources[[#Headers],[Name]])))&amp;"")</f>
        <v/>
      </c>
      <c r="D26" s="24" t="str">
        <f aca="false">IF(IFERROR(INDEX(res_Name,(ROW()-ROW(MSPResources[[#Headers],[Name]])))="",TRUE()),"",INDEX(res_Type,(ROW()-ROW(MSPResources[[#Headers],[Name]])))&amp;"")</f>
        <v/>
      </c>
      <c r="E26" s="24" t="str">
        <f aca="false">IF(IFERROR(INDEX(res_Name,(ROW()-ROW(MSPResources[[#Headers],[Name]])))="",TRUE()),"",ROUND(INDEX(res_MaxUnits,(ROW()-ROW(MSPResources[[#Headers],[Name]])))*100,0)&amp;"%")</f>
        <v/>
      </c>
      <c r="F26" s="24" t="str">
        <f aca="false">IF(IFERROR(INDEX(res_Name,(ROW()-ROW(MSPResources[[#Headers],[Name]])))="",TRUE()),"",INDEX(res_Rate,(ROW()-ROW(MSPResources[[#Headers],[Name]])))&amp;"/h")</f>
        <v/>
      </c>
      <c r="G26" s="24" t="str">
        <f aca="false">IF(IFERROR(INDEX(res_Name,(ROW()-ROW(MSPResources[[#Headers],[Name]])))="",TRUE()),"",INDEX(res_Email,(ROW()-ROW(MSPResources[[#Headers],[Name]])))&amp;"")</f>
        <v/>
      </c>
    </row>
    <row r="27" customFormat="false" ht="15" hidden="false" customHeight="false" outlineLevel="0" collapsed="false">
      <c r="A27" s="24" t="str">
        <f aca="false">IF(IFERROR(INDEX(res_Name,(ROW()-ROW(MSPResources[[#Headers],[Name]])))="",TRUE()),"",INDEX(res_Name,(ROW()-ROW(MSPResources[[#Headers],[Name]])))&amp;"")</f>
        <v/>
      </c>
      <c r="B27" s="24" t="str">
        <f aca="false">IF(IFERROR(INDEX(res_Name,(ROW()-ROW(MSPResources[[#Headers],[Name]])))="",TRUE()),"",INDEX(res_Initials,(ROW()-ROW(MSPResources[[#Headers],[Name]])))&amp;"")</f>
        <v/>
      </c>
      <c r="C27" s="24" t="str">
        <f aca="false">IF(IFERROR(INDEX(res_Name,(ROW()-ROW(MSPResources[[#Headers],[Name]])))="",TRUE()),"",INDEX(res_Group,(ROW()-ROW(MSPResources[[#Headers],[Name]])))&amp;"")</f>
        <v/>
      </c>
      <c r="D27" s="24" t="str">
        <f aca="false">IF(IFERROR(INDEX(res_Name,(ROW()-ROW(MSPResources[[#Headers],[Name]])))="",TRUE()),"",INDEX(res_Type,(ROW()-ROW(MSPResources[[#Headers],[Name]])))&amp;"")</f>
        <v/>
      </c>
      <c r="E27" s="24" t="str">
        <f aca="false">IF(IFERROR(INDEX(res_Name,(ROW()-ROW(MSPResources[[#Headers],[Name]])))="",TRUE()),"",ROUND(INDEX(res_MaxUnits,(ROW()-ROW(MSPResources[[#Headers],[Name]])))*100,0)&amp;"%")</f>
        <v/>
      </c>
      <c r="F27" s="24" t="str">
        <f aca="false">IF(IFERROR(INDEX(res_Name,(ROW()-ROW(MSPResources[[#Headers],[Name]])))="",TRUE()),"",INDEX(res_Rate,(ROW()-ROW(MSPResources[[#Headers],[Name]])))&amp;"/h")</f>
        <v/>
      </c>
      <c r="G27" s="24" t="str">
        <f aca="false">IF(IFERROR(INDEX(res_Name,(ROW()-ROW(MSPResources[[#Headers],[Name]])))="",TRUE()),"",INDEX(res_Email,(ROW()-ROW(MSPResources[[#Headers],[Name]])))&amp;"")</f>
        <v/>
      </c>
    </row>
    <row r="28" customFormat="false" ht="15" hidden="false" customHeight="false" outlineLevel="0" collapsed="false">
      <c r="A28" s="24" t="str">
        <f aca="false">IF(IFERROR(INDEX(res_Name,(ROW()-ROW(MSPResources[[#Headers],[Name]])))="",TRUE()),"",INDEX(res_Name,(ROW()-ROW(MSPResources[[#Headers],[Name]])))&amp;"")</f>
        <v/>
      </c>
      <c r="B28" s="24" t="str">
        <f aca="false">IF(IFERROR(INDEX(res_Name,(ROW()-ROW(MSPResources[[#Headers],[Name]])))="",TRUE()),"",INDEX(res_Initials,(ROW()-ROW(MSPResources[[#Headers],[Name]])))&amp;"")</f>
        <v/>
      </c>
      <c r="C28" s="24" t="str">
        <f aca="false">IF(IFERROR(INDEX(res_Name,(ROW()-ROW(MSPResources[[#Headers],[Name]])))="",TRUE()),"",INDEX(res_Group,(ROW()-ROW(MSPResources[[#Headers],[Name]])))&amp;"")</f>
        <v/>
      </c>
      <c r="D28" s="24" t="str">
        <f aca="false">IF(IFERROR(INDEX(res_Name,(ROW()-ROW(MSPResources[[#Headers],[Name]])))="",TRUE()),"",INDEX(res_Type,(ROW()-ROW(MSPResources[[#Headers],[Name]])))&amp;"")</f>
        <v/>
      </c>
      <c r="E28" s="24" t="str">
        <f aca="false">IF(IFERROR(INDEX(res_Name,(ROW()-ROW(MSPResources[[#Headers],[Name]])))="",TRUE()),"",ROUND(INDEX(res_MaxUnits,(ROW()-ROW(MSPResources[[#Headers],[Name]])))*100,0)&amp;"%")</f>
        <v/>
      </c>
      <c r="F28" s="24" t="str">
        <f aca="false">IF(IFERROR(INDEX(res_Name,(ROW()-ROW(MSPResources[[#Headers],[Name]])))="",TRUE()),"",INDEX(res_Rate,(ROW()-ROW(MSPResources[[#Headers],[Name]])))&amp;"/h")</f>
        <v/>
      </c>
      <c r="G28" s="24" t="str">
        <f aca="false">IF(IFERROR(INDEX(res_Name,(ROW()-ROW(MSPResources[[#Headers],[Name]])))="",TRUE()),"",INDEX(res_Email,(ROW()-ROW(MSPResources[[#Headers],[Name]])))&amp;"")</f>
        <v/>
      </c>
    </row>
    <row r="29" customFormat="false" ht="15" hidden="false" customHeight="false" outlineLevel="0" collapsed="false">
      <c r="A29" s="24" t="str">
        <f aca="false">IF(IFERROR(INDEX(res_Name,(ROW()-ROW(MSPResources[[#Headers],[Name]])))="",TRUE()),"",INDEX(res_Name,(ROW()-ROW(MSPResources[[#Headers],[Name]])))&amp;"")</f>
        <v/>
      </c>
      <c r="B29" s="24" t="str">
        <f aca="false">IF(IFERROR(INDEX(res_Name,(ROW()-ROW(MSPResources[[#Headers],[Name]])))="",TRUE()),"",INDEX(res_Initials,(ROW()-ROW(MSPResources[[#Headers],[Name]])))&amp;"")</f>
        <v/>
      </c>
      <c r="C29" s="24" t="str">
        <f aca="false">IF(IFERROR(INDEX(res_Name,(ROW()-ROW(MSPResources[[#Headers],[Name]])))="",TRUE()),"",INDEX(res_Group,(ROW()-ROW(MSPResources[[#Headers],[Name]])))&amp;"")</f>
        <v/>
      </c>
      <c r="D29" s="24" t="str">
        <f aca="false">IF(IFERROR(INDEX(res_Name,(ROW()-ROW(MSPResources[[#Headers],[Name]])))="",TRUE()),"",INDEX(res_Type,(ROW()-ROW(MSPResources[[#Headers],[Name]])))&amp;"")</f>
        <v/>
      </c>
      <c r="E29" s="24" t="str">
        <f aca="false">IF(IFERROR(INDEX(res_Name,(ROW()-ROW(MSPResources[[#Headers],[Name]])))="",TRUE()),"",ROUND(INDEX(res_MaxUnits,(ROW()-ROW(MSPResources[[#Headers],[Name]])))*100,0)&amp;"%")</f>
        <v/>
      </c>
      <c r="F29" s="24" t="str">
        <f aca="false">IF(IFERROR(INDEX(res_Name,(ROW()-ROW(MSPResources[[#Headers],[Name]])))="",TRUE()),"",INDEX(res_Rate,(ROW()-ROW(MSPResources[[#Headers],[Name]])))&amp;"/h")</f>
        <v/>
      </c>
      <c r="G29" s="24" t="str">
        <f aca="false">IF(IFERROR(INDEX(res_Name,(ROW()-ROW(MSPResources[[#Headers],[Name]])))="",TRUE()),"",INDEX(res_Email,(ROW()-ROW(MSPResources[[#Headers],[Name]])))&amp;"")</f>
        <v/>
      </c>
    </row>
    <row r="30" customFormat="false" ht="15" hidden="false" customHeight="false" outlineLevel="0" collapsed="false">
      <c r="A30" s="24" t="str">
        <f aca="false">IF(IFERROR(INDEX(res_Name,(ROW()-ROW(MSPResources[[#Headers],[Name]])))="",TRUE()),"",INDEX(res_Name,(ROW()-ROW(MSPResources[[#Headers],[Name]])))&amp;"")</f>
        <v/>
      </c>
      <c r="B30" s="24" t="str">
        <f aca="false">IF(IFERROR(INDEX(res_Name,(ROW()-ROW(MSPResources[[#Headers],[Name]])))="",TRUE()),"",INDEX(res_Initials,(ROW()-ROW(MSPResources[[#Headers],[Name]])))&amp;"")</f>
        <v/>
      </c>
      <c r="C30" s="24" t="str">
        <f aca="false">IF(IFERROR(INDEX(res_Name,(ROW()-ROW(MSPResources[[#Headers],[Name]])))="",TRUE()),"",INDEX(res_Group,(ROW()-ROW(MSPResources[[#Headers],[Name]])))&amp;"")</f>
        <v/>
      </c>
      <c r="D30" s="24" t="str">
        <f aca="false">IF(IFERROR(INDEX(res_Name,(ROW()-ROW(MSPResources[[#Headers],[Name]])))="",TRUE()),"",INDEX(res_Type,(ROW()-ROW(MSPResources[[#Headers],[Name]])))&amp;"")</f>
        <v/>
      </c>
      <c r="E30" s="24" t="str">
        <f aca="false">IF(IFERROR(INDEX(res_Name,(ROW()-ROW(MSPResources[[#Headers],[Name]])))="",TRUE()),"",ROUND(INDEX(res_MaxUnits,(ROW()-ROW(MSPResources[[#Headers],[Name]])))*100,0)&amp;"%")</f>
        <v/>
      </c>
      <c r="F30" s="24" t="str">
        <f aca="false">IF(IFERROR(INDEX(res_Name,(ROW()-ROW(MSPResources[[#Headers],[Name]])))="",TRUE()),"",INDEX(res_Rate,(ROW()-ROW(MSPResources[[#Headers],[Name]])))&amp;"/h")</f>
        <v/>
      </c>
      <c r="G30" s="24" t="str">
        <f aca="false">IF(IFERROR(INDEX(res_Name,(ROW()-ROW(MSPResources[[#Headers],[Name]])))="",TRUE()),"",INDEX(res_Email,(ROW()-ROW(MSPResources[[#Headers],[Name]])))&amp;"")</f>
        <v/>
      </c>
    </row>
    <row r="31" customFormat="false" ht="15" hidden="false" customHeight="false" outlineLevel="0" collapsed="false">
      <c r="A31" s="24" t="str">
        <f aca="false">IF(IFERROR(INDEX(res_Name,(ROW()-ROW(MSPResources[[#Headers],[Name]])))="",TRUE()),"",INDEX(res_Name,(ROW()-ROW(MSPResources[[#Headers],[Name]])))&amp;"")</f>
        <v/>
      </c>
      <c r="B31" s="24" t="str">
        <f aca="false">IF(IFERROR(INDEX(res_Name,(ROW()-ROW(MSPResources[[#Headers],[Name]])))="",TRUE()),"",INDEX(res_Initials,(ROW()-ROW(MSPResources[[#Headers],[Name]])))&amp;"")</f>
        <v/>
      </c>
      <c r="C31" s="24" t="str">
        <f aca="false">IF(IFERROR(INDEX(res_Name,(ROW()-ROW(MSPResources[[#Headers],[Name]])))="",TRUE()),"",INDEX(res_Group,(ROW()-ROW(MSPResources[[#Headers],[Name]])))&amp;"")</f>
        <v/>
      </c>
      <c r="D31" s="24" t="str">
        <f aca="false">IF(IFERROR(INDEX(res_Name,(ROW()-ROW(MSPResources[[#Headers],[Name]])))="",TRUE()),"",INDEX(res_Type,(ROW()-ROW(MSPResources[[#Headers],[Name]])))&amp;"")</f>
        <v/>
      </c>
      <c r="E31" s="24" t="str">
        <f aca="false">IF(IFERROR(INDEX(res_Name,(ROW()-ROW(MSPResources[[#Headers],[Name]])))="",TRUE()),"",ROUND(INDEX(res_MaxUnits,(ROW()-ROW(MSPResources[[#Headers],[Name]])))*100,0)&amp;"%")</f>
        <v/>
      </c>
      <c r="F31" s="24" t="str">
        <f aca="false">IF(IFERROR(INDEX(res_Name,(ROW()-ROW(MSPResources[[#Headers],[Name]])))="",TRUE()),"",INDEX(res_Rate,(ROW()-ROW(MSPResources[[#Headers],[Name]])))&amp;"/h")</f>
        <v/>
      </c>
      <c r="G31" s="24" t="str">
        <f aca="false">IF(IFERROR(INDEX(res_Name,(ROW()-ROW(MSPResources[[#Headers],[Name]])))="",TRUE()),"",INDEX(res_Email,(ROW()-ROW(MSPResources[[#Headers],[Name]])))&amp;"")</f>
        <v/>
      </c>
    </row>
    <row r="32" customFormat="false" ht="15" hidden="false" customHeight="false" outlineLevel="0" collapsed="false">
      <c r="A32" s="24" t="str">
        <f aca="false">IF(IFERROR(INDEX(res_Name,(ROW()-ROW(MSPResources[[#Headers],[Name]])))="",TRUE()),"",INDEX(res_Name,(ROW()-ROW(MSPResources[[#Headers],[Name]])))&amp;"")</f>
        <v/>
      </c>
      <c r="B32" s="24" t="str">
        <f aca="false">IF(IFERROR(INDEX(res_Name,(ROW()-ROW(MSPResources[[#Headers],[Name]])))="",TRUE()),"",INDEX(res_Initials,(ROW()-ROW(MSPResources[[#Headers],[Name]])))&amp;"")</f>
        <v/>
      </c>
      <c r="C32" s="24" t="str">
        <f aca="false">IF(IFERROR(INDEX(res_Name,(ROW()-ROW(MSPResources[[#Headers],[Name]])))="",TRUE()),"",INDEX(res_Group,(ROW()-ROW(MSPResources[[#Headers],[Name]])))&amp;"")</f>
        <v/>
      </c>
      <c r="D32" s="24" t="str">
        <f aca="false">IF(IFERROR(INDEX(res_Name,(ROW()-ROW(MSPResources[[#Headers],[Name]])))="",TRUE()),"",INDEX(res_Type,(ROW()-ROW(MSPResources[[#Headers],[Name]])))&amp;"")</f>
        <v/>
      </c>
      <c r="E32" s="24" t="str">
        <f aca="false">IF(IFERROR(INDEX(res_Name,(ROW()-ROW(MSPResources[[#Headers],[Name]])))="",TRUE()),"",ROUND(INDEX(res_MaxUnits,(ROW()-ROW(MSPResources[[#Headers],[Name]])))*100,0)&amp;"%")</f>
        <v/>
      </c>
      <c r="F32" s="24" t="str">
        <f aca="false">IF(IFERROR(INDEX(res_Name,(ROW()-ROW(MSPResources[[#Headers],[Name]])))="",TRUE()),"",INDEX(res_Rate,(ROW()-ROW(MSPResources[[#Headers],[Name]])))&amp;"/h")</f>
        <v/>
      </c>
      <c r="G32" s="24" t="str">
        <f aca="false">IF(IFERROR(INDEX(res_Name,(ROW()-ROW(MSPResources[[#Headers],[Name]])))="",TRUE()),"",INDEX(res_Email,(ROW()-ROW(MSPResources[[#Headers],[Name]])))&amp;"")</f>
        <v/>
      </c>
    </row>
    <row r="33" customFormat="false" ht="15" hidden="false" customHeight="false" outlineLevel="0" collapsed="false">
      <c r="A33" s="24" t="str">
        <f aca="false">IF(IFERROR(INDEX(res_Name,(ROW()-ROW(MSPResources[[#Headers],[Name]])))="",TRUE()),"",INDEX(res_Name,(ROW()-ROW(MSPResources[[#Headers],[Name]])))&amp;"")</f>
        <v/>
      </c>
      <c r="B33" s="24" t="str">
        <f aca="false">IF(IFERROR(INDEX(res_Name,(ROW()-ROW(MSPResources[[#Headers],[Name]])))="",TRUE()),"",INDEX(res_Initials,(ROW()-ROW(MSPResources[[#Headers],[Name]])))&amp;"")</f>
        <v/>
      </c>
      <c r="C33" s="24" t="str">
        <f aca="false">IF(IFERROR(INDEX(res_Name,(ROW()-ROW(MSPResources[[#Headers],[Name]])))="",TRUE()),"",INDEX(res_Group,(ROW()-ROW(MSPResources[[#Headers],[Name]])))&amp;"")</f>
        <v/>
      </c>
      <c r="D33" s="24" t="str">
        <f aca="false">IF(IFERROR(INDEX(res_Name,(ROW()-ROW(MSPResources[[#Headers],[Name]])))="",TRUE()),"",INDEX(res_Type,(ROW()-ROW(MSPResources[[#Headers],[Name]])))&amp;"")</f>
        <v/>
      </c>
      <c r="E33" s="24" t="str">
        <f aca="false">IF(IFERROR(INDEX(res_Name,(ROW()-ROW(MSPResources[[#Headers],[Name]])))="",TRUE()),"",ROUND(INDEX(res_MaxUnits,(ROW()-ROW(MSPResources[[#Headers],[Name]])))*100,0)&amp;"%")</f>
        <v/>
      </c>
      <c r="F33" s="24" t="str">
        <f aca="false">IF(IFERROR(INDEX(res_Name,(ROW()-ROW(MSPResources[[#Headers],[Name]])))="",TRUE()),"",INDEX(res_Rate,(ROW()-ROW(MSPResources[[#Headers],[Name]])))&amp;"/h")</f>
        <v/>
      </c>
      <c r="G33" s="24" t="str">
        <f aca="false">IF(IFERROR(INDEX(res_Name,(ROW()-ROW(MSPResources[[#Headers],[Name]])))="",TRUE()),"",INDEX(res_Email,(ROW()-ROW(MSPResources[[#Headers],[Name]])))&amp;"")</f>
        <v/>
      </c>
    </row>
    <row r="34" customFormat="false" ht="15" hidden="false" customHeight="false" outlineLevel="0" collapsed="false">
      <c r="A34" s="24" t="str">
        <f aca="false">IF(IFERROR(INDEX(res_Name,(ROW()-ROW(MSPResources[[#Headers],[Name]])))="",TRUE()),"",INDEX(res_Name,(ROW()-ROW(MSPResources[[#Headers],[Name]])))&amp;"")</f>
        <v/>
      </c>
      <c r="B34" s="24" t="str">
        <f aca="false">IF(IFERROR(INDEX(res_Name,(ROW()-ROW(MSPResources[[#Headers],[Name]])))="",TRUE()),"",INDEX(res_Initials,(ROW()-ROW(MSPResources[[#Headers],[Name]])))&amp;"")</f>
        <v/>
      </c>
      <c r="C34" s="24" t="str">
        <f aca="false">IF(IFERROR(INDEX(res_Name,(ROW()-ROW(MSPResources[[#Headers],[Name]])))="",TRUE()),"",INDEX(res_Group,(ROW()-ROW(MSPResources[[#Headers],[Name]])))&amp;"")</f>
        <v/>
      </c>
      <c r="D34" s="24" t="str">
        <f aca="false">IF(IFERROR(INDEX(res_Name,(ROW()-ROW(MSPResources[[#Headers],[Name]])))="",TRUE()),"",INDEX(res_Type,(ROW()-ROW(MSPResources[[#Headers],[Name]])))&amp;"")</f>
        <v/>
      </c>
      <c r="E34" s="24" t="str">
        <f aca="false">IF(IFERROR(INDEX(res_Name,(ROW()-ROW(MSPResources[[#Headers],[Name]])))="",TRUE()),"",ROUND(INDEX(res_MaxUnits,(ROW()-ROW(MSPResources[[#Headers],[Name]])))*100,0)&amp;"%")</f>
        <v/>
      </c>
      <c r="F34" s="24" t="str">
        <f aca="false">IF(IFERROR(INDEX(res_Name,(ROW()-ROW(MSPResources[[#Headers],[Name]])))="",TRUE()),"",INDEX(res_Rate,(ROW()-ROW(MSPResources[[#Headers],[Name]])))&amp;"/h")</f>
        <v/>
      </c>
      <c r="G34" s="24" t="str">
        <f aca="false">IF(IFERROR(INDEX(res_Name,(ROW()-ROW(MSPResources[[#Headers],[Name]])))="",TRUE()),"",INDEX(res_Email,(ROW()-ROW(MSPResources[[#Headers],[Name]])))&amp;"")</f>
        <v/>
      </c>
    </row>
    <row r="35" customFormat="false" ht="15" hidden="false" customHeight="false" outlineLevel="0" collapsed="false">
      <c r="A35" s="24" t="str">
        <f aca="false">IF(IFERROR(INDEX(res_Name,(ROW()-ROW(MSPResources[[#Headers],[Name]])))="",TRUE()),"",INDEX(res_Name,(ROW()-ROW(MSPResources[[#Headers],[Name]])))&amp;"")</f>
        <v/>
      </c>
      <c r="B35" s="24" t="str">
        <f aca="false">IF(IFERROR(INDEX(res_Name,(ROW()-ROW(MSPResources[[#Headers],[Name]])))="",TRUE()),"",INDEX(res_Initials,(ROW()-ROW(MSPResources[[#Headers],[Name]])))&amp;"")</f>
        <v/>
      </c>
      <c r="C35" s="24" t="str">
        <f aca="false">IF(IFERROR(INDEX(res_Name,(ROW()-ROW(MSPResources[[#Headers],[Name]])))="",TRUE()),"",INDEX(res_Group,(ROW()-ROW(MSPResources[[#Headers],[Name]])))&amp;"")</f>
        <v/>
      </c>
      <c r="D35" s="24" t="str">
        <f aca="false">IF(IFERROR(INDEX(res_Name,(ROW()-ROW(MSPResources[[#Headers],[Name]])))="",TRUE()),"",INDEX(res_Type,(ROW()-ROW(MSPResources[[#Headers],[Name]])))&amp;"")</f>
        <v/>
      </c>
      <c r="E35" s="24" t="str">
        <f aca="false">IF(IFERROR(INDEX(res_Name,(ROW()-ROW(MSPResources[[#Headers],[Name]])))="",TRUE()),"",ROUND(INDEX(res_MaxUnits,(ROW()-ROW(MSPResources[[#Headers],[Name]])))*100,0)&amp;"%")</f>
        <v/>
      </c>
      <c r="F35" s="24" t="str">
        <f aca="false">IF(IFERROR(INDEX(res_Name,(ROW()-ROW(MSPResources[[#Headers],[Name]])))="",TRUE()),"",INDEX(res_Rate,(ROW()-ROW(MSPResources[[#Headers],[Name]])))&amp;"/h")</f>
        <v/>
      </c>
      <c r="G35" s="24" t="str">
        <f aca="false">IF(IFERROR(INDEX(res_Name,(ROW()-ROW(MSPResources[[#Headers],[Name]])))="",TRUE()),"",INDEX(res_Email,(ROW()-ROW(MSPResources[[#Headers],[Name]])))&amp;"")</f>
        <v/>
      </c>
    </row>
    <row r="36" customFormat="false" ht="15" hidden="false" customHeight="false" outlineLevel="0" collapsed="false">
      <c r="A36" s="24" t="str">
        <f aca="false">IF(IFERROR(INDEX(res_Name,(ROW()-ROW(MSPResources[[#Headers],[Name]])))="",TRUE()),"",INDEX(res_Name,(ROW()-ROW(MSPResources[[#Headers],[Name]])))&amp;"")</f>
        <v/>
      </c>
      <c r="B36" s="24" t="str">
        <f aca="false">IF(IFERROR(INDEX(res_Name,(ROW()-ROW(MSPResources[[#Headers],[Name]])))="",TRUE()),"",INDEX(res_Initials,(ROW()-ROW(MSPResources[[#Headers],[Name]])))&amp;"")</f>
        <v/>
      </c>
      <c r="C36" s="24" t="str">
        <f aca="false">IF(IFERROR(INDEX(res_Name,(ROW()-ROW(MSPResources[[#Headers],[Name]])))="",TRUE()),"",INDEX(res_Group,(ROW()-ROW(MSPResources[[#Headers],[Name]])))&amp;"")</f>
        <v/>
      </c>
      <c r="D36" s="24" t="str">
        <f aca="false">IF(IFERROR(INDEX(res_Name,(ROW()-ROW(MSPResources[[#Headers],[Name]])))="",TRUE()),"",INDEX(res_Type,(ROW()-ROW(MSPResources[[#Headers],[Name]])))&amp;"")</f>
        <v/>
      </c>
      <c r="E36" s="24" t="str">
        <f aca="false">IF(IFERROR(INDEX(res_Name,(ROW()-ROW(MSPResources[[#Headers],[Name]])))="",TRUE()),"",ROUND(INDEX(res_MaxUnits,(ROW()-ROW(MSPResources[[#Headers],[Name]])))*100,0)&amp;"%")</f>
        <v/>
      </c>
      <c r="F36" s="24" t="str">
        <f aca="false">IF(IFERROR(INDEX(res_Name,(ROW()-ROW(MSPResources[[#Headers],[Name]])))="",TRUE()),"",INDEX(res_Rate,(ROW()-ROW(MSPResources[[#Headers],[Name]])))&amp;"/h")</f>
        <v/>
      </c>
      <c r="G36" s="24" t="str">
        <f aca="false">IF(IFERROR(INDEX(res_Name,(ROW()-ROW(MSPResources[[#Headers],[Name]])))="",TRUE()),"",INDEX(res_Email,(ROW()-ROW(MSPResources[[#Headers],[Name]])))&amp;"")</f>
        <v/>
      </c>
    </row>
    <row r="37" customFormat="false" ht="15" hidden="false" customHeight="false" outlineLevel="0" collapsed="false">
      <c r="A37" s="24" t="str">
        <f aca="false">IF(IFERROR(INDEX(res_Name,(ROW()-ROW(MSPResources[[#Headers],[Name]])))="",TRUE()),"",INDEX(res_Name,(ROW()-ROW(MSPResources[[#Headers],[Name]])))&amp;"")</f>
        <v/>
      </c>
      <c r="B37" s="24" t="str">
        <f aca="false">IF(IFERROR(INDEX(res_Name,(ROW()-ROW(MSPResources[[#Headers],[Name]])))="",TRUE()),"",INDEX(res_Initials,(ROW()-ROW(MSPResources[[#Headers],[Name]])))&amp;"")</f>
        <v/>
      </c>
      <c r="C37" s="24" t="str">
        <f aca="false">IF(IFERROR(INDEX(res_Name,(ROW()-ROW(MSPResources[[#Headers],[Name]])))="",TRUE()),"",INDEX(res_Group,(ROW()-ROW(MSPResources[[#Headers],[Name]])))&amp;"")</f>
        <v/>
      </c>
      <c r="D37" s="24" t="str">
        <f aca="false">IF(IFERROR(INDEX(res_Name,(ROW()-ROW(MSPResources[[#Headers],[Name]])))="",TRUE()),"",INDEX(res_Type,(ROW()-ROW(MSPResources[[#Headers],[Name]])))&amp;"")</f>
        <v/>
      </c>
      <c r="E37" s="24" t="str">
        <f aca="false">IF(IFERROR(INDEX(res_Name,(ROW()-ROW(MSPResources[[#Headers],[Name]])))="",TRUE()),"",ROUND(INDEX(res_MaxUnits,(ROW()-ROW(MSPResources[[#Headers],[Name]])))*100,0)&amp;"%")</f>
        <v/>
      </c>
      <c r="F37" s="24" t="str">
        <f aca="false">IF(IFERROR(INDEX(res_Name,(ROW()-ROW(MSPResources[[#Headers],[Name]])))="",TRUE()),"",INDEX(res_Rate,(ROW()-ROW(MSPResources[[#Headers],[Name]])))&amp;"/h")</f>
        <v/>
      </c>
      <c r="G37" s="24" t="str">
        <f aca="false">IF(IFERROR(INDEX(res_Name,(ROW()-ROW(MSPResources[[#Headers],[Name]])))="",TRUE()),"",INDEX(res_Email,(ROW()-ROW(MSPResources[[#Headers],[Name]])))&amp;"")</f>
        <v/>
      </c>
    </row>
    <row r="38" customFormat="false" ht="15" hidden="false" customHeight="false" outlineLevel="0" collapsed="false">
      <c r="A38" s="24" t="str">
        <f aca="false">IF(IFERROR(INDEX(res_Name,(ROW()-ROW(MSPResources[[#Headers],[Name]])))="",TRUE()),"",INDEX(res_Name,(ROW()-ROW(MSPResources[[#Headers],[Name]])))&amp;"")</f>
        <v/>
      </c>
      <c r="B38" s="24" t="str">
        <f aca="false">IF(IFERROR(INDEX(res_Name,(ROW()-ROW(MSPResources[[#Headers],[Name]])))="",TRUE()),"",INDEX(res_Initials,(ROW()-ROW(MSPResources[[#Headers],[Name]])))&amp;"")</f>
        <v/>
      </c>
      <c r="C38" s="24" t="str">
        <f aca="false">IF(IFERROR(INDEX(res_Name,(ROW()-ROW(MSPResources[[#Headers],[Name]])))="",TRUE()),"",INDEX(res_Group,(ROW()-ROW(MSPResources[[#Headers],[Name]])))&amp;"")</f>
        <v/>
      </c>
      <c r="D38" s="24" t="str">
        <f aca="false">IF(IFERROR(INDEX(res_Name,(ROW()-ROW(MSPResources[[#Headers],[Name]])))="",TRUE()),"",INDEX(res_Type,(ROW()-ROW(MSPResources[[#Headers],[Name]])))&amp;"")</f>
        <v/>
      </c>
      <c r="E38" s="24" t="str">
        <f aca="false">IF(IFERROR(INDEX(res_Name,(ROW()-ROW(MSPResources[[#Headers],[Name]])))="",TRUE()),"",ROUND(INDEX(res_MaxUnits,(ROW()-ROW(MSPResources[[#Headers],[Name]])))*100,0)&amp;"%")</f>
        <v/>
      </c>
      <c r="F38" s="24" t="str">
        <f aca="false">IF(IFERROR(INDEX(res_Name,(ROW()-ROW(MSPResources[[#Headers],[Name]])))="",TRUE()),"",INDEX(res_Rate,(ROW()-ROW(MSPResources[[#Headers],[Name]])))&amp;"/h")</f>
        <v/>
      </c>
      <c r="G38" s="24" t="str">
        <f aca="false">IF(IFERROR(INDEX(res_Name,(ROW()-ROW(MSPResources[[#Headers],[Name]])))="",TRUE()),"",INDEX(res_Email,(ROW()-ROW(MSPResources[[#Headers],[Name]])))&amp;"")</f>
        <v/>
      </c>
    </row>
    <row r="39" customFormat="false" ht="15" hidden="false" customHeight="false" outlineLevel="0" collapsed="false">
      <c r="A39" s="24" t="str">
        <f aca="false">IF(IFERROR(INDEX(res_Name,(ROW()-ROW(MSPResources[[#Headers],[Name]])))="",TRUE()),"",INDEX(res_Name,(ROW()-ROW(MSPResources[[#Headers],[Name]])))&amp;"")</f>
        <v/>
      </c>
      <c r="B39" s="24" t="str">
        <f aca="false">IF(IFERROR(INDEX(res_Name,(ROW()-ROW(MSPResources[[#Headers],[Name]])))="",TRUE()),"",INDEX(res_Initials,(ROW()-ROW(MSPResources[[#Headers],[Name]])))&amp;"")</f>
        <v/>
      </c>
      <c r="C39" s="24" t="str">
        <f aca="false">IF(IFERROR(INDEX(res_Name,(ROW()-ROW(MSPResources[[#Headers],[Name]])))="",TRUE()),"",INDEX(res_Group,(ROW()-ROW(MSPResources[[#Headers],[Name]])))&amp;"")</f>
        <v/>
      </c>
      <c r="D39" s="24" t="str">
        <f aca="false">IF(IFERROR(INDEX(res_Name,(ROW()-ROW(MSPResources[[#Headers],[Name]])))="",TRUE()),"",INDEX(res_Type,(ROW()-ROW(MSPResources[[#Headers],[Name]])))&amp;"")</f>
        <v/>
      </c>
      <c r="E39" s="24" t="str">
        <f aca="false">IF(IFERROR(INDEX(res_Name,(ROW()-ROW(MSPResources[[#Headers],[Name]])))="",TRUE()),"",ROUND(INDEX(res_MaxUnits,(ROW()-ROW(MSPResources[[#Headers],[Name]])))*100,0)&amp;"%")</f>
        <v/>
      </c>
      <c r="F39" s="24" t="str">
        <f aca="false">IF(IFERROR(INDEX(res_Name,(ROW()-ROW(MSPResources[[#Headers],[Name]])))="",TRUE()),"",INDEX(res_Rate,(ROW()-ROW(MSPResources[[#Headers],[Name]])))&amp;"/h")</f>
        <v/>
      </c>
      <c r="G39" s="24" t="str">
        <f aca="false">IF(IFERROR(INDEX(res_Name,(ROW()-ROW(MSPResources[[#Headers],[Name]])))="",TRUE()),"",INDEX(res_Email,(ROW()-ROW(MSPResources[[#Headers],[Name]])))&amp;"")</f>
        <v/>
      </c>
    </row>
    <row r="40" customFormat="false" ht="15" hidden="false" customHeight="false" outlineLevel="0" collapsed="false">
      <c r="A40" s="24" t="str">
        <f aca="false">IF(IFERROR(INDEX(res_Name,(ROW()-ROW(MSPResources[[#Headers],[Name]])))="",TRUE()),"",INDEX(res_Name,(ROW()-ROW(MSPResources[[#Headers],[Name]])))&amp;"")</f>
        <v/>
      </c>
      <c r="B40" s="24" t="str">
        <f aca="false">IF(IFERROR(INDEX(res_Name,(ROW()-ROW(MSPResources[[#Headers],[Name]])))="",TRUE()),"",INDEX(res_Initials,(ROW()-ROW(MSPResources[[#Headers],[Name]])))&amp;"")</f>
        <v/>
      </c>
      <c r="C40" s="24" t="str">
        <f aca="false">IF(IFERROR(INDEX(res_Name,(ROW()-ROW(MSPResources[[#Headers],[Name]])))="",TRUE()),"",INDEX(res_Group,(ROW()-ROW(MSPResources[[#Headers],[Name]])))&amp;"")</f>
        <v/>
      </c>
      <c r="D40" s="24" t="str">
        <f aca="false">IF(IFERROR(INDEX(res_Name,(ROW()-ROW(MSPResources[[#Headers],[Name]])))="",TRUE()),"",INDEX(res_Type,(ROW()-ROW(MSPResources[[#Headers],[Name]])))&amp;"")</f>
        <v/>
      </c>
      <c r="E40" s="24" t="str">
        <f aca="false">IF(IFERROR(INDEX(res_Name,(ROW()-ROW(MSPResources[[#Headers],[Name]])))="",TRUE()),"",ROUND(INDEX(res_MaxUnits,(ROW()-ROW(MSPResources[[#Headers],[Name]])))*100,0)&amp;"%")</f>
        <v/>
      </c>
      <c r="F40" s="24" t="str">
        <f aca="false">IF(IFERROR(INDEX(res_Name,(ROW()-ROW(MSPResources[[#Headers],[Name]])))="",TRUE()),"",INDEX(res_Rate,(ROW()-ROW(MSPResources[[#Headers],[Name]])))&amp;"/h")</f>
        <v/>
      </c>
      <c r="G40" s="24" t="str">
        <f aca="false">IF(IFERROR(INDEX(res_Name,(ROW()-ROW(MSPResources[[#Headers],[Name]])))="",TRUE()),"",INDEX(res_Email,(ROW()-ROW(MSPResources[[#Headers],[Name]])))&amp;"")</f>
        <v/>
      </c>
    </row>
    <row r="41" customFormat="false" ht="15" hidden="false" customHeight="false" outlineLevel="0" collapsed="false">
      <c r="A41" s="24" t="str">
        <f aca="false">IF(IFERROR(INDEX(res_Name,(ROW()-ROW(MSPResources[[#Headers],[Name]])))="",TRUE()),"",INDEX(res_Name,(ROW()-ROW(MSPResources[[#Headers],[Name]])))&amp;"")</f>
        <v/>
      </c>
      <c r="B41" s="24" t="str">
        <f aca="false">IF(IFERROR(INDEX(res_Name,(ROW()-ROW(MSPResources[[#Headers],[Name]])))="",TRUE()),"",INDEX(res_Initials,(ROW()-ROW(MSPResources[[#Headers],[Name]])))&amp;"")</f>
        <v/>
      </c>
      <c r="C41" s="24" t="str">
        <f aca="false">IF(IFERROR(INDEX(res_Name,(ROW()-ROW(MSPResources[[#Headers],[Name]])))="",TRUE()),"",INDEX(res_Group,(ROW()-ROW(MSPResources[[#Headers],[Name]])))&amp;"")</f>
        <v/>
      </c>
      <c r="D41" s="24" t="str">
        <f aca="false">IF(IFERROR(INDEX(res_Name,(ROW()-ROW(MSPResources[[#Headers],[Name]])))="",TRUE()),"",INDEX(res_Type,(ROW()-ROW(MSPResources[[#Headers],[Name]])))&amp;"")</f>
        <v/>
      </c>
      <c r="E41" s="24" t="str">
        <f aca="false">IF(IFERROR(INDEX(res_Name,(ROW()-ROW(MSPResources[[#Headers],[Name]])))="",TRUE()),"",ROUND(INDEX(res_MaxUnits,(ROW()-ROW(MSPResources[[#Headers],[Name]])))*100,0)&amp;"%")</f>
        <v/>
      </c>
      <c r="F41" s="24" t="str">
        <f aca="false">IF(IFERROR(INDEX(res_Name,(ROW()-ROW(MSPResources[[#Headers],[Name]])))="",TRUE()),"",INDEX(res_Rate,(ROW()-ROW(MSPResources[[#Headers],[Name]])))&amp;"/h")</f>
        <v/>
      </c>
      <c r="G41" s="24" t="str">
        <f aca="false">IF(IFERROR(INDEX(res_Name,(ROW()-ROW(MSPResources[[#Headers],[Name]])))="",TRUE()),"",INDEX(res_Email,(ROW()-ROW(MSPResources[[#Headers],[Name]])))&amp;"")</f>
        <v/>
      </c>
    </row>
    <row r="42" customFormat="false" ht="15" hidden="false" customHeight="false" outlineLevel="0" collapsed="false">
      <c r="A42" s="24" t="str">
        <f aca="false">IF(IFERROR(INDEX(res_Name,(ROW()-ROW(MSPResources[[#Headers],[Name]])))="",TRUE()),"",INDEX(res_Name,(ROW()-ROW(MSPResources[[#Headers],[Name]])))&amp;"")</f>
        <v/>
      </c>
      <c r="B42" s="24" t="str">
        <f aca="false">IF(IFERROR(INDEX(res_Name,(ROW()-ROW(MSPResources[[#Headers],[Name]])))="",TRUE()),"",INDEX(res_Initials,(ROW()-ROW(MSPResources[[#Headers],[Name]])))&amp;"")</f>
        <v/>
      </c>
      <c r="C42" s="24" t="str">
        <f aca="false">IF(IFERROR(INDEX(res_Name,(ROW()-ROW(MSPResources[[#Headers],[Name]])))="",TRUE()),"",INDEX(res_Group,(ROW()-ROW(MSPResources[[#Headers],[Name]])))&amp;"")</f>
        <v/>
      </c>
      <c r="D42" s="24" t="str">
        <f aca="false">IF(IFERROR(INDEX(res_Name,(ROW()-ROW(MSPResources[[#Headers],[Name]])))="",TRUE()),"",INDEX(res_Type,(ROW()-ROW(MSPResources[[#Headers],[Name]])))&amp;"")</f>
        <v/>
      </c>
      <c r="E42" s="24" t="str">
        <f aca="false">IF(IFERROR(INDEX(res_Name,(ROW()-ROW(MSPResources[[#Headers],[Name]])))="",TRUE()),"",ROUND(INDEX(res_MaxUnits,(ROW()-ROW(MSPResources[[#Headers],[Name]])))*100,0)&amp;"%")</f>
        <v/>
      </c>
      <c r="F42" s="24" t="str">
        <f aca="false">IF(IFERROR(INDEX(res_Name,(ROW()-ROW(MSPResources[[#Headers],[Name]])))="",TRUE()),"",INDEX(res_Rate,(ROW()-ROW(MSPResources[[#Headers],[Name]])))&amp;"/h")</f>
        <v/>
      </c>
      <c r="G42" s="24" t="str">
        <f aca="false">IF(IFERROR(INDEX(res_Name,(ROW()-ROW(MSPResources[[#Headers],[Name]])))="",TRUE()),"",INDEX(res_Email,(ROW()-ROW(MSPResources[[#Headers],[Name]])))&amp;"")</f>
        <v/>
      </c>
    </row>
    <row r="43" customFormat="false" ht="15" hidden="false" customHeight="false" outlineLevel="0" collapsed="false">
      <c r="A43" s="24" t="str">
        <f aca="false">IF(IFERROR(INDEX(res_Name,(ROW()-ROW(MSPResources[[#Headers],[Name]])))="",TRUE()),"",INDEX(res_Name,(ROW()-ROW(MSPResources[[#Headers],[Name]])))&amp;"")</f>
        <v/>
      </c>
      <c r="B43" s="24" t="str">
        <f aca="false">IF(IFERROR(INDEX(res_Name,(ROW()-ROW(MSPResources[[#Headers],[Name]])))="",TRUE()),"",INDEX(res_Initials,(ROW()-ROW(MSPResources[[#Headers],[Name]])))&amp;"")</f>
        <v/>
      </c>
      <c r="C43" s="24" t="str">
        <f aca="false">IF(IFERROR(INDEX(res_Name,(ROW()-ROW(MSPResources[[#Headers],[Name]])))="",TRUE()),"",INDEX(res_Group,(ROW()-ROW(MSPResources[[#Headers],[Name]])))&amp;"")</f>
        <v/>
      </c>
      <c r="D43" s="24" t="str">
        <f aca="false">IF(IFERROR(INDEX(res_Name,(ROW()-ROW(MSPResources[[#Headers],[Name]])))="",TRUE()),"",INDEX(res_Type,(ROW()-ROW(MSPResources[[#Headers],[Name]])))&amp;"")</f>
        <v/>
      </c>
      <c r="E43" s="24" t="str">
        <f aca="false">IF(IFERROR(INDEX(res_Name,(ROW()-ROW(MSPResources[[#Headers],[Name]])))="",TRUE()),"",ROUND(INDEX(res_MaxUnits,(ROW()-ROW(MSPResources[[#Headers],[Name]])))*100,0)&amp;"%")</f>
        <v/>
      </c>
      <c r="F43" s="24" t="str">
        <f aca="false">IF(IFERROR(INDEX(res_Name,(ROW()-ROW(MSPResources[[#Headers],[Name]])))="",TRUE()),"",INDEX(res_Rate,(ROW()-ROW(MSPResources[[#Headers],[Name]])))&amp;"/h")</f>
        <v/>
      </c>
      <c r="G43" s="24" t="str">
        <f aca="false">IF(IFERROR(INDEX(res_Name,(ROW()-ROW(MSPResources[[#Headers],[Name]])))="",TRUE()),"",INDEX(res_Email,(ROW()-ROW(MSPResources[[#Headers],[Name]])))&amp;"")</f>
        <v/>
      </c>
    </row>
    <row r="44" customFormat="false" ht="15" hidden="false" customHeight="false" outlineLevel="0" collapsed="false">
      <c r="A44" s="24" t="str">
        <f aca="false">IF(IFERROR(INDEX(res_Name,(ROW()-ROW(MSPResources[[#Headers],[Name]])))="",TRUE()),"",INDEX(res_Name,(ROW()-ROW(MSPResources[[#Headers],[Name]])))&amp;"")</f>
        <v/>
      </c>
      <c r="B44" s="24" t="str">
        <f aca="false">IF(IFERROR(INDEX(res_Name,(ROW()-ROW(MSPResources[[#Headers],[Name]])))="",TRUE()),"",INDEX(res_Initials,(ROW()-ROW(MSPResources[[#Headers],[Name]])))&amp;"")</f>
        <v/>
      </c>
      <c r="C44" s="24" t="str">
        <f aca="false">IF(IFERROR(INDEX(res_Name,(ROW()-ROW(MSPResources[[#Headers],[Name]])))="",TRUE()),"",INDEX(res_Group,(ROW()-ROW(MSPResources[[#Headers],[Name]])))&amp;"")</f>
        <v/>
      </c>
      <c r="D44" s="24" t="str">
        <f aca="false">IF(IFERROR(INDEX(res_Name,(ROW()-ROW(MSPResources[[#Headers],[Name]])))="",TRUE()),"",INDEX(res_Type,(ROW()-ROW(MSPResources[[#Headers],[Name]])))&amp;"")</f>
        <v/>
      </c>
      <c r="E44" s="24" t="str">
        <f aca="false">IF(IFERROR(INDEX(res_Name,(ROW()-ROW(MSPResources[[#Headers],[Name]])))="",TRUE()),"",ROUND(INDEX(res_MaxUnits,(ROW()-ROW(MSPResources[[#Headers],[Name]])))*100,0)&amp;"%")</f>
        <v/>
      </c>
      <c r="F44" s="24" t="str">
        <f aca="false">IF(IFERROR(INDEX(res_Name,(ROW()-ROW(MSPResources[[#Headers],[Name]])))="",TRUE()),"",INDEX(res_Rate,(ROW()-ROW(MSPResources[[#Headers],[Name]])))&amp;"/h")</f>
        <v/>
      </c>
      <c r="G44" s="24" t="str">
        <f aca="false">IF(IFERROR(INDEX(res_Name,(ROW()-ROW(MSPResources[[#Headers],[Name]])))="",TRUE()),"",INDEX(res_Email,(ROW()-ROW(MSPResources[[#Headers],[Name]])))&amp;"")</f>
        <v/>
      </c>
    </row>
    <row r="45" customFormat="false" ht="15" hidden="false" customHeight="false" outlineLevel="0" collapsed="false">
      <c r="A45" s="24" t="str">
        <f aca="false">IF(IFERROR(INDEX(res_Name,(ROW()-ROW(MSPResources[[#Headers],[Name]])))="",TRUE()),"",INDEX(res_Name,(ROW()-ROW(MSPResources[[#Headers],[Name]])))&amp;"")</f>
        <v/>
      </c>
      <c r="B45" s="24" t="str">
        <f aca="false">IF(IFERROR(INDEX(res_Name,(ROW()-ROW(MSPResources[[#Headers],[Name]])))="",TRUE()),"",INDEX(res_Initials,(ROW()-ROW(MSPResources[[#Headers],[Name]])))&amp;"")</f>
        <v/>
      </c>
      <c r="C45" s="24" t="str">
        <f aca="false">IF(IFERROR(INDEX(res_Name,(ROW()-ROW(MSPResources[[#Headers],[Name]])))="",TRUE()),"",INDEX(res_Group,(ROW()-ROW(MSPResources[[#Headers],[Name]])))&amp;"")</f>
        <v/>
      </c>
      <c r="D45" s="24" t="str">
        <f aca="false">IF(IFERROR(INDEX(res_Name,(ROW()-ROW(MSPResources[[#Headers],[Name]])))="",TRUE()),"",INDEX(res_Type,(ROW()-ROW(MSPResources[[#Headers],[Name]])))&amp;"")</f>
        <v/>
      </c>
      <c r="E45" s="24" t="str">
        <f aca="false">IF(IFERROR(INDEX(res_Name,(ROW()-ROW(MSPResources[[#Headers],[Name]])))="",TRUE()),"",ROUND(INDEX(res_MaxUnits,(ROW()-ROW(MSPResources[[#Headers],[Name]])))*100,0)&amp;"%")</f>
        <v/>
      </c>
      <c r="F45" s="24" t="str">
        <f aca="false">IF(IFERROR(INDEX(res_Name,(ROW()-ROW(MSPResources[[#Headers],[Name]])))="",TRUE()),"",INDEX(res_Rate,(ROW()-ROW(MSPResources[[#Headers],[Name]])))&amp;"/h")</f>
        <v/>
      </c>
      <c r="G45" s="24" t="str">
        <f aca="false">IF(IFERROR(INDEX(res_Name,(ROW()-ROW(MSPResources[[#Headers],[Name]])))="",TRUE()),"",INDEX(res_Email,(ROW()-ROW(MSPResources[[#Headers],[Name]])))&amp;"")</f>
        <v/>
      </c>
    </row>
    <row r="46" customFormat="false" ht="15" hidden="false" customHeight="false" outlineLevel="0" collapsed="false">
      <c r="A46" s="24" t="str">
        <f aca="false">IF(IFERROR(INDEX(res_Name,(ROW()-ROW(MSPResources[[#Headers],[Name]])))="",TRUE()),"",INDEX(res_Name,(ROW()-ROW(MSPResources[[#Headers],[Name]])))&amp;"")</f>
        <v/>
      </c>
      <c r="B46" s="24" t="str">
        <f aca="false">IF(IFERROR(INDEX(res_Name,(ROW()-ROW(MSPResources[[#Headers],[Name]])))="",TRUE()),"",INDEX(res_Initials,(ROW()-ROW(MSPResources[[#Headers],[Name]])))&amp;"")</f>
        <v/>
      </c>
      <c r="C46" s="24" t="str">
        <f aca="false">IF(IFERROR(INDEX(res_Name,(ROW()-ROW(MSPResources[[#Headers],[Name]])))="",TRUE()),"",INDEX(res_Group,(ROW()-ROW(MSPResources[[#Headers],[Name]])))&amp;"")</f>
        <v/>
      </c>
      <c r="D46" s="24" t="str">
        <f aca="false">IF(IFERROR(INDEX(res_Name,(ROW()-ROW(MSPResources[[#Headers],[Name]])))="",TRUE()),"",INDEX(res_Type,(ROW()-ROW(MSPResources[[#Headers],[Name]])))&amp;"")</f>
        <v/>
      </c>
      <c r="E46" s="24" t="str">
        <f aca="false">IF(IFERROR(INDEX(res_Name,(ROW()-ROW(MSPResources[[#Headers],[Name]])))="",TRUE()),"",ROUND(INDEX(res_MaxUnits,(ROW()-ROW(MSPResources[[#Headers],[Name]])))*100,0)&amp;"%")</f>
        <v/>
      </c>
      <c r="F46" s="24" t="str">
        <f aca="false">IF(IFERROR(INDEX(res_Name,(ROW()-ROW(MSPResources[[#Headers],[Name]])))="",TRUE()),"",INDEX(res_Rate,(ROW()-ROW(MSPResources[[#Headers],[Name]])))&amp;"/h")</f>
        <v/>
      </c>
      <c r="G46" s="24" t="str">
        <f aca="false">IF(IFERROR(INDEX(res_Name,(ROW()-ROW(MSPResources[[#Headers],[Name]])))="",TRUE()),"",INDEX(res_Email,(ROW()-ROW(MSPResources[[#Headers],[Name]])))&amp;"")</f>
        <v/>
      </c>
    </row>
    <row r="47" customFormat="false" ht="15" hidden="false" customHeight="false" outlineLevel="0" collapsed="false">
      <c r="A47" s="24" t="str">
        <f aca="false">IF(IFERROR(INDEX(res_Name,(ROW()-ROW(MSPResources[[#Headers],[Name]])))="",TRUE()),"",INDEX(res_Name,(ROW()-ROW(MSPResources[[#Headers],[Name]])))&amp;"")</f>
        <v/>
      </c>
      <c r="B47" s="24" t="str">
        <f aca="false">IF(IFERROR(INDEX(res_Name,(ROW()-ROW(MSPResources[[#Headers],[Name]])))="",TRUE()),"",INDEX(res_Initials,(ROW()-ROW(MSPResources[[#Headers],[Name]])))&amp;"")</f>
        <v/>
      </c>
      <c r="C47" s="24" t="str">
        <f aca="false">IF(IFERROR(INDEX(res_Name,(ROW()-ROW(MSPResources[[#Headers],[Name]])))="",TRUE()),"",INDEX(res_Group,(ROW()-ROW(MSPResources[[#Headers],[Name]])))&amp;"")</f>
        <v/>
      </c>
      <c r="D47" s="24" t="str">
        <f aca="false">IF(IFERROR(INDEX(res_Name,(ROW()-ROW(MSPResources[[#Headers],[Name]])))="",TRUE()),"",INDEX(res_Type,(ROW()-ROW(MSPResources[[#Headers],[Name]])))&amp;"")</f>
        <v/>
      </c>
      <c r="E47" s="24" t="str">
        <f aca="false">IF(IFERROR(INDEX(res_Name,(ROW()-ROW(MSPResources[[#Headers],[Name]])))="",TRUE()),"",ROUND(INDEX(res_MaxUnits,(ROW()-ROW(MSPResources[[#Headers],[Name]])))*100,0)&amp;"%")</f>
        <v/>
      </c>
      <c r="F47" s="24" t="str">
        <f aca="false">IF(IFERROR(INDEX(res_Name,(ROW()-ROW(MSPResources[[#Headers],[Name]])))="",TRUE()),"",INDEX(res_Rate,(ROW()-ROW(MSPResources[[#Headers],[Name]])))&amp;"/h")</f>
        <v/>
      </c>
      <c r="G47" s="24" t="str">
        <f aca="false">IF(IFERROR(INDEX(res_Name,(ROW()-ROW(MSPResources[[#Headers],[Name]])))="",TRUE()),"",INDEX(res_Email,(ROW()-ROW(MSPResources[[#Headers],[Name]])))&amp;"")</f>
        <v/>
      </c>
    </row>
    <row r="48" customFormat="false" ht="15" hidden="false" customHeight="false" outlineLevel="0" collapsed="false">
      <c r="A48" s="24" t="str">
        <f aca="false">IF(IFERROR(INDEX(res_Name,(ROW()-ROW(MSPResources[[#Headers],[Name]])))="",TRUE()),"",INDEX(res_Name,(ROW()-ROW(MSPResources[[#Headers],[Name]])))&amp;"")</f>
        <v/>
      </c>
      <c r="B48" s="24" t="str">
        <f aca="false">IF(IFERROR(INDEX(res_Name,(ROW()-ROW(MSPResources[[#Headers],[Name]])))="",TRUE()),"",INDEX(res_Initials,(ROW()-ROW(MSPResources[[#Headers],[Name]])))&amp;"")</f>
        <v/>
      </c>
      <c r="C48" s="24" t="str">
        <f aca="false">IF(IFERROR(INDEX(res_Name,(ROW()-ROW(MSPResources[[#Headers],[Name]])))="",TRUE()),"",INDEX(res_Group,(ROW()-ROW(MSPResources[[#Headers],[Name]])))&amp;"")</f>
        <v/>
      </c>
      <c r="D48" s="24" t="str">
        <f aca="false">IF(IFERROR(INDEX(res_Name,(ROW()-ROW(MSPResources[[#Headers],[Name]])))="",TRUE()),"",INDEX(res_Type,(ROW()-ROW(MSPResources[[#Headers],[Name]])))&amp;"")</f>
        <v/>
      </c>
      <c r="E48" s="24" t="str">
        <f aca="false">IF(IFERROR(INDEX(res_Name,(ROW()-ROW(MSPResources[[#Headers],[Name]])))="",TRUE()),"",ROUND(INDEX(res_MaxUnits,(ROW()-ROW(MSPResources[[#Headers],[Name]])))*100,0)&amp;"%")</f>
        <v/>
      </c>
      <c r="F48" s="24" t="str">
        <f aca="false">IF(IFERROR(INDEX(res_Name,(ROW()-ROW(MSPResources[[#Headers],[Name]])))="",TRUE()),"",INDEX(res_Rate,(ROW()-ROW(MSPResources[[#Headers],[Name]])))&amp;"/h")</f>
        <v/>
      </c>
      <c r="G48" s="24" t="str">
        <f aca="false">IF(IFERROR(INDEX(res_Name,(ROW()-ROW(MSPResources[[#Headers],[Name]])))="",TRUE()),"",INDEX(res_Email,(ROW()-ROW(MSPResources[[#Headers],[Name]])))&amp;"")</f>
        <v/>
      </c>
    </row>
    <row r="49" customFormat="false" ht="15" hidden="false" customHeight="false" outlineLevel="0" collapsed="false">
      <c r="A49" s="24" t="str">
        <f aca="false">IF(IFERROR(INDEX(res_Name,(ROW()-ROW(MSPResources[[#Headers],[Name]])))="",TRUE()),"",INDEX(res_Name,(ROW()-ROW(MSPResources[[#Headers],[Name]])))&amp;"")</f>
        <v/>
      </c>
      <c r="B49" s="24" t="str">
        <f aca="false">IF(IFERROR(INDEX(res_Name,(ROW()-ROW(MSPResources[[#Headers],[Name]])))="",TRUE()),"",INDEX(res_Initials,(ROW()-ROW(MSPResources[[#Headers],[Name]])))&amp;"")</f>
        <v/>
      </c>
      <c r="C49" s="24" t="str">
        <f aca="false">IF(IFERROR(INDEX(res_Name,(ROW()-ROW(MSPResources[[#Headers],[Name]])))="",TRUE()),"",INDEX(res_Group,(ROW()-ROW(MSPResources[[#Headers],[Name]])))&amp;"")</f>
        <v/>
      </c>
      <c r="D49" s="24" t="str">
        <f aca="false">IF(IFERROR(INDEX(res_Name,(ROW()-ROW(MSPResources[[#Headers],[Name]])))="",TRUE()),"",INDEX(res_Type,(ROW()-ROW(MSPResources[[#Headers],[Name]])))&amp;"")</f>
        <v/>
      </c>
      <c r="E49" s="24" t="str">
        <f aca="false">IF(IFERROR(INDEX(res_Name,(ROW()-ROW(MSPResources[[#Headers],[Name]])))="",TRUE()),"",ROUND(INDEX(res_MaxUnits,(ROW()-ROW(MSPResources[[#Headers],[Name]])))*100,0)&amp;"%")</f>
        <v/>
      </c>
      <c r="F49" s="24" t="str">
        <f aca="false">IF(IFERROR(INDEX(res_Name,(ROW()-ROW(MSPResources[[#Headers],[Name]])))="",TRUE()),"",INDEX(res_Rate,(ROW()-ROW(MSPResources[[#Headers],[Name]])))&amp;"/h")</f>
        <v/>
      </c>
      <c r="G49" s="24" t="str">
        <f aca="false">IF(IFERROR(INDEX(res_Name,(ROW()-ROW(MSPResources[[#Headers],[Name]])))="",TRUE()),"",INDEX(res_Email,(ROW()-ROW(MSPResources[[#Headers],[Name]])))&amp;"")</f>
        <v/>
      </c>
    </row>
    <row r="50" customFormat="false" ht="15" hidden="false" customHeight="false" outlineLevel="0" collapsed="false">
      <c r="A50" s="24" t="str">
        <f aca="false">IF(IFERROR(INDEX(res_Name,(ROW()-ROW(MSPResources[[#Headers],[Name]])))="",TRUE()),"",INDEX(res_Name,(ROW()-ROW(MSPResources[[#Headers],[Name]])))&amp;"")</f>
        <v/>
      </c>
      <c r="B50" s="24" t="str">
        <f aca="false">IF(IFERROR(INDEX(res_Name,(ROW()-ROW(MSPResources[[#Headers],[Name]])))="",TRUE()),"",INDEX(res_Initials,(ROW()-ROW(MSPResources[[#Headers],[Name]])))&amp;"")</f>
        <v/>
      </c>
      <c r="C50" s="24" t="str">
        <f aca="false">IF(IFERROR(INDEX(res_Name,(ROW()-ROW(MSPResources[[#Headers],[Name]])))="",TRUE()),"",INDEX(res_Group,(ROW()-ROW(MSPResources[[#Headers],[Name]])))&amp;"")</f>
        <v/>
      </c>
      <c r="D50" s="24" t="str">
        <f aca="false">IF(IFERROR(INDEX(res_Name,(ROW()-ROW(MSPResources[[#Headers],[Name]])))="",TRUE()),"",INDEX(res_Type,(ROW()-ROW(MSPResources[[#Headers],[Name]])))&amp;"")</f>
        <v/>
      </c>
      <c r="E50" s="24" t="str">
        <f aca="false">IF(IFERROR(INDEX(res_Name,(ROW()-ROW(MSPResources[[#Headers],[Name]])))="",TRUE()),"",ROUND(INDEX(res_MaxUnits,(ROW()-ROW(MSPResources[[#Headers],[Name]])))*100,0)&amp;"%")</f>
        <v/>
      </c>
      <c r="F50" s="24" t="str">
        <f aca="false">IF(IFERROR(INDEX(res_Name,(ROW()-ROW(MSPResources[[#Headers],[Name]])))="",TRUE()),"",INDEX(res_Rate,(ROW()-ROW(MSPResources[[#Headers],[Name]])))&amp;"/h")</f>
        <v/>
      </c>
      <c r="G50" s="24" t="str">
        <f aca="false">IF(IFERROR(INDEX(res_Name,(ROW()-ROW(MSPResources[[#Headers],[Name]])))="",TRUE()),"",INDEX(res_Email,(ROW()-ROW(MSPResources[[#Headers],[Name]])))&amp;"")</f>
        <v/>
      </c>
    </row>
    <row r="51" customFormat="false" ht="15" hidden="false" customHeight="false" outlineLevel="0" collapsed="false">
      <c r="A51" s="24" t="str">
        <f aca="false">IF(IFERROR(INDEX(res_Name,(ROW()-ROW(MSPResources[[#Headers],[Name]])))="",TRUE()),"",INDEX(res_Name,(ROW()-ROW(MSPResources[[#Headers],[Name]])))&amp;"")</f>
        <v/>
      </c>
      <c r="B51" s="24" t="str">
        <f aca="false">IF(IFERROR(INDEX(res_Name,(ROW()-ROW(MSPResources[[#Headers],[Name]])))="",TRUE()),"",INDEX(res_Initials,(ROW()-ROW(MSPResources[[#Headers],[Name]])))&amp;"")</f>
        <v/>
      </c>
      <c r="C51" s="24" t="str">
        <f aca="false">IF(IFERROR(INDEX(res_Name,(ROW()-ROW(MSPResources[[#Headers],[Name]])))="",TRUE()),"",INDEX(res_Group,(ROW()-ROW(MSPResources[[#Headers],[Name]])))&amp;"")</f>
        <v/>
      </c>
      <c r="D51" s="24" t="str">
        <f aca="false">IF(IFERROR(INDEX(res_Name,(ROW()-ROW(MSPResources[[#Headers],[Name]])))="",TRUE()),"",INDEX(res_Type,(ROW()-ROW(MSPResources[[#Headers],[Name]])))&amp;"")</f>
        <v/>
      </c>
      <c r="E51" s="24" t="str">
        <f aca="false">IF(IFERROR(INDEX(res_Name,(ROW()-ROW(MSPResources[[#Headers],[Name]])))="",TRUE()),"",ROUND(INDEX(res_MaxUnits,(ROW()-ROW(MSPResources[[#Headers],[Name]])))*100,0)&amp;"%")</f>
        <v/>
      </c>
      <c r="F51" s="24" t="str">
        <f aca="false">IF(IFERROR(INDEX(res_Name,(ROW()-ROW(MSPResources[[#Headers],[Name]])))="",TRUE()),"",INDEX(res_Rate,(ROW()-ROW(MSPResources[[#Headers],[Name]])))&amp;"/h")</f>
        <v/>
      </c>
      <c r="G51" s="24" t="str">
        <f aca="false">IF(IFERROR(INDEX(res_Name,(ROW()-ROW(MSPResources[[#Headers],[Name]])))="",TRUE()),"",INDEX(res_Email,(ROW()-ROW(MSPResources[[#Headers],[Name]])))&amp;"")</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S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3" min="3" style="0" width="16"/>
    <col collapsed="false" customWidth="true" hidden="false" outlineLevel="0" max="5" min="5" style="0" width="16"/>
    <col collapsed="false" customWidth="true" hidden="false" outlineLevel="0" max="7" min="7" style="0" width="16"/>
    <col collapsed="false" customWidth="true" hidden="false" outlineLevel="0" max="9" min="9" style="0" width="16"/>
    <col collapsed="false" customWidth="true" hidden="false" outlineLevel="0" max="11" min="11" style="0" width="16"/>
    <col collapsed="false" customWidth="true" hidden="false" outlineLevel="0" max="13" min="13" style="0" width="16"/>
    <col collapsed="false" customWidth="true" hidden="false" outlineLevel="0" max="15" min="15" style="0" width="16"/>
    <col collapsed="false" customWidth="true" hidden="false" outlineLevel="0" max="17" min="17" style="0" width="16"/>
    <col collapsed="false" customWidth="true" hidden="false" outlineLevel="0" max="19" min="19" style="0" width="16"/>
  </cols>
  <sheetData>
    <row r="1" customFormat="false" ht="23.85" hidden="false" customHeight="false" outlineLevel="0" collapsed="false">
      <c r="A1" s="27" t="s">
        <v>728</v>
      </c>
      <c r="C1" s="27" t="s">
        <v>718</v>
      </c>
      <c r="E1" s="27" t="s">
        <v>729</v>
      </c>
      <c r="G1" s="27" t="s">
        <v>730</v>
      </c>
      <c r="I1" s="27" t="s">
        <v>731</v>
      </c>
      <c r="K1" s="27" t="s">
        <v>126</v>
      </c>
      <c r="M1" s="27" t="s">
        <v>732</v>
      </c>
      <c r="O1" s="27" t="s">
        <v>733</v>
      </c>
      <c r="Q1" s="27" t="s">
        <v>734</v>
      </c>
      <c r="S1" s="27" t="s">
        <v>735</v>
      </c>
    </row>
    <row r="2" customFormat="false" ht="15" hidden="false" customHeight="false" outlineLevel="0" collapsed="false">
      <c r="A2" s="30" t="s">
        <v>589</v>
      </c>
      <c r="C2" s="30" t="s">
        <v>584</v>
      </c>
      <c r="E2" s="30" t="s">
        <v>376</v>
      </c>
      <c r="G2" s="30" t="s">
        <v>226</v>
      </c>
      <c r="I2" s="30" t="n">
        <v>1</v>
      </c>
      <c r="K2" s="30" t="s">
        <v>349</v>
      </c>
      <c r="M2" s="30" t="s">
        <v>274</v>
      </c>
      <c r="O2" s="30" t="s">
        <v>277</v>
      </c>
      <c r="Q2" s="30" t="s">
        <v>318</v>
      </c>
      <c r="S2" s="30" t="s">
        <v>736</v>
      </c>
    </row>
    <row r="3" customFormat="false" ht="15" hidden="false" customHeight="false" outlineLevel="0" collapsed="false">
      <c r="A3" s="30" t="s">
        <v>595</v>
      </c>
      <c r="C3" s="30" t="s">
        <v>628</v>
      </c>
      <c r="E3" s="30" t="s">
        <v>397</v>
      </c>
      <c r="G3" s="30" t="s">
        <v>737</v>
      </c>
      <c r="I3" s="30" t="n">
        <v>7</v>
      </c>
      <c r="K3" s="30" t="s">
        <v>350</v>
      </c>
      <c r="M3" s="30" t="s">
        <v>288</v>
      </c>
      <c r="O3" s="30" t="s">
        <v>96</v>
      </c>
      <c r="Q3" s="30" t="s">
        <v>312</v>
      </c>
      <c r="S3" s="30" t="s">
        <v>331</v>
      </c>
    </row>
    <row r="4" customFormat="false" ht="15" hidden="false" customHeight="false" outlineLevel="0" collapsed="false">
      <c r="A4" s="30" t="s">
        <v>612</v>
      </c>
      <c r="G4" s="30" t="s">
        <v>229</v>
      </c>
      <c r="K4" s="30" t="s">
        <v>738</v>
      </c>
      <c r="M4" s="30" t="s">
        <v>283</v>
      </c>
      <c r="O4" s="30" t="s">
        <v>298</v>
      </c>
      <c r="Q4" s="30" t="s">
        <v>335</v>
      </c>
      <c r="S4" s="30" t="s">
        <v>312</v>
      </c>
    </row>
    <row r="5" customFormat="false" ht="15" hidden="false" customHeight="false" outlineLevel="0" collapsed="false">
      <c r="A5" s="30" t="s">
        <v>739</v>
      </c>
      <c r="M5" s="30" t="s">
        <v>292</v>
      </c>
      <c r="Q5" s="30" t="s">
        <v>740</v>
      </c>
      <c r="S5" s="30" t="s">
        <v>335</v>
      </c>
    </row>
    <row r="6" customFormat="false" ht="15" hidden="false" customHeight="false" outlineLevel="0" collapsed="false">
      <c r="S6" s="30" t="s">
        <v>741</v>
      </c>
    </row>
    <row r="8" customFormat="false" ht="15" hidden="false" customHeight="false" outlineLevel="0" collapsed="false">
      <c r="A8" s="8" t="s">
        <v>742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 r:id="rId3"/>
    <tablePart r:id="rId4"/>
    <tablePart r:id="rId5"/>
    <tablePart r:id="rId6"/>
    <tablePart r:id="rId7"/>
    <tablePart r:id="rId8"/>
    <tablePart r:id="rId9"/>
    <tablePart r:id="rId10"/>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2026-10-26T16:23:48Z</dcterms:created>
  <dc:creator>openpyxl</dc:creator>
  <dc:description/>
  <dc:language>en-US</dc:language>
  <cp:lastModifiedBy/>
  <dcterms:modified xsi:type="dcterms:W3CDTF">2026-10-26T16:23:49Z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